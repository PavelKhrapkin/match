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5130" windowWidth="14400" windowHeight="514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Process!$A$4:$O$153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Process!$A$151:$L$154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3" l="1"/>
  <c r="T23" i="2" l="1"/>
  <c r="F12" i="3" s="1"/>
  <c r="AF9" i="6" l="1"/>
  <c r="C84" i="3"/>
  <c r="K83" i="3"/>
  <c r="C83" i="3"/>
  <c r="K82" i="3"/>
  <c r="F59" i="3" l="1"/>
  <c r="F7" i="6" l="1"/>
  <c r="C48" i="3" l="1"/>
  <c r="C41" i="3"/>
  <c r="O18" i="3" l="1"/>
  <c r="F23" i="3" l="1"/>
  <c r="B23" i="2" l="1"/>
  <c r="K58" i="3" s="1"/>
  <c r="H23" i="2"/>
  <c r="I43" i="2"/>
  <c r="K59" i="3" l="1"/>
  <c r="F78" i="3" l="1"/>
  <c r="K78" i="3" s="1"/>
  <c r="C78" i="3"/>
  <c r="C77" i="3"/>
  <c r="F77" i="3" l="1"/>
  <c r="K77" i="3" s="1"/>
  <c r="T34" i="6" l="1"/>
  <c r="J38" i="6"/>
  <c r="J37" i="6"/>
  <c r="J36" i="6"/>
  <c r="J35" i="6"/>
  <c r="J34" i="6"/>
  <c r="C38" i="6"/>
  <c r="C37" i="6"/>
  <c r="C36" i="6"/>
  <c r="C35" i="6"/>
  <c r="C34" i="6"/>
  <c r="F75" i="3" l="1"/>
  <c r="K75" i="3" s="1"/>
  <c r="C75" i="3"/>
  <c r="F76" i="3"/>
  <c r="K76" i="3" s="1"/>
  <c r="L73" i="3"/>
  <c r="N74" i="3" l="1"/>
  <c r="M74" i="3" l="1"/>
  <c r="L74" i="3"/>
  <c r="AI9" i="6" l="1"/>
  <c r="AK9" i="6" s="1"/>
  <c r="AL9" i="6" l="1"/>
  <c r="AJ9" i="6"/>
  <c r="K14" i="3" l="1"/>
  <c r="F14" i="3"/>
  <c r="C76" i="3"/>
  <c r="K73" i="3"/>
  <c r="F73" i="3"/>
  <c r="K53" i="3" l="1"/>
  <c r="F53" i="3"/>
  <c r="F13" i="3" l="1"/>
  <c r="K11" i="3"/>
  <c r="K13" i="3"/>
  <c r="K10" i="3"/>
  <c r="F11" i="3"/>
  <c r="F10" i="3"/>
  <c r="F9" i="3"/>
  <c r="F8" i="3"/>
  <c r="F7" i="3"/>
  <c r="K9" i="3"/>
  <c r="K8" i="3"/>
  <c r="K7" i="3"/>
  <c r="L54" i="3"/>
  <c r="L55" i="3"/>
  <c r="L56" i="3"/>
  <c r="I51" i="6" l="1"/>
  <c r="K56" i="3" l="1"/>
  <c r="K55" i="3"/>
  <c r="K54" i="3"/>
  <c r="C42" i="3" l="1"/>
  <c r="L42" i="3" l="1"/>
  <c r="K41" i="3"/>
  <c r="K39" i="3"/>
  <c r="N37" i="3"/>
  <c r="N36" i="3"/>
  <c r="N30" i="3"/>
  <c r="L29" i="3"/>
  <c r="M27" i="3"/>
  <c r="L27" i="3"/>
  <c r="N21" i="3"/>
  <c r="N18" i="3"/>
  <c r="M18" i="3"/>
  <c r="L18" i="3"/>
  <c r="K25" i="3"/>
  <c r="K28" i="3" s="1"/>
  <c r="K16" i="3"/>
  <c r="K45" i="3" l="1"/>
  <c r="L41" i="3"/>
  <c r="K29" i="3"/>
  <c r="K40" i="3"/>
  <c r="K44" i="3"/>
  <c r="K42" i="3"/>
  <c r="K26" i="3"/>
  <c r="K43" i="3"/>
  <c r="Y17" i="6"/>
  <c r="R17" i="6"/>
  <c r="AA17" i="6" s="1"/>
  <c r="C31" i="3" l="1"/>
  <c r="C22" i="3" l="1"/>
  <c r="K22" i="3" l="1"/>
  <c r="K23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3" i="3"/>
  <c r="F145" i="3"/>
  <c r="K145" i="3" s="1"/>
  <c r="C145" i="3"/>
  <c r="C144" i="3"/>
  <c r="C142" i="3"/>
  <c r="K141" i="3"/>
  <c r="K144" i="3"/>
  <c r="K138" i="3"/>
  <c r="C138" i="3"/>
  <c r="K137" i="3"/>
  <c r="C137" i="3"/>
  <c r="C136" i="3"/>
  <c r="K135" i="3"/>
  <c r="K134" i="3"/>
  <c r="F133" i="3"/>
  <c r="C133" i="3"/>
  <c r="F132" i="3"/>
  <c r="F131" i="3"/>
  <c r="C131" i="3"/>
  <c r="H130" i="3"/>
  <c r="G130" i="3"/>
  <c r="F130" i="3"/>
  <c r="K129" i="3"/>
  <c r="K136" i="3" s="1"/>
  <c r="F127" i="3"/>
  <c r="K127" i="3" s="1"/>
  <c r="C127" i="3"/>
  <c r="C125" i="3"/>
  <c r="L124" i="3"/>
  <c r="K125" i="3" s="1"/>
  <c r="K124" i="3"/>
  <c r="G124" i="3"/>
  <c r="C121" i="3"/>
  <c r="F121" i="3"/>
  <c r="K121" i="3" s="1"/>
  <c r="C117" i="3"/>
  <c r="K117" i="3"/>
  <c r="C110" i="3"/>
  <c r="F110" i="3"/>
  <c r="H109" i="3" s="1"/>
  <c r="C109" i="3"/>
  <c r="C106" i="3"/>
  <c r="F106" i="3"/>
  <c r="K106" i="3" s="1"/>
  <c r="C105" i="3"/>
  <c r="K105" i="3"/>
  <c r="F102" i="3"/>
  <c r="K102" i="3" s="1"/>
  <c r="C102" i="3"/>
  <c r="C101" i="3"/>
  <c r="F98" i="3"/>
  <c r="K98" i="3" s="1"/>
  <c r="C98" i="3"/>
  <c r="C97" i="3"/>
  <c r="K97" i="3"/>
  <c r="K94" i="3"/>
  <c r="C94" i="3"/>
  <c r="H93" i="3"/>
  <c r="C93" i="3"/>
  <c r="K93" i="3"/>
  <c r="G93" i="3" s="1"/>
  <c r="C90" i="3"/>
  <c r="C89" i="3"/>
  <c r="K88" i="3"/>
  <c r="K89" i="3"/>
  <c r="L70" i="3"/>
  <c r="F70" i="3"/>
  <c r="C70" i="3"/>
  <c r="C68" i="3"/>
  <c r="K163" i="3"/>
  <c r="C64" i="3"/>
  <c r="C63" i="3"/>
  <c r="K63" i="3"/>
  <c r="F56" i="3"/>
  <c r="F55" i="3"/>
  <c r="F54" i="3"/>
  <c r="F50" i="3"/>
  <c r="C50" i="3"/>
  <c r="C49" i="3"/>
  <c r="F41" i="3"/>
  <c r="C37" i="3"/>
  <c r="C36" i="3"/>
  <c r="C35" i="3"/>
  <c r="K35" i="3"/>
  <c r="C30" i="3"/>
  <c r="C29" i="3"/>
  <c r="C28" i="3"/>
  <c r="C27" i="3"/>
  <c r="K21" i="3"/>
  <c r="C21" i="3"/>
  <c r="K20" i="3"/>
  <c r="C20" i="3"/>
  <c r="K19" i="3"/>
  <c r="C19" i="3"/>
  <c r="K18" i="3"/>
  <c r="C18" i="3"/>
  <c r="K17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100" i="3"/>
  <c r="K101" i="3" s="1"/>
  <c r="K31" i="3"/>
  <c r="K30" i="3"/>
  <c r="K70" i="3"/>
  <c r="K27" i="3"/>
  <c r="J1228" i="6"/>
  <c r="L1224" i="6" s="1"/>
  <c r="C39" i="6"/>
  <c r="D34" i="6" s="1"/>
  <c r="J39" i="6"/>
  <c r="L34" i="6" s="1"/>
  <c r="K36" i="3"/>
  <c r="K62" i="3"/>
  <c r="K64" i="3" s="1"/>
  <c r="K67" i="3"/>
  <c r="K34" i="3"/>
  <c r="K68" i="3"/>
  <c r="K37" i="3"/>
  <c r="K110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<sst xmlns="http://schemas.openxmlformats.org/spreadsheetml/2006/main" count="11020" uniqueCount="2132">
  <si>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</si>
  <si>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</si>
  <si>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</si>
  <si>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</si>
  <si>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</si>
  <si>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</si>
  <si>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</si>
  <si>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</si>
  <si>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</si>
  <si>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</si>
  <si>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</si>
  <si>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</si>
  <si>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</si>
  <si>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</si>
  <si>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</si>
  <si>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</si>
  <si>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</si>
  <si>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</si>
  <si>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</si>
  <si>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</si>
  <si>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</si>
  <si>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</si>
  <si>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</si>
  <si>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</si>
  <si>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</si>
  <si>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</si>
  <si>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</si>
  <si>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</si>
  <si>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</si>
  <si>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</si>
  <si>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</si>
  <si>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</si>
  <si>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</si>
  <si>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</si>
  <si>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</si>
  <si>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</si>
  <si>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</si>
  <si>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</si>
  <si>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</si>
  <si>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</si>
  <si>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</si>
  <si>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</si>
  <si>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</si>
  <si>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</si>
  <si>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</si>
  <si>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</si>
  <si>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</si>
  <si>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</si>
  <si>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</si>
  <si>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</si>
  <si>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</si>
  <si>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</si>
  <si>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</si>
  <si>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</si>
  <si>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</si>
  <si>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</si>
  <si>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</si>
  <si>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</si>
  <si>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</si>
  <si>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</si>
  <si>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</si>
  <si>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</si>
  <si>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</si>
  <si>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</si>
  <si>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</si>
  <si>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</si>
  <si>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</si>
  <si>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</si>
  <si>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</si>
  <si>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</si>
  <si>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</si>
  <si>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</si>
  <si>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</si>
  <si>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</si>
  <si>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</si>
  <si>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</si>
  <si>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</si>
  <si>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</si>
  <si>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</si>
  <si>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</si>
  <si>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</si>
  <si>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</si>
  <si>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</si>
  <si>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</si>
  <si>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</si>
  <si>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</si>
  <si>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</si>
  <si>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</si>
  <si>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</si>
  <si>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</si>
  <si>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</si>
  <si>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</si>
  <si>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</si>
  <si>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</si>
  <si>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</si>
  <si>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</si>
  <si>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</si>
  <si>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</si>
  <si>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</si>
  <si>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</si>
  <si>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</si>
  <si>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</si>
  <si>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</si>
  <si>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</si>
  <si>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</si>
  <si>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</si>
  <si>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</si>
  <si>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</si>
  <si>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</si>
  <si>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</si>
  <si>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</si>
  <si>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</si>
  <si>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</si>
  <si>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</si>
  <si>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</si>
  <si>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</si>
  <si>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</si>
  <si>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</si>
  <si>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</si>
  <si>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</si>
  <si>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</si>
  <si>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</si>
  <si>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</si>
  <si>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</si>
  <si>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</si>
  <si>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</si>
  <si>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</si>
  <si>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</si>
  <si>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</si>
  <si>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</si>
  <si>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</si>
  <si>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</si>
  <si>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</si>
  <si>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</si>
  <si>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</si>
  <si>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</si>
  <si>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</si>
  <si>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</si>
  <si>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</si>
  <si>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</si>
  <si>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</si>
  <si>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</si>
  <si>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</si>
  <si>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</si>
  <si>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</si>
  <si>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</si>
  <si>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</si>
  <si>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</si>
  <si>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</si>
  <si>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</si>
  <si>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</si>
  <si>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</si>
  <si>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</si>
  <si>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</si>
  <si>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</si>
  <si>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</si>
  <si>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</si>
  <si>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</si>
  <si>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</si>
  <si>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</si>
  <si>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</si>
  <si>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</si>
  <si>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</si>
  <si>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</si>
  <si>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</si>
  <si>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</si>
  <si>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</si>
  <si>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</si>
  <si>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</si>
  <si>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</si>
  <si>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</si>
  <si>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</si>
  <si>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</si>
  <si>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</si>
  <si>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</si>
  <si>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</si>
  <si>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</si>
  <si>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</si>
  <si>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</si>
  <si>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</si>
  <si>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</si>
  <si>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</si>
  <si>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</si>
  <si>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</si>
  <si>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</si>
  <si>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</si>
  <si>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</si>
  <si>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</si>
  <si>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</si>
  <si>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</si>
  <si>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</si>
  <si>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</si>
  <si>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</si>
  <si>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</si>
  <si>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</si>
  <si>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</si>
  <si>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</si>
  <si>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</si>
  <si>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</si>
  <si>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</si>
  <si>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</si>
  <si>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</si>
  <si>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</si>
  <si>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</si>
  <si>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</si>
  <si>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</si>
  <si>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</si>
  <si>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</si>
  <si>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</si>
  <si>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</si>
  <si>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</si>
  <si>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</si>
  <si>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</si>
  <si>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</si>
  <si>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</si>
  <si>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</si>
  <si>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</si>
  <si>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</si>
  <si>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</si>
  <si>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</si>
  <si>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</si>
  <si>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</si>
  <si>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</si>
  <si>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</si>
  <si>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</si>
  <si>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</si>
  <si>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</si>
  <si>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</si>
  <si>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</si>
  <si>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</si>
  <si>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</si>
  <si>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</si>
  <si>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</si>
  <si>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</si>
  <si>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</si>
  <si>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</si>
  <si>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</si>
  <si>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</si>
  <si>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</si>
  <si>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</si>
  <si>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</si>
  <si>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</si>
  <si>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</si>
  <si>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</si>
  <si>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</si>
  <si>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</si>
  <si>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</si>
  <si>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</si>
  <si>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</si>
  <si>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</si>
  <si>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</si>
  <si>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</si>
  <si>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</si>
  <si>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</si>
  <si>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</si>
  <si>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</si>
  <si>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</si>
  <si>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</si>
  <si>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</si>
  <si>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</si>
  <si>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</si>
  <si>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</si>
  <si>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</si>
  <si>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</si>
  <si>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</si>
  <si>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</si>
  <si>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</si>
  <si>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</si>
  <si>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</si>
  <si>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</si>
  <si>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</si>
  <si>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</si>
  <si>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</si>
  <si>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</si>
  <si>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</si>
  <si>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</si>
  <si>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</si>
  <si>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</si>
  <si>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</si>
  <si>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</si>
  <si>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</si>
  <si>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</si>
  <si>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</si>
  <si>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</si>
  <si>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</si>
  <si>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</si>
  <si>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</si>
  <si>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</si>
  <si>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</si>
  <si>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</si>
  <si>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</si>
  <si>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</si>
  <si>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</si>
  <si>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</si>
  <si>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</si>
  <si>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</si>
  <si>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</si>
  <si>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</si>
  <si>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</si>
  <si>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</si>
  <si>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</si>
  <si>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</si>
  <si>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</si>
  <si>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</si>
  <si>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</si>
  <si>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</si>
  <si>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</si>
  <si>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</si>
  <si>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</si>
  <si>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</si>
  <si>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</si>
  <si>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</si>
  <si>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</si>
  <si>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</si>
  <si>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</si>
  <si>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</si>
  <si>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</si>
  <si>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</si>
  <si>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</si>
  <si>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</si>
  <si>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</si>
  <si>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</si>
  <si>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</si>
  <si>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</si>
  <si>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</si>
  <si>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</si>
  <si>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</si>
  <si>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</si>
  <si>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</si>
  <si>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</si>
  <si>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</si>
  <si>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</si>
  <si>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</si>
  <si>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</si>
  <si>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</si>
  <si>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</si>
  <si>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</si>
  <si>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</si>
  <si>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</si>
  <si>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</si>
  <si>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</si>
  <si>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</si>
  <si>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</si>
  <si>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</si>
  <si>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</si>
  <si>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</si>
  <si>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</si>
  <si>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</si>
  <si>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</si>
  <si>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</si>
  <si>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</si>
  <si>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</si>
  <si>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</si>
  <si>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</si>
  <si>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</si>
  <si>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</si>
  <si>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</si>
  <si>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</si>
  <si>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</si>
  <si>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</si>
  <si>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</si>
  <si>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</si>
  <si>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</si>
  <si>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</si>
  <si>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</si>
  <si>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</si>
  <si>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</si>
  <si>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</si>
  <si>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</si>
  <si>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</si>
  <si>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</si>
  <si>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</si>
  <si>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</si>
  <si>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</si>
  <si>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</si>
  <si>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</si>
  <si>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</si>
  <si>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</si>
  <si>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</si>
  <si>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</si>
  <si>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</si>
  <si>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</si>
  <si>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</si>
  <si>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</si>
  <si>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</si>
  <si>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</si>
  <si>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</si>
  <si>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</si>
  <si>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</si>
  <si>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</si>
  <si>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</si>
  <si>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</si>
  <si>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</si>
  <si>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</si>
  <si>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</si>
  <si>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</si>
  <si>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</si>
  <si>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</si>
  <si>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</si>
  <si>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</si>
  <si>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</si>
  <si>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</si>
  <si>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</si>
  <si>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</si>
  <si>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</si>
  <si>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</si>
  <si>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</si>
  <si>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</si>
  <si>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</si>
  <si>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</si>
  <si>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</si>
  <si>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</si>
  <si>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</si>
  <si>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</si>
  <si>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</si>
  <si>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</si>
  <si>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</si>
  <si>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</si>
  <si>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</si>
  <si>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</si>
  <si>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</si>
  <si>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</si>
  <si>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</si>
  <si>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</si>
  <si>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</si>
  <si>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</si>
  <si>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</si>
  <si>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</si>
  <si>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</si>
  <si>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</si>
  <si>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</si>
  <si>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</si>
  <si>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</si>
  <si>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</si>
  <si>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</si>
  <si>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</si>
  <si>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</si>
  <si>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</si>
  <si>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</si>
  <si>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</si>
  <si>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</si>
  <si>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</si>
  <si>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</si>
  <si>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</si>
  <si>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</si>
  <si>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</si>
  <si>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</si>
  <si>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</si>
  <si>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</si>
  <si>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</si>
  <si>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</si>
  <si>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</si>
  <si>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</si>
  <si>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</si>
  <si>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</si>
  <si>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</si>
  <si>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</si>
  <si>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</si>
  <si>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</si>
  <si>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</si>
  <si>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</si>
  <si>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</si>
  <si>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</si>
  <si>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</si>
  <si>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</si>
  <si>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</si>
  <si>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</si>
  <si>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</si>
  <si>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</si>
  <si>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</si>
  <si>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</si>
  <si>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</si>
  <si>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</si>
  <si>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</si>
  <si>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</si>
  <si>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</si>
  <si>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</si>
  <si>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</si>
  <si>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</si>
  <si>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</si>
  <si>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</si>
  <si>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</si>
  <si>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</si>
  <si>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</si>
  <si>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</si>
  <si>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</si>
  <si>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</si>
  <si>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</si>
  <si>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</si>
  <si>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</si>
  <si>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</si>
  <si>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</si>
  <si>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</si>
  <si>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</si>
  <si>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</si>
  <si>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</si>
  <si>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</si>
  <si>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</si>
  <si>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</si>
  <si>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</si>
  <si>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</si>
  <si>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</si>
  <si>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</si>
  <si>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</si>
  <si>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</si>
  <si>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</si>
  <si>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</si>
  <si>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</si>
  <si>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</si>
  <si>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</si>
  <si>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</si>
  <si>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</si>
  <si>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</si>
  <si>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</si>
  <si>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</si>
  <si>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</si>
  <si>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</si>
  <si>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</si>
  <si>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</si>
  <si>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</si>
  <si>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</si>
  <si>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</si>
  <si>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</si>
  <si>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</si>
  <si>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</si>
  <si>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</si>
  <si>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</si>
  <si>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</si>
  <si>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</si>
  <si>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</si>
  <si>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</si>
  <si>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</si>
  <si>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</si>
  <si>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</si>
  <si>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</si>
  <si>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</si>
  <si>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</si>
  <si>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</si>
  <si>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</si>
  <si>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</si>
  <si>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</si>
  <si>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</si>
  <si>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</si>
  <si>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</si>
  <si>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</si>
  <si>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</si>
  <si>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</si>
  <si>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</si>
  <si>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</si>
  <si>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</si>
  <si>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</si>
  <si>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</si>
  <si>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</si>
  <si>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</si>
  <si>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</si>
  <si>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</si>
  <si>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</si>
  <si>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</si>
  <si>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</si>
  <si>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</si>
  <si>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</si>
  <si>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</si>
  <si>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</si>
  <si>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</si>
  <si>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</si>
  <si>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</si>
  <si>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</si>
  <si>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</si>
  <si>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</si>
  <si>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</si>
  <si>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</si>
  <si>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</si>
  <si>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</si>
  <si>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</si>
  <si>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</si>
  <si>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</si>
  <si>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</si>
  <si>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</si>
  <si>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</si>
  <si>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</si>
  <si>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</si>
  <si>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</si>
  <si>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</si>
  <si>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</si>
  <si>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</si>
  <si>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</si>
  <si>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</si>
  <si>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</si>
  <si>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</si>
  <si>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</si>
  <si>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</si>
  <si>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</si>
  <si>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</si>
  <si>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</si>
  <si>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</si>
  <si>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</si>
  <si>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</si>
  <si>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</si>
  <si>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</si>
  <si>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</si>
  <si>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</si>
  <si>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</si>
  <si>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</si>
  <si>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</si>
  <si>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</si>
  <si>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</si>
  <si>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</si>
  <si>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</si>
  <si>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</si>
  <si>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</si>
  <si>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</si>
  <si>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</si>
  <si>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</si>
  <si>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</si>
  <si>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</si>
  <si>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</si>
  <si>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</si>
  <si>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</si>
  <si>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</si>
  <si>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</si>
  <si>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</si>
  <si>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</si>
  <si>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</si>
  <si>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</si>
  <si>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</si>
  <si>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</si>
  <si>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</si>
  <si>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</si>
  <si>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</si>
  <si>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</si>
  <si>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</si>
  <si>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</si>
  <si>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</si>
  <si>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</si>
  <si>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</si>
  <si>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</si>
  <si>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</si>
  <si>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</si>
  <si>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</si>
  <si>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</si>
  <si>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</si>
  <si>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</si>
  <si>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</si>
  <si>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</si>
  <si>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</si>
  <si>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</si>
  <si>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</si>
  <si>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</si>
  <si>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</si>
  <si>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</si>
  <si>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</si>
  <si>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</si>
  <si>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</si>
  <si>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</si>
  <si>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</si>
  <si>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</si>
  <si>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</si>
  <si>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</si>
  <si>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</si>
  <si>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</si>
  <si>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</si>
  <si>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</si>
  <si>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</si>
  <si>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</si>
  <si>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</si>
  <si>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</si>
  <si>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</si>
  <si>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</si>
  <si>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</si>
  <si>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</si>
  <si>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</si>
  <si>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</si>
  <si>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</si>
  <si>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</si>
  <si>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</si>
  <si>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</si>
  <si>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</si>
  <si>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</si>
  <si>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</si>
  <si>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</si>
  <si>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</si>
  <si>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</si>
  <si>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</si>
  <si>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</si>
  <si>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</si>
  <si>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</si>
  <si>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</si>
  <si>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</si>
  <si>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</si>
  <si>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</si>
  <si>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</si>
  <si>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</si>
  <si>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</si>
  <si>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</si>
  <si>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</si>
  <si>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</si>
  <si>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</si>
  <si>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</si>
  <si>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</si>
  <si>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</si>
  <si>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</si>
  <si>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</si>
  <si>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</si>
  <si>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</si>
  <si>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</si>
  <si>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</si>
  <si>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</si>
  <si>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</si>
  <si>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</si>
  <si>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</si>
  <si>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</si>
  <si>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</si>
  <si>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</si>
  <si>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</si>
  <si>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</si>
  <si>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</si>
  <si>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</si>
  <si>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</si>
  <si>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</si>
  <si>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</si>
  <si>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</si>
  <si>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</si>
  <si>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</si>
  <si>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</si>
  <si>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</si>
  <si>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</si>
  <si>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</si>
  <si>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</si>
  <si>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</si>
  <si>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</si>
  <si>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</si>
  <si>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</si>
  <si>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</si>
  <si>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</si>
  <si>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</si>
  <si>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</si>
  <si>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</si>
  <si>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</si>
  <si>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</si>
  <si>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</si>
  <si>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</si>
  <si>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</si>
  <si>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</si>
  <si>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</si>
  <si>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</si>
  <si>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</si>
  <si>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</si>
  <si>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</si>
  <si>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</si>
  <si>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</si>
  <si>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</si>
  <si>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</si>
  <si>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</si>
  <si>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</si>
  <si>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</si>
  <si>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</si>
  <si>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</si>
  <si>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</si>
  <si>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</si>
  <si>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</si>
  <si>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</si>
  <si>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</si>
  <si>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</si>
  <si>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</si>
  <si>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</si>
  <si>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</si>
  <si>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</si>
  <si>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</si>
  <si>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</si>
  <si>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</si>
  <si>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</si>
  <si>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</si>
  <si>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</si>
  <si>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</si>
  <si>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</si>
  <si>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</si>
  <si>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</si>
  <si>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</si>
  <si>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</si>
  <si>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</si>
  <si>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</si>
  <si>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</si>
  <si>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</si>
  <si>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</si>
  <si>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</si>
  <si>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</si>
  <si>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</si>
  <si>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</si>
  <si>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</si>
  <si>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</si>
  <si>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</si>
  <si>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</si>
  <si>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</si>
  <si>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</si>
  <si>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</si>
  <si>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</si>
  <si>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</si>
  <si>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</si>
  <si>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</si>
  <si>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</si>
  <si>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</si>
  <si>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</si>
  <si>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</si>
  <si>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</si>
  <si>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</si>
  <si>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</si>
  <si>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</si>
  <si>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</si>
  <si>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</si>
  <si>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</si>
  <si>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</si>
  <si>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</si>
  <si>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</si>
  <si>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</si>
  <si>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</si>
  <si>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</si>
  <si>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</si>
  <si>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</si>
  <si>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</si>
  <si>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</si>
  <si>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</si>
  <si>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</si>
  <si>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</si>
  <si>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</si>
  <si>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</si>
  <si>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</si>
  <si>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</si>
  <si>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</si>
  <si>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</si>
  <si>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</si>
  <si>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</si>
  <si>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</si>
  <si>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</si>
  <si>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</si>
  <si>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</si>
  <si>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</si>
  <si>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</si>
  <si>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</si>
  <si>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</si>
  <si>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</si>
  <si>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</si>
  <si>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</si>
  <si>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</si>
  <si>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</si>
  <si>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</si>
  <si>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</si>
  <si>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</si>
  <si>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</si>
  <si>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</si>
  <si>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</si>
  <si>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</si>
  <si>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</si>
  <si>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</si>
  <si>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</si>
  <si>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</si>
  <si>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</si>
  <si>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</si>
  <si>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</si>
  <si>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</si>
  <si>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</si>
  <si>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</si>
  <si>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</si>
  <si>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</si>
  <si>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</si>
  <si>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</si>
  <si>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</si>
  <si>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</si>
  <si>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</si>
  <si>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</si>
  <si>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</si>
  <si>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</si>
  <si>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</si>
  <si>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</si>
  <si>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</si>
  <si>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</si>
  <si>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</si>
  <si>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</si>
  <si>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</si>
  <si>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</si>
  <si>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</si>
  <si>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</si>
  <si>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</si>
  <si>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</si>
  <si>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</si>
  <si>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</si>
  <si>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</si>
  <si>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</si>
  <si>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</si>
  <si>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</si>
  <si>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</si>
  <si>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</si>
  <si>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</si>
  <si>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</si>
  <si>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</si>
  <si>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</si>
  <si>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</si>
  <si>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</si>
  <si>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</si>
  <si>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</si>
  <si>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</si>
  <si>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</si>
  <si>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</si>
  <si>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</si>
  <si>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</si>
  <si>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</si>
  <si>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</si>
  <si>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</si>
  <si>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</si>
  <si>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</si>
  <si>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</si>
  <si>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</si>
  <si>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</si>
  <si>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</si>
  <si>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</si>
  <si>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</si>
  <si>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</si>
  <si>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</si>
  <si>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</si>
  <si>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</si>
  <si>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</si>
  <si>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</si>
  <si>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</si>
  <si>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</si>
  <si>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</si>
  <si>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</si>
  <si>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</si>
  <si>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</si>
  <si>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</si>
  <si>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</si>
  <si>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</si>
  <si>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</si>
  <si>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</si>
  <si>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</si>
  <si>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</si>
  <si>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</si>
  <si>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</si>
  <si>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</si>
  <si>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</si>
  <si>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</si>
  <si>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</si>
  <si>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</si>
  <si>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</si>
  <si>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</si>
  <si>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</si>
  <si>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</si>
  <si>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</si>
  <si>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</si>
  <si>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</si>
  <si>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</si>
  <si>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</si>
  <si>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</si>
  <si>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</si>
  <si>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</si>
  <si>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</si>
  <si>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</si>
  <si>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</si>
  <si>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</si>
  <si>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</si>
  <si>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</si>
  <si>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</si>
  <si>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</si>
  <si>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</si>
  <si>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</si>
  <si>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</si>
  <si>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</si>
  <si>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</si>
  <si>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</si>
  <si>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</si>
  <si>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</si>
  <si>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</si>
  <si>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</si>
  <si>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</si>
  <si>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</si>
  <si>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</si>
  <si>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</si>
  <si>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</si>
  <si>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</si>
  <si>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</si>
  <si>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</si>
  <si>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</si>
  <si>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</si>
  <si>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</si>
  <si>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</si>
  <si>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</si>
  <si>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</si>
  <si>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</si>
  <si>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</si>
  <si>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</si>
  <si>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</si>
  <si>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</si>
  <si>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</si>
  <si>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</si>
  <si>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</si>
  <si>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</si>
  <si>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</si>
  <si>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</si>
  <si>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</si>
  <si>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</si>
  <si>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</si>
  <si>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</si>
  <si>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</si>
  <si>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</si>
  <si>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</si>
  <si>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</si>
  <si>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</si>
  <si>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</si>
  <si>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</si>
  <si>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</si>
  <si>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</si>
  <si>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</si>
  <si>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</si>
  <si>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</si>
  <si>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</si>
  <si>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</si>
  <si>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</si>
  <si>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</si>
  <si>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</si>
  <si>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</si>
  <si>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</si>
  <si>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</si>
  <si>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</si>
  <si>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</si>
  <si>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</si>
  <si>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</si>
  <si>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</si>
  <si>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</si>
  <si>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</si>
  <si>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</si>
  <si>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</si>
  <si>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</si>
  <si>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</si>
  <si>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</si>
  <si>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</si>
  <si>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</si>
  <si>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</si>
  <si>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</si>
  <si>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</si>
  <si>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</si>
  <si>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</si>
  <si>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</si>
  <si>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</si>
  <si>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</si>
  <si>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</si>
  <si>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</si>
  <si>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</si>
  <si>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</si>
  <si>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</si>
  <si>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</si>
  <si>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</si>
  <si>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</si>
  <si>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</si>
  <si>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</si>
  <si>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</si>
  <si>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</si>
  <si>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</si>
  <si>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</si>
  <si>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</si>
  <si>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</si>
  <si>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</si>
  <si>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</si>
  <si>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</si>
  <si>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</si>
  <si>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</si>
  <si>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</si>
  <si>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</si>
  <si>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</si>
  <si>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</si>
  <si>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</si>
  <si>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</si>
  <si>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</si>
  <si>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</si>
  <si>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</si>
  <si>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</si>
  <si>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</si>
  <si>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</si>
  <si>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</si>
  <si>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</si>
  <si>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</si>
  <si>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</si>
  <si>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</si>
  <si>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</si>
  <si>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</si>
  <si>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</si>
  <si>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</si>
  <si>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</si>
  <si>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</si>
  <si>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</si>
  <si>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</si>
  <si>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</si>
  <si>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</si>
  <si>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</si>
  <si>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</si>
  <si>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</si>
  <si>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</si>
  <si>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</si>
  <si>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</si>
  <si>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</si>
  <si>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</si>
  <si>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</si>
  <si>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</si>
  <si>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</si>
  <si>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</si>
  <si>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</si>
  <si>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</si>
  <si>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</si>
  <si>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</si>
  <si>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</si>
  <si>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</si>
  <si>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</si>
  <si>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</si>
  <si>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</si>
  <si>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</si>
  <si>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</si>
  <si>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</si>
  <si>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</si>
  <si>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</si>
  <si>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</si>
  <si>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</si>
  <si>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</si>
  <si>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</si>
  <si>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</si>
  <si>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</si>
  <si>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</si>
  <si>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</si>
  <si>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</si>
  <si>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</si>
  <si>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</si>
  <si>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</si>
  <si>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</si>
  <si>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</si>
  <si>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</si>
  <si>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</si>
  <si>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</si>
  <si>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</si>
  <si>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</si>
  <si>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</si>
  <si>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</si>
  <si>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</si>
  <si>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</si>
  <si>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</si>
  <si>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</si>
  <si>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</si>
  <si>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</si>
  <si>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</si>
  <si>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</si>
  <si>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</si>
  <si>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</si>
  <si>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</si>
  <si>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</si>
  <si>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</si>
  <si>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</si>
  <si>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</si>
  <si>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</si>
  <si>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</si>
  <si>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</si>
  <si>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</si>
  <si>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</si>
  <si>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</si>
  <si>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</si>
  <si>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</si>
  <si>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</si>
  <si>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</si>
  <si>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</si>
  <si>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</si>
  <si>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</si>
  <si>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</si>
  <si>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</si>
  <si>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</si>
  <si>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</si>
  <si>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</si>
  <si>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</si>
  <si>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</si>
  <si>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</si>
  <si>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</si>
  <si>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</si>
  <si>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</si>
  <si>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</si>
  <si>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</si>
  <si>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</si>
  <si>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</si>
  <si>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</si>
  <si>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</si>
  <si>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</si>
  <si>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</si>
  <si>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</si>
  <si>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</si>
  <si>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</si>
  <si>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</si>
  <si>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</si>
  <si>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</si>
  <si>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</si>
  <si>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</si>
  <si>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</si>
  <si>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</si>
  <si>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</si>
  <si>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</si>
  <si>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</si>
  <si>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</si>
  <si>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</si>
  <si>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</si>
  <si>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</si>
  <si>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</si>
  <si>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</si>
  <si>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</si>
  <si>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</si>
  <si>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</si>
  <si>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</si>
  <si>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</si>
  <si>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</si>
  <si>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</si>
  <si>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</si>
  <si>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</si>
  <si>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</si>
  <si>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</si>
  <si>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</si>
  <si>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</si>
  <si>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</si>
  <si>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</si>
  <si>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</si>
  <si>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</si>
  <si>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</si>
  <si>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</si>
  <si>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</si>
  <si>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</si>
  <si>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</si>
  <si>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</si>
  <si>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</si>
  <si>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</si>
  <si>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</si>
  <si>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</si>
  <si>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</si>
  <si>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</si>
  <si>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</si>
  <si>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</si>
  <si>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</si>
  <si>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</si>
  <si>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</si>
  <si>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</si>
  <si>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</si>
  <si>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</si>
  <si>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</si>
  <si>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</si>
  <si>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</si>
  <si>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</si>
  <si>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</si>
  <si>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</si>
  <si>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</si>
  <si>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</si>
  <si>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</si>
  <si>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</si>
  <si>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</si>
  <si>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</si>
  <si>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</si>
  <si>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</si>
  <si>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</si>
  <si>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</si>
  <si>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</si>
  <si>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</si>
  <si>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</si>
  <si>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</si>
  <si>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</si>
  <si>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</si>
  <si>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</si>
  <si>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</si>
  <si>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</si>
  <si>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</si>
  <si>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</si>
  <si>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</si>
  <si>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</si>
  <si>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</si>
  <si>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</si>
  <si>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</si>
  <si>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</si>
  <si>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</si>
  <si>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</si>
  <si>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</si>
  <si>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</si>
  <si>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</si>
  <si>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</si>
  <si>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</si>
  <si>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</si>
  <si>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</si>
  <si>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</si>
  <si>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</si>
  <si>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</si>
  <si>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</si>
  <si>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</si>
  <si>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</si>
  <si>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</si>
  <si>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</si>
  <si>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</si>
  <si>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</si>
  <si>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</si>
  <si>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</si>
  <si>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</si>
  <si>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</si>
  <si>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</si>
  <si>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</si>
  <si>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</si>
  <si>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</si>
  <si>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</si>
  <si>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</si>
  <si>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</si>
  <si>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</si>
  <si>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</si>
  <si>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</si>
  <si>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</si>
  <si>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</si>
  <si>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</si>
  <si>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</si>
  <si>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</si>
  <si>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</si>
  <si>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</si>
  <si>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</si>
  <si>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</si>
  <si>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</si>
  <si>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</si>
  <si>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</si>
  <si>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</si>
  <si>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</si>
  <si>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</si>
  <si>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</si>
  <si>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</si>
  <si>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</si>
  <si>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</si>
  <si>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</si>
  <si>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</si>
  <si>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</si>
  <si>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</si>
  <si>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</si>
  <si>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</si>
  <si>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</si>
  <si>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</si>
  <si>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</si>
  <si>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</si>
  <si>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</si>
  <si>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</si>
  <si>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</si>
  <si>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</si>
  <si>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</si>
  <si>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</si>
  <si>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</si>
  <si>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</si>
  <si>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</si>
  <si>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</si>
  <si>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</si>
  <si>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</si>
  <si>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</si>
  <si>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</si>
  <si>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</si>
  <si>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</si>
  <si>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</si>
  <si>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</si>
  <si>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</si>
  <si>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</si>
  <si>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</si>
  <si>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</si>
  <si>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</si>
  <si>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</si>
  <si>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</si>
  <si>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</si>
  <si>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</si>
  <si>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</si>
  <si>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</si>
  <si>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</si>
  <si>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</si>
  <si>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</si>
  <si>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</si>
  <si>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</si>
  <si>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</si>
  <si>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</si>
  <si>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</si>
  <si>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</si>
  <si>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</si>
  <si>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</si>
  <si>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</si>
  <si>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</si>
  <si>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</si>
  <si>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</si>
  <si>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</si>
  <si>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</si>
  <si>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</si>
  <si>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</si>
  <si>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</si>
  <si>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</si>
  <si>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</si>
  <si>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</si>
  <si>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</si>
  <si>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</si>
  <si>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</si>
  <si>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</si>
  <si>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</si>
  <si>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</si>
  <si>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</si>
  <si>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</si>
  <si>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</si>
  <si>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</si>
  <si>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</si>
  <si>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</si>
  <si>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</si>
  <si>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</si>
  <si>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</si>
  <si>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</si>
  <si>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</si>
  <si>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</si>
  <si>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</si>
  <si>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</si>
  <si>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</si>
  <si>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</si>
  <si>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</si>
  <si>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</si>
  <si>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</si>
  <si>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</si>
  <si>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</si>
  <si>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</si>
  <si>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</si>
  <si>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</si>
  <si>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</si>
  <si>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</si>
  <si>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</si>
  <si>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</si>
  <si>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</si>
  <si>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</si>
  <si>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</si>
  <si>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</si>
  <si>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</si>
  <si>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</si>
  <si>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</si>
  <si>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</si>
  <si>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</si>
  <si>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</si>
  <si>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</si>
  <si>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</si>
  <si>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</si>
  <si>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</si>
  <si>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</si>
  <si>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</si>
  <si>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</si>
  <si>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</si>
  <si>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</si>
  <si>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</si>
  <si>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</si>
  <si>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</si>
  <si>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</si>
  <si>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</si>
  <si>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</si>
  <si>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</si>
  <si>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</si>
  <si>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</si>
  <si>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</si>
  <si>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</si>
  <si>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</si>
  <si>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</si>
  <si>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</si>
  <si>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</si>
  <si>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</si>
  <si>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</si>
  <si>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</si>
  <si>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</si>
  <si>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</si>
  <si>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</si>
  <si>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</si>
  <si>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</si>
  <si>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</si>
  <si>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</si>
  <si>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</si>
  <si>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</si>
  <si>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</si>
  <si>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</si>
  <si>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</si>
  <si>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</si>
  <si>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</si>
  <si>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</si>
  <si>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</si>
  <si>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</si>
  <si>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</si>
  <si>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</si>
  <si>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</si>
  <si>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</si>
  <si>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</si>
  <si>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</si>
  <si>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</si>
  <si>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</si>
  <si>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</si>
  <si>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</si>
  <si>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</si>
  <si>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</si>
  <si>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</si>
  <si>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</si>
  <si>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</si>
  <si>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</si>
  <si>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</si>
  <si>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</si>
  <si>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</si>
  <si>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</si>
  <si>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</si>
  <si>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</si>
  <si>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</si>
  <si>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</si>
  <si>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</si>
  <si>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</si>
  <si>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</si>
  <si>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</si>
  <si>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</si>
  <si>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</si>
  <si>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</si>
  <si>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</si>
  <si>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</si>
  <si>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</si>
  <si>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</si>
  <si>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</si>
  <si>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</si>
  <si>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</si>
  <si>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MoveToMatch: В файл '1C.xlsx' загружен новый отчет 'Договоры'; EOL=37 строк, в прежнем 1407_x000D_
Это изменяемая ЧАСТЬ данных.</t>
  </si>
  <si>
    <t>adapt profile: total = 0,33_x000D_
By steps =  0,00 0,17 0,08 0,00 0,00 0,00 0,05 0,00 0,00 0,00 0,00 0,00 0,00 0,00 0,00 0,00 0,00 0,00 0,00 0,00 0,00 0,00 0,00 0,00 0,00 0,00</t>
  </si>
  <si>
    <t>MoveToMatch: В файл '1C.xlsx' загружен новый отчет 'Договоры'; EOL=37 строк, в прежнем 37_x000D_
Это изменяемая ЧАСТЬ данных.</t>
  </si>
  <si>
    <t>adapt profile: total = 0,16_x000D_
By steps =  0,00 0,09 0,00 0,00 0,00 0,00 0,05 0,00 0,00 0,00 0,00 0,00 0,00 0,00 0,00 0,00 0,00 0,00 0,00 0,00 0,00 0,00 0,00 0,00 0,00 0,00</t>
  </si>
  <si>
    <t>adapt profile: total = 0,14_x000D_
By steps =  0,00 0,05 0,06 0,00 0,00 0,00 0,03 0,00 0,00 0,00 0,00 0,00 0,00 0,00 0,00 0,00 0,00 0,00 0,00 0,00 0,00 0,00 0,00 0,00 0,00 0,00</t>
  </si>
  <si>
    <t>adapt profile: total = 61,33_x000D_
By steps =  0,05 0,09 0,00 0,00 0,00 0,00 0,05 0,00 61,11 0,00 0,00 0,00 0,00 0,00 0,00 0,00 0,00 0,00 0,00 0,00 0,00 0,00 0,00 0,00 0,00 0,00</t>
  </si>
  <si>
    <t>MoveToMatch: В файл '1C.xlsx' загружен новый отчет 'Договоры'; EOL=1407 строк, в прежнем 1407_x000D_
Это ПОЛНЫЙ документ.</t>
  </si>
  <si>
    <t>adapt profile: total = 8,37_x000D_
By steps =  0,89 3,72 0,83 0,00 0,00 0,00 0,51 0,01 1,79 0,01 0,00 0,00 0,01 0,01 0,00 0,00 0,00 0,00 0,00 0,00 0,00 0,00 0,01 0,00 0,00 0,00</t>
  </si>
  <si>
    <t>adapt profile: total = 458,10_x000D_
By steps =  105,37 8,34 0,77 0,00 0,01 0,00 0,64 0,01 105,40 11,38 0,00 86,57 0,01 0,00 0,00 0,01 0,01 0,01 0,00 0,00 0,01 0,01 0,02 0,01 0,00 0,01</t>
  </si>
  <si>
    <t>adapt profile: total = 43,28_x000D_
By steps =  0,92 3,56 0,78 0,00 0,00 0,00 0,44 0,01 1,91 0,00 0,00 0,00 0,00 0,00 0,00 0,00 0,00 0,00 0,00 0,00 0,00 0,00 0,00 0,00 0,00 0,00</t>
  </si>
  <si>
    <t>MoveToMatch: В файл '1C.xlsx' загружен новый отчет 'Договоры'; EOL=15 строк, в прежнем 1407_x000D_
Это изменяемая ЧАСТЬ данных.</t>
  </si>
  <si>
    <t>adapt profile: total = 0,13_x000D_
By steps =  0,02 0,01 0,02 0,00 0,00 0,00 0,02 0,00 0,02 0,00 0,00 0,00 0,00 0,00 0,00 0,00 0,00 0,00 0,00 0,00 0,00 0,00 0,00 0,00 0,00 0,00</t>
  </si>
  <si>
    <t>MoveToMatch: В файл '1C.xlsx' загружен новый отчет 'Платежи'; EOL=48 строк, в прежнем 5839_x000D_
Это изменяемая ЧАСТЬ данных.</t>
  </si>
  <si>
    <t>adapt profile: total = 0,63_x000D_
By steps =  0,09 0,00 0,18 0,02 0,00 0,00 0,00 0,00 0,00 0,00 0,00 0,00 0,00 0,00 0,00 0,00 0,00 0,00 0,00 0,00 0,00 0,00 0,00 0,00 0,00 0,00 0,00 0,00 0,00 0,26 0,00 0,00 0,00 0,00 0,00 0,00 0,00 0,00</t>
  </si>
  <si>
    <t>&lt;! ERROR !&gt; Необходимо загрузить заново 'SF' за 21.09.2013 18:08:00_x000D_
Он устарел относительно 'Платежи' за 23.09.2013</t>
  </si>
  <si>
    <t>MoveToMatch: В файл 'SFDC.xlsx' загружен новый отчет 'SF'; EOL=4910 строк, в прежнем 4910_x000D_
Это ПОЛНЫЙ документ.</t>
  </si>
  <si>
    <t>adapt profile: total = 89,74_x000D_
By steps =  20,42 0,15 23,27 4,22 0,03 0,02 0,05 0,02 0,02 0,05 0,00 0,04 0,01 0,05 0,01 0,03 0,07 0,07 0,06 0,04 0,02 0,05 0,02 0,02 0,03 0,03 0,03 0,01 0,05 32,45 0,02 0,00 0,00 0,00 0,00 0,00 0,00 0,00</t>
  </si>
  <si>
    <t>adapt profile: total = 44,84_x000D_
By steps =  38,19 0,27</t>
  </si>
  <si>
    <t>MoveToMatch: В файл 'SFDC.xlsx' загружен новый отчет 'SFopp'; EOL=3597 строк, в прежнем 3595_x000D_
Это ПОЛНЫЙ документ.</t>
  </si>
  <si>
    <t>MoveToMatch: В файл 'SFDC.xlsx' загружен новый отчет 'SFD'; EOL=1207 строк, в прежнем 1207_x000D_
Это ПОЛНЫЙ документ.</t>
  </si>
  <si>
    <t>adapt profile: total = 9,89_x000D_
By steps =  8,41 0,06</t>
  </si>
  <si>
    <t>adapt profile: total = 14,73_x000D_
By steps =  1,48 6,15 1,20 0,01 0,01 0,00 0,83 0,01 2,61 0,02 0,00 0,00 0,02 0,00 0,01 0,00 0,01 0,00 0,01 0,01 0,01 0,00 0,02 0,01 0,00 0,01</t>
  </si>
  <si>
    <t>&lt; WARNING &gt; Адаптер&gt; ссылка SFopp/4:№(ОАО "ГСПИ") не работает, результат &lt;пусто&gt;</t>
  </si>
  <si>
    <t>ВНИМАНИЕ:WrNewSheet: Ошибка при записи в лист 'ContractUpdate'_x000D_
 из листа 'Платежи' строки=62_x000D_
 в колонке=1 =25 X=4                   _x000D_
 Адаптер=ContrK/26 Fetch =SFD/2:15</t>
  </si>
  <si>
    <t>&lt; WARNING &gt; Адаптер&gt; ссылка SFopp/4:№(ОАО "Ленэнерго") не работает, результат &lt;пусто&gt;</t>
  </si>
  <si>
    <t>ВНИМАНИЕ:WrNewSheet: Ошибка при записи в лист 'ContractUpdate'_x000D_
 из листа 'Платежи' строки=167_x000D_
 в колонке=1 =25 X=1                   _x000D_
 Адаптер=ContrK/26 Fetch =SFD/2:15</t>
  </si>
  <si>
    <t>ВНИМАНИЕ:WrNewSheet: Ошибка при записи в лист 'ContractUpdate'_x000D_
 из листа 'Платежи' строки=192_x000D_
 в колонке=1 =25 X=1                   _x000D_
 Адаптер=ContrK/26 Fetch =SFD/2:15</t>
  </si>
  <si>
    <t>&lt; WARNING &gt; В строке 453Платежей 1С ссылка на Договор №105-06/1с, которого нет в листе Договоров 1С</t>
  </si>
  <si>
    <t>&lt; WARNING &gt; Адаптер&gt; ссылка SFopp/4:№(OOO "Энергопроект-Север") не работает, результат &lt;пусто&gt;</t>
  </si>
  <si>
    <t>&lt; WARNING &gt; В строке 498Платежей 1С ссылка на Договор №105-06/1с, которого нет в листе Договоров 1С</t>
  </si>
  <si>
    <t>&lt; WARNING &gt; В строке 580Платежей 1С ссылка на Договор №105-06/1с, которого нет в листе Договоров 1С</t>
  </si>
  <si>
    <t>&lt; WARNING &gt; В строке 618Платежей 1С ссылка на Договор №105-06/1с, которого нет в листе Договоров 1С</t>
  </si>
  <si>
    <t>&lt; WARNING &gt; В строке 669Платежей 1С ссылка на Договор №105-06/1с, которого нет в листе Договоров 1С</t>
  </si>
  <si>
    <t>&lt; WARNING &gt; В строке 696Платежей 1С ссылка на Договор 2008-2-008, которого нет в листе Договоров 1С</t>
  </si>
  <si>
    <t>&lt; WARNING &gt; В строке 697Платежей 1С ссылка на Договор 2008-2-008, которого нет в листе Договоров 1С</t>
  </si>
  <si>
    <t>&lt; WARNING &gt; В строке 698Платежей 1С ссылка на Договор 2008-2-008, которого нет в листе Договоров 1С</t>
  </si>
  <si>
    <t>&lt; WARNING &gt; В строке 702Платежей 1С ссылка на Договор №105-06/1с, которого нет в листе Договоров 1С</t>
  </si>
  <si>
    <t>&lt; WARNING &gt; В строке 708Платежей 1С ссылка на Договор №105-06/1с, которого нет в листе Договоров 1С</t>
  </si>
  <si>
    <t>&lt; WARNING &gt; В строке 713Платежей 1С ссылка на Договор 2008-2-050, которого нет в листе Договоров 1С</t>
  </si>
  <si>
    <t>&lt; WARNING &gt; В строке 714Платежей 1С ссылка на Договор 1311-07, которого нет в листе Договоров 1С</t>
  </si>
  <si>
    <t>&lt; WARNING &gt; В строке 715Платежей 1С ссылка на Договор 1311-07, которого нет в листе Договоров 1С</t>
  </si>
  <si>
    <t>&lt; WARNING &gt; В строке 739Платежей 1С ссылка на Договор №105-06/1с, которого нет в листе Договоров 1С</t>
  </si>
  <si>
    <t>&lt; WARNING &gt; В строке 814Платежей 1С ссылка на Договор 2008-1-048, которого нет в листе Договоров 1С</t>
  </si>
  <si>
    <t>&lt; WARNING &gt; В строке 815Платежей 1С ссылка на Договор 2008-1-048, которого нет в листе Договоров 1С</t>
  </si>
  <si>
    <t>&lt; WARNING &gt; В строке 816Платежей 1С ссылка на Договор 2008-1-048,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</si>
  <si>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</si>
  <si>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819Платежей 1С ссылка на Договор №105-06/1с, которого нет в листе Договоров 1С</t>
  </si>
  <si>
    <t>&lt; WARNING &gt; В строке 829Платежей 1С ссылка на Договор №105-06/1с, которого нет в листе Договоров 1С</t>
  </si>
  <si>
    <t>&lt; WARNING &gt; В строке 853Платежей 1С ссылка на Договор №105-06/1с, которого нет в листе Договоров 1С</t>
  </si>
  <si>
    <t>&lt; WARNING &gt; В строке 893Платежей 1С ссылка на Договор №105-06/1с,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</si>
  <si>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</si>
  <si>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&lt; WARNING &gt; В строке 962Платежей 1С ссылка на Договор 0107-07/2с, которого нет в листе Договоров 1С</t>
  </si>
  <si>
    <t>&lt; WARNING &gt; В строке 963Платежей 1С ссылка на Договор 0107-07/2с, которого нет в листе Договоров 1С</t>
  </si>
  <si>
    <t>&lt; WARNING &gt; В строке 964Платежей 1С ссылка на Договор 0107-07/2с, которого нет в листе Договоров 1С</t>
  </si>
  <si>
    <t>&lt; WARNING &gt; В строке 1053Платежей 1С ссылка на Договор №105-06/1с, которого нет в листе Договоров 1С</t>
  </si>
  <si>
    <t>&lt; WARNING &gt; Адаптер&gt; ссылка SFacc/3:12(001D000000fuKHF) не работает, результат &lt;пусто&gt;</t>
  </si>
  <si>
    <t>&lt; WARNING &gt; Адаптер&gt; ссылка SFacc/3:6(001D000000fuKHF) не работает, результат &lt;пусто&gt;</t>
  </si>
  <si>
    <t>&lt; WARNING &gt; Адаптер&gt; ссылка SFD/18:2(006D000000NuI5M) не работает, результат &lt;пусто&gt;</t>
  </si>
  <si>
    <t>&lt; WARNING &gt; Адаптер&gt; ссылка SFD/18:15(006D000000NuI5M) не работает, результат &lt;пусто&gt;</t>
  </si>
  <si>
    <t>adapt profile: total = 6,38_x000D_
By steps =  6,02 0,02</t>
  </si>
  <si>
    <t>adapt profile: total = 7,79_x000D_
By steps =  0,72 4,08 0,65 0,00 0,00 0,00 0,42 0,00 1,69 0,01 0,00 0,01 0,01 0,00 0,00 0,01 0,00 0,00 0,00 0,01 0,00 0,01 0,00 0,01 0,00 0,00</t>
  </si>
  <si>
    <t>MoveToMatch: В файл 'SFDC.xlsx' загружен новый отчет 'SFopp'; EOL=3597 строк, в прежнем 3597_x000D_
Это ПОЛНЫЙ документ.</t>
  </si>
  <si>
    <t>MoveToMatch: В файл 'W_TMP.xlsm' загружен новый отчет 'DicAcc'; EOL=3603 строк, в прежнем 1_x000D_
Это ПОЛНЫЙ документ.</t>
  </si>
  <si>
    <t>&lt; WARNING &gt; Адаптер&gt; ссылка SFopp/1:2(0012000000NZhFh) не работает, результат &lt;пусто&gt;</t>
  </si>
  <si>
    <t>ВНИМАНИЕ:WrNewSheet: Ошибка при записи в лист 'NewPayment'_x000D_
 из листа 'Платежи' строки=37_x000D_
 в колонке=8 =ExtPar X=0012000000NZhFh_x000D_
 Адаптер= Fetch =SFopp/1:2</t>
  </si>
  <si>
    <t>ВНИМАНИЕ:WrNewSheet: Ошибка при записи в лист 'NewPayment'_x000D_
 из листа 'Платежи' строки=47_x000D_
 в колонке=8 =ExtPar X=0012000000NZhFh_x000D_
 Адаптер= Fetch =SFopp/1:2</t>
  </si>
  <si>
    <t>MoveToMatch: В файл '1C.xlsx' загружен новый отчет 'Список клиентов 1C'; EOL=2025 строк, в прежнем 2022_x000D_
Это ПОЛНЫЙ документ.</t>
  </si>
  <si>
    <t>Список клиентов 1С на 24.09.13</t>
  </si>
  <si>
    <t>Рассматриваются документы с даты 01.01.07 по дату 24.09.13</t>
  </si>
  <si>
    <t>adapt profile: total = 14,50_x000D_
By steps =  13,98</t>
  </si>
  <si>
    <t>adapt profile: total = 8,18_x000D_
By steps =  7,85 0,01</t>
  </si>
  <si>
    <t>adapt profile: total = 8,05_x000D_
By steps =  0,81 3,82 0,72 0,00 0,00 0,00 0,55 0,00 1,76 0,01 0,00 0,00 0,00 0,00 0,00 0,00 0,00 0,00 0,00 0,00 0,00 0,00 0,00 0,00 0,00 0,00</t>
  </si>
  <si>
    <t>ВНИМАНИЕ:WrNewSheet: Ошибка при записи в лист 'NewPayment'_x000D_
 из листа 'Платежи' строки=67_x000D_
 в колонке=8 =ExtPar X=0012000000NZhFh_x000D_
 Адаптер= Fetch =SFopp/1:2</t>
  </si>
  <si>
    <t>ВНИМАНИЕ:WrNewSheet: Ошибка при записи в лист 'NewPayment'_x000D_
 из листа 'Платежи' строки=88_x000D_
 в колонке=8 =ExtPar X=0012000000NZhFh_x000D_
 Адаптер= Fetch =SFopp/1:2</t>
  </si>
  <si>
    <t>ВНИМАНИЕ:WrNewSheet: Ошибка при записи в лист 'NewPayment'_x000D_
 из листа 'Платежи' строки=93_x000D_
 в колонке=8 =ExtPar X=0012000000NZhFh_x000D_
 Адаптер= Fetch =SFopp/1:2</t>
  </si>
  <si>
    <t>ВНИМАНИЕ:WrNewSheet: Ошибка при записи в лист 'NewPayment'_x000D_
 из листа 'Платежи' строки=105_x000D_
 в колонке=8 =ExtPar X=0012000000NZhFh_x000D_
 Адаптер= Fetch =SFopp/1:2</t>
  </si>
  <si>
    <t>ВНИМАНИЕ:WrNewSheet: Ошибка при записи в лист 'NewPayment'_x000D_
 из листа 'Платежи' строки=108_x000D_
 в колонке=8 =ExtPar X=0012000000NZhFh_x000D_
 Адаптер= Fetch =SFopp/1:2</t>
  </si>
  <si>
    <t>ВНИМАНИЕ:WrNewSheet: Ошибка при записи в лист 'NewPayment'_x000D_
 из листа 'Платежи' строки=119_x000D_
 в колонке=8 =ExtPar X=0012000000NZhFh_x000D_
 Адаптер= Fetch =SFopp/1:2</t>
  </si>
  <si>
    <t>ВНИМАНИЕ:WrNewSheet: Ошибка при записи в лист 'NewPayment'_x000D_
 из листа 'Платежи' строки=121_x000D_
 в колонке=8 =ExtPar X=0012000000NZhFh_x000D_
 Адаптер= Fetch =SFopp/1:2</t>
  </si>
  <si>
    <t>ВНИМАНИЕ:WrNewSheet: Ошибка при записи в лист 'NewPayment'_x000D_
 из листа 'Платежи' строки=122_x000D_
 в колонке=8 =ExtPar X=0012000000NZhFh_x000D_
 Адаптер= Fetch =SFopp/1:2</t>
  </si>
  <si>
    <t>ВНИМАНИЕ:WrNewSheet: Ошибка при записи в лист 'NewPayment'_x000D_
 из листа 'Платежи' строки=142_x000D_
 в колонке=8 =ExtPar X=0012000000NZhFh_x000D_
 Адаптер= Fetch =SFopp/1:2</t>
  </si>
  <si>
    <t>&lt; WARNING &gt; Адаптер&gt; ссылка SFopp/1:2(001D000000exRGc) не работает, результат &lt;пусто&gt;</t>
  </si>
  <si>
    <t>ВНИМАНИЕ:WrNewSheet: Ошибка при записи в лист 'NewPayment'_x000D_
 из листа 'Платежи' строки=168_x000D_
 в колонке=8 =ExtPar X=001D000000exRGc_x000D_
 Адаптер= Fetch =SFopp/1:2</t>
  </si>
  <si>
    <t>ВНИМАНИЕ:WrNewSheet: Ошибка при записи в лист 'NewPayment'_x000D_
 из листа 'Платежи' строки=175_x000D_
 в колонке=8 =ExtPar X=0012000000NZhFh_x000D_
 Адаптер= Fetch =SFopp/1:2</t>
  </si>
  <si>
    <t>ВНИМАНИЕ:WrNewSheet: Ошибка при записи в лист 'NewPayment'_x000D_
 из листа 'Платежи' строки=182_x000D_
 в колонке=8 =ExtPar X=0012000000NZhFh_x000D_
 Адаптер= Fetch =SFopp/1:2</t>
  </si>
  <si>
    <t>WrCSV&gt; в 'Payment.txt' записано 21 строк.</t>
  </si>
  <si>
    <t>MoveToMatch: В файл 'SFDC.xlsx' загружен новый отчет 'SF'; EOL=4924 строк, в прежнем 4910_x000D_
Это ПОЛНЫЙ документ.</t>
  </si>
  <si>
    <t>adapt profile: total = 61,85_x000D_
By steps =  15,66 0,05 14,97 3,90 0,03 0,01 0,02 0,02 0,01 0,01 0,02 0,02 0,02 0,02 0,01 0,02 0,01 0,01 0,01 0,02 0,01 0,01 0,02 0,01 0,01 0,01 0,02 0,02 0,02 24,95 0,00 0,00 0,00 0,00 0,00 0,00 0,00 0,00</t>
  </si>
  <si>
    <t>adapt profile: total = 26,75_x000D_
By steps =  25,21 0,08</t>
  </si>
  <si>
    <t>MoveToMatch: В файл '1C.xlsx' загружен новый отчет 'Платежи'; EOL=12 строк, в прежнем 5849_x000D_
Это изменяемая ЧАСТЬ данных.</t>
  </si>
  <si>
    <t>adapt profile: total = 0,18_x000D_
By steps =  0,03 0,00 0,05 0,00 0,00 0,00 0,00 0,00 0,00 0,00 0,00 0,00 0,00 0,00 0,00 0,00 0,00 0,00 0,00 0,00 0,00 0,00 0,00 0,00 0,00 0,00 0,00 0,00 0,00 0,07 0,00 0,00 0,00 0,00 0,00 0,00 0,00 0,00</t>
  </si>
  <si>
    <t>MoveToMatch: В файл '1C.xlsx' загружен новый отчет 'Договоры'; EOL=10 строк, в прежнем 1408_x000D_
Это изменяемая ЧАСТЬ данных.</t>
  </si>
  <si>
    <t>adapt profile: total = 0,07_x000D_
By steps =  0,01 0,02 0,00 0,00 0,00 0,00 0,01 0,00 0,02 0,00 0,00 0,00 0,00 0,00 0,00 0,00 0,00 0,00 0,00 0,00 0,00 0,00 0,00 0,00 0,00 0,00</t>
  </si>
  <si>
    <t>MoveToMatch: В файл 'SFDC.xlsx' загружен новый отчет 'SF_DicAccSyn'; EOL=51 строк, в прежнем 45_x000D_
Это ПОЛНЫЙ документ.</t>
  </si>
  <si>
    <t>MoveToMatch: В файл 'SFDC.xlsx' загружен новый отчет 'SFacc'; EOL=4841 строк, в прежнем 4767_x000D_
Это ПОЛНЫЙ документ.</t>
  </si>
  <si>
    <t>adapt profile: total = 119,67_x000D_
By steps =  26,66 0,13 41,41 4,38 0,06 0,05 0,05 0,05 0,02 0,02 0,03 0,02 0,04 0,02 0,02 0,02 0,02 0,01 0,01 0,01 0,04 0,00 0,02 0,03 0,03 0,06 0,00 0,02 0,00 37,05 0,01 0,00 0,00 0,00 0,01 0,00 0,00 0,00</t>
  </si>
  <si>
    <t>adapt profile: total = 17,03_x000D_
By steps =  2,22 7,56 0,95 0,03 0,00 0,00 0,97 0,02 3,11 0,01 0,02 0,01 0,00 0,00 0,01 0,00 0,00 0,00 0,02 0,02 0,00 0,00 0,00 0,00 0,00 0,00</t>
  </si>
  <si>
    <t>adapt profile: total = 18,81_x000D_
By steps =  16,34</t>
  </si>
  <si>
    <t>adapt profile: total = 14,70_x000D_
By steps =  12,64 0,08</t>
  </si>
  <si>
    <t>adapt profile: total = 16,00_x000D_
By steps =  1,98 6,52 1,18 0,00 0,00 0,01 0,95 0,02 2,88 0,02 0,00 0,00 0,00 0,01 0,00 0,01 0,00 0,01 0,00 0,01 0,01 0,01 0,00 0,00 0,01 0,00</t>
  </si>
  <si>
    <t>MoveToMatch: В файл 'SFDC.xlsx' загружен новый отчет 'SFopp'; EOL=3602 строк, в прежнем 3597_x000D_
Это ПОЛНЫЙ документ.</t>
  </si>
  <si>
    <t>MoveToMatch: В файл 'SFDC.xlsx' загружен новый отчет 'SF'; EOL=4925 строк, в прежнем 4924_x000D_
Это ПОЛНЫЙ документ.</t>
  </si>
  <si>
    <t>adapt profile: total = 119,14_x000D_
By steps =  26,90 0,10 41,14 4,38 0,04 0,04 0,01 0,02 0,03 0,04 0,04 0,02 0,01 0,03 0,00 0,02 0,03 0,01 0,02 0,05 0,02 0,02 0,03 0,02 0,02 0,01 0,04 0,02 0,02 36,64 0,01 0,00 0,00 0,00 0,00 0,00 0,01 0,00</t>
  </si>
  <si>
    <t>adapt profile: total = 73,02_x000D_
By steps =  65,64 0,30</t>
  </si>
  <si>
    <t>&lt; WARNING &gt; Адаптер&gt; ссылка SFopp/4:№(ЗАО "ВНХК") не работает, результат &lt;пусто&gt;</t>
  </si>
  <si>
    <t>ВНИМАНИЕ:WrNewSheet: Ошибка при записи в лист 'ContractUpdate'_x000D_
 из листа 'Платежи' строки=61_x000D_
 в колонке=1 =25 X=4                   _x000D_
 Адаптер=ContrK/26 Fetch =SFD/2:15</t>
  </si>
  <si>
    <t>ВНИМАНИЕ:WrNewSheet: Ошибка при записи в лист 'ContractUpdate'_x000D_
 из листа 'Платежи' строки=166_x000D_
 в колонке=1 =25 X=1                   _x000D_
 Адаптер=ContrK/26 Fetch =SFD/2:15</t>
  </si>
  <si>
    <t>ВНИМАНИЕ:WrNewSheet: Ошибка при записи в лист 'ContractUpdate'_x000D_
 из листа 'Платежи' строки=190_x000D_
 в колонке=1 =25 X=1                   _x000D_
 Адаптер=ContrK/26 Fetch =SFD/2:15</t>
  </si>
  <si>
    <t>&lt; WARNING &gt; В строке 447Платежей 1С ссылка на Договор №105-06/1с, которого нет в листе Договоров 1С</t>
  </si>
  <si>
    <t>&lt; WARNING &gt; В строке 491Платежей 1С ссылка на Договор №105-06/1с, которого нет в листе Договоров 1С</t>
  </si>
  <si>
    <t>&lt; WARNING &gt; В строке 573Платежей 1С ссылка на Договор №105-06/1с, которого нет в листе Договоров 1С</t>
  </si>
  <si>
    <t>&lt; WARNING &gt; В строке 611Платежей 1С ссылка на Договор №105-06/1с, которого нет в листе Договоров 1С</t>
  </si>
  <si>
    <t>&lt; WARNING &gt; В строке 660Платежей 1С ссылка на Договор №105-06/1с, которого нет в листе Договоров 1С</t>
  </si>
  <si>
    <t>&lt; WARNING &gt; В строке 687Платежей 1С ссылка на Договор 2008-2-008, которого нет в листе Договоров 1С</t>
  </si>
  <si>
    <t>&lt; WARNING &gt; В строке 844Платежей 1С ссылка на Договор №105-06/1с, которого нет в листе Договоров 1С</t>
  </si>
  <si>
    <t>&lt; WARNING &gt; В строке 955Платежей 1С ссылка на Договор 0107-07/2с, которого нет в листе Договоров 1С</t>
  </si>
  <si>
    <t>&lt; WARNING &gt; В строке 1045Платежей 1С ссылка на Договор №105-06/1с, которого нет в листе Договоров 1С</t>
  </si>
  <si>
    <t>&lt; WARNING &gt; Адаптер&gt; ссылка SFacc/3:12(001D000000jjgeu) не работает, результат &lt;пусто&gt;</t>
  </si>
  <si>
    <t>&lt; WARNING &gt; Адаптер&gt; ссылка SFacc/3:6(001D000000jjgeu) не работает, результат &lt;пусто&gt;</t>
  </si>
  <si>
    <t>&lt; WARNING &gt; Адаптер&gt; ссылка SFacc/3:10(001D000000jjgeu) не работает, результат &lt;пусто&gt;</t>
  </si>
  <si>
    <t>&lt; WARNING &gt; Адаптер&gt; ссылка SFD/18:2(006D000000MtXA4) не работает, результат &lt;пусто&gt;</t>
  </si>
  <si>
    <t>&lt; WARNING &gt; Адаптер&gt; ссылка SFD/18:15(006D000000MtXA4) не работает, результат &lt;пусто&gt;</t>
  </si>
  <si>
    <t>WrCSV&gt; в 'Dogovor.txt' записано 3 строк.</t>
  </si>
  <si>
    <t>WrCSV&gt; в 'Payment.txt' записано 8 строк.</t>
  </si>
  <si>
    <t>C:\Users\Pavel_Khrapkin\Documents\Pavel\match\matchDBs\</t>
  </si>
  <si>
    <t>MoveToMatch: В файл 'SFDC.xlsx' загружен новый отчет 'ADSKfrSF'; EOL=2243 строк, в прежнем 2243_x000D_
Это ПОЛНЫЙ документ.</t>
  </si>
  <si>
    <t>MoveToMatch: В файл 'SFDC.xlsx' загружен новый отчет 'SFD'; EOL=1209 строк, в прежнем 1207_x000D_
Это ПОЛНЫЙ документ.</t>
  </si>
  <si>
    <t>adapt profile: total = 8,91_x000D_
By steps =  8,63 0,03</t>
  </si>
  <si>
    <t>adapt profile: total = 7,88_x000D_
By steps =  0,67 4,05 0,71 0,00 0,00 0,01 0,46 0,00 1,62 0,02 0,00 0,01 0,00 0,01 0,00 0,01 0,00 0,00 0,00 0,01 0,00 0,01 0,00 0,01 0,00 0,00</t>
  </si>
  <si>
    <t>MoveToMatch: В файл 'SFDC.xlsx' загружен новый отчет 'SF'; EOL=4926 строк, в прежнем 4925_x000D_
Это ПОЛНЫЙ документ.</t>
  </si>
  <si>
    <t>adapt profile: total = 67,46_x000D_
By steps =  15,83 0,02 14,48 6,86 0,01 0,02 0,01 0,01 0,03 0,01 0,01 0,02 0,01 0,02 0,00 0,00 0,02 0,01 0,02 0,04 0,02 0,01 0,02 0,02 0,02 0,02 0,02 0,01 0,01 28,23 0,00 0,00 0,01 0,00 0,00 0,00 0,00 0,00</t>
  </si>
  <si>
    <t>adapt profile: total = 26,15_x000D_
By steps =  25,00 0,08</t>
  </si>
  <si>
    <t>ВНИМАНИЕ:WrNewSheet: Ошибка при записи в лист 'ContractUpdate'_x000D_
 из листа 'Платежи' строки=60_x000D_
 в колонке=1 =25 X=4                   _x000D_
 Адаптер=ContrK/26 Fetch =SFD/2:15</t>
  </si>
  <si>
    <t>&lt; WARNING &gt; Адаптер&gt; ссылка SFopp/4:№(ФГУП "ЦНИИХМ") не работает, результат &lt;пусто&gt;</t>
  </si>
  <si>
    <t>ВНИМАНИЕ:WrNewSheet: Ошибка при записи в лист 'ContractUpdate'_x000D_
 из листа 'Платежи' строки=165_x000D_
 в колонке=1 =25 X=1                   _x000D_
 Адаптер=ContrK/26 Fetch =SFD/2:15</t>
  </si>
  <si>
    <t>ВНИМАНИЕ:WrNewSheet: Ошибка при записи в лист 'ContractUpdate'_x000D_
 из листа 'Платежи' строки=189_x000D_
 в колонке=1 =25 X=1                   _x000D_
 Адаптер=ContrK/26 Fetch =SFD/2:15</t>
  </si>
  <si>
    <t>&lt; WARNING &gt; В строке 659Платежей 1С ссылка на Договор №105-06/1с, которого нет в листе Договоров 1С</t>
  </si>
  <si>
    <t>&lt; WARNING &gt; В строке 686Платежей 1С ссылка на Договор 2008-2-008, которого нет в листе Договоров 1С</t>
  </si>
  <si>
    <t>&lt; WARNING &gt; В строке 693Платежей 1С ссылка на Договор №105-06/1с, которого нет в листе Договоров 1С</t>
  </si>
  <si>
    <t>&lt; WARNING &gt; В строке 699Платежей 1С ссылка на Договор №105-06/1с, которого нет в листе Договоров 1С</t>
  </si>
  <si>
    <t>&lt; WARNING &gt; В строке 704Платежей 1С ссылка на Договор 2008-2-050, которого нет в листе Договоров 1С</t>
  </si>
  <si>
    <t>&lt; WARNING &gt; В строке 705Платежей 1С ссылка на Договор 1311-07, которого нет в листе Договоров 1С</t>
  </si>
  <si>
    <t>&lt; WARNING &gt; В строке 730Платежей 1С ссылка на Договор №105-06/1с, которого нет в листе Договоров 1С</t>
  </si>
  <si>
    <t>&lt; WARNING &gt; В строке 802Платежей 1С ссылка на Договор №105-06/1с, которого нет в листе Договоров 1С</t>
  </si>
  <si>
    <t>&lt; WARNING &gt; В строке 805Платежей 1С ссылка на Договор 2008-1-048, которого нет в листе Договоров 1С</t>
  </si>
  <si>
    <t>&lt; WARNING &gt; В строке 810Платежей 1С ссылка на Договор №105-06/1с, которого нет в листе Договоров 1С</t>
  </si>
  <si>
    <t>&lt; WARNING &gt; В строке 820Платежей 1С ссылка на Договор №105-06/1с, которого нет в листе Договоров 1С</t>
  </si>
  <si>
    <t>&lt; WARNING &gt; В строке 843Платежей 1С ссылка на Договор №105-06/1с, которого нет в листе Договоров 1С</t>
  </si>
  <si>
    <t>&lt; WARNING &gt; В строке 883Платежей 1С ссылка на Договор №105-06/1с, которого нет в листе Договоров 1С</t>
  </si>
  <si>
    <t>&lt; WARNING &gt; В строке 1044Платежей 1С ссылка на Договор №105-06/1с, которого нет в листе Договоров 1С</t>
  </si>
  <si>
    <t>MoveToMatch: В файл 'SFDC.xlsx' загружен новый отчет 'SFopp'; EOL=3602 строк, в прежнем 3602_x000D_
Это ПОЛНЫЙ документ.</t>
  </si>
  <si>
    <t>MoveToMatch: В файл 'SFDC.xlsx' загружен новый отчет 'SFD'; EOL=1209 строк, в прежнем 1209_x000D_
Это ПОЛНЫЙ документ.</t>
  </si>
  <si>
    <t>adapt profile: total = 8,95_x000D_
By steps =  8,69 0,01</t>
  </si>
  <si>
    <t>adapt profile: total = 7,99_x000D_
By steps =  0,84 3,66 0,78 0,00 0,00 0,00 0,59 0,01 1,82 0,01 0,00 0,01 0,00 0,01 0,00 0,00 0,00 0,00 0,00 0,00 0,01 0,00 0,02 0,00 0,00 0,00</t>
  </si>
  <si>
    <t>&lt; WARNING &gt; Адаптер&gt; ссылка SFopp/1:2(0012000000MXgpF) не работает, результат &lt;пусто&gt;</t>
  </si>
  <si>
    <t>ВНИМАНИЕ:WrNewSheet: Ошибка при записи в лист 'NewPayment'_x000D_
 из листа 'Платежи' строки=34_x000D_
 в колонке=8 =ExtPar X=0012000000MXgpF_x000D_
 Адаптер= Fetch =SFopp/1:2</t>
  </si>
  <si>
    <t>WrCSV&gt; в 'Payment.txt' записано 96 строк.</t>
  </si>
  <si>
    <t>WrCSV&gt; в 'NewOpp.txt' записано 491 строк.</t>
  </si>
  <si>
    <t>WrCSV&gt; в 'ContrUpd.txt' записано 2 строк.</t>
  </si>
  <si>
    <t>MoveToMatch: В файл 'SFDC.xlsx' загружен новый отчет 'SF'; EOL=5016 строк, в прежнем 4926_x000D_
Это ПОЛНЫЙ документ.</t>
  </si>
  <si>
    <t>adapt profile: total = 61,79_x000D_
By steps =  15,92 0,06 14,32 3,56 0,04 0,02 0,02 0,01 0,01 0,01 0,01 0,01 0,02 0,01 0,02 0,02 0,01 0,01 0,01 0,01 0,02 0,01 0,01 0,02 0,01 0,01 0,01 0,01 0,01 25,07 0,01 0,00 0,00 0,00 0,00 0,00 0,00 0,00</t>
  </si>
  <si>
    <t>adapt profile: total = 32,78_x000D_
By steps =  30,59 0,11</t>
  </si>
  <si>
    <t>adapt profile: total = 6,67_x000D_
By steps =  6,24 0,01</t>
  </si>
  <si>
    <t>adapt profile: total = 8,09_x000D_
By steps =  0,82 3,68 0,74 0,01 0,00 0,00 0,56 0,00 1,80 0,01 0,00 0,00 0,00 0,00 0,01 0,01 0,00 0,00 0,00 0,00 0,00 0,01 0,00 0,00 0,00 0,00</t>
  </si>
  <si>
    <t>MoveToMatch: В файл 'SFDC.xlsx' загружен новый отчет 'SFopp'; EOL=3611 строк, в прежнем 3602_x000D_
Это ПОЛНЫЙ документ.</t>
  </si>
  <si>
    <t>ВНИМАНИЕ:WrNewSheet: Ошибка при записи в лист 'ContractUpdate'_x000D_
 из листа 'Платежи' строки=56_x000D_
 в колонке=1 =25 X=4                   _x000D_
 Адаптер=ContrK/26 Fetch =SFD/2:15</t>
  </si>
  <si>
    <t>ВНИМАНИЕ:WrNewSheet: Ошибка при записи в лист 'ContractUpdate'_x000D_
 из листа 'Платежи' строки=152_x000D_
 в колонке=1 =25 X=1                   _x000D_
 Адаптер=ContrK/26 Fetch =SFD/2:15</t>
  </si>
  <si>
    <t>ВНИМАНИЕ:WrNewSheet: Ошибка при записи в лист 'ContractUpdate'_x000D_
 из листа 'Платежи' строки=173_x000D_
 в колонке=1 =25 X=1                   _x000D_
 Адаптер=ContrK/26 Fetch =SFD/2:15</t>
  </si>
  <si>
    <t>&lt; WARNING &gt; В строке 401Платежей 1С ссылка на Договор №105-06/1с, которого нет в листе Договоров 1С</t>
  </si>
  <si>
    <t>&lt; WARNING &gt; В строке 443Платежей 1С ссылка на Договор №105-06/1с, которого нет в листе Договоров 1С</t>
  </si>
  <si>
    <t>&lt; WARNING &gt; В строке 521Платежей 1С ссылка на Договор №105-06/1с, которого нет в листе Договоров 1С</t>
  </si>
  <si>
    <t>&lt; WARNING &gt; В строке 557Платежей 1С ссылка на Договор №105-06/1с, которого нет в листе Договоров 1С</t>
  </si>
  <si>
    <t>&lt; WARNING &gt; В строке 605Платежей 1С ссылка на Договор №105-06/1с, которого нет в листе Договоров 1С</t>
  </si>
  <si>
    <t>&lt; WARNING &gt; В строке 630Платежей 1С ссылка на Договор 2008-2-008, которого нет в листе Договоров 1С</t>
  </si>
  <si>
    <t>&lt; WARNING &gt; В строке 631Платежей 1С ссылка на Договор 2008-2-008, которого нет в листе Договоров 1С</t>
  </si>
  <si>
    <t>&lt; WARNING &gt; В строке 632Платежей 1С ссылка на Договор 2008-2-008, которого нет в листе Договоров 1С</t>
  </si>
  <si>
    <t>&lt; WARNING &gt; В строке 637Платежей 1С ссылка на Договор №105-06/1с, которого нет в листе Договоров 1С</t>
  </si>
  <si>
    <t>&lt; WARNING &gt; В строке 641Платежей 1С ссылка на Договор №105-06/1с, которого нет в листе Договоров 1С</t>
  </si>
  <si>
    <t>&lt; WARNING &gt; В строке 646Платежей 1С ссылка на Договор 2008-2-050, которого нет в листе Договоров 1С</t>
  </si>
  <si>
    <t>&lt; WARNING &gt; В строке 647Платежей 1С ссылка на Договор 1311-07, которого нет в листе Договоров 1С</t>
  </si>
  <si>
    <t>&lt; WARNING &gt; В строке 648Платежей 1С ссылка на Договор 1311-07, которого нет в листе Договоров 1С</t>
  </si>
  <si>
    <t>&lt; WARNING &gt; В строке 670Платежей 1С ссылка на Договор №105-06/1с, которого нет в листе Договоров 1С</t>
  </si>
  <si>
    <t>&lt; WARNING &gt; В строке 736Платежей 1С ссылка на Договор №105-06/1с, которого нет в листе Договоров 1С</t>
  </si>
  <si>
    <t>&lt; WARNING &gt; В строке 739Платежей 1С ссылка на Договор 2008-1-048, которого нет в листе Договоров 1С</t>
  </si>
  <si>
    <t>&lt; WARNING &gt; В строке 740Платежей 1С ссылка на Договор 2008-1-048, которого нет в листе Договоров 1С</t>
  </si>
  <si>
    <t>&lt; WARNING &gt; В строке 741Платежей 1С ссылка на Договор 2008-1-048, которого нет в листе Договоров 1С</t>
  </si>
  <si>
    <t>&lt; WARNING &gt; В строке 742Платежей 1С ссылка на Договор 2008-1-048, которого нет в листе Договоров 1С</t>
  </si>
  <si>
    <t>&lt; WARNING &gt; В строке 744Платежей 1С ссылка на Договор №105-06/1с, которого нет в листе Договоров 1С</t>
  </si>
  <si>
    <t>&lt; WARNING &gt; В строке 752Платежей 1С ссылка на Договор №105-06/1с, которого нет в листе Договоров 1С</t>
  </si>
  <si>
    <t>&lt; WARNING &gt; В строке 775Платежей 1С ссылка на Договор №105-06/1с, которого нет в листе Договоров 1С</t>
  </si>
  <si>
    <t>&lt; WARNING &gt; В строке 814Платежей 1С ссылка на Договор №105-06/1с, которого нет в листе Договоров 1С</t>
  </si>
  <si>
    <t>&lt; WARNING &gt; В строке 876Платежей 1С ссылка на Договор 0107-07/2с, которого нет в листе Договоров 1С</t>
  </si>
  <si>
    <t>&lt; WARNING &gt; В строке 877Платежей 1С ссылка на Договор 0107-07/2с, которого нет в листе Договоров 1С</t>
  </si>
  <si>
    <t>&lt; WARNING &gt; В строке 878Платежей 1С ссылка на Договор 0107-07/2с, которого нет в листе Договоров 1С</t>
  </si>
  <si>
    <t>&lt; WARNING &gt; В строке 879Платежей 1С ссылка на Договор 0107-07/2с, которого нет в листе Договоров 1С</t>
  </si>
  <si>
    <t>&lt; WARNING &gt; В строке 962Платежей 1С ссылка на Договор №105-06/1с, которого нет в листе Договоров 1С</t>
  </si>
  <si>
    <t>WrCSV&gt; в 'Payment.txt' записано 56 строк.</t>
  </si>
  <si>
    <t>WrCSV&gt; в 'NewOpp.txt' записано 442 строк.</t>
  </si>
  <si>
    <t>MoveToMatch: В файл 'SFDC.xlsx' загружен новый отчет 'SF'; EOL=5065 строк, в прежнем 5016_x000D_
Это ПОЛНЫЙ документ.</t>
  </si>
  <si>
    <t>adapt profile: total = 62,30_x000D_
By steps =  16,14 0,04 14,77 3,66 0,03 0,02 0,02 0,01 0,01 0,02 0,01 0,01 0,02 0,02 0,01 0,02 0,02 0,01 0,01 0,02 0,02 0,02 0,01 0,02 0,02 0,01 0,02 0,01 0,01 24,98 0,00 0,00 0,00 0,00 0,00 0,00 0,00 0,00</t>
  </si>
  <si>
    <t>adapt profile: total = 31,66_x000D_
By steps =  29,69 0,11</t>
  </si>
  <si>
    <t>ВНИМАНИЕ:WrNewSheet: Ошибка при записи в лист 'ContractUpdate'_x000D_
 из листа 'Платежи' строки=149_x000D_
 в колонке=1 =25 X=1                   _x000D_
 Адаптер=ContrK/26 Fetch =SFD/2:15</t>
  </si>
  <si>
    <t>ВНИМАНИЕ:WrNewSheet: Ошибка при записи в лист 'ContractUpdate'_x000D_
 из листа 'Платежи' строки=170_x000D_
 в колонке=1 =25 X=1                   _x000D_
 Адаптер=ContrK/26 Fetch =SFD/2:15</t>
  </si>
  <si>
    <t>&lt; WARNING &gt; В строке 383Платежей 1С ссылка на Договор №105-06/1с, которого нет в листе Договоров 1С</t>
  </si>
  <si>
    <t>&lt; WARNING &gt; В строке 423Платежей 1С ссылка на Договор №105-06/1с, которого нет в листе Договоров 1С</t>
  </si>
  <si>
    <t>&lt; WARNING &gt; В строке 499Платежей 1С ссылка на Договор №105-06/1с, которого нет в листе Договоров 1С</t>
  </si>
  <si>
    <t>&lt; WARNING &gt; В строке 532Платежей 1С ссылка на Договор №105-06/1с, которого нет в листе Договоров 1С</t>
  </si>
  <si>
    <t>&lt; WARNING &gt; В строке 579Платежей 1С ссылка на Договор №105-06/1с, которого нет в листе Договоров 1С</t>
  </si>
  <si>
    <t>&lt; WARNING &gt; В строке 603Платежей 1С ссылка на Договор 2008-2-008, которого нет в листе Договоров 1С</t>
  </si>
  <si>
    <t>&lt; WARNING &gt; В строке 604Платежей 1С ссылка на Договор 2008-2-008, которого нет в листе Договоров 1С</t>
  </si>
  <si>
    <t>&lt; WARNING &gt; В строке 605Платежей 1С ссылка на Договор 2008-2-008, которого нет в листе Договоров 1С</t>
  </si>
  <si>
    <t>&lt; WARNING &gt; В строке 614Платежей 1С ссылка на Договор №105-06/1с, которого нет в листе Договоров 1С</t>
  </si>
  <si>
    <t>&lt; WARNING &gt; В строке 619Платежей 1С ссылка на Договор 2008-2-050, которого нет в листе Договоров 1С</t>
  </si>
  <si>
    <t>&lt; WARNING &gt; В строке 620Платежей 1С ссылка на Договор 1311-07, которого нет в листе Договоров 1С</t>
  </si>
  <si>
    <t>&lt; WARNING &gt; В строке 621Платежей 1С ссылка на Договор 1311-07, которого нет в листе Договоров 1С</t>
  </si>
  <si>
    <t>&lt; WARNING &gt; В строке 643Платежей 1С ссылка на Договор №105-06/1с, которого нет в листе Договоров 1С</t>
  </si>
  <si>
    <t>&lt; WARNING &gt; В строке 707Платежей 1С ссылка на Договор №105-06/1с, которого нет в листе Договоров 1С</t>
  </si>
  <si>
    <t>&lt; WARNING &gt; В строке 710Платежей 1С ссылка на Договор 2008-1-048, которого нет в листе Договоров 1С</t>
  </si>
  <si>
    <t>&lt; WARNING &gt; В строке 711Платежей 1С ссылка на Договор 2008-1-048, которого нет в листе Договоров 1С</t>
  </si>
  <si>
    <t>&lt; WARNING &gt; В строке 712Платежей 1С ссылка на Договор 2008-1-048, которого нет в листе Договоров 1С</t>
  </si>
  <si>
    <t>&lt; WARNING &gt; В строке 713Платежей 1С ссылка на Договор 2008-1-048, которого нет в листе Договоров 1С</t>
  </si>
  <si>
    <t>&lt; WARNING &gt; В строке 715Платежей 1С ссылка на Договор №105-06/1с, которого нет в листе Договоров 1С</t>
  </si>
  <si>
    <t>&lt; WARNING &gt; В строке 723Платежей 1С ссылка на Договор №105-06/1с, которого нет в листе Договоров 1С</t>
  </si>
  <si>
    <t>&lt; WARNING &gt; В строке 746Платежей 1С ссылка на Договор №105-06/1с, которого нет в листе Договоров 1С</t>
  </si>
  <si>
    <t>&lt; WARNING &gt; В строке 785Платежей 1С ссылка на Договор №105-06/1с, которого нет в листе Договоров 1С</t>
  </si>
  <si>
    <t>&lt; WARNING &gt; В строке 844Платежей 1С ссылка на Договор 0107-07/2с, которого нет в листе Договоров 1С</t>
  </si>
  <si>
    <t>&lt; WARNING &gt; В строке 845Платежей 1С ссылка на Договор 0107-07/2с, которого нет в листе Договоров 1С</t>
  </si>
  <si>
    <t>&lt; WARNING &gt; В строке 846Платежей 1С ссылка на Договор 0107-07/2с, которого нет в листе Договоров 1С</t>
  </si>
  <si>
    <t>&lt; WARNING &gt; В строке 847Платежей 1С ссылка на Договор 0107-07/2с, которого нет в листе Договоров 1С</t>
  </si>
  <si>
    <t>&lt; WARNING &gt; В строке 923Платежей 1С ссылка на Договор №105-06/1с, которого нет в листе Договоров 1С</t>
  </si>
  <si>
    <t>WrCSV&gt; в 'Payment.txt' записано 7 строк.</t>
  </si>
  <si>
    <t>MoveToMatch: В файл '1C.xlsx' загружен новый отчет 'Платежи'; EOL=25 строк, в прежнем 5855_x000D_
Это изменяемая ЧАСТЬ данных.</t>
  </si>
  <si>
    <t>adapt profile: total = 0,31_x000D_
By steps =  0,05 0,00 0,06 0,02 0,00 0,00 0,00 0,00 0,00 0,00 0,00 0,00 0,00 0,00 0,01 0,00 0,00 0,00 0,00 0,00 0,00 0,00 0,00 0,00 0,00 0,00 0,00 0,00 0,00 0,16 0,00 0,00 0,00 0,00 0,00 0,00 0,00 0,00</t>
  </si>
  <si>
    <t>MoveToMatch: В файл '1C.xlsx' загружен новый отчет 'Договоры'; EOL=19 строк, в прежнем 1412_x000D_
Это изменяемая ЧАСТЬ данных.</t>
  </si>
  <si>
    <t>adapt profile: total = 0,11_x000D_
By steps =  0,01 0,06 0,01 0,00 0,00 0,00 0,00 0,00 0,02 0,00 0,00 0,00 0,00 0,00 0,00 0,00 0,00 0,00 0,00 0,00 0,00 0,00 0,00 0,00 0,00 0,00</t>
  </si>
  <si>
    <t>adapt profile: total = 33,70_x000D_
By steps =  31,73 0,17</t>
  </si>
  <si>
    <t>adapt profile: total = 7,59_x000D_
By steps =  7,09 0,02</t>
  </si>
  <si>
    <t>ВНИМАНИЕ:WrNewSheet: Ошибка при записи в лист 'NewContract'_x000D_
 из листа 'Договоры' строки=1276_x000D_
 в колонке=17 =1 (AccStreet)  X=001D000000jhYqa_x000D_
 Адаптер= Fetch =SFacc/3:4/W</t>
  </si>
  <si>
    <t>MoveToMatch: В файл 'SFDC.xlsx' загружен новый отчет 'SFacc'; EOL=4860 строк, в прежнем 4841_x000D_
Это ПОЛНЫЙ документ.</t>
  </si>
  <si>
    <t>adapt profile: total = -86297,55_x000D_
By steps =  20,87 0,05 28,21 5,72 0,03 0,01 0,01 0,01 0,03 0,01 0,01 0,01 0,01 0,01 0,02 0,03 0,01 0,03 0,02 0,02 0,03 0,02 0,01 0,02 0,02 0,01 0,02 0,01 0,01 -86372,23 0,00 0,00 0,00 0,00 0,00 0,01 0,00 0,00</t>
  </si>
  <si>
    <t>adapt profile: total = 10,52_x000D_
By steps =  1,47 4,96 0,87 0,01 0,00 0,00 0,70 0,00 2,10 0,01 0,00 0,00 0,00 0,00 0,00 0,00 0,00 0,00 0,00 0,00 0,00 0,01 0,00 0,00 0,00 0,00</t>
  </si>
  <si>
    <t>adapt profile: total = 14,26_x000D_
By steps =  13,70</t>
  </si>
  <si>
    <t>&lt; WARNING &gt; Адаптер&gt; ссылка SFopp/4:№(ЗАО "ЛОРЕС") не работает, результат &lt;пусто&gt;</t>
  </si>
  <si>
    <t>ВНИМАНИЕ:WrNewSheet: Ошибка при записи в лист 'NewContract'_x000D_
 из листа 'Договоры' строки=1329_x000D_
 в колонке=17 =1 (AccStreet)  X=0012000000X1sph_x000D_
 Адаптер= Fetch =SFacc/3:4/W</t>
  </si>
  <si>
    <t>ВНИМАНИЕ:WrNewSheet: Ошибка при записи в лист 'NewContract'_x000D_
 из листа 'Договоры' строки=1208_x000D_
 в колонке=17 =1 (AccStreet)  X=001D000001BqQDk_x000D_
 Адаптер= Fetch =SFacc/3:4/W</t>
  </si>
  <si>
    <t>WrCSV&gt; в 'Dogovor.txt' записано 2 строк.</t>
  </si>
  <si>
    <t>WrCSV&gt; в 'NewOpp.txt' записано 441 строк.</t>
  </si>
  <si>
    <t>MoveToMatch: В файл 'SFDC.xlsx' загружен новый отчет 'SFacc'; EOL=4860 строк, в прежнем 4860_x000D_
Это ПОЛНЫЙ документ.</t>
  </si>
  <si>
    <t>adapt profile: total = 100,31_x000D_
By steps =  24,92 0,08 31,74 5,10 0,04 0,02 0,01 0,02 0,01 0,01 0,01 0,01 0,01 0,01 0,01 0,01 0,03 0,01 0,01 0,02 0,01 0,02 0,01 0,01 0,02 0,01 0,01 0,01 0,02 35,70 0,01 0,00 0,00 0,00 0,00 0,00 0,00 0,00</t>
  </si>
  <si>
    <t>adapt profile: total = 10,70_x000D_
By steps =  1,47 5,00 0,92 0,00 0,00 0,00 0,70 0,00 2,11 0,01 0,00 0,00 0,00 0,00 0,00 0,00 0,00 0,00 0,00 0,00 0,00 0,00 0,00 0,00 0,00 0,01</t>
  </si>
  <si>
    <t>adapt profile: total = 14,66_x000D_
By steps =  13,98</t>
  </si>
  <si>
    <t>MoveToMatch: В файл 'SFDC.xlsx' загружен новый отчет 'SFopp'; EOL=3612 строк, в прежнем 3611_x000D_
Это ПОЛНЫЙ документ.</t>
  </si>
  <si>
    <t>MoveToMatch: В файл 'SFDC.xlsx' загружен новый отчет 'SFD'; EOL=1210 строк, в прежнем 1209_x000D_
Это ПОЛНЫЙ документ.</t>
  </si>
  <si>
    <t>adapt profile: total = 8,74_x000D_
By steps =  8,29 0,03</t>
  </si>
  <si>
    <t>adapt profile: total = 10,60_x000D_
By steps =  1,47 4,92 0,91 0,00 0,00 0,00 0,71 0,01 2,08 0,01 0,00 0,00 0,00 0,00 0,00 0,00 0,00 0,00 0,00 0,00 0,00 0,00 0,00 0,00 0,00 0,00</t>
  </si>
  <si>
    <t>&lt; WARNING &gt; Адаптер&gt; ссылка SFopp/4:№(ООО "КПА Уникон") не работает, результат &lt;пусто&gt;</t>
  </si>
  <si>
    <t>WrCSV&gt; в 'Payment.txt' записано 17 строк.</t>
  </si>
  <si>
    <t>WrCSV&gt; в 'NewOpp.txt' записано 438 строк.</t>
  </si>
  <si>
    <t>WrCSV&gt; в 'ContrUpd.txt' записано 5 строк.</t>
  </si>
  <si>
    <t>MoveToMatch: В файл 'SFDC.xlsx' загружен новый отчет 'SF'; EOL=5075 строк, в прежнем 5065_x000D_
Это ПОЛНЫЙ документ.</t>
  </si>
  <si>
    <t>adapt profile: total = 81,30_x000D_
By steps =  19,68 0,07 18,35 6,63 0,04 0,02 0,01 0,01 0,02 0,01 0,01 0,02 0,02 0,01 0,01 0,01 0,01 0,02 0,02 0,01 0,01 0,01 0,02 0,01 0,02 0,01 0,01 0,01 0,01 34,43 0,01 0,00 0,00 0,00 0,00 0,00 0,00 0,00</t>
  </si>
  <si>
    <t>adapt profile: total = 35,39_x000D_
By steps =  33,87 0,11</t>
  </si>
  <si>
    <t>MoveToMatch: В файл 'SFDC.xlsx' загружен новый отчет 'SFD'; EOL=1212 строк, в прежнем 1210_x000D_
Это ПОЛНЫЙ документ.</t>
  </si>
  <si>
    <t>adapt profile: total = 7,94_x000D_
By steps =  7,63 0,03</t>
  </si>
  <si>
    <t>adapt profile: total = 8,75_x000D_
By steps =  0,87 4,18 0,81 0,01 0,01 0,01 0,61 0,01 1,88 0,01 0,00 0,00 0,00 0,00 0,00 0,00 0,00 0,00 0,01 0,00 0,00 0,00 0,00 0,00 0,00 0,00</t>
  </si>
  <si>
    <t>MoveToMatch: В файл 'SFDC.xlsx' загружен новый отчет 'SFopp'; EOL=3615 строк, в прежнем 3612_x000D_
Это ПОЛНЫЙ документ.</t>
  </si>
  <si>
    <t>MoveToMatch: В файл '1C.xlsx' загружен новый отчет 'Платежи'; EOL=12 строк, в прежнем 5854_x000D_
Это изменяемая ЧАСТЬ данных.</t>
  </si>
  <si>
    <t>adapt profile: total = 0,56_x000D_
By steps =  0,04 0,00 0,05 0,17 0,00 0,00 0,00 0,00 0,00 0,00 0,00 0,00 0,00 0,00 0,00 0,00 0,00 0,00 0,00 0,00 0,00 0,00 0,00 0,00 0,00 0,00 0,00 0,00 0,00 0,29 0,00 0,00 0,00 0,00 0,00 0,00 0,00 0,00</t>
  </si>
  <si>
    <t>adapt profile: total = 35,86_x000D_
By steps =  34,11 0,10</t>
  </si>
  <si>
    <t>&lt; WARNING &gt; Адаптер&gt; ссылка SFD/2:15(2012-1-169/2012-2-93) не работает, результат &lt;пусто&gt;</t>
  </si>
  <si>
    <t>ВНИМАНИЕ:WrNewSheet: Ошибка при записи в лист 'ContractUpdate'_x000D_
 из листа 'Платежи' строки=8_x000D_
 в колонке=1 =25 (ContractId)  X=2012-2-93           _x000D_
 Адаптер=ContrK/26 Fetch =SFD/2:15</t>
  </si>
  <si>
    <t>&lt; WARNING &gt; Адаптер&gt; ссылка SFD/2:15(2012-1-169/2012-2-109) не работает, результат &lt;пусто&gt;</t>
  </si>
  <si>
    <t>ВНИМАНИЕ:WrNewSheet: Ошибка при записи в лист 'ContractUpdate'_x000D_
 из листа 'Платежи' строки=45_x000D_
 в колонке=1 =25 (ContractId)  X=2012-2-109          _x000D_
 Адаптер=ContrK/26 Fetch =SFD/2:15</t>
  </si>
  <si>
    <t>&lt; WARNING &gt; Адаптер&gt; ссылка SFD/2:15(2012-1-169/2013-1-156) не работает, результат &lt;пусто&gt;</t>
  </si>
  <si>
    <t>ВНИМАНИЕ:WrNewSheet: Ошибка при записи в лист 'ContractUpdate'_x000D_
 из листа 'Платежи' строки=61_x000D_
 в колонке=1 =25 (ContractId)  X=2013-1-156          _x000D_
 Адаптер=ContrK/26 Fetch =SFD/2:15</t>
  </si>
  <si>
    <t>ВНИМАНИЕ:WrNewSheet: Ошибка при записи в лист 'ContractUpdate'_x000D_
 из листа 'Платежи' строки=143_x000D_
 в колонке=1 =25 (ContractId)  X=2012-2-93           _x000D_
 Адаптер=ContrK/26 Fetch =SFD/2:15</t>
  </si>
  <si>
    <t>&lt; WARNING &gt; Адаптер&gt; ссылка SFD/4:15(2012-1-169/2012-1-86) не работает, результат &lt;пусто&gt;</t>
  </si>
  <si>
    <t>ВНИМАНИЕ:WrNewSheet: Ошибка при записи в лист 'NewPayment'_x000D_
 из листа 'Платежи' строки=163_x000D_
 в колонке=7 =25 (ContractId)  X=2012-1-86           _x000D_
 Адаптер=ContrK/26 Fetch =SFD/4:15</t>
  </si>
  <si>
    <t>&lt; WARNING &gt; Адаптер&gt; ссылка SFD/4:15(2012-1-169/) не работает, результат &lt;пусто&gt;</t>
  </si>
  <si>
    <t>ВНИМАНИЕ:WrNewSheet: Ошибка при записи в лист 'NewPayment'_x000D_
 из листа 'Платежи' строки=207_x000D_
 в колонке=7 =25 (ContractId)  X=_x000D_
 Адаптер=ContrK/26 Fetch =SFD/4:15</t>
  </si>
  <si>
    <t>ВНИМАНИЕ:WrNewSheet: Ошибка при записи в лист 'NewPayment'_x000D_
 из листа 'Платежи' строки=208_x000D_
 в колонке=7 =25 (ContractId)  X=_x000D_
 Адаптер=ContrK/26 Fetch =SFD/4:15</t>
  </si>
  <si>
    <t>ВНИМАНИЕ:WrNewSheet: Ошибка при записи в лист 'NewPayment'_x000D_
 из листа 'Платежи' строки=211_x000D_
 в колонке=7 =25 (ContractId)  X=_x000D_
 Адаптер=ContrK/26 Fetch =SFD/4:15</t>
  </si>
  <si>
    <t>&lt; WARNING &gt; Адаптер&gt; ссылка SFopp/4:№(ЗАО "ИННЦ") не работает, результат &lt;пусто&gt;</t>
  </si>
  <si>
    <t>ВНИМАНИЕ:WrNewSheet: Ошибка при записи в лист 'NewPayment'_x000D_
 из листа 'Платежи' строки=222_x000D_
 в колонке=7 =25 (ContractId)  X=_x000D_
 Адаптер=ContrK/26 Fetch =SFD/4:15</t>
  </si>
  <si>
    <t>ВНИМАНИЕ:WrNewSheet: Ошибка при записи в лист 'NewPayment'_x000D_
 из листа 'Платежи' строки=250_x000D_
 в колонке=7 =25 (ContractId)  X=_x000D_
 Адаптер=ContrK/26 Fetch =SFD/4:15</t>
  </si>
  <si>
    <t>ВНИМАНИЕ:WrNewSheet: Ошибка при записи в лист 'NewPayment'_x000D_
 из листа 'Платежи' строки=264_x000D_
 в колонке=7 =25 (ContractId)  X=_x000D_
 Адаптер=ContrK/26 Fetch =SFD/4:15</t>
  </si>
  <si>
    <t>ВНИМАНИЕ:WrNewSheet: Ошибка при записи в лист 'NewPayment'_x000D_
 из листа 'Платежи' строки=290_x000D_
 в колонке=7 =25 (ContractId)  X=_x000D_
 Адаптер=ContrK/26 Fetch =SFD/4:15</t>
  </si>
  <si>
    <t>ВНИМАНИЕ:WrNewSheet: Ошибка при записи в лист 'NewPayment'_x000D_
 из листа 'Платежи' строки=303_x000D_
 в колонке=7 =25 (ContractId)  X=_x000D_
 Адаптер=ContrK/26 Fetch =SFD/4:15</t>
  </si>
  <si>
    <t>ВНИМАНИЕ:WrNewSheet: Ошибка при записи в лист 'NewPayment'_x000D_
 из листа 'Платежи' строки=345_x000D_
 в колонке=7 =25 (ContractId)  X=_x000D_
 Адаптер=ContrK/26 Fetch =SFD/4:15</t>
  </si>
  <si>
    <t>&lt; WARNING &gt; В строке 385Платежей 1С ссылка на Договор №105-06/1с, которого нет в листе Договоров 1С</t>
  </si>
  <si>
    <t>&lt; WARNING &gt; В строке 425Платежей 1С ссылка на Договор №105-06/1с, которого нет в листе Договоров 1С</t>
  </si>
  <si>
    <t>&lt; WARNING &gt; Адаптер&gt; ссылка SFD/4:15(2012-1-169/1) не работает, результат &lt;пусто&gt;</t>
  </si>
  <si>
    <t>ВНИМАНИЕ:WrNewSheet: Ошибка при записи в лист 'NewPayment'_x000D_
 из листа 'Платежи' строки=429_x000D_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</si>
  <si>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строки=470_x000D_
 в колонке=7 =25 (ContractId)  X=_x000D_
 Адаптер=ContrK/26 Fetch =SFD/4:15</t>
  </si>
  <si>
    <t>ВНИМАНИЕ:WrNewSheet: Ошибка при записи в лист 'NewPayment'_x000D_
 из листа 'Платежи' строки=498_x000D_
 в колонке=7 =25 (ContractId)  X=_x000D_
 Адаптер=ContrK/26 Fetch =SFD/4:15</t>
  </si>
  <si>
    <t>&lt; WARNING &gt; В строке 500Платежей 1С ссылка на Договор №105-06/1с, которого нет в листе Договоров 1С</t>
  </si>
  <si>
    <t>&lt; WARNING &gt; В строке 533Платежей 1С ссылка на Договор №105-06/1с, которого нет в листе Договоров 1С</t>
  </si>
  <si>
    <t>ВНИМАНИЕ:WrNewSheet: Ошибка при записи в лист 'NewPayment'_x000D_
 из листа 'Платежи' строки=558_x000D_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</si>
  <si>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строки=559_x000D_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</si>
  <si>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строки=560_x000D_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</si>
  <si>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строки=581_x000D_
 в колонке=7 =25 (ContractId)  X=_x000D_
 Адаптер=ContrK/26 Fetch =SFD/4:15</t>
  </si>
  <si>
    <t>&lt; WARNING &gt; Адаптер&gt; ссылка SFD/4:15(2012-1-169/2012-1-168) не работает, результат &lt;пусто&gt;</t>
  </si>
  <si>
    <t>ВНИМАНИЕ:WrNewSheet: Ошибка при записи в лист 'NewPayment'_x000D_
 из листа 'Платежи' строки=598_x000D_
 в колонке=7 =25 (ContractId)  X=2012-1-168          _x000D_
 Адаптер=ContrK/26 Fetch =SFD/4:15</t>
  </si>
  <si>
    <t>&lt; WARNING &gt; В строке 606Платежей 1С ссылка на Договор 2008-2-008, которого нет в листе Договоров 1С</t>
  </si>
  <si>
    <t>&lt; WARNING &gt; В строке 615Платежей 1С ссылка на Договор №105-06/1с, которого нет в листе Договоров 1С</t>
  </si>
  <si>
    <t>&lt; WARNING &gt; В строке 620Платежей 1С ссылка на Договор 2008-2-050, которого нет в листе Договоров 1С</t>
  </si>
  <si>
    <t>&lt; WARNING &gt; В строке 622Платежей 1С ссылка на Договор 1311-07, которого нет в листе Договоров 1С</t>
  </si>
  <si>
    <t>&lt; WARNING &gt; В строке 644Платежей 1С ссылка на Договор №105-06/1с, которого нет в листе Договоров 1С</t>
  </si>
  <si>
    <t>ВНИМАНИЕ:WrNewSheet: Ошибка при записи в лист 'NewPayment'_x000D_
 из листа 'Платежи' строки=650_x000D_
 в колонке=7 =25 (ContractId)  X=_x000D_
 Адаптер=ContrK/26 Fetch =SFD/4:15</t>
  </si>
  <si>
    <t>&lt; WARNING &gt; Адаптер&gt; ссылка SFopp/4:№(ЗАО "Ленстройпроект") не работает, результат &lt;пусто&gt;</t>
  </si>
  <si>
    <t>ВНИМАНИЕ:WrNewSheet: Ошибка при записи в лист 'NewPayment'_x000D_
 из листа 'Платежи' строки=701_x000D_
 в колонке=7 =25 (ContractId)  X=_x000D_
 Адаптер=ContrK/26 Fetch =SFD/4:15</t>
  </si>
  <si>
    <t>&lt; WARNING &gt; В строке 714Платежей 1С ссылка на Договор 2008-1-048, которого нет в листе Договоров 1С</t>
  </si>
  <si>
    <t>&lt; WARNING &gt; В строке 716Платежей 1С ссылка на Договор №105-06/1с, которого нет в листе Договоров 1С</t>
  </si>
  <si>
    <t>&lt; WARNING &gt; В строке 747Платежей 1С ссылка на Договор №105-06/1с, которого нет в листе Договоров 1С</t>
  </si>
  <si>
    <t>&lt; WARNING &gt; В строке 786Платежей 1С ссылка на Договор №105-06/1с, которого нет в листе Договоров 1С</t>
  </si>
  <si>
    <t>&lt; WARNING &gt; В строке 848Платежей 1С ссылка на Договор 0107-07/2с, которого нет в листе Договоров 1С</t>
  </si>
  <si>
    <t>ВНИМАНИЕ:WrNewSheet: Ошибка при записи в лист 'NewPayment'_x000D_
 из листа 'Платежи' строки=1042_x000D_
 в колонке=7 =25 (ContractId)  X=_x000D_
 Адаптер=ContrK/26 Fetch =SFD/4:15</t>
  </si>
  <si>
    <t>&lt; WARNING &gt; Адаптер&gt; ссылка SFacc/3:6(0012000000UOMMQ) не работает, результат &lt;пусто&gt;</t>
  </si>
  <si>
    <t>ExtPar2</t>
  </si>
  <si>
    <t>ExtPar3</t>
  </si>
  <si>
    <t>WrCSV&gt; в 'NewOpp.txt' записано 423 строк.</t>
  </si>
  <si>
    <t>MoveToMatch: В файл 'SFDC.xlsx' загружен новый отчет 'SFopp'; EOL=3620 строк, в прежнем 3615_x000D_
Это ПОЛНЫЙ документ.</t>
  </si>
  <si>
    <t>WrCSV&gt; в 'Payment.txt' записано 46 строк.</t>
  </si>
  <si>
    <t>WrCSV&gt; в 'NewOpp.txt' записано 399 строк.</t>
  </si>
  <si>
    <t>MoveToMatch: В файл 'SFDC.xlsx' загружен новый отчет 'SF'; EOL=5115 строк, в прежнем 5075_x000D_
Это ПОЛНЫЙ документ.</t>
  </si>
  <si>
    <t>adapt profile: total = 85,88_x000D_
By steps =  22,49 0,07 20,53 3,62 0,04 0,01 0,02 0,01 0,01 0,01 0,01 0,01 0,01 0,01 0,01 0,01 0,01 0,01 0,01 0,01 0,01 0,02 0,02 0,01 0,01 0,02 0,01 0,01 0,02 36,03 0,01 0,00 0,00 0,00 0,00 0,00 0,00 0,00</t>
  </si>
  <si>
    <t>adapt profile: total = 39,20_x000D_
By steps =  37,09 0,14</t>
  </si>
  <si>
    <t>MoveToMatch: В файл 'SFDC.xlsx' загружен новый отчет 'SFopp'; EOL=3628 строк, в прежнем 3620_x000D_
Это ПОЛНЫЙ документ.</t>
  </si>
  <si>
    <t>adapt profile: total = 78,46_x000D_
By steps =  17,00 0,06 16,81 7,11 0,04 0,02 0,01 0,02 0,01 0,01 0,01 0,01 0,01 0,01 0,02 0,01 0,01 0,01 0,02 0,02 0,02 0,02 0,01 0,01 0,02 0,01 0,01 0,01 0,01 34,15 0,01 0,00 0,00 0,00 0,00 0,00 0,00 0,00</t>
  </si>
  <si>
    <t>MoveToMatch: В файл 'SFDC.xlsx' загружен новый отчет 'SF_DicAccSyn'; EOL=62 строк, в прежнем 51_x000D_
Это ПОЛНЫЙ документ.</t>
  </si>
  <si>
    <t>&lt; WARNING &gt; Адаптер&gt; ссылка SFD/4:15(2012-1-169/2010-1-140) не работает, результат &lt;пусто&gt;</t>
  </si>
  <si>
    <t>ВНИМАНИЕ:WrNewSheet: Ошибка при записи в лист 'NewPayment'_x000D_
 из листа 'Платежи' строки=2_x000D_
 в колонке=7 =25 (ContractId)  X=2010-1-140          _x000D_
 Адаптер=ContrK/26 Fetch =SFD/4:15</t>
  </si>
  <si>
    <t>&lt; WARNING &gt; В строке 3Платежей 1С ссылка на Договор 1-077/2008/4 (Заказ № 2), которого нет в листе Договоров 1С</t>
  </si>
  <si>
    <t>ВНИМАНИЕ:WrNewSheet: Ошибка при записи в лист 'NewPayment'_x000D_
 из листа 'Платежи' строки=4_x000D_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</si>
  <si>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строки=5_x000D_
 в колонке=7 =25 (ContractId)  X=2010-1-140          _x000D_
 Адаптер=ContrK/26 Fetch =SFD/4:15</t>
  </si>
  <si>
    <t>ВНИМАНИЕ:WrNewSheet: Ошибка при записи в лист 'NewPayment'_x000D_
 из листа 'Платежи' строки=7_x000D_
 в колонке=7 =25 (ContractId)  X=1                   _x000D_
 Адаптер=ContrK/26 Fetch =SFD/4:15</t>
  </si>
  <si>
    <t>&lt; WARNING &gt; Адаптер&gt; ссылка SFD/4:15(2012-1-169/2010-1-068/1) не работает, результат &lt;пусто&gt;</t>
  </si>
  <si>
    <t>ВНИМАНИЕ:WrNewSheet: Ошибка при записи в лист 'NewPayment'_x000D_
 из листа 'Платежи' строки=9_x000D_
 в колонке=7 =25 (ContractId)  X=2010-1-068/1        _x000D_
 Адаптер=ContrK/26 Fetch =SFD/4:15</t>
  </si>
  <si>
    <t>ВНИМАНИЕ:WrNewSheet: Ошибка при записи в лист 'NewPayment'_x000D_
 из листа 'Платежи' строки=14_x000D_
 в колонке=7 =25 (ContractId)  X=1                   _x000D_
 Адаптер=ContrK/26 Fetch =SFD/4:15</t>
  </si>
  <si>
    <t>&lt; WARNING &gt; Адаптер&gt; ссылка SFD/4:15(2012-1-169/2010-1-068) не работает, результат &lt;пусто&gt;</t>
  </si>
  <si>
    <t>ВНИМАНИЕ:WrNewSheet: Ошибка при записи в лист 'NewPayment'_x000D_
 из листа 'Платежи' строки=17_x000D_
 в колонке=7 =25 (ContractId)  X=2010-1-068          _x000D_
 Адаптер=ContrK/26 Fetch =SFD/4:15</t>
  </si>
  <si>
    <t>&lt; WARNING &gt; Адаптер&gt; ссылка SFD/4:15(2012-1-169/6 (Заказ № 4)) не работает, результат &lt;пусто&gt;</t>
  </si>
  <si>
    <t>ВНИМАНИЕ:WrNewSheet: Ошибка при записи в лист 'NewPayment'_x000D_
 из листа 'Платежи' строки=19_x000D_
 в колонке=7 =25 (ContractId)  X=6 (Заказ № 4)       _x000D_
 Адаптер=ContrK/26 Fetch =SFD/4:15</t>
  </si>
  <si>
    <t>ВНИМАНИЕ:WrNewSheet: Ошибка при записи в лист 'NewPayment'_x000D_
 из листа 'Платежи' строки=20_x000D_
 в колонке=7 =25 (ContractId)  X=6 (Заказ № 4)       _x000D_
 Адаптер=ContrK/26 Fetch =SFD/4:15</t>
  </si>
  <si>
    <t>ВНИМАНИЕ:WrNewSheet: Ошибка при записи в лист 'ContractUpdate'_x000D_
 из листа 'Платежи' строки=21_x000D_
 в колонке=1 =25 (ContractId)  X=2012-2-93           _x000D_
 Адаптер=ContrK/26 Fetch =SFD/2:15</t>
  </si>
  <si>
    <t>ВНИМАНИЕ:WrNewSheet: Ошибка при записи в лист 'ContractUpdate'_x000D_
 из листа 'Платежи' строки=58_x000D_
 в колонке=1 =25 (ContractId)  X=2012-2-109          _x000D_
 Адаптер=ContrK/26 Fetch =SFD/2:15</t>
  </si>
  <si>
    <t>ВНИМАНИЕ:WrNewSheet: Ошибка при записи в лист 'NewPayment'_x000D_
 из листа 'Платежи' строки=61_x000D_
 в колонке=7 =25 (ContractId)  X=1                   _x000D_
 Адаптер=ContrK/26 Fetch =SFD/4:15</t>
  </si>
  <si>
    <t>adapt profile: total = 187,70_x000D_
By steps =  20,51 0,09 19,64 11,55 0,05 0,02 0,01 0,01 0,01 0,02 0,01 0,02 0,01 0,01 0,02 0,01 0,02 0,02 0,01 0,02 0,02 0,01 0,04 0,02 0,03 0,04 0,02 0,02 0,01 133,13 0,02 0,00 0,00 0,00 0,00 0,00 0,00 0,00</t>
  </si>
  <si>
    <t>adapt profile: total = 58,30_x000D_
By steps =  56,28 0,13</t>
  </si>
  <si>
    <t>&lt; WARNING &gt; В строке 358Платежей 1С ссылка на Договор №105-06/1с, которого нет в листе Договоров 1С</t>
  </si>
  <si>
    <t>&lt; WARNING &gt; В строке 395Платежей 1С ссылка на Договор №105-06/1с, которого нет в листе Договоров 1С</t>
  </si>
  <si>
    <t>&lt; WARNING &gt; В строке 468Платежей 1С ссылка на Договор №105-06/1с, которого нет в листе Договоров 1С</t>
  </si>
  <si>
    <t>&lt; WARNING &gt; В строке 501Платежей 1С ссылка на Договор №105-06/1с, которого нет в листе Договоров 1С</t>
  </si>
  <si>
    <t>&lt; WARNING &gt; В строке 547Платежей 1С ссылка на Договор №105-06/1с, которого нет в листе Договоров 1С</t>
  </si>
  <si>
    <t>&lt; WARNING &gt; В строке 570Платежей 1С ссылка на Договор 2008-2-008, которого нет в листе Договоров 1С</t>
  </si>
  <si>
    <t>&lt; WARNING &gt; В строке 571Платежей 1С ссылка на Договор 2008-2-008, которого нет в листе Договоров 1С</t>
  </si>
  <si>
    <t>&lt; WARNING &gt; В строке 572Платежей 1С ссылка на Договор 2008-2-008, которого нет в листе Договоров 1С</t>
  </si>
  <si>
    <t>&lt; WARNING &gt; В строке 577Платежей 1С ссылка на Договор №105-06/1с, которого нет в листе Договоров 1С</t>
  </si>
  <si>
    <t>&lt; WARNING &gt; В строке 581Платежей 1С ссылка на Договор №105-06/1с, которого нет в листе Договоров 1С</t>
  </si>
  <si>
    <t>&lt; WARNING &gt; В строке 586Платежей 1С ссылка на Договор 2008-2-050, которого нет в листе Договоров 1С</t>
  </si>
  <si>
    <t>&lt; WARNING &gt; В строке 587Платежей 1С ссылка на Договор 1311-07, которого нет в листе Договоров 1С</t>
  </si>
  <si>
    <t>&lt; WARNING &gt; В строке 588Платежей 1С ссылка на Договор 1311-07, которого нет в листе Договоров 1С</t>
  </si>
  <si>
    <t>&lt; WARNING &gt; В строке 609Платежей 1С ссылка на Договор №105-06/1с, которого нет в листе Договоров 1С</t>
  </si>
  <si>
    <t>&lt; WARNING &gt; В строке 665Платежей 1С ссылка на Договор №105-06/1с, которого нет в листе Договоров 1С</t>
  </si>
  <si>
    <t>&lt; WARNING &gt; В строке 668Платежей 1С ссылка на Договор 2008-1-048, которого нет в листе Договоров 1С</t>
  </si>
  <si>
    <t>&lt; WARNING &gt; В строке 669Платежей 1С ссылка на Договор 2008-1-048, которого нет в листе Договоров 1С</t>
  </si>
  <si>
    <t>&lt; WARNING &gt; В строке 670Платежей 1С ссылка на Договор 2008-1-048, которого нет в листе Договоров 1С</t>
  </si>
  <si>
    <t>&lt; WARNING &gt; В строке 671Платежей 1С ссылка на Договор 2008-1-048, которого нет в листе Договоров 1С</t>
  </si>
  <si>
    <t>&lt; WARNING &gt; В строке 673Платежей 1С ссылка на Договор №105-06/1с, которого нет в листе Договоров 1С</t>
  </si>
  <si>
    <t>&lt; WARNING &gt; В строке 681Платежей 1С ссылка на Договор №105-06/1с, которого нет в листе Договоров 1С</t>
  </si>
  <si>
    <t>&lt; WARNING &gt; В строке 704Платежей 1С ссылка на Договор №105-06/1с, которого нет в листе Договоров 1С</t>
  </si>
  <si>
    <t>&lt; WARNING &gt; В строке 740Платежей 1С ссылка на Договор №105-06/1с, которого нет в листе Договоров 1С</t>
  </si>
  <si>
    <t>&lt; WARNING &gt; В строке 799Платежей 1С ссылка на Договор 0107-07/2с, которого нет в листе Договоров 1С</t>
  </si>
  <si>
    <t>&lt; WARNING &gt; В строке 800Платежей 1С ссылка на Договор 0107-07/2с, которого нет в листе Договоров 1С</t>
  </si>
  <si>
    <t>&lt; WARNING &gt; В строке 801Платежей 1С ссылка на Договор 0107-07/2с, которого нет в листе Договоров 1С</t>
  </si>
  <si>
    <t>&lt; WARNING &gt; В строке 802Платежей 1С ссылка на Договор 0107-07/2с, которого нет в листе Договоров 1С</t>
  </si>
  <si>
    <t>&lt; WARNING &gt; В строке 877Платежей 1С ссылка на Договор №105-06/1с, которого нет в листе Договоров 1С</t>
  </si>
  <si>
    <t>WrCSV&gt; в 'Payment.txt' записано 58 строк.</t>
  </si>
  <si>
    <t>WrCSV&gt; в 'NewOpp.txt' записано 349 строк.</t>
  </si>
  <si>
    <t>MoveToMatch: В файл 'SFDC.xlsx' загружен новый отчет 'SFopp'; EOL=3636 строк, в прежнем 3628_x000D_
Это ПОЛНЫЙ документ.</t>
  </si>
  <si>
    <t>WrCSV&gt; в 'Payment.txt' записано 78 строк.</t>
  </si>
  <si>
    <t>WrCSV&gt; в 'NewOpp.txt' записано 329 строк.</t>
  </si>
  <si>
    <t>MoveToMatch: В файл 'SFDC.xlsx' загружен новый отчет 'SFopp'; EOL=3650 строк, в прежнем 3636_x000D_
Это ПОЛНЫЙ документ.</t>
  </si>
  <si>
    <t>MoveToMatch: В файл 'SFDC.xlsx' загружен новый отчет 'SF'; EOL=5186 строк, в прежнем 5115_x000D_
Это ПОЛНЫЙ документ.</t>
  </si>
  <si>
    <t>adapt profile: total = 76,58_x000D_
By steps =  17,63 0,05 16,21 5,77 0,02 0,03 0,00 0,02 0,02 0,01 0,02 0,02 0,02 0,00 0,02 0,02 0,01 0,00 0,01 0,02 0,02 0,01 0,01 0,02 0,02 0,04 0,01 0,02 0,01 34,71 0,00 0,00 0,00 0,00 0,01 0,00 0,00 0,00</t>
  </si>
  <si>
    <t>adapt profile: total = 33,39_x000D_
By steps =  32,01 0,11</t>
  </si>
  <si>
    <t>&lt; WARNING &gt; В строке 339Платежей 1С ссылка на Договор №105-06/1с, которого нет в листе Договоров 1С</t>
  </si>
  <si>
    <t>&lt; WARNING &gt; В строке 373Платежей 1С ссылка на Договор №105-06/1с, которого нет в листе Договоров 1С</t>
  </si>
  <si>
    <t>&lt; WARNING &gt; В строке 441Платежей 1С ссылка на Договор №105-06/1с, которого нет в листе Договоров 1С</t>
  </si>
  <si>
    <t>&lt; WARNING &gt; В строке 473Платежей 1С ссылка на Договор №105-06/1с, которого нет в листе Договоров 1С</t>
  </si>
  <si>
    <t>&lt; WARNING &gt; В строке 511Платежей 1С ссылка на Договор №105-06/1с, которого нет в листе Договоров 1С</t>
  </si>
  <si>
    <t>&lt; WARNING &gt; В строке 533Платежей 1С ссылка на Договор 2008-2-008, которого нет в листе Договоров 1С</t>
  </si>
  <si>
    <t>&lt; WARNING &gt; В строке 534Платежей 1С ссылка на Договор 2008-2-008, которого нет в листе Договоров 1С</t>
  </si>
  <si>
    <t>&lt; WARNING &gt; В строке 535Платежей 1С ссылка на Договор 2008-2-008, которого нет в листе Договоров 1С</t>
  </si>
  <si>
    <t>&lt; WARNING &gt; В строке 540Платежей 1С ссылка на Договор №105-06/1с, которого нет в листе Договоров 1С</t>
  </si>
  <si>
    <t>&lt; WARNING &gt; В строке 544Платежей 1С ссылка на Договор №105-06/1с, которого нет в листе Договоров 1С</t>
  </si>
  <si>
    <t>&lt; WARNING &gt; В строке 549Платежей 1С ссылка на Договор 2008-2-050, которого нет в листе Договоров 1С</t>
  </si>
  <si>
    <t>&lt; WARNING &gt; В строке 550Платежей 1С ссылка на Договор 1311-07, которого нет в листе Договоров 1С</t>
  </si>
  <si>
    <t>&lt; WARNING &gt; В строке 551Платежей 1С ссылка на Договор 1311-07, которого нет в листе Договоров 1С</t>
  </si>
  <si>
    <t>&lt; WARNING &gt; В строке 569Платежей 1С ссылка на Договор №105-06/1с, которого нет в листе Договоров 1С</t>
  </si>
  <si>
    <t>&lt; WARNING &gt; В строке 620Платежей 1С ссылка на Договор №105-06/1с, которого нет в листе Договоров 1С</t>
  </si>
  <si>
    <t>&lt; WARNING &gt; В строке 622Платежей 1С ссылка на Договор 2008-1-048, которого нет в листе Договоров 1С</t>
  </si>
  <si>
    <t>&lt; WARNING &gt; В строке 623Платежей 1С ссылка на Договор 2008-1-048, которого нет в листе Договоров 1С</t>
  </si>
  <si>
    <t>&lt; WARNING &gt; В строке 624Платежей 1С ссылка на Договор 2008-1-048, которого нет в листе Договоров 1С</t>
  </si>
  <si>
    <t>&lt; WARNING &gt; В строке 625Платежей 1С ссылка на Договор 2008-1-048, которого нет в листе Договоров 1С</t>
  </si>
  <si>
    <t>&lt; WARNING &gt; В строке 627Платежей 1С ссылка на Договор №105-06/1с, которого нет в листе Договоров 1С</t>
  </si>
  <si>
    <t>&lt; WARNING &gt; В строке 634Платежей 1С ссылка на Договор №105-06/1с, которого нет в листе Договоров 1С</t>
  </si>
  <si>
    <t>&lt; WARNING &gt; В строке 656Платежей 1С ссылка на Договор №105-06/1с, которого нет в листе Договоров 1С</t>
  </si>
  <si>
    <t>&lt; WARNING &gt; В строке 689Платежей 1С ссылка на Договор №105-06/1с, которого нет в листе Договоров 1С</t>
  </si>
  <si>
    <t>&lt; WARNING &gt; В строке 743Платежей 1С ссылка на Договор 0107-07/2с, которого нет в листе Договоров 1С</t>
  </si>
  <si>
    <t>&lt; WARNING &gt; В строке 744Платежей 1С ссылка на Договор 0107-07/2с, которого нет в листе Договоров 1С</t>
  </si>
  <si>
    <t>&lt; WARNING &gt; В строке 745Платежей 1С ссылка на Договор 0107-07/2с, которого нет в листе Договоров 1С</t>
  </si>
  <si>
    <t>&lt; WARNING &gt; В строке 746Платежей 1С ссылка на Договор 0107-07/2с, которого нет в листе Договоров 1С</t>
  </si>
  <si>
    <t>&lt; WARNING &gt; В строке 817Платежей 1С ссылка на Договор №105-06/1с, которого нет в листе Договоров 1С</t>
  </si>
  <si>
    <t>WrCSV&gt; в 'NewOpp.txt' записано 278 строк.</t>
  </si>
  <si>
    <t>MoveToMatch: В файл 'SFDC.xlsx' загружен новый отчет 'SF'; EOL=5235 строк, в прежнем 5186_x000D_
Это ПОЛНЫЙ документ.</t>
  </si>
  <si>
    <t>adapt profile: total = 85,40_x000D_
By steps =  22,67 0,06 20,40 4,20 0,02 0,00 0,01 0,00 0,02 0,02 0,01 0,00 0,00 0,00 0,02 0,02 0,02 0,00 0,02 0,00 0,03 0,00 0,01 0,03 0,02 0,02 0,00 0,02 0,02 35,55 0,00 0,00 0,01 0,00 0,00 0,00 0,01 0,00</t>
  </si>
  <si>
    <t>adapt profile: total = 36,07_x000D_
By steps =  33,91 0,10</t>
  </si>
  <si>
    <t>MoveToMatch: В файл 'SFDC.xlsx' загружен новый отчет 'SFopp'; EOL=3649 строк, в прежнем 3650_x000D_
Это ПОЛНЫЙ документ.</t>
  </si>
  <si>
    <t>&lt; WARNING &gt; В строке 330Платежей 1С ссылка на Договор №105-06/1с, которого нет в листе Договоров 1С</t>
  </si>
  <si>
    <t>&lt; WARNING &gt; В строке 360Платежей 1С ссылка на Договор №105-06/1с, которого нет в листе Договоров 1С</t>
  </si>
  <si>
    <t>&lt; WARNING &gt; В строке 454Платежей 1С ссылка на Договор №105-06/1с, которого нет в листе Договоров 1С</t>
  </si>
  <si>
    <t>&lt; WARNING &gt; В строке 513Платежей 1С ссылка на Договор 2008-2-008, которого нет в листе Договоров 1С</t>
  </si>
  <si>
    <t>&lt; WARNING &gt; В строке 514Платежей 1С ссылка на Договор 2008-2-008, которого нет в листе Договоров 1С</t>
  </si>
  <si>
    <t>&lt; WARNING &gt; В строке 515Платежей 1С ссылка на Договор 2008-2-008, которого нет в листе Договоров 1С</t>
  </si>
  <si>
    <t>&lt; WARNING &gt; В строке 520Платежей 1С ссылка на Договор №105-06/1с, которого нет в листе Договоров 1С</t>
  </si>
  <si>
    <t>&lt; WARNING &gt; В строке 523Платежей 1С ссылка на Договор №105-06/1с, которого нет в листе Договоров 1С</t>
  </si>
  <si>
    <t>&lt; WARNING &gt; В строке 528Платежей 1С ссылка на Договор 2008-2-050, которого нет в листе Договоров 1С</t>
  </si>
  <si>
    <t>&lt; WARNING &gt; В строке 529Платежей 1С ссылка на Договор 1311-07, которого нет в листе Договоров 1С</t>
  </si>
  <si>
    <t>&lt; WARNING &gt; В строке 530Платежей 1С ссылка на Договор 1311-07, которого нет в листе Договоров 1С</t>
  </si>
  <si>
    <t>&lt; WARNING &gt; В строке 597Платежей 1С ссылка на Договор №105-06/1с, которого нет в листе Договоров 1С</t>
  </si>
  <si>
    <t>&lt; WARNING &gt; В строке 599Платежей 1С ссылка на Договор 2008-1-048, которого нет в листе Договоров 1С</t>
  </si>
  <si>
    <t>&lt; WARNING &gt; В строке 600Платежей 1С ссылка на Договор 2008-1-048, которого нет в листе Договоров 1С</t>
  </si>
  <si>
    <t>&lt; WARNING &gt; В строке 601Платежей 1С ссылка на Договор 2008-1-048, которого нет в листе Договоров 1С</t>
  </si>
  <si>
    <t>&lt; WARNING &gt; В строке 602Платежей 1С ссылка на Договор 2008-1-048, которого нет в листе Договоров 1С</t>
  </si>
  <si>
    <t>&lt; WARNING &gt; В строке 604Платежей 1С ссылка на Договор №105-06/1с, которого нет в листе Договоров 1С</t>
  </si>
  <si>
    <t>&lt; WARNING &gt; В строке 632Платежей 1С ссылка на Договор №105-06/1с, которого нет в листе Договоров 1С</t>
  </si>
  <si>
    <t>&lt; WARNING &gt; В строке 662Платежей 1С ссылка на Договор №105-06/1с, которого нет в листе Договоров 1С</t>
  </si>
  <si>
    <t>&lt; WARNING &gt; В строке 710Платежей 1С ссылка на Договор 0107-07/2с, которого нет в листе Договоров 1С</t>
  </si>
  <si>
    <t>&lt; WARNING &gt; В строке 711Платежей 1С ссылка на Договор 0107-07/2с, которого нет в листе Договоров 1С</t>
  </si>
  <si>
    <t>&lt; WARNING &gt; В строке 712Платежей 1С ссылка на Договор 0107-07/2с, которого нет в листе Договоров 1С</t>
  </si>
  <si>
    <t>&lt; WARNING &gt; В строке 713Платежей 1С ссылка на Договор 0107-07/2с, которого нет в листе Договоров 1С</t>
  </si>
  <si>
    <t>&lt; WARNING &gt; В строке 776Платежей 1С ссылка на Договор №105-06/1с, которого нет в листе Договоров 1С</t>
  </si>
  <si>
    <t>ВНИМАНИЕ:&lt;&gt; Процесс HANDL_Payment перед выполнением Шага Paid1C</t>
  </si>
  <si>
    <t>MoveToMatch: В файл 'SFDC.xlsx' загружен новый отчет 'SF_DicAccSyn'; EOL=62 строк, в прежнем 62_x000D_
Это ПОЛНЫЙ документ.</t>
  </si>
  <si>
    <t>MoveToMatch: В файл '1C.xlsx' загружен новый отчет 'Платежи'; EOL=30 строк, в прежнем 5855_x000D_
Это изменяемая ЧАСТЬ данных.</t>
  </si>
  <si>
    <t>adapt profile: total = 0,34_x000D_
By steps =  0,07 0,00 0,08 0,01 0,00 0,00 0,00 0,00 0,00 0,00 0,00 0,00 0,00 0,00 0,00 0,00 0,00 0,00 0,00 0,00 0,00 0,00 0,00 0,00 0,00 0,00 0,00 0,00 0,00 0,16 0,00 0,00 0,00 0,00 0,00 0,00 0,00 0,00</t>
  </si>
  <si>
    <t>MoveToMatch: В файл '1C.xlsx' загружен новый отчет 'Договоры'; EOL=33 строк, в прежнем 1412_x000D_
Это изменяемая ЧАСТЬ данных.</t>
  </si>
  <si>
    <t>adapt profile: total = 0,15_x000D_
By steps =  0,02 0,05 0,01 0,00 0,00 0,00 0,01 0,00 0,04 0,00 0,00 0,00 0,00 0,00 0,00 0,00 0,00 0,00 0,00 0,00 0,00 0,00 0,00 0,00 0,00 0,00</t>
  </si>
  <si>
    <t>&lt; WARNING &gt; Адаптер&gt; ссылка SFacc/3:8/W(001D000000fuDNL) не работает, результат &lt;пусто&gt;</t>
  </si>
  <si>
    <t>ВНИМАНИЕ:WrNewSheet: Ошибка при записи в лист 'NewContract'_x000D_
 из листа 'Договоры' строки=1412_x000D_
 в колонке=21 =1 (AccCountry)  X=001D000000fuDNL_x000D_
 Адаптер= Fetch =SFacc/3:8/W</t>
  </si>
  <si>
    <t>&lt; WARNING &gt; В строке 335Платежей 1С ссылка на Договор №105-06/1с, которого нет в листе Договоров 1С</t>
  </si>
  <si>
    <t>&lt; WARNING &gt; В строке 366Платежей 1С ссылка на Договор №105-06/1с, которого нет в листе Договоров 1С</t>
  </si>
  <si>
    <t>&lt; WARNING &gt; В строке 429Платежей 1С ссылка на Договор №105-06/1с, которого нет в листе Договоров 1С</t>
  </si>
  <si>
    <t>&lt; WARNING &gt; В строке 460Платежей 1С ссылка на Договор №105-06/1с, которого нет в листе Договоров 1С</t>
  </si>
  <si>
    <t>&lt; WARNING &gt; В строке 522Платежей 1С ссылка на Договор 2008-2-008, которого нет в листе Договоров 1С</t>
  </si>
  <si>
    <t>&lt; WARNING &gt; В строке 523Платежей 1С ссылка на Договор 2008-2-008, которого нет в листе Договоров 1С</t>
  </si>
  <si>
    <t>&lt; WARNING &gt; В строке 524Платежей 1С ссылка на Договор 2008-2-008, которого нет в листе Договоров 1С</t>
  </si>
  <si>
    <t>&lt; WARNING &gt; В строке 529Платежей 1С ссылка на Договор №105-06/1с, которого нет в листе Договоров 1С</t>
  </si>
  <si>
    <t>&lt; WARNING &gt; В строке 537Платежей 1С ссылка на Договор 2008-2-050, которого нет в листе Договоров 1С</t>
  </si>
  <si>
    <t>&lt; WARNING &gt; В строке 538Платежей 1С ссылка на Договор 1311-07, которого нет в листе Договоров 1С</t>
  </si>
  <si>
    <t>&lt; WARNING &gt; В строке 539Платежей 1С ссылка на Договор 1311-07, которого нет в листе Договоров 1С</t>
  </si>
  <si>
    <t>&lt; WARNING &gt; В строке 556Платежей 1С ссылка на Договор №105-06/1с, которого нет в листе Договоров 1С</t>
  </si>
  <si>
    <t>&lt; WARNING &gt; В строке 606Платежей 1С ссылка на Договор №105-06/1с, которого нет в листе Договоров 1С</t>
  </si>
  <si>
    <t>&lt; WARNING &gt; В строке 608Платежей 1С ссылка на Договор 2008-1-048, которого нет в листе Договоров 1С</t>
  </si>
  <si>
    <t>&lt; WARNING &gt; В строке 609Платежей 1С ссылка на Договор 2008-1-048, которого нет в листе Договоров 1С</t>
  </si>
  <si>
    <t>&lt; WARNING &gt; В строке 610Платежей 1С ссылка на Договор 2008-1-048, которого нет в листе Договоров 1С</t>
  </si>
  <si>
    <t>&lt; WARNING &gt; В строке 611Платежей 1С ссылка на Договор 2008-1-048, которого нет в листе Договоров 1С</t>
  </si>
  <si>
    <t>&lt; WARNING &gt; В строке 613Платежей 1С ссылка на Договор №105-06/1с, которого нет в листе Договоров 1С</t>
  </si>
  <si>
    <t>&lt; WARNING &gt; В строке 671Платежей 1С ссылка на Договор №105-06/1с, которого нет в листе Договоров 1С</t>
  </si>
  <si>
    <t>&lt; WARNING &gt; В строке 719Платежей 1С ссылка на Договор 0107-07/2с, которого нет в листе Договоров 1С</t>
  </si>
  <si>
    <t>&lt; WARNING &gt; В строке 720Платежей 1С ссылка на Договор 0107-07/2с, которого нет в листе Договоров 1С</t>
  </si>
  <si>
    <t>&lt; WARNING &gt; В строке 721Платежей 1С ссылка на Договор 0107-07/2с, которого нет в листе Договоров 1С</t>
  </si>
  <si>
    <t>&lt; WARNING &gt; В строке 722Платежей 1С ссылка на Договор 0107-07/2с, которого нет в листе Договоров 1С</t>
  </si>
  <si>
    <t>&lt; WARNING &gt; В строке 787Платежей 1С ссылка на Договор №105-06/1с, которого нет в листе Договоров 1С</t>
  </si>
  <si>
    <t>&lt;! ERROR !&gt; Неизвестный тип товара карта системной памяти mutoh/1;</t>
  </si>
  <si>
    <t>WrCSV&gt; в 'Payment.txt' записано 12 строк.</t>
  </si>
  <si>
    <t>WrCSV&gt; в 'NewOpp.txt' записано 115 строк.</t>
  </si>
  <si>
    <t>WrCSV&gt; в 'ContrUpd.txt' записано 4 строк.</t>
  </si>
  <si>
    <t>MoveToMatch: В файл 'SFDC.xlsx' загружен новый отчет 'SF'; EOL=5240 строк, в прежнем 5235_x000D_
Это ПОЛНЫЙ документ.</t>
  </si>
  <si>
    <t>adapt profile: total = 70,58_x000D_
By steps =  18,27 0,05 16,34 4,37 0,03 0,01 0,02 0,01 0,02 0,01 0,01 0,01 0,02 0,01 0,01 0,03 0,01 0,02 0,01 0,01 0,02 0,01 0,01 0,02 0,01 0,01 0,01 0,01 0,01 29,41 0,00 0,00 0,00 0,00 0,00 0,00 0,00 0,00</t>
  </si>
  <si>
    <t>adapt profile: total = 31,91_x000D_
By steps =  30,33 0,11</t>
  </si>
  <si>
    <t>MoveToMatch: В файл 'SFDC.xlsx' загружен новый отчет 'SFopp'; EOL=3758 строк, в прежнем 3649_x000D_
Это ПОЛНЫЙ документ.</t>
  </si>
  <si>
    <t>&lt; WARNING &gt; В строке 333Платежей 1С ссылка на Договор №105-06/1с, которого нет в листе Договоров 1С</t>
  </si>
  <si>
    <t>&lt; WARNING &gt; В строке 363Платежей 1С ссылка на Договор №105-06/1с, которого нет в листе Договоров 1С</t>
  </si>
  <si>
    <t>&lt; WARNING &gt; В строке 426Платежей 1С ссылка на Договор №105-06/1с, которого нет в листе Договоров 1С</t>
  </si>
  <si>
    <t>&lt; WARNING &gt; В строке 457Платежей 1С ссылка на Договор №105-06/1с, которого нет в листе Договоров 1С</t>
  </si>
  <si>
    <t>&lt; WARNING &gt; В строке 494Платежей 1С ссылка на Договор №105-06/1с, которого нет в листе Договоров 1С</t>
  </si>
  <si>
    <t>&lt; WARNING &gt; В строке 518Платежей 1С ссылка на Договор 2008-2-008, которого нет в листе Договоров 1С</t>
  </si>
  <si>
    <t>&lt; WARNING &gt; В строке 519Платежей 1С ссылка на Договор 2008-2-008, которого нет в листе Договоров 1С</t>
  </si>
  <si>
    <t>&lt; WARNING &gt; В строке 520Платежей 1С ссылка на Договор 2008-2-008, которого нет в листе Договоров 1С</t>
  </si>
  <si>
    <t>&lt; WARNING &gt; В строке 525Платежей 1С ссылка на Договор №105-06/1с, которого нет в листе Договоров 1С</t>
  </si>
  <si>
    <t>&lt; WARNING &gt; В строке 528Платежей 1С ссылка на Договор №105-06/1с, которого нет в листе Договоров 1С</t>
  </si>
  <si>
    <t>&lt; WARNING &gt; В строке 533Платежей 1С ссылка на Договор 2008-2-050, которого нет в листе Договоров 1С</t>
  </si>
  <si>
    <t>&lt; WARNING &gt; В строке 534Платежей 1С ссылка на Договор 1311-07, которого нет в листе Договоров 1С</t>
  </si>
  <si>
    <t>&lt; WARNING &gt; В строке 535Платежей 1С ссылка на Договор 1311-07, которого нет в листе Договоров 1С</t>
  </si>
  <si>
    <t>&lt; WARNING &gt; В строке 552Платежей 1С ссылка на Договор №105-06/1с, которого нет в листе Договоров 1С</t>
  </si>
  <si>
    <t>&lt; WARNING &gt; В строке 602Платежей 1С ссылка на Договор №105-06/1с, которого нет в листе Договоров 1С</t>
  </si>
  <si>
    <t>&lt; WARNING &gt; В строке 604Платежей 1С ссылка на Договор 2008-1-048, которого нет в листе Договоров 1С</t>
  </si>
  <si>
    <t>&lt; WARNING &gt; В строке 605Платежей 1С ссылка на Договор 2008-1-048, которого нет в листе Договоров 1С</t>
  </si>
  <si>
    <t>&lt; WARNING &gt; В строке 606Платежей 1С ссылка на Договор 2008-1-048, которого нет в листе Договоров 1С</t>
  </si>
  <si>
    <t>&lt; WARNING &gt; В строке 607Платежей 1С ссылка на Договор 2008-1-048, которого нет в листе Договоров 1С</t>
  </si>
  <si>
    <t>&lt; WARNING &gt; В строке 616Платежей 1С ссылка на Договор №105-06/1с, которого нет в листе Договоров 1С</t>
  </si>
  <si>
    <t>&lt; WARNING &gt; В строке 667Платежей 1С ссылка на Договор №105-06/1с, которого нет в листе Договоров 1С</t>
  </si>
  <si>
    <t>&lt; WARNING &gt; В строке 715Платежей 1С ссылка на Договор 0107-07/2с, которого нет в листе Договоров 1С</t>
  </si>
  <si>
    <t>&lt; WARNING &gt; В строке 716Платежей 1С ссылка на Договор 0107-07/2с, которого нет в листе Договоров 1С</t>
  </si>
  <si>
    <t>&lt; WARNING &gt; В строке 717Платежей 1С ссылка на Договор 0107-07/2с, которого нет в листе Договоров 1С</t>
  </si>
  <si>
    <t>&lt; WARNING &gt; В строке 718Платежей 1С ссылка на Договор 0107-07/2с, которого нет в листе Договоров 1С</t>
  </si>
  <si>
    <t>&lt; WARNING &gt; В строке 782Платежей 1С ссылка на Договор №105-06/1с, которого нет в листе Договоров 1С</t>
  </si>
  <si>
    <t>WrCSV&gt; в 'Payment.txt' записано 275 строк.</t>
  </si>
  <si>
    <t>WrCSV&gt; в 'NewOpp.txt' записано 6 строк.</t>
  </si>
  <si>
    <t>MoveToMatch: В файл 'SFDC.xlsx' загружен новый отчет 'SF'; EOL=5508 строк, в прежнем 5240_x000D_
Это ПОЛНЫЙ документ.</t>
  </si>
  <si>
    <t>adapt profile: total = 82,87_x000D_
By steps =  21,17 0,07 18,92 5,20 0,03 0,02 0,02 0,02 0,01 0,01 0,01 0,01 0,01 0,01 0,02 0,01 0,01 0,01 0,01 0,02 0,01 0,01 0,01 0,01 0,01 0,01 0,01 0,02 0,01 35,16 0,01 0,00 0,00 0,00 0,00 0,00 0,00 0,00</t>
  </si>
  <si>
    <t>adapt profile: total = 38,32_x000D_
By steps =  36,43 0,13</t>
  </si>
  <si>
    <t>&lt; WARNING &gt; Адаптер&gt; ссылка SFacc/3:4/W(1) не работает, результат &lt;пусто&gt;</t>
  </si>
  <si>
    <t>ВНИМАНИЕ:WrNewSheet: Ошибка при записи в лист 'NewContract'_x000D_
 из листа 'Договоры' строки=14_x000D_
 в колонке=17 =1 (AccStreet)  X=1_x000D_
 Адаптер= Fetch =SFacc/3:4/W</t>
  </si>
  <si>
    <t>ВНИМАНИЕ:WrNewSheet: Ошибка при записи в лист 'NewContract'_x000D_
 из листа 'Договоры' строки=26_x000D_
 в колонке=17 =1 (AccStreet)  X=1_x000D_
 Адаптер= Fetch =SFacc/3:4/W</t>
  </si>
  <si>
    <t>ВНИМАНИЕ:WrNewSheet: Ошибка при записи в лист 'NewContract'_x000D_
 из листа 'Договоры' строки=32_x000D_
 в колонке=17 =1 (AccStreet)  X=1_x000D_
 Адаптер= Fetch =SFacc/3:4/W</t>
  </si>
  <si>
    <t>ВНИМАНИЕ:WrNewSheet: Ошибка при записи в лист 'NewContract'_x000D_
 из листа 'Договоры' строки=36_x000D_
 в колонке=17 =1 (AccStreet)  X=1_x000D_
 Адаптер= Fetch =SFacc/3:4/W</t>
  </si>
  <si>
    <t>ВНИМАНИЕ:WrNewSheet: Ошибка при записи в лист 'NewContract'_x000D_
 из листа 'Договоры' строки=50_x000D_
 в колонке=17 =1 (AccStreet)  X=1_x000D_
 Адаптер= Fetch =SFacc/3:4/W</t>
  </si>
  <si>
    <t>ВНИМАНИЕ:WrNewSheet: Ошибка при записи в лист 'NewContract'_x000D_
 из листа 'Договоры' строки=73_x000D_
 в колонке=17 =1 (AccStreet)  X=1_x000D_
 Адаптер= Fetch =SFacc/3:4/W</t>
  </si>
  <si>
    <t>ВНИМАНИЕ:WrNewSheet: Ошибка при записи в лист 'NewContract'_x000D_
 из листа 'Договоры' строки=75_x000D_
 в колонке=17 =1 (AccStreet)  X=1_x000D_
 Адаптер= Fetch =SFacc/3:4/W</t>
  </si>
  <si>
    <t>ВНИМАНИЕ:WrNewSheet: Ошибка при записи в лист 'NewContract'_x000D_
 из листа 'Договоры' строки=77_x000D_
 в колонке=17 =1 (AccStreet)  X=1_x000D_
 Адаптер= Fetch =SFacc/3:4/W</t>
  </si>
  <si>
    <t>ВНИМАНИЕ:WrNewSheet: Ошибка при записи в лист 'NewContract'_x000D_
 из листа 'Договоры' строки=91_x000D_
 в колонке=17 =1 (AccStreet)  X=1_x000D_
 Адаптер= Fetch =SFacc/3:4/W</t>
  </si>
  <si>
    <t>ВНИМАНИЕ:WrNewSheet: Ошибка при записи в лист 'NewContract'_x000D_
 из листа 'Договоры' строки=94_x000D_
 в колонке=17 =1 (AccStreet)  X=1_x000D_
 Адаптер= Fetch =SFacc/3:4/W</t>
  </si>
  <si>
    <t>ВНИМАНИЕ:WrNewSheet: Ошибка при записи в лист 'NewContract'_x000D_
 из листа 'Договоры' строки=97_x000D_
 в колонке=17 =1 (AccStreet)  X=1_x000D_
 Адаптер= Fetch =SFacc/3:4/W</t>
  </si>
  <si>
    <t>ВНИМАНИЕ:WrNewSheet: Ошибка при записи в лист 'NewContract'_x000D_
 из листа 'Договоры' строки=100_x000D_
 в колонке=17 =1 (AccStreet)  X=1_x000D_
 Адаптер= Fetch =SFacc/3:4/W</t>
  </si>
  <si>
    <t>ВНИМАНИЕ:WrNewSheet: Ошибка при записи в лист 'NewContract'_x000D_
 из листа 'Договоры' строки=103_x000D_
 в колонке=17 =1 (AccStreet)  X=1_x000D_
 Адаптер= Fetch =SFacc/3:4/W</t>
  </si>
  <si>
    <t>ВНИМАНИЕ:WrNewSheet: Ошибка при записи в лист 'NewContract'_x000D_
 из листа 'Договоры' строки=105_x000D_
 в колонке=17 =1 (AccStreet)  X=1_x000D_
 Адаптер= Fetch =SFacc/3:4/W</t>
  </si>
  <si>
    <t>ВНИМАНИЕ:WrNewSheet: Ошибка при записи в лист 'NewContract'_x000D_
 из листа 'Договоры' строки=110_x000D_
 в колонке=17 =1 (AccStreet)  X=1_x000D_
 Адаптер= Fetch =SFacc/3:4/W</t>
  </si>
  <si>
    <t>ВНИМАНИЕ:WrNewSheet: Ошибка при записи в лист 'NewContract'_x000D_
 из листа 'Договоры' строки=114_x000D_
 в колонке=17 =1 (AccStreet)  X=1_x000D_
 Адаптер= Fetch =SFacc/3:4/W</t>
  </si>
  <si>
    <t>ВНИМАНИЕ:WrNewSheet: Ошибка при записи в лист 'NewContract'_x000D_
 из листа 'Договоры' строки=123_x000D_
 в колонке=17 =1 (AccStreet)  X=1_x000D_
 Адаптер= Fetch =SFacc/3:4/W</t>
  </si>
  <si>
    <t>ВНИМАНИЕ:WrNewSheet: Ошибка при записи в лист 'NewContract'_x000D_
 из листа 'Договоры' строки=134_x000D_
 в колонке=17 =1 (AccStreet)  X=1_x000D_
 Адаптер= Fetch =SFacc/3:4/W</t>
  </si>
  <si>
    <t>ВНИМАНИЕ:WrNewSheet: Ошибка при записи в лист 'NewContract'_x000D_
 из листа 'Договоры' строки=141_x000D_
 в колонке=17 =1 (AccStreet)  X=1_x000D_
 Адаптер= Fetch =SFacc/3:4/W</t>
  </si>
  <si>
    <t>ВНИМАНИЕ:WrNewSheet: Ошибка при записи в лист 'NewContract'_x000D_
 из листа 'Договоры' строки=150_x000D_
 в колонке=17 =1 (AccStreet)  X=1_x000D_
 Адаптер= Fetch =SFacc/3:4/W</t>
  </si>
  <si>
    <t>ВНИМАНИЕ:WrNewSheet: Ошибка при записи в лист 'NewContract'_x000D_
 из листа 'Договоры' строки=159_x000D_
 в колонке=17 =1 (AccStreet)  X=1_x000D_
 Адаптер= Fetch =SFacc/3:4/W</t>
  </si>
  <si>
    <t>ВНИМАНИЕ:WrNewSheet: Ошибка при записи в лист 'NewContract'_x000D_
 из листа 'Договоры' строки=163_x000D_
 в колонке=17 =1 (AccStreet)  X=1_x000D_
 Адаптер= Fetch =SFacc/3:4/W</t>
  </si>
  <si>
    <t>ВНИМАНИЕ:WrNewSheet: Ошибка при записи в лист 'NewContract'_x000D_
 из листа 'Договоры' строки=168_x000D_
 в колонке=17 =1 (AccStreet)  X=1_x000D_
 Адаптер= Fetch =SFacc/3:4/W</t>
  </si>
  <si>
    <t>ВНИМАНИЕ:WrNewSheet: Ошибка при записи в лист 'NewContract'_x000D_
 из листа 'Договоры' строки=170_x000D_
 в колонке=17 =1 (AccStreet)  X=1_x000D_
 Адаптер= Fetch =SFacc/3:4/W</t>
  </si>
  <si>
    <t>ВНИМАНИЕ:WrNewSheet: Ошибка при записи в лист 'NewContract'_x000D_
 из листа 'Договоры' строки=181_x000D_
 в колонке=17 =1 (AccStreet)  X=1_x000D_
 Адаптер= Fetch =SFacc/3:4/W</t>
  </si>
  <si>
    <t>ВНИМАНИЕ:WrNewSheet: Ошибка при записи в лист 'NewContract'_x000D_
 из листа 'Договоры' строки=223_x000D_
 в колонке=17 =1 (AccStreet)  X=1_x000D_
 Адаптер= Fetch =SFacc/3:4/W</t>
  </si>
  <si>
    <t>adapt profile: total = 9,11_x000D_
By steps =  0,88 4,36 0,75 0,00 0,00 0,00 0,70 0,00 1,96 0,01 0,00 0,00 0,00 0,00 0,00 0,00 0,00 0,00 0,00 0,00 0,00 0,00 0,00 0,00 0,00 0,00</t>
  </si>
  <si>
    <t>MoveToMatch: В файл '1C.xlsx' загружен новый отчет 'Платежи'; EOL=45 строк, в прежнем 5872_x000D_
Это изменяемая ЧАСТЬ данных.</t>
  </si>
  <si>
    <t>adapt profile: total = 7,17_x000D_
By steps =  0,09 0,00 0,00 2,64 0,00 0,00 0,00 0,00 0,00 0,00 0,00 0,00 0,00 0,00 0,00 0,00 0,00 0,00 0,00 0,00 0,00 0,00 0,00 0,00 0,00 0,00 0,00 0,00 0,00 4,42 0,00 0,00 0,00 0,00 0,00 0,00 0,00 0,00</t>
  </si>
  <si>
    <t>MoveToMatch: В файл '1C.xlsx' загружен новый отчет 'Договоры'; EOL=33 строк, в прежнем 1426_x000D_
Это изменяемая ЧАСТЬ данных.</t>
  </si>
  <si>
    <t>adapt profile: total = 0,14_x000D_
By steps =  0,03 0,03 0,00 0,00 0,00 0,00 0,00 0,00 0,08 0,00 0,00 0,00 0,00 0,00 0,00 0,00 0,00 0,00 0,00 0,00 0,00 0,00 0,00 0,00 0,00 0,00</t>
  </si>
  <si>
    <t>MoveToMatch: В файл 'W_TMP.xlsm' загружен новый отчет 'DicAcc'; EOL=556 строк, в прежнем 3603_x000D_
Это ПОЛНЫЙ документ.</t>
  </si>
  <si>
    <t>MoveToMatch: В файл 'SFDC.xlsx' загружен новый отчет 'SF'; EOL=5508 строк, в прежнем 5508_x000D_
Это ПОЛНЫЙ документ.</t>
  </si>
  <si>
    <t>adapt profile: total = 96,77_x000D_
By steps =  15,36 0,06 15,79 17,54 0,05 0,02 0,00 0,03 0,02 0,02 0,03 0,02 0,01 0,02 0,00 0,02 0,05 0,03 0,05 0,01 0,02 0,04 0,02 0,02 0,02 0,02 0,01 0,01 0,02 45,46 0,00 0,00 0,00 0,00 0,01 0,00 0,00 0,00</t>
  </si>
  <si>
    <t>adapt profile: total = 31,74_x000D_
By steps =  30,11 0,13</t>
  </si>
  <si>
    <t>MoveToMatch: В файл 'SFDC.xlsx' загружен новый отчет 'SFD'; EOL=1212 строк, в прежнем 1212_x000D_
Это ПОЛНЫЙ документ.</t>
  </si>
  <si>
    <t>adapt profile: total = 6,91_x000D_
By steps =  6,65 0,01</t>
  </si>
  <si>
    <t>adapt profile: total = 7,55_x000D_
By steps =  0,75 3,43 0,70 0,00 0,00 0,00 0,52 0,02 1,77 0,01 0,00 0,01 0,01 0,00 0,00 0,01 0,01 0,00 0,00 0,00 0,00 0,01 0,00 0,00 0,00 0,00</t>
  </si>
  <si>
    <t>adapt profile: total = 59,85_x000D_
By steps =  13,28 0,08 13,37 5,27 0,05 0,01 0,01 0,00 0,02 0,02 0,02 0,02 0,01 0,01 0,02 0,00 0,01 0,01 0,02 0,01 0,03 0,02 0,02 0,01 0,03 0,05 0,01 0,01 0,01 26,61 0,00 0,00 0,00 0,00 0,00 0,00 0,01 0,00</t>
  </si>
  <si>
    <t>adapt profile: total = 41,22_x000D_
By steps =  39,80 0,09</t>
  </si>
  <si>
    <t>MoveToMatch: В файл '1C.xlsx' загружен новый отчет 'Платежи'; EOL=45 строк, в прежнем 5804_x000D_
Это изменяемая ЧАСТЬ данных.</t>
  </si>
  <si>
    <t>adapt profile: total = 0,45_x000D_
By steps =  0,07 0,00 0,13 0,03 0,00 0,00 0,00 0,00 0,00 0,00 0,00 0,00 0,00 0,00 0,00 0,00 0,00 0,00 0,00 0,00 0,00 0,00 0,00 0,00 0,00 0,00 0,00 0,00 0,00 0,21 0,00 0,00 0,00 0,00 0,00 0,00 0,00 0,00</t>
  </si>
  <si>
    <t>MoveToMatch: В файл '1C.xlsx' загружен новый отчет 'Договоры'; EOL=36 строк, в прежнем 1426_x000D_
Это изменяемая ЧАСТЬ данных.</t>
  </si>
  <si>
    <t>adapt profile: total = 0,13_x000D_
By steps =  0,05 0,02 0,02 0,00 0,00 0,00 0,01 0,00 0,03 0,00 0,00 0,00 0,00 0,00 0,00 0,00 0,00 0,00 0,00 0,00 0,00 0,00 0,00 0,00 0,00 0,00</t>
  </si>
  <si>
    <t>MoveToMatch: В файл '1C.xlsx' загружен новый отчет 'Платежи'; EOL=52 строк, в прежнем 5767_x000D_
Это изменяемая ЧАСТЬ данных.</t>
  </si>
  <si>
    <t>adapt profile: total = 2,56_x000D_
By steps =  0,15 0,00 0,27 0,69 0,01 0,00 0,00 0,00 0,00 0,00 0,00 0,00 0,00 0,00 0,00 0,00 0,00 0,00 0,00 0,00 0,00 0,00 0,00 0,00 0,00 0,00 0,00 0,00 0,00 1,42 0,00 0,00 0,00 0,00 0,00 0,00 0,00 0,00</t>
  </si>
  <si>
    <t>MoveToMatch: В файл '1C.xlsx' загружен новый отчет 'Платежи'; EOL=52 строк, в прежнем 5750_x000D_
Это изменяемая ЧАСТЬ данных.</t>
  </si>
  <si>
    <t>adapt profile: total = 0,48_x000D_
By steps =  0,12 0,00 0,13 0,01 0,00 0,00 0,00 0,00 0,00 0,00 0,00 0,00 0,00 0,00 0,00 0,00 0,00 0,00 0,00 0,00 0,00 0,00 0,00 0,00 0,00 0,00 0,00 0,00 0,00 0,22 0,00 0,00 0,00 0,00 0,00 0,00 0,00 0,00</t>
  </si>
  <si>
    <t>adapt profile: total = 5,84_x000D_
By steps =  5,57 0,02</t>
  </si>
  <si>
    <t>adapt profile: total = 7,51_x000D_
By steps =  0,78 3,40 0,70 0,00 0,01 0,00 0,45 0,02 1,91 0,01 0,00 0,00 0,00 0,01 0,00 0,00 0,00 0,00 0,02 0,01 0,00 0,00 0,01 0,00 0,00 0,00</t>
  </si>
  <si>
    <t>adapt profile: total = 28,24_x000D_
By steps =  26,81 0,07</t>
  </si>
  <si>
    <t>&lt; WARNING &gt; Адаптер&gt; ссылка SFopp/4:№(ОАО "СПМБМ "Малахит") не работает, результат &lt;пусто&gt;</t>
  </si>
  <si>
    <t>&lt; WARNING &gt; Адаптер&gt; ссылка SFopp/4:№(ОАО "ОСК") не работает, результат &lt;пусто&gt;</t>
  </si>
  <si>
    <t>&lt; WARNING &gt; Адаптер&gt; ссылка SFopp/4:№(ЗАО "СЗИК") не работает, результат &lt;пусто&gt;</t>
  </si>
  <si>
    <t>ВНИМАНИЕ:WrNewSheet: Ошибка при записи в лист 'NewContract'_x000D_
 из листа 'Договоры' строки=1413_x000D_
 в колонке=21 =1 (AccCountry)  X=001D000000fuDNL_x000D_
 Адаптер= Fetch =SFacc/3:8/W</t>
  </si>
  <si>
    <t>&lt; WARNING &gt; В строке 185Платежей 1С ссылка на Договор №105-06/1с, которого нет в листе Договоров 1С</t>
  </si>
  <si>
    <t>&lt; WARNING &gt; В строке 208Платежей 1С ссылка на Договор №105-06/1с, которого нет в листе Договоров 1С</t>
  </si>
  <si>
    <t>&lt; WARNING &gt; В строке 255Платежей 1С ссылка на Договор №105-06/1с, которого нет в листе Договоров 1С</t>
  </si>
  <si>
    <t>&lt; WARNING &gt; В строке 279Платежей 1С ссылка на Договор №105-06/1с, которого нет в листе Договоров 1С</t>
  </si>
  <si>
    <t>&lt; WARNING &gt; В строке 299Платежей 1С ссылка на Договор №105-06/1с, которого нет в листе Договоров 1С</t>
  </si>
  <si>
    <t>&lt; WARNING &gt; В строке 314Платежей 1С ссылка на Договор 2008-2-008, которого нет в листе Договоров 1С</t>
  </si>
  <si>
    <t>&lt; WARNING &gt; В строке 315Платежей 1С ссылка на Договор 2008-2-008, которого нет в листе Договоров 1С</t>
  </si>
  <si>
    <t>&lt; WARNING &gt; В строке 316Платежей 1С ссылка на Договор 2008-2-008, которого нет в листе Договоров 1С</t>
  </si>
  <si>
    <t>&lt; WARNING &gt; В строке 317Платежей 1С ссылка на Договор №105-06/1с, которого нет в листе Договоров 1С</t>
  </si>
  <si>
    <t>&lt; WARNING &gt; В строке 318Платежей 1С ссылка на Договор №105-06/1с, которого нет в листе Договоров 1С</t>
  </si>
  <si>
    <t>&lt; WARNING &gt; В строке 322Платежей 1С ссылка на Договор 2008-2-050, которого нет в листе Договоров 1С</t>
  </si>
  <si>
    <t>&lt; WARNING &gt; В строке 323Платежей 1С ссылка на Договор 1311-07, которого нет в листе Договоров 1С</t>
  </si>
  <si>
    <t>&lt; WARNING &gt; В строке 324Платежей 1С ссылка на Договор 1311-07, которого нет в листе Договоров 1С</t>
  </si>
  <si>
    <t>&lt; WARNING &gt; В строке 332Платежей 1С ссылка на Договор №105-06/1с, которого нет в листе Договоров 1С</t>
  </si>
  <si>
    <t>&lt; WARNING &gt; В строке 365Платежей 1С ссылка на Договор №105-06/1с, которого нет в листе Договоров 1С</t>
  </si>
  <si>
    <t>&lt; WARNING &gt; В строке 366Платежей 1С ссылка на Договор 2008-1-048, которого нет в листе Договоров 1С</t>
  </si>
  <si>
    <t>&lt; WARNING &gt; В строке 367Платежей 1С ссылка на Договор 2008-1-048, которого нет в листе Договоров 1С</t>
  </si>
  <si>
    <t>&lt; WARNING &gt; В строке 368Платежей 1С ссылка на Договор 2008-1-048, которого нет в листе Договоров 1С</t>
  </si>
  <si>
    <t>&lt; WARNING &gt; В строке 369Платежей 1С ссылка на Договор 2008-1-048, которого нет в листе Договоров 1С</t>
  </si>
  <si>
    <t>&lt; WARNING &gt; В строке 371Платежей 1С ссылка на Договор №105-06/1с, которого нет в листе Договоров 1С</t>
  </si>
  <si>
    <t>&lt; WARNING &gt; В строке 375Платежей 1С ссылка на Договор №105-06/1с, которого нет в листе Договоров 1С</t>
  </si>
  <si>
    <t>&lt; WARNING &gt; В строке 387Платежей 1С ссылка на Договор №105-06/1с, которого нет в листе Договоров 1С</t>
  </si>
  <si>
    <t>&lt; WARNING &gt; В строке 405Платежей 1С ссылка на Договор №105-06/1с, которого нет в листе Договоров 1С</t>
  </si>
  <si>
    <t>&lt; WARNING &gt; В строке 426Платежей 1С ссылка на Договор 0107-07/2с, которого нет в листе Договоров 1С</t>
  </si>
  <si>
    <t>&lt; WARNING &gt; В строке 427Платежей 1С ссылка на Договор 0107-07/2с, которого нет в листе Договоров 1С</t>
  </si>
  <si>
    <t>&lt; WARNING &gt; В строке 428Платежей 1С ссылка на Договор 0107-07/2с, которого нет в листе Договоров 1С</t>
  </si>
  <si>
    <t>&lt; WARNING &gt; В строке 429Платежей 1С ссылка на Договор 0107-07/2с, которого нет в листе Договоров 1С</t>
  </si>
  <si>
    <t>&lt; WARNING &gt; В строке 430Платежей 1С ссылка на Договор 0107-07/2с, которого нет в листе Договоров 1С</t>
  </si>
  <si>
    <t>&lt; WARNING &gt; В строке 456Платежей 1С ссылка на Договор №105-06/1с, которого нет в листе Договоров 1С</t>
  </si>
  <si>
    <t>&lt; WARNING &gt; Адаптер&gt; ссылка SFacc/3:6(001D000000vhVhX) не работает, результат &lt;пусто&gt;</t>
  </si>
  <si>
    <t>&lt; WARNING &gt; Адаптер&gt; ссылка SFopp/4:№(Частное учреждение Государственной корпорации по атомной энергии «Росатом» «Инновационно-технологический центр проекта «ПРОРЫВ» &lt;ИЛИ&gt; ЧУ"ИТЦП "ПРОРЫВ") не работает, результат &lt;пусто&gt;</t>
  </si>
  <si>
    <t>WrCSV&gt; в 'Payment.txt' записано 19 строк.</t>
  </si>
  <si>
    <t>WrCSV&gt; в 'ContrUpd.txt' записано 3 строк.</t>
  </si>
  <si>
    <t>adapt profile: total = 8,13_x000D_
By steps =  7,78 0,02</t>
  </si>
  <si>
    <t>adapt profile: total = 8,86_x000D_
By steps =  0,84 4,35 0,77 0,01 0,00 0,00 0,63 0,00 1,89 0,02 0,02 0,00 0,00 0,00 0,00 0,00 0,00 0,00 0,00 0,00 0,02 0,01 0,00 0,00 0,01 0,00</t>
  </si>
  <si>
    <t>MoveToMatch: В файл 'SFDC.xlsx' загружен новый отчет 'SFopp'; EOL=3760 строк, в прежнем 3758_x000D_
Это ПОЛНЫЙ документ.</t>
  </si>
  <si>
    <t>MoveToMatch: В файл 'SFDC.xlsx' загружен новый отчет 'SF'; EOL=5521 строк, в прежнем 5508_x000D_
Это ПОЛНЫЙ документ.</t>
  </si>
  <si>
    <t>adapt profile: total = 64,85_x000D_
By steps =  17,02 0,05 15,34 3,48 0,02 0,02 0,00 0,02 0,01 0,02 0,02 0,02 0,02 0,00 0,02 0,01 0,00 0,01 0,03 0,02 0,01 0,00 0,00 0,01 0,01 0,02 0,01 0,00 0,00 27,03 0,00 0,01 0,01 0,00 0,00 0,00 0,00 0,02</t>
  </si>
  <si>
    <t>adapt profile: total = 32,45_x000D_
By steps =  30,63 0,09</t>
  </si>
  <si>
    <t>MoveToMatch: В файл 'SFDC.xlsx' загружен новый отчет 'SF'; EOL=5521 строк, в прежнем 5521_x000D_
Это ПОЛНЫЙ документ.</t>
  </si>
  <si>
    <t>adapt profile: total = 74,19_x000D_
By steps =  18,48 0,09 17,02 4,45 0,05 0,02 0,01 0,01 0,02 0,02 0,02 0,01 0,01 0,01 0,02 0,02 0,01 0,02 0,00 0,02 0,03 0,02 0,02 0,00 0,00 0,01 0,01 0,01 0,00 31,81 0,00 0,00 0,00 0,00 0,00 0,01 0,00 0,00</t>
  </si>
  <si>
    <t>adapt profile: total = 32,63_x000D_
By steps =  30,77 0,13</t>
  </si>
  <si>
    <t>MoveToMatch: В файл '1C.xlsx' загружен новый отчет 'Платежи'; EOL=341 строк, в прежнем 5705_x000D_
Это изменяемая ЧАСТЬ данных.</t>
  </si>
  <si>
    <t>adapt profile: total = 21,53_x000D_
By steps =  1,45 0,00 1,80 4,47 0,00 0,00 0,00 0,00 0,00 0,00 0,00 0,00 0,00 0,00 0,00 0,00 0,00 0,00 0,00 0,00 0,00 0,00 0,00 0,00 0,00 0,00 0,00 0,00 0,00 13,60 0,00 0,00 0,00 0,00 0,00 0,00 0,00 0,00</t>
  </si>
  <si>
    <t>MoveToMatch: В файл '1C.xlsx' загружен новый отчет 'Платежи'; EOL=11 строк, в прежнем 5717_x000D_
Это изменяемая ЧАСТЬ данных.</t>
  </si>
  <si>
    <t>adapt profile: total = 0,59_x000D_
By steps =  0,04 0,00 0,04 0,10 0,00 0,00 0,00 0,00 0,00 0,00 0,00 0,00 0,00 0,00 0,00 0,00 0,00 0,00 0,00 0,00 0,00 0,00 0,00 0,00 0,00 0,00 0,00 0,00 0,00 0,40 0,00 0,00 0,00 0,00 0,00 0,00 0,00 0,00</t>
  </si>
  <si>
    <t>MoveToMatch: В файл '1C.xlsx' загружен новый отчет 'Платежи'; EOL=11 строк, в прежнем 9_x000D_
Это изменяемая ЧАСТЬ данных.</t>
  </si>
  <si>
    <t>adapt profile: total = 0,15_x000D_
By steps =  0,02 0,00 0,04 0,01 0,00 0,00 0,00 0,00 0,00 0,00 0,00 0,00 0,00 0,00 0,00 0,00 0,00 0,00 0,00 0,00 0,00 0,00 0,00 0,00 0,00 0,00 0,00 0,00 0,00 0,06 0,00 0,00 0,00 0,00 0,00 0,00 0,00 0,00</t>
  </si>
  <si>
    <t>adapt profile: total = 0,17_x000D_
By steps =  0,02 0,00 0,04 0,04 0,00 0,00 0,00 0,00 0,00 0,00 0,00 0,00 0,00 0,00 0,00 0,00 0,00 0,00 0,00 0,00 0,00 0,00 0,00 0,00 0,00 0,00 0,00 0,00 0,00 0,06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</si>
</sst>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0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9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0" fontId="63" fillId="0" borderId="0" xfId="49" applyFont="1"/>
    <xf numFmtId="0" fontId="66" fillId="0" borderId="0" xfId="49" applyFont="1"/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7" fontId="1" fillId="6" borderId="6" xfId="1" applyNumberFormat="1" applyFill="1" applyBorder="1" applyAlignment="1">
      <alignment horizontal="center"/>
    </xf>
    <xf numFmtId="165" fontId="6" fillId="37" borderId="0" xfId="9" applyNumberFormat="1" applyFont="1" applyFill="1" applyAlignment="1">
      <alignment horizontal="center" vertical="center"/>
    </xf>
    <xf numFmtId="49" fontId="0" fillId="0" borderId="3" xfId="1" applyNumberFormat="1" applyFont="1" applyFill="1" applyBorder="1" applyAlignment="1">
      <alignment horizontal="center" vertical="center"/>
    </xf>
    <xf numFmtId="49" fontId="0" fillId="0" borderId="0" xfId="1" applyNumberFormat="1" applyFont="1" applyFill="1" applyBorder="1" applyAlignment="1">
      <alignment horizontal="center" vertical="center"/>
    </xf>
    <xf numFmtId="167" fontId="1" fillId="6" borderId="0" xfId="1" applyNumberFormat="1" applyFill="1" applyAlignment="1">
      <alignment horizontal="center"/>
    </xf>
    <xf numFmtId="49" fontId="0" fillId="0" borderId="25" xfId="1" applyNumberFormat="1" applyFont="1" applyFill="1" applyBorder="1" applyAlignment="1">
      <alignment horizontal="center" vertical="center"/>
    </xf>
    <xf numFmtId="166" fontId="1" fillId="0" borderId="0" xfId="1" applyFill="1" applyAlignment="1">
      <alignment wrapText="1"/>
    </xf>
    <xf numFmtId="166" fontId="7" fillId="0" borderId="0" xfId="1" applyFont="1" applyAlignment="1">
      <alignment horizontal="center" textRotation="90"/>
    </xf>
    <xf numFmtId="166" fontId="1" fillId="0" borderId="0" xfId="1" applyAlignment="1">
      <alignment horizontal="center"/>
    </xf>
    <xf numFmtId="166" fontId="1" fillId="0" borderId="0" xfId="1" applyAlignment="1"/>
    <xf numFmtId="166" fontId="7" fillId="0" borderId="0" xfId="1" applyFont="1" applyAlignment="1">
      <alignment textRotation="90"/>
    </xf>
    <xf numFmtId="166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49" fontId="8" fillId="0" borderId="0" xfId="1" applyNumberFormat="1" applyFont="1" applyFill="1" applyBorder="1" applyAlignment="1">
      <alignment horizontal="left" vertical="center" wrapText="1"/>
    </xf>
  </cellXfs>
  <cellStyles count="5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E17" sqref="E17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41553.145127314812</v>
      </c>
      <c r="C1" s="3" t="s">
        <v>0</v>
      </c>
      <c r="J1" s="4" t="s">
        <v>1637</v>
      </c>
      <c r="K1" s="5"/>
      <c r="L1" s="6"/>
      <c r="M1" s="6"/>
      <c r="N1" s="6"/>
      <c r="O1" s="964" t="s">
        <v>1</v>
      </c>
      <c r="P1" s="965" t="s">
        <v>1197</v>
      </c>
      <c r="Q1" s="965" t="s">
        <v>1196</v>
      </c>
      <c r="R1" s="961" t="s">
        <v>2</v>
      </c>
      <c r="S1" s="961" t="s">
        <v>3</v>
      </c>
      <c r="V1" s="961" t="s">
        <v>1191</v>
      </c>
      <c r="W1" s="961" t="s">
        <v>1192</v>
      </c>
      <c r="X1" s="961" t="s">
        <v>1193</v>
      </c>
      <c r="Y1" s="961" t="s">
        <v>1194</v>
      </c>
      <c r="Z1" s="961" t="s">
        <v>1195</v>
      </c>
    </row>
    <row r="2" spans="1:27" ht="29.25" customHeight="1" x14ac:dyDescent="0.25">
      <c r="O2" s="963"/>
      <c r="P2" s="962"/>
      <c r="Q2" s="962"/>
      <c r="R2" s="962"/>
      <c r="S2" s="962"/>
      <c r="V2" s="962"/>
      <c r="W2" s="962"/>
      <c r="X2" s="962"/>
      <c r="Y2" s="962"/>
      <c r="Z2" s="962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63"/>
      <c r="W3" s="963"/>
      <c r="X3" s="963"/>
      <c r="Y3" s="963"/>
      <c r="Z3" s="963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2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41553.145127314812</v>
      </c>
      <c r="B8" s="22" t="s">
        <v>31</v>
      </c>
      <c r="C8" s="23">
        <v>9</v>
      </c>
      <c r="D8" s="23">
        <v>5</v>
      </c>
      <c r="E8" s="23">
        <v>2</v>
      </c>
      <c r="F8" s="2" t="s">
        <v>49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41518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41550</v>
      </c>
      <c r="T8" s="22" t="s">
        <v>37</v>
      </c>
      <c r="V8" s="27">
        <v>2</v>
      </c>
      <c r="W8" s="27" t="s">
        <v>6</v>
      </c>
      <c r="X8" s="27">
        <v>2</v>
      </c>
      <c r="Y8" s="30">
        <v>41515</v>
      </c>
      <c r="Z8" s="30">
        <v>41516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41552.970763888887</v>
      </c>
      <c r="B10" s="2" t="s">
        <v>40</v>
      </c>
      <c r="C10" s="41">
        <v>1429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41552</v>
      </c>
      <c r="O10" s="47" t="s">
        <v>28</v>
      </c>
      <c r="P10" s="834" t="s">
        <v>173</v>
      </c>
      <c r="Q10" s="189" t="s">
        <v>174</v>
      </c>
      <c r="R10" s="48">
        <v>40058</v>
      </c>
      <c r="S10" s="48">
        <v>41551</v>
      </c>
      <c r="T10" s="2" t="s">
        <v>45</v>
      </c>
      <c r="V10" s="17">
        <v>2</v>
      </c>
      <c r="W10" s="17" t="s">
        <v>6</v>
      </c>
      <c r="X10" s="17">
        <v>4</v>
      </c>
      <c r="Y10" s="38">
        <v>41518</v>
      </c>
      <c r="Z10" s="38">
        <v>41551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41547.913715277777</v>
      </c>
      <c r="B12" s="2" t="s">
        <v>48</v>
      </c>
      <c r="C12" s="41">
        <v>2022</v>
      </c>
      <c r="D12" s="41">
        <v>1</v>
      </c>
      <c r="E12" s="849" t="s">
        <v>1207</v>
      </c>
      <c r="F12" s="2" t="s">
        <v>181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41541</v>
      </c>
      <c r="O12" s="47" t="s">
        <v>28</v>
      </c>
      <c r="P12" s="834" t="s">
        <v>1206</v>
      </c>
      <c r="Q12" s="835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41552.978113425925</v>
      </c>
      <c r="B14" s="22" t="s">
        <v>57</v>
      </c>
      <c r="C14" s="23">
        <v>5521</v>
      </c>
      <c r="D14" s="23">
        <v>2</v>
      </c>
      <c r="E14" s="23">
        <v>6</v>
      </c>
      <c r="F14" s="22" t="s">
        <v>32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41552.972222222219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41552.970543981479</v>
      </c>
      <c r="B15" s="2" t="s">
        <v>62</v>
      </c>
      <c r="C15" s="41">
        <v>1212</v>
      </c>
      <c r="D15" s="42">
        <v>2</v>
      </c>
      <c r="E15" s="42">
        <v>6</v>
      </c>
      <c r="F15" s="2" t="s">
        <v>32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41552.969444444447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41552.971921296295</v>
      </c>
      <c r="B16" s="2" t="s">
        <v>64</v>
      </c>
      <c r="C16" s="41">
        <v>3760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41552.970833333333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958">
        <v>41547.913761574076</v>
      </c>
      <c r="B17" s="2" t="s">
        <v>68</v>
      </c>
      <c r="C17" s="41">
        <v>4860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41544.074999999997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41542.913217592592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41542.911111111112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958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41548.036597222221</v>
      </c>
      <c r="B23" s="68" t="str">
        <f>I23</f>
        <v>SF_DicAccSyn</v>
      </c>
      <c r="C23" s="922">
        <v>62</v>
      </c>
      <c r="D23" s="923" t="s">
        <v>65</v>
      </c>
      <c r="E23" s="923">
        <v>6</v>
      </c>
      <c r="F23" s="68" t="s">
        <v>181</v>
      </c>
      <c r="G23" s="922" t="s">
        <v>50</v>
      </c>
      <c r="H23" s="68" t="str">
        <f t="shared" si="0"/>
        <v>SFDC.xlsx</v>
      </c>
      <c r="I23" s="926" t="s">
        <v>1250</v>
      </c>
      <c r="J23" s="924" t="s">
        <v>1249</v>
      </c>
      <c r="K23" s="65" t="s">
        <v>30</v>
      </c>
      <c r="L23" s="108">
        <v>2</v>
      </c>
      <c r="M23" s="108">
        <v>1</v>
      </c>
      <c r="N23" s="162">
        <v>41548.01666666667</v>
      </c>
      <c r="O23" s="67"/>
      <c r="P23" s="927"/>
      <c r="Q23" s="67"/>
      <c r="T23" s="927" t="str">
        <f>Process!F58</f>
        <v>LOAD_SF_DicAccSyn</v>
      </c>
      <c r="Y23" s="925"/>
      <c r="Z23" s="925"/>
      <c r="AA23" s="925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9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0"/>
      <c r="Q24" s="921" t="s">
        <v>87</v>
      </c>
      <c r="R24" s="104"/>
      <c r="S24" s="920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54">
        <v>41552.923518518517</v>
      </c>
      <c r="B42" s="109" t="s">
        <v>127</v>
      </c>
      <c r="C42" s="110">
        <v>556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77">
        <v>0</v>
      </c>
      <c r="B43" s="916" t="s">
        <v>1246</v>
      </c>
      <c r="C43" s="917">
        <v>123</v>
      </c>
      <c r="D43" s="79"/>
      <c r="E43" s="79"/>
      <c r="H43" s="119" t="s">
        <v>128</v>
      </c>
      <c r="I43" s="915" t="str">
        <f>B43</f>
        <v>DicAccSynonims</v>
      </c>
      <c r="J43" s="80" t="s">
        <v>1248</v>
      </c>
      <c r="K43" s="918" t="s">
        <v>30</v>
      </c>
      <c r="L43" s="82">
        <v>1</v>
      </c>
      <c r="M43" s="82">
        <v>2</v>
      </c>
      <c r="N43" s="83"/>
      <c r="O43" s="84"/>
      <c r="P43" s="916" t="s">
        <v>1247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41552.951527777775</v>
      </c>
      <c r="B45" s="32" t="s">
        <v>134</v>
      </c>
      <c r="C45" s="75">
        <v>19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41552.951516203706</v>
      </c>
      <c r="B46" s="32" t="s">
        <v>137</v>
      </c>
      <c r="C46" s="75">
        <v>3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8">
        <v>41552.951527777775</v>
      </c>
      <c r="B47" s="32" t="s">
        <v>139</v>
      </c>
      <c r="C47" s="75">
        <v>6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4" t="s">
        <v>1216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41552.951539351852</v>
      </c>
      <c r="B50" s="134" t="s">
        <v>144</v>
      </c>
      <c r="C50" s="135">
        <v>3</v>
      </c>
      <c r="D50" s="135"/>
      <c r="E50" s="135"/>
      <c r="F50" s="134" t="s">
        <v>135</v>
      </c>
      <c r="H50" s="134" t="s">
        <v>128</v>
      </c>
      <c r="I50" s="899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3"/>
  <sheetViews>
    <sheetView tabSelected="1" zoomScale="85" zoomScaleNormal="85" workbookViewId="0">
      <selection activeCell="O14" sqref="O14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41553.145138888889</v>
      </c>
      <c r="C1" s="3" t="s">
        <v>158</v>
      </c>
      <c r="D1" s="3"/>
      <c r="G1" s="165" t="s">
        <v>37</v>
      </c>
      <c r="H1" s="165"/>
      <c r="I1" s="165" t="s">
        <v>1190</v>
      </c>
    </row>
    <row r="2" spans="1:15" ht="15" customHeight="1" thickBot="1" x14ac:dyDescent="0.35">
      <c r="B2" s="3"/>
    </row>
    <row r="3" spans="1:15" ht="15.75" customHeight="1" x14ac:dyDescent="0.25">
      <c r="E3" s="966" t="s">
        <v>159</v>
      </c>
      <c r="F3" s="968" t="s">
        <v>160</v>
      </c>
      <c r="G3" s="969"/>
      <c r="H3" s="969"/>
      <c r="I3" s="969"/>
      <c r="J3" s="970"/>
      <c r="K3" s="968" t="s">
        <v>161</v>
      </c>
      <c r="L3" s="969"/>
      <c r="M3" s="969"/>
      <c r="N3" s="969"/>
      <c r="O3" s="970"/>
    </row>
    <row r="4" spans="1:15" s="8" customFormat="1" ht="15.75" thickBot="1" x14ac:dyDescent="0.3">
      <c r="B4" s="9" t="s">
        <v>162</v>
      </c>
      <c r="C4" s="8" t="s">
        <v>163</v>
      </c>
      <c r="E4" s="967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51"/>
      <c r="B6" s="956" t="s">
        <v>167</v>
      </c>
      <c r="C6" s="253"/>
      <c r="D6" s="214"/>
      <c r="E6" s="257" t="s">
        <v>65</v>
      </c>
      <c r="F6" s="860" t="s">
        <v>1209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245">
        <v>41552.946284722224</v>
      </c>
      <c r="B7" s="186" t="s">
        <v>181</v>
      </c>
      <c r="C7" s="246"/>
      <c r="D7" s="198"/>
      <c r="E7" s="858" t="s">
        <v>172</v>
      </c>
      <c r="F7" s="192" t="str">
        <f>F16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183">
        <v>41552.946284722224</v>
      </c>
      <c r="B8" s="184" t="s">
        <v>181</v>
      </c>
      <c r="C8" s="185"/>
      <c r="D8" s="198"/>
      <c r="E8" s="858" t="s">
        <v>168</v>
      </c>
      <c r="F8" s="192" t="str">
        <f>F25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41547.913715277777</v>
      </c>
      <c r="B9" s="184" t="s">
        <v>181</v>
      </c>
      <c r="C9" s="185"/>
      <c r="D9" s="198"/>
      <c r="E9" s="858" t="s">
        <v>168</v>
      </c>
      <c r="F9" s="192" t="str">
        <f>F33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245">
        <v>41552.946643518517</v>
      </c>
      <c r="B10" s="186" t="s">
        <v>181</v>
      </c>
      <c r="C10" s="246"/>
      <c r="D10" s="198"/>
      <c r="E10" s="858" t="s">
        <v>172</v>
      </c>
      <c r="F10" s="192" t="str">
        <f>F39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245">
        <v>41552.946643518517</v>
      </c>
      <c r="B11" s="186" t="s">
        <v>181</v>
      </c>
      <c r="C11" s="246"/>
      <c r="D11" s="198"/>
      <c r="E11" s="858" t="s">
        <v>172</v>
      </c>
      <c r="F11" s="192" t="str">
        <f>F46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183">
        <v>41548.036608796298</v>
      </c>
      <c r="B12" s="184" t="s">
        <v>181</v>
      </c>
      <c r="C12" s="185"/>
      <c r="D12" s="198"/>
      <c r="E12" s="858" t="s">
        <v>168</v>
      </c>
      <c r="F12" s="192" t="str">
        <f>TOCmatch!T23</f>
        <v>LOAD_SF_DicAccSyn</v>
      </c>
      <c r="G12" s="195"/>
      <c r="H12" s="202"/>
      <c r="I12" s="202"/>
      <c r="J12" s="203"/>
      <c r="K12" s="192" t="str">
        <f>TOCmatch!B23</f>
        <v>SF_DicAccSyn</v>
      </c>
      <c r="L12" s="195"/>
      <c r="M12" s="195"/>
      <c r="N12" s="202"/>
      <c r="O12" s="203"/>
    </row>
    <row r="13" spans="1:15" outlineLevel="1" x14ac:dyDescent="0.25">
      <c r="A13" s="183">
        <v>41547.913761574076</v>
      </c>
      <c r="B13" s="184" t="s">
        <v>181</v>
      </c>
      <c r="C13" s="185"/>
      <c r="D13" s="198"/>
      <c r="E13" s="858" t="s">
        <v>168</v>
      </c>
      <c r="F13" s="192" t="str">
        <f>F52</f>
        <v>LOAD_SFacc</v>
      </c>
      <c r="G13" s="195"/>
      <c r="H13" s="202"/>
      <c r="I13" s="202"/>
      <c r="J13" s="203"/>
      <c r="K13" s="192" t="str">
        <f>TOCmatch!B17</f>
        <v>SFacc</v>
      </c>
      <c r="L13" s="195"/>
      <c r="M13" s="195"/>
      <c r="N13" s="202"/>
      <c r="O13" s="203"/>
    </row>
    <row r="14" spans="1:15" outlineLevel="1" x14ac:dyDescent="0.25">
      <c r="A14" s="245"/>
      <c r="B14" s="875" t="s">
        <v>230</v>
      </c>
      <c r="C14" s="246"/>
      <c r="D14" s="198"/>
      <c r="E14" s="858" t="s">
        <v>172</v>
      </c>
      <c r="F14" s="192" t="str">
        <f>F72</f>
        <v>HANDL_Payment</v>
      </c>
      <c r="G14" s="195"/>
      <c r="H14" s="202"/>
      <c r="I14" s="202"/>
      <c r="J14" s="203"/>
      <c r="K14" s="192" t="str">
        <f>TOCmatch!B8</f>
        <v>Платежи</v>
      </c>
      <c r="L14" s="195"/>
      <c r="M14" s="195"/>
      <c r="N14" s="202"/>
      <c r="O14" s="203"/>
    </row>
    <row r="15" spans="1:15" s="233" customFormat="1" ht="15.75" outlineLevel="1" thickBot="1" x14ac:dyDescent="0.3">
      <c r="A15" s="285"/>
      <c r="B15" s="226" t="s">
        <v>32</v>
      </c>
      <c r="C15" s="848"/>
      <c r="D15" s="226"/>
      <c r="E15" s="859" t="s">
        <v>172</v>
      </c>
      <c r="F15" s="228"/>
      <c r="G15" s="229"/>
      <c r="H15" s="229"/>
      <c r="I15" s="229"/>
      <c r="J15" s="230"/>
      <c r="K15" s="231"/>
      <c r="L15" s="232"/>
      <c r="M15" s="229"/>
      <c r="N15" s="232"/>
      <c r="O15" s="230"/>
    </row>
    <row r="16" spans="1:15" s="177" customFormat="1" ht="15.75" thickTop="1" x14ac:dyDescent="0.25">
      <c r="A16" s="175"/>
      <c r="B16" s="853" t="s">
        <v>167</v>
      </c>
      <c r="C16" s="175"/>
      <c r="E16" s="178"/>
      <c r="F16" s="179" t="s">
        <v>37</v>
      </c>
      <c r="G16" s="180"/>
      <c r="H16" s="180"/>
      <c r="I16" s="180"/>
      <c r="J16" s="181"/>
      <c r="K16" s="182" t="str">
        <f>TOCmatch!B8</f>
        <v>Платежи</v>
      </c>
      <c r="L16" s="180"/>
      <c r="M16" s="180"/>
      <c r="N16" s="180"/>
      <c r="O16" s="181"/>
    </row>
    <row r="17" spans="1:15" s="177" customFormat="1" outlineLevel="1" x14ac:dyDescent="0.25">
      <c r="A17" s="183">
        <v>41553.14508101852</v>
      </c>
      <c r="B17" s="184" t="s">
        <v>84</v>
      </c>
      <c r="C17" s="185" t="s">
        <v>66</v>
      </c>
      <c r="D17" s="186"/>
      <c r="E17" s="187" t="s">
        <v>168</v>
      </c>
      <c r="F17" s="188"/>
      <c r="G17" s="189"/>
      <c r="H17" s="190"/>
      <c r="I17" s="190"/>
      <c r="J17" s="191"/>
      <c r="K17" s="192" t="str">
        <f>K16</f>
        <v>Платежи</v>
      </c>
      <c r="O17" s="191"/>
    </row>
    <row r="18" spans="1:15" s="177" customFormat="1" outlineLevel="1" x14ac:dyDescent="0.25">
      <c r="A18" s="183">
        <v>41553.145092592589</v>
      </c>
      <c r="B18" s="184" t="s">
        <v>100</v>
      </c>
      <c r="C18" s="185" t="str">
        <f>B17</f>
        <v>InsMyCol</v>
      </c>
      <c r="D18" s="186"/>
      <c r="E18" s="187" t="s">
        <v>168</v>
      </c>
      <c r="F18" s="188"/>
      <c r="G18" s="189"/>
      <c r="H18" s="190"/>
      <c r="I18" s="190"/>
      <c r="J18" s="191"/>
      <c r="K18" s="192" t="str">
        <f>K16</f>
        <v>Платежи</v>
      </c>
      <c r="L18" s="193" t="str">
        <f>TOCmatch!B17</f>
        <v>SFacc</v>
      </c>
      <c r="M18" s="193" t="str">
        <f>TOCmatch!B14</f>
        <v>SF</v>
      </c>
      <c r="N18" s="193" t="str">
        <f>TOCmatch!B21</f>
        <v>SF_PA</v>
      </c>
      <c r="O18" s="929" t="str">
        <f>TOCmatch!B43</f>
        <v>DicAccSynonims</v>
      </c>
    </row>
    <row r="19" spans="1:15" s="177" customFormat="1" outlineLevel="1" x14ac:dyDescent="0.25">
      <c r="A19" s="183">
        <v>41553.145104166666</v>
      </c>
      <c r="B19" s="184" t="s">
        <v>58</v>
      </c>
      <c r="C19" s="185" t="str">
        <f>B18</f>
        <v>Adapt</v>
      </c>
      <c r="D19" s="186"/>
      <c r="E19" s="187" t="s">
        <v>168</v>
      </c>
      <c r="F19" s="836">
        <v>7</v>
      </c>
      <c r="G19" s="194"/>
      <c r="H19" s="190"/>
      <c r="I19" s="190"/>
      <c r="J19" s="191"/>
      <c r="K19" s="192" t="str">
        <f>K16</f>
        <v>Платежи</v>
      </c>
      <c r="L19" s="195"/>
      <c r="M19" s="190"/>
      <c r="N19" s="195"/>
      <c r="O19" s="191"/>
    </row>
    <row r="20" spans="1:15" s="180" customFormat="1" outlineLevel="1" x14ac:dyDescent="0.25">
      <c r="A20" s="196">
        <v>41553.145127314812</v>
      </c>
      <c r="B20" s="197" t="s">
        <v>171</v>
      </c>
      <c r="C20" s="185" t="str">
        <f>B19</f>
        <v>DateSort</v>
      </c>
      <c r="D20" s="198"/>
      <c r="E20" s="199" t="s">
        <v>168</v>
      </c>
      <c r="F20" s="192"/>
      <c r="G20" s="190"/>
      <c r="H20" s="190"/>
      <c r="I20" s="190"/>
      <c r="J20" s="191"/>
      <c r="K20" s="192" t="str">
        <f>K16</f>
        <v>Платежи</v>
      </c>
      <c r="L20" s="195"/>
      <c r="M20" s="190"/>
      <c r="N20" s="195"/>
      <c r="O20" s="191"/>
    </row>
    <row r="21" spans="1:15" outlineLevel="1" x14ac:dyDescent="0.25">
      <c r="A21" s="183">
        <v>41553.145138888889</v>
      </c>
      <c r="B21" s="184" t="s">
        <v>49</v>
      </c>
      <c r="C21" s="200" t="str">
        <f>B20</f>
        <v>PaymentPaint</v>
      </c>
      <c r="D21" s="198"/>
      <c r="E21" s="201" t="s">
        <v>168</v>
      </c>
      <c r="G21" s="195"/>
      <c r="H21" s="202"/>
      <c r="I21" s="202"/>
      <c r="J21" s="203"/>
      <c r="K21" s="192" t="str">
        <f>K16</f>
        <v>Платежи</v>
      </c>
      <c r="L21" s="195"/>
      <c r="M21" s="195"/>
      <c r="N21" s="193" t="str">
        <f>TOCmatch!B17</f>
        <v>SFacc</v>
      </c>
      <c r="O21" s="203"/>
    </row>
    <row r="22" spans="1:15" outlineLevel="1" x14ac:dyDescent="0.25">
      <c r="A22" s="245">
        <v>41553.043310185189</v>
      </c>
      <c r="B22" s="875" t="s">
        <v>1190</v>
      </c>
      <c r="C22" s="255" t="str">
        <f>B21</f>
        <v>AccPaint</v>
      </c>
      <c r="D22" s="198"/>
      <c r="E22" s="201" t="s">
        <v>172</v>
      </c>
      <c r="G22" s="195"/>
      <c r="H22" s="202"/>
      <c r="I22" s="202"/>
      <c r="J22" s="203"/>
      <c r="K22" s="192" t="str">
        <f>K16</f>
        <v>Платежи</v>
      </c>
      <c r="L22" s="195"/>
      <c r="M22" s="195"/>
      <c r="N22" s="195"/>
      <c r="O22" s="203"/>
    </row>
    <row r="23" spans="1:15" s="177" customFormat="1" outlineLevel="1" x14ac:dyDescent="0.25">
      <c r="A23" s="317">
        <v>41553.043310185189</v>
      </c>
      <c r="B23" s="957" t="s">
        <v>1210</v>
      </c>
      <c r="C23" s="998"/>
      <c r="D23" s="190"/>
      <c r="E23" s="201" t="s">
        <v>172</v>
      </c>
      <c r="F23" s="193" t="str">
        <f>TOCmatch!B14</f>
        <v>SF</v>
      </c>
      <c r="G23" s="190"/>
      <c r="H23" s="190"/>
      <c r="I23" s="190"/>
      <c r="J23" s="191"/>
      <c r="K23" s="192" t="str">
        <f>K22</f>
        <v>Платежи</v>
      </c>
      <c r="L23" s="195"/>
      <c r="M23" s="190"/>
      <c r="N23" s="195"/>
      <c r="O23" s="191"/>
    </row>
    <row r="24" spans="1:15" s="211" customFormat="1" outlineLevel="1" x14ac:dyDescent="0.25">
      <c r="A24" s="249">
        <v>41509.164409722223</v>
      </c>
      <c r="B24" s="204" t="s">
        <v>32</v>
      </c>
      <c r="C24" s="250"/>
      <c r="D24" s="204"/>
      <c r="E24" s="205"/>
      <c r="F24" s="206"/>
      <c r="G24" s="207"/>
      <c r="H24" s="207"/>
      <c r="I24" s="207"/>
      <c r="J24" s="208"/>
      <c r="K24" s="209"/>
      <c r="L24" s="210"/>
      <c r="M24" s="207"/>
      <c r="N24" s="210"/>
      <c r="O24" s="208"/>
    </row>
    <row r="25" spans="1:15" s="177" customFormat="1" x14ac:dyDescent="0.25">
      <c r="A25" s="212"/>
      <c r="B25" s="857" t="s">
        <v>167</v>
      </c>
      <c r="C25" s="213"/>
      <c r="D25" s="214"/>
      <c r="E25" s="215" t="s">
        <v>172</v>
      </c>
      <c r="F25" s="216" t="s">
        <v>45</v>
      </c>
      <c r="G25" s="214"/>
      <c r="H25" s="214"/>
      <c r="I25" s="214"/>
      <c r="J25" s="217"/>
      <c r="K25" s="218" t="str">
        <f>TOCmatch!B10</f>
        <v>Договоры</v>
      </c>
      <c r="L25" s="219"/>
      <c r="M25" s="214"/>
      <c r="N25" s="219"/>
      <c r="O25" s="217"/>
    </row>
    <row r="26" spans="1:15" s="32" customFormat="1" outlineLevel="1" x14ac:dyDescent="0.25">
      <c r="A26" s="183">
        <v>41552.940081018518</v>
      </c>
      <c r="B26" s="184" t="s">
        <v>84</v>
      </c>
      <c r="C26" s="185" t="s">
        <v>66</v>
      </c>
      <c r="D26" s="186"/>
      <c r="E26" s="187" t="s">
        <v>168</v>
      </c>
      <c r="F26" s="188"/>
      <c r="G26" s="189"/>
      <c r="H26" s="190"/>
      <c r="I26" s="190"/>
      <c r="J26" s="203"/>
      <c r="K26" s="192" t="str">
        <f>K25</f>
        <v>Договоры</v>
      </c>
      <c r="N26" s="202"/>
      <c r="O26" s="203"/>
    </row>
    <row r="27" spans="1:15" s="32" customFormat="1" outlineLevel="1" x14ac:dyDescent="0.25">
      <c r="A27" s="183">
        <v>41552.970659722225</v>
      </c>
      <c r="B27" s="184" t="s">
        <v>100</v>
      </c>
      <c r="C27" s="185" t="str">
        <f>B26</f>
        <v>InsMyCol</v>
      </c>
      <c r="D27" s="186"/>
      <c r="E27" s="187" t="s">
        <v>168</v>
      </c>
      <c r="F27" s="188"/>
      <c r="J27" s="203"/>
      <c r="K27" s="192" t="str">
        <f>K25</f>
        <v>Договоры</v>
      </c>
      <c r="L27" s="193" t="str">
        <f>TOCmatch!B17</f>
        <v>SFacc</v>
      </c>
      <c r="M27" s="193" t="str">
        <f>TOCmatch!B15</f>
        <v>SFD</v>
      </c>
      <c r="N27" s="202"/>
      <c r="O27" s="203"/>
    </row>
    <row r="28" spans="1:15" s="32" customFormat="1" outlineLevel="1" x14ac:dyDescent="0.25">
      <c r="A28" s="196">
        <v>41552.970729166664</v>
      </c>
      <c r="B28" s="184" t="s">
        <v>58</v>
      </c>
      <c r="C28" s="185" t="str">
        <f>B27</f>
        <v>Adapt</v>
      </c>
      <c r="D28" s="186"/>
      <c r="E28" s="187" t="s">
        <v>168</v>
      </c>
      <c r="F28" s="836">
        <v>12</v>
      </c>
      <c r="G28" s="194"/>
      <c r="H28" s="202"/>
      <c r="I28" s="202"/>
      <c r="J28" s="203"/>
      <c r="K28" s="192" t="str">
        <f>K25</f>
        <v>Договоры</v>
      </c>
      <c r="L28" s="202"/>
      <c r="M28" s="202"/>
      <c r="N28" s="202"/>
      <c r="O28" s="203"/>
    </row>
    <row r="29" spans="1:15" s="32" customFormat="1" outlineLevel="1" x14ac:dyDescent="0.25">
      <c r="A29" s="196">
        <v>41552.97074074074</v>
      </c>
      <c r="B29" s="197" t="s">
        <v>176</v>
      </c>
      <c r="C29" s="185" t="str">
        <f>B28</f>
        <v>DateSort</v>
      </c>
      <c r="D29" s="198"/>
      <c r="E29" s="221" t="s">
        <v>168</v>
      </c>
      <c r="F29" s="222"/>
      <c r="G29" s="202"/>
      <c r="H29" s="202"/>
      <c r="I29" s="202"/>
      <c r="J29" s="203"/>
      <c r="K29" s="192" t="str">
        <f>K25</f>
        <v>Договоры</v>
      </c>
      <c r="L29" s="193" t="str">
        <f>TOCmatch!B15</f>
        <v>SFD</v>
      </c>
      <c r="N29" s="202"/>
      <c r="O29" s="203"/>
    </row>
    <row r="30" spans="1:15" outlineLevel="1" x14ac:dyDescent="0.25">
      <c r="A30" s="183">
        <v>41552.970752314817</v>
      </c>
      <c r="B30" s="184" t="s">
        <v>49</v>
      </c>
      <c r="C30" s="185" t="str">
        <f>B29</f>
        <v>ContractPaint</v>
      </c>
      <c r="D30" s="198"/>
      <c r="E30" s="223" t="s">
        <v>168</v>
      </c>
      <c r="F30" s="220"/>
      <c r="G30" s="195"/>
      <c r="H30" s="202"/>
      <c r="I30" s="202"/>
      <c r="J30" s="203"/>
      <c r="K30" s="192" t="str">
        <f>K25</f>
        <v>Договоры</v>
      </c>
      <c r="L30" s="195"/>
      <c r="M30" s="195"/>
      <c r="N30" s="193" t="str">
        <f>TOCmatch!B17</f>
        <v>SFacc</v>
      </c>
      <c r="O30" s="203"/>
    </row>
    <row r="31" spans="1:15" outlineLevel="1" x14ac:dyDescent="0.25">
      <c r="A31" s="183">
        <v>41552.970752314817</v>
      </c>
      <c r="B31" s="854" t="s">
        <v>1190</v>
      </c>
      <c r="C31" s="200" t="str">
        <f>B30</f>
        <v>AccPaint</v>
      </c>
      <c r="D31" s="198"/>
      <c r="E31" s="201" t="s">
        <v>168</v>
      </c>
      <c r="G31" s="195"/>
      <c r="H31" s="202"/>
      <c r="I31" s="202"/>
      <c r="J31" s="203"/>
      <c r="K31" s="192" t="str">
        <f>K25</f>
        <v>Договоры</v>
      </c>
      <c r="L31" s="195"/>
      <c r="M31" s="195"/>
      <c r="N31" s="195"/>
      <c r="O31" s="203"/>
    </row>
    <row r="32" spans="1:15" s="211" customFormat="1" outlineLevel="1" x14ac:dyDescent="0.25">
      <c r="A32" s="855">
        <v>41509.162106481483</v>
      </c>
      <c r="B32" s="856" t="s">
        <v>32</v>
      </c>
      <c r="C32" s="250"/>
      <c r="D32" s="204"/>
      <c r="E32" s="205" t="s">
        <v>172</v>
      </c>
      <c r="F32" s="206"/>
      <c r="G32" s="207"/>
      <c r="H32" s="207"/>
      <c r="I32" s="207"/>
      <c r="J32" s="208"/>
      <c r="K32" s="209"/>
      <c r="L32" s="210"/>
      <c r="M32" s="207"/>
      <c r="N32" s="210"/>
      <c r="O32" s="208"/>
    </row>
    <row r="33" spans="1:15" s="177" customFormat="1" x14ac:dyDescent="0.25">
      <c r="A33" s="212"/>
      <c r="B33" s="857" t="s">
        <v>167</v>
      </c>
      <c r="C33" s="213"/>
      <c r="D33" s="214"/>
      <c r="E33" s="215"/>
      <c r="F33" s="224" t="s">
        <v>54</v>
      </c>
      <c r="G33" s="214"/>
      <c r="H33" s="214"/>
      <c r="I33" s="214"/>
      <c r="J33" s="217"/>
      <c r="K33" s="218" t="s">
        <v>48</v>
      </c>
      <c r="L33" s="219"/>
      <c r="M33" s="214"/>
      <c r="N33" s="219"/>
      <c r="O33" s="217"/>
    </row>
    <row r="34" spans="1:15" s="177" customFormat="1" outlineLevel="1" x14ac:dyDescent="0.25">
      <c r="A34" s="183">
        <v>41541.952870370369</v>
      </c>
      <c r="B34" s="184" t="s">
        <v>177</v>
      </c>
      <c r="C34" s="185" t="s">
        <v>66</v>
      </c>
      <c r="D34" s="198"/>
      <c r="E34" s="187" t="s">
        <v>168</v>
      </c>
      <c r="F34" s="220"/>
      <c r="G34" s="194"/>
      <c r="H34" s="190"/>
      <c r="I34" s="190"/>
      <c r="J34" s="191"/>
      <c r="K34" s="192" t="str">
        <f>K33</f>
        <v>Список клиентов 1C</v>
      </c>
      <c r="L34" s="195"/>
      <c r="M34" s="190"/>
      <c r="N34" s="195"/>
      <c r="O34" s="191"/>
    </row>
    <row r="35" spans="1:15" s="32" customFormat="1" outlineLevel="1" x14ac:dyDescent="0.25">
      <c r="A35" s="183">
        <v>41541.952893518515</v>
      </c>
      <c r="B35" s="184" t="s">
        <v>84</v>
      </c>
      <c r="C35" s="225" t="str">
        <f>B34</f>
        <v>Acc1C_Bottom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K33</f>
        <v>Список клиентов 1C</v>
      </c>
      <c r="L35" s="202"/>
      <c r="M35" s="202"/>
      <c r="O35" s="203"/>
    </row>
    <row r="36" spans="1:15" s="32" customFormat="1" outlineLevel="1" x14ac:dyDescent="0.25">
      <c r="A36" s="183">
        <v>41544.077719907407</v>
      </c>
      <c r="B36" s="184" t="s">
        <v>100</v>
      </c>
      <c r="C36" s="225" t="str">
        <f>B35</f>
        <v>InsMyCol</v>
      </c>
      <c r="D36" s="186"/>
      <c r="E36" s="187" t="s">
        <v>168</v>
      </c>
      <c r="F36" s="192"/>
      <c r="G36" s="195"/>
      <c r="H36" s="190"/>
      <c r="I36" s="190"/>
      <c r="J36" s="203"/>
      <c r="K36" s="192" t="str">
        <f>K33</f>
        <v>Список клиентов 1C</v>
      </c>
      <c r="L36" s="202"/>
      <c r="M36" s="202"/>
      <c r="N36" s="193" t="str">
        <f>TOCmatch!B17</f>
        <v>SFacc</v>
      </c>
      <c r="O36" s="203"/>
    </row>
    <row r="37" spans="1:15" outlineLevel="1" x14ac:dyDescent="0.25">
      <c r="A37" s="183">
        <v>41544.077731481484</v>
      </c>
      <c r="B37" s="184" t="s">
        <v>49</v>
      </c>
      <c r="C37" s="225" t="str">
        <f>B36</f>
        <v>Adapt</v>
      </c>
      <c r="D37" s="198"/>
      <c r="E37" s="223" t="s">
        <v>168</v>
      </c>
      <c r="F37" s="192"/>
      <c r="G37" s="195"/>
      <c r="H37" s="202"/>
      <c r="I37" s="202"/>
      <c r="J37" s="203"/>
      <c r="K37" s="192" t="str">
        <f>K33</f>
        <v>Список клиентов 1C</v>
      </c>
      <c r="L37" s="195"/>
      <c r="M37" s="195"/>
      <c r="N37" s="193" t="str">
        <f>TOCmatch!B17</f>
        <v>SFacc</v>
      </c>
      <c r="O37" s="203"/>
    </row>
    <row r="38" spans="1:15" s="180" customFormat="1" ht="15.75" outlineLevel="1" thickBot="1" x14ac:dyDescent="0.3">
      <c r="A38" s="196">
        <v>41507.01185185185</v>
      </c>
      <c r="B38" s="197" t="s">
        <v>32</v>
      </c>
      <c r="C38" s="318"/>
      <c r="D38" s="248"/>
      <c r="E38" s="199" t="s">
        <v>168</v>
      </c>
      <c r="F38" s="319"/>
      <c r="G38" s="190"/>
      <c r="H38" s="190"/>
      <c r="I38" s="190"/>
      <c r="J38" s="191"/>
      <c r="K38" s="192"/>
      <c r="L38" s="195"/>
      <c r="M38" s="190"/>
      <c r="N38" s="195"/>
      <c r="O38" s="191"/>
    </row>
    <row r="39" spans="1:15" s="177" customFormat="1" ht="15.75" thickTop="1" x14ac:dyDescent="0.25">
      <c r="A39" s="234"/>
      <c r="B39" s="959" t="s">
        <v>167</v>
      </c>
      <c r="C39" s="236"/>
      <c r="D39" s="237"/>
      <c r="E39" s="238" t="s">
        <v>172</v>
      </c>
      <c r="F39" s="239" t="s">
        <v>178</v>
      </c>
      <c r="G39" s="237"/>
      <c r="H39" s="237"/>
      <c r="I39" s="237"/>
      <c r="J39" s="240"/>
      <c r="K39" s="241" t="str">
        <f>TOCmatch!B14</f>
        <v>SF</v>
      </c>
      <c r="L39" s="242"/>
      <c r="M39" s="237"/>
      <c r="N39" s="242"/>
      <c r="O39" s="240"/>
    </row>
    <row r="40" spans="1:15" outlineLevel="1" x14ac:dyDescent="0.25">
      <c r="A40" s="183">
        <v>41552.976736111108</v>
      </c>
      <c r="B40" s="184" t="s">
        <v>84</v>
      </c>
      <c r="C40" s="930" t="s">
        <v>66</v>
      </c>
      <c r="D40" s="186"/>
      <c r="E40" s="187" t="s">
        <v>168</v>
      </c>
      <c r="F40" s="192"/>
      <c r="G40" s="195"/>
      <c r="H40" s="202"/>
      <c r="I40" s="202"/>
      <c r="J40" s="243"/>
      <c r="K40" s="192" t="str">
        <f>K39</f>
        <v>SF</v>
      </c>
      <c r="L40" s="202"/>
      <c r="M40" s="202"/>
      <c r="N40" s="202"/>
      <c r="O40" s="243"/>
    </row>
    <row r="41" spans="1:15" outlineLevel="1" x14ac:dyDescent="0.25">
      <c r="A41" s="245">
        <v>41552.977708333332</v>
      </c>
      <c r="B41" s="248" t="s">
        <v>181</v>
      </c>
      <c r="C41" s="246" t="str">
        <f>B40</f>
        <v>InsMyCol</v>
      </c>
      <c r="D41" s="198"/>
      <c r="E41" s="223" t="s">
        <v>172</v>
      </c>
      <c r="F41" s="192" t="str">
        <f>F16</f>
        <v>LOAD_1C_P</v>
      </c>
      <c r="G41" s="195"/>
      <c r="H41" s="202"/>
      <c r="I41" s="202"/>
      <c r="J41" s="243"/>
      <c r="K41" s="192" t="str">
        <f>TOCmatch!B8</f>
        <v>Платежи</v>
      </c>
      <c r="L41" s="202" t="str">
        <f>K39</f>
        <v>SF</v>
      </c>
      <c r="M41" s="202"/>
      <c r="N41" s="202"/>
      <c r="O41" s="243"/>
    </row>
    <row r="42" spans="1:15" outlineLevel="1" x14ac:dyDescent="0.25">
      <c r="A42" s="245">
        <v>41552.978090277778</v>
      </c>
      <c r="B42" s="186" t="s">
        <v>100</v>
      </c>
      <c r="C42" s="960" t="str">
        <f>B41</f>
        <v>ProcStart</v>
      </c>
      <c r="D42" s="202"/>
      <c r="E42" s="223" t="s">
        <v>172</v>
      </c>
      <c r="F42" s="192"/>
      <c r="G42" s="195"/>
      <c r="H42" s="202"/>
      <c r="I42" s="202"/>
      <c r="J42" s="243"/>
      <c r="K42" s="192" t="str">
        <f>K39</f>
        <v>SF</v>
      </c>
      <c r="L42" s="202" t="str">
        <f>TOCmatch!B8</f>
        <v>Платежи</v>
      </c>
      <c r="M42" s="202"/>
      <c r="N42" s="202"/>
      <c r="O42" s="243"/>
    </row>
    <row r="43" spans="1:15" outlineLevel="1" x14ac:dyDescent="0.25">
      <c r="A43" s="183">
        <v>41552.978101851855</v>
      </c>
      <c r="B43" s="184" t="s">
        <v>58</v>
      </c>
      <c r="C43" s="185"/>
      <c r="D43" s="186"/>
      <c r="E43" s="187" t="s">
        <v>168</v>
      </c>
      <c r="F43" s="837">
        <v>5</v>
      </c>
      <c r="G43" s="195"/>
      <c r="H43" s="202"/>
      <c r="I43" s="202"/>
      <c r="J43" s="203"/>
      <c r="K43" s="192" t="str">
        <f>K39</f>
        <v>SF</v>
      </c>
      <c r="L43" s="202"/>
      <c r="M43" s="202"/>
      <c r="N43" s="202"/>
      <c r="O43" s="203"/>
    </row>
    <row r="44" spans="1:15" outlineLevel="1" x14ac:dyDescent="0.25">
      <c r="A44" s="183">
        <v>41552.978113425925</v>
      </c>
      <c r="B44" s="854" t="s">
        <v>1199</v>
      </c>
      <c r="C44" s="185"/>
      <c r="D44" s="186"/>
      <c r="E44" s="187" t="s">
        <v>168</v>
      </c>
      <c r="F44" s="247"/>
      <c r="G44" s="195"/>
      <c r="H44" s="202"/>
      <c r="I44" s="202"/>
      <c r="J44" s="203"/>
      <c r="K44" s="192" t="str">
        <f>K39</f>
        <v>SF</v>
      </c>
      <c r="L44" s="202"/>
      <c r="M44" s="202"/>
      <c r="N44" s="202"/>
      <c r="O44" s="203"/>
    </row>
    <row r="45" spans="1:15" s="211" customFormat="1" outlineLevel="1" x14ac:dyDescent="0.25">
      <c r="A45" s="249">
        <v>41509.160416666666</v>
      </c>
      <c r="B45" s="204" t="s">
        <v>32</v>
      </c>
      <c r="C45" s="250"/>
      <c r="D45" s="204"/>
      <c r="E45" s="205" t="s">
        <v>172</v>
      </c>
      <c r="F45" s="206"/>
      <c r="G45" s="207"/>
      <c r="H45" s="207"/>
      <c r="I45" s="207"/>
      <c r="J45" s="208"/>
      <c r="K45" s="209" t="str">
        <f>K39</f>
        <v>SF</v>
      </c>
      <c r="L45" s="210"/>
      <c r="M45" s="207"/>
      <c r="N45" s="210"/>
      <c r="O45" s="208"/>
    </row>
    <row r="46" spans="1:15" s="177" customFormat="1" x14ac:dyDescent="0.25">
      <c r="A46" s="212"/>
      <c r="B46" s="857" t="s">
        <v>167</v>
      </c>
      <c r="C46" s="213"/>
      <c r="D46" s="214"/>
      <c r="E46" s="215" t="s">
        <v>172</v>
      </c>
      <c r="F46" s="216" t="s">
        <v>182</v>
      </c>
      <c r="G46" s="214"/>
      <c r="H46" s="214"/>
      <c r="I46" s="214"/>
      <c r="J46" s="217"/>
      <c r="K46" s="218" t="s">
        <v>62</v>
      </c>
      <c r="L46" s="219"/>
      <c r="M46" s="214"/>
      <c r="N46" s="219"/>
      <c r="O46" s="217"/>
    </row>
    <row r="47" spans="1:15" outlineLevel="1" x14ac:dyDescent="0.25">
      <c r="A47" s="183">
        <v>41552.970439814817</v>
      </c>
      <c r="B47" s="184" t="s">
        <v>84</v>
      </c>
      <c r="C47" s="930" t="s">
        <v>66</v>
      </c>
      <c r="D47" s="186"/>
      <c r="E47" s="187" t="s">
        <v>168</v>
      </c>
      <c r="F47" s="192"/>
      <c r="G47" s="190"/>
      <c r="H47" s="202"/>
      <c r="I47" s="202"/>
      <c r="J47" s="243"/>
      <c r="K47" s="244" t="s">
        <v>62</v>
      </c>
      <c r="M47" s="202"/>
      <c r="N47" s="202"/>
      <c r="O47" s="243"/>
    </row>
    <row r="48" spans="1:15" outlineLevel="1" x14ac:dyDescent="0.25">
      <c r="A48" s="183">
        <v>41552.970543981479</v>
      </c>
      <c r="B48" s="184" t="s">
        <v>100</v>
      </c>
      <c r="C48" s="185" t="str">
        <f>B47</f>
        <v>InsMyCol</v>
      </c>
      <c r="D48" s="186"/>
      <c r="E48" s="187" t="s">
        <v>168</v>
      </c>
      <c r="F48" s="192"/>
      <c r="G48" s="195"/>
      <c r="H48" s="202"/>
      <c r="I48" s="202"/>
      <c r="J48" s="243"/>
      <c r="K48" s="244" t="s">
        <v>62</v>
      </c>
      <c r="L48" s="198" t="s">
        <v>40</v>
      </c>
      <c r="M48" s="202"/>
      <c r="N48" s="193" t="s">
        <v>68</v>
      </c>
      <c r="O48" s="243"/>
    </row>
    <row r="49" spans="1:15" outlineLevel="1" x14ac:dyDescent="0.25">
      <c r="A49" s="183">
        <v>41552.970555555556</v>
      </c>
      <c r="B49" s="184" t="s">
        <v>58</v>
      </c>
      <c r="C49" s="185" t="str">
        <f>B48</f>
        <v>Adapt</v>
      </c>
      <c r="D49" s="186"/>
      <c r="E49" s="187" t="s">
        <v>168</v>
      </c>
      <c r="F49" s="847">
        <v>8</v>
      </c>
      <c r="G49" s="195"/>
      <c r="H49" s="202"/>
      <c r="I49" s="202"/>
      <c r="J49" s="203"/>
      <c r="K49" s="244" t="s">
        <v>62</v>
      </c>
      <c r="L49" s="202"/>
      <c r="M49" s="202"/>
      <c r="N49" s="202"/>
      <c r="O49" s="203"/>
    </row>
    <row r="50" spans="1:15" outlineLevel="1" x14ac:dyDescent="0.25">
      <c r="A50" s="183">
        <v>41552.970763888887</v>
      </c>
      <c r="B50" s="197" t="s">
        <v>181</v>
      </c>
      <c r="C50" s="225" t="str">
        <f>B49</f>
        <v>DateSort</v>
      </c>
      <c r="D50" s="198"/>
      <c r="E50" s="223" t="s">
        <v>168</v>
      </c>
      <c r="F50" s="192" t="str">
        <f>F25</f>
        <v>LOAD_1C_DOG</v>
      </c>
      <c r="G50" s="195"/>
      <c r="H50" s="202"/>
      <c r="I50" s="202"/>
      <c r="J50" s="243"/>
      <c r="K50" s="244" t="s">
        <v>40</v>
      </c>
      <c r="L50" s="202"/>
      <c r="M50" s="202"/>
      <c r="N50" s="202"/>
      <c r="O50" s="243"/>
    </row>
    <row r="51" spans="1:15" s="211" customFormat="1" outlineLevel="1" x14ac:dyDescent="0.25">
      <c r="A51" s="855">
        <v>41507.005196759259</v>
      </c>
      <c r="B51" s="856" t="s">
        <v>32</v>
      </c>
      <c r="C51" s="250"/>
      <c r="D51" s="204"/>
      <c r="E51" s="205" t="s">
        <v>168</v>
      </c>
      <c r="F51" s="206"/>
      <c r="G51" s="207"/>
      <c r="H51" s="207"/>
      <c r="I51" s="207"/>
      <c r="J51" s="208"/>
      <c r="K51" s="209"/>
      <c r="L51" s="210"/>
      <c r="M51" s="207"/>
      <c r="N51" s="210"/>
      <c r="O51" s="208"/>
    </row>
    <row r="52" spans="1:15" s="177" customFormat="1" x14ac:dyDescent="0.25">
      <c r="A52" s="251"/>
      <c r="B52" s="956" t="s">
        <v>167</v>
      </c>
      <c r="C52" s="253"/>
      <c r="D52" s="214"/>
      <c r="E52" s="215" t="s">
        <v>172</v>
      </c>
      <c r="F52" s="216" t="s">
        <v>186</v>
      </c>
      <c r="G52" s="214"/>
      <c r="H52" s="214"/>
      <c r="I52" s="214"/>
      <c r="J52" s="217"/>
      <c r="K52" s="218" t="s">
        <v>68</v>
      </c>
      <c r="L52" s="219"/>
      <c r="M52" s="214"/>
      <c r="N52" s="219"/>
      <c r="O52" s="217"/>
    </row>
    <row r="53" spans="1:15" s="177" customFormat="1" outlineLevel="1" x14ac:dyDescent="0.25">
      <c r="A53" s="196">
        <v>41542.773935185185</v>
      </c>
      <c r="B53" s="846" t="s">
        <v>1210</v>
      </c>
      <c r="C53" s="845"/>
      <c r="D53" s="190"/>
      <c r="E53" s="199" t="s">
        <v>168</v>
      </c>
      <c r="F53" s="861" t="str">
        <f>TOCmatch!B17</f>
        <v>SFacc</v>
      </c>
      <c r="G53" s="190"/>
      <c r="H53" s="190"/>
      <c r="I53" s="190"/>
      <c r="J53" s="191"/>
      <c r="K53" s="192" t="str">
        <f>TOCmatch!B12</f>
        <v>Список клиентов 1C</v>
      </c>
      <c r="L53" s="195"/>
      <c r="M53" s="190"/>
      <c r="N53" s="195"/>
      <c r="O53" s="191"/>
    </row>
    <row r="54" spans="1:15" outlineLevel="1" x14ac:dyDescent="0.25">
      <c r="A54" s="245">
        <v>41547.91375</v>
      </c>
      <c r="B54" s="186" t="s">
        <v>181</v>
      </c>
      <c r="C54" s="246"/>
      <c r="D54" s="198"/>
      <c r="E54" s="223" t="s">
        <v>172</v>
      </c>
      <c r="F54" s="192" t="str">
        <f>F16</f>
        <v>LOAD_1C_P</v>
      </c>
      <c r="G54" s="195"/>
      <c r="H54" s="202"/>
      <c r="I54" s="202"/>
      <c r="J54" s="203"/>
      <c r="K54" s="192" t="str">
        <f>K52</f>
        <v>SFacc</v>
      </c>
      <c r="L54" s="195" t="str">
        <f>TOCmatch!B8</f>
        <v>Платежи</v>
      </c>
      <c r="M54" s="195"/>
      <c r="N54" s="202"/>
      <c r="O54" s="203"/>
    </row>
    <row r="55" spans="1:15" outlineLevel="1" x14ac:dyDescent="0.25">
      <c r="A55" s="245">
        <v>41544.077534722222</v>
      </c>
      <c r="B55" s="186" t="s">
        <v>181</v>
      </c>
      <c r="C55" s="246"/>
      <c r="D55" s="198"/>
      <c r="E55" s="223" t="s">
        <v>172</v>
      </c>
      <c r="F55" s="192" t="str">
        <f>F25</f>
        <v>LOAD_1C_DOG</v>
      </c>
      <c r="G55" s="195"/>
      <c r="H55" s="202"/>
      <c r="I55" s="202"/>
      <c r="J55" s="203"/>
      <c r="K55" s="192" t="str">
        <f>K52</f>
        <v>SFacc</v>
      </c>
      <c r="L55" s="195" t="str">
        <f>TOCmatch!B10</f>
        <v>Договоры</v>
      </c>
      <c r="M55" s="195"/>
      <c r="N55" s="202"/>
      <c r="O55" s="203"/>
    </row>
    <row r="56" spans="1:15" outlineLevel="1" x14ac:dyDescent="0.25">
      <c r="A56" s="183">
        <v>41544.077743055554</v>
      </c>
      <c r="B56" s="184" t="s">
        <v>181</v>
      </c>
      <c r="C56" s="185"/>
      <c r="D56" s="198"/>
      <c r="E56" s="223" t="s">
        <v>168</v>
      </c>
      <c r="F56" s="192" t="str">
        <f>F33</f>
        <v>LOAD_1C_ACC</v>
      </c>
      <c r="G56" s="195"/>
      <c r="H56" s="202"/>
      <c r="I56" s="202"/>
      <c r="J56" s="203"/>
      <c r="K56" s="192" t="str">
        <f>K52</f>
        <v>SFacc</v>
      </c>
      <c r="L56" s="195" t="str">
        <f>TOCmatch!B12</f>
        <v>Список клиентов 1C</v>
      </c>
      <c r="M56" s="195"/>
      <c r="N56" s="202"/>
      <c r="O56" s="203"/>
    </row>
    <row r="57" spans="1:15" s="180" customFormat="1" outlineLevel="1" x14ac:dyDescent="0.25">
      <c r="A57" s="317">
        <v>41507.01185185185</v>
      </c>
      <c r="B57" s="248" t="s">
        <v>32</v>
      </c>
      <c r="C57" s="318"/>
      <c r="D57" s="248"/>
      <c r="E57" s="199" t="s">
        <v>168</v>
      </c>
      <c r="F57" s="319"/>
      <c r="G57" s="190"/>
      <c r="H57" s="190"/>
      <c r="I57" s="190"/>
      <c r="J57" s="191"/>
      <c r="K57" s="192"/>
      <c r="L57" s="195"/>
      <c r="M57" s="190"/>
      <c r="N57" s="195"/>
      <c r="O57" s="191"/>
    </row>
    <row r="58" spans="1:15" s="323" customFormat="1" x14ac:dyDescent="0.25">
      <c r="A58" s="212"/>
      <c r="B58" s="857" t="s">
        <v>167</v>
      </c>
      <c r="C58" s="213"/>
      <c r="D58" s="214"/>
      <c r="E58" s="215"/>
      <c r="F58" s="928" t="s">
        <v>1258</v>
      </c>
      <c r="G58" s="214"/>
      <c r="H58" s="214"/>
      <c r="I58" s="214"/>
      <c r="J58" s="217"/>
      <c r="K58" s="218" t="str">
        <f>TOCmatch!B23</f>
        <v>SF_DicAccSyn</v>
      </c>
      <c r="L58" s="219"/>
      <c r="M58" s="214"/>
      <c r="N58" s="219"/>
      <c r="O58" s="217"/>
    </row>
    <row r="59" spans="1:15" outlineLevel="1" x14ac:dyDescent="0.25">
      <c r="A59" s="183">
        <v>41548.036597222221</v>
      </c>
      <c r="B59" s="854" t="s">
        <v>1252</v>
      </c>
      <c r="C59" s="937" t="s">
        <v>66</v>
      </c>
      <c r="D59" s="198"/>
      <c r="E59" s="223" t="s">
        <v>168</v>
      </c>
      <c r="F59" s="931" t="str">
        <f>TOCmatch!B43</f>
        <v>DicAccSynonims</v>
      </c>
      <c r="G59" s="195"/>
      <c r="H59" s="202"/>
      <c r="I59" s="202"/>
      <c r="J59" s="203"/>
      <c r="K59" s="192" t="str">
        <f>K58</f>
        <v>SF_DicAccSyn</v>
      </c>
      <c r="L59" s="195"/>
      <c r="M59" s="195"/>
      <c r="N59" s="32"/>
      <c r="O59" s="203"/>
    </row>
    <row r="60" spans="1:15" s="233" customFormat="1" ht="15.75" outlineLevel="1" thickBot="1" x14ac:dyDescent="0.3">
      <c r="A60" s="938">
        <v>41507.01185185185</v>
      </c>
      <c r="B60" s="939" t="s">
        <v>32</v>
      </c>
      <c r="C60" s="848"/>
      <c r="D60" s="226"/>
      <c r="E60" s="227" t="s">
        <v>168</v>
      </c>
      <c r="F60" s="228"/>
      <c r="G60" s="229"/>
      <c r="H60" s="229"/>
      <c r="I60" s="229"/>
      <c r="J60" s="230"/>
      <c r="K60" s="231"/>
      <c r="L60" s="232"/>
      <c r="M60" s="229"/>
      <c r="N60" s="232"/>
      <c r="O60" s="230"/>
    </row>
    <row r="61" spans="1:15" s="177" customFormat="1" ht="15.75" thickTop="1" x14ac:dyDescent="0.25">
      <c r="A61" s="175"/>
      <c r="B61" s="176" t="s">
        <v>167</v>
      </c>
      <c r="C61" s="175"/>
      <c r="E61" s="178"/>
      <c r="F61" s="179" t="s">
        <v>104</v>
      </c>
      <c r="G61" s="180"/>
      <c r="H61" s="180"/>
      <c r="I61" s="180"/>
      <c r="J61" s="181"/>
      <c r="K61" s="182" t="s">
        <v>99</v>
      </c>
      <c r="L61" s="180"/>
      <c r="M61" s="180"/>
      <c r="N61" s="180"/>
      <c r="O61" s="181"/>
    </row>
    <row r="62" spans="1:15" s="177" customFormat="1" outlineLevel="1" x14ac:dyDescent="0.25">
      <c r="A62" s="183">
        <v>41473.017916666664</v>
      </c>
      <c r="B62" s="184" t="s">
        <v>187</v>
      </c>
      <c r="C62" s="185" t="s">
        <v>66</v>
      </c>
      <c r="D62" s="186"/>
      <c r="E62" s="187" t="s">
        <v>168</v>
      </c>
      <c r="F62" s="254" t="s">
        <v>188</v>
      </c>
      <c r="G62" s="194"/>
      <c r="H62" s="190"/>
      <c r="I62" s="190"/>
      <c r="J62" s="191"/>
      <c r="K62" s="192" t="str">
        <f>K61</f>
        <v>Заказы</v>
      </c>
      <c r="L62" s="195"/>
      <c r="M62" s="190"/>
      <c r="N62" s="195"/>
      <c r="O62" s="191"/>
    </row>
    <row r="63" spans="1:15" s="177" customFormat="1" outlineLevel="1" x14ac:dyDescent="0.25">
      <c r="A63" s="183">
        <v>41473.017928240741</v>
      </c>
      <c r="B63" s="184" t="s">
        <v>84</v>
      </c>
      <c r="C63" s="200" t="str">
        <f>B62</f>
        <v>RowDel</v>
      </c>
      <c r="D63" s="186"/>
      <c r="E63" s="187" t="s">
        <v>168</v>
      </c>
      <c r="F63" s="192" t="s">
        <v>189</v>
      </c>
      <c r="G63" s="189"/>
      <c r="H63" s="190"/>
      <c r="I63" s="190"/>
      <c r="J63" s="191"/>
      <c r="K63" s="192" t="str">
        <f>K61</f>
        <v>Заказы</v>
      </c>
      <c r="L63" s="195"/>
      <c r="M63" s="190"/>
      <c r="N63" s="195"/>
      <c r="O63" s="191"/>
    </row>
    <row r="64" spans="1:15" s="177" customFormat="1" outlineLevel="1" x14ac:dyDescent="0.25">
      <c r="A64" s="245">
        <v>41506.983391203707</v>
      </c>
      <c r="B64" s="186" t="s">
        <v>100</v>
      </c>
      <c r="C64" s="255" t="str">
        <f>B63</f>
        <v>InsMyCol</v>
      </c>
      <c r="D64" s="186"/>
      <c r="E64" s="187" t="s">
        <v>172</v>
      </c>
      <c r="F64" s="179" t="s">
        <v>189</v>
      </c>
      <c r="G64" s="194"/>
      <c r="H64" s="194"/>
      <c r="I64" s="194"/>
      <c r="J64" s="256"/>
      <c r="K64" s="192" t="str">
        <f>K62</f>
        <v>Заказы</v>
      </c>
      <c r="L64" s="195" t="s">
        <v>31</v>
      </c>
      <c r="M64" s="190"/>
      <c r="N64" s="193" t="s">
        <v>79</v>
      </c>
      <c r="O64" s="191"/>
    </row>
    <row r="65" spans="1:16" s="211" customFormat="1" ht="15.75" outlineLevel="1" thickBot="1" x14ac:dyDescent="0.3">
      <c r="A65" s="249">
        <v>41506.983391203707</v>
      </c>
      <c r="B65" s="204" t="s">
        <v>32</v>
      </c>
      <c r="C65" s="250"/>
      <c r="D65" s="204"/>
      <c r="E65" s="205" t="s">
        <v>168</v>
      </c>
      <c r="F65" s="206"/>
      <c r="G65" s="207"/>
      <c r="H65" s="207"/>
      <c r="I65" s="207"/>
      <c r="J65" s="208"/>
      <c r="K65" s="209"/>
      <c r="L65" s="210"/>
      <c r="M65" s="207"/>
      <c r="N65" s="210"/>
      <c r="O65" s="208"/>
    </row>
    <row r="66" spans="1:16" s="177" customFormat="1" ht="16.5" thickTop="1" thickBot="1" x14ac:dyDescent="0.3">
      <c r="A66" s="175"/>
      <c r="B66" s="176" t="s">
        <v>167</v>
      </c>
      <c r="C66" s="175"/>
      <c r="E66" s="257" t="s">
        <v>65</v>
      </c>
      <c r="F66" s="179" t="s">
        <v>88</v>
      </c>
      <c r="G66" s="180"/>
      <c r="H66" s="180"/>
      <c r="I66" s="180"/>
      <c r="J66" s="181"/>
      <c r="K66" s="182" t="s">
        <v>82</v>
      </c>
      <c r="L66" s="180"/>
      <c r="M66" s="180"/>
      <c r="N66" s="180"/>
      <c r="O66" s="181"/>
    </row>
    <row r="67" spans="1:16" s="177" customFormat="1" ht="15.75" outlineLevel="1" thickTop="1" x14ac:dyDescent="0.25">
      <c r="A67" s="245"/>
      <c r="B67" s="186" t="s">
        <v>187</v>
      </c>
      <c r="C67" s="246" t="s">
        <v>66</v>
      </c>
      <c r="D67" s="186"/>
      <c r="E67" s="187" t="s">
        <v>172</v>
      </c>
      <c r="F67" s="254" t="s">
        <v>190</v>
      </c>
      <c r="G67" s="194"/>
      <c r="H67" s="190"/>
      <c r="I67" s="190"/>
      <c r="J67" s="191"/>
      <c r="K67" s="258" t="str">
        <f>K66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84</v>
      </c>
      <c r="C68" s="255" t="str">
        <f>B67</f>
        <v>RowDel</v>
      </c>
      <c r="D68" s="186"/>
      <c r="E68" s="187" t="s">
        <v>172</v>
      </c>
      <c r="F68" s="192" t="s">
        <v>191</v>
      </c>
      <c r="G68" s="194"/>
      <c r="H68" s="190"/>
      <c r="I68" s="190"/>
      <c r="J68" s="191"/>
      <c r="K68" s="192" t="str">
        <f>K66</f>
        <v>Склад</v>
      </c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192</v>
      </c>
      <c r="C69" s="259"/>
      <c r="D69" s="186"/>
      <c r="E69" s="187" t="s">
        <v>172</v>
      </c>
      <c r="F69" s="254" t="s">
        <v>168</v>
      </c>
      <c r="G69" s="194" t="s">
        <v>193</v>
      </c>
      <c r="H69" s="190"/>
      <c r="I69" s="190"/>
      <c r="J69" s="191"/>
      <c r="K69" s="192"/>
      <c r="L69" s="195"/>
      <c r="M69" s="190"/>
      <c r="N69" s="195"/>
      <c r="O69" s="191"/>
    </row>
    <row r="70" spans="1:16" s="177" customFormat="1" outlineLevel="1" x14ac:dyDescent="0.25">
      <c r="A70" s="245"/>
      <c r="B70" s="186" t="s">
        <v>100</v>
      </c>
      <c r="C70" s="255" t="str">
        <f>B68</f>
        <v>InsMyCol</v>
      </c>
      <c r="D70" s="186"/>
      <c r="E70" s="187" t="s">
        <v>172</v>
      </c>
      <c r="F70" s="179" t="str">
        <f>F68</f>
        <v>Stock_MyCol</v>
      </c>
      <c r="G70" s="194"/>
      <c r="H70" s="190"/>
      <c r="I70" s="190"/>
      <c r="J70" s="191"/>
      <c r="K70" s="192" t="str">
        <f>K66</f>
        <v>Склад</v>
      </c>
      <c r="L70" s="195" t="str">
        <f>L163</f>
        <v>Платежи</v>
      </c>
      <c r="M70" s="190"/>
      <c r="N70" s="193" t="s">
        <v>57</v>
      </c>
      <c r="O70" s="191"/>
    </row>
    <row r="71" spans="1:16" s="211" customFormat="1" ht="15.75" outlineLevel="1" thickBot="1" x14ac:dyDescent="0.3">
      <c r="A71" s="249"/>
      <c r="B71" s="204" t="s">
        <v>32</v>
      </c>
      <c r="C71" s="250"/>
      <c r="D71" s="204"/>
      <c r="E71" s="205" t="s">
        <v>172</v>
      </c>
      <c r="F71" s="206"/>
      <c r="G71" s="207"/>
      <c r="H71" s="207"/>
      <c r="I71" s="207"/>
      <c r="J71" s="208"/>
      <c r="K71" s="209"/>
      <c r="L71" s="210"/>
      <c r="M71" s="207"/>
      <c r="N71" s="210"/>
      <c r="O71" s="208"/>
    </row>
    <row r="72" spans="1:16" s="177" customFormat="1" ht="16.5" thickTop="1" thickBot="1" x14ac:dyDescent="0.3">
      <c r="A72" s="234"/>
      <c r="B72" s="235" t="s">
        <v>167</v>
      </c>
      <c r="C72" s="236"/>
      <c r="D72" s="237"/>
      <c r="E72" s="257" t="s">
        <v>65</v>
      </c>
      <c r="F72" s="239" t="s">
        <v>194</v>
      </c>
      <c r="G72" s="237"/>
      <c r="H72" s="237"/>
      <c r="I72" s="237"/>
      <c r="J72" s="240"/>
      <c r="K72" s="260" t="s">
        <v>31</v>
      </c>
      <c r="L72" s="242"/>
      <c r="M72" s="237"/>
      <c r="N72" s="242"/>
      <c r="O72" s="240"/>
      <c r="P72" s="868"/>
    </row>
    <row r="73" spans="1:16" ht="15.75" thickTop="1" x14ac:dyDescent="0.25">
      <c r="A73" s="245">
        <v>41552.946655092594</v>
      </c>
      <c r="B73" s="186" t="s">
        <v>181</v>
      </c>
      <c r="C73" s="246"/>
      <c r="D73" s="198"/>
      <c r="E73" s="187" t="s">
        <v>172</v>
      </c>
      <c r="F73" s="192" t="str">
        <f>F16</f>
        <v>LOAD_1C_P</v>
      </c>
      <c r="G73" s="195"/>
      <c r="H73" s="202"/>
      <c r="I73" s="202"/>
      <c r="J73" s="203"/>
      <c r="K73" s="192" t="str">
        <f>K72</f>
        <v>Платежи</v>
      </c>
      <c r="L73" s="193" t="str">
        <f>TOCmatch!B14</f>
        <v>SF</v>
      </c>
      <c r="O73" s="203"/>
      <c r="P73" s="869"/>
    </row>
    <row r="74" spans="1:16" x14ac:dyDescent="0.25">
      <c r="A74" s="245">
        <v>41552.951504629629</v>
      </c>
      <c r="B74" s="957" t="s">
        <v>1214</v>
      </c>
      <c r="C74" s="255"/>
      <c r="D74" s="198"/>
      <c r="E74" s="187" t="s">
        <v>172</v>
      </c>
      <c r="F74" s="192"/>
      <c r="G74" s="195"/>
      <c r="H74" s="202"/>
      <c r="I74" s="202"/>
      <c r="J74" s="243"/>
      <c r="K74" s="244" t="s">
        <v>31</v>
      </c>
      <c r="L74" s="193" t="str">
        <f>TOCmatch!B15</f>
        <v>SFD</v>
      </c>
      <c r="M74" s="193" t="str">
        <f>TOCmatch!B16</f>
        <v>SFopp</v>
      </c>
      <c r="N74" s="202" t="str">
        <f>TOCmatch!B10</f>
        <v>Договоры</v>
      </c>
      <c r="O74" s="243"/>
      <c r="P74" s="873"/>
    </row>
    <row r="75" spans="1:16" s="177" customFormat="1" x14ac:dyDescent="0.25">
      <c r="A75" s="245">
        <v>41552.951527777775</v>
      </c>
      <c r="B75" s="248" t="s">
        <v>135</v>
      </c>
      <c r="C75" s="268" t="str">
        <f>B74</f>
        <v>Paid1C</v>
      </c>
      <c r="D75" s="186"/>
      <c r="E75" s="187" t="s">
        <v>172</v>
      </c>
      <c r="F75" s="275" t="str">
        <f>TOCmatch!B46</f>
        <v>NewContract</v>
      </c>
      <c r="G75" s="195" t="s">
        <v>202</v>
      </c>
      <c r="H75" s="202" t="s">
        <v>210</v>
      </c>
      <c r="I75" s="202" t="s">
        <v>211</v>
      </c>
      <c r="J75" s="191"/>
      <c r="K75" s="267" t="str">
        <f>F75</f>
        <v>NewContract</v>
      </c>
      <c r="M75" s="190"/>
      <c r="N75" s="195"/>
      <c r="O75" s="191"/>
      <c r="P75" s="869"/>
    </row>
    <row r="76" spans="1:16" x14ac:dyDescent="0.25">
      <c r="A76" s="245">
        <v>41552.951527777775</v>
      </c>
      <c r="B76" s="248" t="s">
        <v>135</v>
      </c>
      <c r="C76" s="255" t="str">
        <f>B74</f>
        <v>Paid1C</v>
      </c>
      <c r="D76" s="198"/>
      <c r="E76" s="223" t="s">
        <v>172</v>
      </c>
      <c r="F76" s="275" t="str">
        <f>TOCmatch!B45</f>
        <v>NewPayment</v>
      </c>
      <c r="G76" s="195" t="s">
        <v>202</v>
      </c>
      <c r="H76" s="202" t="s">
        <v>203</v>
      </c>
      <c r="I76" s="202" t="s">
        <v>204</v>
      </c>
      <c r="J76" s="191"/>
      <c r="K76" s="267" t="str">
        <f>F76</f>
        <v>NewPayment</v>
      </c>
      <c r="L76" s="202"/>
      <c r="M76" s="202"/>
      <c r="N76" s="202"/>
      <c r="O76" s="243"/>
      <c r="P76" s="869"/>
    </row>
    <row r="77" spans="1:16" x14ac:dyDescent="0.25">
      <c r="A77" s="245">
        <v>41552.951539351852</v>
      </c>
      <c r="B77" s="248" t="s">
        <v>135</v>
      </c>
      <c r="C77" s="255" t="str">
        <f>B74</f>
        <v>Paid1C</v>
      </c>
      <c r="D77" s="198"/>
      <c r="E77" s="223" t="s">
        <v>172</v>
      </c>
      <c r="F77" s="275" t="str">
        <f>TOCmatch!B47</f>
        <v>NewOpp</v>
      </c>
      <c r="G77" s="195" t="s">
        <v>202</v>
      </c>
      <c r="H77" s="895" t="s">
        <v>217</v>
      </c>
      <c r="I77" s="895" t="s">
        <v>218</v>
      </c>
      <c r="J77" s="191"/>
      <c r="K77" s="267" t="str">
        <f>F77</f>
        <v>NewOpp</v>
      </c>
      <c r="L77" s="202"/>
      <c r="M77" s="202"/>
      <c r="N77" s="202"/>
      <c r="O77" s="243"/>
      <c r="P77" s="869"/>
    </row>
    <row r="78" spans="1:16" x14ac:dyDescent="0.25">
      <c r="A78" s="245">
        <v>41552.951550925929</v>
      </c>
      <c r="B78" s="248" t="s">
        <v>135</v>
      </c>
      <c r="C78" s="255" t="str">
        <f>B74</f>
        <v>Paid1C</v>
      </c>
      <c r="D78" s="198"/>
      <c r="E78" s="223" t="s">
        <v>172</v>
      </c>
      <c r="F78" s="275" t="str">
        <f>TOCmatch!B50</f>
        <v>ContractUpdate</v>
      </c>
      <c r="G78" s="195" t="s">
        <v>202</v>
      </c>
      <c r="H78" s="895" t="s">
        <v>1241</v>
      </c>
      <c r="I78" s="895" t="s">
        <v>1242</v>
      </c>
      <c r="J78" s="191"/>
      <c r="K78" s="267" t="str">
        <f>F78</f>
        <v>ContractUpdate</v>
      </c>
      <c r="L78" s="202"/>
      <c r="M78" s="202"/>
      <c r="N78" s="202"/>
      <c r="O78" s="243"/>
      <c r="P78" s="869"/>
    </row>
    <row r="79" spans="1:16" s="211" customFormat="1" ht="15.75" thickBot="1" x14ac:dyDescent="0.3">
      <c r="A79" s="249"/>
      <c r="B79" s="204" t="s">
        <v>32</v>
      </c>
      <c r="C79" s="250">
        <v>2</v>
      </c>
      <c r="D79" s="204"/>
      <c r="E79" s="205" t="s">
        <v>172</v>
      </c>
      <c r="F79" s="206"/>
      <c r="G79" s="207"/>
      <c r="H79" s="207"/>
      <c r="I79" s="207"/>
      <c r="J79" s="208"/>
      <c r="K79" s="209"/>
      <c r="L79" s="210"/>
      <c r="M79" s="207"/>
      <c r="N79" s="210"/>
      <c r="O79" s="208"/>
      <c r="P79" s="870"/>
    </row>
    <row r="80" spans="1:16" s="177" customFormat="1" ht="16.5" thickTop="1" thickBot="1" x14ac:dyDescent="0.3">
      <c r="A80" s="245"/>
      <c r="B80" s="186" t="s">
        <v>167</v>
      </c>
      <c r="C80" s="263"/>
      <c r="D80" s="264"/>
      <c r="E80" s="257" t="s">
        <v>65</v>
      </c>
      <c r="F80" s="940" t="s">
        <v>1257</v>
      </c>
      <c r="G80" s="190"/>
      <c r="H80" s="190"/>
      <c r="I80" s="190"/>
      <c r="J80" s="191"/>
      <c r="K80" s="182" t="s">
        <v>31</v>
      </c>
      <c r="L80" s="195"/>
      <c r="M80" s="190"/>
      <c r="N80" s="195"/>
      <c r="O80" s="191"/>
    </row>
    <row r="81" spans="1:16" s="177" customFormat="1" ht="15.75" thickTop="1" x14ac:dyDescent="0.25">
      <c r="A81" s="245"/>
      <c r="B81" s="186" t="s">
        <v>192</v>
      </c>
      <c r="C81" s="259"/>
      <c r="D81" s="186"/>
      <c r="E81" s="187" t="s">
        <v>172</v>
      </c>
      <c r="F81" s="254" t="s">
        <v>168</v>
      </c>
      <c r="G81" s="194"/>
      <c r="H81" s="190"/>
      <c r="I81" s="190"/>
      <c r="J81" s="191"/>
      <c r="K81" s="192"/>
      <c r="L81" s="195"/>
      <c r="M81" s="190"/>
      <c r="N81" s="195"/>
      <c r="O81" s="191"/>
    </row>
    <row r="82" spans="1:16" s="177" customFormat="1" x14ac:dyDescent="0.25">
      <c r="A82" s="245"/>
      <c r="B82" s="186" t="s">
        <v>200</v>
      </c>
      <c r="C82" s="263"/>
      <c r="D82" s="264"/>
      <c r="E82" s="187" t="s">
        <v>172</v>
      </c>
      <c r="F82" s="267" t="s">
        <v>134</v>
      </c>
      <c r="G82" s="190"/>
      <c r="H82" s="190"/>
      <c r="I82" s="190"/>
      <c r="J82" s="191"/>
      <c r="K82" s="267" t="str">
        <f>F82</f>
        <v>NewPayment</v>
      </c>
      <c r="L82" s="195"/>
      <c r="M82" s="190"/>
      <c r="N82" s="195"/>
      <c r="O82" s="191"/>
    </row>
    <row r="83" spans="1:16" s="177" customFormat="1" x14ac:dyDescent="0.25">
      <c r="A83" s="245"/>
      <c r="B83" s="186" t="s">
        <v>201</v>
      </c>
      <c r="C83" s="268" t="str">
        <f>B82</f>
        <v>NewSheet</v>
      </c>
      <c r="D83" s="186"/>
      <c r="E83" s="187" t="s">
        <v>172</v>
      </c>
      <c r="F83" s="254"/>
      <c r="G83" s="194"/>
      <c r="H83" s="190"/>
      <c r="I83" s="190"/>
      <c r="J83" s="191"/>
      <c r="K83" s="192" t="str">
        <f>K80</f>
        <v>Платежи</v>
      </c>
      <c r="L83" s="193" t="s">
        <v>64</v>
      </c>
      <c r="M83" s="190"/>
      <c r="N83" s="195"/>
      <c r="O83" s="191"/>
    </row>
    <row r="84" spans="1:16" s="177" customFormat="1" x14ac:dyDescent="0.25">
      <c r="A84" s="245"/>
      <c r="B84" s="248" t="s">
        <v>135</v>
      </c>
      <c r="C84" s="268" t="str">
        <f>B83</f>
        <v>NewPaidOpp</v>
      </c>
      <c r="D84" s="186"/>
      <c r="E84" s="187" t="s">
        <v>172</v>
      </c>
      <c r="F84" s="267" t="s">
        <v>134</v>
      </c>
      <c r="G84" s="195" t="s">
        <v>202</v>
      </c>
      <c r="H84" s="202" t="s">
        <v>203</v>
      </c>
      <c r="I84" s="202" t="s">
        <v>204</v>
      </c>
      <c r="J84" s="191"/>
      <c r="K84" s="192"/>
      <c r="L84" s="195"/>
      <c r="M84" s="190"/>
      <c r="N84" s="195"/>
      <c r="O84" s="191"/>
    </row>
    <row r="85" spans="1:16" s="211" customFormat="1" ht="15.75" thickBot="1" x14ac:dyDescent="0.3">
      <c r="A85" s="249"/>
      <c r="B85" s="204" t="s">
        <v>32</v>
      </c>
      <c r="C85" s="250">
        <v>224</v>
      </c>
      <c r="D85" s="204"/>
      <c r="E85" s="205" t="s">
        <v>172</v>
      </c>
      <c r="F85" s="206"/>
      <c r="G85" s="207"/>
      <c r="H85" s="207"/>
      <c r="I85" s="207"/>
      <c r="J85" s="208"/>
      <c r="K85" s="209"/>
      <c r="L85" s="210"/>
      <c r="M85" s="207"/>
      <c r="N85" s="210"/>
      <c r="O85" s="208"/>
    </row>
    <row r="86" spans="1:16" s="177" customFormat="1" ht="16.5" thickTop="1" thickBot="1" x14ac:dyDescent="0.3">
      <c r="A86" s="245"/>
      <c r="B86" s="186" t="s">
        <v>167</v>
      </c>
      <c r="C86" s="263"/>
      <c r="D86" s="264"/>
      <c r="E86" s="257" t="s">
        <v>65</v>
      </c>
      <c r="F86" s="265" t="s">
        <v>199</v>
      </c>
      <c r="G86" s="190"/>
      <c r="H86" s="190"/>
      <c r="I86" s="190"/>
      <c r="J86" s="191"/>
      <c r="K86" s="182" t="s">
        <v>31</v>
      </c>
      <c r="L86" s="195"/>
      <c r="M86" s="190"/>
      <c r="N86" s="195"/>
      <c r="O86" s="191"/>
    </row>
    <row r="87" spans="1:16" s="177" customFormat="1" ht="15.75" thickTop="1" x14ac:dyDescent="0.25">
      <c r="A87" s="245"/>
      <c r="B87" s="186" t="s">
        <v>192</v>
      </c>
      <c r="C87" s="259"/>
      <c r="D87" s="186"/>
      <c r="E87" s="187" t="s">
        <v>172</v>
      </c>
      <c r="F87" s="254" t="s">
        <v>168</v>
      </c>
      <c r="G87" s="194"/>
      <c r="H87" s="190"/>
      <c r="I87" s="190"/>
      <c r="J87" s="191"/>
      <c r="K87" s="192"/>
      <c r="L87" s="195"/>
      <c r="M87" s="190"/>
      <c r="N87" s="195"/>
      <c r="O87" s="191"/>
    </row>
    <row r="88" spans="1:16" s="177" customFormat="1" x14ac:dyDescent="0.25">
      <c r="A88" s="245"/>
      <c r="B88" s="186" t="s">
        <v>200</v>
      </c>
      <c r="C88" s="263"/>
      <c r="D88" s="264"/>
      <c r="E88" s="187" t="s">
        <v>172</v>
      </c>
      <c r="F88" s="267" t="s">
        <v>134</v>
      </c>
      <c r="G88" s="190"/>
      <c r="H88" s="190"/>
      <c r="I88" s="190"/>
      <c r="J88" s="191"/>
      <c r="K88" s="267" t="str">
        <f>F88</f>
        <v>NewPayment</v>
      </c>
      <c r="L88" s="195"/>
      <c r="M88" s="190"/>
      <c r="N88" s="195"/>
      <c r="O88" s="191"/>
    </row>
    <row r="89" spans="1:16" s="177" customFormat="1" x14ac:dyDescent="0.25">
      <c r="A89" s="245"/>
      <c r="B89" s="186" t="s">
        <v>201</v>
      </c>
      <c r="C89" s="268" t="str">
        <f>B88</f>
        <v>NewSheet</v>
      </c>
      <c r="D89" s="186"/>
      <c r="E89" s="187" t="s">
        <v>172</v>
      </c>
      <c r="F89" s="254"/>
      <c r="G89" s="194"/>
      <c r="H89" s="190"/>
      <c r="I89" s="190"/>
      <c r="J89" s="191"/>
      <c r="K89" s="192" t="str">
        <f>K86</f>
        <v>Платежи</v>
      </c>
      <c r="L89" s="193" t="s">
        <v>64</v>
      </c>
      <c r="M89" s="190"/>
      <c r="N89" s="195"/>
      <c r="O89" s="191"/>
    </row>
    <row r="90" spans="1:16" s="177" customFormat="1" x14ac:dyDescent="0.25">
      <c r="A90" s="245"/>
      <c r="B90" s="248" t="s">
        <v>135</v>
      </c>
      <c r="C90" s="268" t="str">
        <f>B89</f>
        <v>NewPaidOpp</v>
      </c>
      <c r="D90" s="186"/>
      <c r="E90" s="187" t="s">
        <v>172</v>
      </c>
      <c r="F90" s="267" t="s">
        <v>134</v>
      </c>
      <c r="G90" s="195" t="s">
        <v>202</v>
      </c>
      <c r="H90" s="202" t="s">
        <v>203</v>
      </c>
      <c r="I90" s="202" t="s">
        <v>204</v>
      </c>
      <c r="J90" s="191"/>
      <c r="K90" s="192"/>
      <c r="L90" s="195"/>
      <c r="M90" s="190"/>
      <c r="N90" s="195"/>
      <c r="O90" s="191"/>
    </row>
    <row r="91" spans="1:16" s="211" customFormat="1" ht="15.75" thickBot="1" x14ac:dyDescent="0.3">
      <c r="A91" s="249"/>
      <c r="B91" s="204" t="s">
        <v>32</v>
      </c>
      <c r="C91" s="250">
        <v>224</v>
      </c>
      <c r="D91" s="204"/>
      <c r="E91" s="205" t="s">
        <v>172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7" customFormat="1" ht="16.5" thickTop="1" thickBot="1" x14ac:dyDescent="0.3">
      <c r="A92" s="245"/>
      <c r="B92" s="186" t="s">
        <v>167</v>
      </c>
      <c r="C92" s="263"/>
      <c r="D92" s="264"/>
      <c r="E92" s="257" t="s">
        <v>65</v>
      </c>
      <c r="F92" s="265" t="s">
        <v>205</v>
      </c>
      <c r="G92" s="190"/>
      <c r="H92" s="190"/>
      <c r="I92" s="190"/>
      <c r="J92" s="191"/>
      <c r="K92" s="182" t="s">
        <v>31</v>
      </c>
      <c r="L92" s="195"/>
      <c r="M92" s="190"/>
      <c r="N92" s="195"/>
      <c r="O92" s="191"/>
      <c r="P92" s="269"/>
    </row>
    <row r="93" spans="1:16" s="177" customFormat="1" ht="15.75" thickTop="1" x14ac:dyDescent="0.25">
      <c r="A93" s="245">
        <v>41506.038622685184</v>
      </c>
      <c r="B93" s="186" t="s">
        <v>100</v>
      </c>
      <c r="C93" s="270" t="str">
        <f>F16&amp;"/"&amp;B20</f>
        <v>LOAD_1C_P/PaymentPaint</v>
      </c>
      <c r="D93" s="186"/>
      <c r="E93" s="187" t="s">
        <v>172</v>
      </c>
      <c r="F93" s="862" t="s">
        <v>206</v>
      </c>
      <c r="G93" s="271" t="str">
        <f>K93</f>
        <v>Платежи</v>
      </c>
      <c r="H93" s="272" t="str">
        <f>F94</f>
        <v>NewPayment</v>
      </c>
      <c r="I93" s="190"/>
      <c r="J93" s="191"/>
      <c r="K93" s="192" t="str">
        <f>K92</f>
        <v>Платежи</v>
      </c>
      <c r="L93" s="193" t="s">
        <v>64</v>
      </c>
      <c r="N93" s="195"/>
      <c r="O93" s="191"/>
      <c r="P93" s="269"/>
    </row>
    <row r="94" spans="1:16" s="177" customFormat="1" x14ac:dyDescent="0.25">
      <c r="A94" s="245">
        <v>41506.038622685184</v>
      </c>
      <c r="B94" s="248" t="s">
        <v>135</v>
      </c>
      <c r="C94" s="268" t="str">
        <f>B93</f>
        <v>Adapt</v>
      </c>
      <c r="D94" s="186"/>
      <c r="E94" s="187" t="s">
        <v>172</v>
      </c>
      <c r="F94" s="267" t="s">
        <v>134</v>
      </c>
      <c r="G94" s="195" t="s">
        <v>202</v>
      </c>
      <c r="H94" s="202" t="s">
        <v>203</v>
      </c>
      <c r="I94" s="202" t="s">
        <v>204</v>
      </c>
      <c r="J94" s="191"/>
      <c r="K94" s="267" t="str">
        <f>F94</f>
        <v>NewPayment</v>
      </c>
      <c r="M94" s="190"/>
      <c r="N94" s="195"/>
      <c r="O94" s="191"/>
      <c r="P94" s="269"/>
    </row>
    <row r="95" spans="1:16" s="211" customFormat="1" ht="15.75" thickBot="1" x14ac:dyDescent="0.3">
      <c r="A95" s="249">
        <v>41506.038634259261</v>
      </c>
      <c r="B95" s="204" t="s">
        <v>32</v>
      </c>
      <c r="C95" s="273">
        <v>67</v>
      </c>
      <c r="D95" s="204"/>
      <c r="E95" s="199" t="s">
        <v>168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274"/>
    </row>
    <row r="96" spans="1:16" s="177" customFormat="1" ht="16.5" thickTop="1" thickBot="1" x14ac:dyDescent="0.3">
      <c r="A96" s="245"/>
      <c r="B96" s="186" t="s">
        <v>167</v>
      </c>
      <c r="C96" s="263"/>
      <c r="D96" s="264"/>
      <c r="E96" s="257" t="s">
        <v>65</v>
      </c>
      <c r="F96" s="265" t="s">
        <v>207</v>
      </c>
      <c r="G96" s="190"/>
      <c r="H96" s="190"/>
      <c r="I96" s="190"/>
      <c r="J96" s="191"/>
      <c r="K96" s="182" t="s">
        <v>31</v>
      </c>
      <c r="L96" s="195"/>
      <c r="M96" s="190"/>
      <c r="N96" s="195"/>
      <c r="O96" s="191"/>
    </row>
    <row r="97" spans="1:16" s="177" customFormat="1" ht="15.75" thickTop="1" x14ac:dyDescent="0.25">
      <c r="A97" s="245">
        <v>41522.105624999997</v>
      </c>
      <c r="B97" s="875" t="s">
        <v>208</v>
      </c>
      <c r="C97" s="270" t="str">
        <f>F16&amp;"/"&amp;B20</f>
        <v>LOAD_1C_P/PaymentPaint</v>
      </c>
      <c r="D97" s="186"/>
      <c r="E97" s="187" t="s">
        <v>172</v>
      </c>
      <c r="F97" s="267" t="s">
        <v>134</v>
      </c>
      <c r="G97" s="194"/>
      <c r="H97" s="190"/>
      <c r="I97" s="190"/>
      <c r="J97" s="191"/>
      <c r="K97" s="192" t="str">
        <f>K96</f>
        <v>Платежи</v>
      </c>
      <c r="L97" s="193" t="s">
        <v>62</v>
      </c>
      <c r="M97" s="193" t="s">
        <v>64</v>
      </c>
      <c r="N97" s="195"/>
      <c r="O97" s="191"/>
    </row>
    <row r="98" spans="1:16" s="177" customFormat="1" x14ac:dyDescent="0.25">
      <c r="A98" s="245">
        <v>41522.105636574073</v>
      </c>
      <c r="B98" s="248" t="s">
        <v>135</v>
      </c>
      <c r="C98" s="268" t="str">
        <f>B97</f>
        <v>PaidContr</v>
      </c>
      <c r="D98" s="186"/>
      <c r="E98" s="187" t="s">
        <v>172</v>
      </c>
      <c r="F98" s="275" t="str">
        <f>F97</f>
        <v>NewPayment</v>
      </c>
      <c r="G98" s="195" t="s">
        <v>202</v>
      </c>
      <c r="H98" s="202" t="s">
        <v>203</v>
      </c>
      <c r="I98" s="202" t="s">
        <v>204</v>
      </c>
      <c r="J98" s="191"/>
      <c r="K98" s="267" t="str">
        <f>F98</f>
        <v>NewPayment</v>
      </c>
      <c r="M98" s="190"/>
      <c r="N98" s="195"/>
      <c r="O98" s="191"/>
    </row>
    <row r="99" spans="1:16" s="211" customFormat="1" ht="15.75" thickBot="1" x14ac:dyDescent="0.3">
      <c r="A99" s="249"/>
      <c r="B99" s="204" t="s">
        <v>32</v>
      </c>
      <c r="C99" s="273">
        <v>0</v>
      </c>
      <c r="D99" s="204"/>
      <c r="E99" s="199" t="s">
        <v>172</v>
      </c>
      <c r="F99" s="206"/>
      <c r="G99" s="207"/>
      <c r="H99" s="207"/>
      <c r="I99" s="207"/>
      <c r="J99" s="208"/>
      <c r="K99" s="209"/>
      <c r="L99" s="210"/>
      <c r="M99" s="207"/>
      <c r="N99" s="210"/>
      <c r="O99" s="208"/>
    </row>
    <row r="100" spans="1:16" s="177" customFormat="1" ht="16.5" thickTop="1" thickBot="1" x14ac:dyDescent="0.3">
      <c r="A100" s="245"/>
      <c r="B100" s="186" t="s">
        <v>167</v>
      </c>
      <c r="C100" s="263"/>
      <c r="D100" s="264"/>
      <c r="E100" s="257" t="s">
        <v>65</v>
      </c>
      <c r="F100" s="276" t="s">
        <v>209</v>
      </c>
      <c r="G100" s="190"/>
      <c r="H100" s="190"/>
      <c r="I100" s="190"/>
      <c r="J100" s="191"/>
      <c r="K100" s="182" t="str">
        <f>K25</f>
        <v>Договоры</v>
      </c>
      <c r="L100" s="195"/>
      <c r="M100" s="190"/>
      <c r="N100" s="195"/>
      <c r="O100" s="191"/>
    </row>
    <row r="101" spans="1:16" s="177" customFormat="1" ht="15.75" thickTop="1" x14ac:dyDescent="0.25">
      <c r="A101" s="245">
        <v>41538.042337962965</v>
      </c>
      <c r="B101" s="186" t="s">
        <v>42</v>
      </c>
      <c r="C101" s="270" t="str">
        <f>F25&amp;"/"&amp;B26</f>
        <v>LOAD_1C_DOG/InsMyCol</v>
      </c>
      <c r="D101" s="186"/>
      <c r="E101" s="187" t="s">
        <v>172</v>
      </c>
      <c r="F101" s="267" t="s">
        <v>137</v>
      </c>
      <c r="G101" s="194"/>
      <c r="H101" s="190"/>
      <c r="I101" s="190"/>
      <c r="J101" s="191"/>
      <c r="K101" s="192" t="str">
        <f>K100</f>
        <v>Договоры</v>
      </c>
      <c r="L101" s="193" t="s">
        <v>62</v>
      </c>
      <c r="M101" s="193" t="s">
        <v>68</v>
      </c>
      <c r="N101" s="195"/>
      <c r="O101" s="191"/>
    </row>
    <row r="102" spans="1:16" s="177" customFormat="1" x14ac:dyDescent="0.25">
      <c r="A102" s="245">
        <v>41538.042349537034</v>
      </c>
      <c r="B102" s="248" t="s">
        <v>135</v>
      </c>
      <c r="C102" s="268" t="str">
        <f>B101</f>
        <v>NewContr</v>
      </c>
      <c r="D102" s="186"/>
      <c r="E102" s="187" t="s">
        <v>172</v>
      </c>
      <c r="F102" s="275" t="str">
        <f>F101</f>
        <v>NewContract</v>
      </c>
      <c r="G102" s="195" t="s">
        <v>202</v>
      </c>
      <c r="H102" s="202" t="s">
        <v>210</v>
      </c>
      <c r="I102" s="202" t="s">
        <v>211</v>
      </c>
      <c r="J102" s="191"/>
      <c r="K102" s="267" t="str">
        <f>F102</f>
        <v>NewContract</v>
      </c>
      <c r="M102" s="190"/>
      <c r="N102" s="195"/>
      <c r="O102" s="191"/>
    </row>
    <row r="103" spans="1:16" s="211" customFormat="1" ht="15.75" thickBot="1" x14ac:dyDescent="0.3">
      <c r="A103" s="249"/>
      <c r="B103" s="204" t="s">
        <v>32</v>
      </c>
      <c r="C103" s="273">
        <v>41</v>
      </c>
      <c r="D103" s="204"/>
      <c r="E103" s="205" t="s">
        <v>172</v>
      </c>
      <c r="F103" s="206"/>
      <c r="G103" s="207"/>
      <c r="H103" s="207"/>
      <c r="I103" s="207"/>
      <c r="J103" s="208"/>
      <c r="K103" s="209"/>
      <c r="L103" s="210"/>
      <c r="M103" s="207"/>
      <c r="N103" s="210"/>
      <c r="O103" s="208"/>
    </row>
    <row r="104" spans="1:16" s="177" customFormat="1" ht="16.5" thickTop="1" thickBot="1" x14ac:dyDescent="0.3">
      <c r="A104" s="245"/>
      <c r="B104" s="186" t="s">
        <v>167</v>
      </c>
      <c r="C104" s="263"/>
      <c r="D104" s="264"/>
      <c r="E104" s="257" t="s">
        <v>65</v>
      </c>
      <c r="F104" s="276" t="s">
        <v>212</v>
      </c>
      <c r="G104" s="190"/>
      <c r="H104" s="190"/>
      <c r="I104" s="190"/>
      <c r="J104" s="191"/>
      <c r="K104" s="182" t="s">
        <v>99</v>
      </c>
      <c r="L104" s="195"/>
      <c r="M104" s="190"/>
      <c r="N104" s="195"/>
      <c r="O104" s="191"/>
      <c r="P104" s="278"/>
    </row>
    <row r="105" spans="1:16" s="177" customFormat="1" ht="15.75" thickTop="1" x14ac:dyDescent="0.25">
      <c r="A105" s="245">
        <v>41430.738321759258</v>
      </c>
      <c r="B105" s="186" t="s">
        <v>142</v>
      </c>
      <c r="C105" s="270" t="str">
        <f>F61&amp;"/"&amp;B64</f>
        <v>LOAD_Order/Adapt</v>
      </c>
      <c r="D105" s="186"/>
      <c r="E105" s="187" t="s">
        <v>172</v>
      </c>
      <c r="F105" s="267" t="s">
        <v>142</v>
      </c>
      <c r="G105" s="194"/>
      <c r="H105" s="190"/>
      <c r="I105" s="190"/>
      <c r="J105" s="191"/>
      <c r="K105" s="192" t="str">
        <f>K104</f>
        <v>Заказы</v>
      </c>
      <c r="L105" s="24" t="s">
        <v>31</v>
      </c>
      <c r="M105" s="193" t="s">
        <v>79</v>
      </c>
      <c r="N105" s="193" t="s">
        <v>57</v>
      </c>
      <c r="O105" s="191"/>
      <c r="P105" s="278"/>
    </row>
    <row r="106" spans="1:16" s="177" customFormat="1" x14ac:dyDescent="0.25">
      <c r="A106" s="245">
        <v>41430.738321759258</v>
      </c>
      <c r="B106" s="248" t="s">
        <v>135</v>
      </c>
      <c r="C106" s="268" t="str">
        <f>B105</f>
        <v>NewOrder</v>
      </c>
      <c r="D106" s="186"/>
      <c r="E106" s="187" t="s">
        <v>172</v>
      </c>
      <c r="F106" s="275" t="str">
        <f>F105</f>
        <v>NewOrder</v>
      </c>
      <c r="G106" s="195" t="s">
        <v>202</v>
      </c>
      <c r="H106" s="202" t="s">
        <v>213</v>
      </c>
      <c r="I106" s="202" t="s">
        <v>214</v>
      </c>
      <c r="J106" s="191"/>
      <c r="K106" s="267" t="str">
        <f>F106</f>
        <v>NewOrder</v>
      </c>
      <c r="M106" s="190"/>
      <c r="N106" s="195"/>
      <c r="O106" s="191"/>
      <c r="P106" s="278"/>
    </row>
    <row r="107" spans="1:16" s="211" customFormat="1" ht="15.75" thickBot="1" x14ac:dyDescent="0.3">
      <c r="A107" s="249"/>
      <c r="B107" s="204" t="s">
        <v>32</v>
      </c>
      <c r="C107" s="273">
        <v>0</v>
      </c>
      <c r="D107" s="204"/>
      <c r="E107" s="205" t="s">
        <v>172</v>
      </c>
      <c r="F107" s="206"/>
      <c r="G107" s="207"/>
      <c r="H107" s="207"/>
      <c r="I107" s="207"/>
      <c r="J107" s="208"/>
      <c r="K107" s="209"/>
      <c r="L107" s="210"/>
      <c r="M107" s="207"/>
      <c r="N107" s="210"/>
      <c r="O107" s="208"/>
      <c r="P107" s="279"/>
    </row>
    <row r="108" spans="1:16" s="177" customFormat="1" ht="16.5" thickTop="1" thickBot="1" x14ac:dyDescent="0.3">
      <c r="A108" s="245"/>
      <c r="B108" s="186" t="s">
        <v>167</v>
      </c>
      <c r="C108" s="263"/>
      <c r="D108" s="264"/>
      <c r="E108" s="257" t="s">
        <v>65</v>
      </c>
      <c r="F108" s="276" t="s">
        <v>215</v>
      </c>
      <c r="G108" s="190"/>
      <c r="H108" s="190"/>
      <c r="I108" s="190"/>
      <c r="J108" s="191"/>
      <c r="K108" s="182" t="s">
        <v>31</v>
      </c>
      <c r="L108" s="195"/>
      <c r="M108" s="190"/>
      <c r="N108" s="195"/>
      <c r="O108" s="191"/>
      <c r="P108" s="280"/>
    </row>
    <row r="109" spans="1:16" s="177" customFormat="1" ht="30.75" thickTop="1" x14ac:dyDescent="0.25">
      <c r="A109" s="245">
        <v>41344.979027777779</v>
      </c>
      <c r="B109" s="186" t="s">
        <v>100</v>
      </c>
      <c r="C109" s="281" t="str">
        <f>F100&amp;"/"&amp;B102</f>
        <v>HANDL_NewContract/WrCSV</v>
      </c>
      <c r="D109" s="186"/>
      <c r="E109" s="187" t="s">
        <v>172</v>
      </c>
      <c r="F109" s="282" t="s">
        <v>216</v>
      </c>
      <c r="G109" s="268" t="s">
        <v>31</v>
      </c>
      <c r="H109" s="283" t="str">
        <f>F110</f>
        <v>NewOpp</v>
      </c>
      <c r="I109" s="190"/>
      <c r="J109" s="191"/>
      <c r="K109" s="267" t="s">
        <v>139</v>
      </c>
      <c r="L109" s="195" t="s">
        <v>31</v>
      </c>
      <c r="M109" s="193" t="s">
        <v>62</v>
      </c>
      <c r="N109" s="193" t="s">
        <v>64</v>
      </c>
      <c r="O109" s="191"/>
      <c r="P109" s="280"/>
    </row>
    <row r="110" spans="1:16" s="177" customFormat="1" x14ac:dyDescent="0.25">
      <c r="A110" s="245">
        <v>41344.938113425924</v>
      </c>
      <c r="B110" s="248" t="s">
        <v>135</v>
      </c>
      <c r="C110" s="268" t="str">
        <f>B109</f>
        <v>Adapt</v>
      </c>
      <c r="D110" s="186"/>
      <c r="E110" s="187" t="s">
        <v>172</v>
      </c>
      <c r="F110" s="275" t="str">
        <f>K109</f>
        <v>NewOpp</v>
      </c>
      <c r="G110" s="195" t="s">
        <v>202</v>
      </c>
      <c r="H110" s="202" t="s">
        <v>217</v>
      </c>
      <c r="I110" s="202" t="s">
        <v>218</v>
      </c>
      <c r="J110" s="191"/>
      <c r="K110" s="267" t="str">
        <f>F110</f>
        <v>NewOpp</v>
      </c>
      <c r="M110" s="190"/>
      <c r="N110" s="195"/>
      <c r="O110" s="191"/>
      <c r="P110" s="280"/>
    </row>
    <row r="111" spans="1:16" s="211" customFormat="1" x14ac:dyDescent="0.25">
      <c r="A111" s="249"/>
      <c r="B111" s="204" t="s">
        <v>32</v>
      </c>
      <c r="C111" s="273">
        <v>217</v>
      </c>
      <c r="D111" s="204"/>
      <c r="E111" s="205" t="s">
        <v>172</v>
      </c>
      <c r="F111" s="206"/>
      <c r="G111" s="207"/>
      <c r="H111" s="207"/>
      <c r="I111" s="207"/>
      <c r="J111" s="208"/>
      <c r="K111" s="209"/>
      <c r="L111" s="210"/>
      <c r="M111" s="207"/>
      <c r="N111" s="210"/>
      <c r="O111" s="208"/>
      <c r="P111" s="284"/>
    </row>
    <row r="112" spans="1:16" s="177" customFormat="1" x14ac:dyDescent="0.25">
      <c r="A112" s="183"/>
      <c r="B112" s="184" t="s">
        <v>167</v>
      </c>
      <c r="C112" s="266"/>
      <c r="D112" s="264"/>
      <c r="E112" s="187" t="s">
        <v>172</v>
      </c>
      <c r="F112" s="265" t="s">
        <v>219</v>
      </c>
      <c r="G112" s="190"/>
      <c r="H112" s="190"/>
      <c r="I112" s="190"/>
      <c r="J112" s="191"/>
      <c r="K112" s="182" t="s">
        <v>40</v>
      </c>
      <c r="L112" s="195"/>
      <c r="M112" s="190"/>
      <c r="N112" s="195"/>
      <c r="O112" s="191"/>
    </row>
    <row r="113" spans="1:16" x14ac:dyDescent="0.25">
      <c r="A113" s="261"/>
      <c r="B113" s="248" t="s">
        <v>220</v>
      </c>
      <c r="C113" s="246" t="s">
        <v>42</v>
      </c>
      <c r="D113" s="198"/>
      <c r="E113" s="223" t="s">
        <v>172</v>
      </c>
      <c r="F113" s="192"/>
      <c r="G113" s="195"/>
      <c r="H113" s="202"/>
      <c r="I113" s="202"/>
      <c r="J113" s="243"/>
      <c r="K113" s="244" t="s">
        <v>40</v>
      </c>
      <c r="L113" s="202"/>
      <c r="M113" s="202"/>
      <c r="N113" s="202"/>
      <c r="O113" s="243"/>
    </row>
    <row r="114" spans="1:16" x14ac:dyDescent="0.25">
      <c r="A114" s="261"/>
      <c r="B114" s="248" t="s">
        <v>135</v>
      </c>
      <c r="C114" s="262" t="s">
        <v>220</v>
      </c>
      <c r="D114" s="198"/>
      <c r="E114" s="223"/>
      <c r="F114" s="192" t="s">
        <v>221</v>
      </c>
      <c r="G114" s="195" t="s">
        <v>196</v>
      </c>
      <c r="H114" s="202" t="s">
        <v>197</v>
      </c>
      <c r="I114" s="202" t="s">
        <v>198</v>
      </c>
      <c r="J114" s="243"/>
      <c r="K114" s="244"/>
      <c r="L114" s="202"/>
      <c r="M114" s="202"/>
      <c r="N114" s="202"/>
      <c r="O114" s="243"/>
    </row>
    <row r="115" spans="1:16" s="233" customFormat="1" ht="15.75" thickBot="1" x14ac:dyDescent="0.3">
      <c r="A115" s="285"/>
      <c r="B115" s="226" t="s">
        <v>32</v>
      </c>
      <c r="C115" s="285"/>
      <c r="D115" s="226"/>
      <c r="E115" s="227" t="s">
        <v>172</v>
      </c>
      <c r="F115" s="228"/>
      <c r="G115" s="229"/>
      <c r="H115" s="229"/>
      <c r="I115" s="229"/>
      <c r="J115" s="230"/>
      <c r="K115" s="231"/>
      <c r="L115" s="232"/>
      <c r="M115" s="229"/>
      <c r="N115" s="232"/>
      <c r="O115" s="230"/>
    </row>
    <row r="116" spans="1:16" s="177" customFormat="1" ht="16.5" thickTop="1" thickBot="1" x14ac:dyDescent="0.3">
      <c r="A116" s="245"/>
      <c r="B116" s="186" t="s">
        <v>167</v>
      </c>
      <c r="C116" s="263"/>
      <c r="D116" s="264"/>
      <c r="E116" s="257" t="s">
        <v>65</v>
      </c>
      <c r="F116" s="265" t="s">
        <v>222</v>
      </c>
      <c r="G116" s="190"/>
      <c r="H116" s="190"/>
      <c r="I116" s="190"/>
      <c r="J116" s="191"/>
      <c r="K116" s="182" t="s">
        <v>48</v>
      </c>
      <c r="L116" s="195"/>
      <c r="M116" s="190"/>
      <c r="N116" s="195"/>
      <c r="O116" s="191"/>
    </row>
    <row r="117" spans="1:16" ht="15.75" thickTop="1" x14ac:dyDescent="0.25">
      <c r="A117" s="245">
        <v>41237.062696759262</v>
      </c>
      <c r="B117" s="248" t="s">
        <v>223</v>
      </c>
      <c r="C117" s="39" t="str">
        <f>F33&amp;"/"&amp;B35</f>
        <v>LOAD_1C_ACC/InsMyCol</v>
      </c>
      <c r="D117" s="198"/>
      <c r="E117" s="223" t="s">
        <v>172</v>
      </c>
      <c r="F117" s="192" t="s">
        <v>127</v>
      </c>
      <c r="G117" s="195"/>
      <c r="H117" s="202"/>
      <c r="I117" s="202"/>
      <c r="J117" s="243"/>
      <c r="K117" s="2" t="str">
        <f>K116</f>
        <v>Список клиентов 1C</v>
      </c>
      <c r="L117" s="202"/>
      <c r="M117" s="202"/>
      <c r="N117" s="193" t="s">
        <v>68</v>
      </c>
      <c r="O117" s="243"/>
    </row>
    <row r="118" spans="1:16" s="211" customFormat="1" ht="15.75" thickBot="1" x14ac:dyDescent="0.3">
      <c r="A118" s="249"/>
      <c r="B118" s="204" t="s">
        <v>32</v>
      </c>
      <c r="C118" s="250"/>
      <c r="D118" s="204"/>
      <c r="E118" s="205" t="s">
        <v>172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6" s="177" customFormat="1" ht="16.5" thickTop="1" thickBot="1" x14ac:dyDescent="0.3">
      <c r="A119" s="245"/>
      <c r="B119" s="186" t="s">
        <v>167</v>
      </c>
      <c r="C119" s="263"/>
      <c r="D119" s="264"/>
      <c r="E119" s="257" t="s">
        <v>65</v>
      </c>
      <c r="F119" s="265" t="s">
        <v>224</v>
      </c>
      <c r="G119" s="190"/>
      <c r="H119" s="190"/>
      <c r="I119" s="190"/>
      <c r="J119" s="191"/>
      <c r="K119" s="182" t="s">
        <v>112</v>
      </c>
      <c r="L119" s="195"/>
      <c r="M119" s="190"/>
      <c r="N119" s="195"/>
      <c r="O119" s="191"/>
      <c r="P119" s="286"/>
    </row>
    <row r="120" spans="1:16" ht="15.75" thickTop="1" x14ac:dyDescent="0.25">
      <c r="A120" s="245">
        <v>41410.835046296299</v>
      </c>
      <c r="B120" s="248" t="s">
        <v>225</v>
      </c>
      <c r="C120" s="39" t="s">
        <v>66</v>
      </c>
      <c r="D120" s="198"/>
      <c r="E120" s="223" t="s">
        <v>172</v>
      </c>
      <c r="F120" s="287" t="s">
        <v>131</v>
      </c>
      <c r="G120" s="195"/>
      <c r="H120" s="202"/>
      <c r="I120" s="202"/>
      <c r="J120" s="243"/>
      <c r="K120" s="89" t="s">
        <v>99</v>
      </c>
      <c r="L120" s="288" t="s">
        <v>112</v>
      </c>
      <c r="M120" s="193" t="s">
        <v>79</v>
      </c>
      <c r="N120" s="193" t="s">
        <v>71</v>
      </c>
      <c r="O120" s="243"/>
      <c r="P120" s="289"/>
    </row>
    <row r="121" spans="1:16" s="177" customFormat="1" x14ac:dyDescent="0.25">
      <c r="A121" s="245"/>
      <c r="B121" s="248" t="s">
        <v>135</v>
      </c>
      <c r="C121" s="268" t="str">
        <f>B120</f>
        <v>BTO_Mail_track</v>
      </c>
      <c r="D121" s="186"/>
      <c r="E121" s="187" t="s">
        <v>172</v>
      </c>
      <c r="F121" s="287" t="str">
        <f>F120</f>
        <v>BTOlog</v>
      </c>
      <c r="G121" s="195" t="s">
        <v>202</v>
      </c>
      <c r="H121" s="202" t="s">
        <v>226</v>
      </c>
      <c r="I121" s="202" t="s">
        <v>227</v>
      </c>
      <c r="J121" s="191"/>
      <c r="K121" s="287" t="str">
        <f>F121</f>
        <v>BTOlog</v>
      </c>
      <c r="M121" s="190"/>
      <c r="N121" s="195"/>
      <c r="O121" s="191"/>
      <c r="P121" s="289"/>
    </row>
    <row r="122" spans="1:16" s="211" customFormat="1" ht="15.75" thickBot="1" x14ac:dyDescent="0.3">
      <c r="A122" s="249"/>
      <c r="B122" s="204" t="s">
        <v>32</v>
      </c>
      <c r="C122" s="250"/>
      <c r="D122" s="204"/>
      <c r="E122" s="205" t="s">
        <v>172</v>
      </c>
      <c r="F122" s="206"/>
      <c r="G122" s="207"/>
      <c r="H122" s="207"/>
      <c r="I122" s="207"/>
      <c r="J122" s="208"/>
      <c r="K122" s="209"/>
      <c r="L122" s="210"/>
      <c r="M122" s="207"/>
      <c r="N122" s="210"/>
      <c r="O122" s="208"/>
      <c r="P122" s="290"/>
    </row>
    <row r="123" spans="1:16" s="177" customFormat="1" ht="16.5" thickTop="1" thickBot="1" x14ac:dyDescent="0.3">
      <c r="A123" s="245"/>
      <c r="B123" s="186" t="s">
        <v>167</v>
      </c>
      <c r="C123" s="263"/>
      <c r="D123" s="264"/>
      <c r="E123" s="257" t="s">
        <v>65</v>
      </c>
      <c r="F123" s="265" t="s">
        <v>228</v>
      </c>
      <c r="G123" s="190"/>
      <c r="H123" s="190"/>
      <c r="I123" s="190"/>
      <c r="J123" s="191"/>
      <c r="K123" s="182" t="s">
        <v>71</v>
      </c>
      <c r="L123" s="195"/>
      <c r="M123" s="190"/>
      <c r="N123" s="195"/>
      <c r="O123" s="191"/>
      <c r="P123" s="291"/>
    </row>
    <row r="124" spans="1:16" ht="15.75" thickTop="1" x14ac:dyDescent="0.25">
      <c r="A124" s="245">
        <v>41499.705324074072</v>
      </c>
      <c r="B124" s="248" t="s">
        <v>100</v>
      </c>
      <c r="C124" s="39"/>
      <c r="D124" s="198"/>
      <c r="E124" s="223" t="s">
        <v>172</v>
      </c>
      <c r="F124" s="292" t="s">
        <v>148</v>
      </c>
      <c r="G124" s="293" t="str">
        <f>K123</f>
        <v>ADSKfrSF</v>
      </c>
      <c r="H124" s="294" t="s">
        <v>147</v>
      </c>
      <c r="J124" s="243"/>
      <c r="K124" s="294" t="str">
        <f>H124</f>
        <v>A_SN_1</v>
      </c>
      <c r="L124" s="56" t="str">
        <f>K123</f>
        <v>ADSKfrSF</v>
      </c>
      <c r="N124" s="195"/>
      <c r="O124" s="243"/>
      <c r="P124" s="295"/>
    </row>
    <row r="125" spans="1:16" x14ac:dyDescent="0.25">
      <c r="A125" s="245">
        <v>41502.225694444445</v>
      </c>
      <c r="B125" s="248" t="s">
        <v>72</v>
      </c>
      <c r="C125" s="39" t="str">
        <f>B124</f>
        <v>Adapt</v>
      </c>
      <c r="D125" s="198"/>
      <c r="E125" s="223" t="s">
        <v>172</v>
      </c>
      <c r="F125" s="296"/>
      <c r="G125" s="195"/>
      <c r="H125" s="202"/>
      <c r="I125" s="202"/>
      <c r="J125" s="243"/>
      <c r="K125" s="56" t="str">
        <f>L124</f>
        <v>ADSKfrSF</v>
      </c>
      <c r="L125" s="294" t="s">
        <v>149</v>
      </c>
      <c r="M125" s="294" t="s">
        <v>152</v>
      </c>
      <c r="N125" s="195"/>
      <c r="O125" s="243"/>
      <c r="P125" s="295"/>
    </row>
    <row r="126" spans="1:16" s="177" customFormat="1" x14ac:dyDescent="0.25">
      <c r="A126" s="245"/>
      <c r="B126" s="186" t="s">
        <v>192</v>
      </c>
      <c r="C126" s="259"/>
      <c r="D126" s="186"/>
      <c r="E126" s="187" t="s">
        <v>172</v>
      </c>
      <c r="F126" s="254" t="s">
        <v>168</v>
      </c>
      <c r="G126" s="194"/>
      <c r="H126" s="190"/>
      <c r="I126" s="190"/>
      <c r="J126" s="191"/>
      <c r="K126" s="192"/>
      <c r="L126" s="195"/>
      <c r="M126" s="190"/>
      <c r="N126" s="195"/>
      <c r="O126" s="191"/>
      <c r="P126" s="291"/>
    </row>
    <row r="127" spans="1:16" s="177" customFormat="1" x14ac:dyDescent="0.25">
      <c r="A127" s="245"/>
      <c r="B127" s="248" t="s">
        <v>135</v>
      </c>
      <c r="C127" s="268" t="str">
        <f>B124</f>
        <v>Adapt</v>
      </c>
      <c r="D127" s="186"/>
      <c r="E127" s="187" t="s">
        <v>172</v>
      </c>
      <c r="F127" s="296" t="str">
        <f>M125</f>
        <v>A_SN_3</v>
      </c>
      <c r="G127" s="195" t="s">
        <v>202</v>
      </c>
      <c r="H127" s="297" t="s">
        <v>226</v>
      </c>
      <c r="I127" s="297" t="s">
        <v>227</v>
      </c>
      <c r="J127" s="191"/>
      <c r="K127" s="296" t="str">
        <f>F127</f>
        <v>A_SN_3</v>
      </c>
      <c r="M127" s="190"/>
      <c r="N127" s="195"/>
      <c r="O127" s="191"/>
      <c r="P127" s="295"/>
    </row>
    <row r="128" spans="1:16" s="211" customFormat="1" ht="15.75" thickBot="1" x14ac:dyDescent="0.3">
      <c r="A128" s="249"/>
      <c r="B128" s="204" t="s">
        <v>32</v>
      </c>
      <c r="C128" s="250"/>
      <c r="D128" s="204"/>
      <c r="E128" s="205" t="s">
        <v>172</v>
      </c>
      <c r="F128" s="206"/>
      <c r="G128" s="207"/>
      <c r="H128" s="207"/>
      <c r="I128" s="207"/>
      <c r="J128" s="208"/>
      <c r="K128" s="209"/>
      <c r="L128" s="210"/>
      <c r="M128" s="207"/>
      <c r="N128" s="210"/>
      <c r="O128" s="208"/>
      <c r="P128" s="298"/>
    </row>
    <row r="129" spans="1:15" s="301" customFormat="1" ht="16.5" thickTop="1" thickBot="1" x14ac:dyDescent="0.3">
      <c r="A129" s="234">
        <v>41201.045671296299</v>
      </c>
      <c r="B129" s="235" t="s">
        <v>167</v>
      </c>
      <c r="C129" s="236"/>
      <c r="D129" s="237"/>
      <c r="E129" s="299" t="s">
        <v>65</v>
      </c>
      <c r="F129" s="300" t="s">
        <v>229</v>
      </c>
      <c r="G129" s="237"/>
      <c r="H129" s="237"/>
      <c r="I129" s="237"/>
      <c r="J129" s="240"/>
      <c r="K129" s="260" t="str">
        <f>K16</f>
        <v>Платежи</v>
      </c>
      <c r="L129" s="242"/>
      <c r="M129" s="237"/>
      <c r="N129" s="242"/>
      <c r="O129" s="240"/>
    </row>
    <row r="130" spans="1:15" s="177" customFormat="1" ht="16.5" thickTop="1" thickBot="1" x14ac:dyDescent="0.3">
      <c r="A130" s="183">
        <v>41289.96565972222</v>
      </c>
      <c r="B130" s="197" t="s">
        <v>230</v>
      </c>
      <c r="C130" s="302"/>
      <c r="D130" s="186"/>
      <c r="E130" s="201" t="s">
        <v>168</v>
      </c>
      <c r="F130" s="192" t="str">
        <f>F100</f>
        <v>HANDL_NewContract</v>
      </c>
      <c r="G130" s="303" t="str">
        <f>F129</f>
        <v>WP_PaidOpp</v>
      </c>
      <c r="H130" s="303" t="str">
        <f>B136</f>
        <v>WP_Paid</v>
      </c>
      <c r="I130" s="304">
        <v>7</v>
      </c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41289.96565972222</v>
      </c>
      <c r="B131" s="184" t="s">
        <v>231</v>
      </c>
      <c r="C131" s="277" t="str">
        <f>B130</f>
        <v>ProcReset</v>
      </c>
      <c r="D131" s="186"/>
      <c r="E131" s="187" t="s">
        <v>168</v>
      </c>
      <c r="F131" s="305">
        <f>C103</f>
        <v>41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183">
        <v>41289.965682870374</v>
      </c>
      <c r="B132" s="197" t="s">
        <v>230</v>
      </c>
      <c r="C132" s="302"/>
      <c r="D132" s="186"/>
      <c r="E132" s="201" t="s">
        <v>168</v>
      </c>
      <c r="F132" s="192" t="str">
        <f>F96</f>
        <v>HANDL_PaidContr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231</v>
      </c>
      <c r="C133" s="268" t="str">
        <f>B131</f>
        <v>CheckProc0</v>
      </c>
      <c r="D133" s="186"/>
      <c r="E133" s="187" t="s">
        <v>172</v>
      </c>
      <c r="F133" s="306">
        <f>C99</f>
        <v>0</v>
      </c>
      <c r="G133" s="194"/>
      <c r="H133" s="190"/>
      <c r="I133" s="190"/>
      <c r="J133" s="191"/>
      <c r="K133" s="192"/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139</v>
      </c>
      <c r="G134" s="190"/>
      <c r="H134" s="190"/>
      <c r="I134" s="190"/>
      <c r="J134" s="191"/>
      <c r="K134" s="267" t="str">
        <f>F134</f>
        <v>NewOpp</v>
      </c>
      <c r="L134" s="195"/>
      <c r="M134" s="190"/>
      <c r="N134" s="195"/>
      <c r="O134" s="191"/>
    </row>
    <row r="135" spans="1:15" s="177" customFormat="1" x14ac:dyDescent="0.25">
      <c r="A135" s="245"/>
      <c r="B135" s="186" t="s">
        <v>200</v>
      </c>
      <c r="C135" s="263"/>
      <c r="D135" s="264"/>
      <c r="E135" s="187" t="s">
        <v>172</v>
      </c>
      <c r="F135" s="267" t="s">
        <v>134</v>
      </c>
      <c r="G135" s="190"/>
      <c r="H135" s="190"/>
      <c r="I135" s="190"/>
      <c r="J135" s="191"/>
      <c r="K135" s="267" t="str">
        <f>F135</f>
        <v>NewPayment</v>
      </c>
      <c r="L135" s="195"/>
      <c r="M135" s="190"/>
      <c r="N135" s="195"/>
      <c r="O135" s="191"/>
    </row>
    <row r="136" spans="1:15" s="177" customFormat="1" ht="15.75" thickBot="1" x14ac:dyDescent="0.3">
      <c r="A136" s="307"/>
      <c r="B136" s="308" t="s">
        <v>232</v>
      </c>
      <c r="C136" s="309" t="str">
        <f>B131</f>
        <v>CheckProc0</v>
      </c>
      <c r="D136" s="308"/>
      <c r="E136" s="310" t="s">
        <v>172</v>
      </c>
      <c r="F136" s="311" t="s">
        <v>233</v>
      </c>
      <c r="G136" s="312" t="s">
        <v>172</v>
      </c>
      <c r="H136" s="313"/>
      <c r="I136" s="313"/>
      <c r="J136" s="314"/>
      <c r="K136" s="315" t="str">
        <f>K129</f>
        <v>Платежи</v>
      </c>
      <c r="L136" s="316" t="s">
        <v>68</v>
      </c>
      <c r="M136" s="316" t="s">
        <v>64</v>
      </c>
      <c r="N136" s="316" t="s">
        <v>62</v>
      </c>
      <c r="O136" s="314"/>
    </row>
    <row r="137" spans="1:15" s="177" customFormat="1" ht="15.75" thickTop="1" x14ac:dyDescent="0.25">
      <c r="A137" s="245"/>
      <c r="B137" s="248" t="s">
        <v>135</v>
      </c>
      <c r="C137" s="268" t="str">
        <f>B136</f>
        <v>WP_Paid</v>
      </c>
      <c r="D137" s="186"/>
      <c r="E137" s="187" t="s">
        <v>172</v>
      </c>
      <c r="F137" s="267" t="s">
        <v>139</v>
      </c>
      <c r="G137" s="195" t="s">
        <v>202</v>
      </c>
      <c r="H137" s="202" t="s">
        <v>217</v>
      </c>
      <c r="I137" s="202" t="s">
        <v>218</v>
      </c>
      <c r="J137" s="191"/>
      <c r="K137" s="267" t="str">
        <f>F137</f>
        <v>NewOpp</v>
      </c>
      <c r="L137" s="195"/>
      <c r="M137" s="190"/>
      <c r="N137" s="195"/>
      <c r="O137" s="191"/>
    </row>
    <row r="138" spans="1:15" s="177" customFormat="1" x14ac:dyDescent="0.25">
      <c r="A138" s="245"/>
      <c r="B138" s="248" t="s">
        <v>135</v>
      </c>
      <c r="C138" s="268" t="str">
        <f>B136</f>
        <v>WP_Paid</v>
      </c>
      <c r="D138" s="186"/>
      <c r="E138" s="187" t="s">
        <v>172</v>
      </c>
      <c r="F138" s="267" t="s">
        <v>134</v>
      </c>
      <c r="G138" s="195" t="s">
        <v>202</v>
      </c>
      <c r="H138" s="202" t="s">
        <v>203</v>
      </c>
      <c r="I138" s="202" t="s">
        <v>204</v>
      </c>
      <c r="J138" s="191"/>
      <c r="K138" s="267" t="str">
        <f>F138</f>
        <v>NewPayment</v>
      </c>
      <c r="L138" s="195"/>
      <c r="M138" s="190"/>
      <c r="N138" s="195"/>
      <c r="O138" s="191"/>
    </row>
    <row r="139" spans="1:15" s="180" customFormat="1" x14ac:dyDescent="0.25">
      <c r="A139" s="317"/>
      <c r="B139" s="248" t="s">
        <v>32</v>
      </c>
      <c r="C139" s="318">
        <v>0</v>
      </c>
      <c r="D139" s="248"/>
      <c r="E139" s="199" t="s">
        <v>172</v>
      </c>
      <c r="F139" s="319"/>
      <c r="G139" s="190"/>
      <c r="H139" s="190"/>
      <c r="I139" s="190"/>
      <c r="J139" s="191"/>
      <c r="K139" s="192"/>
      <c r="L139" s="195"/>
      <c r="M139" s="190"/>
      <c r="N139" s="195"/>
      <c r="O139" s="191"/>
    </row>
    <row r="140" spans="1:15" s="323" customFormat="1" ht="15.75" thickBot="1" x14ac:dyDescent="0.3">
      <c r="A140" s="251">
        <v>41201.045671296299</v>
      </c>
      <c r="B140" s="252" t="s">
        <v>167</v>
      </c>
      <c r="C140" s="253"/>
      <c r="D140" s="214"/>
      <c r="E140" s="320" t="s">
        <v>65</v>
      </c>
      <c r="F140" s="321" t="s">
        <v>234</v>
      </c>
      <c r="G140" s="214"/>
      <c r="H140" s="214"/>
      <c r="I140" s="214"/>
      <c r="J140" s="217"/>
      <c r="K140" s="322" t="s">
        <v>31</v>
      </c>
      <c r="L140" s="219"/>
      <c r="M140" s="214"/>
      <c r="N140" s="219"/>
      <c r="O140" s="217"/>
    </row>
    <row r="141" spans="1:15" s="177" customFormat="1" ht="15.75" thickTop="1" x14ac:dyDescent="0.25">
      <c r="A141" s="183">
        <v>41218.822870370372</v>
      </c>
      <c r="B141" s="184" t="s">
        <v>200</v>
      </c>
      <c r="C141" s="266"/>
      <c r="D141" s="264"/>
      <c r="E141" s="187"/>
      <c r="F141" s="267" t="s">
        <v>141</v>
      </c>
      <c r="G141" s="190"/>
      <c r="H141" s="190"/>
      <c r="I141" s="190"/>
      <c r="J141" s="191"/>
      <c r="K141" s="267" t="str">
        <f>F141</f>
        <v>NewAcc</v>
      </c>
      <c r="L141" s="195"/>
      <c r="M141" s="190"/>
      <c r="N141" s="195"/>
      <c r="O141" s="191"/>
    </row>
    <row r="142" spans="1:15" s="177" customFormat="1" x14ac:dyDescent="0.25">
      <c r="A142" s="183"/>
      <c r="B142" s="184" t="s">
        <v>235</v>
      </c>
      <c r="C142" s="268" t="str">
        <f>B141</f>
        <v>NewSheet</v>
      </c>
      <c r="D142" s="264"/>
      <c r="E142" s="187"/>
      <c r="F142" s="324"/>
      <c r="G142" s="190"/>
      <c r="H142" s="190"/>
      <c r="I142" s="190"/>
      <c r="J142" s="191"/>
      <c r="K142" s="267"/>
      <c r="L142" s="195"/>
      <c r="M142" s="190"/>
      <c r="N142" s="195"/>
      <c r="O142" s="191"/>
    </row>
    <row r="143" spans="1:15" s="177" customFormat="1" x14ac:dyDescent="0.25">
      <c r="A143" s="245"/>
      <c r="B143" s="186" t="s">
        <v>192</v>
      </c>
      <c r="C143" s="259"/>
      <c r="D143" s="186"/>
      <c r="E143" s="187" t="s">
        <v>172</v>
      </c>
      <c r="F143" s="254" t="s">
        <v>65</v>
      </c>
      <c r="G143" s="194" t="s">
        <v>193</v>
      </c>
      <c r="H143" s="190"/>
      <c r="I143" s="190"/>
      <c r="J143" s="191"/>
      <c r="K143" s="192"/>
      <c r="L143" s="195"/>
      <c r="M143" s="190"/>
      <c r="N143" s="195"/>
      <c r="O143" s="191"/>
    </row>
    <row r="144" spans="1:15" s="177" customFormat="1" ht="15.75" thickBot="1" x14ac:dyDescent="0.3">
      <c r="A144" s="307">
        <v>41218.824293981481</v>
      </c>
      <c r="B144" s="308" t="s">
        <v>232</v>
      </c>
      <c r="C144" s="309" t="str">
        <f>B142</f>
        <v>SFaccDicBuild</v>
      </c>
      <c r="D144" s="308"/>
      <c r="E144" s="310" t="s">
        <v>172</v>
      </c>
      <c r="F144" s="311" t="s">
        <v>236</v>
      </c>
      <c r="G144" s="325"/>
      <c r="H144" s="313"/>
      <c r="I144" s="313"/>
      <c r="J144" s="314"/>
      <c r="K144" s="315" t="str">
        <f>K140</f>
        <v>Платежи</v>
      </c>
      <c r="L144" s="316">
        <v>0</v>
      </c>
      <c r="M144" s="316">
        <v>0</v>
      </c>
      <c r="N144" s="316">
        <v>0</v>
      </c>
      <c r="O144" s="314"/>
    </row>
    <row r="145" spans="1:15" s="177" customFormat="1" ht="15.75" thickTop="1" x14ac:dyDescent="0.25">
      <c r="A145" s="245">
        <v>41218.824293981481</v>
      </c>
      <c r="B145" s="248" t="s">
        <v>135</v>
      </c>
      <c r="C145" s="268" t="str">
        <f>B144</f>
        <v>WP_Paid</v>
      </c>
      <c r="D145" s="186"/>
      <c r="E145" s="187" t="s">
        <v>172</v>
      </c>
      <c r="F145" s="267" t="str">
        <f>F141</f>
        <v>NewAcc</v>
      </c>
      <c r="G145" s="195" t="s">
        <v>202</v>
      </c>
      <c r="H145" s="202" t="s">
        <v>217</v>
      </c>
      <c r="I145" s="202" t="s">
        <v>218</v>
      </c>
      <c r="J145" s="191"/>
      <c r="K145" s="267" t="str">
        <f>F145</f>
        <v>NewAcc</v>
      </c>
      <c r="L145" s="195"/>
      <c r="M145" s="190"/>
      <c r="N145" s="195"/>
      <c r="O145" s="191"/>
    </row>
    <row r="146" spans="1:15" s="211" customFormat="1" x14ac:dyDescent="0.25">
      <c r="A146" s="249"/>
      <c r="B146" s="204" t="s">
        <v>32</v>
      </c>
      <c r="C146" s="250">
        <v>5</v>
      </c>
      <c r="D146" s="204"/>
      <c r="E146" s="205" t="s">
        <v>172</v>
      </c>
      <c r="F146" s="206"/>
      <c r="G146" s="207"/>
      <c r="H146" s="207"/>
      <c r="I146" s="207"/>
      <c r="J146" s="208"/>
      <c r="K146" s="209"/>
      <c r="L146" s="210"/>
      <c r="M146" s="207"/>
      <c r="N146" s="210"/>
      <c r="O146" s="208"/>
    </row>
    <row r="147" spans="1:15" s="177" customFormat="1" x14ac:dyDescent="0.25">
      <c r="A147" s="245"/>
      <c r="B147" s="186" t="s">
        <v>167</v>
      </c>
      <c r="C147" s="263"/>
      <c r="D147" s="264"/>
      <c r="E147" s="187" t="s">
        <v>172</v>
      </c>
      <c r="F147" s="265" t="s">
        <v>237</v>
      </c>
      <c r="G147" s="190"/>
      <c r="H147" s="190"/>
      <c r="I147" s="190"/>
      <c r="J147" s="191"/>
      <c r="K147" s="182" t="s">
        <v>31</v>
      </c>
      <c r="L147" s="195"/>
      <c r="M147" s="190"/>
      <c r="N147" s="195"/>
      <c r="O147" s="191"/>
    </row>
    <row r="148" spans="1:15" s="177" customFormat="1" x14ac:dyDescent="0.25">
      <c r="A148" s="261"/>
      <c r="B148" s="186" t="s">
        <v>192</v>
      </c>
      <c r="C148" s="259"/>
      <c r="D148" s="186"/>
      <c r="E148" s="187"/>
      <c r="F148" s="254" t="s">
        <v>168</v>
      </c>
      <c r="G148" s="194"/>
      <c r="H148" s="190"/>
      <c r="I148" s="190"/>
      <c r="J148" s="191"/>
      <c r="K148" s="192"/>
      <c r="L148" s="195"/>
      <c r="M148" s="190"/>
      <c r="N148" s="195"/>
      <c r="O148" s="191"/>
    </row>
    <row r="149" spans="1:15" ht="30" x14ac:dyDescent="0.25">
      <c r="A149" s="261"/>
      <c r="B149" s="248" t="s">
        <v>238</v>
      </c>
      <c r="C149" s="246" t="s">
        <v>195</v>
      </c>
      <c r="D149" s="198"/>
      <c r="E149" s="223" t="s">
        <v>172</v>
      </c>
      <c r="F149" s="192"/>
      <c r="G149" s="195"/>
      <c r="H149" s="202"/>
      <c r="I149" s="202"/>
      <c r="J149" s="243"/>
      <c r="K149" s="244" t="s">
        <v>31</v>
      </c>
      <c r="L149" s="202" t="s">
        <v>64</v>
      </c>
      <c r="M149" s="202"/>
      <c r="N149" s="202"/>
      <c r="O149" s="243"/>
    </row>
    <row r="150" spans="1:15" s="211" customFormat="1" x14ac:dyDescent="0.25">
      <c r="A150" s="249"/>
      <c r="B150" s="204" t="s">
        <v>32</v>
      </c>
      <c r="C150" s="250"/>
      <c r="D150" s="204"/>
      <c r="E150" s="205" t="s">
        <v>172</v>
      </c>
      <c r="F150" s="206"/>
      <c r="G150" s="207"/>
      <c r="H150" s="207"/>
      <c r="I150" s="207"/>
      <c r="J150" s="208"/>
      <c r="K150" s="209"/>
      <c r="L150" s="210"/>
      <c r="M150" s="207"/>
      <c r="N150" s="210"/>
      <c r="O150" s="208"/>
    </row>
    <row r="151" spans="1:15" s="22" customFormat="1" x14ac:dyDescent="0.25">
      <c r="A151" s="326"/>
      <c r="B151" s="327" t="s">
        <v>118</v>
      </c>
      <c r="C151" s="328" t="s">
        <v>119</v>
      </c>
      <c r="D151" s="252"/>
      <c r="E151" s="329"/>
      <c r="F151" s="330"/>
      <c r="G151" s="331"/>
      <c r="H151" s="331"/>
      <c r="I151" s="331"/>
      <c r="J151" s="332"/>
      <c r="K151" s="330" t="s">
        <v>239</v>
      </c>
      <c r="L151" s="331"/>
      <c r="M151" s="331"/>
      <c r="N151" s="331"/>
      <c r="O151" s="332"/>
    </row>
    <row r="152" spans="1:15" x14ac:dyDescent="0.25">
      <c r="A152" s="333"/>
      <c r="B152" s="334">
        <v>1043</v>
      </c>
      <c r="C152" s="335"/>
      <c r="D152" s="198"/>
      <c r="E152" s="187"/>
      <c r="F152" s="247"/>
      <c r="G152" s="202"/>
      <c r="H152" s="202"/>
      <c r="I152" s="202"/>
      <c r="J152" s="203"/>
      <c r="K152" s="247" t="s">
        <v>239</v>
      </c>
      <c r="L152" s="202"/>
      <c r="M152" s="202"/>
      <c r="N152" s="202"/>
      <c r="O152" s="203"/>
    </row>
    <row r="153" spans="1:15" s="22" customFormat="1" ht="15.75" thickBot="1" x14ac:dyDescent="0.3">
      <c r="A153" s="72"/>
      <c r="B153" s="336" t="s">
        <v>118</v>
      </c>
      <c r="C153" s="337" t="s">
        <v>119</v>
      </c>
      <c r="D153" s="70"/>
      <c r="E153" s="338"/>
      <c r="F153" s="339"/>
      <c r="G153" s="340"/>
      <c r="H153" s="340"/>
      <c r="I153" s="340"/>
      <c r="J153" s="341"/>
      <c r="K153" s="339" t="s">
        <v>120</v>
      </c>
      <c r="L153" s="340"/>
      <c r="M153" s="340"/>
      <c r="N153" s="340"/>
      <c r="O153" s="341"/>
    </row>
    <row r="154" spans="1:15" x14ac:dyDescent="0.25">
      <c r="A154" s="41"/>
    </row>
    <row r="155" spans="1:15" s="177" customFormat="1" x14ac:dyDescent="0.25">
      <c r="A155" s="245"/>
      <c r="B155" s="186" t="s">
        <v>192</v>
      </c>
      <c r="C155" s="259"/>
      <c r="D155" s="186"/>
      <c r="E155" s="187" t="s">
        <v>172</v>
      </c>
      <c r="F155" s="254" t="s">
        <v>65</v>
      </c>
      <c r="G155" s="194" t="s">
        <v>193</v>
      </c>
      <c r="H155" s="190"/>
      <c r="I155" s="190"/>
      <c r="J155" s="191"/>
      <c r="K155" s="192"/>
      <c r="L155" s="195"/>
      <c r="M155" s="190"/>
      <c r="N155" s="195"/>
      <c r="O155" s="191"/>
    </row>
    <row r="157" spans="1:15" ht="45" outlineLevel="1" x14ac:dyDescent="0.25">
      <c r="A157" s="245">
        <v>41217.705717592595</v>
      </c>
      <c r="B157" s="186" t="s">
        <v>240</v>
      </c>
      <c r="C157" s="246" t="s">
        <v>241</v>
      </c>
      <c r="D157" s="202"/>
      <c r="E157" s="223" t="s">
        <v>172</v>
      </c>
      <c r="F157" s="254" t="s">
        <v>62</v>
      </c>
      <c r="G157" s="195" t="s">
        <v>40</v>
      </c>
      <c r="H157" s="194" t="s">
        <v>164</v>
      </c>
      <c r="I157" s="194" t="s">
        <v>185</v>
      </c>
      <c r="J157" s="243"/>
      <c r="L157" s="193" t="s">
        <v>62</v>
      </c>
      <c r="M157" s="202"/>
      <c r="N157" s="202"/>
      <c r="O157" s="243"/>
    </row>
    <row r="160" spans="1:15" s="32" customFormat="1" outlineLevel="1" x14ac:dyDescent="0.25">
      <c r="A160" s="245">
        <v>41217.684374999997</v>
      </c>
      <c r="B160" s="186" t="s">
        <v>84</v>
      </c>
      <c r="C160" s="246" t="s">
        <v>66</v>
      </c>
      <c r="D160" s="186"/>
      <c r="E160" s="187" t="s">
        <v>172</v>
      </c>
      <c r="F160" s="188" t="s">
        <v>173</v>
      </c>
      <c r="G160" s="189" t="s">
        <v>174</v>
      </c>
      <c r="H160" s="190"/>
      <c r="I160" s="190"/>
      <c r="J160" s="203"/>
      <c r="K160" s="192">
        <v>0</v>
      </c>
      <c r="L160" s="193" t="s">
        <v>68</v>
      </c>
      <c r="M160" s="193" t="s">
        <v>62</v>
      </c>
      <c r="N160" s="202"/>
      <c r="O160" s="203"/>
    </row>
    <row r="163" spans="1:15" s="32" customFormat="1" outlineLevel="1" x14ac:dyDescent="0.25">
      <c r="A163" s="245">
        <v>41227.065937500003</v>
      </c>
      <c r="B163" s="186" t="s">
        <v>242</v>
      </c>
      <c r="C163" s="255" t="str">
        <f>B68</f>
        <v>InsMyCol</v>
      </c>
      <c r="D163" s="186"/>
      <c r="E163" s="187" t="s">
        <v>172</v>
      </c>
      <c r="F163" s="254" t="s">
        <v>185</v>
      </c>
      <c r="G163" s="194" t="s">
        <v>59</v>
      </c>
      <c r="H163" s="194" t="s">
        <v>243</v>
      </c>
      <c r="I163" s="194" t="s">
        <v>244</v>
      </c>
      <c r="J163" s="256"/>
      <c r="K163" s="258" t="str">
        <f>K66</f>
        <v>Склад</v>
      </c>
      <c r="L163" s="195" t="s">
        <v>31</v>
      </c>
      <c r="M163" s="202"/>
      <c r="N163" s="177"/>
      <c r="O163" s="191"/>
    </row>
  </sheetData>
  <autoFilter ref="A4:O153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M63" sqref="M63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1223</v>
      </c>
      <c r="B6" s="349" t="s">
        <v>1222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1217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1219</v>
      </c>
      <c r="B24" s="356" t="s">
        <v>1218</v>
      </c>
      <c r="C24" s="357"/>
      <c r="E24" s="357"/>
      <c r="F24" s="368" t="s">
        <v>1220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329</v>
      </c>
      <c r="D30" s="344" t="s">
        <v>330</v>
      </c>
      <c r="E30" s="357" t="s">
        <v>331</v>
      </c>
      <c r="F30" s="368" t="s">
        <v>332</v>
      </c>
      <c r="G30" s="346">
        <v>0</v>
      </c>
    </row>
    <row r="31" spans="1:7" x14ac:dyDescent="0.25">
      <c r="A31" s="355" t="s">
        <v>333</v>
      </c>
      <c r="B31" s="370"/>
      <c r="C31" s="357" t="s">
        <v>334</v>
      </c>
      <c r="D31" s="344" t="s">
        <v>335</v>
      </c>
      <c r="E31" s="371" t="s">
        <v>331</v>
      </c>
      <c r="F31" s="368" t="s">
        <v>336</v>
      </c>
      <c r="G31" s="346">
        <v>0</v>
      </c>
    </row>
    <row r="32" spans="1:7" x14ac:dyDescent="0.25">
      <c r="A32" s="355" t="s">
        <v>337</v>
      </c>
      <c r="B32" s="356" t="s">
        <v>338</v>
      </c>
      <c r="C32" s="357" t="s">
        <v>339</v>
      </c>
      <c r="D32" s="359" t="s">
        <v>340</v>
      </c>
      <c r="E32" s="359" t="s">
        <v>341</v>
      </c>
      <c r="F32" s="368" t="s">
        <v>342</v>
      </c>
      <c r="G32" s="346">
        <v>0</v>
      </c>
    </row>
    <row r="33" spans="1:7" x14ac:dyDescent="0.25">
      <c r="A33" s="355" t="s">
        <v>343</v>
      </c>
      <c r="B33" s="356" t="s">
        <v>344</v>
      </c>
      <c r="C33" s="357" t="s">
        <v>311</v>
      </c>
      <c r="D33" s="344" t="s">
        <v>345</v>
      </c>
      <c r="E33" s="357" t="s">
        <v>311</v>
      </c>
      <c r="F33" s="368" t="s">
        <v>346</v>
      </c>
      <c r="G33" s="346">
        <v>0</v>
      </c>
    </row>
    <row r="34" spans="1:7" ht="30" x14ac:dyDescent="0.25">
      <c r="A34" s="361" t="s">
        <v>347</v>
      </c>
      <c r="B34" s="362" t="s">
        <v>348</v>
      </c>
      <c r="C34" s="363" t="s">
        <v>349</v>
      </c>
      <c r="D34" s="358" t="s">
        <v>350</v>
      </c>
      <c r="E34" s="364" t="s">
        <v>351</v>
      </c>
      <c r="F34" s="365" t="s">
        <v>352</v>
      </c>
      <c r="G34" s="346">
        <v>0</v>
      </c>
    </row>
    <row r="35" spans="1:7" x14ac:dyDescent="0.25">
      <c r="A35" s="355" t="s">
        <v>305</v>
      </c>
      <c r="B35" s="356" t="s">
        <v>353</v>
      </c>
      <c r="C35" s="357" t="s">
        <v>285</v>
      </c>
      <c r="D35" s="344" t="s">
        <v>286</v>
      </c>
      <c r="E35" s="357" t="s">
        <v>354</v>
      </c>
      <c r="F35" s="368" t="s">
        <v>355</v>
      </c>
      <c r="G35" s="346">
        <v>0</v>
      </c>
    </row>
    <row r="36" spans="1:7" x14ac:dyDescent="0.25">
      <c r="A36" s="355" t="s">
        <v>356</v>
      </c>
      <c r="B36" s="356" t="s">
        <v>353</v>
      </c>
      <c r="C36" s="357" t="s">
        <v>285</v>
      </c>
      <c r="D36" s="344" t="s">
        <v>286</v>
      </c>
      <c r="E36" s="359"/>
      <c r="F36" s="368" t="s">
        <v>357</v>
      </c>
      <c r="G36" s="346">
        <v>0</v>
      </c>
    </row>
    <row r="37" spans="1:7" x14ac:dyDescent="0.25">
      <c r="A37" s="355" t="s">
        <v>358</v>
      </c>
      <c r="B37" s="362" t="s">
        <v>359</v>
      </c>
      <c r="C37" s="357" t="s">
        <v>360</v>
      </c>
      <c r="D37" s="344" t="s">
        <v>361</v>
      </c>
      <c r="E37" s="359"/>
      <c r="F37" s="368" t="s">
        <v>317</v>
      </c>
      <c r="G37" s="346">
        <v>0</v>
      </c>
    </row>
    <row r="38" spans="1:7" x14ac:dyDescent="0.25">
      <c r="A38" s="355" t="s">
        <v>362</v>
      </c>
      <c r="B38" s="362" t="s">
        <v>363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364</v>
      </c>
      <c r="B39" s="356" t="s">
        <v>365</v>
      </c>
      <c r="C39" s="357" t="s">
        <v>366</v>
      </c>
      <c r="D39" s="359" t="s">
        <v>367</v>
      </c>
      <c r="E39" s="359"/>
      <c r="F39" s="368" t="s">
        <v>368</v>
      </c>
      <c r="G39" s="346">
        <v>0</v>
      </c>
    </row>
    <row r="40" spans="1:7" x14ac:dyDescent="0.25">
      <c r="A40" s="355" t="s">
        <v>369</v>
      </c>
      <c r="B40" s="356" t="s">
        <v>370</v>
      </c>
      <c r="C40" s="357" t="s">
        <v>279</v>
      </c>
      <c r="D40" s="344" t="s">
        <v>280</v>
      </c>
      <c r="E40" s="359"/>
      <c r="F40" s="368" t="s">
        <v>371</v>
      </c>
      <c r="G40" s="346">
        <v>1</v>
      </c>
    </row>
    <row r="41" spans="1:7" x14ac:dyDescent="0.25">
      <c r="A41" s="355" t="s">
        <v>372</v>
      </c>
      <c r="B41" s="356" t="s">
        <v>373</v>
      </c>
      <c r="C41" s="357" t="s">
        <v>279</v>
      </c>
      <c r="D41" s="358" t="s">
        <v>280</v>
      </c>
      <c r="E41" s="359"/>
      <c r="F41" s="368" t="s">
        <v>357</v>
      </c>
      <c r="G41" s="346">
        <v>0</v>
      </c>
    </row>
    <row r="42" spans="1:7" x14ac:dyDescent="0.25">
      <c r="A42" s="355" t="s">
        <v>331</v>
      </c>
      <c r="B42" s="356" t="s">
        <v>374</v>
      </c>
      <c r="C42" s="357" t="s">
        <v>334</v>
      </c>
      <c r="D42" s="344" t="s">
        <v>335</v>
      </c>
      <c r="E42" s="359"/>
      <c r="F42" s="368" t="s">
        <v>375</v>
      </c>
      <c r="G42" s="346">
        <v>0</v>
      </c>
    </row>
    <row r="43" spans="1:7" x14ac:dyDescent="0.25">
      <c r="A43" s="355" t="s">
        <v>1225</v>
      </c>
      <c r="B43" s="356" t="s">
        <v>1224</v>
      </c>
      <c r="C43" s="357"/>
      <c r="E43" s="359"/>
      <c r="F43" s="368"/>
    </row>
    <row r="44" spans="1:7" x14ac:dyDescent="0.25">
      <c r="A44" s="355" t="s">
        <v>376</v>
      </c>
      <c r="B44" s="356" t="s">
        <v>377</v>
      </c>
      <c r="C44" s="357" t="s">
        <v>378</v>
      </c>
      <c r="D44" s="344" t="s">
        <v>379</v>
      </c>
      <c r="E44" s="357"/>
      <c r="F44" s="368" t="s">
        <v>380</v>
      </c>
      <c r="G44" s="346">
        <v>0</v>
      </c>
    </row>
    <row r="45" spans="1:7" x14ac:dyDescent="0.25">
      <c r="A45" s="355" t="s">
        <v>381</v>
      </c>
      <c r="B45" s="356" t="s">
        <v>382</v>
      </c>
      <c r="C45" s="357" t="s">
        <v>311</v>
      </c>
      <c r="D45" s="344" t="s">
        <v>345</v>
      </c>
      <c r="E45" s="359"/>
      <c r="F45" s="368" t="s">
        <v>383</v>
      </c>
      <c r="G45" s="346">
        <v>0</v>
      </c>
    </row>
    <row r="46" spans="1:7" x14ac:dyDescent="0.25">
      <c r="A46" s="355" t="s">
        <v>384</v>
      </c>
      <c r="B46" s="356" t="s">
        <v>385</v>
      </c>
      <c r="C46" s="357" t="s">
        <v>386</v>
      </c>
      <c r="D46" s="344" t="s">
        <v>387</v>
      </c>
      <c r="E46" s="359"/>
      <c r="F46" s="368" t="s">
        <v>388</v>
      </c>
      <c r="G46" s="346">
        <v>0</v>
      </c>
    </row>
    <row r="47" spans="1:7" x14ac:dyDescent="0.25">
      <c r="A47" s="355" t="s">
        <v>339</v>
      </c>
      <c r="B47" s="356"/>
      <c r="C47" s="357" t="s">
        <v>339</v>
      </c>
      <c r="D47" s="359" t="s">
        <v>340</v>
      </c>
      <c r="E47" s="359"/>
      <c r="F47" s="360"/>
      <c r="G47" s="346">
        <v>0</v>
      </c>
    </row>
    <row r="49" spans="1:17" x14ac:dyDescent="0.25">
      <c r="A49" s="352" t="s">
        <v>389</v>
      </c>
      <c r="B49" s="343" t="s">
        <v>390</v>
      </c>
      <c r="C49" s="352" t="s">
        <v>391</v>
      </c>
    </row>
    <row r="50" spans="1:17" ht="15" customHeight="1" x14ac:dyDescent="0.25">
      <c r="A50" s="372" t="s">
        <v>392</v>
      </c>
      <c r="B50" s="348" t="s">
        <v>393</v>
      </c>
      <c r="C50" s="348">
        <v>1</v>
      </c>
      <c r="Q50" s="359"/>
    </row>
    <row r="51" spans="1:17" x14ac:dyDescent="0.25">
      <c r="A51" s="372" t="s">
        <v>394</v>
      </c>
      <c r="B51" s="348" t="s">
        <v>395</v>
      </c>
      <c r="C51" s="349" t="s">
        <v>396</v>
      </c>
      <c r="M51" s="348"/>
      <c r="N51" s="349"/>
      <c r="O51" s="348"/>
      <c r="P51" s="348"/>
      <c r="Q51" s="349"/>
    </row>
    <row r="52" spans="1:17" x14ac:dyDescent="0.25">
      <c r="A52" s="372" t="s">
        <v>397</v>
      </c>
      <c r="B52" s="348" t="s">
        <v>398</v>
      </c>
      <c r="C52" s="349" t="s">
        <v>399</v>
      </c>
    </row>
    <row r="53" spans="1:17" x14ac:dyDescent="0.25">
      <c r="H53" s="971" t="s">
        <v>400</v>
      </c>
      <c r="I53" s="972"/>
      <c r="J53" s="972"/>
      <c r="K53" s="973"/>
      <c r="L53" s="359"/>
    </row>
    <row r="54" spans="1:17" ht="15.75" x14ac:dyDescent="0.25">
      <c r="A54" s="359" t="s">
        <v>401</v>
      </c>
      <c r="H54" s="373"/>
      <c r="I54" s="374"/>
      <c r="J54" s="374"/>
      <c r="K54" s="375"/>
      <c r="L54" s="359"/>
      <c r="M54" s="974" t="s">
        <v>400</v>
      </c>
      <c r="N54" s="975"/>
      <c r="O54" s="975"/>
      <c r="P54" s="975"/>
      <c r="Q54" s="976"/>
    </row>
    <row r="55" spans="1:17" ht="30" x14ac:dyDescent="0.25">
      <c r="A55" s="359" t="s">
        <v>402</v>
      </c>
      <c r="B55" s="349" t="s">
        <v>403</v>
      </c>
      <c r="C55" s="376" t="s">
        <v>404</v>
      </c>
      <c r="D55" s="376" t="s">
        <v>405</v>
      </c>
      <c r="E55" s="377" t="s">
        <v>406</v>
      </c>
      <c r="F55" s="378" t="s">
        <v>407</v>
      </c>
      <c r="G55" s="379" t="s">
        <v>408</v>
      </c>
      <c r="H55" s="380" t="s">
        <v>409</v>
      </c>
      <c r="I55" s="380" t="s">
        <v>410</v>
      </c>
      <c r="J55" s="380" t="s">
        <v>411</v>
      </c>
      <c r="K55" s="381" t="s">
        <v>412</v>
      </c>
      <c r="M55" s="382" t="s">
        <v>413</v>
      </c>
      <c r="N55" s="383" t="s">
        <v>408</v>
      </c>
      <c r="O55" s="383" t="s">
        <v>414</v>
      </c>
      <c r="P55" s="383" t="s">
        <v>411</v>
      </c>
      <c r="Q55" s="384" t="s">
        <v>412</v>
      </c>
    </row>
    <row r="56" spans="1:17" ht="15.75" x14ac:dyDescent="0.3">
      <c r="A56" s="359" t="s">
        <v>415</v>
      </c>
      <c r="B56" s="385" t="s">
        <v>416</v>
      </c>
      <c r="C56" s="371" t="s">
        <v>417</v>
      </c>
      <c r="D56" s="386" t="s">
        <v>415</v>
      </c>
      <c r="E56" s="387" t="s">
        <v>415</v>
      </c>
      <c r="F56" s="360" t="s">
        <v>418</v>
      </c>
      <c r="G56" s="379" t="s">
        <v>419</v>
      </c>
      <c r="H56" s="359" t="s">
        <v>408</v>
      </c>
      <c r="I56" s="359" t="s">
        <v>420</v>
      </c>
      <c r="J56" s="359"/>
      <c r="M56" s="359" t="s">
        <v>421</v>
      </c>
      <c r="N56" s="359" t="s">
        <v>419</v>
      </c>
      <c r="O56" s="359" t="s">
        <v>414</v>
      </c>
      <c r="P56" s="359" t="s">
        <v>422</v>
      </c>
    </row>
    <row r="57" spans="1:17" ht="45" x14ac:dyDescent="0.3">
      <c r="A57" s="359" t="s">
        <v>357</v>
      </c>
      <c r="B57" s="385" t="s">
        <v>423</v>
      </c>
      <c r="C57" s="371" t="s">
        <v>417</v>
      </c>
      <c r="D57" s="386" t="s">
        <v>357</v>
      </c>
      <c r="E57" s="387" t="s">
        <v>424</v>
      </c>
      <c r="F57" s="360" t="s">
        <v>425</v>
      </c>
      <c r="G57" s="379" t="s">
        <v>426</v>
      </c>
      <c r="H57" s="359" t="s">
        <v>408</v>
      </c>
      <c r="I57" s="359" t="s">
        <v>420</v>
      </c>
      <c r="J57" s="359"/>
      <c r="M57" s="388" t="s">
        <v>427</v>
      </c>
      <c r="N57" s="388" t="s">
        <v>428</v>
      </c>
      <c r="O57" s="388"/>
      <c r="P57" s="388" t="s">
        <v>429</v>
      </c>
    </row>
    <row r="58" spans="1:17" ht="15.75" x14ac:dyDescent="0.3">
      <c r="A58" s="359" t="s">
        <v>430</v>
      </c>
      <c r="B58" s="385" t="s">
        <v>431</v>
      </c>
      <c r="C58" s="371" t="s">
        <v>417</v>
      </c>
      <c r="D58" s="386" t="s">
        <v>430</v>
      </c>
      <c r="E58" s="387" t="s">
        <v>432</v>
      </c>
      <c r="F58" s="360" t="s">
        <v>418</v>
      </c>
      <c r="G58" s="346" t="b">
        <v>1</v>
      </c>
      <c r="M58" s="389"/>
      <c r="N58" s="388" t="s">
        <v>433</v>
      </c>
      <c r="O58" s="389"/>
      <c r="P58" s="389"/>
    </row>
    <row r="59" spans="1:17" ht="15.75" x14ac:dyDescent="0.3">
      <c r="A59" s="359" t="s">
        <v>434</v>
      </c>
      <c r="B59" s="385" t="s">
        <v>435</v>
      </c>
      <c r="C59" s="371" t="s">
        <v>417</v>
      </c>
      <c r="D59" s="386" t="s">
        <v>434</v>
      </c>
      <c r="E59" s="387" t="s">
        <v>436</v>
      </c>
      <c r="F59" s="360" t="s">
        <v>437</v>
      </c>
      <c r="H59" s="359" t="s">
        <v>408</v>
      </c>
      <c r="I59" s="359" t="s">
        <v>420</v>
      </c>
      <c r="J59" s="359"/>
      <c r="M59" s="389"/>
      <c r="N59" s="389"/>
      <c r="O59" s="389"/>
      <c r="P59" s="388" t="s">
        <v>438</v>
      </c>
    </row>
    <row r="60" spans="1:17" ht="15.75" x14ac:dyDescent="0.3">
      <c r="A60" s="359" t="s">
        <v>439</v>
      </c>
      <c r="B60" s="385" t="s">
        <v>440</v>
      </c>
      <c r="C60" s="371" t="s">
        <v>417</v>
      </c>
      <c r="D60" s="386" t="s">
        <v>439</v>
      </c>
      <c r="E60" s="387" t="s">
        <v>436</v>
      </c>
      <c r="F60" s="360" t="s">
        <v>437</v>
      </c>
      <c r="G60" s="379" t="s">
        <v>441</v>
      </c>
      <c r="H60" s="359" t="s">
        <v>408</v>
      </c>
      <c r="I60" s="359" t="s">
        <v>420</v>
      </c>
      <c r="J60" s="359"/>
      <c r="M60" s="389" t="str">
        <f>N58</f>
        <v>$.*</v>
      </c>
      <c r="N60" s="389"/>
      <c r="O60" s="389"/>
      <c r="P60" s="388" t="s">
        <v>1232</v>
      </c>
    </row>
    <row r="61" spans="1:17" ht="15.75" x14ac:dyDescent="0.3">
      <c r="A61" s="359" t="s">
        <v>442</v>
      </c>
      <c r="B61" s="385" t="s">
        <v>443</v>
      </c>
      <c r="C61" s="386" t="s">
        <v>442</v>
      </c>
      <c r="D61" s="386" t="s">
        <v>444</v>
      </c>
      <c r="E61" s="387" t="s">
        <v>445</v>
      </c>
      <c r="F61" s="360" t="s">
        <v>437</v>
      </c>
      <c r="K61" s="359" t="s">
        <v>446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447</v>
      </c>
      <c r="B62" s="385" t="s">
        <v>448</v>
      </c>
      <c r="C62" s="371" t="s">
        <v>417</v>
      </c>
      <c r="D62" s="390" t="s">
        <v>449</v>
      </c>
      <c r="E62" s="387" t="s">
        <v>450</v>
      </c>
      <c r="F62" s="360" t="s">
        <v>425</v>
      </c>
      <c r="G62" s="379" t="s">
        <v>441</v>
      </c>
      <c r="H62" s="359" t="s">
        <v>408</v>
      </c>
      <c r="I62" s="359" t="s">
        <v>420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451</v>
      </c>
      <c r="C63" s="371" t="s">
        <v>417</v>
      </c>
      <c r="D63" s="386" t="s">
        <v>326</v>
      </c>
      <c r="E63" s="387" t="s">
        <v>445</v>
      </c>
      <c r="F63" s="360" t="s">
        <v>437</v>
      </c>
      <c r="G63" s="379" t="s">
        <v>441</v>
      </c>
      <c r="H63" s="359" t="s">
        <v>408</v>
      </c>
      <c r="I63" s="359" t="s">
        <v>420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452</v>
      </c>
      <c r="B64" s="391" t="s">
        <v>453</v>
      </c>
      <c r="C64" s="386" t="s">
        <v>452</v>
      </c>
      <c r="D64" s="386" t="s">
        <v>454</v>
      </c>
      <c r="E64" s="387" t="s">
        <v>445</v>
      </c>
      <c r="F64" s="360" t="s">
        <v>437</v>
      </c>
      <c r="K64" s="359" t="s">
        <v>455</v>
      </c>
      <c r="M64" s="388" t="s">
        <v>456</v>
      </c>
      <c r="N64" s="389"/>
      <c r="O64" s="389"/>
      <c r="P64" s="388" t="s">
        <v>457</v>
      </c>
    </row>
    <row r="65" spans="1:17" x14ac:dyDescent="0.25">
      <c r="A65" s="359" t="s">
        <v>411</v>
      </c>
      <c r="B65" s="385" t="s">
        <v>458</v>
      </c>
      <c r="C65" s="371" t="s">
        <v>459</v>
      </c>
      <c r="D65" s="893" t="s">
        <v>473</v>
      </c>
      <c r="E65" s="387"/>
      <c r="F65" s="360"/>
      <c r="G65" s="379"/>
      <c r="H65" s="359"/>
      <c r="I65" s="359"/>
      <c r="J65" s="359"/>
      <c r="K65" s="359" t="s">
        <v>446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336</v>
      </c>
      <c r="B66" s="385" t="s">
        <v>460</v>
      </c>
      <c r="C66" s="386" t="s">
        <v>461</v>
      </c>
      <c r="D66" s="371" t="s">
        <v>462</v>
      </c>
      <c r="E66" s="387" t="s">
        <v>445</v>
      </c>
      <c r="F66" s="360" t="s">
        <v>437</v>
      </c>
      <c r="I66" s="359"/>
      <c r="J66" s="359"/>
      <c r="K66" s="344" t="s">
        <v>336</v>
      </c>
      <c r="L66" s="359"/>
      <c r="M66" s="392" t="str">
        <f>N58</f>
        <v>$.*</v>
      </c>
      <c r="N66" s="388" t="s">
        <v>463</v>
      </c>
      <c r="O66" s="389"/>
      <c r="P66" s="389"/>
    </row>
    <row r="67" spans="1:17" ht="15.75" x14ac:dyDescent="0.3">
      <c r="A67" s="359" t="s">
        <v>295</v>
      </c>
      <c r="B67" s="385" t="s">
        <v>464</v>
      </c>
      <c r="C67" s="371" t="s">
        <v>417</v>
      </c>
      <c r="D67" s="386" t="s">
        <v>295</v>
      </c>
      <c r="E67" s="387" t="s">
        <v>295</v>
      </c>
      <c r="F67" s="360" t="s">
        <v>418</v>
      </c>
      <c r="G67" s="379" t="s">
        <v>441</v>
      </c>
      <c r="H67" s="359" t="s">
        <v>408</v>
      </c>
      <c r="I67" s="359" t="s">
        <v>420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380</v>
      </c>
      <c r="B68" s="385" t="s">
        <v>380</v>
      </c>
      <c r="C68" s="371" t="s">
        <v>417</v>
      </c>
      <c r="D68" s="386" t="s">
        <v>380</v>
      </c>
      <c r="E68" s="387" t="s">
        <v>445</v>
      </c>
      <c r="F68" s="360" t="s">
        <v>437</v>
      </c>
      <c r="G68" s="379" t="s">
        <v>441</v>
      </c>
      <c r="H68" s="359" t="s">
        <v>408</v>
      </c>
      <c r="I68" s="359" t="s">
        <v>420</v>
      </c>
      <c r="J68" s="359"/>
      <c r="M68" s="388" t="s">
        <v>465</v>
      </c>
      <c r="N68" s="388" t="s">
        <v>466</v>
      </c>
      <c r="O68" s="389"/>
      <c r="P68" s="389"/>
    </row>
    <row r="69" spans="1:17" ht="15.75" x14ac:dyDescent="0.3">
      <c r="A69" s="359" t="s">
        <v>1221</v>
      </c>
      <c r="B69" s="385" t="s">
        <v>1221</v>
      </c>
      <c r="C69" s="371" t="s">
        <v>417</v>
      </c>
      <c r="D69" s="386" t="s">
        <v>1221</v>
      </c>
      <c r="E69" s="387" t="s">
        <v>445</v>
      </c>
      <c r="F69" s="360" t="s">
        <v>437</v>
      </c>
      <c r="G69" s="379"/>
      <c r="H69" s="359"/>
      <c r="I69" s="359"/>
      <c r="J69" s="359"/>
      <c r="M69" s="388" t="s">
        <v>465</v>
      </c>
      <c r="N69" s="388"/>
      <c r="O69" s="389"/>
      <c r="P69" s="389"/>
    </row>
    <row r="70" spans="1:17" x14ac:dyDescent="0.25">
      <c r="A70" s="393" t="s">
        <v>282</v>
      </c>
      <c r="B70" s="385" t="s">
        <v>467</v>
      </c>
      <c r="C70" s="371"/>
      <c r="D70" s="390"/>
      <c r="E70" s="387"/>
      <c r="F70" s="360"/>
      <c r="M70" s="388" t="s">
        <v>468</v>
      </c>
      <c r="N70" s="388" t="s">
        <v>468</v>
      </c>
      <c r="O70" s="389"/>
      <c r="P70" s="388" t="s">
        <v>468</v>
      </c>
    </row>
    <row r="71" spans="1:17" x14ac:dyDescent="0.25">
      <c r="C71" s="371"/>
      <c r="D71" s="371" t="s">
        <v>469</v>
      </c>
      <c r="E71" s="387" t="s">
        <v>445</v>
      </c>
      <c r="F71" s="360" t="s">
        <v>437</v>
      </c>
      <c r="M71" s="389"/>
      <c r="N71" s="389"/>
      <c r="O71" s="389"/>
      <c r="P71" s="389"/>
    </row>
    <row r="72" spans="1:17" x14ac:dyDescent="0.25">
      <c r="C72" s="371"/>
      <c r="D72" s="371" t="s">
        <v>470</v>
      </c>
      <c r="E72" s="387" t="s">
        <v>445</v>
      </c>
      <c r="F72" s="360" t="s">
        <v>437</v>
      </c>
      <c r="M72" s="389"/>
      <c r="N72" s="389"/>
      <c r="O72" s="389"/>
      <c r="P72" s="389"/>
    </row>
    <row r="73" spans="1:17" x14ac:dyDescent="0.25">
      <c r="C73" s="371"/>
      <c r="D73" s="371" t="s">
        <v>471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472</v>
      </c>
      <c r="E74" s="387" t="s">
        <v>445</v>
      </c>
      <c r="F74" s="360" t="s">
        <v>437</v>
      </c>
      <c r="M74" s="389"/>
      <c r="N74" s="389"/>
      <c r="O74" s="389"/>
      <c r="P74" s="389"/>
    </row>
    <row r="75" spans="1:17" x14ac:dyDescent="0.25">
      <c r="C75" s="390"/>
      <c r="D75" s="371" t="s">
        <v>473</v>
      </c>
      <c r="E75" s="387" t="s">
        <v>445</v>
      </c>
      <c r="F75" s="360" t="s">
        <v>437</v>
      </c>
      <c r="M75" s="389"/>
      <c r="N75" s="389"/>
      <c r="O75" s="389"/>
      <c r="P75" s="389"/>
    </row>
    <row r="76" spans="1:17" x14ac:dyDescent="0.25">
      <c r="A76" s="359" t="s">
        <v>474</v>
      </c>
      <c r="C76" s="390"/>
      <c r="D76" s="371"/>
      <c r="F76" s="360"/>
      <c r="Q76" s="359" t="s">
        <v>475</v>
      </c>
    </row>
    <row r="77" spans="1:17" x14ac:dyDescent="0.25">
      <c r="A77" s="359" t="s">
        <v>446</v>
      </c>
      <c r="B77" s="356" t="s">
        <v>476</v>
      </c>
      <c r="C77" s="390"/>
      <c r="D77" s="371"/>
      <c r="F77" s="360"/>
      <c r="Q77" s="394" t="s">
        <v>420</v>
      </c>
    </row>
    <row r="78" spans="1:17" x14ac:dyDescent="0.25">
      <c r="A78" s="359" t="s">
        <v>408</v>
      </c>
      <c r="B78" s="356" t="s">
        <v>477</v>
      </c>
      <c r="C78" s="390"/>
      <c r="D78" s="371"/>
      <c r="F78" s="360"/>
      <c r="Q78" s="394" t="s">
        <v>408</v>
      </c>
    </row>
    <row r="79" spans="1:17" x14ac:dyDescent="0.25">
      <c r="A79" s="359"/>
      <c r="B79" s="356"/>
      <c r="C79" s="390"/>
      <c r="D79" s="371"/>
      <c r="F79" s="360"/>
      <c r="Q79" s="394" t="s">
        <v>411</v>
      </c>
    </row>
    <row r="80" spans="1:17" x14ac:dyDescent="0.25">
      <c r="A80" s="359"/>
      <c r="B80" s="390"/>
      <c r="C80" s="390"/>
      <c r="D80" s="371"/>
      <c r="F80" s="360"/>
      <c r="Q80" s="394" t="s">
        <v>336</v>
      </c>
    </row>
    <row r="81" spans="1:17" x14ac:dyDescent="0.25">
      <c r="A81" s="359"/>
      <c r="B81" s="390"/>
      <c r="C81" s="390"/>
      <c r="D81" s="371"/>
      <c r="F81" s="360"/>
      <c r="Q81" s="394" t="s">
        <v>455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478</v>
      </c>
    </row>
    <row r="85" spans="1:17" x14ac:dyDescent="0.25">
      <c r="A85" s="359" t="s">
        <v>479</v>
      </c>
    </row>
    <row r="86" spans="1:17" x14ac:dyDescent="0.25">
      <c r="A86" s="359" t="s">
        <v>480</v>
      </c>
    </row>
    <row r="87" spans="1:17" x14ac:dyDescent="0.25">
      <c r="A87" s="359" t="s">
        <v>481</v>
      </c>
      <c r="B87" s="349" t="s">
        <v>168</v>
      </c>
    </row>
    <row r="88" spans="1:17" x14ac:dyDescent="0.25">
      <c r="A88" s="359" t="s">
        <v>482</v>
      </c>
      <c r="B88" s="348">
        <v>1</v>
      </c>
    </row>
    <row r="89" spans="1:17" x14ac:dyDescent="0.25">
      <c r="A89" s="359" t="s">
        <v>483</v>
      </c>
      <c r="B89" s="348">
        <v>1</v>
      </c>
    </row>
    <row r="90" spans="1:17" x14ac:dyDescent="0.25">
      <c r="A90" s="359" t="s">
        <v>484</v>
      </c>
      <c r="B90" s="348">
        <v>1</v>
      </c>
    </row>
    <row r="91" spans="1:17" x14ac:dyDescent="0.25">
      <c r="A91" s="359" t="s">
        <v>485</v>
      </c>
    </row>
    <row r="92" spans="1:17" x14ac:dyDescent="0.25">
      <c r="A92" s="359" t="s">
        <v>486</v>
      </c>
    </row>
    <row r="93" spans="1:17" x14ac:dyDescent="0.25">
      <c r="A93" s="359" t="s">
        <v>487</v>
      </c>
      <c r="B93" s="349" t="s">
        <v>168</v>
      </c>
    </row>
    <row r="94" spans="1:17" x14ac:dyDescent="0.25">
      <c r="A94" s="359" t="s">
        <v>488</v>
      </c>
      <c r="F94" s="344"/>
      <c r="G94" s="344"/>
    </row>
    <row r="95" spans="1:17" x14ac:dyDescent="0.25">
      <c r="A95" s="359" t="s">
        <v>489</v>
      </c>
      <c r="F95" s="344"/>
      <c r="G95" s="344"/>
    </row>
    <row r="96" spans="1:17" x14ac:dyDescent="0.25">
      <c r="A96" s="359" t="s">
        <v>490</v>
      </c>
      <c r="F96" s="344"/>
      <c r="G96" s="344"/>
    </row>
    <row r="97" spans="1:7" x14ac:dyDescent="0.25">
      <c r="A97" s="359" t="s">
        <v>491</v>
      </c>
      <c r="F97" s="344"/>
      <c r="G97" s="344"/>
    </row>
    <row r="98" spans="1:7" x14ac:dyDescent="0.25">
      <c r="A98" s="359" t="s">
        <v>492</v>
      </c>
      <c r="B98" s="348">
        <v>1</v>
      </c>
      <c r="F98" s="344"/>
      <c r="G98" s="344"/>
    </row>
    <row r="99" spans="1:7" x14ac:dyDescent="0.25">
      <c r="A99" s="359" t="s">
        <v>493</v>
      </c>
      <c r="B99" s="348">
        <v>1</v>
      </c>
      <c r="F99" s="344"/>
      <c r="G99" s="344"/>
    </row>
    <row r="100" spans="1:7" x14ac:dyDescent="0.25">
      <c r="A100" s="359" t="s">
        <v>494</v>
      </c>
      <c r="F100" s="344"/>
      <c r="G100" s="344"/>
    </row>
    <row r="101" spans="1:7" x14ac:dyDescent="0.25">
      <c r="A101" s="359" t="s">
        <v>495</v>
      </c>
      <c r="F101" s="344"/>
      <c r="G101" s="344"/>
    </row>
    <row r="102" spans="1:7" x14ac:dyDescent="0.25">
      <c r="A102" s="359" t="s">
        <v>496</v>
      </c>
      <c r="F102" s="344"/>
      <c r="G102" s="344"/>
    </row>
    <row r="103" spans="1:7" x14ac:dyDescent="0.25">
      <c r="A103" s="359" t="s">
        <v>497</v>
      </c>
      <c r="F103" s="344"/>
      <c r="G103" s="344"/>
    </row>
    <row r="104" spans="1:7" x14ac:dyDescent="0.25">
      <c r="A104" s="359" t="s">
        <v>498</v>
      </c>
      <c r="B104" s="348">
        <v>1</v>
      </c>
      <c r="F104" s="344"/>
      <c r="G104" s="344"/>
    </row>
    <row r="105" spans="1:7" x14ac:dyDescent="0.25">
      <c r="A105" s="359" t="s">
        <v>499</v>
      </c>
      <c r="B105" s="348">
        <v>1</v>
      </c>
      <c r="F105" s="344"/>
      <c r="G105" s="344"/>
    </row>
    <row r="106" spans="1:7" x14ac:dyDescent="0.25">
      <c r="A106" s="359" t="s">
        <v>500</v>
      </c>
      <c r="F106" s="344"/>
      <c r="G106" s="344"/>
    </row>
    <row r="107" spans="1:7" x14ac:dyDescent="0.25">
      <c r="A107" s="359" t="s">
        <v>501</v>
      </c>
      <c r="B107" s="348">
        <v>1</v>
      </c>
      <c r="F107" s="344"/>
      <c r="G107" s="344"/>
    </row>
    <row r="108" spans="1:7" x14ac:dyDescent="0.25">
      <c r="A108" s="359" t="s">
        <v>502</v>
      </c>
      <c r="F108" s="344"/>
      <c r="G108" s="344"/>
    </row>
    <row r="109" spans="1:7" x14ac:dyDescent="0.25">
      <c r="A109" s="359" t="s">
        <v>503</v>
      </c>
      <c r="B109" s="348">
        <v>1</v>
      </c>
      <c r="F109" s="344"/>
      <c r="G109" s="344"/>
    </row>
    <row r="110" spans="1:7" x14ac:dyDescent="0.25">
      <c r="A110" s="359" t="s">
        <v>504</v>
      </c>
      <c r="B110" s="348">
        <v>1</v>
      </c>
      <c r="F110" s="344"/>
      <c r="G110" s="344"/>
    </row>
    <row r="111" spans="1:7" x14ac:dyDescent="0.25">
      <c r="A111" s="359" t="s">
        <v>505</v>
      </c>
      <c r="F111" s="344"/>
      <c r="G111" s="344"/>
    </row>
    <row r="112" spans="1:7" x14ac:dyDescent="0.25">
      <c r="A112" s="359" t="s">
        <v>506</v>
      </c>
      <c r="F112" s="344"/>
      <c r="G112" s="344"/>
    </row>
    <row r="113" spans="1:7" x14ac:dyDescent="0.25">
      <c r="A113" s="359" t="s">
        <v>507</v>
      </c>
      <c r="F113" s="344"/>
      <c r="G113" s="344"/>
    </row>
    <row r="114" spans="1:7" x14ac:dyDescent="0.25">
      <c r="A114" s="359" t="s">
        <v>508</v>
      </c>
      <c r="F114" s="344"/>
      <c r="G114" s="344"/>
    </row>
    <row r="115" spans="1:7" x14ac:dyDescent="0.25">
      <c r="A115" s="359" t="s">
        <v>509</v>
      </c>
      <c r="F115" s="344"/>
      <c r="G115" s="344"/>
    </row>
    <row r="116" spans="1:7" x14ac:dyDescent="0.25">
      <c r="A116" s="359" t="s">
        <v>510</v>
      </c>
      <c r="F116" s="344"/>
      <c r="G116" s="344"/>
    </row>
    <row r="117" spans="1:7" x14ac:dyDescent="0.25">
      <c r="A117" s="359" t="s">
        <v>511</v>
      </c>
      <c r="B117" s="348">
        <v>1</v>
      </c>
      <c r="F117" s="344"/>
      <c r="G117" s="344"/>
    </row>
    <row r="118" spans="1:7" x14ac:dyDescent="0.25">
      <c r="A118" s="359" t="s">
        <v>512</v>
      </c>
      <c r="F118" s="344"/>
      <c r="G118" s="344"/>
    </row>
    <row r="119" spans="1:7" x14ac:dyDescent="0.25">
      <c r="A119" s="359" t="s">
        <v>513</v>
      </c>
      <c r="F119" s="344"/>
      <c r="G119" s="344"/>
    </row>
    <row r="120" spans="1:7" x14ac:dyDescent="0.25">
      <c r="A120" s="359" t="s">
        <v>514</v>
      </c>
      <c r="F120" s="344"/>
      <c r="G120" s="344"/>
    </row>
    <row r="121" spans="1:7" x14ac:dyDescent="0.25">
      <c r="A121" s="359" t="s">
        <v>515</v>
      </c>
      <c r="B121" s="348">
        <v>1</v>
      </c>
      <c r="F121" s="344"/>
      <c r="G121" s="344"/>
    </row>
    <row r="122" spans="1:7" x14ac:dyDescent="0.25">
      <c r="A122" s="359" t="s">
        <v>516</v>
      </c>
      <c r="F122" s="344"/>
      <c r="G122" s="344"/>
    </row>
    <row r="123" spans="1:7" x14ac:dyDescent="0.25">
      <c r="A123" s="359" t="s">
        <v>517</v>
      </c>
      <c r="F123" s="344"/>
      <c r="G123" s="344"/>
    </row>
    <row r="124" spans="1:7" x14ac:dyDescent="0.25">
      <c r="A124" s="359" t="s">
        <v>518</v>
      </c>
      <c r="F124" s="344"/>
      <c r="G124" s="344"/>
    </row>
    <row r="125" spans="1:7" x14ac:dyDescent="0.25">
      <c r="A125" s="359" t="s">
        <v>519</v>
      </c>
      <c r="F125" s="344"/>
      <c r="G125" s="344"/>
    </row>
    <row r="126" spans="1:7" x14ac:dyDescent="0.25">
      <c r="A126" s="359" t="s">
        <v>520</v>
      </c>
      <c r="B126" s="348">
        <v>1</v>
      </c>
      <c r="F126" s="344"/>
      <c r="G126" s="344"/>
    </row>
    <row r="127" spans="1:7" x14ac:dyDescent="0.25">
      <c r="A127" s="359" t="s">
        <v>521</v>
      </c>
      <c r="B127" s="348">
        <v>1</v>
      </c>
      <c r="F127" s="344"/>
      <c r="G127" s="344"/>
    </row>
    <row r="128" spans="1:7" x14ac:dyDescent="0.25">
      <c r="A128" s="359" t="s">
        <v>522</v>
      </c>
      <c r="F128" s="344"/>
      <c r="G128" s="344"/>
    </row>
    <row r="129" spans="1:7" x14ac:dyDescent="0.25">
      <c r="A129" s="359" t="s">
        <v>523</v>
      </c>
      <c r="F129" s="344"/>
      <c r="G129" s="344"/>
    </row>
    <row r="130" spans="1:7" x14ac:dyDescent="0.25">
      <c r="A130" s="359" t="s">
        <v>524</v>
      </c>
      <c r="F130" s="344"/>
      <c r="G130" s="344"/>
    </row>
    <row r="131" spans="1:7" x14ac:dyDescent="0.25">
      <c r="A131" s="359" t="s">
        <v>525</v>
      </c>
      <c r="B131" s="348">
        <v>1</v>
      </c>
      <c r="F131" s="344"/>
      <c r="G131" s="344"/>
    </row>
    <row r="132" spans="1:7" x14ac:dyDescent="0.25">
      <c r="A132" s="359" t="s">
        <v>526</v>
      </c>
      <c r="F132" s="344"/>
      <c r="G132" s="344"/>
    </row>
    <row r="133" spans="1:7" x14ac:dyDescent="0.25">
      <c r="A133" s="359" t="s">
        <v>527</v>
      </c>
      <c r="F133" s="344"/>
      <c r="G133" s="344"/>
    </row>
    <row r="134" spans="1:7" x14ac:dyDescent="0.25">
      <c r="A134" s="359" t="s">
        <v>528</v>
      </c>
      <c r="B134" s="348">
        <v>1</v>
      </c>
      <c r="F134" s="344"/>
      <c r="G134" s="344"/>
    </row>
    <row r="135" spans="1:7" x14ac:dyDescent="0.25">
      <c r="A135" s="359" t="s">
        <v>529</v>
      </c>
      <c r="F135" s="344"/>
      <c r="G135" s="344"/>
    </row>
    <row r="136" spans="1:7" x14ac:dyDescent="0.25">
      <c r="A136" s="359" t="s">
        <v>530</v>
      </c>
      <c r="F136" s="344"/>
      <c r="G136" s="344"/>
    </row>
    <row r="137" spans="1:7" x14ac:dyDescent="0.25">
      <c r="A137" s="359" t="s">
        <v>531</v>
      </c>
      <c r="F137" s="344"/>
      <c r="G137" s="344"/>
    </row>
    <row r="138" spans="1:7" x14ac:dyDescent="0.25">
      <c r="A138" s="359" t="s">
        <v>532</v>
      </c>
      <c r="F138" s="344"/>
      <c r="G138" s="344"/>
    </row>
    <row r="139" spans="1:7" x14ac:dyDescent="0.25">
      <c r="A139" s="359" t="s">
        <v>533</v>
      </c>
      <c r="B139" s="348">
        <v>1</v>
      </c>
      <c r="F139" s="344"/>
      <c r="G139" s="344"/>
    </row>
    <row r="140" spans="1:7" x14ac:dyDescent="0.25">
      <c r="A140" s="359" t="s">
        <v>534</v>
      </c>
      <c r="B140" s="348">
        <v>1</v>
      </c>
      <c r="F140" s="344"/>
      <c r="G140" s="344"/>
    </row>
    <row r="141" spans="1:7" x14ac:dyDescent="0.25">
      <c r="A141" s="359" t="s">
        <v>535</v>
      </c>
      <c r="F141" s="344"/>
      <c r="G141" s="344"/>
    </row>
    <row r="142" spans="1:7" x14ac:dyDescent="0.25">
      <c r="A142" s="359" t="s">
        <v>536</v>
      </c>
      <c r="B142" s="348">
        <v>1</v>
      </c>
      <c r="F142" s="344"/>
      <c r="G142" s="344"/>
    </row>
    <row r="143" spans="1:7" x14ac:dyDescent="0.25">
      <c r="A143" s="359" t="s">
        <v>537</v>
      </c>
      <c r="F143" s="344"/>
      <c r="G143" s="344"/>
    </row>
    <row r="144" spans="1:7" x14ac:dyDescent="0.25">
      <c r="A144" s="359" t="s">
        <v>538</v>
      </c>
      <c r="B144" s="348">
        <v>1</v>
      </c>
      <c r="F144" s="344"/>
      <c r="G144" s="344"/>
    </row>
    <row r="145" spans="1:7" x14ac:dyDescent="0.25">
      <c r="A145" s="359" t="s">
        <v>539</v>
      </c>
      <c r="F145" s="344"/>
      <c r="G145" s="344"/>
    </row>
    <row r="146" spans="1:7" x14ac:dyDescent="0.25">
      <c r="A146" s="359" t="s">
        <v>540</v>
      </c>
      <c r="F146" s="344"/>
      <c r="G146" s="344"/>
    </row>
    <row r="147" spans="1:7" x14ac:dyDescent="0.25">
      <c r="A147" s="359" t="s">
        <v>541</v>
      </c>
      <c r="F147" s="344"/>
      <c r="G147" s="344"/>
    </row>
    <row r="148" spans="1:7" x14ac:dyDescent="0.25">
      <c r="A148" s="359" t="s">
        <v>542</v>
      </c>
      <c r="F148" s="344"/>
      <c r="G148" s="344"/>
    </row>
    <row r="149" spans="1:7" x14ac:dyDescent="0.25">
      <c r="A149" s="359" t="s">
        <v>543</v>
      </c>
      <c r="F149" s="344"/>
      <c r="G149" s="344"/>
    </row>
    <row r="150" spans="1:7" x14ac:dyDescent="0.25">
      <c r="A150" s="359" t="s">
        <v>544</v>
      </c>
      <c r="F150" s="344"/>
      <c r="G150" s="344"/>
    </row>
    <row r="151" spans="1:7" x14ac:dyDescent="0.25">
      <c r="A151" s="359" t="s">
        <v>545</v>
      </c>
      <c r="B151" s="348">
        <v>1</v>
      </c>
      <c r="F151" s="344"/>
      <c r="G151" s="344"/>
    </row>
    <row r="152" spans="1:7" x14ac:dyDescent="0.25">
      <c r="A152" s="359" t="s">
        <v>546</v>
      </c>
      <c r="B152" s="348">
        <v>1</v>
      </c>
      <c r="F152" s="344"/>
      <c r="G152" s="344"/>
    </row>
    <row r="153" spans="1:7" x14ac:dyDescent="0.25">
      <c r="A153" s="359" t="s">
        <v>547</v>
      </c>
      <c r="F153" s="344"/>
      <c r="G153" s="344"/>
    </row>
    <row r="154" spans="1:7" x14ac:dyDescent="0.25">
      <c r="A154" s="359" t="s">
        <v>548</v>
      </c>
      <c r="B154" s="348">
        <v>1</v>
      </c>
      <c r="F154" s="344"/>
      <c r="G154" s="344"/>
    </row>
    <row r="155" spans="1:7" x14ac:dyDescent="0.25">
      <c r="A155" s="359" t="s">
        <v>549</v>
      </c>
      <c r="B155" s="349" t="s">
        <v>168</v>
      </c>
      <c r="F155" s="344"/>
      <c r="G155" s="344"/>
    </row>
    <row r="156" spans="1:7" x14ac:dyDescent="0.25">
      <c r="A156" s="359" t="s">
        <v>550</v>
      </c>
      <c r="F156" s="344"/>
      <c r="G156" s="344"/>
    </row>
    <row r="157" spans="1:7" x14ac:dyDescent="0.25">
      <c r="A157" s="359" t="s">
        <v>551</v>
      </c>
      <c r="B157" s="348">
        <v>1</v>
      </c>
      <c r="F157" s="344"/>
      <c r="G157" s="344"/>
    </row>
    <row r="158" spans="1:7" x14ac:dyDescent="0.25">
      <c r="A158" s="359" t="s">
        <v>552</v>
      </c>
      <c r="F158" s="344"/>
      <c r="G158" s="344"/>
    </row>
    <row r="159" spans="1:7" x14ac:dyDescent="0.25">
      <c r="A159" s="359" t="s">
        <v>553</v>
      </c>
      <c r="F159" s="344"/>
      <c r="G159" s="344"/>
    </row>
    <row r="160" spans="1:7" x14ac:dyDescent="0.25">
      <c r="A160" s="359" t="s">
        <v>554</v>
      </c>
      <c r="F160" s="344"/>
      <c r="G160" s="344"/>
    </row>
    <row r="161" spans="1:7" x14ac:dyDescent="0.25">
      <c r="A161" s="359" t="s">
        <v>555</v>
      </c>
      <c r="F161" s="344"/>
      <c r="G161" s="344"/>
    </row>
    <row r="162" spans="1:7" x14ac:dyDescent="0.25">
      <c r="A162" s="359" t="s">
        <v>556</v>
      </c>
      <c r="F162" s="344"/>
      <c r="G162" s="344"/>
    </row>
    <row r="163" spans="1:7" x14ac:dyDescent="0.25">
      <c r="A163" s="359" t="s">
        <v>557</v>
      </c>
      <c r="B163" s="349" t="s">
        <v>168</v>
      </c>
      <c r="F163" s="344"/>
      <c r="G163" s="344"/>
    </row>
    <row r="164" spans="1:7" x14ac:dyDescent="0.25">
      <c r="A164" s="359" t="s">
        <v>558</v>
      </c>
      <c r="F164" s="344"/>
      <c r="G164" s="344"/>
    </row>
    <row r="165" spans="1:7" x14ac:dyDescent="0.25">
      <c r="A165" s="359" t="s">
        <v>559</v>
      </c>
      <c r="F165" s="344"/>
      <c r="G165" s="344"/>
    </row>
    <row r="166" spans="1:7" x14ac:dyDescent="0.25">
      <c r="A166" s="359" t="s">
        <v>560</v>
      </c>
      <c r="F166" s="344"/>
      <c r="G166" s="344"/>
    </row>
    <row r="167" spans="1:7" x14ac:dyDescent="0.25">
      <c r="A167" s="359" t="s">
        <v>561</v>
      </c>
      <c r="B167" s="348">
        <v>1</v>
      </c>
      <c r="F167" s="344"/>
      <c r="G167" s="344"/>
    </row>
    <row r="168" spans="1:7" x14ac:dyDescent="0.25">
      <c r="A168" s="359" t="s">
        <v>562</v>
      </c>
      <c r="B168" s="348">
        <v>1</v>
      </c>
      <c r="F168" s="344"/>
      <c r="G168" s="344"/>
    </row>
    <row r="169" spans="1:7" x14ac:dyDescent="0.25">
      <c r="A169" s="359" t="s">
        <v>563</v>
      </c>
      <c r="F169" s="344"/>
      <c r="G169" s="344"/>
    </row>
    <row r="170" spans="1:7" x14ac:dyDescent="0.25">
      <c r="A170" s="359" t="s">
        <v>564</v>
      </c>
      <c r="F170" s="344"/>
      <c r="G170" s="344"/>
    </row>
    <row r="171" spans="1:7" x14ac:dyDescent="0.25">
      <c r="A171" s="359" t="s">
        <v>565</v>
      </c>
      <c r="F171" s="344"/>
      <c r="G171" s="344"/>
    </row>
    <row r="172" spans="1:7" x14ac:dyDescent="0.25">
      <c r="A172" s="359" t="s">
        <v>566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567</v>
      </c>
      <c r="F174" s="344"/>
      <c r="G174" s="344"/>
    </row>
    <row r="175" spans="1:7" x14ac:dyDescent="0.25">
      <c r="A175" s="344" t="s">
        <v>568</v>
      </c>
      <c r="F175" s="344"/>
      <c r="G175" s="344"/>
    </row>
    <row r="176" spans="1:7" x14ac:dyDescent="0.25">
      <c r="A176" s="359" t="s">
        <v>569</v>
      </c>
      <c r="B176" s="349" t="s">
        <v>570</v>
      </c>
      <c r="F176" s="344"/>
      <c r="G176" s="344"/>
    </row>
    <row r="177" spans="1:7" x14ac:dyDescent="0.25">
      <c r="A177" s="344" t="s">
        <v>571</v>
      </c>
      <c r="F177" s="344"/>
      <c r="G177" s="344"/>
    </row>
    <row r="178" spans="1:7" x14ac:dyDescent="0.25">
      <c r="A178" s="359" t="s">
        <v>572</v>
      </c>
      <c r="F178" s="344"/>
      <c r="G178" s="344"/>
    </row>
    <row r="179" spans="1:7" x14ac:dyDescent="0.25">
      <c r="A179" s="344" t="s">
        <v>573</v>
      </c>
      <c r="B179" s="344"/>
      <c r="F179" s="344"/>
      <c r="G179" s="344"/>
    </row>
    <row r="180" spans="1:7" x14ac:dyDescent="0.25">
      <c r="A180" s="344" t="s">
        <v>574</v>
      </c>
      <c r="F180" s="344"/>
      <c r="G180" s="344"/>
    </row>
    <row r="181" spans="1:7" x14ac:dyDescent="0.25">
      <c r="A181" s="344" t="s">
        <v>575</v>
      </c>
      <c r="B181" s="397" t="s">
        <v>576</v>
      </c>
      <c r="F181" s="344"/>
      <c r="G181" s="344"/>
    </row>
    <row r="182" spans="1:7" x14ac:dyDescent="0.25">
      <c r="A182" s="359" t="s">
        <v>577</v>
      </c>
      <c r="B182" s="397" t="s">
        <v>578</v>
      </c>
      <c r="F182" s="344"/>
      <c r="G182" s="344"/>
    </row>
    <row r="183" spans="1:7" x14ac:dyDescent="0.25">
      <c r="A183" s="344" t="s">
        <v>579</v>
      </c>
      <c r="B183" s="359"/>
      <c r="F183" s="344"/>
      <c r="G183" s="344"/>
    </row>
    <row r="184" spans="1:7" x14ac:dyDescent="0.25">
      <c r="A184" s="344" t="s">
        <v>580</v>
      </c>
      <c r="F184" s="344"/>
      <c r="G184" s="344"/>
    </row>
    <row r="185" spans="1:7" x14ac:dyDescent="0.25">
      <c r="A185" s="344" t="s">
        <v>581</v>
      </c>
    </row>
    <row r="186" spans="1:7" x14ac:dyDescent="0.25">
      <c r="A186" s="344" t="s">
        <v>582</v>
      </c>
      <c r="F186" s="344"/>
      <c r="G186" s="344"/>
    </row>
    <row r="187" spans="1:7" x14ac:dyDescent="0.25">
      <c r="A187" s="344" t="s">
        <v>583</v>
      </c>
      <c r="F187" s="344"/>
      <c r="G187" s="344"/>
    </row>
    <row r="188" spans="1:7" x14ac:dyDescent="0.25">
      <c r="A188" s="344" t="s">
        <v>584</v>
      </c>
      <c r="F188" s="344"/>
      <c r="G188" s="344"/>
    </row>
    <row r="189" spans="1:7" x14ac:dyDescent="0.25">
      <c r="A189" s="344" t="s">
        <v>585</v>
      </c>
      <c r="F189" s="344"/>
      <c r="G189" s="344"/>
    </row>
    <row r="190" spans="1:7" x14ac:dyDescent="0.25">
      <c r="A190" s="344" t="s">
        <v>586</v>
      </c>
      <c r="B190" s="359"/>
    </row>
    <row r="191" spans="1:7" x14ac:dyDescent="0.25">
      <c r="A191" s="344" t="s">
        <v>587</v>
      </c>
      <c r="F191" s="344"/>
      <c r="G191" s="344"/>
    </row>
    <row r="192" spans="1:7" x14ac:dyDescent="0.25">
      <c r="A192" s="344" t="s">
        <v>588</v>
      </c>
      <c r="C192" s="359" t="s">
        <v>589</v>
      </c>
      <c r="F192" s="344"/>
      <c r="G192" s="344"/>
    </row>
    <row r="193" spans="1:7" x14ac:dyDescent="0.25">
      <c r="A193" s="344" t="s">
        <v>590</v>
      </c>
      <c r="C193" s="359"/>
      <c r="F193" s="344"/>
      <c r="G193" s="344"/>
    </row>
    <row r="194" spans="1:7" x14ac:dyDescent="0.25">
      <c r="A194" s="344" t="s">
        <v>591</v>
      </c>
      <c r="B194" s="344" t="s">
        <v>592</v>
      </c>
      <c r="F194" s="344"/>
      <c r="G194" s="344"/>
    </row>
    <row r="195" spans="1:7" x14ac:dyDescent="0.25">
      <c r="A195" s="344" t="s">
        <v>593</v>
      </c>
      <c r="F195" s="344"/>
      <c r="G195" s="344"/>
    </row>
    <row r="196" spans="1:7" x14ac:dyDescent="0.25">
      <c r="A196" s="344" t="s">
        <v>594</v>
      </c>
      <c r="F196" s="344"/>
      <c r="G196" s="344"/>
    </row>
    <row r="197" spans="1:7" x14ac:dyDescent="0.25">
      <c r="A197" s="344" t="s">
        <v>595</v>
      </c>
    </row>
    <row r="198" spans="1:7" x14ac:dyDescent="0.25">
      <c r="A198" s="344" t="s">
        <v>596</v>
      </c>
      <c r="B198" s="359"/>
      <c r="F198" s="344"/>
      <c r="G198" s="344"/>
    </row>
    <row r="199" spans="1:7" x14ac:dyDescent="0.25">
      <c r="A199" s="344" t="s">
        <v>597</v>
      </c>
      <c r="B199" s="359"/>
      <c r="F199" s="344"/>
      <c r="G199" s="344"/>
    </row>
    <row r="200" spans="1:7" x14ac:dyDescent="0.25">
      <c r="A200" s="344" t="s">
        <v>598</v>
      </c>
      <c r="B200" s="359"/>
      <c r="F200" s="344"/>
      <c r="G200" s="344"/>
    </row>
    <row r="201" spans="1:7" x14ac:dyDescent="0.25">
      <c r="A201" s="344" t="s">
        <v>599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600</v>
      </c>
      <c r="E203" s="397"/>
      <c r="F203" s="344"/>
      <c r="G203" s="344"/>
    </row>
    <row r="204" spans="1:7" x14ac:dyDescent="0.25">
      <c r="A204" s="359" t="s">
        <v>601</v>
      </c>
      <c r="E204" s="398"/>
      <c r="F204" s="344"/>
      <c r="G204" s="344"/>
    </row>
    <row r="205" spans="1:7" x14ac:dyDescent="0.25">
      <c r="A205" s="359" t="s">
        <v>602</v>
      </c>
      <c r="E205" s="398"/>
      <c r="F205" s="344"/>
      <c r="G205" s="344"/>
    </row>
    <row r="206" spans="1:7" x14ac:dyDescent="0.25">
      <c r="A206" s="359" t="s">
        <v>603</v>
      </c>
      <c r="E206" s="398"/>
      <c r="F206" s="344"/>
      <c r="G206" s="344"/>
    </row>
    <row r="207" spans="1:7" x14ac:dyDescent="0.25">
      <c r="A207" s="359" t="s">
        <v>604</v>
      </c>
      <c r="E207" s="398"/>
      <c r="F207" s="344"/>
      <c r="G207" s="344"/>
    </row>
    <row r="208" spans="1:7" x14ac:dyDescent="0.25">
      <c r="A208" s="344" t="s">
        <v>605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606</v>
      </c>
      <c r="D210" s="397"/>
      <c r="E210" s="397"/>
      <c r="F210" s="344"/>
      <c r="G210" s="344"/>
    </row>
    <row r="211" spans="1:7" x14ac:dyDescent="0.25">
      <c r="A211" s="359" t="s">
        <v>607</v>
      </c>
      <c r="D211" s="397"/>
      <c r="E211" s="398"/>
    </row>
    <row r="212" spans="1:7" x14ac:dyDescent="0.25">
      <c r="A212" s="359" t="s">
        <v>608</v>
      </c>
      <c r="D212" s="397"/>
      <c r="E212" s="398"/>
      <c r="F212" s="344"/>
      <c r="G212" s="344"/>
    </row>
    <row r="213" spans="1:7" x14ac:dyDescent="0.25">
      <c r="A213" s="359" t="s">
        <v>609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610</v>
      </c>
      <c r="F215" s="344"/>
      <c r="G215" s="344"/>
    </row>
    <row r="216" spans="1:7" x14ac:dyDescent="0.25">
      <c r="A216" s="359" t="s">
        <v>611</v>
      </c>
      <c r="F216" s="344"/>
      <c r="G216" s="344"/>
    </row>
    <row r="217" spans="1:7" x14ac:dyDescent="0.25">
      <c r="A217" s="359" t="s">
        <v>612</v>
      </c>
      <c r="F217" s="344"/>
      <c r="G217" s="344"/>
    </row>
    <row r="218" spans="1:7" x14ac:dyDescent="0.25">
      <c r="A218" s="359" t="s">
        <v>613</v>
      </c>
    </row>
    <row r="219" spans="1:7" x14ac:dyDescent="0.25">
      <c r="A219" s="359" t="s">
        <v>614</v>
      </c>
    </row>
    <row r="220" spans="1:7" x14ac:dyDescent="0.25">
      <c r="A220" s="359" t="s">
        <v>615</v>
      </c>
    </row>
    <row r="221" spans="1:7" x14ac:dyDescent="0.25">
      <c r="A221" s="359" t="s">
        <v>616</v>
      </c>
    </row>
    <row r="222" spans="1:7" x14ac:dyDescent="0.25">
      <c r="A222" s="359" t="s">
        <v>617</v>
      </c>
    </row>
    <row r="223" spans="1:7" x14ac:dyDescent="0.25">
      <c r="A223" s="359" t="s">
        <v>618</v>
      </c>
    </row>
    <row r="224" spans="1:7" x14ac:dyDescent="0.25">
      <c r="A224" s="359" t="s">
        <v>619</v>
      </c>
    </row>
    <row r="225" spans="1:7" ht="15.75" thickBot="1" x14ac:dyDescent="0.3"/>
    <row r="226" spans="1:7" x14ac:dyDescent="0.25">
      <c r="A226" s="399" t="s">
        <v>620</v>
      </c>
      <c r="B226" s="400"/>
      <c r="C226" s="401" t="s">
        <v>621</v>
      </c>
      <c r="D226" s="402" t="s">
        <v>622</v>
      </c>
      <c r="E226" s="403"/>
      <c r="F226" s="404"/>
      <c r="G226" s="344"/>
    </row>
    <row r="227" spans="1:7" x14ac:dyDescent="0.25">
      <c r="A227" s="405" t="s">
        <v>623</v>
      </c>
      <c r="B227" s="406" t="s">
        <v>624</v>
      </c>
      <c r="C227" s="407" t="s">
        <v>625</v>
      </c>
      <c r="D227" s="408" t="s">
        <v>626</v>
      </c>
      <c r="E227" s="408"/>
      <c r="F227" s="409"/>
      <c r="G227" s="344"/>
    </row>
    <row r="228" spans="1:7" x14ac:dyDescent="0.25">
      <c r="A228" s="405" t="s">
        <v>627</v>
      </c>
      <c r="B228" s="406" t="s">
        <v>624</v>
      </c>
      <c r="C228" s="407" t="s">
        <v>628</v>
      </c>
      <c r="D228" s="408" t="s">
        <v>629</v>
      </c>
      <c r="E228" s="408"/>
      <c r="F228" s="409"/>
      <c r="G228" s="344"/>
    </row>
    <row r="229" spans="1:7" x14ac:dyDescent="0.25">
      <c r="A229" s="405" t="s">
        <v>630</v>
      </c>
      <c r="B229" s="406" t="s">
        <v>624</v>
      </c>
      <c r="C229" s="407" t="s">
        <v>628</v>
      </c>
      <c r="D229" s="408" t="s">
        <v>631</v>
      </c>
      <c r="E229" s="408"/>
      <c r="F229" s="409"/>
      <c r="G229" s="344"/>
    </row>
    <row r="230" spans="1:7" x14ac:dyDescent="0.25">
      <c r="A230" s="405" t="s">
        <v>632</v>
      </c>
      <c r="B230" s="410" t="s">
        <v>624</v>
      </c>
      <c r="C230" s="407" t="s">
        <v>628</v>
      </c>
      <c r="D230" s="408" t="s">
        <v>633</v>
      </c>
      <c r="E230" s="408"/>
      <c r="F230" s="409"/>
      <c r="G230" s="344"/>
    </row>
    <row r="231" spans="1:7" x14ac:dyDescent="0.25">
      <c r="A231" s="405" t="s">
        <v>634</v>
      </c>
      <c r="B231" s="406" t="s">
        <v>624</v>
      </c>
      <c r="C231" s="407" t="s">
        <v>635</v>
      </c>
      <c r="D231" s="408" t="s">
        <v>636</v>
      </c>
      <c r="E231" s="408"/>
      <c r="F231" s="409"/>
      <c r="G231" s="344"/>
    </row>
    <row r="232" spans="1:7" x14ac:dyDescent="0.25">
      <c r="A232" s="405" t="s">
        <v>637</v>
      </c>
      <c r="B232" s="406" t="s">
        <v>624</v>
      </c>
      <c r="C232" s="407" t="s">
        <v>638</v>
      </c>
      <c r="D232" s="408" t="s">
        <v>639</v>
      </c>
      <c r="E232" s="408"/>
      <c r="F232" s="409"/>
      <c r="G232" s="344"/>
    </row>
    <row r="233" spans="1:7" x14ac:dyDescent="0.25">
      <c r="A233" s="405" t="s">
        <v>640</v>
      </c>
      <c r="B233" s="406" t="s">
        <v>624</v>
      </c>
      <c r="C233" s="407" t="s">
        <v>641</v>
      </c>
      <c r="D233" s="408" t="s">
        <v>642</v>
      </c>
      <c r="E233" s="408"/>
      <c r="F233" s="409"/>
      <c r="G233" s="344"/>
    </row>
    <row r="234" spans="1:7" x14ac:dyDescent="0.25">
      <c r="A234" s="405" t="s">
        <v>635</v>
      </c>
      <c r="B234" s="406" t="s">
        <v>624</v>
      </c>
      <c r="C234" s="407" t="s">
        <v>643</v>
      </c>
      <c r="D234" s="408" t="s">
        <v>644</v>
      </c>
      <c r="E234" s="408"/>
      <c r="F234" s="409"/>
      <c r="G234" s="344"/>
    </row>
    <row r="235" spans="1:7" x14ac:dyDescent="0.25">
      <c r="A235" s="405" t="s">
        <v>645</v>
      </c>
      <c r="B235" s="406" t="s">
        <v>624</v>
      </c>
      <c r="C235" s="407" t="s">
        <v>643</v>
      </c>
      <c r="D235" s="408" t="s">
        <v>646</v>
      </c>
      <c r="E235" s="408"/>
      <c r="F235" s="409"/>
      <c r="G235" s="344"/>
    </row>
    <row r="236" spans="1:7" x14ac:dyDescent="0.25">
      <c r="A236" s="405" t="s">
        <v>647</v>
      </c>
      <c r="B236" s="406" t="s">
        <v>624</v>
      </c>
      <c r="C236" s="407" t="s">
        <v>643</v>
      </c>
      <c r="D236" s="408" t="s">
        <v>648</v>
      </c>
      <c r="E236" s="408"/>
      <c r="F236" s="409"/>
      <c r="G236" s="344"/>
    </row>
    <row r="237" spans="1:7" x14ac:dyDescent="0.25">
      <c r="A237" s="405" t="s">
        <v>649</v>
      </c>
      <c r="B237" s="406" t="s">
        <v>624</v>
      </c>
      <c r="C237" s="407" t="s">
        <v>630</v>
      </c>
      <c r="D237" s="410" t="s">
        <v>650</v>
      </c>
      <c r="E237" s="408"/>
      <c r="F237" s="409"/>
      <c r="G237" s="344"/>
    </row>
    <row r="238" spans="1:7" x14ac:dyDescent="0.25">
      <c r="A238" s="405" t="s">
        <v>651</v>
      </c>
      <c r="B238" s="406" t="s">
        <v>624</v>
      </c>
      <c r="C238" s="407" t="s">
        <v>630</v>
      </c>
      <c r="D238" s="408" t="s">
        <v>652</v>
      </c>
      <c r="E238" s="408"/>
      <c r="F238" s="409"/>
      <c r="G238" s="344"/>
    </row>
    <row r="239" spans="1:7" x14ac:dyDescent="0.25">
      <c r="A239" s="405" t="s">
        <v>653</v>
      </c>
      <c r="B239" s="406" t="s">
        <v>654</v>
      </c>
      <c r="C239" s="407" t="s">
        <v>655</v>
      </c>
      <c r="D239" s="408" t="s">
        <v>656</v>
      </c>
      <c r="E239" s="408"/>
      <c r="F239" s="409"/>
      <c r="G239" s="344"/>
    </row>
    <row r="240" spans="1:7" x14ac:dyDescent="0.25">
      <c r="A240" s="405" t="s">
        <v>657</v>
      </c>
      <c r="B240" s="406" t="s">
        <v>654</v>
      </c>
      <c r="C240" s="407" t="s">
        <v>632</v>
      </c>
      <c r="D240" s="408" t="s">
        <v>658</v>
      </c>
      <c r="E240" s="408"/>
      <c r="F240" s="409"/>
      <c r="G240" s="344"/>
    </row>
    <row r="241" spans="1:7" x14ac:dyDescent="0.25">
      <c r="A241" s="405" t="s">
        <v>659</v>
      </c>
      <c r="B241" s="406" t="s">
        <v>660</v>
      </c>
      <c r="C241" s="407" t="s">
        <v>640</v>
      </c>
      <c r="D241" s="408" t="s">
        <v>661</v>
      </c>
      <c r="E241" s="408"/>
      <c r="F241" s="409"/>
      <c r="G241" s="344"/>
    </row>
    <row r="242" spans="1:7" x14ac:dyDescent="0.25">
      <c r="A242" s="405" t="s">
        <v>655</v>
      </c>
      <c r="B242" s="410" t="s">
        <v>660</v>
      </c>
      <c r="C242" s="407" t="s">
        <v>657</v>
      </c>
      <c r="D242" s="408" t="s">
        <v>662</v>
      </c>
      <c r="E242" s="408"/>
      <c r="F242" s="409"/>
      <c r="G242" s="344"/>
    </row>
    <row r="243" spans="1:7" x14ac:dyDescent="0.25">
      <c r="A243" s="405" t="s">
        <v>641</v>
      </c>
      <c r="B243" s="410" t="s">
        <v>660</v>
      </c>
      <c r="C243" s="407" t="s">
        <v>657</v>
      </c>
      <c r="D243" s="408" t="s">
        <v>663</v>
      </c>
      <c r="E243" s="408"/>
      <c r="F243" s="409"/>
      <c r="G243" s="344"/>
    </row>
    <row r="244" spans="1:7" x14ac:dyDescent="0.25">
      <c r="A244" s="405" t="s">
        <v>664</v>
      </c>
      <c r="B244" s="410" t="s">
        <v>660</v>
      </c>
      <c r="C244" s="407" t="s">
        <v>637</v>
      </c>
      <c r="D244" s="408" t="s">
        <v>665</v>
      </c>
      <c r="E244" s="408"/>
      <c r="F244" s="409"/>
      <c r="G244" s="344"/>
    </row>
    <row r="245" spans="1:7" x14ac:dyDescent="0.25">
      <c r="A245" s="405" t="s">
        <v>666</v>
      </c>
      <c r="B245" s="406" t="s">
        <v>660</v>
      </c>
      <c r="C245" s="407" t="s">
        <v>666</v>
      </c>
      <c r="D245" s="408" t="s">
        <v>667</v>
      </c>
      <c r="E245" s="408"/>
      <c r="F245" s="409"/>
      <c r="G245" s="344"/>
    </row>
    <row r="246" spans="1:7" x14ac:dyDescent="0.25">
      <c r="A246" s="405" t="s">
        <v>668</v>
      </c>
      <c r="B246" s="406" t="s">
        <v>660</v>
      </c>
      <c r="C246" s="407" t="s">
        <v>627</v>
      </c>
      <c r="D246" s="408" t="s">
        <v>669</v>
      </c>
      <c r="E246" s="408"/>
      <c r="F246" s="409"/>
      <c r="G246" s="344"/>
    </row>
    <row r="247" spans="1:7" x14ac:dyDescent="0.25">
      <c r="A247" s="405" t="s">
        <v>670</v>
      </c>
      <c r="B247" s="406" t="s">
        <v>660</v>
      </c>
      <c r="C247" s="407" t="s">
        <v>632</v>
      </c>
      <c r="D247" s="408" t="s">
        <v>671</v>
      </c>
      <c r="E247" s="408"/>
      <c r="F247" s="409"/>
      <c r="G247" s="344"/>
    </row>
    <row r="248" spans="1:7" x14ac:dyDescent="0.25">
      <c r="A248" s="405" t="s">
        <v>672</v>
      </c>
      <c r="B248" s="410" t="s">
        <v>660</v>
      </c>
      <c r="C248" s="407" t="s">
        <v>634</v>
      </c>
      <c r="D248" s="408" t="s">
        <v>673</v>
      </c>
      <c r="E248" s="408"/>
      <c r="F248" s="409"/>
      <c r="G248" s="344"/>
    </row>
    <row r="249" spans="1:7" x14ac:dyDescent="0.25">
      <c r="A249" s="405" t="s">
        <v>674</v>
      </c>
      <c r="B249" s="406" t="s">
        <v>660</v>
      </c>
      <c r="C249" s="407" t="s">
        <v>634</v>
      </c>
      <c r="D249" s="408" t="s">
        <v>675</v>
      </c>
      <c r="E249" s="408"/>
      <c r="F249" s="409"/>
      <c r="G249" s="344"/>
    </row>
    <row r="250" spans="1:7" x14ac:dyDescent="0.25">
      <c r="A250" s="405" t="s">
        <v>676</v>
      </c>
      <c r="B250" s="406" t="s">
        <v>677</v>
      </c>
      <c r="C250" s="407" t="s">
        <v>623</v>
      </c>
      <c r="D250" s="408" t="s">
        <v>678</v>
      </c>
      <c r="E250" s="408"/>
      <c r="F250" s="409"/>
      <c r="G250" s="344"/>
    </row>
    <row r="251" spans="1:7" x14ac:dyDescent="0.25">
      <c r="A251" s="405" t="s">
        <v>625</v>
      </c>
      <c r="B251" s="406" t="s">
        <v>677</v>
      </c>
      <c r="C251" s="407" t="s">
        <v>623</v>
      </c>
      <c r="D251" s="408" t="s">
        <v>679</v>
      </c>
      <c r="E251" s="408"/>
      <c r="F251" s="409"/>
      <c r="G251" s="344"/>
    </row>
    <row r="252" spans="1:7" x14ac:dyDescent="0.25">
      <c r="A252" s="405" t="s">
        <v>680</v>
      </c>
      <c r="B252" s="406" t="s">
        <v>677</v>
      </c>
      <c r="C252" s="407" t="s">
        <v>623</v>
      </c>
      <c r="D252" s="408" t="s">
        <v>681</v>
      </c>
      <c r="E252" s="408"/>
      <c r="F252" s="409"/>
      <c r="G252" s="344"/>
    </row>
    <row r="253" spans="1:7" x14ac:dyDescent="0.25">
      <c r="A253" s="405" t="s">
        <v>682</v>
      </c>
      <c r="B253" s="406" t="s">
        <v>677</v>
      </c>
      <c r="C253" s="407" t="s">
        <v>645</v>
      </c>
      <c r="D253" s="408" t="s">
        <v>683</v>
      </c>
      <c r="E253" s="408"/>
      <c r="F253" s="409"/>
      <c r="G253" s="344"/>
    </row>
    <row r="254" spans="1:7" x14ac:dyDescent="0.25">
      <c r="A254" s="405" t="s">
        <v>638</v>
      </c>
      <c r="B254" s="406" t="s">
        <v>677</v>
      </c>
      <c r="C254" s="407" t="s">
        <v>649</v>
      </c>
      <c r="D254" s="408" t="s">
        <v>684</v>
      </c>
      <c r="E254" s="408"/>
      <c r="F254" s="409"/>
      <c r="G254" s="344"/>
    </row>
    <row r="255" spans="1:7" x14ac:dyDescent="0.25">
      <c r="A255" s="405" t="s">
        <v>685</v>
      </c>
      <c r="B255" s="406" t="s">
        <v>677</v>
      </c>
      <c r="C255" s="407" t="s">
        <v>649</v>
      </c>
      <c r="D255" s="408" t="s">
        <v>686</v>
      </c>
      <c r="E255" s="408"/>
      <c r="F255" s="409"/>
      <c r="G255" s="344"/>
    </row>
    <row r="256" spans="1:7" x14ac:dyDescent="0.25">
      <c r="A256" s="405" t="s">
        <v>687</v>
      </c>
      <c r="B256" s="406" t="s">
        <v>677</v>
      </c>
      <c r="C256" s="407" t="s">
        <v>649</v>
      </c>
      <c r="D256" s="408" t="s">
        <v>688</v>
      </c>
      <c r="E256" s="408"/>
      <c r="F256" s="409"/>
      <c r="G256" s="344"/>
    </row>
    <row r="257" spans="1:7" x14ac:dyDescent="0.25">
      <c r="A257" s="405" t="s">
        <v>689</v>
      </c>
      <c r="B257" s="406" t="s">
        <v>689</v>
      </c>
      <c r="C257" s="407" t="s">
        <v>653</v>
      </c>
      <c r="D257" s="408" t="s">
        <v>690</v>
      </c>
      <c r="E257" s="408"/>
      <c r="F257" s="409"/>
      <c r="G257" s="344"/>
    </row>
    <row r="258" spans="1:7" x14ac:dyDescent="0.25">
      <c r="A258" s="405" t="s">
        <v>628</v>
      </c>
      <c r="B258" s="406" t="s">
        <v>628</v>
      </c>
      <c r="C258" s="407" t="s">
        <v>653</v>
      </c>
      <c r="D258" s="408" t="s">
        <v>691</v>
      </c>
      <c r="E258" s="408"/>
      <c r="F258" s="409"/>
      <c r="G258" s="344"/>
    </row>
    <row r="259" spans="1:7" ht="15.75" thickBot="1" x14ac:dyDescent="0.3">
      <c r="A259" s="411" t="s">
        <v>643</v>
      </c>
      <c r="B259" s="412" t="s">
        <v>643</v>
      </c>
      <c r="C259" s="407" t="s">
        <v>653</v>
      </c>
      <c r="D259" s="408" t="s">
        <v>692</v>
      </c>
      <c r="E259" s="408"/>
      <c r="F259" s="409"/>
      <c r="G259" s="344"/>
    </row>
    <row r="260" spans="1:7" x14ac:dyDescent="0.25">
      <c r="C260" s="407" t="s">
        <v>627</v>
      </c>
      <c r="D260" s="408" t="s">
        <v>693</v>
      </c>
      <c r="E260" s="408"/>
      <c r="F260" s="409"/>
      <c r="G260" s="344"/>
    </row>
    <row r="261" spans="1:7" x14ac:dyDescent="0.25">
      <c r="C261" s="407" t="s">
        <v>627</v>
      </c>
      <c r="D261" s="408" t="s">
        <v>694</v>
      </c>
      <c r="E261" s="408"/>
      <c r="F261" s="409"/>
      <c r="G261" s="344"/>
    </row>
    <row r="262" spans="1:7" x14ac:dyDescent="0.25">
      <c r="C262" s="407" t="s">
        <v>627</v>
      </c>
      <c r="D262" s="408" t="s">
        <v>695</v>
      </c>
      <c r="E262" s="408"/>
      <c r="F262" s="409"/>
      <c r="G262" s="344"/>
    </row>
    <row r="263" spans="1:7" x14ac:dyDescent="0.25">
      <c r="C263" s="407" t="s">
        <v>651</v>
      </c>
      <c r="D263" s="408" t="s">
        <v>696</v>
      </c>
      <c r="E263" s="408"/>
      <c r="F263" s="409"/>
      <c r="G263" s="344"/>
    </row>
    <row r="264" spans="1:7" x14ac:dyDescent="0.25">
      <c r="C264" s="407" t="s">
        <v>632</v>
      </c>
      <c r="D264" s="408" t="s">
        <v>697</v>
      </c>
      <c r="E264" s="408"/>
      <c r="F264" s="409"/>
      <c r="G264" s="344"/>
    </row>
    <row r="265" spans="1:7" x14ac:dyDescent="0.25">
      <c r="C265" s="407" t="s">
        <v>647</v>
      </c>
      <c r="D265" s="408" t="s">
        <v>698</v>
      </c>
      <c r="E265" s="408"/>
      <c r="F265" s="409"/>
      <c r="G265" s="344"/>
    </row>
    <row r="266" spans="1:7" x14ac:dyDescent="0.25">
      <c r="C266" s="407" t="s">
        <v>655</v>
      </c>
      <c r="D266" s="408" t="s">
        <v>699</v>
      </c>
      <c r="E266" s="408"/>
      <c r="F266" s="409"/>
      <c r="G266" s="344"/>
    </row>
    <row r="267" spans="1:7" x14ac:dyDescent="0.25">
      <c r="C267" s="407" t="s">
        <v>628</v>
      </c>
      <c r="D267" s="408" t="s">
        <v>700</v>
      </c>
      <c r="E267" s="408"/>
      <c r="F267" s="409"/>
      <c r="G267" s="344"/>
    </row>
    <row r="268" spans="1:7" x14ac:dyDescent="0.25">
      <c r="C268" s="407" t="s">
        <v>628</v>
      </c>
      <c r="D268" s="408" t="s">
        <v>701</v>
      </c>
      <c r="E268" s="408"/>
      <c r="F268" s="409"/>
      <c r="G268" s="344"/>
    </row>
    <row r="269" spans="1:7" x14ac:dyDescent="0.25">
      <c r="B269" s="344"/>
      <c r="C269" s="407" t="s">
        <v>641</v>
      </c>
      <c r="D269" s="408" t="s">
        <v>702</v>
      </c>
      <c r="E269" s="408"/>
      <c r="F269" s="409"/>
      <c r="G269" s="344"/>
    </row>
    <row r="270" spans="1:7" x14ac:dyDescent="0.25">
      <c r="B270" s="344"/>
      <c r="C270" s="407" t="s">
        <v>641</v>
      </c>
      <c r="D270" s="408" t="s">
        <v>703</v>
      </c>
      <c r="E270" s="408"/>
      <c r="F270" s="409"/>
      <c r="G270" s="344"/>
    </row>
    <row r="271" spans="1:7" x14ac:dyDescent="0.25">
      <c r="B271" s="344"/>
      <c r="C271" s="407" t="s">
        <v>672</v>
      </c>
      <c r="D271" s="408" t="s">
        <v>704</v>
      </c>
      <c r="E271" s="408"/>
      <c r="F271" s="409"/>
      <c r="G271" s="344"/>
    </row>
    <row r="272" spans="1:7" x14ac:dyDescent="0.25">
      <c r="B272" s="344"/>
      <c r="C272" s="407" t="s">
        <v>670</v>
      </c>
      <c r="D272" s="408" t="s">
        <v>705</v>
      </c>
      <c r="E272" s="408"/>
      <c r="F272" s="409"/>
      <c r="G272" s="344"/>
    </row>
    <row r="273" spans="2:7" x14ac:dyDescent="0.25">
      <c r="B273" s="344"/>
      <c r="C273" s="407" t="s">
        <v>670</v>
      </c>
      <c r="D273" s="408" t="s">
        <v>706</v>
      </c>
      <c r="E273" s="408"/>
      <c r="F273" s="409"/>
      <c r="G273" s="344"/>
    </row>
    <row r="274" spans="2:7" x14ac:dyDescent="0.25">
      <c r="B274" s="344"/>
      <c r="C274" s="407" t="s">
        <v>670</v>
      </c>
      <c r="D274" s="408" t="s">
        <v>707</v>
      </c>
      <c r="E274" s="408"/>
      <c r="F274" s="409"/>
      <c r="G274" s="344"/>
    </row>
    <row r="275" spans="2:7" x14ac:dyDescent="0.25">
      <c r="B275" s="344"/>
      <c r="C275" s="407" t="s">
        <v>659</v>
      </c>
      <c r="D275" s="408" t="s">
        <v>708</v>
      </c>
      <c r="E275" s="408"/>
      <c r="F275" s="409"/>
      <c r="G275" s="344"/>
    </row>
    <row r="276" spans="2:7" x14ac:dyDescent="0.25">
      <c r="B276" s="344"/>
      <c r="C276" s="407" t="s">
        <v>659</v>
      </c>
      <c r="D276" s="408" t="s">
        <v>709</v>
      </c>
      <c r="E276" s="408"/>
      <c r="F276" s="409"/>
      <c r="G276" s="344"/>
    </row>
    <row r="277" spans="2:7" x14ac:dyDescent="0.25">
      <c r="B277" s="344"/>
      <c r="C277" s="407" t="s">
        <v>659</v>
      </c>
      <c r="D277" s="408" t="s">
        <v>710</v>
      </c>
      <c r="E277" s="408"/>
      <c r="F277" s="409"/>
      <c r="G277" s="344"/>
    </row>
    <row r="278" spans="2:7" x14ac:dyDescent="0.25">
      <c r="B278" s="344"/>
      <c r="C278" s="407" t="s">
        <v>664</v>
      </c>
      <c r="D278" s="408" t="s">
        <v>711</v>
      </c>
      <c r="E278" s="408"/>
      <c r="F278" s="409"/>
      <c r="G278" s="344"/>
    </row>
    <row r="279" spans="2:7" x14ac:dyDescent="0.25">
      <c r="B279" s="344"/>
      <c r="C279" s="407" t="s">
        <v>664</v>
      </c>
      <c r="D279" s="408" t="s">
        <v>712</v>
      </c>
      <c r="E279" s="408"/>
      <c r="F279" s="409"/>
      <c r="G279" s="344"/>
    </row>
    <row r="280" spans="2:7" x14ac:dyDescent="0.25">
      <c r="B280" s="344"/>
      <c r="C280" s="407" t="s">
        <v>664</v>
      </c>
      <c r="D280" s="408" t="s">
        <v>713</v>
      </c>
      <c r="E280" s="408"/>
      <c r="F280" s="409"/>
      <c r="G280" s="344"/>
    </row>
    <row r="281" spans="2:7" x14ac:dyDescent="0.25">
      <c r="B281" s="344"/>
      <c r="C281" s="407" t="s">
        <v>668</v>
      </c>
      <c r="D281" s="408" t="s">
        <v>714</v>
      </c>
      <c r="E281" s="408"/>
      <c r="F281" s="409"/>
      <c r="G281" s="344"/>
    </row>
    <row r="282" spans="2:7" x14ac:dyDescent="0.25">
      <c r="B282" s="344"/>
      <c r="C282" s="407" t="s">
        <v>668</v>
      </c>
      <c r="D282" s="408" t="s">
        <v>715</v>
      </c>
      <c r="E282" s="408"/>
      <c r="F282" s="409"/>
      <c r="G282" s="344"/>
    </row>
    <row r="283" spans="2:7" x14ac:dyDescent="0.25">
      <c r="B283" s="344"/>
      <c r="C283" s="407" t="s">
        <v>668</v>
      </c>
      <c r="D283" s="408" t="s">
        <v>716</v>
      </c>
      <c r="E283" s="408"/>
      <c r="F283" s="409"/>
      <c r="G283" s="344"/>
    </row>
    <row r="284" spans="2:7" x14ac:dyDescent="0.25">
      <c r="B284" s="344"/>
      <c r="C284" s="407" t="s">
        <v>685</v>
      </c>
      <c r="D284" s="408" t="s">
        <v>717</v>
      </c>
      <c r="E284" s="408"/>
      <c r="F284" s="409"/>
      <c r="G284" s="344"/>
    </row>
    <row r="285" spans="2:7" x14ac:dyDescent="0.25">
      <c r="B285" s="344"/>
      <c r="C285" s="407" t="s">
        <v>674</v>
      </c>
      <c r="D285" s="408" t="s">
        <v>718</v>
      </c>
      <c r="E285" s="408"/>
      <c r="F285" s="409"/>
      <c r="G285" s="344"/>
    </row>
    <row r="286" spans="2:7" x14ac:dyDescent="0.25">
      <c r="B286" s="344"/>
      <c r="C286" s="407" t="s">
        <v>674</v>
      </c>
      <c r="D286" s="408" t="s">
        <v>719</v>
      </c>
      <c r="E286" s="408"/>
      <c r="F286" s="409"/>
      <c r="G286" s="344"/>
    </row>
    <row r="287" spans="2:7" x14ac:dyDescent="0.25">
      <c r="B287" s="344"/>
      <c r="C287" s="407" t="s">
        <v>674</v>
      </c>
      <c r="D287" s="408" t="s">
        <v>720</v>
      </c>
      <c r="E287" s="408"/>
      <c r="F287" s="409"/>
      <c r="G287" s="344"/>
    </row>
    <row r="288" spans="2:7" x14ac:dyDescent="0.25">
      <c r="B288" s="344"/>
      <c r="C288" s="407" t="s">
        <v>674</v>
      </c>
      <c r="D288" s="408" t="s">
        <v>721</v>
      </c>
      <c r="E288" s="408"/>
      <c r="F288" s="409"/>
      <c r="G288" s="344"/>
    </row>
    <row r="289" spans="2:7" x14ac:dyDescent="0.25">
      <c r="B289" s="344"/>
      <c r="C289" s="407" t="s">
        <v>674</v>
      </c>
      <c r="D289" s="408" t="s">
        <v>722</v>
      </c>
      <c r="E289" s="408"/>
      <c r="F289" s="409"/>
      <c r="G289" s="344"/>
    </row>
    <row r="290" spans="2:7" x14ac:dyDescent="0.25">
      <c r="B290" s="344"/>
      <c r="C290" s="407" t="s">
        <v>674</v>
      </c>
      <c r="D290" s="408" t="s">
        <v>723</v>
      </c>
      <c r="E290" s="408"/>
      <c r="F290" s="409"/>
      <c r="G290" s="344"/>
    </row>
    <row r="291" spans="2:7" x14ac:dyDescent="0.25">
      <c r="B291" s="344"/>
      <c r="C291" s="407" t="s">
        <v>655</v>
      </c>
      <c r="D291" s="408" t="s">
        <v>724</v>
      </c>
      <c r="E291" s="408"/>
      <c r="F291" s="409"/>
      <c r="G291" s="344"/>
    </row>
    <row r="292" spans="2:7" x14ac:dyDescent="0.25">
      <c r="B292" s="344"/>
      <c r="C292" s="407" t="s">
        <v>655</v>
      </c>
      <c r="D292" s="408" t="s">
        <v>725</v>
      </c>
      <c r="E292" s="408"/>
      <c r="F292" s="409"/>
      <c r="G292" s="344"/>
    </row>
    <row r="293" spans="2:7" x14ac:dyDescent="0.25">
      <c r="B293" s="344"/>
      <c r="C293" s="407" t="s">
        <v>655</v>
      </c>
      <c r="D293" s="408" t="s">
        <v>726</v>
      </c>
      <c r="E293" s="408"/>
      <c r="F293" s="409"/>
      <c r="G293" s="344"/>
    </row>
    <row r="294" spans="2:7" x14ac:dyDescent="0.25">
      <c r="B294" s="344"/>
      <c r="C294" s="407" t="s">
        <v>638</v>
      </c>
      <c r="D294" s="408" t="s">
        <v>727</v>
      </c>
      <c r="E294" s="408"/>
      <c r="F294" s="409"/>
      <c r="G294" s="344"/>
    </row>
    <row r="295" spans="2:7" x14ac:dyDescent="0.25">
      <c r="B295" s="344"/>
      <c r="C295" s="407" t="s">
        <v>638</v>
      </c>
      <c r="D295" s="408" t="s">
        <v>728</v>
      </c>
      <c r="E295" s="408"/>
      <c r="F295" s="409"/>
      <c r="G295" s="344"/>
    </row>
    <row r="296" spans="2:7" x14ac:dyDescent="0.25">
      <c r="B296" s="344"/>
      <c r="C296" s="407" t="s">
        <v>638</v>
      </c>
      <c r="D296" s="408" t="s">
        <v>729</v>
      </c>
      <c r="E296" s="408"/>
      <c r="F296" s="409"/>
      <c r="G296" s="344"/>
    </row>
    <row r="297" spans="2:7" x14ac:dyDescent="0.25">
      <c r="B297" s="344"/>
      <c r="C297" s="407" t="s">
        <v>682</v>
      </c>
      <c r="D297" s="408" t="s">
        <v>730</v>
      </c>
      <c r="E297" s="408"/>
      <c r="F297" s="409"/>
      <c r="G297" s="344"/>
    </row>
    <row r="298" spans="2:7" x14ac:dyDescent="0.25">
      <c r="B298" s="344"/>
      <c r="C298" s="407" t="s">
        <v>682</v>
      </c>
      <c r="D298" s="408" t="s">
        <v>731</v>
      </c>
      <c r="E298" s="408"/>
      <c r="F298" s="409"/>
      <c r="G298" s="344"/>
    </row>
    <row r="299" spans="2:7" x14ac:dyDescent="0.25">
      <c r="B299" s="344"/>
      <c r="C299" s="407" t="s">
        <v>682</v>
      </c>
      <c r="D299" s="408" t="s">
        <v>732</v>
      </c>
      <c r="E299" s="408"/>
      <c r="F299" s="409"/>
      <c r="G299" s="344"/>
    </row>
    <row r="300" spans="2:7" x14ac:dyDescent="0.25">
      <c r="B300" s="344"/>
      <c r="C300" s="407" t="s">
        <v>676</v>
      </c>
      <c r="D300" s="410" t="s">
        <v>733</v>
      </c>
      <c r="E300" s="408"/>
      <c r="F300" s="409"/>
      <c r="G300" s="344"/>
    </row>
    <row r="301" spans="2:7" x14ac:dyDescent="0.25">
      <c r="B301" s="344"/>
      <c r="C301" s="407" t="s">
        <v>680</v>
      </c>
      <c r="D301" s="410" t="s">
        <v>734</v>
      </c>
      <c r="E301" s="408"/>
      <c r="F301" s="409"/>
      <c r="G301" s="344"/>
    </row>
    <row r="302" spans="2:7" ht="15.75" thickBot="1" x14ac:dyDescent="0.3">
      <c r="B302" s="344"/>
      <c r="C302" s="413" t="s">
        <v>687</v>
      </c>
      <c r="D302" s="414" t="s">
        <v>735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7923"/>
  <sheetViews>
    <sheetView topLeftCell="A3465" workbookViewId="0">
      <selection activeCell="C3474" sqref="C3474"/>
    </sheetView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21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ht="15.75" x14ac:dyDescent="0.25">
      <c r="A1" s="833">
        <v>41523</v>
      </c>
      <c r="C1" s="419" t="s">
        <v>736</v>
      </c>
      <c r="D1" s="420">
        <v>7923</v>
      </c>
    </row>
    <row r="2" spans="1:4" x14ac:dyDescent="0.25">
      <c r="A2" s="417">
        <v>41533</v>
      </c>
      <c r="B2" s="418">
        <v>0.95878472222222222</v>
      </c>
      <c r="C2" s="421" t="s">
        <v>737</v>
      </c>
    </row>
    <row r="3" spans="1:4" x14ac:dyDescent="0.25">
      <c r="A3" s="417">
        <v>41533</v>
      </c>
      <c r="B3" s="418">
        <v>0.9590277777777777</v>
      </c>
      <c r="C3" s="421" t="s">
        <v>1238</v>
      </c>
    </row>
    <row r="4" spans="1:4" x14ac:dyDescent="0.25">
      <c r="A4" s="417">
        <v>41533</v>
      </c>
      <c r="B4" s="418">
        <v>0.95903935185185185</v>
      </c>
      <c r="C4" s="421" t="s">
        <v>1236</v>
      </c>
    </row>
    <row r="5" spans="1:4" x14ac:dyDescent="0.25">
      <c r="A5" s="417">
        <v>41533</v>
      </c>
      <c r="B5" s="418">
        <v>0.95903935185185185</v>
      </c>
      <c r="C5" s="421" t="s">
        <v>1237</v>
      </c>
    </row>
    <row r="6" spans="1:4" x14ac:dyDescent="0.25">
      <c r="A6" s="417">
        <v>41533</v>
      </c>
      <c r="B6" s="418">
        <v>0.95903935185185185</v>
      </c>
      <c r="C6" s="421" t="s">
        <v>1238</v>
      </c>
    </row>
    <row r="7" spans="1:4" x14ac:dyDescent="0.25">
      <c r="A7" s="417">
        <v>41533</v>
      </c>
      <c r="B7" s="418">
        <v>0.95906249999999993</v>
      </c>
      <c r="C7" s="421" t="s">
        <v>1238</v>
      </c>
    </row>
    <row r="8" spans="1:4" x14ac:dyDescent="0.25">
      <c r="A8" s="417">
        <v>41533</v>
      </c>
      <c r="B8" s="418">
        <v>0.95908564814814812</v>
      </c>
      <c r="C8" s="421" t="s">
        <v>1238</v>
      </c>
    </row>
    <row r="9" spans="1:4" x14ac:dyDescent="0.25">
      <c r="A9" s="417">
        <v>41533</v>
      </c>
      <c r="B9" s="418">
        <v>0.95909722222222227</v>
      </c>
      <c r="C9" s="421" t="s">
        <v>1238</v>
      </c>
    </row>
    <row r="10" spans="1:4" x14ac:dyDescent="0.25">
      <c r="A10" s="417">
        <v>41533</v>
      </c>
      <c r="B10" s="418">
        <v>0.95912037037037035</v>
      </c>
      <c r="C10" s="421" t="s">
        <v>1238</v>
      </c>
    </row>
    <row r="11" spans="1:4" x14ac:dyDescent="0.25">
      <c r="A11" s="417">
        <v>41533</v>
      </c>
      <c r="B11" s="418">
        <v>0.95914351851851853</v>
      </c>
      <c r="C11" s="421" t="s">
        <v>1238</v>
      </c>
    </row>
    <row r="12" spans="1:4" x14ac:dyDescent="0.25">
      <c r="A12" s="417">
        <v>41533</v>
      </c>
      <c r="B12" s="418">
        <v>0.97017361111111111</v>
      </c>
      <c r="C12" s="421" t="s">
        <v>1238</v>
      </c>
    </row>
    <row r="13" spans="1:4" x14ac:dyDescent="0.25">
      <c r="A13" s="417">
        <v>41533</v>
      </c>
      <c r="B13" s="418">
        <v>0.97018518518518515</v>
      </c>
      <c r="C13" s="421" t="s">
        <v>1236</v>
      </c>
    </row>
    <row r="14" spans="1:4" x14ac:dyDescent="0.25">
      <c r="A14" s="417">
        <v>41533</v>
      </c>
      <c r="B14" s="418">
        <v>0.97018518518518515</v>
      </c>
      <c r="C14" s="421" t="s">
        <v>1237</v>
      </c>
    </row>
    <row r="15" spans="1:4" x14ac:dyDescent="0.25">
      <c r="A15" s="417">
        <v>41533</v>
      </c>
      <c r="B15" s="418">
        <v>0.97018518518518515</v>
      </c>
      <c r="C15" s="421" t="s">
        <v>1238</v>
      </c>
    </row>
    <row r="16" spans="1:4" x14ac:dyDescent="0.25">
      <c r="A16" s="417">
        <v>41533</v>
      </c>
      <c r="B16" s="418">
        <v>0.97687500000000005</v>
      </c>
      <c r="C16" s="421" t="s">
        <v>1238</v>
      </c>
    </row>
    <row r="17" spans="1:3" x14ac:dyDescent="0.25">
      <c r="A17" s="417">
        <v>41533</v>
      </c>
      <c r="B17" s="418">
        <v>0.98959490740740741</v>
      </c>
      <c r="C17" s="421" t="s">
        <v>1238</v>
      </c>
    </row>
    <row r="18" spans="1:3" x14ac:dyDescent="0.25">
      <c r="A18" s="417">
        <v>41533</v>
      </c>
      <c r="B18" s="418">
        <v>0.99079861111111101</v>
      </c>
      <c r="C18" s="421" t="s">
        <v>1236</v>
      </c>
    </row>
    <row r="19" spans="1:3" x14ac:dyDescent="0.25">
      <c r="A19" s="417">
        <v>41533</v>
      </c>
      <c r="B19" s="418">
        <v>0.99081018518518515</v>
      </c>
      <c r="C19" s="421" t="s">
        <v>1237</v>
      </c>
    </row>
    <row r="20" spans="1:3" x14ac:dyDescent="0.25">
      <c r="A20" s="417">
        <v>41533</v>
      </c>
      <c r="B20" s="418">
        <v>0.99092592592592599</v>
      </c>
      <c r="C20" s="421" t="s">
        <v>1238</v>
      </c>
    </row>
    <row r="21" spans="1:3" x14ac:dyDescent="0.25">
      <c r="A21" s="417">
        <v>41533</v>
      </c>
      <c r="B21" s="418">
        <v>0.99290509259259263</v>
      </c>
      <c r="C21" s="421" t="s">
        <v>1238</v>
      </c>
    </row>
    <row r="22" spans="1:3" x14ac:dyDescent="0.25">
      <c r="A22" s="417">
        <v>41533</v>
      </c>
      <c r="B22" s="418">
        <v>0.99315972222222226</v>
      </c>
      <c r="C22" s="421" t="s">
        <v>1236</v>
      </c>
    </row>
    <row r="23" spans="1:3" x14ac:dyDescent="0.25">
      <c r="A23" s="417">
        <v>41533</v>
      </c>
      <c r="B23" s="418">
        <v>0.99315972222222226</v>
      </c>
      <c r="C23" s="421" t="s">
        <v>1237</v>
      </c>
    </row>
    <row r="24" spans="1:3" x14ac:dyDescent="0.25">
      <c r="A24" s="417">
        <v>41533</v>
      </c>
      <c r="B24" s="418">
        <v>0.99315972222222226</v>
      </c>
      <c r="C24" s="421" t="s">
        <v>1238</v>
      </c>
    </row>
    <row r="25" spans="1:3" x14ac:dyDescent="0.25">
      <c r="A25" s="417">
        <v>41533</v>
      </c>
      <c r="B25" s="418">
        <v>0.99328703703703702</v>
      </c>
      <c r="C25" s="421" t="s">
        <v>1238</v>
      </c>
    </row>
    <row r="26" spans="1:3" x14ac:dyDescent="0.25">
      <c r="A26" s="417">
        <v>41533</v>
      </c>
      <c r="B26" s="418">
        <v>0.99818287037037035</v>
      </c>
      <c r="C26" s="421" t="s">
        <v>1238</v>
      </c>
    </row>
    <row r="27" spans="1:3" x14ac:dyDescent="0.25">
      <c r="A27" s="417">
        <v>41533</v>
      </c>
      <c r="B27" s="418">
        <v>0.99829861111111118</v>
      </c>
      <c r="C27" s="421" t="s">
        <v>1236</v>
      </c>
    </row>
    <row r="28" spans="1:3" x14ac:dyDescent="0.25">
      <c r="A28" s="417">
        <v>41533</v>
      </c>
      <c r="B28" s="418">
        <v>0.99829861111111118</v>
      </c>
      <c r="C28" s="421" t="s">
        <v>1237</v>
      </c>
    </row>
    <row r="29" spans="1:3" x14ac:dyDescent="0.25">
      <c r="A29" s="417">
        <v>41533</v>
      </c>
      <c r="B29" s="418">
        <v>0.99829861111111118</v>
      </c>
      <c r="C29" s="421" t="s">
        <v>1238</v>
      </c>
    </row>
    <row r="30" spans="1:3" x14ac:dyDescent="0.25">
      <c r="A30" s="417">
        <v>41534</v>
      </c>
      <c r="B30" s="418">
        <v>1.2037037037037038E-3</v>
      </c>
      <c r="C30" s="421" t="s">
        <v>1238</v>
      </c>
    </row>
    <row r="31" spans="1:3" x14ac:dyDescent="0.25">
      <c r="A31" s="417">
        <v>41534</v>
      </c>
      <c r="B31" s="418">
        <v>7.8472222222222224E-3</v>
      </c>
      <c r="C31" s="421" t="s">
        <v>1238</v>
      </c>
    </row>
    <row r="32" spans="1:3" x14ac:dyDescent="0.25">
      <c r="A32" s="417">
        <v>41534</v>
      </c>
      <c r="B32" s="418">
        <v>7.858796296296296E-3</v>
      </c>
      <c r="C32" s="421" t="s">
        <v>1236</v>
      </c>
    </row>
    <row r="33" spans="1:3" x14ac:dyDescent="0.25">
      <c r="A33" s="417">
        <v>41534</v>
      </c>
      <c r="B33" s="418">
        <v>7.858796296296296E-3</v>
      </c>
      <c r="C33" s="421" t="s">
        <v>1237</v>
      </c>
    </row>
    <row r="34" spans="1:3" x14ac:dyDescent="0.25">
      <c r="A34" s="417">
        <v>41534</v>
      </c>
      <c r="B34" s="418">
        <v>7.858796296296296E-3</v>
      </c>
      <c r="C34" s="421" t="s">
        <v>1238</v>
      </c>
    </row>
    <row r="35" spans="1:3" x14ac:dyDescent="0.25">
      <c r="A35" s="417">
        <v>41534</v>
      </c>
      <c r="B35" s="418">
        <v>7.858796296296296E-3</v>
      </c>
      <c r="C35" s="421" t="s">
        <v>1238</v>
      </c>
    </row>
    <row r="36" spans="1:3" x14ac:dyDescent="0.25">
      <c r="A36" s="417">
        <v>41534</v>
      </c>
      <c r="B36" s="418">
        <v>7.858796296296296E-3</v>
      </c>
      <c r="C36" s="421" t="s">
        <v>1238</v>
      </c>
    </row>
    <row r="37" spans="1:3" x14ac:dyDescent="0.25">
      <c r="A37" s="417">
        <v>41534</v>
      </c>
      <c r="B37" s="418">
        <v>7.858796296296296E-3</v>
      </c>
      <c r="C37" s="421" t="s">
        <v>1238</v>
      </c>
    </row>
    <row r="38" spans="1:3" x14ac:dyDescent="0.25">
      <c r="A38" s="417">
        <v>41534</v>
      </c>
      <c r="B38" s="418">
        <v>7.858796296296296E-3</v>
      </c>
      <c r="C38" s="421" t="s">
        <v>1238</v>
      </c>
    </row>
    <row r="39" spans="1:3" x14ac:dyDescent="0.25">
      <c r="A39" s="417">
        <v>41534</v>
      </c>
      <c r="B39" s="418">
        <v>7.858796296296296E-3</v>
      </c>
      <c r="C39" s="421" t="s">
        <v>1238</v>
      </c>
    </row>
    <row r="40" spans="1:3" x14ac:dyDescent="0.25">
      <c r="A40" s="417">
        <v>41534</v>
      </c>
      <c r="B40" s="418">
        <v>1.4363425925925925E-2</v>
      </c>
      <c r="C40" s="421" t="s">
        <v>1238</v>
      </c>
    </row>
    <row r="41" spans="1:3" x14ac:dyDescent="0.25">
      <c r="A41" s="417">
        <v>41534</v>
      </c>
      <c r="B41" s="418">
        <v>1.5960648148148151E-2</v>
      </c>
      <c r="C41" s="421" t="s">
        <v>1238</v>
      </c>
    </row>
    <row r="42" spans="1:3" x14ac:dyDescent="0.25">
      <c r="A42" s="417">
        <v>41534</v>
      </c>
      <c r="B42" s="418">
        <v>1.8483796296296297E-2</v>
      </c>
      <c r="C42" s="421" t="s">
        <v>1236</v>
      </c>
    </row>
    <row r="43" spans="1:3" x14ac:dyDescent="0.25">
      <c r="A43" s="417">
        <v>41534</v>
      </c>
      <c r="B43" s="418">
        <v>1.8483796296296297E-2</v>
      </c>
      <c r="C43" s="421" t="s">
        <v>1237</v>
      </c>
    </row>
    <row r="44" spans="1:3" x14ac:dyDescent="0.25">
      <c r="A44" s="417">
        <v>41534</v>
      </c>
      <c r="B44" s="418">
        <v>1.8483796296296297E-2</v>
      </c>
      <c r="C44" s="421" t="s">
        <v>1238</v>
      </c>
    </row>
    <row r="45" spans="1:3" x14ac:dyDescent="0.25">
      <c r="A45" s="417">
        <v>41534</v>
      </c>
      <c r="B45" s="418">
        <v>1.8483796296296297E-2</v>
      </c>
      <c r="C45" s="421" t="s">
        <v>1238</v>
      </c>
    </row>
    <row r="46" spans="1:3" x14ac:dyDescent="0.25">
      <c r="A46" s="417">
        <v>41534</v>
      </c>
      <c r="B46" s="418">
        <v>1.8483796296296297E-2</v>
      </c>
      <c r="C46" s="421" t="s">
        <v>1238</v>
      </c>
    </row>
    <row r="47" spans="1:3" x14ac:dyDescent="0.25">
      <c r="A47" s="417">
        <v>41534</v>
      </c>
      <c r="B47" s="418">
        <v>1.8483796296296297E-2</v>
      </c>
      <c r="C47" s="421" t="s">
        <v>1238</v>
      </c>
    </row>
    <row r="48" spans="1:3" x14ac:dyDescent="0.25">
      <c r="A48" s="417">
        <v>41534</v>
      </c>
      <c r="B48" s="418">
        <v>1.8483796296296297E-2</v>
      </c>
      <c r="C48" s="421" t="s">
        <v>1238</v>
      </c>
    </row>
    <row r="49" spans="1:3" x14ac:dyDescent="0.25">
      <c r="A49" s="417">
        <v>41534</v>
      </c>
      <c r="B49" s="418">
        <v>1.8483796296296297E-2</v>
      </c>
      <c r="C49" s="421" t="s">
        <v>1238</v>
      </c>
    </row>
    <row r="50" spans="1:3" x14ac:dyDescent="0.25">
      <c r="A50" s="417">
        <v>41534</v>
      </c>
      <c r="B50" s="418">
        <v>2.3194444444444445E-2</v>
      </c>
      <c r="C50" s="421" t="s">
        <v>1238</v>
      </c>
    </row>
    <row r="51" spans="1:3" x14ac:dyDescent="0.25">
      <c r="A51" s="417">
        <v>41534</v>
      </c>
      <c r="B51" s="418">
        <v>2.4548611111111115E-2</v>
      </c>
      <c r="C51" s="421" t="s">
        <v>1236</v>
      </c>
    </row>
    <row r="52" spans="1:3" x14ac:dyDescent="0.25">
      <c r="A52" s="417">
        <v>41534</v>
      </c>
      <c r="B52" s="418">
        <v>2.4548611111111115E-2</v>
      </c>
      <c r="C52" s="421" t="s">
        <v>1237</v>
      </c>
    </row>
    <row r="53" spans="1:3" x14ac:dyDescent="0.25">
      <c r="A53" s="417">
        <v>41534</v>
      </c>
      <c r="B53" s="418">
        <v>2.4548611111111115E-2</v>
      </c>
      <c r="C53" s="421" t="s">
        <v>1260</v>
      </c>
    </row>
    <row r="54" spans="1:3" x14ac:dyDescent="0.25">
      <c r="A54" s="417">
        <v>41534</v>
      </c>
      <c r="B54" s="418">
        <v>2.4548611111111115E-2</v>
      </c>
      <c r="C54" s="421" t="s">
        <v>1261</v>
      </c>
    </row>
    <row r="55" spans="1:3" x14ac:dyDescent="0.25">
      <c r="A55" s="417">
        <v>41534</v>
      </c>
      <c r="B55" s="418">
        <v>2.5104166666666664E-2</v>
      </c>
      <c r="C55" s="421" t="s">
        <v>1238</v>
      </c>
    </row>
    <row r="56" spans="1:3" x14ac:dyDescent="0.25">
      <c r="A56" s="417">
        <v>41534</v>
      </c>
      <c r="B56" s="418">
        <v>2.7465277777777772E-2</v>
      </c>
      <c r="C56" s="421" t="s">
        <v>1236</v>
      </c>
    </row>
    <row r="57" spans="1:3" x14ac:dyDescent="0.25">
      <c r="A57" s="417">
        <v>41534</v>
      </c>
      <c r="B57" s="418">
        <v>2.7465277777777772E-2</v>
      </c>
      <c r="C57" s="421" t="s">
        <v>1237</v>
      </c>
    </row>
    <row r="58" spans="1:3" x14ac:dyDescent="0.25">
      <c r="A58" s="417">
        <v>41534</v>
      </c>
      <c r="B58" s="418">
        <v>2.8692129629629633E-2</v>
      </c>
      <c r="C58" s="421" t="s">
        <v>1238</v>
      </c>
    </row>
    <row r="59" spans="1:3" x14ac:dyDescent="0.25">
      <c r="A59" s="417">
        <v>41534</v>
      </c>
      <c r="B59" s="418">
        <v>2.9409722222222223E-2</v>
      </c>
      <c r="C59" s="421" t="s">
        <v>1238</v>
      </c>
    </row>
    <row r="60" spans="1:3" x14ac:dyDescent="0.25">
      <c r="A60" s="417">
        <v>41534</v>
      </c>
      <c r="B60" s="418">
        <v>2.9548611111111109E-2</v>
      </c>
      <c r="C60" s="421" t="s">
        <v>1236</v>
      </c>
    </row>
    <row r="61" spans="1:3" x14ac:dyDescent="0.25">
      <c r="A61" s="417">
        <v>41534</v>
      </c>
      <c r="B61" s="418">
        <v>2.9548611111111109E-2</v>
      </c>
      <c r="C61" s="421" t="s">
        <v>1237</v>
      </c>
    </row>
    <row r="62" spans="1:3" x14ac:dyDescent="0.25">
      <c r="A62" s="417">
        <v>41534</v>
      </c>
      <c r="B62" s="418">
        <v>2.9560185185185189E-2</v>
      </c>
      <c r="C62" s="421" t="s">
        <v>1260</v>
      </c>
    </row>
    <row r="63" spans="1:3" x14ac:dyDescent="0.25">
      <c r="A63" s="417">
        <v>41534</v>
      </c>
      <c r="B63" s="418">
        <v>2.9560185185185189E-2</v>
      </c>
      <c r="C63" s="421" t="s">
        <v>1261</v>
      </c>
    </row>
    <row r="64" spans="1:3" x14ac:dyDescent="0.25">
      <c r="A64" s="417">
        <v>41534</v>
      </c>
      <c r="B64" s="418">
        <v>3.2546296296296295E-2</v>
      </c>
      <c r="C64" s="421" t="s">
        <v>1238</v>
      </c>
    </row>
    <row r="65" spans="1:3" x14ac:dyDescent="0.25">
      <c r="A65" s="417">
        <v>41534</v>
      </c>
      <c r="B65" s="418">
        <v>3.2731481481481479E-2</v>
      </c>
      <c r="C65" s="421" t="s">
        <v>1236</v>
      </c>
    </row>
    <row r="66" spans="1:3" x14ac:dyDescent="0.25">
      <c r="A66" s="417">
        <v>41534</v>
      </c>
      <c r="B66" s="418">
        <v>3.2731481481481479E-2</v>
      </c>
      <c r="C66" s="421" t="s">
        <v>1237</v>
      </c>
    </row>
    <row r="67" spans="1:3" x14ac:dyDescent="0.25">
      <c r="A67" s="417">
        <v>41534</v>
      </c>
      <c r="B67" s="418">
        <v>3.7210648148148152E-2</v>
      </c>
      <c r="C67" s="421" t="s">
        <v>1238</v>
      </c>
    </row>
    <row r="68" spans="1:3" x14ac:dyDescent="0.25">
      <c r="A68" s="417">
        <v>41534</v>
      </c>
      <c r="B68" s="418">
        <v>3.7291666666666667E-2</v>
      </c>
      <c r="C68" s="421" t="s">
        <v>1236</v>
      </c>
    </row>
    <row r="69" spans="1:3" x14ac:dyDescent="0.25">
      <c r="A69" s="417">
        <v>41534</v>
      </c>
      <c r="B69" s="418">
        <v>3.7291666666666667E-2</v>
      </c>
      <c r="C69" s="421" t="s">
        <v>1237</v>
      </c>
    </row>
    <row r="70" spans="1:3" x14ac:dyDescent="0.25">
      <c r="A70" s="417">
        <v>41534</v>
      </c>
      <c r="B70" s="418">
        <v>3.7291666666666667E-2</v>
      </c>
      <c r="C70" s="421" t="s">
        <v>1238</v>
      </c>
    </row>
    <row r="71" spans="1:3" x14ac:dyDescent="0.25">
      <c r="A71" s="417">
        <v>41534</v>
      </c>
      <c r="B71" s="418">
        <v>4.7928240740740737E-2</v>
      </c>
      <c r="C71" s="421" t="s">
        <v>1238</v>
      </c>
    </row>
    <row r="72" spans="1:3" x14ac:dyDescent="0.25">
      <c r="A72" s="417">
        <v>41534</v>
      </c>
      <c r="B72" s="418">
        <v>4.7928240740740737E-2</v>
      </c>
      <c r="C72" s="421" t="s">
        <v>1236</v>
      </c>
    </row>
    <row r="73" spans="1:3" x14ac:dyDescent="0.25">
      <c r="A73" s="417">
        <v>41534</v>
      </c>
      <c r="B73" s="418">
        <v>4.7928240740740737E-2</v>
      </c>
      <c r="C73" s="421" t="s">
        <v>1237</v>
      </c>
    </row>
    <row r="74" spans="1:3" x14ac:dyDescent="0.25">
      <c r="A74" s="417">
        <v>41534</v>
      </c>
      <c r="B74" s="418">
        <v>4.7928240740740737E-2</v>
      </c>
      <c r="C74" s="421" t="s">
        <v>1238</v>
      </c>
    </row>
    <row r="75" spans="1:3" x14ac:dyDescent="0.25">
      <c r="A75" s="417">
        <v>41534</v>
      </c>
      <c r="B75" s="418">
        <v>4.8993055555555554E-2</v>
      </c>
      <c r="C75" s="421" t="s">
        <v>1238</v>
      </c>
    </row>
    <row r="76" spans="1:3" x14ac:dyDescent="0.25">
      <c r="A76" s="417">
        <v>41534</v>
      </c>
      <c r="B76" s="418">
        <v>4.9004629629629627E-2</v>
      </c>
      <c r="C76" s="421" t="s">
        <v>1236</v>
      </c>
    </row>
    <row r="77" spans="1:3" x14ac:dyDescent="0.25">
      <c r="A77" s="417">
        <v>41534</v>
      </c>
      <c r="B77" s="418">
        <v>4.9004629629629627E-2</v>
      </c>
      <c r="C77" s="421" t="s">
        <v>1237</v>
      </c>
    </row>
    <row r="78" spans="1:3" x14ac:dyDescent="0.25">
      <c r="A78" s="417">
        <v>41534</v>
      </c>
      <c r="B78" s="418">
        <v>4.9004629629629627E-2</v>
      </c>
      <c r="C78" s="421" t="s">
        <v>1238</v>
      </c>
    </row>
    <row r="79" spans="1:3" x14ac:dyDescent="0.25">
      <c r="A79" s="417">
        <v>41534</v>
      </c>
      <c r="B79" s="418">
        <v>4.9907407407407407E-2</v>
      </c>
      <c r="C79" s="421" t="s">
        <v>1238</v>
      </c>
    </row>
    <row r="80" spans="1:3" x14ac:dyDescent="0.25">
      <c r="A80" s="417">
        <v>41534</v>
      </c>
      <c r="B80" s="418">
        <v>4.9907407407407407E-2</v>
      </c>
      <c r="C80" s="421" t="s">
        <v>1236</v>
      </c>
    </row>
    <row r="81" spans="1:3" x14ac:dyDescent="0.25">
      <c r="A81" s="417">
        <v>41534</v>
      </c>
      <c r="B81" s="418">
        <v>4.9907407407407407E-2</v>
      </c>
      <c r="C81" s="421" t="s">
        <v>1237</v>
      </c>
    </row>
    <row r="82" spans="1:3" x14ac:dyDescent="0.25">
      <c r="A82" s="417">
        <v>41534</v>
      </c>
      <c r="B82" s="418">
        <v>4.9907407407407407E-2</v>
      </c>
      <c r="C82" s="421" t="s">
        <v>1238</v>
      </c>
    </row>
    <row r="83" spans="1:3" x14ac:dyDescent="0.25">
      <c r="A83" s="417">
        <v>41534</v>
      </c>
      <c r="B83" s="418">
        <v>5.1249999999999997E-2</v>
      </c>
      <c r="C83" s="421" t="s">
        <v>1238</v>
      </c>
    </row>
    <row r="84" spans="1:3" x14ac:dyDescent="0.25">
      <c r="A84" s="417">
        <v>41534</v>
      </c>
      <c r="B84" s="418">
        <v>5.5185185185185191E-2</v>
      </c>
      <c r="C84" s="421" t="s">
        <v>1238</v>
      </c>
    </row>
    <row r="85" spans="1:3" x14ac:dyDescent="0.25">
      <c r="A85" s="417">
        <v>41534</v>
      </c>
      <c r="B85" s="418">
        <v>5.5185185185185191E-2</v>
      </c>
      <c r="C85" s="421" t="s">
        <v>1236</v>
      </c>
    </row>
    <row r="86" spans="1:3" x14ac:dyDescent="0.25">
      <c r="A86" s="417">
        <v>41534</v>
      </c>
      <c r="B86" s="418">
        <v>5.5185185185185191E-2</v>
      </c>
      <c r="C86" s="421" t="s">
        <v>1237</v>
      </c>
    </row>
    <row r="87" spans="1:3" x14ac:dyDescent="0.25">
      <c r="A87" s="417">
        <v>41534</v>
      </c>
      <c r="B87" s="418">
        <v>5.5185185185185191E-2</v>
      </c>
      <c r="C87" s="421" t="s">
        <v>1238</v>
      </c>
    </row>
    <row r="88" spans="1:3" x14ac:dyDescent="0.25">
      <c r="A88" s="417">
        <v>41534</v>
      </c>
      <c r="B88" s="418">
        <v>5.559027777777778E-2</v>
      </c>
      <c r="C88" s="421" t="s">
        <v>1238</v>
      </c>
    </row>
    <row r="89" spans="1:3" x14ac:dyDescent="0.25">
      <c r="A89" s="417">
        <v>41534</v>
      </c>
      <c r="B89" s="418">
        <v>5.559027777777778E-2</v>
      </c>
      <c r="C89" s="421" t="s">
        <v>1236</v>
      </c>
    </row>
    <row r="90" spans="1:3" x14ac:dyDescent="0.25">
      <c r="A90" s="417">
        <v>41534</v>
      </c>
      <c r="B90" s="418">
        <v>5.559027777777778E-2</v>
      </c>
      <c r="C90" s="421" t="s">
        <v>1237</v>
      </c>
    </row>
    <row r="91" spans="1:3" x14ac:dyDescent="0.25">
      <c r="A91" s="417">
        <v>41534</v>
      </c>
      <c r="B91" s="418">
        <v>5.559027777777778E-2</v>
      </c>
      <c r="C91" s="421" t="s">
        <v>1238</v>
      </c>
    </row>
    <row r="92" spans="1:3" x14ac:dyDescent="0.25">
      <c r="A92" s="417">
        <v>41534</v>
      </c>
      <c r="B92" s="418">
        <v>6.1840277777777779E-2</v>
      </c>
      <c r="C92" s="421" t="s">
        <v>1238</v>
      </c>
    </row>
    <row r="93" spans="1:3" x14ac:dyDescent="0.25">
      <c r="A93" s="417">
        <v>41534</v>
      </c>
      <c r="B93" s="418">
        <v>6.1851851851851852E-2</v>
      </c>
      <c r="C93" s="421" t="s">
        <v>1236</v>
      </c>
    </row>
    <row r="94" spans="1:3" x14ac:dyDescent="0.25">
      <c r="A94" s="417">
        <v>41534</v>
      </c>
      <c r="B94" s="418">
        <v>6.1851851851851852E-2</v>
      </c>
      <c r="C94" s="421" t="s">
        <v>1237</v>
      </c>
    </row>
    <row r="95" spans="1:3" x14ac:dyDescent="0.25">
      <c r="A95" s="417">
        <v>41534</v>
      </c>
      <c r="B95" s="418">
        <v>6.1851851851851852E-2</v>
      </c>
      <c r="C95" s="421" t="s">
        <v>1238</v>
      </c>
    </row>
    <row r="96" spans="1:3" x14ac:dyDescent="0.25">
      <c r="A96" s="417">
        <v>41534</v>
      </c>
      <c r="B96" s="418">
        <v>6.2685185185185191E-2</v>
      </c>
      <c r="C96" s="421" t="s">
        <v>1238</v>
      </c>
    </row>
    <row r="97" spans="1:3" x14ac:dyDescent="0.25">
      <c r="A97" s="417">
        <v>41534</v>
      </c>
      <c r="B97" s="418">
        <v>6.2685185185185191E-2</v>
      </c>
      <c r="C97" s="421" t="s">
        <v>1236</v>
      </c>
    </row>
    <row r="98" spans="1:3" x14ac:dyDescent="0.25">
      <c r="A98" s="417">
        <v>41534</v>
      </c>
      <c r="B98" s="418">
        <v>6.2685185185185191E-2</v>
      </c>
      <c r="C98" s="421" t="s">
        <v>1237</v>
      </c>
    </row>
    <row r="99" spans="1:3" x14ac:dyDescent="0.25">
      <c r="A99" s="417">
        <v>41534</v>
      </c>
      <c r="B99" s="418">
        <v>6.2685185185185191E-2</v>
      </c>
      <c r="C99" s="421" t="s">
        <v>1238</v>
      </c>
    </row>
    <row r="100" spans="1:3" x14ac:dyDescent="0.25">
      <c r="A100" s="417">
        <v>41534</v>
      </c>
      <c r="B100" s="418">
        <v>6.8032407407407403E-2</v>
      </c>
      <c r="C100" s="421" t="s">
        <v>1238</v>
      </c>
    </row>
    <row r="101" spans="1:3" x14ac:dyDescent="0.25">
      <c r="A101" s="417">
        <v>41534</v>
      </c>
      <c r="B101" s="418">
        <v>6.8414351851851851E-2</v>
      </c>
      <c r="C101" s="421" t="s">
        <v>1236</v>
      </c>
    </row>
    <row r="102" spans="1:3" x14ac:dyDescent="0.25">
      <c r="A102" s="417">
        <v>41534</v>
      </c>
      <c r="B102" s="418">
        <v>6.8414351851851851E-2</v>
      </c>
      <c r="C102" s="421" t="s">
        <v>1237</v>
      </c>
    </row>
    <row r="103" spans="1:3" x14ac:dyDescent="0.25">
      <c r="A103" s="417">
        <v>41534</v>
      </c>
      <c r="B103" s="418">
        <v>6.8414351851851851E-2</v>
      </c>
      <c r="C103" s="421" t="s">
        <v>1238</v>
      </c>
    </row>
    <row r="104" spans="1:3" x14ac:dyDescent="0.25">
      <c r="A104" s="417">
        <v>41534</v>
      </c>
      <c r="B104" s="418">
        <v>6.9930555555555551E-2</v>
      </c>
      <c r="C104" s="421" t="s">
        <v>1238</v>
      </c>
    </row>
    <row r="105" spans="1:3" x14ac:dyDescent="0.25">
      <c r="A105" s="417">
        <v>41534</v>
      </c>
      <c r="B105" s="418">
        <v>6.9942129629629632E-2</v>
      </c>
      <c r="C105" s="421" t="s">
        <v>1236</v>
      </c>
    </row>
    <row r="106" spans="1:3" x14ac:dyDescent="0.25">
      <c r="A106" s="417">
        <v>41534</v>
      </c>
      <c r="B106" s="418">
        <v>6.9942129629629632E-2</v>
      </c>
      <c r="C106" s="421" t="s">
        <v>1237</v>
      </c>
    </row>
    <row r="107" spans="1:3" x14ac:dyDescent="0.25">
      <c r="A107" s="417">
        <v>41534</v>
      </c>
      <c r="B107" s="418">
        <v>6.9942129629629632E-2</v>
      </c>
      <c r="C107" s="421" t="s">
        <v>1238</v>
      </c>
    </row>
    <row r="108" spans="1:3" x14ac:dyDescent="0.25">
      <c r="A108" s="417">
        <v>41534</v>
      </c>
      <c r="B108" s="418">
        <v>7.2615740740740745E-2</v>
      </c>
      <c r="C108" s="421" t="s">
        <v>1238</v>
      </c>
    </row>
    <row r="109" spans="1:3" x14ac:dyDescent="0.25">
      <c r="A109" s="417">
        <v>41534</v>
      </c>
      <c r="B109" s="418">
        <v>7.2627314814814811E-2</v>
      </c>
      <c r="C109" s="421" t="s">
        <v>1236</v>
      </c>
    </row>
    <row r="110" spans="1:3" x14ac:dyDescent="0.25">
      <c r="A110" s="417">
        <v>41534</v>
      </c>
      <c r="B110" s="418">
        <v>7.2627314814814811E-2</v>
      </c>
      <c r="C110" s="421" t="s">
        <v>1237</v>
      </c>
    </row>
    <row r="111" spans="1:3" x14ac:dyDescent="0.25">
      <c r="A111" s="417">
        <v>41534</v>
      </c>
      <c r="B111" s="418">
        <v>7.2627314814814811E-2</v>
      </c>
      <c r="C111" s="421" t="s">
        <v>1238</v>
      </c>
    </row>
    <row r="112" spans="1:3" x14ac:dyDescent="0.25">
      <c r="A112" s="417">
        <v>41534</v>
      </c>
      <c r="B112" s="418">
        <v>7.9236111111111118E-2</v>
      </c>
      <c r="C112" s="421" t="s">
        <v>1238</v>
      </c>
    </row>
    <row r="113" spans="1:3" x14ac:dyDescent="0.25">
      <c r="A113" s="417">
        <v>41534</v>
      </c>
      <c r="B113" s="418">
        <v>7.9374999999999987E-2</v>
      </c>
      <c r="C113" s="421" t="s">
        <v>1236</v>
      </c>
    </row>
    <row r="114" spans="1:3" x14ac:dyDescent="0.25">
      <c r="A114" s="417">
        <v>41534</v>
      </c>
      <c r="B114" s="418">
        <v>7.9374999999999987E-2</v>
      </c>
      <c r="C114" s="421" t="s">
        <v>1237</v>
      </c>
    </row>
    <row r="115" spans="1:3" x14ac:dyDescent="0.25">
      <c r="A115" s="417">
        <v>41534</v>
      </c>
      <c r="B115" s="418">
        <v>7.9398148148148148E-2</v>
      </c>
      <c r="C115" s="421" t="s">
        <v>1238</v>
      </c>
    </row>
    <row r="116" spans="1:3" x14ac:dyDescent="0.25">
      <c r="A116" s="417">
        <v>41534</v>
      </c>
      <c r="B116" s="418">
        <v>8.0914351851851848E-2</v>
      </c>
      <c r="C116" s="421" t="s">
        <v>1238</v>
      </c>
    </row>
    <row r="117" spans="1:3" x14ac:dyDescent="0.25">
      <c r="A117" s="417">
        <v>41534</v>
      </c>
      <c r="B117" s="418">
        <v>8.1018518518518517E-2</v>
      </c>
      <c r="C117" s="421" t="s">
        <v>1236</v>
      </c>
    </row>
    <row r="118" spans="1:3" x14ac:dyDescent="0.25">
      <c r="A118" s="417">
        <v>41534</v>
      </c>
      <c r="B118" s="418">
        <v>8.1018518518518517E-2</v>
      </c>
      <c r="C118" s="421" t="s">
        <v>1237</v>
      </c>
    </row>
    <row r="119" spans="1:3" x14ac:dyDescent="0.25">
      <c r="A119" s="417">
        <v>41534</v>
      </c>
      <c r="B119" s="418">
        <v>8.1041666666666665E-2</v>
      </c>
      <c r="C119" s="421" t="s">
        <v>1238</v>
      </c>
    </row>
    <row r="120" spans="1:3" x14ac:dyDescent="0.25">
      <c r="A120" s="417">
        <v>41534</v>
      </c>
      <c r="B120" s="418">
        <v>8.143518518518518E-2</v>
      </c>
      <c r="C120" s="421" t="s">
        <v>1238</v>
      </c>
    </row>
    <row r="121" spans="1:3" x14ac:dyDescent="0.25">
      <c r="A121" s="417">
        <v>41534</v>
      </c>
      <c r="B121" s="418">
        <v>8.1504629629629635E-2</v>
      </c>
      <c r="C121" s="421" t="s">
        <v>1236</v>
      </c>
    </row>
    <row r="122" spans="1:3" x14ac:dyDescent="0.25">
      <c r="A122" s="417">
        <v>41534</v>
      </c>
      <c r="B122" s="418">
        <v>8.1504629629629635E-2</v>
      </c>
      <c r="C122" s="421" t="s">
        <v>1237</v>
      </c>
    </row>
    <row r="123" spans="1:3" x14ac:dyDescent="0.25">
      <c r="A123" s="417">
        <v>41534</v>
      </c>
      <c r="B123" s="418">
        <v>8.1527777777777768E-2</v>
      </c>
      <c r="C123" s="421" t="s">
        <v>1238</v>
      </c>
    </row>
    <row r="124" spans="1:3" ht="45" x14ac:dyDescent="0.25">
      <c r="A124" s="417">
        <v>41535</v>
      </c>
      <c r="B124" s="418">
        <v>0.66784722222222215</v>
      </c>
      <c r="C124" s="946" t="s">
        <v>1262</v>
      </c>
    </row>
    <row r="125" spans="1:3" ht="45" x14ac:dyDescent="0.25">
      <c r="A125" s="417">
        <v>41535</v>
      </c>
      <c r="B125" s="418">
        <v>0.67802083333333341</v>
      </c>
      <c r="C125" s="946" t="s">
        <v>1263</v>
      </c>
    </row>
    <row r="126" spans="1:3" ht="45" x14ac:dyDescent="0.25">
      <c r="A126" s="417">
        <v>41535</v>
      </c>
      <c r="B126" s="418">
        <v>0.70467592592592598</v>
      </c>
      <c r="C126" s="946" t="s">
        <v>1264</v>
      </c>
    </row>
    <row r="127" spans="1:3" x14ac:dyDescent="0.25">
      <c r="A127" s="417">
        <v>41536</v>
      </c>
      <c r="B127" s="418">
        <v>0.37297453703703703</v>
      </c>
      <c r="C127" s="421" t="s">
        <v>1265</v>
      </c>
    </row>
    <row r="128" spans="1:3" ht="30" x14ac:dyDescent="0.25">
      <c r="A128" s="417">
        <v>41536</v>
      </c>
      <c r="B128" s="418">
        <v>0.3758333333333333</v>
      </c>
      <c r="C128" s="946" t="s">
        <v>1266</v>
      </c>
    </row>
    <row r="129" spans="1:3" ht="45" x14ac:dyDescent="0.25">
      <c r="A129" s="417">
        <v>41536</v>
      </c>
      <c r="B129" s="418">
        <v>0.38254629629629627</v>
      </c>
      <c r="C129" s="946" t="s">
        <v>1267</v>
      </c>
    </row>
    <row r="130" spans="1:3" ht="45" x14ac:dyDescent="0.25">
      <c r="A130" s="417">
        <v>41536</v>
      </c>
      <c r="B130" s="418">
        <v>0.3835648148148148</v>
      </c>
      <c r="C130" s="946" t="s">
        <v>1268</v>
      </c>
    </row>
    <row r="131" spans="1:3" ht="45" x14ac:dyDescent="0.25">
      <c r="A131" s="417">
        <v>41536</v>
      </c>
      <c r="B131" s="418">
        <v>0.38391203703703702</v>
      </c>
      <c r="C131" s="946" t="s">
        <v>1269</v>
      </c>
    </row>
    <row r="132" spans="1:3" ht="30" x14ac:dyDescent="0.25">
      <c r="A132" s="417">
        <v>41536</v>
      </c>
      <c r="B132" s="418">
        <v>0.38409722222222226</v>
      </c>
      <c r="C132" s="946" t="s">
        <v>1270</v>
      </c>
    </row>
    <row r="133" spans="1:3" x14ac:dyDescent="0.25">
      <c r="A133" s="417">
        <v>41537</v>
      </c>
      <c r="B133" s="418">
        <v>0.97690972222222217</v>
      </c>
      <c r="C133" s="421" t="s">
        <v>1271</v>
      </c>
    </row>
    <row r="134" spans="1:3" ht="60" x14ac:dyDescent="0.25">
      <c r="A134" s="417">
        <v>41537</v>
      </c>
      <c r="B134" s="418">
        <v>0.97690972222222217</v>
      </c>
      <c r="C134" s="946" t="s">
        <v>1272</v>
      </c>
    </row>
    <row r="135" spans="1:3" x14ac:dyDescent="0.25">
      <c r="A135" s="417">
        <v>41538</v>
      </c>
      <c r="B135" s="418">
        <v>1.7824074074074072E-3</v>
      </c>
      <c r="C135" s="421" t="s">
        <v>1271</v>
      </c>
    </row>
    <row r="136" spans="1:3" ht="45" x14ac:dyDescent="0.25">
      <c r="A136" s="417">
        <v>41538</v>
      </c>
      <c r="B136" s="418">
        <v>3.2870370370370376E-2</v>
      </c>
      <c r="C136" s="946" t="s">
        <v>1273</v>
      </c>
    </row>
    <row r="137" spans="1:3" ht="30" x14ac:dyDescent="0.25">
      <c r="A137" s="417">
        <v>41538</v>
      </c>
      <c r="B137" s="418">
        <v>3.3032407407407406E-2</v>
      </c>
      <c r="C137" s="946" t="s">
        <v>1274</v>
      </c>
    </row>
    <row r="138" spans="1:3" ht="45" x14ac:dyDescent="0.25">
      <c r="A138" s="417">
        <v>41538</v>
      </c>
      <c r="B138" s="418">
        <v>3.4131944444444444E-2</v>
      </c>
      <c r="C138" s="946" t="s">
        <v>1275</v>
      </c>
    </row>
    <row r="139" spans="1:3" ht="45" x14ac:dyDescent="0.25">
      <c r="A139" s="417">
        <v>41538</v>
      </c>
      <c r="B139" s="418">
        <v>3.4490740740740738E-2</v>
      </c>
      <c r="C139" s="946" t="s">
        <v>1276</v>
      </c>
    </row>
    <row r="140" spans="1:3" ht="30" x14ac:dyDescent="0.25">
      <c r="A140" s="417">
        <v>41538</v>
      </c>
      <c r="B140" s="418">
        <v>3.4606481481481481E-2</v>
      </c>
      <c r="C140" s="946" t="s">
        <v>1277</v>
      </c>
    </row>
    <row r="141" spans="1:3" ht="45" x14ac:dyDescent="0.25">
      <c r="A141" s="417">
        <v>41538</v>
      </c>
      <c r="B141" s="418">
        <v>3.4699074074074077E-2</v>
      </c>
      <c r="C141" s="946" t="s">
        <v>1278</v>
      </c>
    </row>
    <row r="142" spans="1:3" x14ac:dyDescent="0.25">
      <c r="A142" s="417">
        <v>41538</v>
      </c>
      <c r="B142" s="418">
        <v>3.5231481481481482E-2</v>
      </c>
      <c r="C142" s="421" t="s">
        <v>1279</v>
      </c>
    </row>
    <row r="143" spans="1:3" ht="60" x14ac:dyDescent="0.25">
      <c r="A143" s="417">
        <v>41538</v>
      </c>
      <c r="B143" s="418">
        <v>3.5231481481481482E-2</v>
      </c>
      <c r="C143" s="946" t="s">
        <v>1280</v>
      </c>
    </row>
    <row r="144" spans="1:3" x14ac:dyDescent="0.25">
      <c r="A144" s="417">
        <v>41538</v>
      </c>
      <c r="B144" s="418">
        <v>4.1435185185185179E-2</v>
      </c>
      <c r="C144" s="421" t="s">
        <v>1279</v>
      </c>
    </row>
    <row r="145" spans="1:3" ht="60" x14ac:dyDescent="0.25">
      <c r="A145" s="417">
        <v>41538</v>
      </c>
      <c r="B145" s="418">
        <v>4.1435185185185179E-2</v>
      </c>
      <c r="C145" s="946" t="s">
        <v>1280</v>
      </c>
    </row>
    <row r="146" spans="1:3" x14ac:dyDescent="0.25">
      <c r="A146" s="417">
        <v>41538</v>
      </c>
      <c r="B146" s="418">
        <v>4.1851851851851855E-2</v>
      </c>
      <c r="C146" s="421" t="s">
        <v>1281</v>
      </c>
    </row>
    <row r="147" spans="1:3" ht="60" x14ac:dyDescent="0.25">
      <c r="A147" s="417">
        <v>41538</v>
      </c>
      <c r="B147" s="418">
        <v>4.1851851851851855E-2</v>
      </c>
      <c r="C147" s="946" t="s">
        <v>1282</v>
      </c>
    </row>
    <row r="148" spans="1:3" x14ac:dyDescent="0.25">
      <c r="A148" s="417">
        <v>41538</v>
      </c>
      <c r="B148" s="418">
        <v>4.1967592592592591E-2</v>
      </c>
      <c r="C148" s="421" t="s">
        <v>1283</v>
      </c>
    </row>
    <row r="149" spans="1:3" ht="60" x14ac:dyDescent="0.25">
      <c r="A149" s="417">
        <v>41538</v>
      </c>
      <c r="B149" s="418">
        <v>4.1967592592592591E-2</v>
      </c>
      <c r="C149" s="946" t="s">
        <v>1284</v>
      </c>
    </row>
    <row r="150" spans="1:3" x14ac:dyDescent="0.25">
      <c r="A150" s="417">
        <v>41538</v>
      </c>
      <c r="B150" s="418">
        <v>4.2037037037037039E-2</v>
      </c>
      <c r="C150" s="421" t="s">
        <v>1285</v>
      </c>
    </row>
    <row r="151" spans="1:3" ht="60" x14ac:dyDescent="0.25">
      <c r="A151" s="417">
        <v>41538</v>
      </c>
      <c r="B151" s="418">
        <v>4.2037037037037039E-2</v>
      </c>
      <c r="C151" s="946" t="s">
        <v>1286</v>
      </c>
    </row>
    <row r="152" spans="1:3" x14ac:dyDescent="0.25">
      <c r="A152" s="417">
        <v>41538</v>
      </c>
      <c r="B152" s="418">
        <v>4.206018518518518E-2</v>
      </c>
      <c r="C152" s="421" t="s">
        <v>1287</v>
      </c>
    </row>
    <row r="153" spans="1:3" ht="60" x14ac:dyDescent="0.25">
      <c r="A153" s="417">
        <v>41538</v>
      </c>
      <c r="B153" s="418">
        <v>4.206018518518518E-2</v>
      </c>
      <c r="C153" s="946" t="s">
        <v>1288</v>
      </c>
    </row>
    <row r="154" spans="1:3" x14ac:dyDescent="0.25">
      <c r="A154" s="417">
        <v>41538</v>
      </c>
      <c r="B154" s="418">
        <v>4.2164351851851856E-2</v>
      </c>
      <c r="C154" s="421" t="s">
        <v>1289</v>
      </c>
    </row>
    <row r="155" spans="1:3" ht="60" x14ac:dyDescent="0.25">
      <c r="A155" s="417">
        <v>41538</v>
      </c>
      <c r="B155" s="418">
        <v>4.2164351851851856E-2</v>
      </c>
      <c r="C155" s="946" t="s">
        <v>1290</v>
      </c>
    </row>
    <row r="156" spans="1:3" x14ac:dyDescent="0.25">
      <c r="A156" s="417">
        <v>41538</v>
      </c>
      <c r="B156" s="418">
        <v>4.2199074074074076E-2</v>
      </c>
      <c r="C156" s="421" t="s">
        <v>1289</v>
      </c>
    </row>
    <row r="157" spans="1:3" ht="60" x14ac:dyDescent="0.25">
      <c r="A157" s="417">
        <v>41538</v>
      </c>
      <c r="B157" s="418">
        <v>4.2199074074074076E-2</v>
      </c>
      <c r="C157" s="946" t="s">
        <v>1291</v>
      </c>
    </row>
    <row r="158" spans="1:3" x14ac:dyDescent="0.25">
      <c r="A158" s="417">
        <v>41538</v>
      </c>
      <c r="B158" s="418">
        <v>4.2222222222222223E-2</v>
      </c>
      <c r="C158" s="421" t="s">
        <v>1292</v>
      </c>
    </row>
    <row r="159" spans="1:3" ht="60" x14ac:dyDescent="0.25">
      <c r="A159" s="417">
        <v>41538</v>
      </c>
      <c r="B159" s="418">
        <v>4.2222222222222223E-2</v>
      </c>
      <c r="C159" s="946" t="s">
        <v>1293</v>
      </c>
    </row>
    <row r="160" spans="1:3" x14ac:dyDescent="0.25">
      <c r="A160" s="417">
        <v>41538</v>
      </c>
      <c r="B160" s="418">
        <v>4.223379629629629E-2</v>
      </c>
      <c r="C160" s="421" t="s">
        <v>1294</v>
      </c>
    </row>
    <row r="161" spans="1:3" ht="60" x14ac:dyDescent="0.25">
      <c r="A161" s="417">
        <v>41538</v>
      </c>
      <c r="B161" s="418">
        <v>4.223379629629629E-2</v>
      </c>
      <c r="C161" s="946" t="s">
        <v>1295</v>
      </c>
    </row>
    <row r="162" spans="1:3" x14ac:dyDescent="0.25">
      <c r="A162" s="417">
        <v>41538</v>
      </c>
      <c r="B162" s="418">
        <v>4.2245370370370371E-2</v>
      </c>
      <c r="C162" s="421" t="s">
        <v>1296</v>
      </c>
    </row>
    <row r="163" spans="1:3" ht="60" x14ac:dyDescent="0.25">
      <c r="A163" s="417">
        <v>41538</v>
      </c>
      <c r="B163" s="418">
        <v>4.2245370370370371E-2</v>
      </c>
      <c r="C163" s="946" t="s">
        <v>1297</v>
      </c>
    </row>
    <row r="164" spans="1:3" x14ac:dyDescent="0.25">
      <c r="A164" s="417">
        <v>41538</v>
      </c>
      <c r="B164" s="418">
        <v>4.2337962962962966E-2</v>
      </c>
      <c r="C164" s="421" t="s">
        <v>1298</v>
      </c>
    </row>
    <row r="165" spans="1:3" ht="45" x14ac:dyDescent="0.25">
      <c r="A165" s="417">
        <v>41538</v>
      </c>
      <c r="B165" s="418">
        <v>6.2291666666666669E-2</v>
      </c>
      <c r="C165" s="946" t="s">
        <v>1299</v>
      </c>
    </row>
    <row r="166" spans="1:3" ht="30" x14ac:dyDescent="0.25">
      <c r="A166" s="417">
        <v>41538</v>
      </c>
      <c r="B166" s="418">
        <v>6.2291666666666669E-2</v>
      </c>
      <c r="C166" s="946" t="s">
        <v>1300</v>
      </c>
    </row>
    <row r="167" spans="1:3" ht="45" x14ac:dyDescent="0.25">
      <c r="A167" s="417">
        <v>41538</v>
      </c>
      <c r="B167" s="418">
        <v>6.3715277777777787E-2</v>
      </c>
      <c r="C167" s="946" t="s">
        <v>1301</v>
      </c>
    </row>
    <row r="168" spans="1:3" ht="30" x14ac:dyDescent="0.25">
      <c r="A168" s="417">
        <v>41538</v>
      </c>
      <c r="B168" s="418">
        <v>6.3819444444444443E-2</v>
      </c>
      <c r="C168" s="946" t="s">
        <v>1302</v>
      </c>
    </row>
    <row r="169" spans="1:3" ht="45" x14ac:dyDescent="0.25">
      <c r="A169" s="417">
        <v>41538</v>
      </c>
      <c r="B169" s="418">
        <v>6.3912037037037031E-2</v>
      </c>
      <c r="C169" s="946" t="s">
        <v>1303</v>
      </c>
    </row>
    <row r="170" spans="1:3" ht="45" x14ac:dyDescent="0.25">
      <c r="A170" s="417">
        <v>41538</v>
      </c>
      <c r="B170" s="418">
        <v>7.5902777777777777E-2</v>
      </c>
      <c r="C170" s="946" t="s">
        <v>1304</v>
      </c>
    </row>
    <row r="171" spans="1:3" ht="30" x14ac:dyDescent="0.25">
      <c r="A171" s="417">
        <v>41538</v>
      </c>
      <c r="B171" s="418">
        <v>7.604166666666666E-2</v>
      </c>
      <c r="C171" s="946" t="s">
        <v>1305</v>
      </c>
    </row>
    <row r="172" spans="1:3" ht="45" x14ac:dyDescent="0.25">
      <c r="A172" s="417">
        <v>41538</v>
      </c>
      <c r="B172" s="418">
        <v>7.6145833333333343E-2</v>
      </c>
      <c r="C172" s="946" t="s">
        <v>1306</v>
      </c>
    </row>
    <row r="173" spans="1:3" x14ac:dyDescent="0.25">
      <c r="A173" s="417">
        <v>41538</v>
      </c>
      <c r="B173" s="418">
        <v>0.59356481481481482</v>
      </c>
      <c r="C173" s="421" t="s">
        <v>1238</v>
      </c>
    </row>
    <row r="174" spans="1:3" x14ac:dyDescent="0.25">
      <c r="A174" s="417">
        <v>41538</v>
      </c>
      <c r="B174" s="418">
        <v>0.59515046296296303</v>
      </c>
      <c r="C174" s="421" t="s">
        <v>1307</v>
      </c>
    </row>
    <row r="175" spans="1:3" x14ac:dyDescent="0.25">
      <c r="A175" s="417">
        <v>41538</v>
      </c>
      <c r="B175" s="418">
        <v>0.5978472222222222</v>
      </c>
      <c r="C175" s="421" t="s">
        <v>1308</v>
      </c>
    </row>
    <row r="176" spans="1:3" x14ac:dyDescent="0.25">
      <c r="A176" s="417">
        <v>41538</v>
      </c>
      <c r="B176" s="418">
        <v>0.5978472222222222</v>
      </c>
      <c r="C176" s="421" t="s">
        <v>1309</v>
      </c>
    </row>
    <row r="177" spans="1:3" x14ac:dyDescent="0.25">
      <c r="A177" s="417">
        <v>41538</v>
      </c>
      <c r="B177" s="418">
        <v>0.5978472222222222</v>
      </c>
      <c r="C177" s="421" t="s">
        <v>1310</v>
      </c>
    </row>
    <row r="178" spans="1:3" x14ac:dyDescent="0.25">
      <c r="A178" s="417">
        <v>41538</v>
      </c>
      <c r="B178" s="418">
        <v>0.5978472222222222</v>
      </c>
      <c r="C178" s="421" t="s">
        <v>1311</v>
      </c>
    </row>
    <row r="179" spans="1:3" x14ac:dyDescent="0.25">
      <c r="A179" s="417">
        <v>41538</v>
      </c>
      <c r="B179" s="418">
        <v>0.5978472222222222</v>
      </c>
      <c r="C179" s="421" t="s">
        <v>1312</v>
      </c>
    </row>
    <row r="180" spans="1:3" x14ac:dyDescent="0.25">
      <c r="A180" s="417">
        <v>41538</v>
      </c>
      <c r="B180" s="418">
        <v>0.5978472222222222</v>
      </c>
      <c r="C180" s="421" t="s">
        <v>1313</v>
      </c>
    </row>
    <row r="181" spans="1:3" x14ac:dyDescent="0.25">
      <c r="A181" s="417">
        <v>41538</v>
      </c>
      <c r="B181" s="418">
        <v>0.5978472222222222</v>
      </c>
      <c r="C181" s="421" t="s">
        <v>1310</v>
      </c>
    </row>
    <row r="182" spans="1:3" x14ac:dyDescent="0.25">
      <c r="A182" s="417">
        <v>41538</v>
      </c>
      <c r="B182" s="418">
        <v>0.5978472222222222</v>
      </c>
      <c r="C182" s="421" t="s">
        <v>1314</v>
      </c>
    </row>
    <row r="183" spans="1:3" x14ac:dyDescent="0.25">
      <c r="A183" s="417">
        <v>41538</v>
      </c>
      <c r="B183" s="418">
        <v>0.5978472222222222</v>
      </c>
      <c r="C183" s="421" t="s">
        <v>1315</v>
      </c>
    </row>
    <row r="184" spans="1:3" x14ac:dyDescent="0.25">
      <c r="A184" s="417">
        <v>41538</v>
      </c>
      <c r="B184" s="418">
        <v>0.60270833333333329</v>
      </c>
      <c r="C184" s="421" t="s">
        <v>1310</v>
      </c>
    </row>
    <row r="185" spans="1:3" x14ac:dyDescent="0.25">
      <c r="A185" s="417">
        <v>41538</v>
      </c>
      <c r="B185" s="418">
        <v>0.60270833333333329</v>
      </c>
      <c r="C185" s="421" t="s">
        <v>1238</v>
      </c>
    </row>
    <row r="186" spans="1:3" x14ac:dyDescent="0.25">
      <c r="A186" s="417">
        <v>41538</v>
      </c>
      <c r="B186" s="418">
        <v>0.60366898148148151</v>
      </c>
      <c r="C186" s="421" t="s">
        <v>1316</v>
      </c>
    </row>
    <row r="187" spans="1:3" x14ac:dyDescent="0.25">
      <c r="A187" s="417">
        <v>41538</v>
      </c>
      <c r="B187" s="418">
        <v>0.60366898148148151</v>
      </c>
      <c r="C187" s="421" t="s">
        <v>1316</v>
      </c>
    </row>
    <row r="188" spans="1:3" x14ac:dyDescent="0.25">
      <c r="A188" s="417">
        <v>41538</v>
      </c>
      <c r="B188" s="418">
        <v>0.60960648148148155</v>
      </c>
      <c r="C188" s="421" t="s">
        <v>1238</v>
      </c>
    </row>
    <row r="189" spans="1:3" x14ac:dyDescent="0.25">
      <c r="A189" s="417">
        <v>41538</v>
      </c>
      <c r="B189" s="418">
        <v>0.60960648148148155</v>
      </c>
      <c r="C189" s="421" t="s">
        <v>1307</v>
      </c>
    </row>
    <row r="190" spans="1:3" x14ac:dyDescent="0.25">
      <c r="A190" s="417">
        <v>41538</v>
      </c>
      <c r="B190" s="418">
        <v>0.60960648148148155</v>
      </c>
      <c r="C190" s="421" t="s">
        <v>1308</v>
      </c>
    </row>
    <row r="191" spans="1:3" x14ac:dyDescent="0.25">
      <c r="A191" s="417">
        <v>41538</v>
      </c>
      <c r="B191" s="418">
        <v>0.60960648148148155</v>
      </c>
      <c r="C191" s="421" t="s">
        <v>1309</v>
      </c>
    </row>
    <row r="192" spans="1:3" x14ac:dyDescent="0.25">
      <c r="A192" s="417">
        <v>41538</v>
      </c>
      <c r="B192" s="418">
        <v>0.60960648148148155</v>
      </c>
      <c r="C192" s="421" t="s">
        <v>1310</v>
      </c>
    </row>
    <row r="193" spans="1:3" x14ac:dyDescent="0.25">
      <c r="A193" s="417">
        <v>41538</v>
      </c>
      <c r="B193" s="418">
        <v>0.60960648148148155</v>
      </c>
      <c r="C193" s="421" t="s">
        <v>1311</v>
      </c>
    </row>
    <row r="194" spans="1:3" x14ac:dyDescent="0.25">
      <c r="A194" s="417">
        <v>41538</v>
      </c>
      <c r="B194" s="418">
        <v>0.60960648148148155</v>
      </c>
      <c r="C194" s="421" t="s">
        <v>1312</v>
      </c>
    </row>
    <row r="195" spans="1:3" x14ac:dyDescent="0.25">
      <c r="A195" s="417">
        <v>41538</v>
      </c>
      <c r="B195" s="418">
        <v>0.60960648148148155</v>
      </c>
      <c r="C195" s="421" t="s">
        <v>1313</v>
      </c>
    </row>
    <row r="196" spans="1:3" x14ac:dyDescent="0.25">
      <c r="A196" s="417">
        <v>41538</v>
      </c>
      <c r="B196" s="418">
        <v>0.60960648148148155</v>
      </c>
      <c r="C196" s="421" t="s">
        <v>1310</v>
      </c>
    </row>
    <row r="197" spans="1:3" x14ac:dyDescent="0.25">
      <c r="A197" s="417">
        <v>41538</v>
      </c>
      <c r="B197" s="418">
        <v>0.60960648148148155</v>
      </c>
      <c r="C197" s="421" t="s">
        <v>1314</v>
      </c>
    </row>
    <row r="198" spans="1:3" x14ac:dyDescent="0.25">
      <c r="A198" s="417">
        <v>41538</v>
      </c>
      <c r="B198" s="418">
        <v>0.60960648148148155</v>
      </c>
      <c r="C198" s="421" t="s">
        <v>1315</v>
      </c>
    </row>
    <row r="199" spans="1:3" x14ac:dyDescent="0.25">
      <c r="A199" s="417">
        <v>41538</v>
      </c>
      <c r="B199" s="418">
        <v>0.60982638888888896</v>
      </c>
      <c r="C199" s="421" t="s">
        <v>1310</v>
      </c>
    </row>
    <row r="200" spans="1:3" x14ac:dyDescent="0.25">
      <c r="A200" s="417">
        <v>41538</v>
      </c>
      <c r="B200" s="418">
        <v>0.60982638888888896</v>
      </c>
      <c r="C200" s="421" t="s">
        <v>1238</v>
      </c>
    </row>
    <row r="201" spans="1:3" x14ac:dyDescent="0.25">
      <c r="A201" s="417">
        <v>41538</v>
      </c>
      <c r="B201" s="418">
        <v>0.6098958333333333</v>
      </c>
      <c r="C201" s="421" t="s">
        <v>1316</v>
      </c>
    </row>
    <row r="202" spans="1:3" x14ac:dyDescent="0.25">
      <c r="A202" s="417">
        <v>41538</v>
      </c>
      <c r="B202" s="418">
        <v>0.6098958333333333</v>
      </c>
      <c r="C202" s="421" t="s">
        <v>1316</v>
      </c>
    </row>
    <row r="203" spans="1:3" x14ac:dyDescent="0.25">
      <c r="A203" s="417">
        <v>41538</v>
      </c>
      <c r="B203" s="418">
        <v>0.61</v>
      </c>
      <c r="C203" s="421" t="s">
        <v>1317</v>
      </c>
    </row>
    <row r="204" spans="1:3" x14ac:dyDescent="0.25">
      <c r="A204" s="417">
        <v>41538</v>
      </c>
      <c r="B204" s="418">
        <v>0.61</v>
      </c>
      <c r="C204" s="421" t="s">
        <v>1309</v>
      </c>
    </row>
    <row r="205" spans="1:3" x14ac:dyDescent="0.25">
      <c r="A205" s="417">
        <v>41538</v>
      </c>
      <c r="B205" s="418">
        <v>0.61</v>
      </c>
      <c r="C205" s="421" t="s">
        <v>1318</v>
      </c>
    </row>
    <row r="206" spans="1:3" x14ac:dyDescent="0.25">
      <c r="A206" s="417">
        <v>41538</v>
      </c>
      <c r="B206" s="418">
        <v>0.62510416666666668</v>
      </c>
      <c r="C206" s="421" t="s">
        <v>1238</v>
      </c>
    </row>
    <row r="207" spans="1:3" x14ac:dyDescent="0.25">
      <c r="A207" s="417">
        <v>41538</v>
      </c>
      <c r="B207" s="418">
        <v>0.62510416666666668</v>
      </c>
      <c r="C207" s="421" t="s">
        <v>1307</v>
      </c>
    </row>
    <row r="208" spans="1:3" x14ac:dyDescent="0.25">
      <c r="A208" s="417">
        <v>41538</v>
      </c>
      <c r="B208" s="418">
        <v>0.62510416666666668</v>
      </c>
      <c r="C208" s="421" t="s">
        <v>1308</v>
      </c>
    </row>
    <row r="209" spans="1:3" x14ac:dyDescent="0.25">
      <c r="A209" s="417">
        <v>41538</v>
      </c>
      <c r="B209" s="418">
        <v>0.62510416666666668</v>
      </c>
      <c r="C209" s="421" t="s">
        <v>1309</v>
      </c>
    </row>
    <row r="210" spans="1:3" x14ac:dyDescent="0.25">
      <c r="A210" s="417">
        <v>41538</v>
      </c>
      <c r="B210" s="418">
        <v>0.62510416666666668</v>
      </c>
      <c r="C210" s="421" t="s">
        <v>1310</v>
      </c>
    </row>
    <row r="211" spans="1:3" x14ac:dyDescent="0.25">
      <c r="A211" s="417">
        <v>41538</v>
      </c>
      <c r="B211" s="418">
        <v>0.62510416666666668</v>
      </c>
      <c r="C211" s="421" t="s">
        <v>1311</v>
      </c>
    </row>
    <row r="212" spans="1:3" x14ac:dyDescent="0.25">
      <c r="A212" s="417">
        <v>41538</v>
      </c>
      <c r="B212" s="418">
        <v>0.62510416666666668</v>
      </c>
      <c r="C212" s="421" t="s">
        <v>1312</v>
      </c>
    </row>
    <row r="213" spans="1:3" x14ac:dyDescent="0.25">
      <c r="A213" s="417">
        <v>41538</v>
      </c>
      <c r="B213" s="418">
        <v>0.62510416666666668</v>
      </c>
      <c r="C213" s="421" t="s">
        <v>1313</v>
      </c>
    </row>
    <row r="214" spans="1:3" x14ac:dyDescent="0.25">
      <c r="A214" s="417">
        <v>41538</v>
      </c>
      <c r="B214" s="418">
        <v>0.62510416666666668</v>
      </c>
      <c r="C214" s="421" t="s">
        <v>1310</v>
      </c>
    </row>
    <row r="215" spans="1:3" x14ac:dyDescent="0.25">
      <c r="A215" s="417">
        <v>41538</v>
      </c>
      <c r="B215" s="418">
        <v>0.62510416666666668</v>
      </c>
      <c r="C215" s="421" t="s">
        <v>1314</v>
      </c>
    </row>
    <row r="216" spans="1:3" x14ac:dyDescent="0.25">
      <c r="A216" s="417">
        <v>41538</v>
      </c>
      <c r="B216" s="418">
        <v>0.62510416666666668</v>
      </c>
      <c r="C216" s="421" t="s">
        <v>1315</v>
      </c>
    </row>
    <row r="217" spans="1:3" x14ac:dyDescent="0.25">
      <c r="A217" s="417">
        <v>41538</v>
      </c>
      <c r="B217" s="418">
        <v>0.62511574074074072</v>
      </c>
      <c r="C217" s="421" t="s">
        <v>1310</v>
      </c>
    </row>
    <row r="218" spans="1:3" x14ac:dyDescent="0.25">
      <c r="A218" s="417">
        <v>41538</v>
      </c>
      <c r="B218" s="418">
        <v>0.62511574074074072</v>
      </c>
      <c r="C218" s="421" t="s">
        <v>1238</v>
      </c>
    </row>
    <row r="219" spans="1:3" x14ac:dyDescent="0.25">
      <c r="A219" s="417">
        <v>41538</v>
      </c>
      <c r="B219" s="418">
        <v>0.62511574074074072</v>
      </c>
      <c r="C219" s="421" t="s">
        <v>1316</v>
      </c>
    </row>
    <row r="220" spans="1:3" x14ac:dyDescent="0.25">
      <c r="A220" s="417">
        <v>41538</v>
      </c>
      <c r="B220" s="418">
        <v>0.62511574074074072</v>
      </c>
      <c r="C220" s="421" t="s">
        <v>1316</v>
      </c>
    </row>
    <row r="221" spans="1:3" x14ac:dyDescent="0.25">
      <c r="A221" s="417">
        <v>41538</v>
      </c>
      <c r="B221" s="418">
        <v>0.62511574074074072</v>
      </c>
      <c r="C221" s="421" t="s">
        <v>1317</v>
      </c>
    </row>
    <row r="222" spans="1:3" x14ac:dyDescent="0.25">
      <c r="A222" s="417">
        <v>41538</v>
      </c>
      <c r="B222" s="418">
        <v>0.62511574074074072</v>
      </c>
      <c r="C222" s="421" t="s">
        <v>1309</v>
      </c>
    </row>
    <row r="223" spans="1:3" x14ac:dyDescent="0.25">
      <c r="A223" s="417">
        <v>41538</v>
      </c>
      <c r="B223" s="418">
        <v>0.62511574074074072</v>
      </c>
      <c r="C223" s="421" t="s">
        <v>1318</v>
      </c>
    </row>
    <row r="224" spans="1:3" x14ac:dyDescent="0.25">
      <c r="A224" s="417">
        <v>41538</v>
      </c>
      <c r="B224" s="418">
        <v>0.62511574074074072</v>
      </c>
      <c r="C224" s="421" t="s">
        <v>1319</v>
      </c>
    </row>
    <row r="225" spans="1:3" x14ac:dyDescent="0.25">
      <c r="A225" s="417">
        <v>41538</v>
      </c>
      <c r="B225" s="418">
        <v>0.62511574074074072</v>
      </c>
      <c r="C225" s="421" t="s">
        <v>1320</v>
      </c>
    </row>
    <row r="226" spans="1:3" x14ac:dyDescent="0.25">
      <c r="A226" s="417">
        <v>41538</v>
      </c>
      <c r="B226" s="418">
        <v>0.62511574074074072</v>
      </c>
      <c r="C226" s="421" t="s">
        <v>1318</v>
      </c>
    </row>
    <row r="227" spans="1:3" x14ac:dyDescent="0.25">
      <c r="A227" s="417">
        <v>41538</v>
      </c>
      <c r="B227" s="418">
        <v>0.62511574074074072</v>
      </c>
      <c r="C227" s="421" t="s">
        <v>1307</v>
      </c>
    </row>
    <row r="228" spans="1:3" x14ac:dyDescent="0.25">
      <c r="A228" s="417">
        <v>41538</v>
      </c>
      <c r="B228" s="418">
        <v>0.62511574074074072</v>
      </c>
      <c r="C228" s="421" t="s">
        <v>1321</v>
      </c>
    </row>
    <row r="229" spans="1:3" x14ac:dyDescent="0.25">
      <c r="A229" s="417">
        <v>41538</v>
      </c>
      <c r="B229" s="418">
        <v>0.62511574074074072</v>
      </c>
      <c r="C229" s="421" t="s">
        <v>1322</v>
      </c>
    </row>
    <row r="230" spans="1:3" x14ac:dyDescent="0.25">
      <c r="A230" s="417">
        <v>41538</v>
      </c>
      <c r="B230" s="418">
        <v>0.62511574074074072</v>
      </c>
      <c r="C230" s="421" t="s">
        <v>1322</v>
      </c>
    </row>
    <row r="231" spans="1:3" x14ac:dyDescent="0.25">
      <c r="A231" s="417">
        <v>41538</v>
      </c>
      <c r="B231" s="418">
        <v>0.62511574074074072</v>
      </c>
      <c r="C231" s="421" t="s">
        <v>1323</v>
      </c>
    </row>
    <row r="232" spans="1:3" x14ac:dyDescent="0.25">
      <c r="A232" s="417">
        <v>41538</v>
      </c>
      <c r="B232" s="418">
        <v>0.62511574074074072</v>
      </c>
      <c r="C232" s="421" t="s">
        <v>1324</v>
      </c>
    </row>
    <row r="233" spans="1:3" x14ac:dyDescent="0.25">
      <c r="A233" s="417">
        <v>41538</v>
      </c>
      <c r="B233" s="418">
        <v>0.62511574074074072</v>
      </c>
      <c r="C233" s="421" t="s">
        <v>1310</v>
      </c>
    </row>
    <row r="234" spans="1:3" x14ac:dyDescent="0.25">
      <c r="A234" s="417">
        <v>41538</v>
      </c>
      <c r="B234" s="418">
        <v>0.62511574074074072</v>
      </c>
      <c r="C234" s="421" t="s">
        <v>1325</v>
      </c>
    </row>
    <row r="235" spans="1:3" x14ac:dyDescent="0.25">
      <c r="A235" s="417">
        <v>41538</v>
      </c>
      <c r="B235" s="418">
        <v>0.62511574074074072</v>
      </c>
      <c r="C235" s="421" t="s">
        <v>1326</v>
      </c>
    </row>
    <row r="236" spans="1:3" x14ac:dyDescent="0.25">
      <c r="A236" s="417">
        <v>41538</v>
      </c>
      <c r="B236" s="418">
        <v>0.62511574074074072</v>
      </c>
      <c r="C236" s="421" t="s">
        <v>1327</v>
      </c>
    </row>
    <row r="237" spans="1:3" x14ac:dyDescent="0.25">
      <c r="A237" s="417">
        <v>41538</v>
      </c>
      <c r="B237" s="418">
        <v>0.62511574074074072</v>
      </c>
      <c r="C237" s="421" t="s">
        <v>1328</v>
      </c>
    </row>
    <row r="238" spans="1:3" ht="60" x14ac:dyDescent="0.25">
      <c r="A238" s="417">
        <v>41538</v>
      </c>
      <c r="B238" s="418">
        <v>0.62511574074074072</v>
      </c>
      <c r="C238" s="946" t="s">
        <v>1329</v>
      </c>
    </row>
    <row r="239" spans="1:3" x14ac:dyDescent="0.25">
      <c r="A239" s="417">
        <v>41538</v>
      </c>
      <c r="B239" s="418">
        <v>0.62762731481481482</v>
      </c>
      <c r="C239" s="421" t="s">
        <v>1238</v>
      </c>
    </row>
    <row r="240" spans="1:3" x14ac:dyDescent="0.25">
      <c r="A240" s="417">
        <v>41538</v>
      </c>
      <c r="B240" s="418">
        <v>0.62762731481481482</v>
      </c>
      <c r="C240" s="421" t="s">
        <v>1307</v>
      </c>
    </row>
    <row r="241" spans="1:3" x14ac:dyDescent="0.25">
      <c r="A241" s="417">
        <v>41538</v>
      </c>
      <c r="B241" s="418">
        <v>0.62762731481481482</v>
      </c>
      <c r="C241" s="421" t="s">
        <v>1308</v>
      </c>
    </row>
    <row r="242" spans="1:3" x14ac:dyDescent="0.25">
      <c r="A242" s="417">
        <v>41538</v>
      </c>
      <c r="B242" s="418">
        <v>0.62762731481481482</v>
      </c>
      <c r="C242" s="421" t="s">
        <v>1309</v>
      </c>
    </row>
    <row r="243" spans="1:3" x14ac:dyDescent="0.25">
      <c r="A243" s="417">
        <v>41538</v>
      </c>
      <c r="B243" s="418">
        <v>0.62762731481481482</v>
      </c>
      <c r="C243" s="421" t="s">
        <v>1310</v>
      </c>
    </row>
    <row r="244" spans="1:3" x14ac:dyDescent="0.25">
      <c r="A244" s="417">
        <v>41538</v>
      </c>
      <c r="B244" s="418">
        <v>0.62762731481481482</v>
      </c>
      <c r="C244" s="421" t="s">
        <v>1311</v>
      </c>
    </row>
    <row r="245" spans="1:3" x14ac:dyDescent="0.25">
      <c r="A245" s="417">
        <v>41538</v>
      </c>
      <c r="B245" s="418">
        <v>0.62762731481481482</v>
      </c>
      <c r="C245" s="421" t="s">
        <v>1312</v>
      </c>
    </row>
    <row r="246" spans="1:3" x14ac:dyDescent="0.25">
      <c r="A246" s="417">
        <v>41538</v>
      </c>
      <c r="B246" s="418">
        <v>0.62762731481481482</v>
      </c>
      <c r="C246" s="421" t="s">
        <v>1313</v>
      </c>
    </row>
    <row r="247" spans="1:3" x14ac:dyDescent="0.25">
      <c r="A247" s="417">
        <v>41538</v>
      </c>
      <c r="B247" s="418">
        <v>0.62762731481481482</v>
      </c>
      <c r="C247" s="421" t="s">
        <v>1310</v>
      </c>
    </row>
    <row r="248" spans="1:3" x14ac:dyDescent="0.25">
      <c r="A248" s="417">
        <v>41538</v>
      </c>
      <c r="B248" s="418">
        <v>0.62762731481481482</v>
      </c>
      <c r="C248" s="421" t="s">
        <v>1314</v>
      </c>
    </row>
    <row r="249" spans="1:3" x14ac:dyDescent="0.25">
      <c r="A249" s="417">
        <v>41538</v>
      </c>
      <c r="B249" s="418">
        <v>0.62762731481481482</v>
      </c>
      <c r="C249" s="421" t="s">
        <v>1315</v>
      </c>
    </row>
    <row r="250" spans="1:3" x14ac:dyDescent="0.25">
      <c r="A250" s="417">
        <v>41538</v>
      </c>
      <c r="B250" s="418">
        <v>0.62806712962962963</v>
      </c>
      <c r="C250" s="421" t="s">
        <v>1310</v>
      </c>
    </row>
    <row r="251" spans="1:3" x14ac:dyDescent="0.25">
      <c r="A251" s="417">
        <v>41538</v>
      </c>
      <c r="B251" s="418">
        <v>0.62806712962962963</v>
      </c>
      <c r="C251" s="421" t="s">
        <v>1238</v>
      </c>
    </row>
    <row r="252" spans="1:3" x14ac:dyDescent="0.25">
      <c r="A252" s="417">
        <v>41538</v>
      </c>
      <c r="B252" s="418">
        <v>0.62817129629629631</v>
      </c>
      <c r="C252" s="421" t="s">
        <v>1316</v>
      </c>
    </row>
    <row r="253" spans="1:3" x14ac:dyDescent="0.25">
      <c r="A253" s="417">
        <v>41538</v>
      </c>
      <c r="B253" s="418">
        <v>0.62817129629629631</v>
      </c>
      <c r="C253" s="421" t="s">
        <v>1316</v>
      </c>
    </row>
    <row r="254" spans="1:3" x14ac:dyDescent="0.25">
      <c r="A254" s="417">
        <v>41538</v>
      </c>
      <c r="B254" s="418">
        <v>0.62900462962962966</v>
      </c>
      <c r="C254" s="421" t="s">
        <v>1317</v>
      </c>
    </row>
    <row r="255" spans="1:3" x14ac:dyDescent="0.25">
      <c r="A255" s="417">
        <v>41538</v>
      </c>
      <c r="B255" s="418">
        <v>0.62900462962962966</v>
      </c>
      <c r="C255" s="421" t="s">
        <v>1309</v>
      </c>
    </row>
    <row r="256" spans="1:3" x14ac:dyDescent="0.25">
      <c r="A256" s="417">
        <v>41538</v>
      </c>
      <c r="B256" s="418">
        <v>0.62900462962962966</v>
      </c>
      <c r="C256" s="421" t="s">
        <v>1318</v>
      </c>
    </row>
    <row r="257" spans="1:3" x14ac:dyDescent="0.25">
      <c r="A257" s="417">
        <v>41538</v>
      </c>
      <c r="B257" s="418">
        <v>0.63837962962962969</v>
      </c>
      <c r="C257" s="421" t="s">
        <v>1238</v>
      </c>
    </row>
    <row r="258" spans="1:3" x14ac:dyDescent="0.25">
      <c r="A258" s="417">
        <v>41538</v>
      </c>
      <c r="B258" s="418">
        <v>0.63837962962962969</v>
      </c>
      <c r="C258" s="421" t="s">
        <v>1307</v>
      </c>
    </row>
    <row r="259" spans="1:3" x14ac:dyDescent="0.25">
      <c r="A259" s="417">
        <v>41538</v>
      </c>
      <c r="B259" s="418">
        <v>0.63837962962962969</v>
      </c>
      <c r="C259" s="421" t="s">
        <v>1308</v>
      </c>
    </row>
    <row r="260" spans="1:3" x14ac:dyDescent="0.25">
      <c r="A260" s="417">
        <v>41538</v>
      </c>
      <c r="B260" s="418">
        <v>0.63837962962962969</v>
      </c>
      <c r="C260" s="421" t="s">
        <v>1309</v>
      </c>
    </row>
    <row r="261" spans="1:3" x14ac:dyDescent="0.25">
      <c r="A261" s="417">
        <v>41538</v>
      </c>
      <c r="B261" s="418">
        <v>0.63837962962962969</v>
      </c>
      <c r="C261" s="421" t="s">
        <v>1310</v>
      </c>
    </row>
    <row r="262" spans="1:3" x14ac:dyDescent="0.25">
      <c r="A262" s="417">
        <v>41538</v>
      </c>
      <c r="B262" s="418">
        <v>0.63837962962962969</v>
      </c>
      <c r="C262" s="421" t="s">
        <v>1311</v>
      </c>
    </row>
    <row r="263" spans="1:3" x14ac:dyDescent="0.25">
      <c r="A263" s="417">
        <v>41538</v>
      </c>
      <c r="B263" s="418">
        <v>0.63837962962962969</v>
      </c>
      <c r="C263" s="421" t="s">
        <v>1312</v>
      </c>
    </row>
    <row r="264" spans="1:3" x14ac:dyDescent="0.25">
      <c r="A264" s="417">
        <v>41538</v>
      </c>
      <c r="B264" s="418">
        <v>0.63837962962962969</v>
      </c>
      <c r="C264" s="421" t="s">
        <v>1313</v>
      </c>
    </row>
    <row r="265" spans="1:3" x14ac:dyDescent="0.25">
      <c r="A265" s="417">
        <v>41538</v>
      </c>
      <c r="B265" s="418">
        <v>0.63837962962962969</v>
      </c>
      <c r="C265" s="421" t="s">
        <v>1310</v>
      </c>
    </row>
    <row r="266" spans="1:3" x14ac:dyDescent="0.25">
      <c r="A266" s="417">
        <v>41538</v>
      </c>
      <c r="B266" s="418">
        <v>0.63837962962962969</v>
      </c>
      <c r="C266" s="421" t="s">
        <v>1314</v>
      </c>
    </row>
    <row r="267" spans="1:3" x14ac:dyDescent="0.25">
      <c r="A267" s="417">
        <v>41538</v>
      </c>
      <c r="B267" s="418">
        <v>0.63837962962962969</v>
      </c>
      <c r="C267" s="421" t="s">
        <v>1315</v>
      </c>
    </row>
    <row r="268" spans="1:3" x14ac:dyDescent="0.25">
      <c r="A268" s="417">
        <v>41538</v>
      </c>
      <c r="B268" s="418">
        <v>0.63847222222222222</v>
      </c>
      <c r="C268" s="421" t="s">
        <v>1310</v>
      </c>
    </row>
    <row r="269" spans="1:3" x14ac:dyDescent="0.25">
      <c r="A269" s="417">
        <v>41538</v>
      </c>
      <c r="B269" s="418">
        <v>0.63847222222222222</v>
      </c>
      <c r="C269" s="421" t="s">
        <v>1238</v>
      </c>
    </row>
    <row r="270" spans="1:3" x14ac:dyDescent="0.25">
      <c r="A270" s="417">
        <v>41538</v>
      </c>
      <c r="B270" s="418">
        <v>0.63848379629629626</v>
      </c>
      <c r="C270" s="421" t="s">
        <v>1316</v>
      </c>
    </row>
    <row r="271" spans="1:3" x14ac:dyDescent="0.25">
      <c r="A271" s="417">
        <v>41538</v>
      </c>
      <c r="B271" s="418">
        <v>0.63848379629629626</v>
      </c>
      <c r="C271" s="421" t="s">
        <v>1316</v>
      </c>
    </row>
    <row r="272" spans="1:3" x14ac:dyDescent="0.25">
      <c r="A272" s="417">
        <v>41538</v>
      </c>
      <c r="B272" s="418">
        <v>0.63850694444444445</v>
      </c>
      <c r="C272" s="421" t="s">
        <v>1317</v>
      </c>
    </row>
    <row r="273" spans="1:3" x14ac:dyDescent="0.25">
      <c r="A273" s="417">
        <v>41538</v>
      </c>
      <c r="B273" s="418">
        <v>0.63850694444444445</v>
      </c>
      <c r="C273" s="421" t="s">
        <v>1309</v>
      </c>
    </row>
    <row r="274" spans="1:3" x14ac:dyDescent="0.25">
      <c r="A274" s="417">
        <v>41538</v>
      </c>
      <c r="B274" s="418">
        <v>0.63850694444444445</v>
      </c>
      <c r="C274" s="421" t="s">
        <v>1318</v>
      </c>
    </row>
    <row r="275" spans="1:3" x14ac:dyDescent="0.25">
      <c r="A275" s="417">
        <v>41538</v>
      </c>
      <c r="B275" s="418">
        <v>0.63914351851851847</v>
      </c>
      <c r="C275" s="421" t="s">
        <v>1319</v>
      </c>
    </row>
    <row r="276" spans="1:3" x14ac:dyDescent="0.25">
      <c r="A276" s="417">
        <v>41538</v>
      </c>
      <c r="B276" s="418">
        <v>0.63914351851851847</v>
      </c>
      <c r="C276" s="421" t="s">
        <v>1320</v>
      </c>
    </row>
    <row r="277" spans="1:3" x14ac:dyDescent="0.25">
      <c r="A277" s="417">
        <v>41538</v>
      </c>
      <c r="B277" s="418">
        <v>0.63914351851851847</v>
      </c>
      <c r="C277" s="421" t="s">
        <v>1318</v>
      </c>
    </row>
    <row r="278" spans="1:3" x14ac:dyDescent="0.25">
      <c r="A278" s="417">
        <v>41538</v>
      </c>
      <c r="B278" s="418">
        <v>0.73487268518518523</v>
      </c>
      <c r="C278" s="421" t="s">
        <v>1238</v>
      </c>
    </row>
    <row r="279" spans="1:3" x14ac:dyDescent="0.25">
      <c r="A279" s="417">
        <v>41538</v>
      </c>
      <c r="B279" s="418">
        <v>0.73488425925925915</v>
      </c>
      <c r="C279" s="421" t="s">
        <v>1307</v>
      </c>
    </row>
    <row r="280" spans="1:3" x14ac:dyDescent="0.25">
      <c r="A280" s="417">
        <v>41538</v>
      </c>
      <c r="B280" s="418">
        <v>0.73488425925925915</v>
      </c>
      <c r="C280" s="421" t="s">
        <v>1308</v>
      </c>
    </row>
    <row r="281" spans="1:3" x14ac:dyDescent="0.25">
      <c r="A281" s="417">
        <v>41538</v>
      </c>
      <c r="B281" s="418">
        <v>0.73488425925925915</v>
      </c>
      <c r="C281" s="421" t="s">
        <v>1309</v>
      </c>
    </row>
    <row r="282" spans="1:3" x14ac:dyDescent="0.25">
      <c r="A282" s="417">
        <v>41538</v>
      </c>
      <c r="B282" s="418">
        <v>0.73488425925925915</v>
      </c>
      <c r="C282" s="421" t="s">
        <v>1310</v>
      </c>
    </row>
    <row r="283" spans="1:3" x14ac:dyDescent="0.25">
      <c r="A283" s="417">
        <v>41538</v>
      </c>
      <c r="B283" s="418">
        <v>0.73488425925925915</v>
      </c>
      <c r="C283" s="421" t="s">
        <v>1311</v>
      </c>
    </row>
    <row r="284" spans="1:3" x14ac:dyDescent="0.25">
      <c r="A284" s="417">
        <v>41538</v>
      </c>
      <c r="B284" s="418">
        <v>0.73488425925925915</v>
      </c>
      <c r="C284" s="421" t="s">
        <v>1312</v>
      </c>
    </row>
    <row r="285" spans="1:3" x14ac:dyDescent="0.25">
      <c r="A285" s="417">
        <v>41538</v>
      </c>
      <c r="B285" s="418">
        <v>0.73488425925925915</v>
      </c>
      <c r="C285" s="421" t="s">
        <v>1313</v>
      </c>
    </row>
    <row r="286" spans="1:3" x14ac:dyDescent="0.25">
      <c r="A286" s="417">
        <v>41538</v>
      </c>
      <c r="B286" s="418">
        <v>0.73488425925925915</v>
      </c>
      <c r="C286" s="421" t="s">
        <v>1310</v>
      </c>
    </row>
    <row r="287" spans="1:3" x14ac:dyDescent="0.25">
      <c r="A287" s="417">
        <v>41538</v>
      </c>
      <c r="B287" s="418">
        <v>0.73488425925925915</v>
      </c>
      <c r="C287" s="421" t="s">
        <v>1314</v>
      </c>
    </row>
    <row r="288" spans="1:3" x14ac:dyDescent="0.25">
      <c r="A288" s="417">
        <v>41538</v>
      </c>
      <c r="B288" s="418">
        <v>0.73488425925925915</v>
      </c>
      <c r="C288" s="421" t="s">
        <v>1315</v>
      </c>
    </row>
    <row r="289" spans="1:3" x14ac:dyDescent="0.25">
      <c r="A289" s="417">
        <v>41538</v>
      </c>
      <c r="B289" s="418">
        <v>0.73499999999999999</v>
      </c>
      <c r="C289" s="421" t="s">
        <v>1310</v>
      </c>
    </row>
    <row r="290" spans="1:3" x14ac:dyDescent="0.25">
      <c r="A290" s="417">
        <v>41538</v>
      </c>
      <c r="B290" s="418">
        <v>0.73499999999999999</v>
      </c>
      <c r="C290" s="421" t="s">
        <v>1238</v>
      </c>
    </row>
    <row r="291" spans="1:3" x14ac:dyDescent="0.25">
      <c r="A291" s="417">
        <v>41538</v>
      </c>
      <c r="B291" s="418">
        <v>0.73511574074074071</v>
      </c>
      <c r="C291" s="421" t="s">
        <v>1316</v>
      </c>
    </row>
    <row r="292" spans="1:3" x14ac:dyDescent="0.25">
      <c r="A292" s="417">
        <v>41538</v>
      </c>
      <c r="B292" s="418">
        <v>0.73511574074074071</v>
      </c>
      <c r="C292" s="421" t="s">
        <v>1316</v>
      </c>
    </row>
    <row r="293" spans="1:3" x14ac:dyDescent="0.25">
      <c r="A293" s="417">
        <v>41538</v>
      </c>
      <c r="B293" s="418">
        <v>0.73516203703703698</v>
      </c>
      <c r="C293" s="421" t="s">
        <v>1330</v>
      </c>
    </row>
    <row r="294" spans="1:3" x14ac:dyDescent="0.25">
      <c r="A294" s="417">
        <v>41538</v>
      </c>
      <c r="B294" s="418">
        <v>0.7415046296296296</v>
      </c>
      <c r="C294" s="421" t="s">
        <v>1238</v>
      </c>
    </row>
    <row r="295" spans="1:3" x14ac:dyDescent="0.25">
      <c r="A295" s="417">
        <v>41538</v>
      </c>
      <c r="B295" s="418">
        <v>0.7415046296296296</v>
      </c>
      <c r="C295" s="421" t="s">
        <v>1307</v>
      </c>
    </row>
    <row r="296" spans="1:3" x14ac:dyDescent="0.25">
      <c r="A296" s="417">
        <v>41538</v>
      </c>
      <c r="B296" s="418">
        <v>0.7415046296296296</v>
      </c>
      <c r="C296" s="421" t="s">
        <v>1308</v>
      </c>
    </row>
    <row r="297" spans="1:3" x14ac:dyDescent="0.25">
      <c r="A297" s="417">
        <v>41538</v>
      </c>
      <c r="B297" s="418">
        <v>0.7415046296296296</v>
      </c>
      <c r="C297" s="421" t="s">
        <v>1309</v>
      </c>
    </row>
    <row r="298" spans="1:3" x14ac:dyDescent="0.25">
      <c r="A298" s="417">
        <v>41538</v>
      </c>
      <c r="B298" s="418">
        <v>0.7415046296296296</v>
      </c>
      <c r="C298" s="421" t="s">
        <v>1310</v>
      </c>
    </row>
    <row r="299" spans="1:3" x14ac:dyDescent="0.25">
      <c r="A299" s="417">
        <v>41538</v>
      </c>
      <c r="B299" s="418">
        <v>0.7415046296296296</v>
      </c>
      <c r="C299" s="421" t="s">
        <v>1311</v>
      </c>
    </row>
    <row r="300" spans="1:3" x14ac:dyDescent="0.25">
      <c r="A300" s="417">
        <v>41538</v>
      </c>
      <c r="B300" s="418">
        <v>0.7415046296296296</v>
      </c>
      <c r="C300" s="421" t="s">
        <v>1312</v>
      </c>
    </row>
    <row r="301" spans="1:3" x14ac:dyDescent="0.25">
      <c r="A301" s="417">
        <v>41538</v>
      </c>
      <c r="B301" s="418">
        <v>0.7415046296296296</v>
      </c>
      <c r="C301" s="421" t="s">
        <v>1313</v>
      </c>
    </row>
    <row r="302" spans="1:3" x14ac:dyDescent="0.25">
      <c r="A302" s="417">
        <v>41538</v>
      </c>
      <c r="B302" s="418">
        <v>0.7415046296296296</v>
      </c>
      <c r="C302" s="421" t="s">
        <v>1310</v>
      </c>
    </row>
    <row r="303" spans="1:3" x14ac:dyDescent="0.25">
      <c r="A303" s="417">
        <v>41538</v>
      </c>
      <c r="B303" s="418">
        <v>0.7415046296296296</v>
      </c>
      <c r="C303" s="421" t="s">
        <v>1314</v>
      </c>
    </row>
    <row r="304" spans="1:3" x14ac:dyDescent="0.25">
      <c r="A304" s="417">
        <v>41538</v>
      </c>
      <c r="B304" s="418">
        <v>0.7415046296296296</v>
      </c>
      <c r="C304" s="421" t="s">
        <v>1315</v>
      </c>
    </row>
    <row r="305" spans="1:3" x14ac:dyDescent="0.25">
      <c r="A305" s="417">
        <v>41538</v>
      </c>
      <c r="B305" s="418">
        <v>0.74155092592592586</v>
      </c>
      <c r="C305" s="421" t="s">
        <v>1310</v>
      </c>
    </row>
    <row r="306" spans="1:3" x14ac:dyDescent="0.25">
      <c r="A306" s="417">
        <v>41538</v>
      </c>
      <c r="B306" s="418">
        <v>0.74155092592592586</v>
      </c>
      <c r="C306" s="421" t="s">
        <v>1238</v>
      </c>
    </row>
    <row r="307" spans="1:3" x14ac:dyDescent="0.25">
      <c r="A307" s="417">
        <v>41538</v>
      </c>
      <c r="B307" s="418">
        <v>0.74157407407407405</v>
      </c>
      <c r="C307" s="421" t="s">
        <v>1316</v>
      </c>
    </row>
    <row r="308" spans="1:3" x14ac:dyDescent="0.25">
      <c r="A308" s="417">
        <v>41538</v>
      </c>
      <c r="B308" s="418">
        <v>0.74157407407407405</v>
      </c>
      <c r="C308" s="421" t="s">
        <v>1316</v>
      </c>
    </row>
    <row r="309" spans="1:3" x14ac:dyDescent="0.25">
      <c r="A309" s="417">
        <v>41538</v>
      </c>
      <c r="B309" s="418">
        <v>0.74207175925925928</v>
      </c>
      <c r="C309" s="421" t="s">
        <v>1331</v>
      </c>
    </row>
    <row r="310" spans="1:3" x14ac:dyDescent="0.25">
      <c r="A310" s="417">
        <v>41538</v>
      </c>
      <c r="B310" s="418">
        <v>0.74416666666666664</v>
      </c>
      <c r="C310" s="421" t="s">
        <v>1331</v>
      </c>
    </row>
    <row r="311" spans="1:3" ht="45" x14ac:dyDescent="0.25">
      <c r="A311" s="417">
        <v>41538</v>
      </c>
      <c r="B311" s="418">
        <v>0.74512731481481476</v>
      </c>
      <c r="C311" s="946" t="s">
        <v>1332</v>
      </c>
    </row>
    <row r="312" spans="1:3" x14ac:dyDescent="0.25">
      <c r="A312" s="417">
        <v>41538</v>
      </c>
      <c r="B312" s="418">
        <v>0.7469675925925926</v>
      </c>
      <c r="C312" s="421" t="s">
        <v>1238</v>
      </c>
    </row>
    <row r="313" spans="1:3" x14ac:dyDescent="0.25">
      <c r="A313" s="417">
        <v>41538</v>
      </c>
      <c r="B313" s="418">
        <v>0.7469675925925926</v>
      </c>
      <c r="C313" s="421" t="s">
        <v>1307</v>
      </c>
    </row>
    <row r="314" spans="1:3" x14ac:dyDescent="0.25">
      <c r="A314" s="417">
        <v>41538</v>
      </c>
      <c r="B314" s="418">
        <v>0.7469675925925926</v>
      </c>
      <c r="C314" s="421" t="s">
        <v>1308</v>
      </c>
    </row>
    <row r="315" spans="1:3" x14ac:dyDescent="0.25">
      <c r="A315" s="417">
        <v>41538</v>
      </c>
      <c r="B315" s="418">
        <v>0.7469675925925926</v>
      </c>
      <c r="C315" s="421" t="s">
        <v>1309</v>
      </c>
    </row>
    <row r="316" spans="1:3" x14ac:dyDescent="0.25">
      <c r="A316" s="417">
        <v>41538</v>
      </c>
      <c r="B316" s="418">
        <v>0.7469675925925926</v>
      </c>
      <c r="C316" s="421" t="s">
        <v>1310</v>
      </c>
    </row>
    <row r="317" spans="1:3" x14ac:dyDescent="0.25">
      <c r="A317" s="417">
        <v>41538</v>
      </c>
      <c r="B317" s="418">
        <v>0.7469675925925926</v>
      </c>
      <c r="C317" s="421" t="s">
        <v>1311</v>
      </c>
    </row>
    <row r="318" spans="1:3" x14ac:dyDescent="0.25">
      <c r="A318" s="417">
        <v>41538</v>
      </c>
      <c r="B318" s="418">
        <v>0.7469675925925926</v>
      </c>
      <c r="C318" s="421" t="s">
        <v>1312</v>
      </c>
    </row>
    <row r="319" spans="1:3" x14ac:dyDescent="0.25">
      <c r="A319" s="417">
        <v>41538</v>
      </c>
      <c r="B319" s="418">
        <v>0.7469675925925926</v>
      </c>
      <c r="C319" s="421" t="s">
        <v>1313</v>
      </c>
    </row>
    <row r="320" spans="1:3" x14ac:dyDescent="0.25">
      <c r="A320" s="417">
        <v>41538</v>
      </c>
      <c r="B320" s="418">
        <v>0.7469675925925926</v>
      </c>
      <c r="C320" s="421" t="s">
        <v>1310</v>
      </c>
    </row>
    <row r="321" spans="1:3" x14ac:dyDescent="0.25">
      <c r="A321" s="417">
        <v>41538</v>
      </c>
      <c r="B321" s="418">
        <v>0.7469675925925926</v>
      </c>
      <c r="C321" s="421" t="s">
        <v>1314</v>
      </c>
    </row>
    <row r="322" spans="1:3" x14ac:dyDescent="0.25">
      <c r="A322" s="417">
        <v>41538</v>
      </c>
      <c r="B322" s="418">
        <v>0.7469675925925926</v>
      </c>
      <c r="C322" s="421" t="s">
        <v>1315</v>
      </c>
    </row>
    <row r="323" spans="1:3" x14ac:dyDescent="0.25">
      <c r="A323" s="417">
        <v>41538</v>
      </c>
      <c r="B323" s="418">
        <v>0.74702546296296291</v>
      </c>
      <c r="C323" s="421" t="s">
        <v>1310</v>
      </c>
    </row>
    <row r="324" spans="1:3" x14ac:dyDescent="0.25">
      <c r="A324" s="417">
        <v>41538</v>
      </c>
      <c r="B324" s="418">
        <v>0.74702546296296291</v>
      </c>
      <c r="C324" s="421" t="s">
        <v>1238</v>
      </c>
    </row>
    <row r="325" spans="1:3" x14ac:dyDescent="0.25">
      <c r="A325" s="417">
        <v>41538</v>
      </c>
      <c r="B325" s="418">
        <v>0.74706018518518524</v>
      </c>
      <c r="C325" s="421" t="s">
        <v>1316</v>
      </c>
    </row>
    <row r="326" spans="1:3" x14ac:dyDescent="0.25">
      <c r="A326" s="417">
        <v>41538</v>
      </c>
      <c r="B326" s="418">
        <v>0.74706018518518524</v>
      </c>
      <c r="C326" s="421" t="s">
        <v>1316</v>
      </c>
    </row>
    <row r="327" spans="1:3" ht="75" x14ac:dyDescent="0.25">
      <c r="A327" s="417">
        <v>41538</v>
      </c>
      <c r="B327" s="418">
        <v>0.74716435185185182</v>
      </c>
      <c r="C327" s="946" t="s">
        <v>1333</v>
      </c>
    </row>
    <row r="328" spans="1:3" ht="75" x14ac:dyDescent="0.25">
      <c r="A328" s="417">
        <v>41538</v>
      </c>
      <c r="B328" s="418">
        <v>0.74744212962962964</v>
      </c>
      <c r="C328" s="946" t="s">
        <v>1333</v>
      </c>
    </row>
    <row r="329" spans="1:3" x14ac:dyDescent="0.25">
      <c r="A329" s="417">
        <v>41538</v>
      </c>
      <c r="B329" s="418">
        <v>0.74927083333333344</v>
      </c>
      <c r="C329" s="421" t="s">
        <v>1317</v>
      </c>
    </row>
    <row r="330" spans="1:3" x14ac:dyDescent="0.25">
      <c r="A330" s="417">
        <v>41538</v>
      </c>
      <c r="B330" s="418">
        <v>0.74927083333333344</v>
      </c>
      <c r="C330" s="421" t="s">
        <v>1309</v>
      </c>
    </row>
    <row r="331" spans="1:3" x14ac:dyDescent="0.25">
      <c r="A331" s="417">
        <v>41538</v>
      </c>
      <c r="B331" s="418">
        <v>0.74927083333333344</v>
      </c>
      <c r="C331" s="421" t="s">
        <v>1318</v>
      </c>
    </row>
    <row r="332" spans="1:3" ht="45" x14ac:dyDescent="0.25">
      <c r="A332" s="417">
        <v>41538</v>
      </c>
      <c r="B332" s="418">
        <v>0.75486111111111109</v>
      </c>
      <c r="C332" s="946" t="s">
        <v>1334</v>
      </c>
    </row>
    <row r="333" spans="1:3" ht="30" x14ac:dyDescent="0.25">
      <c r="A333" s="417">
        <v>41538</v>
      </c>
      <c r="B333" s="418">
        <v>0.75494212962962959</v>
      </c>
      <c r="C333" s="946" t="s">
        <v>1335</v>
      </c>
    </row>
    <row r="334" spans="1:3" ht="45" x14ac:dyDescent="0.25">
      <c r="A334" s="417">
        <v>41538</v>
      </c>
      <c r="B334" s="418">
        <v>0.75503472222222223</v>
      </c>
      <c r="C334" s="946" t="s">
        <v>1336</v>
      </c>
    </row>
    <row r="335" spans="1:3" ht="30" x14ac:dyDescent="0.25">
      <c r="A335" s="417">
        <v>41538</v>
      </c>
      <c r="B335" s="418">
        <v>0.75623842592592594</v>
      </c>
      <c r="C335" s="946" t="s">
        <v>1337</v>
      </c>
    </row>
    <row r="336" spans="1:3" ht="45" x14ac:dyDescent="0.25">
      <c r="A336" s="417">
        <v>41538</v>
      </c>
      <c r="B336" s="418">
        <v>0.75689814814814815</v>
      </c>
      <c r="C336" s="946" t="s">
        <v>1338</v>
      </c>
    </row>
    <row r="337" spans="1:3" ht="30" x14ac:dyDescent="0.25">
      <c r="A337" s="417">
        <v>41538</v>
      </c>
      <c r="B337" s="418">
        <v>0.75719907407407405</v>
      </c>
      <c r="C337" s="946" t="s">
        <v>1339</v>
      </c>
    </row>
    <row r="338" spans="1:3" x14ac:dyDescent="0.25">
      <c r="A338" s="417">
        <v>41538</v>
      </c>
      <c r="B338" s="418">
        <v>0.75844907407407414</v>
      </c>
      <c r="C338" s="421" t="s">
        <v>1238</v>
      </c>
    </row>
    <row r="339" spans="1:3" x14ac:dyDescent="0.25">
      <c r="A339" s="417">
        <v>41538</v>
      </c>
      <c r="B339" s="418">
        <v>0.75844907407407414</v>
      </c>
      <c r="C339" s="421" t="s">
        <v>1307</v>
      </c>
    </row>
    <row r="340" spans="1:3" x14ac:dyDescent="0.25">
      <c r="A340" s="417">
        <v>41538</v>
      </c>
      <c r="B340" s="418">
        <v>0.75844907407407414</v>
      </c>
      <c r="C340" s="421" t="s">
        <v>1308</v>
      </c>
    </row>
    <row r="341" spans="1:3" x14ac:dyDescent="0.25">
      <c r="A341" s="417">
        <v>41538</v>
      </c>
      <c r="B341" s="418">
        <v>0.75844907407407414</v>
      </c>
      <c r="C341" s="421" t="s">
        <v>1309</v>
      </c>
    </row>
    <row r="342" spans="1:3" x14ac:dyDescent="0.25">
      <c r="A342" s="417">
        <v>41538</v>
      </c>
      <c r="B342" s="418">
        <v>0.75844907407407414</v>
      </c>
      <c r="C342" s="421" t="s">
        <v>1310</v>
      </c>
    </row>
    <row r="343" spans="1:3" x14ac:dyDescent="0.25">
      <c r="A343" s="417">
        <v>41538</v>
      </c>
      <c r="B343" s="418">
        <v>0.75844907407407414</v>
      </c>
      <c r="C343" s="421" t="s">
        <v>1311</v>
      </c>
    </row>
    <row r="344" spans="1:3" x14ac:dyDescent="0.25">
      <c r="A344" s="417">
        <v>41538</v>
      </c>
      <c r="B344" s="418">
        <v>0.75844907407407414</v>
      </c>
      <c r="C344" s="421" t="s">
        <v>1312</v>
      </c>
    </row>
    <row r="345" spans="1:3" x14ac:dyDescent="0.25">
      <c r="A345" s="417">
        <v>41538</v>
      </c>
      <c r="B345" s="418">
        <v>0.75844907407407414</v>
      </c>
      <c r="C345" s="421" t="s">
        <v>1313</v>
      </c>
    </row>
    <row r="346" spans="1:3" x14ac:dyDescent="0.25">
      <c r="A346" s="417">
        <v>41538</v>
      </c>
      <c r="B346" s="418">
        <v>0.75844907407407414</v>
      </c>
      <c r="C346" s="421" t="s">
        <v>1310</v>
      </c>
    </row>
    <row r="347" spans="1:3" x14ac:dyDescent="0.25">
      <c r="A347" s="417">
        <v>41538</v>
      </c>
      <c r="B347" s="418">
        <v>0.75844907407407414</v>
      </c>
      <c r="C347" s="421" t="s">
        <v>1314</v>
      </c>
    </row>
    <row r="348" spans="1:3" x14ac:dyDescent="0.25">
      <c r="A348" s="417">
        <v>41538</v>
      </c>
      <c r="B348" s="418">
        <v>0.75844907407407414</v>
      </c>
      <c r="C348" s="421" t="s">
        <v>1315</v>
      </c>
    </row>
    <row r="349" spans="1:3" x14ac:dyDescent="0.25">
      <c r="A349" s="417">
        <v>41538</v>
      </c>
      <c r="B349" s="418">
        <v>0.75865740740740739</v>
      </c>
      <c r="C349" s="421" t="s">
        <v>1310</v>
      </c>
    </row>
    <row r="350" spans="1:3" x14ac:dyDescent="0.25">
      <c r="A350" s="417">
        <v>41538</v>
      </c>
      <c r="B350" s="418">
        <v>0.75865740740740739</v>
      </c>
      <c r="C350" s="421" t="s">
        <v>1238</v>
      </c>
    </row>
    <row r="351" spans="1:3" x14ac:dyDescent="0.25">
      <c r="A351" s="417">
        <v>41538</v>
      </c>
      <c r="B351" s="418">
        <v>0.75870370370370377</v>
      </c>
      <c r="C351" s="421" t="s">
        <v>1316</v>
      </c>
    </row>
    <row r="352" spans="1:3" x14ac:dyDescent="0.25">
      <c r="A352" s="417">
        <v>41538</v>
      </c>
      <c r="B352" s="418">
        <v>0.75870370370370377</v>
      </c>
      <c r="C352" s="421" t="s">
        <v>1316</v>
      </c>
    </row>
    <row r="353" spans="1:3" x14ac:dyDescent="0.25">
      <c r="A353" s="417">
        <v>41538</v>
      </c>
      <c r="B353" s="418">
        <v>0.75870370370370377</v>
      </c>
      <c r="C353" s="421" t="s">
        <v>1317</v>
      </c>
    </row>
    <row r="354" spans="1:3" x14ac:dyDescent="0.25">
      <c r="A354" s="417">
        <v>41538</v>
      </c>
      <c r="B354" s="418">
        <v>0.75870370370370377</v>
      </c>
      <c r="C354" s="421" t="s">
        <v>1309</v>
      </c>
    </row>
    <row r="355" spans="1:3" x14ac:dyDescent="0.25">
      <c r="A355" s="417">
        <v>41538</v>
      </c>
      <c r="B355" s="418">
        <v>0.75870370370370377</v>
      </c>
      <c r="C355" s="421" t="s">
        <v>1318</v>
      </c>
    </row>
    <row r="356" spans="1:3" x14ac:dyDescent="0.25">
      <c r="A356" s="417">
        <v>41538</v>
      </c>
      <c r="B356" s="418">
        <v>0.76473379629629623</v>
      </c>
      <c r="C356" s="421" t="s">
        <v>1238</v>
      </c>
    </row>
    <row r="357" spans="1:3" x14ac:dyDescent="0.25">
      <c r="A357" s="417">
        <v>41538</v>
      </c>
      <c r="B357" s="418">
        <v>0.76473379629629623</v>
      </c>
      <c r="C357" s="421" t="s">
        <v>1307</v>
      </c>
    </row>
    <row r="358" spans="1:3" x14ac:dyDescent="0.25">
      <c r="A358" s="417">
        <v>41538</v>
      </c>
      <c r="B358" s="418">
        <v>0.76473379629629623</v>
      </c>
      <c r="C358" s="421" t="s">
        <v>1308</v>
      </c>
    </row>
    <row r="359" spans="1:3" x14ac:dyDescent="0.25">
      <c r="A359" s="417">
        <v>41538</v>
      </c>
      <c r="B359" s="418">
        <v>0.76473379629629623</v>
      </c>
      <c r="C359" s="421" t="s">
        <v>1309</v>
      </c>
    </row>
    <row r="360" spans="1:3" x14ac:dyDescent="0.25">
      <c r="A360" s="417">
        <v>41538</v>
      </c>
      <c r="B360" s="418">
        <v>0.76473379629629623</v>
      </c>
      <c r="C360" s="421" t="s">
        <v>1310</v>
      </c>
    </row>
    <row r="361" spans="1:3" x14ac:dyDescent="0.25">
      <c r="A361" s="417">
        <v>41538</v>
      </c>
      <c r="B361" s="418">
        <v>0.76473379629629623</v>
      </c>
      <c r="C361" s="421" t="s">
        <v>1311</v>
      </c>
    </row>
    <row r="362" spans="1:3" x14ac:dyDescent="0.25">
      <c r="A362" s="417">
        <v>41538</v>
      </c>
      <c r="B362" s="418">
        <v>0.76473379629629623</v>
      </c>
      <c r="C362" s="421" t="s">
        <v>1312</v>
      </c>
    </row>
    <row r="363" spans="1:3" x14ac:dyDescent="0.25">
      <c r="A363" s="417">
        <v>41538</v>
      </c>
      <c r="B363" s="418">
        <v>0.76473379629629623</v>
      </c>
      <c r="C363" s="421" t="s">
        <v>1313</v>
      </c>
    </row>
    <row r="364" spans="1:3" x14ac:dyDescent="0.25">
      <c r="A364" s="417">
        <v>41538</v>
      </c>
      <c r="B364" s="418">
        <v>0.76473379629629623</v>
      </c>
      <c r="C364" s="421" t="s">
        <v>1310</v>
      </c>
    </row>
    <row r="365" spans="1:3" x14ac:dyDescent="0.25">
      <c r="A365" s="417">
        <v>41538</v>
      </c>
      <c r="B365" s="418">
        <v>0.76473379629629623</v>
      </c>
      <c r="C365" s="421" t="s">
        <v>1314</v>
      </c>
    </row>
    <row r="366" spans="1:3" x14ac:dyDescent="0.25">
      <c r="A366" s="417">
        <v>41538</v>
      </c>
      <c r="B366" s="418">
        <v>0.76473379629629623</v>
      </c>
      <c r="C366" s="421" t="s">
        <v>1315</v>
      </c>
    </row>
    <row r="367" spans="1:3" x14ac:dyDescent="0.25">
      <c r="A367" s="417">
        <v>41538</v>
      </c>
      <c r="B367" s="418">
        <v>0.76478009259259261</v>
      </c>
      <c r="C367" s="421" t="s">
        <v>1310</v>
      </c>
    </row>
    <row r="368" spans="1:3" x14ac:dyDescent="0.25">
      <c r="A368" s="417">
        <v>41538</v>
      </c>
      <c r="B368" s="418">
        <v>0.76478009259259261</v>
      </c>
      <c r="C368" s="421" t="s">
        <v>1238</v>
      </c>
    </row>
    <row r="369" spans="1:3" x14ac:dyDescent="0.25">
      <c r="A369" s="417">
        <v>41538</v>
      </c>
      <c r="B369" s="418">
        <v>0.76483796296296302</v>
      </c>
      <c r="C369" s="421" t="s">
        <v>1316</v>
      </c>
    </row>
    <row r="370" spans="1:3" x14ac:dyDescent="0.25">
      <c r="A370" s="417">
        <v>41538</v>
      </c>
      <c r="B370" s="418">
        <v>0.76483796296296302</v>
      </c>
      <c r="C370" s="421" t="s">
        <v>1316</v>
      </c>
    </row>
    <row r="371" spans="1:3" x14ac:dyDescent="0.25">
      <c r="A371" s="417">
        <v>41538</v>
      </c>
      <c r="B371" s="418">
        <v>0.76483796296296302</v>
      </c>
      <c r="C371" s="421" t="s">
        <v>1317</v>
      </c>
    </row>
    <row r="372" spans="1:3" x14ac:dyDescent="0.25">
      <c r="A372" s="417">
        <v>41538</v>
      </c>
      <c r="B372" s="418">
        <v>0.76483796296296302</v>
      </c>
      <c r="C372" s="421" t="s">
        <v>1309</v>
      </c>
    </row>
    <row r="373" spans="1:3" x14ac:dyDescent="0.25">
      <c r="A373" s="417">
        <v>41538</v>
      </c>
      <c r="B373" s="418">
        <v>0.76483796296296302</v>
      </c>
      <c r="C373" s="421" t="s">
        <v>1318</v>
      </c>
    </row>
    <row r="374" spans="1:3" ht="75" x14ac:dyDescent="0.25">
      <c r="A374" s="417">
        <v>41538</v>
      </c>
      <c r="B374" s="418">
        <v>0.76505787037037043</v>
      </c>
      <c r="C374" s="946" t="s">
        <v>1340</v>
      </c>
    </row>
    <row r="375" spans="1:3" x14ac:dyDescent="0.25">
      <c r="A375" s="417">
        <v>41538</v>
      </c>
      <c r="B375" s="418">
        <v>0.76513888888888892</v>
      </c>
      <c r="C375" s="421" t="s">
        <v>1319</v>
      </c>
    </row>
    <row r="376" spans="1:3" x14ac:dyDescent="0.25">
      <c r="A376" s="417">
        <v>41538</v>
      </c>
      <c r="B376" s="418">
        <v>0.76513888888888892</v>
      </c>
      <c r="C376" s="421" t="s">
        <v>1320</v>
      </c>
    </row>
    <row r="377" spans="1:3" x14ac:dyDescent="0.25">
      <c r="A377" s="417">
        <v>41538</v>
      </c>
      <c r="B377" s="418">
        <v>0.76513888888888892</v>
      </c>
      <c r="C377" s="421" t="s">
        <v>1318</v>
      </c>
    </row>
    <row r="378" spans="1:3" ht="75" x14ac:dyDescent="0.25">
      <c r="A378" s="417">
        <v>41538</v>
      </c>
      <c r="B378" s="418">
        <v>0.76520833333333327</v>
      </c>
      <c r="C378" s="946" t="s">
        <v>1340</v>
      </c>
    </row>
    <row r="379" spans="1:3" x14ac:dyDescent="0.25">
      <c r="A379" s="417">
        <v>41538</v>
      </c>
      <c r="B379" s="418">
        <v>0.76530092592592591</v>
      </c>
      <c r="C379" s="421" t="s">
        <v>1307</v>
      </c>
    </row>
    <row r="380" spans="1:3" x14ac:dyDescent="0.25">
      <c r="A380" s="417">
        <v>41538</v>
      </c>
      <c r="B380" s="418">
        <v>0.76530092592592591</v>
      </c>
      <c r="C380" s="421" t="s">
        <v>1321</v>
      </c>
    </row>
    <row r="381" spans="1:3" x14ac:dyDescent="0.25">
      <c r="A381" s="417">
        <v>41538</v>
      </c>
      <c r="B381" s="418">
        <v>0.76530092592592591</v>
      </c>
      <c r="C381" s="421" t="s">
        <v>1322</v>
      </c>
    </row>
    <row r="382" spans="1:3" x14ac:dyDescent="0.25">
      <c r="A382" s="417">
        <v>41538</v>
      </c>
      <c r="B382" s="418">
        <v>0.76530092592592591</v>
      </c>
      <c r="C382" s="421" t="s">
        <v>1322</v>
      </c>
    </row>
    <row r="383" spans="1:3" x14ac:dyDescent="0.25">
      <c r="A383" s="417">
        <v>41538</v>
      </c>
      <c r="B383" s="418">
        <v>0.76530092592592591</v>
      </c>
      <c r="C383" s="421" t="s">
        <v>1323</v>
      </c>
    </row>
    <row r="384" spans="1:3" x14ac:dyDescent="0.25">
      <c r="A384" s="417">
        <v>41538</v>
      </c>
      <c r="B384" s="418">
        <v>0.76530092592592591</v>
      </c>
      <c r="C384" s="421" t="s">
        <v>1324</v>
      </c>
    </row>
    <row r="385" spans="1:3" x14ac:dyDescent="0.25">
      <c r="A385" s="417">
        <v>41538</v>
      </c>
      <c r="B385" s="418">
        <v>0.76530092592592591</v>
      </c>
      <c r="C385" s="421" t="s">
        <v>1310</v>
      </c>
    </row>
    <row r="386" spans="1:3" x14ac:dyDescent="0.25">
      <c r="A386" s="417">
        <v>41538</v>
      </c>
      <c r="B386" s="418">
        <v>0.76530092592592591</v>
      </c>
      <c r="C386" s="421" t="s">
        <v>1325</v>
      </c>
    </row>
    <row r="387" spans="1:3" x14ac:dyDescent="0.25">
      <c r="A387" s="417">
        <v>41538</v>
      </c>
      <c r="B387" s="418">
        <v>0.76530092592592591</v>
      </c>
      <c r="C387" s="421" t="s">
        <v>1326</v>
      </c>
    </row>
    <row r="388" spans="1:3" x14ac:dyDescent="0.25">
      <c r="A388" s="417">
        <v>41538</v>
      </c>
      <c r="B388" s="418">
        <v>0.76530092592592591</v>
      </c>
      <c r="C388" s="421" t="s">
        <v>1327</v>
      </c>
    </row>
    <row r="389" spans="1:3" x14ac:dyDescent="0.25">
      <c r="A389" s="417">
        <v>41538</v>
      </c>
      <c r="B389" s="418">
        <v>0.7653240740740741</v>
      </c>
      <c r="C389" s="421" t="s">
        <v>1328</v>
      </c>
    </row>
    <row r="390" spans="1:3" ht="60" x14ac:dyDescent="0.25">
      <c r="A390" s="417">
        <v>41538</v>
      </c>
      <c r="B390" s="418">
        <v>0.7653240740740741</v>
      </c>
      <c r="C390" s="946" t="s">
        <v>1341</v>
      </c>
    </row>
    <row r="391" spans="1:3" x14ac:dyDescent="0.25">
      <c r="A391" s="417">
        <v>41538</v>
      </c>
      <c r="B391" s="418">
        <v>0.76576388888888891</v>
      </c>
      <c r="C391" s="421" t="s">
        <v>1323</v>
      </c>
    </row>
    <row r="392" spans="1:3" x14ac:dyDescent="0.25">
      <c r="A392" s="417">
        <v>41538</v>
      </c>
      <c r="B392" s="418">
        <v>0.76576388888888891</v>
      </c>
      <c r="C392" s="421" t="s">
        <v>1342</v>
      </c>
    </row>
    <row r="393" spans="1:3" x14ac:dyDescent="0.25">
      <c r="A393" s="417">
        <v>41538</v>
      </c>
      <c r="B393" s="418">
        <v>0.76576388888888891</v>
      </c>
      <c r="C393" s="421" t="s">
        <v>1343</v>
      </c>
    </row>
    <row r="394" spans="1:3" ht="75" x14ac:dyDescent="0.25">
      <c r="A394" s="417">
        <v>41538</v>
      </c>
      <c r="B394" s="418">
        <v>0.76989583333333333</v>
      </c>
      <c r="C394" s="946" t="s">
        <v>1340</v>
      </c>
    </row>
    <row r="395" spans="1:3" x14ac:dyDescent="0.25">
      <c r="A395" s="417">
        <v>41538</v>
      </c>
      <c r="B395" s="418">
        <v>0.76996527777777779</v>
      </c>
      <c r="C395" s="421" t="s">
        <v>1344</v>
      </c>
    </row>
    <row r="396" spans="1:3" x14ac:dyDescent="0.25">
      <c r="A396" s="417">
        <v>41538</v>
      </c>
      <c r="B396" s="418">
        <v>0.76996527777777779</v>
      </c>
      <c r="C396" s="421" t="s">
        <v>1344</v>
      </c>
    </row>
    <row r="397" spans="1:3" x14ac:dyDescent="0.25">
      <c r="A397" s="417">
        <v>41538</v>
      </c>
      <c r="B397" s="418">
        <v>0.76996527777777779</v>
      </c>
      <c r="C397" s="421" t="s">
        <v>1310</v>
      </c>
    </row>
    <row r="398" spans="1:3" x14ac:dyDescent="0.25">
      <c r="A398" s="417">
        <v>41538</v>
      </c>
      <c r="B398" s="418">
        <v>0.76996527777777779</v>
      </c>
      <c r="C398" s="421" t="s">
        <v>1345</v>
      </c>
    </row>
    <row r="399" spans="1:3" x14ac:dyDescent="0.25">
      <c r="A399" s="417">
        <v>41538</v>
      </c>
      <c r="B399" s="418">
        <v>0.76996527777777779</v>
      </c>
      <c r="C399" s="421" t="s">
        <v>1346</v>
      </c>
    </row>
    <row r="400" spans="1:3" x14ac:dyDescent="0.25">
      <c r="A400" s="417">
        <v>41538</v>
      </c>
      <c r="B400" s="418">
        <v>0.76996527777777779</v>
      </c>
      <c r="C400" s="421" t="s">
        <v>1347</v>
      </c>
    </row>
    <row r="401" spans="1:3" x14ac:dyDescent="0.25">
      <c r="A401" s="417">
        <v>41538</v>
      </c>
      <c r="B401" s="418">
        <v>0.76996527777777779</v>
      </c>
      <c r="C401" s="421" t="s">
        <v>1348</v>
      </c>
    </row>
    <row r="402" spans="1:3" x14ac:dyDescent="0.25">
      <c r="A402" s="417">
        <v>41538</v>
      </c>
      <c r="B402" s="418">
        <v>0.76996527777777779</v>
      </c>
      <c r="C402" s="421" t="s">
        <v>1349</v>
      </c>
    </row>
    <row r="403" spans="1:3" x14ac:dyDescent="0.25">
      <c r="A403" s="417">
        <v>41538</v>
      </c>
      <c r="B403" s="418">
        <v>0.76996527777777779</v>
      </c>
      <c r="C403" s="421" t="s">
        <v>1349</v>
      </c>
    </row>
    <row r="404" spans="1:3" x14ac:dyDescent="0.25">
      <c r="A404" s="417">
        <v>41538</v>
      </c>
      <c r="B404" s="418">
        <v>0.76996527777777779</v>
      </c>
      <c r="C404" s="421" t="s">
        <v>1348</v>
      </c>
    </row>
    <row r="405" spans="1:3" x14ac:dyDescent="0.25">
      <c r="A405" s="417">
        <v>41538</v>
      </c>
      <c r="B405" s="418">
        <v>0.76996527777777779</v>
      </c>
      <c r="C405" s="421" t="s">
        <v>1350</v>
      </c>
    </row>
    <row r="406" spans="1:3" x14ac:dyDescent="0.25">
      <c r="A406" s="417">
        <v>41538</v>
      </c>
      <c r="B406" s="418">
        <v>0.76996527777777779</v>
      </c>
      <c r="C406" s="421" t="s">
        <v>1351</v>
      </c>
    </row>
    <row r="407" spans="1:3" x14ac:dyDescent="0.25">
      <c r="A407" s="417">
        <v>41538</v>
      </c>
      <c r="B407" s="418">
        <v>0.76996527777777779</v>
      </c>
      <c r="C407" s="421" t="s">
        <v>1352</v>
      </c>
    </row>
    <row r="408" spans="1:3" x14ac:dyDescent="0.25">
      <c r="A408" s="417">
        <v>41538</v>
      </c>
      <c r="B408" s="418">
        <v>0.76998842592592587</v>
      </c>
      <c r="C408" s="421" t="s">
        <v>1287</v>
      </c>
    </row>
    <row r="409" spans="1:3" ht="60" x14ac:dyDescent="0.25">
      <c r="A409" s="417">
        <v>41538</v>
      </c>
      <c r="B409" s="418">
        <v>0.76998842592592587</v>
      </c>
      <c r="C409" s="946" t="s">
        <v>1288</v>
      </c>
    </row>
    <row r="410" spans="1:3" ht="75" x14ac:dyDescent="0.25">
      <c r="A410" s="417">
        <v>41538</v>
      </c>
      <c r="B410" s="418">
        <v>0.77016203703703701</v>
      </c>
      <c r="C410" s="946" t="s">
        <v>1340</v>
      </c>
    </row>
    <row r="411" spans="1:3" x14ac:dyDescent="0.25">
      <c r="A411" s="417">
        <v>41538</v>
      </c>
      <c r="B411" s="418">
        <v>0.77021990740740742</v>
      </c>
      <c r="C411" s="421" t="s">
        <v>1353</v>
      </c>
    </row>
    <row r="412" spans="1:3" ht="75" x14ac:dyDescent="0.25">
      <c r="A412" s="417">
        <v>41538</v>
      </c>
      <c r="B412" s="418">
        <v>0.77030092592592592</v>
      </c>
      <c r="C412" s="946" t="s">
        <v>1340</v>
      </c>
    </row>
    <row r="413" spans="1:3" x14ac:dyDescent="0.25">
      <c r="A413" s="417">
        <v>41538</v>
      </c>
      <c r="B413" s="418">
        <v>0.77032407407407411</v>
      </c>
      <c r="C413" s="421" t="s">
        <v>1354</v>
      </c>
    </row>
    <row r="414" spans="1:3" x14ac:dyDescent="0.25">
      <c r="A414" s="417">
        <v>41538</v>
      </c>
      <c r="B414" s="418">
        <v>0.77032407407407411</v>
      </c>
      <c r="C414" s="421" t="s">
        <v>1355</v>
      </c>
    </row>
    <row r="415" spans="1:3" ht="75" x14ac:dyDescent="0.25">
      <c r="A415" s="417">
        <v>41538</v>
      </c>
      <c r="B415" s="418">
        <v>0.77035879629629633</v>
      </c>
      <c r="C415" s="946" t="s">
        <v>1356</v>
      </c>
    </row>
    <row r="416" spans="1:3" x14ac:dyDescent="0.25">
      <c r="A416" s="417">
        <v>41538</v>
      </c>
      <c r="B416" s="418">
        <v>0.77111111111111119</v>
      </c>
      <c r="C416" s="421" t="s">
        <v>1357</v>
      </c>
    </row>
    <row r="417" spans="1:3" x14ac:dyDescent="0.25">
      <c r="A417" s="417">
        <v>41538</v>
      </c>
      <c r="B417" s="418">
        <v>0.77111111111111119</v>
      </c>
      <c r="C417" s="421" t="s">
        <v>1358</v>
      </c>
    </row>
    <row r="418" spans="1:3" ht="75" x14ac:dyDescent="0.25">
      <c r="A418" s="417">
        <v>41538</v>
      </c>
      <c r="B418" s="418">
        <v>0.77119212962962969</v>
      </c>
      <c r="C418" s="946" t="s">
        <v>1340</v>
      </c>
    </row>
    <row r="419" spans="1:3" x14ac:dyDescent="0.25">
      <c r="A419" s="417">
        <v>41538</v>
      </c>
      <c r="B419" s="418">
        <v>0.7712268518518518</v>
      </c>
      <c r="C419" s="421" t="s">
        <v>1359</v>
      </c>
    </row>
    <row r="420" spans="1:3" ht="75" x14ac:dyDescent="0.25">
      <c r="A420" s="417">
        <v>41538</v>
      </c>
      <c r="B420" s="418">
        <v>0.77129629629629637</v>
      </c>
      <c r="C420" s="946" t="s">
        <v>1340</v>
      </c>
    </row>
    <row r="421" spans="1:3" x14ac:dyDescent="0.25">
      <c r="A421" s="417">
        <v>41538</v>
      </c>
      <c r="B421" s="418">
        <v>0.7713310185185186</v>
      </c>
      <c r="C421" s="421" t="s">
        <v>1360</v>
      </c>
    </row>
    <row r="422" spans="1:3" x14ac:dyDescent="0.25">
      <c r="A422" s="417">
        <v>41538</v>
      </c>
      <c r="B422" s="418">
        <v>0.7713310185185186</v>
      </c>
      <c r="C422" s="421" t="s">
        <v>1361</v>
      </c>
    </row>
    <row r="423" spans="1:3" x14ac:dyDescent="0.25">
      <c r="A423" s="417">
        <v>41538</v>
      </c>
      <c r="B423" s="418">
        <v>0.7713310185185186</v>
      </c>
      <c r="C423" s="421" t="s">
        <v>1317</v>
      </c>
    </row>
    <row r="424" spans="1:3" ht="75" x14ac:dyDescent="0.25">
      <c r="A424" s="417">
        <v>41538</v>
      </c>
      <c r="B424" s="418">
        <v>0.77141203703703709</v>
      </c>
      <c r="C424" s="946" t="s">
        <v>1340</v>
      </c>
    </row>
    <row r="425" spans="1:3" x14ac:dyDescent="0.25">
      <c r="A425" s="417">
        <v>41538</v>
      </c>
      <c r="B425" s="418">
        <v>0.77231481481481479</v>
      </c>
      <c r="C425" s="421" t="s">
        <v>1362</v>
      </c>
    </row>
    <row r="426" spans="1:3" x14ac:dyDescent="0.25">
      <c r="A426" s="417">
        <v>41538</v>
      </c>
      <c r="B426" s="418">
        <v>0.77231481481481479</v>
      </c>
      <c r="C426" s="421" t="s">
        <v>1355</v>
      </c>
    </row>
    <row r="427" spans="1:3" x14ac:dyDescent="0.25">
      <c r="A427" s="417">
        <v>41538</v>
      </c>
      <c r="B427" s="418">
        <v>0.77231481481481479</v>
      </c>
      <c r="C427" s="421" t="s">
        <v>1363</v>
      </c>
    </row>
    <row r="428" spans="1:3" x14ac:dyDescent="0.25">
      <c r="A428" s="417">
        <v>41538</v>
      </c>
      <c r="B428" s="418">
        <v>0.77231481481481479</v>
      </c>
      <c r="C428" s="421" t="s">
        <v>1364</v>
      </c>
    </row>
    <row r="429" spans="1:3" x14ac:dyDescent="0.25">
      <c r="A429" s="417">
        <v>41538</v>
      </c>
      <c r="B429" s="418">
        <v>0.77232638888888883</v>
      </c>
      <c r="C429" s="421" t="s">
        <v>1365</v>
      </c>
    </row>
    <row r="430" spans="1:3" x14ac:dyDescent="0.25">
      <c r="A430" s="417">
        <v>41538</v>
      </c>
      <c r="B430" s="418">
        <v>0.77232638888888883</v>
      </c>
      <c r="C430" s="421" t="s">
        <v>1365</v>
      </c>
    </row>
    <row r="431" spans="1:3" x14ac:dyDescent="0.25">
      <c r="A431" s="417">
        <v>41538</v>
      </c>
      <c r="B431" s="418">
        <v>0.77232638888888883</v>
      </c>
      <c r="C431" s="421" t="s">
        <v>1366</v>
      </c>
    </row>
    <row r="432" spans="1:3" x14ac:dyDescent="0.25">
      <c r="A432" s="417">
        <v>41538</v>
      </c>
      <c r="B432" s="418">
        <v>0.77232638888888883</v>
      </c>
      <c r="C432" s="421" t="s">
        <v>1320</v>
      </c>
    </row>
    <row r="433" spans="1:3" x14ac:dyDescent="0.25">
      <c r="A433" s="417">
        <v>41538</v>
      </c>
      <c r="B433" s="418">
        <v>0.77232638888888883</v>
      </c>
      <c r="C433" s="421" t="s">
        <v>1367</v>
      </c>
    </row>
    <row r="434" spans="1:3" x14ac:dyDescent="0.25">
      <c r="A434" s="417">
        <v>41538</v>
      </c>
      <c r="B434" s="418">
        <v>0.77232638888888883</v>
      </c>
      <c r="C434" s="421" t="s">
        <v>1344</v>
      </c>
    </row>
    <row r="435" spans="1:3" x14ac:dyDescent="0.25">
      <c r="A435" s="417">
        <v>41538</v>
      </c>
      <c r="B435" s="418">
        <v>0.77232638888888883</v>
      </c>
      <c r="C435" s="421" t="s">
        <v>1368</v>
      </c>
    </row>
    <row r="436" spans="1:3" x14ac:dyDescent="0.25">
      <c r="A436" s="417">
        <v>41538</v>
      </c>
      <c r="B436" s="418">
        <v>0.77232638888888883</v>
      </c>
      <c r="C436" s="421" t="s">
        <v>1369</v>
      </c>
    </row>
    <row r="437" spans="1:3" x14ac:dyDescent="0.25">
      <c r="A437" s="417">
        <v>41538</v>
      </c>
      <c r="B437" s="418">
        <v>0.77233796296296298</v>
      </c>
      <c r="C437" s="421" t="s">
        <v>1307</v>
      </c>
    </row>
    <row r="438" spans="1:3" x14ac:dyDescent="0.25">
      <c r="A438" s="417">
        <v>41538</v>
      </c>
      <c r="B438" s="418">
        <v>0.77233796296296298</v>
      </c>
      <c r="C438" s="421" t="s">
        <v>1370</v>
      </c>
    </row>
    <row r="439" spans="1:3" x14ac:dyDescent="0.25">
      <c r="A439" s="417">
        <v>41538</v>
      </c>
      <c r="B439" s="418">
        <v>0.77233796296296298</v>
      </c>
      <c r="C439" s="421" t="s">
        <v>1371</v>
      </c>
    </row>
    <row r="440" spans="1:3" x14ac:dyDescent="0.25">
      <c r="A440" s="417">
        <v>41538</v>
      </c>
      <c r="B440" s="418">
        <v>0.77233796296296298</v>
      </c>
      <c r="C440" s="421" t="s">
        <v>1344</v>
      </c>
    </row>
    <row r="441" spans="1:3" x14ac:dyDescent="0.25">
      <c r="A441" s="417">
        <v>41538</v>
      </c>
      <c r="B441" s="418">
        <v>0.77233796296296298</v>
      </c>
      <c r="C441" s="421" t="s">
        <v>1317</v>
      </c>
    </row>
    <row r="442" spans="1:3" x14ac:dyDescent="0.25">
      <c r="A442" s="417">
        <v>41538</v>
      </c>
      <c r="B442" s="418">
        <v>0.77233796296296298</v>
      </c>
      <c r="C442" s="421" t="s">
        <v>1372</v>
      </c>
    </row>
    <row r="443" spans="1:3" x14ac:dyDescent="0.25">
      <c r="A443" s="417">
        <v>41538</v>
      </c>
      <c r="B443" s="418">
        <v>0.77252314814814815</v>
      </c>
      <c r="C443" s="421" t="s">
        <v>1373</v>
      </c>
    </row>
    <row r="444" spans="1:3" x14ac:dyDescent="0.25">
      <c r="A444" s="417">
        <v>41538</v>
      </c>
      <c r="B444" s="418">
        <v>0.77252314814814815</v>
      </c>
      <c r="C444" s="421" t="s">
        <v>1360</v>
      </c>
    </row>
    <row r="445" spans="1:3" x14ac:dyDescent="0.25">
      <c r="A445" s="417">
        <v>41538</v>
      </c>
      <c r="B445" s="418">
        <v>0.77254629629629623</v>
      </c>
      <c r="C445" s="421" t="s">
        <v>1308</v>
      </c>
    </row>
    <row r="446" spans="1:3" x14ac:dyDescent="0.25">
      <c r="A446" s="417">
        <v>41538</v>
      </c>
      <c r="B446" s="418">
        <v>0.77254629629629623</v>
      </c>
      <c r="C446" s="421" t="s">
        <v>1374</v>
      </c>
    </row>
    <row r="447" spans="1:3" x14ac:dyDescent="0.25">
      <c r="A447" s="417">
        <v>41538</v>
      </c>
      <c r="B447" s="418">
        <v>0.77254629629629623</v>
      </c>
      <c r="C447" s="421" t="s">
        <v>1375</v>
      </c>
    </row>
    <row r="448" spans="1:3" x14ac:dyDescent="0.25">
      <c r="A448" s="417">
        <v>41538</v>
      </c>
      <c r="B448" s="418">
        <v>0.77254629629629623</v>
      </c>
      <c r="C448" s="421" t="s">
        <v>1376</v>
      </c>
    </row>
    <row r="449" spans="1:3" x14ac:dyDescent="0.25">
      <c r="A449" s="417">
        <v>41538</v>
      </c>
      <c r="B449" s="418">
        <v>0.77254629629629623</v>
      </c>
      <c r="C449" s="421" t="s">
        <v>1377</v>
      </c>
    </row>
    <row r="450" spans="1:3" x14ac:dyDescent="0.25">
      <c r="A450" s="417">
        <v>41538</v>
      </c>
      <c r="B450" s="418">
        <v>0.77254629629629623</v>
      </c>
      <c r="C450" s="421" t="s">
        <v>1326</v>
      </c>
    </row>
    <row r="451" spans="1:3" x14ac:dyDescent="0.25">
      <c r="A451" s="417">
        <v>41538</v>
      </c>
      <c r="B451" s="418">
        <v>0.77255787037037038</v>
      </c>
      <c r="C451" s="421" t="s">
        <v>1378</v>
      </c>
    </row>
    <row r="452" spans="1:3" ht="60" x14ac:dyDescent="0.25">
      <c r="A452" s="417">
        <v>41538</v>
      </c>
      <c r="B452" s="418">
        <v>0.77255787037037038</v>
      </c>
      <c r="C452" s="946" t="s">
        <v>1379</v>
      </c>
    </row>
    <row r="453" spans="1:3" x14ac:dyDescent="0.25">
      <c r="A453" s="417">
        <v>41538</v>
      </c>
      <c r="B453" s="418">
        <v>0.77258101851851846</v>
      </c>
      <c r="C453" s="421" t="s">
        <v>1380</v>
      </c>
    </row>
    <row r="454" spans="1:3" x14ac:dyDescent="0.25">
      <c r="A454" s="417">
        <v>41538</v>
      </c>
      <c r="B454" s="418">
        <v>0.77258101851851846</v>
      </c>
      <c r="C454" s="421" t="s">
        <v>1381</v>
      </c>
    </row>
    <row r="455" spans="1:3" x14ac:dyDescent="0.25">
      <c r="A455" s="417">
        <v>41538</v>
      </c>
      <c r="B455" s="418">
        <v>0.77258101851851846</v>
      </c>
      <c r="C455" s="421" t="s">
        <v>1382</v>
      </c>
    </row>
    <row r="456" spans="1:3" x14ac:dyDescent="0.25">
      <c r="A456" s="417">
        <v>41538</v>
      </c>
      <c r="B456" s="418">
        <v>0.77258101851851846</v>
      </c>
      <c r="C456" s="421" t="s">
        <v>1383</v>
      </c>
    </row>
    <row r="457" spans="1:3" x14ac:dyDescent="0.25">
      <c r="A457" s="417">
        <v>41538</v>
      </c>
      <c r="B457" s="418">
        <v>0.77258101851851846</v>
      </c>
      <c r="C457" s="421" t="s">
        <v>1352</v>
      </c>
    </row>
    <row r="458" spans="1:3" x14ac:dyDescent="0.25">
      <c r="A458" s="417">
        <v>41538</v>
      </c>
      <c r="B458" s="418">
        <v>0.77258101851851846</v>
      </c>
      <c r="C458" s="421" t="s">
        <v>1384</v>
      </c>
    </row>
    <row r="459" spans="1:3" x14ac:dyDescent="0.25">
      <c r="A459" s="417">
        <v>41538</v>
      </c>
      <c r="B459" s="418">
        <v>0.77258101851851846</v>
      </c>
      <c r="C459" s="421" t="s">
        <v>1385</v>
      </c>
    </row>
    <row r="460" spans="1:3" x14ac:dyDescent="0.25">
      <c r="A460" s="417">
        <v>41538</v>
      </c>
      <c r="B460" s="418">
        <v>0.77258101851851846</v>
      </c>
      <c r="C460" s="421" t="s">
        <v>1385</v>
      </c>
    </row>
    <row r="461" spans="1:3" x14ac:dyDescent="0.25">
      <c r="A461" s="417">
        <v>41538</v>
      </c>
      <c r="B461" s="418">
        <v>0.77258101851851846</v>
      </c>
      <c r="C461" s="421" t="s">
        <v>1386</v>
      </c>
    </row>
    <row r="462" spans="1:3" x14ac:dyDescent="0.25">
      <c r="A462" s="417">
        <v>41538</v>
      </c>
      <c r="B462" s="418">
        <v>0.77258101851851846</v>
      </c>
      <c r="C462" s="421" t="s">
        <v>1387</v>
      </c>
    </row>
    <row r="463" spans="1:3" x14ac:dyDescent="0.25">
      <c r="A463" s="417">
        <v>41538</v>
      </c>
      <c r="B463" s="418">
        <v>0.77258101851851846</v>
      </c>
      <c r="C463" s="421" t="s">
        <v>1387</v>
      </c>
    </row>
    <row r="464" spans="1:3" x14ac:dyDescent="0.25">
      <c r="A464" s="417">
        <v>41538</v>
      </c>
      <c r="B464" s="418">
        <v>0.77258101851851846</v>
      </c>
      <c r="C464" s="421" t="s">
        <v>1318</v>
      </c>
    </row>
    <row r="465" spans="1:3" x14ac:dyDescent="0.25">
      <c r="A465" s="417">
        <v>41538</v>
      </c>
      <c r="B465" s="418">
        <v>0.77258101851851846</v>
      </c>
      <c r="C465" s="421" t="s">
        <v>1388</v>
      </c>
    </row>
    <row r="466" spans="1:3" x14ac:dyDescent="0.25">
      <c r="A466" s="417">
        <v>41538</v>
      </c>
      <c r="B466" s="418">
        <v>0.77258101851851846</v>
      </c>
      <c r="C466" s="421" t="s">
        <v>1389</v>
      </c>
    </row>
    <row r="467" spans="1:3" x14ac:dyDescent="0.25">
      <c r="A467" s="417">
        <v>41538</v>
      </c>
      <c r="B467" s="418">
        <v>0.7726157407407408</v>
      </c>
      <c r="C467" s="421" t="s">
        <v>1390</v>
      </c>
    </row>
    <row r="468" spans="1:3" x14ac:dyDescent="0.25">
      <c r="A468" s="417">
        <v>41538</v>
      </c>
      <c r="B468" s="418">
        <v>0.7726157407407408</v>
      </c>
      <c r="C468" s="421" t="s">
        <v>1391</v>
      </c>
    </row>
    <row r="469" spans="1:3" x14ac:dyDescent="0.25">
      <c r="A469" s="417">
        <v>41538</v>
      </c>
      <c r="B469" s="418">
        <v>0.7726157407407408</v>
      </c>
      <c r="C469" s="421" t="s">
        <v>1392</v>
      </c>
    </row>
    <row r="470" spans="1:3" x14ac:dyDescent="0.25">
      <c r="A470" s="417">
        <v>41538</v>
      </c>
      <c r="B470" s="418">
        <v>0.77262731481481473</v>
      </c>
      <c r="C470" s="421" t="s">
        <v>1294</v>
      </c>
    </row>
    <row r="471" spans="1:3" ht="60" x14ac:dyDescent="0.25">
      <c r="A471" s="417">
        <v>41538</v>
      </c>
      <c r="B471" s="418">
        <v>0.77262731481481473</v>
      </c>
      <c r="C471" s="946" t="s">
        <v>1295</v>
      </c>
    </row>
    <row r="472" spans="1:3" x14ac:dyDescent="0.25">
      <c r="A472" s="417">
        <v>41538</v>
      </c>
      <c r="B472" s="418">
        <v>0.77265046296296302</v>
      </c>
      <c r="C472" s="421" t="s">
        <v>1393</v>
      </c>
    </row>
    <row r="473" spans="1:3" x14ac:dyDescent="0.25">
      <c r="A473" s="417">
        <v>41538</v>
      </c>
      <c r="B473" s="418">
        <v>0.77270833333333344</v>
      </c>
      <c r="C473" s="421" t="s">
        <v>1394</v>
      </c>
    </row>
    <row r="474" spans="1:3" x14ac:dyDescent="0.25">
      <c r="A474" s="417">
        <v>41538</v>
      </c>
      <c r="B474" s="418">
        <v>0.77270833333333344</v>
      </c>
      <c r="C474" s="421" t="s">
        <v>1392</v>
      </c>
    </row>
    <row r="475" spans="1:3" x14ac:dyDescent="0.25">
      <c r="A475" s="417">
        <v>41538</v>
      </c>
      <c r="B475" s="418">
        <v>0.77270833333333344</v>
      </c>
      <c r="C475" s="421" t="s">
        <v>1395</v>
      </c>
    </row>
    <row r="476" spans="1:3" x14ac:dyDescent="0.25">
      <c r="A476" s="417">
        <v>41538</v>
      </c>
      <c r="B476" s="418">
        <v>0.77270833333333344</v>
      </c>
      <c r="C476" s="421" t="s">
        <v>1396</v>
      </c>
    </row>
    <row r="477" spans="1:3" x14ac:dyDescent="0.25">
      <c r="A477" s="417">
        <v>41538</v>
      </c>
      <c r="B477" s="418">
        <v>0.77270833333333344</v>
      </c>
      <c r="C477" s="421" t="s">
        <v>1363</v>
      </c>
    </row>
    <row r="478" spans="1:3" x14ac:dyDescent="0.25">
      <c r="A478" s="417">
        <v>41538</v>
      </c>
      <c r="B478" s="418">
        <v>0.77273148148148152</v>
      </c>
      <c r="C478" s="421" t="s">
        <v>1362</v>
      </c>
    </row>
    <row r="479" spans="1:3" x14ac:dyDescent="0.25">
      <c r="A479" s="417">
        <v>41538</v>
      </c>
      <c r="B479" s="418">
        <v>0.77273148148148152</v>
      </c>
      <c r="C479" s="421" t="s">
        <v>1397</v>
      </c>
    </row>
    <row r="480" spans="1:3" x14ac:dyDescent="0.25">
      <c r="A480" s="417">
        <v>41538</v>
      </c>
      <c r="B480" s="418">
        <v>0.77273148148148152</v>
      </c>
      <c r="C480" s="421" t="s">
        <v>1381</v>
      </c>
    </row>
    <row r="481" spans="1:3" x14ac:dyDescent="0.25">
      <c r="A481" s="417">
        <v>41538</v>
      </c>
      <c r="B481" s="418">
        <v>0.77273148148148152</v>
      </c>
      <c r="C481" s="421" t="s">
        <v>1398</v>
      </c>
    </row>
    <row r="482" spans="1:3" x14ac:dyDescent="0.25">
      <c r="A482" s="417">
        <v>41538</v>
      </c>
      <c r="B482" s="418">
        <v>0.77273148148148152</v>
      </c>
      <c r="C482" s="421" t="s">
        <v>1399</v>
      </c>
    </row>
    <row r="483" spans="1:3" x14ac:dyDescent="0.25">
      <c r="A483" s="417">
        <v>41538</v>
      </c>
      <c r="B483" s="418">
        <v>0.77273148148148152</v>
      </c>
      <c r="C483" s="421" t="s">
        <v>1400</v>
      </c>
    </row>
    <row r="484" spans="1:3" x14ac:dyDescent="0.25">
      <c r="A484" s="417">
        <v>41538</v>
      </c>
      <c r="B484" s="418">
        <v>0.77273148148148152</v>
      </c>
      <c r="C484" s="421" t="s">
        <v>1400</v>
      </c>
    </row>
    <row r="485" spans="1:3" x14ac:dyDescent="0.25">
      <c r="A485" s="417">
        <v>41538</v>
      </c>
      <c r="B485" s="418">
        <v>0.77273148148148152</v>
      </c>
      <c r="C485" s="421" t="s">
        <v>1373</v>
      </c>
    </row>
    <row r="486" spans="1:3" x14ac:dyDescent="0.25">
      <c r="A486" s="417">
        <v>41538</v>
      </c>
      <c r="B486" s="418">
        <v>0.77273148148148152</v>
      </c>
      <c r="C486" s="421" t="s">
        <v>1353</v>
      </c>
    </row>
    <row r="487" spans="1:3" x14ac:dyDescent="0.25">
      <c r="A487" s="417">
        <v>41538</v>
      </c>
      <c r="B487" s="418">
        <v>0.77273148148148152</v>
      </c>
      <c r="C487" s="421" t="s">
        <v>1353</v>
      </c>
    </row>
    <row r="488" spans="1:3" x14ac:dyDescent="0.25">
      <c r="A488" s="417">
        <v>41538</v>
      </c>
      <c r="B488" s="418">
        <v>0.77273148148148152</v>
      </c>
      <c r="C488" s="421" t="s">
        <v>1401</v>
      </c>
    </row>
    <row r="489" spans="1:3" x14ac:dyDescent="0.25">
      <c r="A489" s="417">
        <v>41538</v>
      </c>
      <c r="B489" s="418">
        <v>0.77273148148148152</v>
      </c>
      <c r="C489" s="421" t="s">
        <v>1402</v>
      </c>
    </row>
    <row r="490" spans="1:3" x14ac:dyDescent="0.25">
      <c r="A490" s="417">
        <v>41538</v>
      </c>
      <c r="B490" s="418">
        <v>0.77274305555555556</v>
      </c>
      <c r="C490" s="421" t="s">
        <v>1392</v>
      </c>
    </row>
    <row r="491" spans="1:3" x14ac:dyDescent="0.25">
      <c r="A491" s="417">
        <v>41538</v>
      </c>
      <c r="B491" s="418">
        <v>0.77274305555555556</v>
      </c>
      <c r="C491" s="421" t="s">
        <v>1403</v>
      </c>
    </row>
    <row r="492" spans="1:3" x14ac:dyDescent="0.25">
      <c r="A492" s="417">
        <v>41538</v>
      </c>
      <c r="B492" s="418">
        <v>0.77274305555555556</v>
      </c>
      <c r="C492" s="421" t="s">
        <v>1403</v>
      </c>
    </row>
    <row r="493" spans="1:3" x14ac:dyDescent="0.25">
      <c r="A493" s="417">
        <v>41538</v>
      </c>
      <c r="B493" s="418">
        <v>0.77274305555555556</v>
      </c>
      <c r="C493" s="421" t="s">
        <v>1403</v>
      </c>
    </row>
    <row r="494" spans="1:3" x14ac:dyDescent="0.25">
      <c r="A494" s="417">
        <v>41538</v>
      </c>
      <c r="B494" s="418">
        <v>0.77274305555555556</v>
      </c>
      <c r="C494" s="421" t="s">
        <v>1362</v>
      </c>
    </row>
    <row r="495" spans="1:3" x14ac:dyDescent="0.25">
      <c r="A495" s="417">
        <v>41538</v>
      </c>
      <c r="B495" s="418">
        <v>0.77274305555555556</v>
      </c>
      <c r="C495" s="421" t="s">
        <v>1364</v>
      </c>
    </row>
    <row r="496" spans="1:3" x14ac:dyDescent="0.25">
      <c r="A496" s="417">
        <v>41538</v>
      </c>
      <c r="B496" s="418">
        <v>0.77274305555555556</v>
      </c>
      <c r="C496" s="421" t="s">
        <v>1364</v>
      </c>
    </row>
    <row r="497" spans="1:3" x14ac:dyDescent="0.25">
      <c r="A497" s="417">
        <v>41538</v>
      </c>
      <c r="B497" s="418">
        <v>0.77274305555555556</v>
      </c>
      <c r="C497" s="421" t="s">
        <v>1381</v>
      </c>
    </row>
    <row r="498" spans="1:3" x14ac:dyDescent="0.25">
      <c r="A498" s="417">
        <v>41538</v>
      </c>
      <c r="B498" s="418">
        <v>0.77274305555555556</v>
      </c>
      <c r="C498" s="421" t="s">
        <v>1364</v>
      </c>
    </row>
    <row r="499" spans="1:3" x14ac:dyDescent="0.25">
      <c r="A499" s="417">
        <v>41538</v>
      </c>
      <c r="B499" s="418">
        <v>0.77274305555555556</v>
      </c>
      <c r="C499" s="421" t="s">
        <v>1404</v>
      </c>
    </row>
    <row r="500" spans="1:3" x14ac:dyDescent="0.25">
      <c r="A500" s="417">
        <v>41538</v>
      </c>
      <c r="B500" s="418">
        <v>0.77274305555555556</v>
      </c>
      <c r="C500" s="421" t="s">
        <v>1346</v>
      </c>
    </row>
    <row r="501" spans="1:3" x14ac:dyDescent="0.25">
      <c r="A501" s="417">
        <v>41538</v>
      </c>
      <c r="B501" s="418">
        <v>0.77274305555555556</v>
      </c>
      <c r="C501" s="421" t="s">
        <v>1405</v>
      </c>
    </row>
    <row r="502" spans="1:3" x14ac:dyDescent="0.25">
      <c r="A502" s="417">
        <v>41538</v>
      </c>
      <c r="B502" s="418">
        <v>0.77274305555555556</v>
      </c>
      <c r="C502" s="421" t="s">
        <v>1406</v>
      </c>
    </row>
    <row r="503" spans="1:3" x14ac:dyDescent="0.25">
      <c r="A503" s="417">
        <v>41538</v>
      </c>
      <c r="B503" s="418">
        <v>0.77274305555555556</v>
      </c>
      <c r="C503" s="421" t="s">
        <v>1407</v>
      </c>
    </row>
    <row r="504" spans="1:3" x14ac:dyDescent="0.25">
      <c r="A504" s="417">
        <v>41538</v>
      </c>
      <c r="B504" s="418">
        <v>0.7727546296296296</v>
      </c>
      <c r="C504" s="421" t="s">
        <v>1362</v>
      </c>
    </row>
    <row r="505" spans="1:3" x14ac:dyDescent="0.25">
      <c r="A505" s="417">
        <v>41538</v>
      </c>
      <c r="B505" s="418">
        <v>0.7727546296296296</v>
      </c>
      <c r="C505" s="421" t="s">
        <v>1408</v>
      </c>
    </row>
    <row r="506" spans="1:3" x14ac:dyDescent="0.25">
      <c r="A506" s="417">
        <v>41538</v>
      </c>
      <c r="B506" s="418">
        <v>0.7727546296296296</v>
      </c>
      <c r="C506" s="421" t="s">
        <v>1318</v>
      </c>
    </row>
    <row r="507" spans="1:3" x14ac:dyDescent="0.25">
      <c r="A507" s="417">
        <v>41538</v>
      </c>
      <c r="B507" s="418">
        <v>0.7727546296296296</v>
      </c>
      <c r="C507" s="421" t="s">
        <v>1368</v>
      </c>
    </row>
    <row r="508" spans="1:3" x14ac:dyDescent="0.25">
      <c r="A508" s="417">
        <v>41538</v>
      </c>
      <c r="B508" s="418">
        <v>0.7727546296296296</v>
      </c>
      <c r="C508" s="421" t="s">
        <v>1368</v>
      </c>
    </row>
    <row r="509" spans="1:3" x14ac:dyDescent="0.25">
      <c r="A509" s="417">
        <v>41538</v>
      </c>
      <c r="B509" s="418">
        <v>0.7727546296296296</v>
      </c>
      <c r="C509" s="421" t="s">
        <v>1368</v>
      </c>
    </row>
    <row r="510" spans="1:3" x14ac:dyDescent="0.25">
      <c r="A510" s="417">
        <v>41538</v>
      </c>
      <c r="B510" s="418">
        <v>0.7727546296296296</v>
      </c>
      <c r="C510" s="421" t="s">
        <v>1368</v>
      </c>
    </row>
    <row r="511" spans="1:3" x14ac:dyDescent="0.25">
      <c r="A511" s="417">
        <v>41538</v>
      </c>
      <c r="B511" s="418">
        <v>0.7727546296296296</v>
      </c>
      <c r="C511" s="421" t="s">
        <v>1368</v>
      </c>
    </row>
    <row r="512" spans="1:3" x14ac:dyDescent="0.25">
      <c r="A512" s="417">
        <v>41538</v>
      </c>
      <c r="B512" s="418">
        <v>0.7727546296296296</v>
      </c>
      <c r="C512" s="421" t="s">
        <v>1409</v>
      </c>
    </row>
    <row r="513" spans="1:3" x14ac:dyDescent="0.25">
      <c r="A513" s="417">
        <v>41538</v>
      </c>
      <c r="B513" s="418">
        <v>0.7727546296296296</v>
      </c>
      <c r="C513" s="421" t="s">
        <v>1308</v>
      </c>
    </row>
    <row r="514" spans="1:3" x14ac:dyDescent="0.25">
      <c r="A514" s="417">
        <v>41538</v>
      </c>
      <c r="B514" s="418">
        <v>0.7727546296296296</v>
      </c>
      <c r="C514" s="421" t="s">
        <v>1410</v>
      </c>
    </row>
    <row r="515" spans="1:3" x14ac:dyDescent="0.25">
      <c r="A515" s="417">
        <v>41538</v>
      </c>
      <c r="B515" s="418">
        <v>0.7727546296296296</v>
      </c>
      <c r="C515" s="421" t="s">
        <v>1410</v>
      </c>
    </row>
    <row r="516" spans="1:3" x14ac:dyDescent="0.25">
      <c r="A516" s="417">
        <v>41538</v>
      </c>
      <c r="B516" s="418">
        <v>0.7727546296296296</v>
      </c>
      <c r="C516" s="421" t="s">
        <v>1411</v>
      </c>
    </row>
    <row r="517" spans="1:3" x14ac:dyDescent="0.25">
      <c r="A517" s="417">
        <v>41538</v>
      </c>
      <c r="B517" s="418">
        <v>0.7727546296296296</v>
      </c>
      <c r="C517" s="421" t="s">
        <v>1412</v>
      </c>
    </row>
    <row r="518" spans="1:3" x14ac:dyDescent="0.25">
      <c r="A518" s="417">
        <v>41538</v>
      </c>
      <c r="B518" s="418">
        <v>0.7727546296296296</v>
      </c>
      <c r="C518" s="421" t="s">
        <v>1413</v>
      </c>
    </row>
    <row r="519" spans="1:3" x14ac:dyDescent="0.25">
      <c r="A519" s="417">
        <v>41538</v>
      </c>
      <c r="B519" s="418">
        <v>0.7727546296296296</v>
      </c>
      <c r="C519" s="421" t="s">
        <v>1414</v>
      </c>
    </row>
    <row r="520" spans="1:3" x14ac:dyDescent="0.25">
      <c r="A520" s="417">
        <v>41538</v>
      </c>
      <c r="B520" s="418">
        <v>0.7727546296296296</v>
      </c>
      <c r="C520" s="421" t="s">
        <v>1373</v>
      </c>
    </row>
    <row r="521" spans="1:3" x14ac:dyDescent="0.25">
      <c r="A521" s="417">
        <v>41538</v>
      </c>
      <c r="B521" s="418">
        <v>0.7727546296296296</v>
      </c>
      <c r="C521" s="421" t="s">
        <v>1415</v>
      </c>
    </row>
    <row r="522" spans="1:3" x14ac:dyDescent="0.25">
      <c r="A522" s="417">
        <v>41538</v>
      </c>
      <c r="B522" s="418">
        <v>0.7727546296296296</v>
      </c>
      <c r="C522" s="421" t="s">
        <v>1409</v>
      </c>
    </row>
    <row r="523" spans="1:3" x14ac:dyDescent="0.25">
      <c r="A523" s="417">
        <v>41538</v>
      </c>
      <c r="B523" s="418">
        <v>0.7727546296296296</v>
      </c>
      <c r="C523" s="421" t="s">
        <v>1416</v>
      </c>
    </row>
    <row r="524" spans="1:3" x14ac:dyDescent="0.25">
      <c r="A524" s="417">
        <v>41538</v>
      </c>
      <c r="B524" s="418">
        <v>0.7727546296296296</v>
      </c>
      <c r="C524" s="421" t="s">
        <v>1417</v>
      </c>
    </row>
    <row r="525" spans="1:3" x14ac:dyDescent="0.25">
      <c r="A525" s="417">
        <v>41538</v>
      </c>
      <c r="B525" s="418">
        <v>0.77276620370370364</v>
      </c>
      <c r="C525" s="421" t="s">
        <v>1417</v>
      </c>
    </row>
    <row r="526" spans="1:3" x14ac:dyDescent="0.25">
      <c r="A526" s="417">
        <v>41538</v>
      </c>
      <c r="B526" s="418">
        <v>0.77278935185185194</v>
      </c>
      <c r="C526" s="421" t="s">
        <v>1418</v>
      </c>
    </row>
    <row r="527" spans="1:3" x14ac:dyDescent="0.25">
      <c r="A527" s="417">
        <v>41538</v>
      </c>
      <c r="B527" s="418">
        <v>0.77278935185185194</v>
      </c>
      <c r="C527" s="421" t="s">
        <v>1348</v>
      </c>
    </row>
    <row r="528" spans="1:3" x14ac:dyDescent="0.25">
      <c r="A528" s="417">
        <v>41538</v>
      </c>
      <c r="B528" s="418">
        <v>0.77278935185185194</v>
      </c>
      <c r="C528" s="421" t="s">
        <v>1419</v>
      </c>
    </row>
    <row r="529" spans="1:3" x14ac:dyDescent="0.25">
      <c r="A529" s="417">
        <v>41538</v>
      </c>
      <c r="B529" s="418">
        <v>0.77278935185185194</v>
      </c>
      <c r="C529" s="421" t="s">
        <v>1419</v>
      </c>
    </row>
    <row r="530" spans="1:3" x14ac:dyDescent="0.25">
      <c r="A530" s="417">
        <v>41538</v>
      </c>
      <c r="B530" s="418">
        <v>0.77278935185185194</v>
      </c>
      <c r="C530" s="421" t="s">
        <v>1420</v>
      </c>
    </row>
    <row r="531" spans="1:3" x14ac:dyDescent="0.25">
      <c r="A531" s="417">
        <v>41538</v>
      </c>
      <c r="B531" s="418">
        <v>0.77278935185185194</v>
      </c>
      <c r="C531" s="421" t="s">
        <v>1421</v>
      </c>
    </row>
    <row r="532" spans="1:3" x14ac:dyDescent="0.25">
      <c r="A532" s="417">
        <v>41538</v>
      </c>
      <c r="B532" s="418">
        <v>0.77278935185185194</v>
      </c>
      <c r="C532" s="421" t="s">
        <v>1422</v>
      </c>
    </row>
    <row r="533" spans="1:3" x14ac:dyDescent="0.25">
      <c r="A533" s="417">
        <v>41538</v>
      </c>
      <c r="B533" s="418">
        <v>0.77278935185185194</v>
      </c>
      <c r="C533" s="421" t="s">
        <v>1423</v>
      </c>
    </row>
    <row r="534" spans="1:3" x14ac:dyDescent="0.25">
      <c r="A534" s="417">
        <v>41538</v>
      </c>
      <c r="B534" s="418">
        <v>0.77278935185185194</v>
      </c>
      <c r="C534" s="421" t="s">
        <v>1424</v>
      </c>
    </row>
    <row r="535" spans="1:3" x14ac:dyDescent="0.25">
      <c r="A535" s="417">
        <v>41538</v>
      </c>
      <c r="B535" s="418">
        <v>0.77278935185185194</v>
      </c>
      <c r="C535" s="421" t="s">
        <v>1425</v>
      </c>
    </row>
    <row r="536" spans="1:3" x14ac:dyDescent="0.25">
      <c r="A536" s="417">
        <v>41538</v>
      </c>
      <c r="B536" s="418">
        <v>0.77278935185185194</v>
      </c>
      <c r="C536" s="421" t="s">
        <v>1426</v>
      </c>
    </row>
    <row r="537" spans="1:3" x14ac:dyDescent="0.25">
      <c r="A537" s="417">
        <v>41538</v>
      </c>
      <c r="B537" s="418">
        <v>0.77278935185185194</v>
      </c>
      <c r="C537" s="421" t="s">
        <v>1427</v>
      </c>
    </row>
    <row r="538" spans="1:3" x14ac:dyDescent="0.25">
      <c r="A538" s="417">
        <v>41538</v>
      </c>
      <c r="B538" s="418">
        <v>0.77278935185185194</v>
      </c>
      <c r="C538" s="421" t="s">
        <v>1428</v>
      </c>
    </row>
    <row r="539" spans="1:3" x14ac:dyDescent="0.25">
      <c r="A539" s="417">
        <v>41538</v>
      </c>
      <c r="B539" s="418">
        <v>0.77278935185185194</v>
      </c>
      <c r="C539" s="421" t="s">
        <v>1320</v>
      </c>
    </row>
    <row r="540" spans="1:3" x14ac:dyDescent="0.25">
      <c r="A540" s="417">
        <v>41538</v>
      </c>
      <c r="B540" s="418">
        <v>0.77278935185185194</v>
      </c>
      <c r="C540" s="421" t="s">
        <v>1429</v>
      </c>
    </row>
    <row r="541" spans="1:3" x14ac:dyDescent="0.25">
      <c r="A541" s="417">
        <v>41538</v>
      </c>
      <c r="B541" s="418">
        <v>0.77278935185185194</v>
      </c>
      <c r="C541" s="421" t="s">
        <v>1430</v>
      </c>
    </row>
    <row r="542" spans="1:3" x14ac:dyDescent="0.25">
      <c r="A542" s="417">
        <v>41538</v>
      </c>
      <c r="B542" s="418">
        <v>0.77278935185185194</v>
      </c>
      <c r="C542" s="421" t="s">
        <v>1431</v>
      </c>
    </row>
    <row r="543" spans="1:3" x14ac:dyDescent="0.25">
      <c r="A543" s="417">
        <v>41538</v>
      </c>
      <c r="B543" s="418">
        <v>0.77278935185185194</v>
      </c>
      <c r="C543" s="421" t="s">
        <v>1308</v>
      </c>
    </row>
    <row r="544" spans="1:3" x14ac:dyDescent="0.25">
      <c r="A544" s="417">
        <v>41538</v>
      </c>
      <c r="B544" s="418">
        <v>0.77278935185185194</v>
      </c>
      <c r="C544" s="421" t="s">
        <v>1360</v>
      </c>
    </row>
    <row r="545" spans="1:3" x14ac:dyDescent="0.25">
      <c r="A545" s="417">
        <v>41538</v>
      </c>
      <c r="B545" s="418">
        <v>0.77278935185185194</v>
      </c>
      <c r="C545" s="421" t="s">
        <v>1432</v>
      </c>
    </row>
    <row r="546" spans="1:3" x14ac:dyDescent="0.25">
      <c r="A546" s="417">
        <v>41538</v>
      </c>
      <c r="B546" s="418">
        <v>0.77278935185185194</v>
      </c>
      <c r="C546" s="421" t="s">
        <v>1432</v>
      </c>
    </row>
    <row r="547" spans="1:3" x14ac:dyDescent="0.25">
      <c r="A547" s="417">
        <v>41538</v>
      </c>
      <c r="B547" s="418">
        <v>0.77278935185185194</v>
      </c>
      <c r="C547" s="421" t="s">
        <v>1432</v>
      </c>
    </row>
    <row r="548" spans="1:3" x14ac:dyDescent="0.25">
      <c r="A548" s="417">
        <v>41538</v>
      </c>
      <c r="B548" s="418">
        <v>0.77280092592592586</v>
      </c>
      <c r="C548" s="421" t="s">
        <v>1281</v>
      </c>
    </row>
    <row r="549" spans="1:3" ht="60" x14ac:dyDescent="0.25">
      <c r="A549" s="417">
        <v>41538</v>
      </c>
      <c r="B549" s="418">
        <v>0.77280092592592586</v>
      </c>
      <c r="C549" s="946" t="s">
        <v>1282</v>
      </c>
    </row>
    <row r="550" spans="1:3" x14ac:dyDescent="0.25">
      <c r="A550" s="417">
        <v>41538</v>
      </c>
      <c r="B550" s="418">
        <v>0.77282407407407405</v>
      </c>
      <c r="C550" s="421" t="s">
        <v>1413</v>
      </c>
    </row>
    <row r="551" spans="1:3" x14ac:dyDescent="0.25">
      <c r="A551" s="417">
        <v>41538</v>
      </c>
      <c r="B551" s="418">
        <v>0.77282407407407405</v>
      </c>
      <c r="C551" s="421" t="s">
        <v>1433</v>
      </c>
    </row>
    <row r="552" spans="1:3" x14ac:dyDescent="0.25">
      <c r="A552" s="417">
        <v>41538</v>
      </c>
      <c r="B552" s="418">
        <v>0.77282407407407405</v>
      </c>
      <c r="C552" s="421" t="s">
        <v>1434</v>
      </c>
    </row>
    <row r="553" spans="1:3" x14ac:dyDescent="0.25">
      <c r="A553" s="417">
        <v>41538</v>
      </c>
      <c r="B553" s="418">
        <v>0.77282407407407405</v>
      </c>
      <c r="C553" s="421" t="s">
        <v>1435</v>
      </c>
    </row>
    <row r="554" spans="1:3" x14ac:dyDescent="0.25">
      <c r="A554" s="417">
        <v>41538</v>
      </c>
      <c r="B554" s="418">
        <v>0.77282407407407405</v>
      </c>
      <c r="C554" s="421" t="s">
        <v>1436</v>
      </c>
    </row>
    <row r="555" spans="1:3" x14ac:dyDescent="0.25">
      <c r="A555" s="417">
        <v>41538</v>
      </c>
      <c r="B555" s="418">
        <v>0.77282407407407405</v>
      </c>
      <c r="C555" s="421" t="s">
        <v>1437</v>
      </c>
    </row>
    <row r="556" spans="1:3" x14ac:dyDescent="0.25">
      <c r="A556" s="417">
        <v>41538</v>
      </c>
      <c r="B556" s="418">
        <v>0.77282407407407405</v>
      </c>
      <c r="C556" s="421" t="s">
        <v>1438</v>
      </c>
    </row>
    <row r="557" spans="1:3" x14ac:dyDescent="0.25">
      <c r="A557" s="417">
        <v>41538</v>
      </c>
      <c r="B557" s="418">
        <v>0.77282407407407405</v>
      </c>
      <c r="C557" s="421" t="s">
        <v>1439</v>
      </c>
    </row>
    <row r="558" spans="1:3" x14ac:dyDescent="0.25">
      <c r="A558" s="417">
        <v>41538</v>
      </c>
      <c r="B558" s="418">
        <v>0.77282407407407405</v>
      </c>
      <c r="C558" s="421" t="s">
        <v>1407</v>
      </c>
    </row>
    <row r="559" spans="1:3" x14ac:dyDescent="0.25">
      <c r="A559" s="417">
        <v>41538</v>
      </c>
      <c r="B559" s="418">
        <v>0.77292824074074085</v>
      </c>
      <c r="C559" s="421" t="s">
        <v>1440</v>
      </c>
    </row>
    <row r="560" spans="1:3" x14ac:dyDescent="0.25">
      <c r="A560" s="417">
        <v>41538</v>
      </c>
      <c r="B560" s="418">
        <v>0.77292824074074085</v>
      </c>
      <c r="C560" s="421" t="s">
        <v>1441</v>
      </c>
    </row>
    <row r="561" spans="1:3" x14ac:dyDescent="0.25">
      <c r="A561" s="417">
        <v>41538</v>
      </c>
      <c r="B561" s="418">
        <v>0.77292824074074085</v>
      </c>
      <c r="C561" s="421" t="s">
        <v>1320</v>
      </c>
    </row>
    <row r="562" spans="1:3" x14ac:dyDescent="0.25">
      <c r="A562" s="417">
        <v>41538</v>
      </c>
      <c r="B562" s="418">
        <v>0.77292824074074085</v>
      </c>
      <c r="C562" s="421" t="s">
        <v>1442</v>
      </c>
    </row>
    <row r="563" spans="1:3" x14ac:dyDescent="0.25">
      <c r="A563" s="417">
        <v>41538</v>
      </c>
      <c r="B563" s="418">
        <v>0.77292824074074085</v>
      </c>
      <c r="C563" s="421" t="s">
        <v>1443</v>
      </c>
    </row>
    <row r="564" spans="1:3" x14ac:dyDescent="0.25">
      <c r="A564" s="417">
        <v>41538</v>
      </c>
      <c r="B564" s="418">
        <v>0.77292824074074085</v>
      </c>
      <c r="C564" s="421" t="s">
        <v>1444</v>
      </c>
    </row>
    <row r="565" spans="1:3" x14ac:dyDescent="0.25">
      <c r="A565" s="417">
        <v>41538</v>
      </c>
      <c r="B565" s="418">
        <v>0.77292824074074085</v>
      </c>
      <c r="C565" s="421" t="s">
        <v>1445</v>
      </c>
    </row>
    <row r="566" spans="1:3" x14ac:dyDescent="0.25">
      <c r="A566" s="417">
        <v>41538</v>
      </c>
      <c r="B566" s="418">
        <v>0.77292824074074085</v>
      </c>
      <c r="C566" s="421" t="s">
        <v>1446</v>
      </c>
    </row>
    <row r="567" spans="1:3" x14ac:dyDescent="0.25">
      <c r="A567" s="417">
        <v>41538</v>
      </c>
      <c r="B567" s="418">
        <v>0.77292824074074085</v>
      </c>
      <c r="C567" s="421" t="s">
        <v>1238</v>
      </c>
    </row>
    <row r="568" spans="1:3" x14ac:dyDescent="0.25">
      <c r="A568" s="417">
        <v>41538</v>
      </c>
      <c r="B568" s="418">
        <v>0.77292824074074085</v>
      </c>
      <c r="C568" s="421" t="s">
        <v>1447</v>
      </c>
    </row>
    <row r="569" spans="1:3" x14ac:dyDescent="0.25">
      <c r="A569" s="417">
        <v>41538</v>
      </c>
      <c r="B569" s="418">
        <v>0.77292824074074085</v>
      </c>
      <c r="C569" s="421" t="s">
        <v>1389</v>
      </c>
    </row>
    <row r="570" spans="1:3" x14ac:dyDescent="0.25">
      <c r="A570" s="417">
        <v>41538</v>
      </c>
      <c r="B570" s="418">
        <v>0.77292824074074085</v>
      </c>
      <c r="C570" s="421" t="s">
        <v>1448</v>
      </c>
    </row>
    <row r="571" spans="1:3" x14ac:dyDescent="0.25">
      <c r="A571" s="417">
        <v>41538</v>
      </c>
      <c r="B571" s="418">
        <v>0.77292824074074085</v>
      </c>
      <c r="C571" s="421" t="s">
        <v>1449</v>
      </c>
    </row>
    <row r="572" spans="1:3" x14ac:dyDescent="0.25">
      <c r="A572" s="417">
        <v>41538</v>
      </c>
      <c r="B572" s="418">
        <v>0.77295138888888892</v>
      </c>
      <c r="C572" s="421" t="s">
        <v>1450</v>
      </c>
    </row>
    <row r="573" spans="1:3" x14ac:dyDescent="0.25">
      <c r="A573" s="417">
        <v>41538</v>
      </c>
      <c r="B573" s="418">
        <v>0.77295138888888892</v>
      </c>
      <c r="C573" s="421" t="s">
        <v>1450</v>
      </c>
    </row>
    <row r="574" spans="1:3" x14ac:dyDescent="0.25">
      <c r="A574" s="417">
        <v>41538</v>
      </c>
      <c r="B574" s="418">
        <v>0.77295138888888892</v>
      </c>
      <c r="C574" s="421" t="s">
        <v>1450</v>
      </c>
    </row>
    <row r="575" spans="1:3" x14ac:dyDescent="0.25">
      <c r="A575" s="417">
        <v>41538</v>
      </c>
      <c r="B575" s="418">
        <v>0.77295138888888892</v>
      </c>
      <c r="C575" s="421" t="s">
        <v>1450</v>
      </c>
    </row>
    <row r="576" spans="1:3" x14ac:dyDescent="0.25">
      <c r="A576" s="417">
        <v>41538</v>
      </c>
      <c r="B576" s="418">
        <v>0.77295138888888892</v>
      </c>
      <c r="C576" s="421" t="s">
        <v>1450</v>
      </c>
    </row>
    <row r="577" spans="1:3" x14ac:dyDescent="0.25">
      <c r="A577" s="417">
        <v>41538</v>
      </c>
      <c r="B577" s="418">
        <v>0.77295138888888892</v>
      </c>
      <c r="C577" s="421" t="s">
        <v>1450</v>
      </c>
    </row>
    <row r="578" spans="1:3" x14ac:dyDescent="0.25">
      <c r="A578" s="417">
        <v>41538</v>
      </c>
      <c r="B578" s="418">
        <v>0.77295138888888892</v>
      </c>
      <c r="C578" s="421" t="s">
        <v>1450</v>
      </c>
    </row>
    <row r="579" spans="1:3" x14ac:dyDescent="0.25">
      <c r="A579" s="417">
        <v>41538</v>
      </c>
      <c r="B579" s="418">
        <v>0.77295138888888892</v>
      </c>
      <c r="C579" s="421" t="s">
        <v>1448</v>
      </c>
    </row>
    <row r="580" spans="1:3" x14ac:dyDescent="0.25">
      <c r="A580" s="417">
        <v>41538</v>
      </c>
      <c r="B580" s="418">
        <v>0.77295138888888892</v>
      </c>
      <c r="C580" s="421" t="s">
        <v>1399</v>
      </c>
    </row>
    <row r="581" spans="1:3" x14ac:dyDescent="0.25">
      <c r="A581" s="417">
        <v>41538</v>
      </c>
      <c r="B581" s="418">
        <v>0.77295138888888892</v>
      </c>
      <c r="C581" s="421" t="s">
        <v>1309</v>
      </c>
    </row>
    <row r="582" spans="1:3" x14ac:dyDescent="0.25">
      <c r="A582" s="417">
        <v>41538</v>
      </c>
      <c r="B582" s="418">
        <v>0.77295138888888892</v>
      </c>
      <c r="C582" s="421" t="s">
        <v>1451</v>
      </c>
    </row>
    <row r="583" spans="1:3" x14ac:dyDescent="0.25">
      <c r="A583" s="417">
        <v>41538</v>
      </c>
      <c r="B583" s="418">
        <v>0.77295138888888892</v>
      </c>
      <c r="C583" s="421" t="s">
        <v>1452</v>
      </c>
    </row>
    <row r="584" spans="1:3" x14ac:dyDescent="0.25">
      <c r="A584" s="417">
        <v>41538</v>
      </c>
      <c r="B584" s="418">
        <v>0.77295138888888892</v>
      </c>
      <c r="C584" s="421" t="s">
        <v>1453</v>
      </c>
    </row>
    <row r="585" spans="1:3" x14ac:dyDescent="0.25">
      <c r="A585" s="417">
        <v>41538</v>
      </c>
      <c r="B585" s="418">
        <v>0.77401620370370372</v>
      </c>
      <c r="C585" s="421" t="s">
        <v>1454</v>
      </c>
    </row>
    <row r="586" spans="1:3" x14ac:dyDescent="0.25">
      <c r="A586" s="417">
        <v>41538</v>
      </c>
      <c r="B586" s="418">
        <v>0.77402777777777787</v>
      </c>
      <c r="C586" s="421" t="s">
        <v>1455</v>
      </c>
    </row>
    <row r="587" spans="1:3" ht="45" x14ac:dyDescent="0.25">
      <c r="A587" s="417">
        <v>41538</v>
      </c>
      <c r="B587" s="418">
        <v>0.78557870370370375</v>
      </c>
      <c r="C587" s="946" t="s">
        <v>1456</v>
      </c>
    </row>
    <row r="588" spans="1:3" ht="30" x14ac:dyDescent="0.25">
      <c r="A588" s="417">
        <v>41538</v>
      </c>
      <c r="B588" s="418">
        <v>0.78567129629629628</v>
      </c>
      <c r="C588" s="946" t="s">
        <v>1457</v>
      </c>
    </row>
    <row r="589" spans="1:3" ht="45" x14ac:dyDescent="0.25">
      <c r="A589" s="417">
        <v>41538</v>
      </c>
      <c r="B589" s="418">
        <v>0.78575231481481478</v>
      </c>
      <c r="C589" s="946" t="s">
        <v>1458</v>
      </c>
    </row>
    <row r="590" spans="1:3" ht="45" x14ac:dyDescent="0.25">
      <c r="A590" s="417">
        <v>41538</v>
      </c>
      <c r="B590" s="418">
        <v>0.78688657407407403</v>
      </c>
      <c r="C590" s="946" t="s">
        <v>1459</v>
      </c>
    </row>
    <row r="591" spans="1:3" x14ac:dyDescent="0.25">
      <c r="A591" s="417">
        <v>41538</v>
      </c>
      <c r="B591" s="418">
        <v>0.78763888888888889</v>
      </c>
      <c r="C591" s="421" t="s">
        <v>1238</v>
      </c>
    </row>
    <row r="592" spans="1:3" x14ac:dyDescent="0.25">
      <c r="A592" s="417">
        <v>41538</v>
      </c>
      <c r="B592" s="418">
        <v>0.78763888888888889</v>
      </c>
      <c r="C592" s="421" t="s">
        <v>1307</v>
      </c>
    </row>
    <row r="593" spans="1:3" x14ac:dyDescent="0.25">
      <c r="A593" s="417">
        <v>41538</v>
      </c>
      <c r="B593" s="418">
        <v>0.78763888888888889</v>
      </c>
      <c r="C593" s="421" t="s">
        <v>1308</v>
      </c>
    </row>
    <row r="594" spans="1:3" x14ac:dyDescent="0.25">
      <c r="A594" s="417">
        <v>41538</v>
      </c>
      <c r="B594" s="418">
        <v>0.78763888888888889</v>
      </c>
      <c r="C594" s="421" t="s">
        <v>1309</v>
      </c>
    </row>
    <row r="595" spans="1:3" x14ac:dyDescent="0.25">
      <c r="A595" s="417">
        <v>41538</v>
      </c>
      <c r="B595" s="418">
        <v>0.78763888888888889</v>
      </c>
      <c r="C595" s="421" t="s">
        <v>1310</v>
      </c>
    </row>
    <row r="596" spans="1:3" x14ac:dyDescent="0.25">
      <c r="A596" s="417">
        <v>41538</v>
      </c>
      <c r="B596" s="418">
        <v>0.78763888888888889</v>
      </c>
      <c r="C596" s="421" t="s">
        <v>1311</v>
      </c>
    </row>
    <row r="597" spans="1:3" x14ac:dyDescent="0.25">
      <c r="A597" s="417">
        <v>41538</v>
      </c>
      <c r="B597" s="418">
        <v>0.78763888888888889</v>
      </c>
      <c r="C597" s="421" t="s">
        <v>1312</v>
      </c>
    </row>
    <row r="598" spans="1:3" x14ac:dyDescent="0.25">
      <c r="A598" s="417">
        <v>41538</v>
      </c>
      <c r="B598" s="418">
        <v>0.78763888888888889</v>
      </c>
      <c r="C598" s="421" t="s">
        <v>1313</v>
      </c>
    </row>
    <row r="599" spans="1:3" x14ac:dyDescent="0.25">
      <c r="A599" s="417">
        <v>41538</v>
      </c>
      <c r="B599" s="418">
        <v>0.78763888888888889</v>
      </c>
      <c r="C599" s="421" t="s">
        <v>1310</v>
      </c>
    </row>
    <row r="600" spans="1:3" x14ac:dyDescent="0.25">
      <c r="A600" s="417">
        <v>41538</v>
      </c>
      <c r="B600" s="418">
        <v>0.78763888888888889</v>
      </c>
      <c r="C600" s="421" t="s">
        <v>1314</v>
      </c>
    </row>
    <row r="601" spans="1:3" x14ac:dyDescent="0.25">
      <c r="A601" s="417">
        <v>41538</v>
      </c>
      <c r="B601" s="418">
        <v>0.78763888888888889</v>
      </c>
      <c r="C601" s="421" t="s">
        <v>1315</v>
      </c>
    </row>
    <row r="602" spans="1:3" x14ac:dyDescent="0.25">
      <c r="A602" s="417">
        <v>41538</v>
      </c>
      <c r="B602" s="418">
        <v>0.78765046296296293</v>
      </c>
      <c r="C602" s="421" t="s">
        <v>1460</v>
      </c>
    </row>
    <row r="603" spans="1:3" x14ac:dyDescent="0.25">
      <c r="A603" s="417">
        <v>41538</v>
      </c>
      <c r="B603" s="418">
        <v>0.78765046296296293</v>
      </c>
      <c r="C603" s="421" t="s">
        <v>1461</v>
      </c>
    </row>
    <row r="604" spans="1:3" x14ac:dyDescent="0.25">
      <c r="A604" s="417">
        <v>41538</v>
      </c>
      <c r="B604" s="418">
        <v>0.78765046296296293</v>
      </c>
      <c r="C604" s="421" t="s">
        <v>1310</v>
      </c>
    </row>
    <row r="605" spans="1:3" x14ac:dyDescent="0.25">
      <c r="A605" s="417">
        <v>41538</v>
      </c>
      <c r="B605" s="418">
        <v>0.78765046296296293</v>
      </c>
      <c r="C605" s="421" t="s">
        <v>1238</v>
      </c>
    </row>
    <row r="606" spans="1:3" x14ac:dyDescent="0.25">
      <c r="A606" s="417">
        <v>41538</v>
      </c>
      <c r="B606" s="418">
        <v>0.78765046296296293</v>
      </c>
      <c r="C606" s="421" t="s">
        <v>1462</v>
      </c>
    </row>
    <row r="607" spans="1:3" x14ac:dyDescent="0.25">
      <c r="A607" s="417">
        <v>41538</v>
      </c>
      <c r="B607" s="418">
        <v>0.78765046296296293</v>
      </c>
      <c r="C607" s="421" t="s">
        <v>1316</v>
      </c>
    </row>
    <row r="608" spans="1:3" x14ac:dyDescent="0.25">
      <c r="A608" s="417">
        <v>41538</v>
      </c>
      <c r="B608" s="418">
        <v>0.78765046296296293</v>
      </c>
      <c r="C608" s="421" t="s">
        <v>1316</v>
      </c>
    </row>
    <row r="609" spans="1:3" x14ac:dyDescent="0.25">
      <c r="A609" s="417">
        <v>41538</v>
      </c>
      <c r="B609" s="418">
        <v>0.78765046296296293</v>
      </c>
      <c r="C609" s="421" t="s">
        <v>1317</v>
      </c>
    </row>
    <row r="610" spans="1:3" x14ac:dyDescent="0.25">
      <c r="A610" s="417">
        <v>41538</v>
      </c>
      <c r="B610" s="418">
        <v>0.78765046296296293</v>
      </c>
      <c r="C610" s="421" t="s">
        <v>1309</v>
      </c>
    </row>
    <row r="611" spans="1:3" x14ac:dyDescent="0.25">
      <c r="A611" s="417">
        <v>41538</v>
      </c>
      <c r="B611" s="418">
        <v>0.78765046296296293</v>
      </c>
      <c r="C611" s="421" t="s">
        <v>1318</v>
      </c>
    </row>
    <row r="612" spans="1:3" x14ac:dyDescent="0.25">
      <c r="A612" s="417">
        <v>41538</v>
      </c>
      <c r="B612" s="418">
        <v>0.78765046296296293</v>
      </c>
      <c r="C612" s="421" t="s">
        <v>1319</v>
      </c>
    </row>
    <row r="613" spans="1:3" x14ac:dyDescent="0.25">
      <c r="A613" s="417">
        <v>41538</v>
      </c>
      <c r="B613" s="418">
        <v>0.78765046296296293</v>
      </c>
      <c r="C613" s="421" t="s">
        <v>1320</v>
      </c>
    </row>
    <row r="614" spans="1:3" x14ac:dyDescent="0.25">
      <c r="A614" s="417">
        <v>41538</v>
      </c>
      <c r="B614" s="418">
        <v>0.78765046296296293</v>
      </c>
      <c r="C614" s="421" t="s">
        <v>1318</v>
      </c>
    </row>
    <row r="615" spans="1:3" x14ac:dyDescent="0.25">
      <c r="A615" s="417">
        <v>41538</v>
      </c>
      <c r="B615" s="418">
        <v>0.78765046296296293</v>
      </c>
      <c r="C615" s="421" t="s">
        <v>1307</v>
      </c>
    </row>
    <row r="616" spans="1:3" x14ac:dyDescent="0.25">
      <c r="A616" s="417">
        <v>41538</v>
      </c>
      <c r="B616" s="418">
        <v>0.78765046296296293</v>
      </c>
      <c r="C616" s="421" t="s">
        <v>1321</v>
      </c>
    </row>
    <row r="617" spans="1:3" x14ac:dyDescent="0.25">
      <c r="A617" s="417">
        <v>41538</v>
      </c>
      <c r="B617" s="418">
        <v>0.78765046296296293</v>
      </c>
      <c r="C617" s="421" t="s">
        <v>1322</v>
      </c>
    </row>
    <row r="618" spans="1:3" x14ac:dyDescent="0.25">
      <c r="A618" s="417">
        <v>41538</v>
      </c>
      <c r="B618" s="418">
        <v>0.78765046296296293</v>
      </c>
      <c r="C618" s="421" t="s">
        <v>1322</v>
      </c>
    </row>
    <row r="619" spans="1:3" x14ac:dyDescent="0.25">
      <c r="A619" s="417">
        <v>41538</v>
      </c>
      <c r="B619" s="418">
        <v>0.78765046296296293</v>
      </c>
      <c r="C619" s="421" t="s">
        <v>1323</v>
      </c>
    </row>
    <row r="620" spans="1:3" x14ac:dyDescent="0.25">
      <c r="A620" s="417">
        <v>41538</v>
      </c>
      <c r="B620" s="418">
        <v>0.78765046296296293</v>
      </c>
      <c r="C620" s="421" t="s">
        <v>1324</v>
      </c>
    </row>
    <row r="621" spans="1:3" x14ac:dyDescent="0.25">
      <c r="A621" s="417">
        <v>41538</v>
      </c>
      <c r="B621" s="418">
        <v>0.78765046296296293</v>
      </c>
      <c r="C621" s="421" t="s">
        <v>1310</v>
      </c>
    </row>
    <row r="622" spans="1:3" x14ac:dyDescent="0.25">
      <c r="A622" s="417">
        <v>41538</v>
      </c>
      <c r="B622" s="418">
        <v>0.78765046296296293</v>
      </c>
      <c r="C622" s="421" t="s">
        <v>1325</v>
      </c>
    </row>
    <row r="623" spans="1:3" x14ac:dyDescent="0.25">
      <c r="A623" s="417">
        <v>41538</v>
      </c>
      <c r="B623" s="418">
        <v>0.78765046296296293</v>
      </c>
      <c r="C623" s="421" t="s">
        <v>1326</v>
      </c>
    </row>
    <row r="624" spans="1:3" x14ac:dyDescent="0.25">
      <c r="A624" s="417">
        <v>41538</v>
      </c>
      <c r="B624" s="418">
        <v>0.78765046296296293</v>
      </c>
      <c r="C624" s="421" t="s">
        <v>1327</v>
      </c>
    </row>
    <row r="625" spans="1:3" x14ac:dyDescent="0.25">
      <c r="A625" s="417">
        <v>41538</v>
      </c>
      <c r="B625" s="418">
        <v>0.78773148148148142</v>
      </c>
      <c r="C625" s="421" t="s">
        <v>1328</v>
      </c>
    </row>
    <row r="626" spans="1:3" ht="60" x14ac:dyDescent="0.25">
      <c r="A626" s="417">
        <v>41538</v>
      </c>
      <c r="B626" s="418">
        <v>0.78773148148148142</v>
      </c>
      <c r="C626" s="946" t="s">
        <v>1341</v>
      </c>
    </row>
    <row r="627" spans="1:3" x14ac:dyDescent="0.25">
      <c r="A627" s="417">
        <v>41538</v>
      </c>
      <c r="B627" s="418">
        <v>0.78778935185185184</v>
      </c>
      <c r="C627" s="421" t="s">
        <v>1323</v>
      </c>
    </row>
    <row r="628" spans="1:3" x14ac:dyDescent="0.25">
      <c r="A628" s="417">
        <v>41538</v>
      </c>
      <c r="B628" s="418">
        <v>0.78778935185185184</v>
      </c>
      <c r="C628" s="421" t="s">
        <v>1342</v>
      </c>
    </row>
    <row r="629" spans="1:3" x14ac:dyDescent="0.25">
      <c r="A629" s="417">
        <v>41538</v>
      </c>
      <c r="B629" s="418">
        <v>0.78778935185185184</v>
      </c>
      <c r="C629" s="421" t="s">
        <v>1343</v>
      </c>
    </row>
    <row r="630" spans="1:3" x14ac:dyDescent="0.25">
      <c r="A630" s="417">
        <v>41538</v>
      </c>
      <c r="B630" s="418">
        <v>0.78778935185185184</v>
      </c>
      <c r="C630" s="421" t="s">
        <v>1344</v>
      </c>
    </row>
    <row r="631" spans="1:3" x14ac:dyDescent="0.25">
      <c r="A631" s="417">
        <v>41538</v>
      </c>
      <c r="B631" s="418">
        <v>0.78778935185185184</v>
      </c>
      <c r="C631" s="421" t="s">
        <v>1344</v>
      </c>
    </row>
    <row r="632" spans="1:3" x14ac:dyDescent="0.25">
      <c r="A632" s="417">
        <v>41538</v>
      </c>
      <c r="B632" s="418">
        <v>0.78778935185185184</v>
      </c>
      <c r="C632" s="421" t="s">
        <v>1310</v>
      </c>
    </row>
    <row r="633" spans="1:3" x14ac:dyDescent="0.25">
      <c r="A633" s="417">
        <v>41538</v>
      </c>
      <c r="B633" s="418">
        <v>0.78778935185185184</v>
      </c>
      <c r="C633" s="421" t="s">
        <v>1345</v>
      </c>
    </row>
    <row r="634" spans="1:3" x14ac:dyDescent="0.25">
      <c r="A634" s="417">
        <v>41538</v>
      </c>
      <c r="B634" s="418">
        <v>0.78778935185185184</v>
      </c>
      <c r="C634" s="421" t="s">
        <v>1346</v>
      </c>
    </row>
    <row r="635" spans="1:3" x14ac:dyDescent="0.25">
      <c r="A635" s="417">
        <v>41538</v>
      </c>
      <c r="B635" s="418">
        <v>0.78778935185185184</v>
      </c>
      <c r="C635" s="421" t="s">
        <v>1347</v>
      </c>
    </row>
    <row r="636" spans="1:3" x14ac:dyDescent="0.25">
      <c r="A636" s="417">
        <v>41538</v>
      </c>
      <c r="B636" s="418">
        <v>0.78778935185185184</v>
      </c>
      <c r="C636" s="421" t="s">
        <v>1348</v>
      </c>
    </row>
    <row r="637" spans="1:3" x14ac:dyDescent="0.25">
      <c r="A637" s="417">
        <v>41538</v>
      </c>
      <c r="B637" s="418">
        <v>0.78778935185185184</v>
      </c>
      <c r="C637" s="421" t="s">
        <v>1349</v>
      </c>
    </row>
    <row r="638" spans="1:3" x14ac:dyDescent="0.25">
      <c r="A638" s="417">
        <v>41538</v>
      </c>
      <c r="B638" s="418">
        <v>0.78778935185185184</v>
      </c>
      <c r="C638" s="421" t="s">
        <v>1349</v>
      </c>
    </row>
    <row r="639" spans="1:3" x14ac:dyDescent="0.25">
      <c r="A639" s="417">
        <v>41538</v>
      </c>
      <c r="B639" s="418">
        <v>0.78778935185185184</v>
      </c>
      <c r="C639" s="421" t="s">
        <v>1348</v>
      </c>
    </row>
    <row r="640" spans="1:3" x14ac:dyDescent="0.25">
      <c r="A640" s="417">
        <v>41538</v>
      </c>
      <c r="B640" s="418">
        <v>0.78778935185185184</v>
      </c>
      <c r="C640" s="421" t="s">
        <v>1350</v>
      </c>
    </row>
    <row r="641" spans="1:3" x14ac:dyDescent="0.25">
      <c r="A641" s="417">
        <v>41538</v>
      </c>
      <c r="B641" s="418">
        <v>0.78778935185185184</v>
      </c>
      <c r="C641" s="421" t="s">
        <v>1351</v>
      </c>
    </row>
    <row r="642" spans="1:3" x14ac:dyDescent="0.25">
      <c r="A642" s="417">
        <v>41538</v>
      </c>
      <c r="B642" s="418">
        <v>0.78778935185185184</v>
      </c>
      <c r="C642" s="421" t="s">
        <v>1352</v>
      </c>
    </row>
    <row r="643" spans="1:3" x14ac:dyDescent="0.25">
      <c r="A643" s="417">
        <v>41538</v>
      </c>
      <c r="B643" s="418">
        <v>0.78781249999999992</v>
      </c>
      <c r="C643" s="421" t="s">
        <v>1287</v>
      </c>
    </row>
    <row r="644" spans="1:3" ht="60" x14ac:dyDescent="0.25">
      <c r="A644" s="417">
        <v>41538</v>
      </c>
      <c r="B644" s="418">
        <v>0.78781249999999992</v>
      </c>
      <c r="C644" s="946" t="s">
        <v>1288</v>
      </c>
    </row>
    <row r="645" spans="1:3" x14ac:dyDescent="0.25">
      <c r="A645" s="417">
        <v>41538</v>
      </c>
      <c r="B645" s="418">
        <v>0.78783564814814822</v>
      </c>
      <c r="C645" s="421" t="s">
        <v>1353</v>
      </c>
    </row>
    <row r="646" spans="1:3" x14ac:dyDescent="0.25">
      <c r="A646" s="417">
        <v>41538</v>
      </c>
      <c r="B646" s="418">
        <v>0.78783564814814822</v>
      </c>
      <c r="C646" s="421" t="s">
        <v>1354</v>
      </c>
    </row>
    <row r="647" spans="1:3" x14ac:dyDescent="0.25">
      <c r="A647" s="417">
        <v>41538</v>
      </c>
      <c r="B647" s="418">
        <v>0.78783564814814822</v>
      </c>
      <c r="C647" s="421" t="s">
        <v>1355</v>
      </c>
    </row>
    <row r="648" spans="1:3" x14ac:dyDescent="0.25">
      <c r="A648" s="417">
        <v>41538</v>
      </c>
      <c r="B648" s="418">
        <v>0.78783564814814822</v>
      </c>
      <c r="C648" s="421" t="s">
        <v>1357</v>
      </c>
    </row>
    <row r="649" spans="1:3" x14ac:dyDescent="0.25">
      <c r="A649" s="417">
        <v>41538</v>
      </c>
      <c r="B649" s="418">
        <v>0.78783564814814822</v>
      </c>
      <c r="C649" s="421" t="s">
        <v>1358</v>
      </c>
    </row>
    <row r="650" spans="1:3" x14ac:dyDescent="0.25">
      <c r="A650" s="417">
        <v>41538</v>
      </c>
      <c r="B650" s="418">
        <v>0.78783564814814822</v>
      </c>
      <c r="C650" s="421" t="s">
        <v>1359</v>
      </c>
    </row>
    <row r="651" spans="1:3" x14ac:dyDescent="0.25">
      <c r="A651" s="417">
        <v>41538</v>
      </c>
      <c r="B651" s="418">
        <v>0.78783564814814822</v>
      </c>
      <c r="C651" s="421" t="s">
        <v>1360</v>
      </c>
    </row>
    <row r="652" spans="1:3" x14ac:dyDescent="0.25">
      <c r="A652" s="417">
        <v>41538</v>
      </c>
      <c r="B652" s="418">
        <v>0.78783564814814822</v>
      </c>
      <c r="C652" s="421" t="s">
        <v>1361</v>
      </c>
    </row>
    <row r="653" spans="1:3" x14ac:dyDescent="0.25">
      <c r="A653" s="417">
        <v>41538</v>
      </c>
      <c r="B653" s="418">
        <v>0.78783564814814822</v>
      </c>
      <c r="C653" s="421" t="s">
        <v>1317</v>
      </c>
    </row>
    <row r="654" spans="1:3" x14ac:dyDescent="0.25">
      <c r="A654" s="417">
        <v>41538</v>
      </c>
      <c r="B654" s="418">
        <v>0.78783564814814822</v>
      </c>
      <c r="C654" s="421" t="s">
        <v>1362</v>
      </c>
    </row>
    <row r="655" spans="1:3" x14ac:dyDescent="0.25">
      <c r="A655" s="417">
        <v>41538</v>
      </c>
      <c r="B655" s="418">
        <v>0.78783564814814822</v>
      </c>
      <c r="C655" s="421" t="s">
        <v>1355</v>
      </c>
    </row>
    <row r="656" spans="1:3" x14ac:dyDescent="0.25">
      <c r="A656" s="417">
        <v>41538</v>
      </c>
      <c r="B656" s="418">
        <v>0.78783564814814822</v>
      </c>
      <c r="C656" s="421" t="s">
        <v>1363</v>
      </c>
    </row>
    <row r="657" spans="1:3" x14ac:dyDescent="0.25">
      <c r="A657" s="417">
        <v>41538</v>
      </c>
      <c r="B657" s="418">
        <v>0.78783564814814822</v>
      </c>
      <c r="C657" s="421" t="s">
        <v>1364</v>
      </c>
    </row>
    <row r="658" spans="1:3" x14ac:dyDescent="0.25">
      <c r="A658" s="417">
        <v>41538</v>
      </c>
      <c r="B658" s="418">
        <v>0.78783564814814822</v>
      </c>
      <c r="C658" s="421" t="s">
        <v>1365</v>
      </c>
    </row>
    <row r="659" spans="1:3" x14ac:dyDescent="0.25">
      <c r="A659" s="417">
        <v>41538</v>
      </c>
      <c r="B659" s="418">
        <v>0.78783564814814822</v>
      </c>
      <c r="C659" s="421" t="s">
        <v>1365</v>
      </c>
    </row>
    <row r="660" spans="1:3" x14ac:dyDescent="0.25">
      <c r="A660" s="417">
        <v>41538</v>
      </c>
      <c r="B660" s="418">
        <v>0.78783564814814822</v>
      </c>
      <c r="C660" s="421" t="s">
        <v>1366</v>
      </c>
    </row>
    <row r="661" spans="1:3" x14ac:dyDescent="0.25">
      <c r="A661" s="417">
        <v>41538</v>
      </c>
      <c r="B661" s="418">
        <v>0.78783564814814822</v>
      </c>
      <c r="C661" s="421" t="s">
        <v>1320</v>
      </c>
    </row>
    <row r="662" spans="1:3" x14ac:dyDescent="0.25">
      <c r="A662" s="417">
        <v>41538</v>
      </c>
      <c r="B662" s="418">
        <v>0.78783564814814822</v>
      </c>
      <c r="C662" s="421" t="s">
        <v>1367</v>
      </c>
    </row>
    <row r="663" spans="1:3" x14ac:dyDescent="0.25">
      <c r="A663" s="417">
        <v>41538</v>
      </c>
      <c r="B663" s="418">
        <v>0.78783564814814822</v>
      </c>
      <c r="C663" s="421" t="s">
        <v>1344</v>
      </c>
    </row>
    <row r="664" spans="1:3" x14ac:dyDescent="0.25">
      <c r="A664" s="417">
        <v>41538</v>
      </c>
      <c r="B664" s="418">
        <v>0.78783564814814822</v>
      </c>
      <c r="C664" s="421" t="s">
        <v>1368</v>
      </c>
    </row>
    <row r="665" spans="1:3" x14ac:dyDescent="0.25">
      <c r="A665" s="417">
        <v>41538</v>
      </c>
      <c r="B665" s="418">
        <v>0.78783564814814822</v>
      </c>
      <c r="C665" s="421" t="s">
        <v>1369</v>
      </c>
    </row>
    <row r="666" spans="1:3" x14ac:dyDescent="0.25">
      <c r="A666" s="417">
        <v>41538</v>
      </c>
      <c r="B666" s="418">
        <v>0.78783564814814822</v>
      </c>
      <c r="C666" s="421" t="s">
        <v>1307</v>
      </c>
    </row>
    <row r="667" spans="1:3" x14ac:dyDescent="0.25">
      <c r="A667" s="417">
        <v>41538</v>
      </c>
      <c r="B667" s="418">
        <v>0.78783564814814822</v>
      </c>
      <c r="C667" s="421" t="s">
        <v>1370</v>
      </c>
    </row>
    <row r="668" spans="1:3" x14ac:dyDescent="0.25">
      <c r="A668" s="417">
        <v>41538</v>
      </c>
      <c r="B668" s="418">
        <v>0.78783564814814822</v>
      </c>
      <c r="C668" s="421" t="s">
        <v>1371</v>
      </c>
    </row>
    <row r="669" spans="1:3" x14ac:dyDescent="0.25">
      <c r="A669" s="417">
        <v>41538</v>
      </c>
      <c r="B669" s="418">
        <v>0.78783564814814822</v>
      </c>
      <c r="C669" s="421" t="s">
        <v>1344</v>
      </c>
    </row>
    <row r="670" spans="1:3" x14ac:dyDescent="0.25">
      <c r="A670" s="417">
        <v>41538</v>
      </c>
      <c r="B670" s="418">
        <v>0.78783564814814822</v>
      </c>
      <c r="C670" s="421" t="s">
        <v>1317</v>
      </c>
    </row>
    <row r="671" spans="1:3" x14ac:dyDescent="0.25">
      <c r="A671" s="417">
        <v>41538</v>
      </c>
      <c r="B671" s="418">
        <v>0.78783564814814822</v>
      </c>
      <c r="C671" s="421" t="s">
        <v>1463</v>
      </c>
    </row>
    <row r="672" spans="1:3" x14ac:dyDescent="0.25">
      <c r="A672" s="417">
        <v>41538</v>
      </c>
      <c r="B672" s="418">
        <v>0.78785879629629629</v>
      </c>
      <c r="C672" s="421" t="s">
        <v>1378</v>
      </c>
    </row>
    <row r="673" spans="1:3" ht="60" x14ac:dyDescent="0.25">
      <c r="A673" s="417">
        <v>41538</v>
      </c>
      <c r="B673" s="418">
        <v>0.78785879629629629</v>
      </c>
      <c r="C673" s="946" t="s">
        <v>1464</v>
      </c>
    </row>
    <row r="674" spans="1:3" x14ac:dyDescent="0.25">
      <c r="A674" s="417">
        <v>41538</v>
      </c>
      <c r="B674" s="418">
        <v>0.78787037037037033</v>
      </c>
      <c r="C674" s="421" t="s">
        <v>1373</v>
      </c>
    </row>
    <row r="675" spans="1:3" x14ac:dyDescent="0.25">
      <c r="A675" s="417">
        <v>41538</v>
      </c>
      <c r="B675" s="418">
        <v>0.78787037037037033</v>
      </c>
      <c r="C675" s="421" t="s">
        <v>1308</v>
      </c>
    </row>
    <row r="676" spans="1:3" x14ac:dyDescent="0.25">
      <c r="A676" s="417">
        <v>41538</v>
      </c>
      <c r="B676" s="418">
        <v>0.78787037037037033</v>
      </c>
      <c r="C676" s="421" t="s">
        <v>1374</v>
      </c>
    </row>
    <row r="677" spans="1:3" x14ac:dyDescent="0.25">
      <c r="A677" s="417">
        <v>41538</v>
      </c>
      <c r="B677" s="418">
        <v>0.78787037037037033</v>
      </c>
      <c r="C677" s="421" t="s">
        <v>1375</v>
      </c>
    </row>
    <row r="678" spans="1:3" x14ac:dyDescent="0.25">
      <c r="A678" s="417">
        <v>41538</v>
      </c>
      <c r="B678" s="418">
        <v>0.78787037037037033</v>
      </c>
      <c r="C678" s="421" t="s">
        <v>1376</v>
      </c>
    </row>
    <row r="679" spans="1:3" x14ac:dyDescent="0.25">
      <c r="A679" s="417">
        <v>41538</v>
      </c>
      <c r="B679" s="418">
        <v>0.78787037037037033</v>
      </c>
      <c r="C679" s="421" t="s">
        <v>1377</v>
      </c>
    </row>
    <row r="680" spans="1:3" x14ac:dyDescent="0.25">
      <c r="A680" s="417">
        <v>41538</v>
      </c>
      <c r="B680" s="418">
        <v>0.78787037037037033</v>
      </c>
      <c r="C680" s="421" t="s">
        <v>1326</v>
      </c>
    </row>
    <row r="681" spans="1:3" x14ac:dyDescent="0.25">
      <c r="A681" s="417">
        <v>41538</v>
      </c>
      <c r="B681" s="418">
        <v>0.78788194444444448</v>
      </c>
      <c r="C681" s="421" t="s">
        <v>1378</v>
      </c>
    </row>
    <row r="682" spans="1:3" ht="60" x14ac:dyDescent="0.25">
      <c r="A682" s="417">
        <v>41538</v>
      </c>
      <c r="B682" s="418">
        <v>0.78788194444444448</v>
      </c>
      <c r="C682" s="946" t="s">
        <v>1379</v>
      </c>
    </row>
    <row r="683" spans="1:3" x14ac:dyDescent="0.25">
      <c r="A683" s="417">
        <v>41538</v>
      </c>
      <c r="B683" s="418">
        <v>0.78789351851851863</v>
      </c>
      <c r="C683" s="421" t="s">
        <v>1380</v>
      </c>
    </row>
    <row r="684" spans="1:3" x14ac:dyDescent="0.25">
      <c r="A684" s="417">
        <v>41538</v>
      </c>
      <c r="B684" s="418">
        <v>0.78789351851851863</v>
      </c>
      <c r="C684" s="421" t="s">
        <v>1381</v>
      </c>
    </row>
    <row r="685" spans="1:3" x14ac:dyDescent="0.25">
      <c r="A685" s="417">
        <v>41538</v>
      </c>
      <c r="B685" s="418">
        <v>0.78789351851851863</v>
      </c>
      <c r="C685" s="421" t="s">
        <v>1382</v>
      </c>
    </row>
    <row r="686" spans="1:3" x14ac:dyDescent="0.25">
      <c r="A686" s="417">
        <v>41538</v>
      </c>
      <c r="B686" s="418">
        <v>0.78789351851851863</v>
      </c>
      <c r="C686" s="421" t="s">
        <v>1383</v>
      </c>
    </row>
    <row r="687" spans="1:3" x14ac:dyDescent="0.25">
      <c r="A687" s="417">
        <v>41538</v>
      </c>
      <c r="B687" s="418">
        <v>0.78789351851851863</v>
      </c>
      <c r="C687" s="421" t="s">
        <v>1352</v>
      </c>
    </row>
    <row r="688" spans="1:3" x14ac:dyDescent="0.25">
      <c r="A688" s="417">
        <v>41538</v>
      </c>
      <c r="B688" s="418">
        <v>0.78789351851851863</v>
      </c>
      <c r="C688" s="421" t="s">
        <v>1384</v>
      </c>
    </row>
    <row r="689" spans="1:3" x14ac:dyDescent="0.25">
      <c r="A689" s="417">
        <v>41538</v>
      </c>
      <c r="B689" s="418">
        <v>0.78789351851851863</v>
      </c>
      <c r="C689" s="421" t="s">
        <v>1385</v>
      </c>
    </row>
    <row r="690" spans="1:3" x14ac:dyDescent="0.25">
      <c r="A690" s="417">
        <v>41538</v>
      </c>
      <c r="B690" s="418">
        <v>0.78789351851851863</v>
      </c>
      <c r="C690" s="421" t="s">
        <v>1385</v>
      </c>
    </row>
    <row r="691" spans="1:3" x14ac:dyDescent="0.25">
      <c r="A691" s="417">
        <v>41538</v>
      </c>
      <c r="B691" s="418">
        <v>0.78789351851851863</v>
      </c>
      <c r="C691" s="421" t="s">
        <v>1386</v>
      </c>
    </row>
    <row r="692" spans="1:3" x14ac:dyDescent="0.25">
      <c r="A692" s="417">
        <v>41538</v>
      </c>
      <c r="B692" s="418">
        <v>0.78789351851851863</v>
      </c>
      <c r="C692" s="421" t="s">
        <v>1387</v>
      </c>
    </row>
    <row r="693" spans="1:3" x14ac:dyDescent="0.25">
      <c r="A693" s="417">
        <v>41538</v>
      </c>
      <c r="B693" s="418">
        <v>0.78789351851851863</v>
      </c>
      <c r="C693" s="421" t="s">
        <v>1387</v>
      </c>
    </row>
    <row r="694" spans="1:3" x14ac:dyDescent="0.25">
      <c r="A694" s="417">
        <v>41538</v>
      </c>
      <c r="B694" s="418">
        <v>0.78789351851851863</v>
      </c>
      <c r="C694" s="421" t="s">
        <v>1318</v>
      </c>
    </row>
    <row r="695" spans="1:3" x14ac:dyDescent="0.25">
      <c r="A695" s="417">
        <v>41538</v>
      </c>
      <c r="B695" s="418">
        <v>0.78789351851851863</v>
      </c>
      <c r="C695" s="421" t="s">
        <v>1388</v>
      </c>
    </row>
    <row r="696" spans="1:3" x14ac:dyDescent="0.25">
      <c r="A696" s="417">
        <v>41538</v>
      </c>
      <c r="B696" s="418">
        <v>0.78789351851851863</v>
      </c>
      <c r="C696" s="421" t="s">
        <v>1390</v>
      </c>
    </row>
    <row r="697" spans="1:3" x14ac:dyDescent="0.25">
      <c r="A697" s="417">
        <v>41538</v>
      </c>
      <c r="B697" s="418">
        <v>0.78789351851851863</v>
      </c>
      <c r="C697" s="421" t="s">
        <v>1391</v>
      </c>
    </row>
    <row r="698" spans="1:3" x14ac:dyDescent="0.25">
      <c r="A698" s="417">
        <v>41538</v>
      </c>
      <c r="B698" s="418">
        <v>0.78789351851851863</v>
      </c>
      <c r="C698" s="421" t="s">
        <v>1392</v>
      </c>
    </row>
    <row r="699" spans="1:3" x14ac:dyDescent="0.25">
      <c r="A699" s="417">
        <v>41538</v>
      </c>
      <c r="B699" s="418">
        <v>0.78791666666666671</v>
      </c>
      <c r="C699" s="421" t="s">
        <v>1294</v>
      </c>
    </row>
    <row r="700" spans="1:3" ht="60" x14ac:dyDescent="0.25">
      <c r="A700" s="417">
        <v>41538</v>
      </c>
      <c r="B700" s="418">
        <v>0.78791666666666671</v>
      </c>
      <c r="C700" s="946" t="s">
        <v>1295</v>
      </c>
    </row>
    <row r="701" spans="1:3" x14ac:dyDescent="0.25">
      <c r="A701" s="417">
        <v>41538</v>
      </c>
      <c r="B701" s="418">
        <v>0.78792824074074075</v>
      </c>
      <c r="C701" s="421" t="s">
        <v>1393</v>
      </c>
    </row>
    <row r="702" spans="1:3" x14ac:dyDescent="0.25">
      <c r="A702" s="417">
        <v>41538</v>
      </c>
      <c r="B702" s="418">
        <v>0.78792824074074075</v>
      </c>
      <c r="C702" s="421" t="s">
        <v>1394</v>
      </c>
    </row>
    <row r="703" spans="1:3" x14ac:dyDescent="0.25">
      <c r="A703" s="417">
        <v>41538</v>
      </c>
      <c r="B703" s="418">
        <v>0.78792824074074075</v>
      </c>
      <c r="C703" s="421" t="s">
        <v>1392</v>
      </c>
    </row>
    <row r="704" spans="1:3" x14ac:dyDescent="0.25">
      <c r="A704" s="417">
        <v>41538</v>
      </c>
      <c r="B704" s="418">
        <v>0.78792824074074075</v>
      </c>
      <c r="C704" s="421" t="s">
        <v>1395</v>
      </c>
    </row>
    <row r="705" spans="1:3" x14ac:dyDescent="0.25">
      <c r="A705" s="417">
        <v>41538</v>
      </c>
      <c r="B705" s="418">
        <v>0.78792824074074075</v>
      </c>
      <c r="C705" s="421" t="s">
        <v>1396</v>
      </c>
    </row>
    <row r="706" spans="1:3" x14ac:dyDescent="0.25">
      <c r="A706" s="417">
        <v>41538</v>
      </c>
      <c r="B706" s="418">
        <v>0.78792824074074075</v>
      </c>
      <c r="C706" s="421" t="s">
        <v>1363</v>
      </c>
    </row>
    <row r="707" spans="1:3" x14ac:dyDescent="0.25">
      <c r="A707" s="417">
        <v>41538</v>
      </c>
      <c r="B707" s="418">
        <v>0.78792824074074075</v>
      </c>
      <c r="C707" s="421" t="s">
        <v>1362</v>
      </c>
    </row>
    <row r="708" spans="1:3" x14ac:dyDescent="0.25">
      <c r="A708" s="417">
        <v>41538</v>
      </c>
      <c r="B708" s="418">
        <v>0.78792824074074075</v>
      </c>
      <c r="C708" s="421" t="s">
        <v>1397</v>
      </c>
    </row>
    <row r="709" spans="1:3" x14ac:dyDescent="0.25">
      <c r="A709" s="417">
        <v>41538</v>
      </c>
      <c r="B709" s="418">
        <v>0.78792824074074075</v>
      </c>
      <c r="C709" s="421" t="s">
        <v>1381</v>
      </c>
    </row>
    <row r="710" spans="1:3" x14ac:dyDescent="0.25">
      <c r="A710" s="417">
        <v>41538</v>
      </c>
      <c r="B710" s="418">
        <v>0.78792824074074075</v>
      </c>
      <c r="C710" s="421" t="s">
        <v>1398</v>
      </c>
    </row>
    <row r="711" spans="1:3" x14ac:dyDescent="0.25">
      <c r="A711" s="417">
        <v>41538</v>
      </c>
      <c r="B711" s="418">
        <v>0.78792824074074075</v>
      </c>
      <c r="C711" s="421" t="s">
        <v>1399</v>
      </c>
    </row>
    <row r="712" spans="1:3" x14ac:dyDescent="0.25">
      <c r="A712" s="417">
        <v>41538</v>
      </c>
      <c r="B712" s="418">
        <v>0.78792824074074075</v>
      </c>
      <c r="C712" s="421" t="s">
        <v>1400</v>
      </c>
    </row>
    <row r="713" spans="1:3" x14ac:dyDescent="0.25">
      <c r="A713" s="417">
        <v>41538</v>
      </c>
      <c r="B713" s="418">
        <v>0.78792824074074075</v>
      </c>
      <c r="C713" s="421" t="s">
        <v>1400</v>
      </c>
    </row>
    <row r="714" spans="1:3" x14ac:dyDescent="0.25">
      <c r="A714" s="417">
        <v>41538</v>
      </c>
      <c r="B714" s="418">
        <v>0.78792824074074075</v>
      </c>
      <c r="C714" s="421" t="s">
        <v>1373</v>
      </c>
    </row>
    <row r="715" spans="1:3" x14ac:dyDescent="0.25">
      <c r="A715" s="417">
        <v>41538</v>
      </c>
      <c r="B715" s="418">
        <v>0.78792824074074075</v>
      </c>
      <c r="C715" s="421" t="s">
        <v>1353</v>
      </c>
    </row>
    <row r="716" spans="1:3" x14ac:dyDescent="0.25">
      <c r="A716" s="417">
        <v>41538</v>
      </c>
      <c r="B716" s="418">
        <v>0.78792824074074075</v>
      </c>
      <c r="C716" s="421" t="s">
        <v>1353</v>
      </c>
    </row>
    <row r="717" spans="1:3" x14ac:dyDescent="0.25">
      <c r="A717" s="417">
        <v>41538</v>
      </c>
      <c r="B717" s="418">
        <v>0.78792824074074075</v>
      </c>
      <c r="C717" s="421" t="s">
        <v>1401</v>
      </c>
    </row>
    <row r="718" spans="1:3" x14ac:dyDescent="0.25">
      <c r="A718" s="417">
        <v>41538</v>
      </c>
      <c r="B718" s="418">
        <v>0.78792824074074075</v>
      </c>
      <c r="C718" s="421" t="s">
        <v>1392</v>
      </c>
    </row>
    <row r="719" spans="1:3" x14ac:dyDescent="0.25">
      <c r="A719" s="417">
        <v>41538</v>
      </c>
      <c r="B719" s="418">
        <v>0.78792824074074075</v>
      </c>
      <c r="C719" s="421" t="s">
        <v>1403</v>
      </c>
    </row>
    <row r="720" spans="1:3" x14ac:dyDescent="0.25">
      <c r="A720" s="417">
        <v>41538</v>
      </c>
      <c r="B720" s="418">
        <v>0.78792824074074075</v>
      </c>
      <c r="C720" s="421" t="s">
        <v>1403</v>
      </c>
    </row>
    <row r="721" spans="1:3" x14ac:dyDescent="0.25">
      <c r="A721" s="417">
        <v>41538</v>
      </c>
      <c r="B721" s="418">
        <v>0.78792824074074075</v>
      </c>
      <c r="C721" s="421" t="s">
        <v>1403</v>
      </c>
    </row>
    <row r="722" spans="1:3" x14ac:dyDescent="0.25">
      <c r="A722" s="417">
        <v>41538</v>
      </c>
      <c r="B722" s="418">
        <v>0.78792824074074075</v>
      </c>
      <c r="C722" s="421" t="s">
        <v>1362</v>
      </c>
    </row>
    <row r="723" spans="1:3" x14ac:dyDescent="0.25">
      <c r="A723" s="417">
        <v>41538</v>
      </c>
      <c r="B723" s="418">
        <v>0.78793981481481479</v>
      </c>
      <c r="C723" s="421" t="s">
        <v>1364</v>
      </c>
    </row>
    <row r="724" spans="1:3" x14ac:dyDescent="0.25">
      <c r="A724" s="417">
        <v>41538</v>
      </c>
      <c r="B724" s="418">
        <v>0.78793981481481479</v>
      </c>
      <c r="C724" s="421" t="s">
        <v>1364</v>
      </c>
    </row>
    <row r="725" spans="1:3" x14ac:dyDescent="0.25">
      <c r="A725" s="417">
        <v>41538</v>
      </c>
      <c r="B725" s="418">
        <v>0.78793981481481479</v>
      </c>
      <c r="C725" s="421" t="s">
        <v>1381</v>
      </c>
    </row>
    <row r="726" spans="1:3" x14ac:dyDescent="0.25">
      <c r="A726" s="417">
        <v>41538</v>
      </c>
      <c r="B726" s="418">
        <v>0.78793981481481479</v>
      </c>
      <c r="C726" s="421" t="s">
        <v>1364</v>
      </c>
    </row>
    <row r="727" spans="1:3" x14ac:dyDescent="0.25">
      <c r="A727" s="417">
        <v>41538</v>
      </c>
      <c r="B727" s="418">
        <v>0.78793981481481479</v>
      </c>
      <c r="C727" s="421" t="s">
        <v>1404</v>
      </c>
    </row>
    <row r="728" spans="1:3" x14ac:dyDescent="0.25">
      <c r="A728" s="417">
        <v>41538</v>
      </c>
      <c r="B728" s="418">
        <v>0.78793981481481479</v>
      </c>
      <c r="C728" s="421" t="s">
        <v>1346</v>
      </c>
    </row>
    <row r="729" spans="1:3" x14ac:dyDescent="0.25">
      <c r="A729" s="417">
        <v>41538</v>
      </c>
      <c r="B729" s="418">
        <v>0.78793981481481479</v>
      </c>
      <c r="C729" s="421" t="s">
        <v>1405</v>
      </c>
    </row>
    <row r="730" spans="1:3" x14ac:dyDescent="0.25">
      <c r="A730" s="417">
        <v>41538</v>
      </c>
      <c r="B730" s="418">
        <v>0.78793981481481479</v>
      </c>
      <c r="C730" s="421" t="s">
        <v>1406</v>
      </c>
    </row>
    <row r="731" spans="1:3" x14ac:dyDescent="0.25">
      <c r="A731" s="417">
        <v>41538</v>
      </c>
      <c r="B731" s="418">
        <v>0.78793981481481479</v>
      </c>
      <c r="C731" s="421" t="s">
        <v>1362</v>
      </c>
    </row>
    <row r="732" spans="1:3" x14ac:dyDescent="0.25">
      <c r="A732" s="417">
        <v>41538</v>
      </c>
      <c r="B732" s="418">
        <v>0.78793981481481479</v>
      </c>
      <c r="C732" s="421" t="s">
        <v>1408</v>
      </c>
    </row>
    <row r="733" spans="1:3" x14ac:dyDescent="0.25">
      <c r="A733" s="417">
        <v>41538</v>
      </c>
      <c r="B733" s="418">
        <v>0.78793981481481479</v>
      </c>
      <c r="C733" s="421" t="s">
        <v>1318</v>
      </c>
    </row>
    <row r="734" spans="1:3" x14ac:dyDescent="0.25">
      <c r="A734" s="417">
        <v>41538</v>
      </c>
      <c r="B734" s="418">
        <v>0.78793981481481479</v>
      </c>
      <c r="C734" s="421" t="s">
        <v>1368</v>
      </c>
    </row>
    <row r="735" spans="1:3" x14ac:dyDescent="0.25">
      <c r="A735" s="417">
        <v>41538</v>
      </c>
      <c r="B735" s="418">
        <v>0.78793981481481479</v>
      </c>
      <c r="C735" s="421" t="s">
        <v>1368</v>
      </c>
    </row>
    <row r="736" spans="1:3" x14ac:dyDescent="0.25">
      <c r="A736" s="417">
        <v>41538</v>
      </c>
      <c r="B736" s="418">
        <v>0.78793981481481479</v>
      </c>
      <c r="C736" s="421" t="s">
        <v>1368</v>
      </c>
    </row>
    <row r="737" spans="1:3" x14ac:dyDescent="0.25">
      <c r="A737" s="417">
        <v>41538</v>
      </c>
      <c r="B737" s="418">
        <v>0.78793981481481479</v>
      </c>
      <c r="C737" s="421" t="s">
        <v>1368</v>
      </c>
    </row>
    <row r="738" spans="1:3" x14ac:dyDescent="0.25">
      <c r="A738" s="417">
        <v>41538</v>
      </c>
      <c r="B738" s="418">
        <v>0.78793981481481479</v>
      </c>
      <c r="C738" s="421" t="s">
        <v>1368</v>
      </c>
    </row>
    <row r="739" spans="1:3" x14ac:dyDescent="0.25">
      <c r="A739" s="417">
        <v>41538</v>
      </c>
      <c r="B739" s="418">
        <v>0.78793981481481479</v>
      </c>
      <c r="C739" s="421" t="s">
        <v>1409</v>
      </c>
    </row>
    <row r="740" spans="1:3" x14ac:dyDescent="0.25">
      <c r="A740" s="417">
        <v>41538</v>
      </c>
      <c r="B740" s="418">
        <v>0.78793981481481479</v>
      </c>
      <c r="C740" s="421" t="s">
        <v>1308</v>
      </c>
    </row>
    <row r="741" spans="1:3" x14ac:dyDescent="0.25">
      <c r="A741" s="417">
        <v>41538</v>
      </c>
      <c r="B741" s="418">
        <v>0.78793981481481479</v>
      </c>
      <c r="C741" s="421" t="s">
        <v>1410</v>
      </c>
    </row>
    <row r="742" spans="1:3" x14ac:dyDescent="0.25">
      <c r="A742" s="417">
        <v>41538</v>
      </c>
      <c r="B742" s="418">
        <v>0.78793981481481479</v>
      </c>
      <c r="C742" s="421" t="s">
        <v>1410</v>
      </c>
    </row>
    <row r="743" spans="1:3" x14ac:dyDescent="0.25">
      <c r="A743" s="417">
        <v>41538</v>
      </c>
      <c r="B743" s="418">
        <v>0.78793981481481479</v>
      </c>
      <c r="C743" s="421" t="s">
        <v>1411</v>
      </c>
    </row>
    <row r="744" spans="1:3" x14ac:dyDescent="0.25">
      <c r="A744" s="417">
        <v>41538</v>
      </c>
      <c r="B744" s="418">
        <v>0.78793981481481479</v>
      </c>
      <c r="C744" s="421" t="s">
        <v>1412</v>
      </c>
    </row>
    <row r="745" spans="1:3" x14ac:dyDescent="0.25">
      <c r="A745" s="417">
        <v>41538</v>
      </c>
      <c r="B745" s="418">
        <v>0.78793981481481479</v>
      </c>
      <c r="C745" s="421" t="s">
        <v>1413</v>
      </c>
    </row>
    <row r="746" spans="1:3" x14ac:dyDescent="0.25">
      <c r="A746" s="417">
        <v>41538</v>
      </c>
      <c r="B746" s="418">
        <v>0.78793981481481479</v>
      </c>
      <c r="C746" s="421" t="s">
        <v>1414</v>
      </c>
    </row>
    <row r="747" spans="1:3" x14ac:dyDescent="0.25">
      <c r="A747" s="417">
        <v>41538</v>
      </c>
      <c r="B747" s="418">
        <v>0.78793981481481479</v>
      </c>
      <c r="C747" s="421" t="s">
        <v>1373</v>
      </c>
    </row>
    <row r="748" spans="1:3" x14ac:dyDescent="0.25">
      <c r="A748" s="417">
        <v>41538</v>
      </c>
      <c r="B748" s="418">
        <v>0.78793981481481479</v>
      </c>
      <c r="C748" s="421" t="s">
        <v>1415</v>
      </c>
    </row>
    <row r="749" spans="1:3" x14ac:dyDescent="0.25">
      <c r="A749" s="417">
        <v>41538</v>
      </c>
      <c r="B749" s="418">
        <v>0.78793981481481479</v>
      </c>
      <c r="C749" s="421" t="s">
        <v>1409</v>
      </c>
    </row>
    <row r="750" spans="1:3" x14ac:dyDescent="0.25">
      <c r="A750" s="417">
        <v>41538</v>
      </c>
      <c r="B750" s="418">
        <v>0.78793981481481479</v>
      </c>
      <c r="C750" s="421" t="s">
        <v>1416</v>
      </c>
    </row>
    <row r="751" spans="1:3" x14ac:dyDescent="0.25">
      <c r="A751" s="417">
        <v>41538</v>
      </c>
      <c r="B751" s="418">
        <v>0.78793981481481479</v>
      </c>
      <c r="C751" s="421" t="s">
        <v>1418</v>
      </c>
    </row>
    <row r="752" spans="1:3" x14ac:dyDescent="0.25">
      <c r="A752" s="417">
        <v>41538</v>
      </c>
      <c r="B752" s="418">
        <v>0.78793981481481479</v>
      </c>
      <c r="C752" s="421" t="s">
        <v>1348</v>
      </c>
    </row>
    <row r="753" spans="1:3" x14ac:dyDescent="0.25">
      <c r="A753" s="417">
        <v>41538</v>
      </c>
      <c r="B753" s="418">
        <v>0.78793981481481479</v>
      </c>
      <c r="C753" s="421" t="s">
        <v>1419</v>
      </c>
    </row>
    <row r="754" spans="1:3" x14ac:dyDescent="0.25">
      <c r="A754" s="417">
        <v>41538</v>
      </c>
      <c r="B754" s="418">
        <v>0.78793981481481479</v>
      </c>
      <c r="C754" s="421" t="s">
        <v>1419</v>
      </c>
    </row>
    <row r="755" spans="1:3" x14ac:dyDescent="0.25">
      <c r="A755" s="417">
        <v>41538</v>
      </c>
      <c r="B755" s="418">
        <v>0.78793981481481479</v>
      </c>
      <c r="C755" s="421" t="s">
        <v>1420</v>
      </c>
    </row>
    <row r="756" spans="1:3" x14ac:dyDescent="0.25">
      <c r="A756" s="417">
        <v>41538</v>
      </c>
      <c r="B756" s="418">
        <v>0.78793981481481479</v>
      </c>
      <c r="C756" s="421" t="s">
        <v>1421</v>
      </c>
    </row>
    <row r="757" spans="1:3" x14ac:dyDescent="0.25">
      <c r="A757" s="417">
        <v>41538</v>
      </c>
      <c r="B757" s="418">
        <v>0.78793981481481479</v>
      </c>
      <c r="C757" s="421" t="s">
        <v>1422</v>
      </c>
    </row>
    <row r="758" spans="1:3" x14ac:dyDescent="0.25">
      <c r="A758" s="417">
        <v>41538</v>
      </c>
      <c r="B758" s="418">
        <v>0.78793981481481479</v>
      </c>
      <c r="C758" s="421" t="s">
        <v>1423</v>
      </c>
    </row>
    <row r="759" spans="1:3" x14ac:dyDescent="0.25">
      <c r="A759" s="417">
        <v>41538</v>
      </c>
      <c r="B759" s="418">
        <v>0.78793981481481479</v>
      </c>
      <c r="C759" s="421" t="s">
        <v>1424</v>
      </c>
    </row>
    <row r="760" spans="1:3" x14ac:dyDescent="0.25">
      <c r="A760" s="417">
        <v>41538</v>
      </c>
      <c r="B760" s="418">
        <v>0.78793981481481479</v>
      </c>
      <c r="C760" s="421" t="s">
        <v>1425</v>
      </c>
    </row>
    <row r="761" spans="1:3" x14ac:dyDescent="0.25">
      <c r="A761" s="417">
        <v>41538</v>
      </c>
      <c r="B761" s="418">
        <v>0.78793981481481479</v>
      </c>
      <c r="C761" s="421" t="s">
        <v>1426</v>
      </c>
    </row>
    <row r="762" spans="1:3" x14ac:dyDescent="0.25">
      <c r="A762" s="417">
        <v>41538</v>
      </c>
      <c r="B762" s="418">
        <v>0.78793981481481479</v>
      </c>
      <c r="C762" s="421" t="s">
        <v>1427</v>
      </c>
    </row>
    <row r="763" spans="1:3" x14ac:dyDescent="0.25">
      <c r="A763" s="417">
        <v>41538</v>
      </c>
      <c r="B763" s="418">
        <v>0.78793981481481479</v>
      </c>
      <c r="C763" s="421" t="s">
        <v>1428</v>
      </c>
    </row>
    <row r="764" spans="1:3" x14ac:dyDescent="0.25">
      <c r="A764" s="417">
        <v>41538</v>
      </c>
      <c r="B764" s="418">
        <v>0.78793981481481479</v>
      </c>
      <c r="C764" s="421" t="s">
        <v>1320</v>
      </c>
    </row>
    <row r="765" spans="1:3" x14ac:dyDescent="0.25">
      <c r="A765" s="417">
        <v>41538</v>
      </c>
      <c r="B765" s="418">
        <v>0.78793981481481479</v>
      </c>
      <c r="C765" s="421" t="s">
        <v>1429</v>
      </c>
    </row>
    <row r="766" spans="1:3" x14ac:dyDescent="0.25">
      <c r="A766" s="417">
        <v>41538</v>
      </c>
      <c r="B766" s="418">
        <v>0.78793981481481479</v>
      </c>
      <c r="C766" s="421" t="s">
        <v>1430</v>
      </c>
    </row>
    <row r="767" spans="1:3" x14ac:dyDescent="0.25">
      <c r="A767" s="417">
        <v>41538</v>
      </c>
      <c r="B767" s="418">
        <v>0.78793981481481479</v>
      </c>
      <c r="C767" s="421" t="s">
        <v>1431</v>
      </c>
    </row>
    <row r="768" spans="1:3" x14ac:dyDescent="0.25">
      <c r="A768" s="417">
        <v>41538</v>
      </c>
      <c r="B768" s="418">
        <v>0.78793981481481479</v>
      </c>
      <c r="C768" s="421" t="s">
        <v>1308</v>
      </c>
    </row>
    <row r="769" spans="1:3" x14ac:dyDescent="0.25">
      <c r="A769" s="417">
        <v>41538</v>
      </c>
      <c r="B769" s="418">
        <v>0.78793981481481479</v>
      </c>
      <c r="C769" s="421" t="s">
        <v>1360</v>
      </c>
    </row>
    <row r="770" spans="1:3" x14ac:dyDescent="0.25">
      <c r="A770" s="417">
        <v>41538</v>
      </c>
      <c r="B770" s="418">
        <v>0.78793981481481479</v>
      </c>
      <c r="C770" s="421" t="s">
        <v>1432</v>
      </c>
    </row>
    <row r="771" spans="1:3" x14ac:dyDescent="0.25">
      <c r="A771" s="417">
        <v>41538</v>
      </c>
      <c r="B771" s="418">
        <v>0.78793981481481479</v>
      </c>
      <c r="C771" s="421" t="s">
        <v>1432</v>
      </c>
    </row>
    <row r="772" spans="1:3" x14ac:dyDescent="0.25">
      <c r="A772" s="417">
        <v>41538</v>
      </c>
      <c r="B772" s="418">
        <v>0.78793981481481479</v>
      </c>
      <c r="C772" s="421" t="s">
        <v>1432</v>
      </c>
    </row>
    <row r="773" spans="1:3" x14ac:dyDescent="0.25">
      <c r="A773" s="417">
        <v>41538</v>
      </c>
      <c r="B773" s="418">
        <v>0.78797453703703713</v>
      </c>
      <c r="C773" s="421" t="s">
        <v>1281</v>
      </c>
    </row>
    <row r="774" spans="1:3" ht="60" x14ac:dyDescent="0.25">
      <c r="A774" s="417">
        <v>41538</v>
      </c>
      <c r="B774" s="418">
        <v>0.78797453703703713</v>
      </c>
      <c r="C774" s="946" t="s">
        <v>1282</v>
      </c>
    </row>
    <row r="775" spans="1:3" x14ac:dyDescent="0.25">
      <c r="A775" s="417">
        <v>41538</v>
      </c>
      <c r="B775" s="418">
        <v>0.78798611111111105</v>
      </c>
      <c r="C775" s="421" t="s">
        <v>1413</v>
      </c>
    </row>
    <row r="776" spans="1:3" x14ac:dyDescent="0.25">
      <c r="A776" s="417">
        <v>41538</v>
      </c>
      <c r="B776" s="418">
        <v>0.78798611111111105</v>
      </c>
      <c r="C776" s="421" t="s">
        <v>1433</v>
      </c>
    </row>
    <row r="777" spans="1:3" x14ac:dyDescent="0.25">
      <c r="A777" s="417">
        <v>41538</v>
      </c>
      <c r="B777" s="418">
        <v>0.78798611111111105</v>
      </c>
      <c r="C777" s="421" t="s">
        <v>1434</v>
      </c>
    </row>
    <row r="778" spans="1:3" x14ac:dyDescent="0.25">
      <c r="A778" s="417">
        <v>41538</v>
      </c>
      <c r="B778" s="418">
        <v>0.78798611111111105</v>
      </c>
      <c r="C778" s="421" t="s">
        <v>1435</v>
      </c>
    </row>
    <row r="779" spans="1:3" x14ac:dyDescent="0.25">
      <c r="A779" s="417">
        <v>41538</v>
      </c>
      <c r="B779" s="418">
        <v>0.78798611111111105</v>
      </c>
      <c r="C779" s="421" t="s">
        <v>1436</v>
      </c>
    </row>
    <row r="780" spans="1:3" x14ac:dyDescent="0.25">
      <c r="A780" s="417">
        <v>41538</v>
      </c>
      <c r="B780" s="418">
        <v>0.78798611111111105</v>
      </c>
      <c r="C780" s="421" t="s">
        <v>1437</v>
      </c>
    </row>
    <row r="781" spans="1:3" x14ac:dyDescent="0.25">
      <c r="A781" s="417">
        <v>41538</v>
      </c>
      <c r="B781" s="418">
        <v>0.78798611111111105</v>
      </c>
      <c r="C781" s="421" t="s">
        <v>1438</v>
      </c>
    </row>
    <row r="782" spans="1:3" x14ac:dyDescent="0.25">
      <c r="A782" s="417">
        <v>41538</v>
      </c>
      <c r="B782" s="418">
        <v>0.78798611111111105</v>
      </c>
      <c r="C782" s="421" t="s">
        <v>1439</v>
      </c>
    </row>
    <row r="783" spans="1:3" x14ac:dyDescent="0.25">
      <c r="A783" s="417">
        <v>41538</v>
      </c>
      <c r="B783" s="418">
        <v>0.78798611111111105</v>
      </c>
      <c r="C783" s="421" t="s">
        <v>1440</v>
      </c>
    </row>
    <row r="784" spans="1:3" x14ac:dyDescent="0.25">
      <c r="A784" s="417">
        <v>41538</v>
      </c>
      <c r="B784" s="418">
        <v>0.78798611111111105</v>
      </c>
      <c r="C784" s="421" t="s">
        <v>1441</v>
      </c>
    </row>
    <row r="785" spans="1:3" x14ac:dyDescent="0.25">
      <c r="A785" s="417">
        <v>41538</v>
      </c>
      <c r="B785" s="418">
        <v>0.78798611111111105</v>
      </c>
      <c r="C785" s="421" t="s">
        <v>1320</v>
      </c>
    </row>
    <row r="786" spans="1:3" x14ac:dyDescent="0.25">
      <c r="A786" s="417">
        <v>41538</v>
      </c>
      <c r="B786" s="418">
        <v>0.78798611111111105</v>
      </c>
      <c r="C786" s="421" t="s">
        <v>1442</v>
      </c>
    </row>
    <row r="787" spans="1:3" x14ac:dyDescent="0.25">
      <c r="A787" s="417">
        <v>41538</v>
      </c>
      <c r="B787" s="418">
        <v>0.78798611111111105</v>
      </c>
      <c r="C787" s="421" t="s">
        <v>1443</v>
      </c>
    </row>
    <row r="788" spans="1:3" x14ac:dyDescent="0.25">
      <c r="A788" s="417">
        <v>41538</v>
      </c>
      <c r="B788" s="418">
        <v>0.78798611111111105</v>
      </c>
      <c r="C788" s="421" t="s">
        <v>1444</v>
      </c>
    </row>
    <row r="789" spans="1:3" x14ac:dyDescent="0.25">
      <c r="A789" s="417">
        <v>41538</v>
      </c>
      <c r="B789" s="418">
        <v>0.78798611111111105</v>
      </c>
      <c r="C789" s="421" t="s">
        <v>1445</v>
      </c>
    </row>
    <row r="790" spans="1:3" x14ac:dyDescent="0.25">
      <c r="A790" s="417">
        <v>41538</v>
      </c>
      <c r="B790" s="418">
        <v>0.78798611111111105</v>
      </c>
      <c r="C790" s="421" t="s">
        <v>1446</v>
      </c>
    </row>
    <row r="791" spans="1:3" x14ac:dyDescent="0.25">
      <c r="A791" s="417">
        <v>41538</v>
      </c>
      <c r="B791" s="418">
        <v>0.78798611111111105</v>
      </c>
      <c r="C791" s="421" t="s">
        <v>1238</v>
      </c>
    </row>
    <row r="792" spans="1:3" x14ac:dyDescent="0.25">
      <c r="A792" s="417">
        <v>41538</v>
      </c>
      <c r="B792" s="418">
        <v>0.7879976851851852</v>
      </c>
      <c r="C792" s="421" t="s">
        <v>1447</v>
      </c>
    </row>
    <row r="793" spans="1:3" x14ac:dyDescent="0.25">
      <c r="A793" s="417">
        <v>41538</v>
      </c>
      <c r="B793" s="418">
        <v>0.7879976851851852</v>
      </c>
      <c r="C793" s="421" t="s">
        <v>1389</v>
      </c>
    </row>
    <row r="794" spans="1:3" x14ac:dyDescent="0.25">
      <c r="A794" s="417">
        <v>41538</v>
      </c>
      <c r="B794" s="418">
        <v>0.7879976851851852</v>
      </c>
      <c r="C794" s="421" t="s">
        <v>1448</v>
      </c>
    </row>
    <row r="795" spans="1:3" x14ac:dyDescent="0.25">
      <c r="A795" s="417">
        <v>41538</v>
      </c>
      <c r="B795" s="418">
        <v>0.7879976851851852</v>
      </c>
      <c r="C795" s="421" t="s">
        <v>1450</v>
      </c>
    </row>
    <row r="796" spans="1:3" x14ac:dyDescent="0.25">
      <c r="A796" s="417">
        <v>41538</v>
      </c>
      <c r="B796" s="418">
        <v>0.7879976851851852</v>
      </c>
      <c r="C796" s="421" t="s">
        <v>1450</v>
      </c>
    </row>
    <row r="797" spans="1:3" x14ac:dyDescent="0.25">
      <c r="A797" s="417">
        <v>41538</v>
      </c>
      <c r="B797" s="418">
        <v>0.7879976851851852</v>
      </c>
      <c r="C797" s="421" t="s">
        <v>1450</v>
      </c>
    </row>
    <row r="798" spans="1:3" x14ac:dyDescent="0.25">
      <c r="A798" s="417">
        <v>41538</v>
      </c>
      <c r="B798" s="418">
        <v>0.7879976851851852</v>
      </c>
      <c r="C798" s="421" t="s">
        <v>1450</v>
      </c>
    </row>
    <row r="799" spans="1:3" x14ac:dyDescent="0.25">
      <c r="A799" s="417">
        <v>41538</v>
      </c>
      <c r="B799" s="418">
        <v>0.7879976851851852</v>
      </c>
      <c r="C799" s="421" t="s">
        <v>1450</v>
      </c>
    </row>
    <row r="800" spans="1:3" x14ac:dyDescent="0.25">
      <c r="A800" s="417">
        <v>41538</v>
      </c>
      <c r="B800" s="418">
        <v>0.7879976851851852</v>
      </c>
      <c r="C800" s="421" t="s">
        <v>1450</v>
      </c>
    </row>
    <row r="801" spans="1:3" x14ac:dyDescent="0.25">
      <c r="A801" s="417">
        <v>41538</v>
      </c>
      <c r="B801" s="418">
        <v>0.7879976851851852</v>
      </c>
      <c r="C801" s="421" t="s">
        <v>1450</v>
      </c>
    </row>
    <row r="802" spans="1:3" x14ac:dyDescent="0.25">
      <c r="A802" s="417">
        <v>41538</v>
      </c>
      <c r="B802" s="418">
        <v>0.7879976851851852</v>
      </c>
      <c r="C802" s="421" t="s">
        <v>1448</v>
      </c>
    </row>
    <row r="803" spans="1:3" x14ac:dyDescent="0.25">
      <c r="A803" s="417">
        <v>41538</v>
      </c>
      <c r="B803" s="418">
        <v>0.7879976851851852</v>
      </c>
      <c r="C803" s="421" t="s">
        <v>1399</v>
      </c>
    </row>
    <row r="804" spans="1:3" x14ac:dyDescent="0.25">
      <c r="A804" s="417">
        <v>41538</v>
      </c>
      <c r="B804" s="418">
        <v>0.7879976851851852</v>
      </c>
      <c r="C804" s="421" t="s">
        <v>1309</v>
      </c>
    </row>
    <row r="805" spans="1:3" x14ac:dyDescent="0.25">
      <c r="A805" s="417">
        <v>41538</v>
      </c>
      <c r="B805" s="418">
        <v>0.7879976851851852</v>
      </c>
      <c r="C805" s="421" t="s">
        <v>1451</v>
      </c>
    </row>
    <row r="806" spans="1:3" x14ac:dyDescent="0.25">
      <c r="A806" s="417">
        <v>41538</v>
      </c>
      <c r="B806" s="418">
        <v>0.7879976851851852</v>
      </c>
      <c r="C806" s="421" t="s">
        <v>1452</v>
      </c>
    </row>
    <row r="807" spans="1:3" x14ac:dyDescent="0.25">
      <c r="A807" s="417">
        <v>41538</v>
      </c>
      <c r="B807" s="418">
        <v>0.7879976851851852</v>
      </c>
      <c r="C807" s="421" t="s">
        <v>1453</v>
      </c>
    </row>
    <row r="808" spans="1:3" x14ac:dyDescent="0.25">
      <c r="A808" s="417">
        <v>41538</v>
      </c>
      <c r="B808" s="418">
        <v>0.79429398148148145</v>
      </c>
      <c r="C808" s="421" t="s">
        <v>1238</v>
      </c>
    </row>
    <row r="809" spans="1:3" x14ac:dyDescent="0.25">
      <c r="A809" s="417">
        <v>41538</v>
      </c>
      <c r="B809" s="418">
        <v>0.79429398148148145</v>
      </c>
      <c r="C809" s="421" t="s">
        <v>1307</v>
      </c>
    </row>
    <row r="810" spans="1:3" x14ac:dyDescent="0.25">
      <c r="A810" s="417">
        <v>41538</v>
      </c>
      <c r="B810" s="418">
        <v>0.79429398148148145</v>
      </c>
      <c r="C810" s="421" t="s">
        <v>1308</v>
      </c>
    </row>
    <row r="811" spans="1:3" x14ac:dyDescent="0.25">
      <c r="A811" s="417">
        <v>41538</v>
      </c>
      <c r="B811" s="418">
        <v>0.79429398148148145</v>
      </c>
      <c r="C811" s="421" t="s">
        <v>1309</v>
      </c>
    </row>
    <row r="812" spans="1:3" x14ac:dyDescent="0.25">
      <c r="A812" s="417">
        <v>41538</v>
      </c>
      <c r="B812" s="418">
        <v>0.79429398148148145</v>
      </c>
      <c r="C812" s="421" t="s">
        <v>1310</v>
      </c>
    </row>
    <row r="813" spans="1:3" x14ac:dyDescent="0.25">
      <c r="A813" s="417">
        <v>41538</v>
      </c>
      <c r="B813" s="418">
        <v>0.79429398148148145</v>
      </c>
      <c r="C813" s="421" t="s">
        <v>1311</v>
      </c>
    </row>
    <row r="814" spans="1:3" x14ac:dyDescent="0.25">
      <c r="A814" s="417">
        <v>41538</v>
      </c>
      <c r="B814" s="418">
        <v>0.79429398148148145</v>
      </c>
      <c r="C814" s="421" t="s">
        <v>1312</v>
      </c>
    </row>
    <row r="815" spans="1:3" x14ac:dyDescent="0.25">
      <c r="A815" s="417">
        <v>41538</v>
      </c>
      <c r="B815" s="418">
        <v>0.79429398148148145</v>
      </c>
      <c r="C815" s="421" t="s">
        <v>1313</v>
      </c>
    </row>
    <row r="816" spans="1:3" x14ac:dyDescent="0.25">
      <c r="A816" s="417">
        <v>41538</v>
      </c>
      <c r="B816" s="418">
        <v>0.79429398148148145</v>
      </c>
      <c r="C816" s="421" t="s">
        <v>1310</v>
      </c>
    </row>
    <row r="817" spans="1:3" x14ac:dyDescent="0.25">
      <c r="A817" s="417">
        <v>41538</v>
      </c>
      <c r="B817" s="418">
        <v>0.79429398148148145</v>
      </c>
      <c r="C817" s="421" t="s">
        <v>1314</v>
      </c>
    </row>
    <row r="818" spans="1:3" x14ac:dyDescent="0.25">
      <c r="A818" s="417">
        <v>41538</v>
      </c>
      <c r="B818" s="418">
        <v>0.79429398148148145</v>
      </c>
      <c r="C818" s="421" t="s">
        <v>1315</v>
      </c>
    </row>
    <row r="819" spans="1:3" x14ac:dyDescent="0.25">
      <c r="A819" s="417">
        <v>41538</v>
      </c>
      <c r="B819" s="418">
        <v>0.79429398148148145</v>
      </c>
      <c r="C819" s="421" t="s">
        <v>1460</v>
      </c>
    </row>
    <row r="820" spans="1:3" x14ac:dyDescent="0.25">
      <c r="A820" s="417">
        <v>41538</v>
      </c>
      <c r="B820" s="418">
        <v>0.79429398148148145</v>
      </c>
      <c r="C820" s="421" t="s">
        <v>1461</v>
      </c>
    </row>
    <row r="821" spans="1:3" x14ac:dyDescent="0.25">
      <c r="A821" s="417">
        <v>41538</v>
      </c>
      <c r="B821" s="418">
        <v>0.79429398148148145</v>
      </c>
      <c r="C821" s="421" t="s">
        <v>1310</v>
      </c>
    </row>
    <row r="822" spans="1:3" x14ac:dyDescent="0.25">
      <c r="A822" s="417">
        <v>41538</v>
      </c>
      <c r="B822" s="418">
        <v>0.79429398148148145</v>
      </c>
      <c r="C822" s="421" t="s">
        <v>1238</v>
      </c>
    </row>
    <row r="823" spans="1:3" x14ac:dyDescent="0.25">
      <c r="A823" s="417">
        <v>41538</v>
      </c>
      <c r="B823" s="418">
        <v>0.79429398148148145</v>
      </c>
      <c r="C823" s="421" t="s">
        <v>1462</v>
      </c>
    </row>
    <row r="824" spans="1:3" x14ac:dyDescent="0.25">
      <c r="A824" s="417">
        <v>41538</v>
      </c>
      <c r="B824" s="418">
        <v>0.79429398148148145</v>
      </c>
      <c r="C824" s="421" t="s">
        <v>1316</v>
      </c>
    </row>
    <row r="825" spans="1:3" x14ac:dyDescent="0.25">
      <c r="A825" s="417">
        <v>41538</v>
      </c>
      <c r="B825" s="418">
        <v>0.79429398148148145</v>
      </c>
      <c r="C825" s="421" t="s">
        <v>1316</v>
      </c>
    </row>
    <row r="826" spans="1:3" x14ac:dyDescent="0.25">
      <c r="A826" s="417">
        <v>41538</v>
      </c>
      <c r="B826" s="418">
        <v>0.79429398148148145</v>
      </c>
      <c r="C826" s="421" t="s">
        <v>1317</v>
      </c>
    </row>
    <row r="827" spans="1:3" x14ac:dyDescent="0.25">
      <c r="A827" s="417">
        <v>41538</v>
      </c>
      <c r="B827" s="418">
        <v>0.79429398148148145</v>
      </c>
      <c r="C827" s="421" t="s">
        <v>1309</v>
      </c>
    </row>
    <row r="828" spans="1:3" x14ac:dyDescent="0.25">
      <c r="A828" s="417">
        <v>41538</v>
      </c>
      <c r="B828" s="418">
        <v>0.79429398148148145</v>
      </c>
      <c r="C828" s="421" t="s">
        <v>1318</v>
      </c>
    </row>
    <row r="829" spans="1:3" x14ac:dyDescent="0.25">
      <c r="A829" s="417">
        <v>41538</v>
      </c>
      <c r="B829" s="418">
        <v>0.79429398148148145</v>
      </c>
      <c r="C829" s="421" t="s">
        <v>1319</v>
      </c>
    </row>
    <row r="830" spans="1:3" x14ac:dyDescent="0.25">
      <c r="A830" s="417">
        <v>41538</v>
      </c>
      <c r="B830" s="418">
        <v>0.79429398148148145</v>
      </c>
      <c r="C830" s="421" t="s">
        <v>1320</v>
      </c>
    </row>
    <row r="831" spans="1:3" x14ac:dyDescent="0.25">
      <c r="A831" s="417">
        <v>41538</v>
      </c>
      <c r="B831" s="418">
        <v>0.79429398148148145</v>
      </c>
      <c r="C831" s="421" t="s">
        <v>1318</v>
      </c>
    </row>
    <row r="832" spans="1:3" x14ac:dyDescent="0.25">
      <c r="A832" s="417">
        <v>41538</v>
      </c>
      <c r="B832" s="418">
        <v>0.79429398148148145</v>
      </c>
      <c r="C832" s="421" t="s">
        <v>1307</v>
      </c>
    </row>
    <row r="833" spans="1:3" x14ac:dyDescent="0.25">
      <c r="A833" s="417">
        <v>41538</v>
      </c>
      <c r="B833" s="418">
        <v>0.79429398148148145</v>
      </c>
      <c r="C833" s="421" t="s">
        <v>1321</v>
      </c>
    </row>
    <row r="834" spans="1:3" x14ac:dyDescent="0.25">
      <c r="A834" s="417">
        <v>41538</v>
      </c>
      <c r="B834" s="418">
        <v>0.79429398148148145</v>
      </c>
      <c r="C834" s="421" t="s">
        <v>1322</v>
      </c>
    </row>
    <row r="835" spans="1:3" x14ac:dyDescent="0.25">
      <c r="A835" s="417">
        <v>41538</v>
      </c>
      <c r="B835" s="418">
        <v>0.79429398148148145</v>
      </c>
      <c r="C835" s="421" t="s">
        <v>1322</v>
      </c>
    </row>
    <row r="836" spans="1:3" x14ac:dyDescent="0.25">
      <c r="A836" s="417">
        <v>41538</v>
      </c>
      <c r="B836" s="418">
        <v>0.79429398148148145</v>
      </c>
      <c r="C836" s="421" t="s">
        <v>1323</v>
      </c>
    </row>
    <row r="837" spans="1:3" x14ac:dyDescent="0.25">
      <c r="A837" s="417">
        <v>41538</v>
      </c>
      <c r="B837" s="418">
        <v>0.79429398148148145</v>
      </c>
      <c r="C837" s="421" t="s">
        <v>1324</v>
      </c>
    </row>
    <row r="838" spans="1:3" x14ac:dyDescent="0.25">
      <c r="A838" s="417">
        <v>41538</v>
      </c>
      <c r="B838" s="418">
        <v>0.79429398148148145</v>
      </c>
      <c r="C838" s="421" t="s">
        <v>1310</v>
      </c>
    </row>
    <row r="839" spans="1:3" x14ac:dyDescent="0.25">
      <c r="A839" s="417">
        <v>41538</v>
      </c>
      <c r="B839" s="418">
        <v>0.79429398148148145</v>
      </c>
      <c r="C839" s="421" t="s">
        <v>1325</v>
      </c>
    </row>
    <row r="840" spans="1:3" x14ac:dyDescent="0.25">
      <c r="A840" s="417">
        <v>41538</v>
      </c>
      <c r="B840" s="418">
        <v>0.79429398148148145</v>
      </c>
      <c r="C840" s="421" t="s">
        <v>1326</v>
      </c>
    </row>
    <row r="841" spans="1:3" x14ac:dyDescent="0.25">
      <c r="A841" s="417">
        <v>41538</v>
      </c>
      <c r="B841" s="418">
        <v>0.79429398148148145</v>
      </c>
      <c r="C841" s="421" t="s">
        <v>1327</v>
      </c>
    </row>
    <row r="842" spans="1:3" ht="45" x14ac:dyDescent="0.25">
      <c r="A842" s="417">
        <v>41538</v>
      </c>
      <c r="B842" s="418">
        <v>0.80765046296296295</v>
      </c>
      <c r="C842" s="946" t="s">
        <v>1465</v>
      </c>
    </row>
    <row r="843" spans="1:3" ht="45" x14ac:dyDescent="0.25">
      <c r="A843" s="417">
        <v>41538</v>
      </c>
      <c r="B843" s="418">
        <v>0.81020833333333331</v>
      </c>
      <c r="C843" s="946" t="s">
        <v>1466</v>
      </c>
    </row>
    <row r="844" spans="1:3" ht="45" x14ac:dyDescent="0.25">
      <c r="A844" s="417">
        <v>41538</v>
      </c>
      <c r="B844" s="418">
        <v>0.81114583333333334</v>
      </c>
      <c r="C844" s="946" t="s">
        <v>1467</v>
      </c>
    </row>
    <row r="845" spans="1:3" ht="45" x14ac:dyDescent="0.25">
      <c r="A845" s="417">
        <v>41538</v>
      </c>
      <c r="B845" s="418">
        <v>0.81134259259259256</v>
      </c>
      <c r="C845" s="946" t="s">
        <v>1468</v>
      </c>
    </row>
    <row r="846" spans="1:3" ht="30" x14ac:dyDescent="0.25">
      <c r="A846" s="417">
        <v>41538</v>
      </c>
      <c r="B846" s="418">
        <v>0.81150462962962966</v>
      </c>
      <c r="C846" s="946" t="s">
        <v>1469</v>
      </c>
    </row>
    <row r="847" spans="1:3" x14ac:dyDescent="0.25">
      <c r="A847" s="417">
        <v>41538</v>
      </c>
      <c r="B847" s="418">
        <v>0.81402777777777768</v>
      </c>
      <c r="C847" s="421" t="s">
        <v>1238</v>
      </c>
    </row>
    <row r="848" spans="1:3" x14ac:dyDescent="0.25">
      <c r="A848" s="417">
        <v>41538</v>
      </c>
      <c r="B848" s="418">
        <v>0.81402777777777768</v>
      </c>
      <c r="C848" s="421" t="s">
        <v>1307</v>
      </c>
    </row>
    <row r="849" spans="1:3" x14ac:dyDescent="0.25">
      <c r="A849" s="417">
        <v>41538</v>
      </c>
      <c r="B849" s="418">
        <v>0.81402777777777768</v>
      </c>
      <c r="C849" s="421" t="s">
        <v>1308</v>
      </c>
    </row>
    <row r="850" spans="1:3" x14ac:dyDescent="0.25">
      <c r="A850" s="417">
        <v>41538</v>
      </c>
      <c r="B850" s="418">
        <v>0.81402777777777768</v>
      </c>
      <c r="C850" s="421" t="s">
        <v>1309</v>
      </c>
    </row>
    <row r="851" spans="1:3" x14ac:dyDescent="0.25">
      <c r="A851" s="417">
        <v>41538</v>
      </c>
      <c r="B851" s="418">
        <v>0.81402777777777768</v>
      </c>
      <c r="C851" s="421" t="s">
        <v>1310</v>
      </c>
    </row>
    <row r="852" spans="1:3" x14ac:dyDescent="0.25">
      <c r="A852" s="417">
        <v>41538</v>
      </c>
      <c r="B852" s="418">
        <v>0.81402777777777768</v>
      </c>
      <c r="C852" s="421" t="s">
        <v>1311</v>
      </c>
    </row>
    <row r="853" spans="1:3" x14ac:dyDescent="0.25">
      <c r="A853" s="417">
        <v>41538</v>
      </c>
      <c r="B853" s="418">
        <v>0.81402777777777768</v>
      </c>
      <c r="C853" s="421" t="s">
        <v>1312</v>
      </c>
    </row>
    <row r="854" spans="1:3" x14ac:dyDescent="0.25">
      <c r="A854" s="417">
        <v>41538</v>
      </c>
      <c r="B854" s="418">
        <v>0.81402777777777768</v>
      </c>
      <c r="C854" s="421" t="s">
        <v>1313</v>
      </c>
    </row>
    <row r="855" spans="1:3" x14ac:dyDescent="0.25">
      <c r="A855" s="417">
        <v>41538</v>
      </c>
      <c r="B855" s="418">
        <v>0.81402777777777768</v>
      </c>
      <c r="C855" s="421" t="s">
        <v>1310</v>
      </c>
    </row>
    <row r="856" spans="1:3" x14ac:dyDescent="0.25">
      <c r="A856" s="417">
        <v>41538</v>
      </c>
      <c r="B856" s="418">
        <v>0.81402777777777768</v>
      </c>
      <c r="C856" s="421" t="s">
        <v>1314</v>
      </c>
    </row>
    <row r="857" spans="1:3" x14ac:dyDescent="0.25">
      <c r="A857" s="417">
        <v>41538</v>
      </c>
      <c r="B857" s="418">
        <v>0.81403935185185183</v>
      </c>
      <c r="C857" s="421" t="s">
        <v>1315</v>
      </c>
    </row>
    <row r="858" spans="1:3" x14ac:dyDescent="0.25">
      <c r="A858" s="417">
        <v>41538</v>
      </c>
      <c r="B858" s="418">
        <v>0.81403935185185183</v>
      </c>
      <c r="C858" s="421" t="s">
        <v>1460</v>
      </c>
    </row>
    <row r="859" spans="1:3" x14ac:dyDescent="0.25">
      <c r="A859" s="417">
        <v>41538</v>
      </c>
      <c r="B859" s="418">
        <v>0.81403935185185183</v>
      </c>
      <c r="C859" s="421" t="s">
        <v>1461</v>
      </c>
    </row>
    <row r="860" spans="1:3" x14ac:dyDescent="0.25">
      <c r="A860" s="417">
        <v>41538</v>
      </c>
      <c r="B860" s="418">
        <v>0.81403935185185183</v>
      </c>
      <c r="C860" s="421" t="s">
        <v>1310</v>
      </c>
    </row>
    <row r="861" spans="1:3" x14ac:dyDescent="0.25">
      <c r="A861" s="417">
        <v>41538</v>
      </c>
      <c r="B861" s="418">
        <v>0.81403935185185183</v>
      </c>
      <c r="C861" s="421" t="s">
        <v>1238</v>
      </c>
    </row>
    <row r="862" spans="1:3" x14ac:dyDescent="0.25">
      <c r="A862" s="417">
        <v>41538</v>
      </c>
      <c r="B862" s="418">
        <v>0.81403935185185183</v>
      </c>
      <c r="C862" s="421" t="s">
        <v>1462</v>
      </c>
    </row>
    <row r="863" spans="1:3" x14ac:dyDescent="0.25">
      <c r="A863" s="417">
        <v>41538</v>
      </c>
      <c r="B863" s="418">
        <v>0.81403935185185183</v>
      </c>
      <c r="C863" s="421" t="s">
        <v>1316</v>
      </c>
    </row>
    <row r="864" spans="1:3" x14ac:dyDescent="0.25">
      <c r="A864" s="417">
        <v>41538</v>
      </c>
      <c r="B864" s="418">
        <v>0.81403935185185183</v>
      </c>
      <c r="C864" s="421" t="s">
        <v>1316</v>
      </c>
    </row>
    <row r="865" spans="1:3" x14ac:dyDescent="0.25">
      <c r="A865" s="417">
        <v>41538</v>
      </c>
      <c r="B865" s="418">
        <v>0.81403935185185183</v>
      </c>
      <c r="C865" s="421" t="s">
        <v>1317</v>
      </c>
    </row>
    <row r="866" spans="1:3" x14ac:dyDescent="0.25">
      <c r="A866" s="417">
        <v>41538</v>
      </c>
      <c r="B866" s="418">
        <v>0.81403935185185183</v>
      </c>
      <c r="C866" s="421" t="s">
        <v>1309</v>
      </c>
    </row>
    <row r="867" spans="1:3" x14ac:dyDescent="0.25">
      <c r="A867" s="417">
        <v>41538</v>
      </c>
      <c r="B867" s="418">
        <v>0.81403935185185183</v>
      </c>
      <c r="C867" s="421" t="s">
        <v>1318</v>
      </c>
    </row>
    <row r="868" spans="1:3" x14ac:dyDescent="0.25">
      <c r="A868" s="417">
        <v>41538</v>
      </c>
      <c r="B868" s="418">
        <v>0.81403935185185183</v>
      </c>
      <c r="C868" s="421" t="s">
        <v>1319</v>
      </c>
    </row>
    <row r="869" spans="1:3" x14ac:dyDescent="0.25">
      <c r="A869" s="417">
        <v>41538</v>
      </c>
      <c r="B869" s="418">
        <v>0.81403935185185183</v>
      </c>
      <c r="C869" s="421" t="s">
        <v>1320</v>
      </c>
    </row>
    <row r="870" spans="1:3" x14ac:dyDescent="0.25">
      <c r="A870" s="417">
        <v>41538</v>
      </c>
      <c r="B870" s="418">
        <v>0.81403935185185183</v>
      </c>
      <c r="C870" s="421" t="s">
        <v>1318</v>
      </c>
    </row>
    <row r="871" spans="1:3" x14ac:dyDescent="0.25">
      <c r="A871" s="417">
        <v>41538</v>
      </c>
      <c r="B871" s="418">
        <v>0.81403935185185183</v>
      </c>
      <c r="C871" s="421" t="s">
        <v>1307</v>
      </c>
    </row>
    <row r="872" spans="1:3" x14ac:dyDescent="0.25">
      <c r="A872" s="417">
        <v>41538</v>
      </c>
      <c r="B872" s="418">
        <v>0.81403935185185183</v>
      </c>
      <c r="C872" s="421" t="s">
        <v>1321</v>
      </c>
    </row>
    <row r="873" spans="1:3" x14ac:dyDescent="0.25">
      <c r="A873" s="417">
        <v>41538</v>
      </c>
      <c r="B873" s="418">
        <v>0.81403935185185183</v>
      </c>
      <c r="C873" s="421" t="s">
        <v>1322</v>
      </c>
    </row>
    <row r="874" spans="1:3" x14ac:dyDescent="0.25">
      <c r="A874" s="417">
        <v>41538</v>
      </c>
      <c r="B874" s="418">
        <v>0.81403935185185183</v>
      </c>
      <c r="C874" s="421" t="s">
        <v>1322</v>
      </c>
    </row>
    <row r="875" spans="1:3" x14ac:dyDescent="0.25">
      <c r="A875" s="417">
        <v>41538</v>
      </c>
      <c r="B875" s="418">
        <v>0.81403935185185183</v>
      </c>
      <c r="C875" s="421" t="s">
        <v>1323</v>
      </c>
    </row>
    <row r="876" spans="1:3" x14ac:dyDescent="0.25">
      <c r="A876" s="417">
        <v>41538</v>
      </c>
      <c r="B876" s="418">
        <v>0.81403935185185183</v>
      </c>
      <c r="C876" s="421" t="s">
        <v>1324</v>
      </c>
    </row>
    <row r="877" spans="1:3" x14ac:dyDescent="0.25">
      <c r="A877" s="417">
        <v>41538</v>
      </c>
      <c r="B877" s="418">
        <v>0.81403935185185183</v>
      </c>
      <c r="C877" s="421" t="s">
        <v>1310</v>
      </c>
    </row>
    <row r="878" spans="1:3" x14ac:dyDescent="0.25">
      <c r="A878" s="417">
        <v>41538</v>
      </c>
      <c r="B878" s="418">
        <v>0.81403935185185183</v>
      </c>
      <c r="C878" s="421" t="s">
        <v>1325</v>
      </c>
    </row>
    <row r="879" spans="1:3" x14ac:dyDescent="0.25">
      <c r="A879" s="417">
        <v>41538</v>
      </c>
      <c r="B879" s="418">
        <v>0.81403935185185183</v>
      </c>
      <c r="C879" s="421" t="s">
        <v>1326</v>
      </c>
    </row>
    <row r="880" spans="1:3" x14ac:dyDescent="0.25">
      <c r="A880" s="417">
        <v>41538</v>
      </c>
      <c r="B880" s="418">
        <v>0.81403935185185183</v>
      </c>
      <c r="C880" s="421" t="s">
        <v>1327</v>
      </c>
    </row>
    <row r="881" spans="1:3" x14ac:dyDescent="0.25">
      <c r="A881" s="417">
        <v>41539</v>
      </c>
      <c r="B881" s="418">
        <v>0.67802083333333341</v>
      </c>
      <c r="C881" s="421" t="s">
        <v>1238</v>
      </c>
    </row>
    <row r="882" spans="1:3" x14ac:dyDescent="0.25">
      <c r="A882" s="417">
        <v>41539</v>
      </c>
      <c r="B882" s="418">
        <v>0.67802083333333341</v>
      </c>
      <c r="C882" s="421" t="s">
        <v>1307</v>
      </c>
    </row>
    <row r="883" spans="1:3" x14ac:dyDescent="0.25">
      <c r="A883" s="417">
        <v>41539</v>
      </c>
      <c r="B883" s="418">
        <v>0.67802083333333341</v>
      </c>
      <c r="C883" s="421" t="s">
        <v>1308</v>
      </c>
    </row>
    <row r="884" spans="1:3" x14ac:dyDescent="0.25">
      <c r="A884" s="417">
        <v>41539</v>
      </c>
      <c r="B884" s="418">
        <v>0.67802083333333341</v>
      </c>
      <c r="C884" s="421" t="s">
        <v>1309</v>
      </c>
    </row>
    <row r="885" spans="1:3" x14ac:dyDescent="0.25">
      <c r="A885" s="417">
        <v>41539</v>
      </c>
      <c r="B885" s="418">
        <v>0.67802083333333341</v>
      </c>
      <c r="C885" s="421" t="s">
        <v>1310</v>
      </c>
    </row>
    <row r="886" spans="1:3" x14ac:dyDescent="0.25">
      <c r="A886" s="417">
        <v>41539</v>
      </c>
      <c r="B886" s="418">
        <v>0.67802083333333341</v>
      </c>
      <c r="C886" s="421" t="s">
        <v>1311</v>
      </c>
    </row>
    <row r="887" spans="1:3" x14ac:dyDescent="0.25">
      <c r="A887" s="417">
        <v>41539</v>
      </c>
      <c r="B887" s="418">
        <v>0.67802083333333341</v>
      </c>
      <c r="C887" s="421" t="s">
        <v>1312</v>
      </c>
    </row>
    <row r="888" spans="1:3" x14ac:dyDescent="0.25">
      <c r="A888" s="417">
        <v>41539</v>
      </c>
      <c r="B888" s="418">
        <v>0.67802083333333341</v>
      </c>
      <c r="C888" s="421" t="s">
        <v>1313</v>
      </c>
    </row>
    <row r="889" spans="1:3" x14ac:dyDescent="0.25">
      <c r="A889" s="417">
        <v>41539</v>
      </c>
      <c r="B889" s="418">
        <v>0.67802083333333341</v>
      </c>
      <c r="C889" s="421" t="s">
        <v>1310</v>
      </c>
    </row>
    <row r="890" spans="1:3" x14ac:dyDescent="0.25">
      <c r="A890" s="417">
        <v>41539</v>
      </c>
      <c r="B890" s="418">
        <v>0.67802083333333341</v>
      </c>
      <c r="C890" s="421" t="s">
        <v>1314</v>
      </c>
    </row>
    <row r="891" spans="1:3" x14ac:dyDescent="0.25">
      <c r="A891" s="417">
        <v>41539</v>
      </c>
      <c r="B891" s="418">
        <v>0.67802083333333341</v>
      </c>
      <c r="C891" s="421" t="s">
        <v>1315</v>
      </c>
    </row>
    <row r="892" spans="1:3" x14ac:dyDescent="0.25">
      <c r="A892" s="417">
        <v>41539</v>
      </c>
      <c r="B892" s="418">
        <v>0.67802083333333341</v>
      </c>
      <c r="C892" s="421" t="s">
        <v>1460</v>
      </c>
    </row>
    <row r="893" spans="1:3" x14ac:dyDescent="0.25">
      <c r="A893" s="417">
        <v>41539</v>
      </c>
      <c r="B893" s="418">
        <v>0.67802083333333341</v>
      </c>
      <c r="C893" s="421" t="s">
        <v>1461</v>
      </c>
    </row>
    <row r="894" spans="1:3" x14ac:dyDescent="0.25">
      <c r="A894" s="417">
        <v>41539</v>
      </c>
      <c r="B894" s="418">
        <v>0.67802083333333341</v>
      </c>
      <c r="C894" s="421" t="s">
        <v>1310</v>
      </c>
    </row>
    <row r="895" spans="1:3" x14ac:dyDescent="0.25">
      <c r="A895" s="417">
        <v>41539</v>
      </c>
      <c r="B895" s="418">
        <v>0.67802083333333341</v>
      </c>
      <c r="C895" s="421" t="s">
        <v>1238</v>
      </c>
    </row>
    <row r="896" spans="1:3" x14ac:dyDescent="0.25">
      <c r="A896" s="417">
        <v>41539</v>
      </c>
      <c r="B896" s="418">
        <v>0.67802083333333341</v>
      </c>
      <c r="C896" s="421" t="s">
        <v>1462</v>
      </c>
    </row>
    <row r="897" spans="1:3" x14ac:dyDescent="0.25">
      <c r="A897" s="417">
        <v>41539</v>
      </c>
      <c r="B897" s="418">
        <v>0.67802083333333341</v>
      </c>
      <c r="C897" s="421" t="s">
        <v>1316</v>
      </c>
    </row>
    <row r="898" spans="1:3" x14ac:dyDescent="0.25">
      <c r="A898" s="417">
        <v>41539</v>
      </c>
      <c r="B898" s="418">
        <v>0.67802083333333341</v>
      </c>
      <c r="C898" s="421" t="s">
        <v>1316</v>
      </c>
    </row>
    <row r="899" spans="1:3" x14ac:dyDescent="0.25">
      <c r="A899" s="417">
        <v>41539</v>
      </c>
      <c r="B899" s="418">
        <v>0.67802083333333341</v>
      </c>
      <c r="C899" s="421" t="s">
        <v>1317</v>
      </c>
    </row>
    <row r="900" spans="1:3" x14ac:dyDescent="0.25">
      <c r="A900" s="417">
        <v>41539</v>
      </c>
      <c r="B900" s="418">
        <v>0.67802083333333341</v>
      </c>
      <c r="C900" s="421" t="s">
        <v>1309</v>
      </c>
    </row>
    <row r="901" spans="1:3" x14ac:dyDescent="0.25">
      <c r="A901" s="417">
        <v>41539</v>
      </c>
      <c r="B901" s="418">
        <v>0.67802083333333341</v>
      </c>
      <c r="C901" s="421" t="s">
        <v>1318</v>
      </c>
    </row>
    <row r="902" spans="1:3" x14ac:dyDescent="0.25">
      <c r="A902" s="417">
        <v>41539</v>
      </c>
      <c r="B902" s="418">
        <v>0.67802083333333341</v>
      </c>
      <c r="C902" s="421" t="s">
        <v>1319</v>
      </c>
    </row>
    <row r="903" spans="1:3" x14ac:dyDescent="0.25">
      <c r="A903" s="417">
        <v>41539</v>
      </c>
      <c r="B903" s="418">
        <v>0.67802083333333341</v>
      </c>
      <c r="C903" s="421" t="s">
        <v>1320</v>
      </c>
    </row>
    <row r="904" spans="1:3" x14ac:dyDescent="0.25">
      <c r="A904" s="417">
        <v>41539</v>
      </c>
      <c r="B904" s="418">
        <v>0.67802083333333341</v>
      </c>
      <c r="C904" s="421" t="s">
        <v>1318</v>
      </c>
    </row>
    <row r="905" spans="1:3" x14ac:dyDescent="0.25">
      <c r="A905" s="417">
        <v>41539</v>
      </c>
      <c r="B905" s="418">
        <v>0.67802083333333341</v>
      </c>
      <c r="C905" s="421" t="s">
        <v>1307</v>
      </c>
    </row>
    <row r="906" spans="1:3" x14ac:dyDescent="0.25">
      <c r="A906" s="417">
        <v>41539</v>
      </c>
      <c r="B906" s="418">
        <v>0.67802083333333341</v>
      </c>
      <c r="C906" s="421" t="s">
        <v>1321</v>
      </c>
    </row>
    <row r="907" spans="1:3" x14ac:dyDescent="0.25">
      <c r="A907" s="417">
        <v>41539</v>
      </c>
      <c r="B907" s="418">
        <v>0.67802083333333341</v>
      </c>
      <c r="C907" s="421" t="s">
        <v>1322</v>
      </c>
    </row>
    <row r="908" spans="1:3" x14ac:dyDescent="0.25">
      <c r="A908" s="417">
        <v>41539</v>
      </c>
      <c r="B908" s="418">
        <v>0.67802083333333341</v>
      </c>
      <c r="C908" s="421" t="s">
        <v>1322</v>
      </c>
    </row>
    <row r="909" spans="1:3" x14ac:dyDescent="0.25">
      <c r="A909" s="417">
        <v>41539</v>
      </c>
      <c r="B909" s="418">
        <v>0.67803240740740733</v>
      </c>
      <c r="C909" s="421" t="s">
        <v>1323</v>
      </c>
    </row>
    <row r="910" spans="1:3" x14ac:dyDescent="0.25">
      <c r="A910" s="417">
        <v>41539</v>
      </c>
      <c r="B910" s="418">
        <v>0.67803240740740733</v>
      </c>
      <c r="C910" s="421" t="s">
        <v>1324</v>
      </c>
    </row>
    <row r="911" spans="1:3" x14ac:dyDescent="0.25">
      <c r="A911" s="417">
        <v>41539</v>
      </c>
      <c r="B911" s="418">
        <v>0.67803240740740733</v>
      </c>
      <c r="C911" s="421" t="s">
        <v>1310</v>
      </c>
    </row>
    <row r="912" spans="1:3" x14ac:dyDescent="0.25">
      <c r="A912" s="417">
        <v>41539</v>
      </c>
      <c r="B912" s="418">
        <v>0.67803240740740733</v>
      </c>
      <c r="C912" s="421" t="s">
        <v>1325</v>
      </c>
    </row>
    <row r="913" spans="1:3" x14ac:dyDescent="0.25">
      <c r="A913" s="417">
        <v>41539</v>
      </c>
      <c r="B913" s="418">
        <v>0.67803240740740733</v>
      </c>
      <c r="C913" s="421" t="s">
        <v>1326</v>
      </c>
    </row>
    <row r="914" spans="1:3" x14ac:dyDescent="0.25">
      <c r="A914" s="417">
        <v>41539</v>
      </c>
      <c r="B914" s="418">
        <v>0.67803240740740733</v>
      </c>
      <c r="C914" s="421" t="s">
        <v>1327</v>
      </c>
    </row>
    <row r="915" spans="1:3" ht="45" x14ac:dyDescent="0.25">
      <c r="A915" s="417">
        <v>41539</v>
      </c>
      <c r="B915" s="418">
        <v>0.68428240740740742</v>
      </c>
      <c r="C915" s="946" t="s">
        <v>1470</v>
      </c>
    </row>
    <row r="916" spans="1:3" ht="30" x14ac:dyDescent="0.25">
      <c r="A916" s="417">
        <v>41539</v>
      </c>
      <c r="B916" s="418">
        <v>0.69497685185185187</v>
      </c>
      <c r="C916" s="946" t="s">
        <v>1471</v>
      </c>
    </row>
    <row r="917" spans="1:3" ht="45" x14ac:dyDescent="0.25">
      <c r="A917" s="417">
        <v>41539</v>
      </c>
      <c r="B917" s="418">
        <v>0.72667824074074072</v>
      </c>
      <c r="C917" s="946" t="s">
        <v>1472</v>
      </c>
    </row>
    <row r="918" spans="1:3" ht="45" x14ac:dyDescent="0.25">
      <c r="A918" s="417">
        <v>41539</v>
      </c>
      <c r="B918" s="418">
        <v>0.72763888888888895</v>
      </c>
      <c r="C918" s="946" t="s">
        <v>1473</v>
      </c>
    </row>
    <row r="919" spans="1:3" ht="45" x14ac:dyDescent="0.25">
      <c r="A919" s="417">
        <v>41539</v>
      </c>
      <c r="B919" s="418">
        <v>0.72854166666666664</v>
      </c>
      <c r="C919" s="946" t="s">
        <v>1474</v>
      </c>
    </row>
    <row r="920" spans="1:3" ht="30" x14ac:dyDescent="0.25">
      <c r="A920" s="417">
        <v>41539</v>
      </c>
      <c r="B920" s="418">
        <v>0.72942129629629626</v>
      </c>
      <c r="C920" s="946" t="s">
        <v>1475</v>
      </c>
    </row>
    <row r="921" spans="1:3" ht="45" x14ac:dyDescent="0.25">
      <c r="A921" s="417">
        <v>41539</v>
      </c>
      <c r="B921" s="418">
        <v>0.73506944444444444</v>
      </c>
      <c r="C921" s="946" t="s">
        <v>1476</v>
      </c>
    </row>
    <row r="922" spans="1:3" x14ac:dyDescent="0.25">
      <c r="A922" s="417">
        <v>41539</v>
      </c>
      <c r="B922" s="418">
        <v>0.73526620370370377</v>
      </c>
      <c r="C922" s="421" t="s">
        <v>1238</v>
      </c>
    </row>
    <row r="923" spans="1:3" x14ac:dyDescent="0.25">
      <c r="A923" s="417">
        <v>41539</v>
      </c>
      <c r="B923" s="418">
        <v>0.73526620370370377</v>
      </c>
      <c r="C923" s="421" t="s">
        <v>1307</v>
      </c>
    </row>
    <row r="924" spans="1:3" x14ac:dyDescent="0.25">
      <c r="A924" s="417">
        <v>41539</v>
      </c>
      <c r="B924" s="418">
        <v>0.73526620370370377</v>
      </c>
      <c r="C924" s="421" t="s">
        <v>1308</v>
      </c>
    </row>
    <row r="925" spans="1:3" x14ac:dyDescent="0.25">
      <c r="A925" s="417">
        <v>41539</v>
      </c>
      <c r="B925" s="418">
        <v>0.73526620370370377</v>
      </c>
      <c r="C925" s="421" t="s">
        <v>1309</v>
      </c>
    </row>
    <row r="926" spans="1:3" x14ac:dyDescent="0.25">
      <c r="A926" s="417">
        <v>41539</v>
      </c>
      <c r="B926" s="418">
        <v>0.73526620370370377</v>
      </c>
      <c r="C926" s="421" t="s">
        <v>1310</v>
      </c>
    </row>
    <row r="927" spans="1:3" x14ac:dyDescent="0.25">
      <c r="A927" s="417">
        <v>41539</v>
      </c>
      <c r="B927" s="418">
        <v>0.73526620370370377</v>
      </c>
      <c r="C927" s="421" t="s">
        <v>1311</v>
      </c>
    </row>
    <row r="928" spans="1:3" x14ac:dyDescent="0.25">
      <c r="A928" s="417">
        <v>41539</v>
      </c>
      <c r="B928" s="418">
        <v>0.73526620370370377</v>
      </c>
      <c r="C928" s="421" t="s">
        <v>1312</v>
      </c>
    </row>
    <row r="929" spans="1:3" x14ac:dyDescent="0.25">
      <c r="A929" s="417">
        <v>41539</v>
      </c>
      <c r="B929" s="418">
        <v>0.73526620370370377</v>
      </c>
      <c r="C929" s="421" t="s">
        <v>1313</v>
      </c>
    </row>
    <row r="930" spans="1:3" x14ac:dyDescent="0.25">
      <c r="A930" s="417">
        <v>41539</v>
      </c>
      <c r="B930" s="418">
        <v>0.73526620370370377</v>
      </c>
      <c r="C930" s="421" t="s">
        <v>1310</v>
      </c>
    </row>
    <row r="931" spans="1:3" x14ac:dyDescent="0.25">
      <c r="A931" s="417">
        <v>41539</v>
      </c>
      <c r="B931" s="418">
        <v>0.73526620370370377</v>
      </c>
      <c r="C931" s="421" t="s">
        <v>1314</v>
      </c>
    </row>
    <row r="932" spans="1:3" x14ac:dyDescent="0.25">
      <c r="A932" s="417">
        <v>41539</v>
      </c>
      <c r="B932" s="418">
        <v>0.73526620370370377</v>
      </c>
      <c r="C932" s="421" t="s">
        <v>1315</v>
      </c>
    </row>
    <row r="933" spans="1:3" x14ac:dyDescent="0.25">
      <c r="A933" s="417">
        <v>41539</v>
      </c>
      <c r="B933" s="418">
        <v>0.73526620370370377</v>
      </c>
      <c r="C933" s="421" t="s">
        <v>1460</v>
      </c>
    </row>
    <row r="934" spans="1:3" x14ac:dyDescent="0.25">
      <c r="A934" s="417">
        <v>41539</v>
      </c>
      <c r="B934" s="418">
        <v>0.73526620370370377</v>
      </c>
      <c r="C934" s="421" t="s">
        <v>1461</v>
      </c>
    </row>
    <row r="935" spans="1:3" x14ac:dyDescent="0.25">
      <c r="A935" s="417">
        <v>41539</v>
      </c>
      <c r="B935" s="418">
        <v>0.73526620370370377</v>
      </c>
      <c r="C935" s="421" t="s">
        <v>1310</v>
      </c>
    </row>
    <row r="936" spans="1:3" x14ac:dyDescent="0.25">
      <c r="A936" s="417">
        <v>41539</v>
      </c>
      <c r="B936" s="418">
        <v>0.73526620370370377</v>
      </c>
      <c r="C936" s="421" t="s">
        <v>1238</v>
      </c>
    </row>
    <row r="937" spans="1:3" x14ac:dyDescent="0.25">
      <c r="A937" s="417">
        <v>41539</v>
      </c>
      <c r="B937" s="418">
        <v>0.73526620370370377</v>
      </c>
      <c r="C937" s="421" t="s">
        <v>1462</v>
      </c>
    </row>
    <row r="938" spans="1:3" x14ac:dyDescent="0.25">
      <c r="A938" s="417">
        <v>41539</v>
      </c>
      <c r="B938" s="418">
        <v>0.73526620370370377</v>
      </c>
      <c r="C938" s="421" t="s">
        <v>1316</v>
      </c>
    </row>
    <row r="939" spans="1:3" x14ac:dyDescent="0.25">
      <c r="A939" s="417">
        <v>41539</v>
      </c>
      <c r="B939" s="418">
        <v>0.73526620370370377</v>
      </c>
      <c r="C939" s="421" t="s">
        <v>1316</v>
      </c>
    </row>
    <row r="940" spans="1:3" x14ac:dyDescent="0.25">
      <c r="A940" s="417">
        <v>41539</v>
      </c>
      <c r="B940" s="418">
        <v>0.73526620370370377</v>
      </c>
      <c r="C940" s="421" t="s">
        <v>1317</v>
      </c>
    </row>
    <row r="941" spans="1:3" x14ac:dyDescent="0.25">
      <c r="A941" s="417">
        <v>41539</v>
      </c>
      <c r="B941" s="418">
        <v>0.73526620370370377</v>
      </c>
      <c r="C941" s="421" t="s">
        <v>1309</v>
      </c>
    </row>
    <row r="942" spans="1:3" x14ac:dyDescent="0.25">
      <c r="A942" s="417">
        <v>41539</v>
      </c>
      <c r="B942" s="418">
        <v>0.73526620370370377</v>
      </c>
      <c r="C942" s="421" t="s">
        <v>1318</v>
      </c>
    </row>
    <row r="943" spans="1:3" x14ac:dyDescent="0.25">
      <c r="A943" s="417">
        <v>41539</v>
      </c>
      <c r="B943" s="418">
        <v>0.73526620370370377</v>
      </c>
      <c r="C943" s="421" t="s">
        <v>1319</v>
      </c>
    </row>
    <row r="944" spans="1:3" x14ac:dyDescent="0.25">
      <c r="A944" s="417">
        <v>41539</v>
      </c>
      <c r="B944" s="418">
        <v>0.73526620370370377</v>
      </c>
      <c r="C944" s="421" t="s">
        <v>1320</v>
      </c>
    </row>
    <row r="945" spans="1:3" x14ac:dyDescent="0.25">
      <c r="A945" s="417">
        <v>41539</v>
      </c>
      <c r="B945" s="418">
        <v>0.73526620370370377</v>
      </c>
      <c r="C945" s="421" t="s">
        <v>1318</v>
      </c>
    </row>
    <row r="946" spans="1:3" x14ac:dyDescent="0.25">
      <c r="A946" s="417">
        <v>41539</v>
      </c>
      <c r="B946" s="418">
        <v>0.73526620370370377</v>
      </c>
      <c r="C946" s="421" t="s">
        <v>1307</v>
      </c>
    </row>
    <row r="947" spans="1:3" x14ac:dyDescent="0.25">
      <c r="A947" s="417">
        <v>41539</v>
      </c>
      <c r="B947" s="418">
        <v>0.73526620370370377</v>
      </c>
      <c r="C947" s="421" t="s">
        <v>1321</v>
      </c>
    </row>
    <row r="948" spans="1:3" x14ac:dyDescent="0.25">
      <c r="A948" s="417">
        <v>41539</v>
      </c>
      <c r="B948" s="418">
        <v>0.73526620370370377</v>
      </c>
      <c r="C948" s="421" t="s">
        <v>1322</v>
      </c>
    </row>
    <row r="949" spans="1:3" x14ac:dyDescent="0.25">
      <c r="A949" s="417">
        <v>41539</v>
      </c>
      <c r="B949" s="418">
        <v>0.73526620370370377</v>
      </c>
      <c r="C949" s="421" t="s">
        <v>1322</v>
      </c>
    </row>
    <row r="950" spans="1:3" x14ac:dyDescent="0.25">
      <c r="A950" s="417">
        <v>41539</v>
      </c>
      <c r="B950" s="418">
        <v>0.73526620370370377</v>
      </c>
      <c r="C950" s="421" t="s">
        <v>1323</v>
      </c>
    </row>
    <row r="951" spans="1:3" x14ac:dyDescent="0.25">
      <c r="A951" s="417">
        <v>41539</v>
      </c>
      <c r="B951" s="418">
        <v>0.73526620370370377</v>
      </c>
      <c r="C951" s="421" t="s">
        <v>1324</v>
      </c>
    </row>
    <row r="952" spans="1:3" x14ac:dyDescent="0.25">
      <c r="A952" s="417">
        <v>41539</v>
      </c>
      <c r="B952" s="418">
        <v>0.73526620370370377</v>
      </c>
      <c r="C952" s="421" t="s">
        <v>1310</v>
      </c>
    </row>
    <row r="953" spans="1:3" x14ac:dyDescent="0.25">
      <c r="A953" s="417">
        <v>41539</v>
      </c>
      <c r="B953" s="418">
        <v>0.73526620370370377</v>
      </c>
      <c r="C953" s="421" t="s">
        <v>1325</v>
      </c>
    </row>
    <row r="954" spans="1:3" x14ac:dyDescent="0.25">
      <c r="A954" s="417">
        <v>41539</v>
      </c>
      <c r="B954" s="418">
        <v>0.73526620370370377</v>
      </c>
      <c r="C954" s="421" t="s">
        <v>1326</v>
      </c>
    </row>
    <row r="955" spans="1:3" x14ac:dyDescent="0.25">
      <c r="A955" s="417">
        <v>41539</v>
      </c>
      <c r="B955" s="418">
        <v>0.73526620370370377</v>
      </c>
      <c r="C955" s="421" t="s">
        <v>1327</v>
      </c>
    </row>
    <row r="956" spans="1:3" ht="30" x14ac:dyDescent="0.25">
      <c r="A956" s="417">
        <v>41539</v>
      </c>
      <c r="B956" s="418">
        <v>0.92221064814814813</v>
      </c>
      <c r="C956" s="946" t="s">
        <v>1477</v>
      </c>
    </row>
    <row r="957" spans="1:3" x14ac:dyDescent="0.25">
      <c r="A957" s="417">
        <v>41539</v>
      </c>
      <c r="B957" s="418">
        <v>0.92245370370370372</v>
      </c>
      <c r="C957" s="421" t="s">
        <v>1238</v>
      </c>
    </row>
    <row r="958" spans="1:3" x14ac:dyDescent="0.25">
      <c r="A958" s="417">
        <v>41539</v>
      </c>
      <c r="B958" s="418">
        <v>0.92245370370370372</v>
      </c>
      <c r="C958" s="421" t="s">
        <v>1307</v>
      </c>
    </row>
    <row r="959" spans="1:3" x14ac:dyDescent="0.25">
      <c r="A959" s="417">
        <v>41539</v>
      </c>
      <c r="B959" s="418">
        <v>0.92245370370370372</v>
      </c>
      <c r="C959" s="421" t="s">
        <v>1308</v>
      </c>
    </row>
    <row r="960" spans="1:3" x14ac:dyDescent="0.25">
      <c r="A960" s="417">
        <v>41539</v>
      </c>
      <c r="B960" s="418">
        <v>0.92245370370370372</v>
      </c>
      <c r="C960" s="421" t="s">
        <v>1309</v>
      </c>
    </row>
    <row r="961" spans="1:3" x14ac:dyDescent="0.25">
      <c r="A961" s="417">
        <v>41539</v>
      </c>
      <c r="B961" s="418">
        <v>0.92245370370370372</v>
      </c>
      <c r="C961" s="421" t="s">
        <v>1310</v>
      </c>
    </row>
    <row r="962" spans="1:3" x14ac:dyDescent="0.25">
      <c r="A962" s="417">
        <v>41539</v>
      </c>
      <c r="B962" s="418">
        <v>0.92245370370370372</v>
      </c>
      <c r="C962" s="421" t="s">
        <v>1311</v>
      </c>
    </row>
    <row r="963" spans="1:3" x14ac:dyDescent="0.25">
      <c r="A963" s="417">
        <v>41539</v>
      </c>
      <c r="B963" s="418">
        <v>0.92245370370370372</v>
      </c>
      <c r="C963" s="421" t="s">
        <v>1312</v>
      </c>
    </row>
    <row r="964" spans="1:3" x14ac:dyDescent="0.25">
      <c r="A964" s="417">
        <v>41539</v>
      </c>
      <c r="B964" s="418">
        <v>0.92245370370370372</v>
      </c>
      <c r="C964" s="421" t="s">
        <v>1313</v>
      </c>
    </row>
    <row r="965" spans="1:3" x14ac:dyDescent="0.25">
      <c r="A965" s="417">
        <v>41539</v>
      </c>
      <c r="B965" s="418">
        <v>0.92245370370370372</v>
      </c>
      <c r="C965" s="421" t="s">
        <v>1310</v>
      </c>
    </row>
    <row r="966" spans="1:3" x14ac:dyDescent="0.25">
      <c r="A966" s="417">
        <v>41539</v>
      </c>
      <c r="B966" s="418">
        <v>0.92245370370370372</v>
      </c>
      <c r="C966" s="421" t="s">
        <v>1314</v>
      </c>
    </row>
    <row r="967" spans="1:3" x14ac:dyDescent="0.25">
      <c r="A967" s="417">
        <v>41539</v>
      </c>
      <c r="B967" s="418">
        <v>0.92245370370370372</v>
      </c>
      <c r="C967" s="421" t="s">
        <v>1315</v>
      </c>
    </row>
    <row r="968" spans="1:3" x14ac:dyDescent="0.25">
      <c r="A968" s="417">
        <v>41539</v>
      </c>
      <c r="B968" s="418">
        <v>0.92245370370370372</v>
      </c>
      <c r="C968" s="421" t="s">
        <v>1460</v>
      </c>
    </row>
    <row r="969" spans="1:3" x14ac:dyDescent="0.25">
      <c r="A969" s="417">
        <v>41539</v>
      </c>
      <c r="B969" s="418">
        <v>0.92245370370370372</v>
      </c>
      <c r="C969" s="421" t="s">
        <v>1461</v>
      </c>
    </row>
    <row r="970" spans="1:3" x14ac:dyDescent="0.25">
      <c r="A970" s="417">
        <v>41539</v>
      </c>
      <c r="B970" s="418">
        <v>0.92245370370370372</v>
      </c>
      <c r="C970" s="421" t="s">
        <v>1310</v>
      </c>
    </row>
    <row r="971" spans="1:3" x14ac:dyDescent="0.25">
      <c r="A971" s="417">
        <v>41539</v>
      </c>
      <c r="B971" s="418">
        <v>0.92245370370370372</v>
      </c>
      <c r="C971" s="421" t="s">
        <v>1238</v>
      </c>
    </row>
    <row r="972" spans="1:3" x14ac:dyDescent="0.25">
      <c r="A972" s="417">
        <v>41539</v>
      </c>
      <c r="B972" s="418">
        <v>0.92245370370370372</v>
      </c>
      <c r="C972" s="421" t="s">
        <v>1462</v>
      </c>
    </row>
    <row r="973" spans="1:3" x14ac:dyDescent="0.25">
      <c r="A973" s="417">
        <v>41539</v>
      </c>
      <c r="B973" s="418">
        <v>0.92245370370370372</v>
      </c>
      <c r="C973" s="421" t="s">
        <v>1316</v>
      </c>
    </row>
    <row r="974" spans="1:3" x14ac:dyDescent="0.25">
      <c r="A974" s="417">
        <v>41539</v>
      </c>
      <c r="B974" s="418">
        <v>0.92245370370370372</v>
      </c>
      <c r="C974" s="421" t="s">
        <v>1316</v>
      </c>
    </row>
    <row r="975" spans="1:3" x14ac:dyDescent="0.25">
      <c r="A975" s="417">
        <v>41539</v>
      </c>
      <c r="B975" s="418">
        <v>0.92245370370370372</v>
      </c>
      <c r="C975" s="421" t="s">
        <v>1317</v>
      </c>
    </row>
    <row r="976" spans="1:3" x14ac:dyDescent="0.25">
      <c r="A976" s="417">
        <v>41539</v>
      </c>
      <c r="B976" s="418">
        <v>0.92245370370370372</v>
      </c>
      <c r="C976" s="421" t="s">
        <v>1309</v>
      </c>
    </row>
    <row r="977" spans="1:3" x14ac:dyDescent="0.25">
      <c r="A977" s="417">
        <v>41539</v>
      </c>
      <c r="B977" s="418">
        <v>0.92245370370370372</v>
      </c>
      <c r="C977" s="421" t="s">
        <v>1318</v>
      </c>
    </row>
    <row r="978" spans="1:3" x14ac:dyDescent="0.25">
      <c r="A978" s="417">
        <v>41539</v>
      </c>
      <c r="B978" s="418">
        <v>0.92245370370370372</v>
      </c>
      <c r="C978" s="421" t="s">
        <v>1319</v>
      </c>
    </row>
    <row r="979" spans="1:3" x14ac:dyDescent="0.25">
      <c r="A979" s="417">
        <v>41539</v>
      </c>
      <c r="B979" s="418">
        <v>0.92245370370370372</v>
      </c>
      <c r="C979" s="421" t="s">
        <v>1320</v>
      </c>
    </row>
    <row r="980" spans="1:3" x14ac:dyDescent="0.25">
      <c r="A980" s="417">
        <v>41539</v>
      </c>
      <c r="B980" s="418">
        <v>0.92245370370370372</v>
      </c>
      <c r="C980" s="421" t="s">
        <v>1318</v>
      </c>
    </row>
    <row r="981" spans="1:3" x14ac:dyDescent="0.25">
      <c r="A981" s="417">
        <v>41539</v>
      </c>
      <c r="B981" s="418">
        <v>0.92245370370370372</v>
      </c>
      <c r="C981" s="421" t="s">
        <v>1307</v>
      </c>
    </row>
    <row r="982" spans="1:3" x14ac:dyDescent="0.25">
      <c r="A982" s="417">
        <v>41539</v>
      </c>
      <c r="B982" s="418">
        <v>0.92245370370370372</v>
      </c>
      <c r="C982" s="421" t="s">
        <v>1321</v>
      </c>
    </row>
    <row r="983" spans="1:3" x14ac:dyDescent="0.25">
      <c r="A983" s="417">
        <v>41539</v>
      </c>
      <c r="B983" s="418">
        <v>0.92245370370370372</v>
      </c>
      <c r="C983" s="421" t="s">
        <v>1322</v>
      </c>
    </row>
    <row r="984" spans="1:3" x14ac:dyDescent="0.25">
      <c r="A984" s="417">
        <v>41539</v>
      </c>
      <c r="B984" s="418">
        <v>0.92245370370370372</v>
      </c>
      <c r="C984" s="421" t="s">
        <v>1322</v>
      </c>
    </row>
    <row r="985" spans="1:3" x14ac:dyDescent="0.25">
      <c r="A985" s="417">
        <v>41539</v>
      </c>
      <c r="B985" s="418">
        <v>0.92245370370370372</v>
      </c>
      <c r="C985" s="421" t="s">
        <v>1323</v>
      </c>
    </row>
    <row r="986" spans="1:3" x14ac:dyDescent="0.25">
      <c r="A986" s="417">
        <v>41539</v>
      </c>
      <c r="B986" s="418">
        <v>0.92245370370370372</v>
      </c>
      <c r="C986" s="421" t="s">
        <v>1324</v>
      </c>
    </row>
    <row r="987" spans="1:3" x14ac:dyDescent="0.25">
      <c r="A987" s="417">
        <v>41539</v>
      </c>
      <c r="B987" s="418">
        <v>0.92245370370370372</v>
      </c>
      <c r="C987" s="421" t="s">
        <v>1310</v>
      </c>
    </row>
    <row r="988" spans="1:3" x14ac:dyDescent="0.25">
      <c r="A988" s="417">
        <v>41539</v>
      </c>
      <c r="B988" s="418">
        <v>0.92245370370370372</v>
      </c>
      <c r="C988" s="421" t="s">
        <v>1325</v>
      </c>
    </row>
    <row r="989" spans="1:3" x14ac:dyDescent="0.25">
      <c r="A989" s="417">
        <v>41539</v>
      </c>
      <c r="B989" s="418">
        <v>0.92245370370370372</v>
      </c>
      <c r="C989" s="421" t="s">
        <v>1326</v>
      </c>
    </row>
    <row r="990" spans="1:3" x14ac:dyDescent="0.25">
      <c r="A990" s="417">
        <v>41539</v>
      </c>
      <c r="B990" s="418">
        <v>0.92245370370370372</v>
      </c>
      <c r="C990" s="421" t="s">
        <v>1327</v>
      </c>
    </row>
    <row r="991" spans="1:3" x14ac:dyDescent="0.25">
      <c r="A991" s="417">
        <v>41539</v>
      </c>
      <c r="B991" s="418">
        <v>0.92274305555555547</v>
      </c>
      <c r="C991" s="421" t="s">
        <v>1328</v>
      </c>
    </row>
    <row r="992" spans="1:3" ht="60" x14ac:dyDescent="0.25">
      <c r="A992" s="417">
        <v>41539</v>
      </c>
      <c r="B992" s="418">
        <v>0.92274305555555547</v>
      </c>
      <c r="C992" s="946" t="s">
        <v>1478</v>
      </c>
    </row>
    <row r="993" spans="1:3" x14ac:dyDescent="0.25">
      <c r="A993" s="417">
        <v>41539</v>
      </c>
      <c r="B993" s="418">
        <v>0.92284722222222226</v>
      </c>
      <c r="C993" s="421" t="s">
        <v>1323</v>
      </c>
    </row>
    <row r="994" spans="1:3" x14ac:dyDescent="0.25">
      <c r="A994" s="417">
        <v>41539</v>
      </c>
      <c r="B994" s="418">
        <v>0.92284722222222226</v>
      </c>
      <c r="C994" s="421" t="s">
        <v>1342</v>
      </c>
    </row>
    <row r="995" spans="1:3" x14ac:dyDescent="0.25">
      <c r="A995" s="417">
        <v>41539</v>
      </c>
      <c r="B995" s="418">
        <v>0.92284722222222226</v>
      </c>
      <c r="C995" s="421" t="s">
        <v>1343</v>
      </c>
    </row>
    <row r="996" spans="1:3" x14ac:dyDescent="0.25">
      <c r="A996" s="417">
        <v>41539</v>
      </c>
      <c r="B996" s="418">
        <v>0.92284722222222226</v>
      </c>
      <c r="C996" s="421" t="s">
        <v>1344</v>
      </c>
    </row>
    <row r="997" spans="1:3" x14ac:dyDescent="0.25">
      <c r="A997" s="417">
        <v>41539</v>
      </c>
      <c r="B997" s="418">
        <v>0.92284722222222226</v>
      </c>
      <c r="C997" s="421" t="s">
        <v>1344</v>
      </c>
    </row>
    <row r="998" spans="1:3" x14ac:dyDescent="0.25">
      <c r="A998" s="417">
        <v>41539</v>
      </c>
      <c r="B998" s="418">
        <v>0.92284722222222226</v>
      </c>
      <c r="C998" s="421" t="s">
        <v>1310</v>
      </c>
    </row>
    <row r="999" spans="1:3" x14ac:dyDescent="0.25">
      <c r="A999" s="417">
        <v>41539</v>
      </c>
      <c r="B999" s="418">
        <v>0.92284722222222226</v>
      </c>
      <c r="C999" s="421" t="s">
        <v>1345</v>
      </c>
    </row>
    <row r="1000" spans="1:3" x14ac:dyDescent="0.25">
      <c r="A1000" s="417">
        <v>41539</v>
      </c>
      <c r="B1000" s="418">
        <v>0.92284722222222226</v>
      </c>
      <c r="C1000" s="421" t="s">
        <v>1346</v>
      </c>
    </row>
    <row r="1001" spans="1:3" x14ac:dyDescent="0.25">
      <c r="A1001" s="417">
        <v>41539</v>
      </c>
      <c r="B1001" s="418">
        <v>0.92284722222222226</v>
      </c>
      <c r="C1001" s="421" t="s">
        <v>1347</v>
      </c>
    </row>
    <row r="1002" spans="1:3" x14ac:dyDescent="0.25">
      <c r="A1002" s="417">
        <v>41539</v>
      </c>
      <c r="B1002" s="418">
        <v>0.92284722222222226</v>
      </c>
      <c r="C1002" s="421" t="s">
        <v>1348</v>
      </c>
    </row>
    <row r="1003" spans="1:3" x14ac:dyDescent="0.25">
      <c r="A1003" s="417">
        <v>41539</v>
      </c>
      <c r="B1003" s="418">
        <v>0.92284722222222226</v>
      </c>
      <c r="C1003" s="421" t="s">
        <v>1349</v>
      </c>
    </row>
    <row r="1004" spans="1:3" x14ac:dyDescent="0.25">
      <c r="A1004" s="417">
        <v>41539</v>
      </c>
      <c r="B1004" s="418">
        <v>0.92284722222222226</v>
      </c>
      <c r="C1004" s="421" t="s">
        <v>1349</v>
      </c>
    </row>
    <row r="1005" spans="1:3" x14ac:dyDescent="0.25">
      <c r="A1005" s="417">
        <v>41539</v>
      </c>
      <c r="B1005" s="418">
        <v>0.92284722222222226</v>
      </c>
      <c r="C1005" s="421" t="s">
        <v>1348</v>
      </c>
    </row>
    <row r="1006" spans="1:3" x14ac:dyDescent="0.25">
      <c r="A1006" s="417">
        <v>41539</v>
      </c>
      <c r="B1006" s="418">
        <v>0.92284722222222226</v>
      </c>
      <c r="C1006" s="421" t="s">
        <v>1350</v>
      </c>
    </row>
    <row r="1007" spans="1:3" x14ac:dyDescent="0.25">
      <c r="A1007" s="417">
        <v>41539</v>
      </c>
      <c r="B1007" s="418">
        <v>0.92284722222222226</v>
      </c>
      <c r="C1007" s="421" t="s">
        <v>1351</v>
      </c>
    </row>
    <row r="1008" spans="1:3" x14ac:dyDescent="0.25">
      <c r="A1008" s="417">
        <v>41539</v>
      </c>
      <c r="B1008" s="418">
        <v>0.92284722222222226</v>
      </c>
      <c r="C1008" s="421" t="s">
        <v>1352</v>
      </c>
    </row>
    <row r="1009" spans="1:3" x14ac:dyDescent="0.25">
      <c r="A1009" s="417">
        <v>41539</v>
      </c>
      <c r="B1009" s="418">
        <v>0.92287037037037034</v>
      </c>
      <c r="C1009" s="421" t="s">
        <v>1287</v>
      </c>
    </row>
    <row r="1010" spans="1:3" ht="60" x14ac:dyDescent="0.25">
      <c r="A1010" s="417">
        <v>41539</v>
      </c>
      <c r="B1010" s="418">
        <v>0.92287037037037034</v>
      </c>
      <c r="C1010" s="946" t="s">
        <v>1288</v>
      </c>
    </row>
    <row r="1011" spans="1:3" x14ac:dyDescent="0.25">
      <c r="A1011" s="417">
        <v>41539</v>
      </c>
      <c r="B1011" s="418">
        <v>0.92290509259259268</v>
      </c>
      <c r="C1011" s="421" t="s">
        <v>1353</v>
      </c>
    </row>
    <row r="1012" spans="1:3" x14ac:dyDescent="0.25">
      <c r="A1012" s="417">
        <v>41539</v>
      </c>
      <c r="B1012" s="418">
        <v>0.92290509259259268</v>
      </c>
      <c r="C1012" s="421" t="s">
        <v>1354</v>
      </c>
    </row>
    <row r="1013" spans="1:3" x14ac:dyDescent="0.25">
      <c r="A1013" s="417">
        <v>41539</v>
      </c>
      <c r="B1013" s="418">
        <v>0.92290509259259268</v>
      </c>
      <c r="C1013" s="421" t="s">
        <v>1355</v>
      </c>
    </row>
    <row r="1014" spans="1:3" x14ac:dyDescent="0.25">
      <c r="A1014" s="417">
        <v>41539</v>
      </c>
      <c r="B1014" s="418">
        <v>0.92290509259259268</v>
      </c>
      <c r="C1014" s="421" t="s">
        <v>1357</v>
      </c>
    </row>
    <row r="1015" spans="1:3" x14ac:dyDescent="0.25">
      <c r="A1015" s="417">
        <v>41539</v>
      </c>
      <c r="B1015" s="418">
        <v>0.92290509259259268</v>
      </c>
      <c r="C1015" s="421" t="s">
        <v>1358</v>
      </c>
    </row>
    <row r="1016" spans="1:3" x14ac:dyDescent="0.25">
      <c r="A1016" s="417">
        <v>41539</v>
      </c>
      <c r="B1016" s="418">
        <v>0.92290509259259268</v>
      </c>
      <c r="C1016" s="421" t="s">
        <v>1359</v>
      </c>
    </row>
    <row r="1017" spans="1:3" x14ac:dyDescent="0.25">
      <c r="A1017" s="417">
        <v>41539</v>
      </c>
      <c r="B1017" s="418">
        <v>0.92290509259259268</v>
      </c>
      <c r="C1017" s="421" t="s">
        <v>1360</v>
      </c>
    </row>
    <row r="1018" spans="1:3" x14ac:dyDescent="0.25">
      <c r="A1018" s="417">
        <v>41539</v>
      </c>
      <c r="B1018" s="418">
        <v>0.92290509259259268</v>
      </c>
      <c r="C1018" s="421" t="s">
        <v>1361</v>
      </c>
    </row>
    <row r="1019" spans="1:3" x14ac:dyDescent="0.25">
      <c r="A1019" s="417">
        <v>41539</v>
      </c>
      <c r="B1019" s="418">
        <v>0.92290509259259268</v>
      </c>
      <c r="C1019" s="421" t="s">
        <v>1317</v>
      </c>
    </row>
    <row r="1020" spans="1:3" x14ac:dyDescent="0.25">
      <c r="A1020" s="417">
        <v>41539</v>
      </c>
      <c r="B1020" s="418">
        <v>0.92290509259259268</v>
      </c>
      <c r="C1020" s="421" t="s">
        <v>1362</v>
      </c>
    </row>
    <row r="1021" spans="1:3" x14ac:dyDescent="0.25">
      <c r="A1021" s="417">
        <v>41539</v>
      </c>
      <c r="B1021" s="418">
        <v>0.92290509259259268</v>
      </c>
      <c r="C1021" s="421" t="s">
        <v>1355</v>
      </c>
    </row>
    <row r="1022" spans="1:3" x14ac:dyDescent="0.25">
      <c r="A1022" s="417">
        <v>41539</v>
      </c>
      <c r="B1022" s="418">
        <v>0.92290509259259268</v>
      </c>
      <c r="C1022" s="421" t="s">
        <v>1363</v>
      </c>
    </row>
    <row r="1023" spans="1:3" x14ac:dyDescent="0.25">
      <c r="A1023" s="417">
        <v>41539</v>
      </c>
      <c r="B1023" s="418">
        <v>0.92290509259259268</v>
      </c>
      <c r="C1023" s="421" t="s">
        <v>1364</v>
      </c>
    </row>
    <row r="1024" spans="1:3" x14ac:dyDescent="0.25">
      <c r="A1024" s="417">
        <v>41539</v>
      </c>
      <c r="B1024" s="418">
        <v>0.92290509259259268</v>
      </c>
      <c r="C1024" s="421" t="s">
        <v>1365</v>
      </c>
    </row>
    <row r="1025" spans="1:3" x14ac:dyDescent="0.25">
      <c r="A1025" s="417">
        <v>41539</v>
      </c>
      <c r="B1025" s="418">
        <v>0.92290509259259268</v>
      </c>
      <c r="C1025" s="421" t="s">
        <v>1365</v>
      </c>
    </row>
    <row r="1026" spans="1:3" x14ac:dyDescent="0.25">
      <c r="A1026" s="417">
        <v>41539</v>
      </c>
      <c r="B1026" s="418">
        <v>0.92290509259259268</v>
      </c>
      <c r="C1026" s="421" t="s">
        <v>1366</v>
      </c>
    </row>
    <row r="1027" spans="1:3" x14ac:dyDescent="0.25">
      <c r="A1027" s="417">
        <v>41539</v>
      </c>
      <c r="B1027" s="418">
        <v>0.92290509259259268</v>
      </c>
      <c r="C1027" s="421" t="s">
        <v>1320</v>
      </c>
    </row>
    <row r="1028" spans="1:3" x14ac:dyDescent="0.25">
      <c r="A1028" s="417">
        <v>41539</v>
      </c>
      <c r="B1028" s="418">
        <v>0.92290509259259268</v>
      </c>
      <c r="C1028" s="421" t="s">
        <v>1367</v>
      </c>
    </row>
    <row r="1029" spans="1:3" x14ac:dyDescent="0.25">
      <c r="A1029" s="417">
        <v>41539</v>
      </c>
      <c r="B1029" s="418">
        <v>0.92290509259259268</v>
      </c>
      <c r="C1029" s="421" t="s">
        <v>1344</v>
      </c>
    </row>
    <row r="1030" spans="1:3" x14ac:dyDescent="0.25">
      <c r="A1030" s="417">
        <v>41539</v>
      </c>
      <c r="B1030" s="418">
        <v>0.92290509259259268</v>
      </c>
      <c r="C1030" s="421" t="s">
        <v>1368</v>
      </c>
    </row>
    <row r="1031" spans="1:3" x14ac:dyDescent="0.25">
      <c r="A1031" s="417">
        <v>41539</v>
      </c>
      <c r="B1031" s="418">
        <v>0.92290509259259268</v>
      </c>
      <c r="C1031" s="421" t="s">
        <v>1369</v>
      </c>
    </row>
    <row r="1032" spans="1:3" x14ac:dyDescent="0.25">
      <c r="A1032" s="417">
        <v>41539</v>
      </c>
      <c r="B1032" s="418">
        <v>0.92290509259259268</v>
      </c>
      <c r="C1032" s="421" t="s">
        <v>1307</v>
      </c>
    </row>
    <row r="1033" spans="1:3" x14ac:dyDescent="0.25">
      <c r="A1033" s="417">
        <v>41539</v>
      </c>
      <c r="B1033" s="418">
        <v>0.92290509259259268</v>
      </c>
      <c r="C1033" s="421" t="s">
        <v>1370</v>
      </c>
    </row>
    <row r="1034" spans="1:3" x14ac:dyDescent="0.25">
      <c r="A1034" s="417">
        <v>41539</v>
      </c>
      <c r="B1034" s="418">
        <v>0.92290509259259268</v>
      </c>
      <c r="C1034" s="421" t="s">
        <v>1371</v>
      </c>
    </row>
    <row r="1035" spans="1:3" x14ac:dyDescent="0.25">
      <c r="A1035" s="417">
        <v>41539</v>
      </c>
      <c r="B1035" s="418">
        <v>0.92290509259259268</v>
      </c>
      <c r="C1035" s="421" t="s">
        <v>1344</v>
      </c>
    </row>
    <row r="1036" spans="1:3" x14ac:dyDescent="0.25">
      <c r="A1036" s="417">
        <v>41539</v>
      </c>
      <c r="B1036" s="418">
        <v>0.92290509259259268</v>
      </c>
      <c r="C1036" s="421" t="s">
        <v>1317</v>
      </c>
    </row>
    <row r="1037" spans="1:3" x14ac:dyDescent="0.25">
      <c r="A1037" s="417">
        <v>41539</v>
      </c>
      <c r="B1037" s="418">
        <v>0.92290509259259268</v>
      </c>
      <c r="C1037" s="421" t="s">
        <v>1463</v>
      </c>
    </row>
    <row r="1038" spans="1:3" x14ac:dyDescent="0.25">
      <c r="A1038" s="417">
        <v>41539</v>
      </c>
      <c r="B1038" s="418">
        <v>0.9229398148148148</v>
      </c>
      <c r="C1038" s="421" t="s">
        <v>1378</v>
      </c>
    </row>
    <row r="1039" spans="1:3" ht="60" x14ac:dyDescent="0.25">
      <c r="A1039" s="417">
        <v>41539</v>
      </c>
      <c r="B1039" s="418">
        <v>0.9229398148148148</v>
      </c>
      <c r="C1039" s="946" t="s">
        <v>1479</v>
      </c>
    </row>
    <row r="1040" spans="1:3" x14ac:dyDescent="0.25">
      <c r="A1040" s="417">
        <v>41539</v>
      </c>
      <c r="B1040" s="418">
        <v>0.92298611111111117</v>
      </c>
      <c r="C1040" s="421" t="s">
        <v>1373</v>
      </c>
    </row>
    <row r="1041" spans="1:3" x14ac:dyDescent="0.25">
      <c r="A1041" s="417">
        <v>41539</v>
      </c>
      <c r="B1041" s="418">
        <v>0.92298611111111117</v>
      </c>
      <c r="C1041" s="421" t="s">
        <v>1308</v>
      </c>
    </row>
    <row r="1042" spans="1:3" x14ac:dyDescent="0.25">
      <c r="A1042" s="417">
        <v>41539</v>
      </c>
      <c r="B1042" s="418">
        <v>0.92298611111111117</v>
      </c>
      <c r="C1042" s="421" t="s">
        <v>1374</v>
      </c>
    </row>
    <row r="1043" spans="1:3" x14ac:dyDescent="0.25">
      <c r="A1043" s="417">
        <v>41539</v>
      </c>
      <c r="B1043" s="418">
        <v>0.92298611111111117</v>
      </c>
      <c r="C1043" s="421" t="s">
        <v>1375</v>
      </c>
    </row>
    <row r="1044" spans="1:3" x14ac:dyDescent="0.25">
      <c r="A1044" s="417">
        <v>41539</v>
      </c>
      <c r="B1044" s="418">
        <v>0.92298611111111117</v>
      </c>
      <c r="C1044" s="421" t="s">
        <v>1376</v>
      </c>
    </row>
    <row r="1045" spans="1:3" x14ac:dyDescent="0.25">
      <c r="A1045" s="417">
        <v>41539</v>
      </c>
      <c r="B1045" s="418">
        <v>0.92298611111111117</v>
      </c>
      <c r="C1045" s="421" t="s">
        <v>1377</v>
      </c>
    </row>
    <row r="1046" spans="1:3" x14ac:dyDescent="0.25">
      <c r="A1046" s="417">
        <v>41539</v>
      </c>
      <c r="B1046" s="418">
        <v>0.92298611111111117</v>
      </c>
      <c r="C1046" s="421" t="s">
        <v>1326</v>
      </c>
    </row>
    <row r="1047" spans="1:3" x14ac:dyDescent="0.25">
      <c r="A1047" s="417">
        <v>41539</v>
      </c>
      <c r="B1047" s="418">
        <v>0.92300925925925925</v>
      </c>
      <c r="C1047" s="421" t="s">
        <v>1378</v>
      </c>
    </row>
    <row r="1048" spans="1:3" ht="60" x14ac:dyDescent="0.25">
      <c r="A1048" s="417">
        <v>41539</v>
      </c>
      <c r="B1048" s="418">
        <v>0.92300925925925925</v>
      </c>
      <c r="C1048" s="946" t="s">
        <v>1464</v>
      </c>
    </row>
    <row r="1049" spans="1:3" x14ac:dyDescent="0.25">
      <c r="A1049" s="417">
        <v>41539</v>
      </c>
      <c r="B1049" s="418">
        <v>0.92303240740740744</v>
      </c>
      <c r="C1049" s="421" t="s">
        <v>1380</v>
      </c>
    </row>
    <row r="1050" spans="1:3" x14ac:dyDescent="0.25">
      <c r="A1050" s="417">
        <v>41539</v>
      </c>
      <c r="B1050" s="418">
        <v>0.92303240740740744</v>
      </c>
      <c r="C1050" s="421" t="s">
        <v>1381</v>
      </c>
    </row>
    <row r="1051" spans="1:3" x14ac:dyDescent="0.25">
      <c r="A1051" s="417">
        <v>41539</v>
      </c>
      <c r="B1051" s="418">
        <v>0.92303240740740744</v>
      </c>
      <c r="C1051" s="421" t="s">
        <v>1382</v>
      </c>
    </row>
    <row r="1052" spans="1:3" x14ac:dyDescent="0.25">
      <c r="A1052" s="417">
        <v>41539</v>
      </c>
      <c r="B1052" s="418">
        <v>0.92303240740740744</v>
      </c>
      <c r="C1052" s="421" t="s">
        <v>1383</v>
      </c>
    </row>
    <row r="1053" spans="1:3" x14ac:dyDescent="0.25">
      <c r="A1053" s="417">
        <v>41539</v>
      </c>
      <c r="B1053" s="418">
        <v>0.92303240740740744</v>
      </c>
      <c r="C1053" s="421" t="s">
        <v>1352</v>
      </c>
    </row>
    <row r="1054" spans="1:3" x14ac:dyDescent="0.25">
      <c r="A1054" s="417">
        <v>41539</v>
      </c>
      <c r="B1054" s="418">
        <v>0.92303240740740744</v>
      </c>
      <c r="C1054" s="421" t="s">
        <v>1384</v>
      </c>
    </row>
    <row r="1055" spans="1:3" x14ac:dyDescent="0.25">
      <c r="A1055" s="417">
        <v>41539</v>
      </c>
      <c r="B1055" s="418">
        <v>0.92303240740740744</v>
      </c>
      <c r="C1055" s="421" t="s">
        <v>1385</v>
      </c>
    </row>
    <row r="1056" spans="1:3" x14ac:dyDescent="0.25">
      <c r="A1056" s="417">
        <v>41539</v>
      </c>
      <c r="B1056" s="418">
        <v>0.92303240740740744</v>
      </c>
      <c r="C1056" s="421" t="s">
        <v>1385</v>
      </c>
    </row>
    <row r="1057" spans="1:3" x14ac:dyDescent="0.25">
      <c r="A1057" s="417">
        <v>41539</v>
      </c>
      <c r="B1057" s="418">
        <v>0.92303240740740744</v>
      </c>
      <c r="C1057" s="421" t="s">
        <v>1386</v>
      </c>
    </row>
    <row r="1058" spans="1:3" x14ac:dyDescent="0.25">
      <c r="A1058" s="417">
        <v>41539</v>
      </c>
      <c r="B1058" s="418">
        <v>0.92303240740740744</v>
      </c>
      <c r="C1058" s="421" t="s">
        <v>1387</v>
      </c>
    </row>
    <row r="1059" spans="1:3" x14ac:dyDescent="0.25">
      <c r="A1059" s="417">
        <v>41539</v>
      </c>
      <c r="B1059" s="418">
        <v>0.92303240740740744</v>
      </c>
      <c r="C1059" s="421" t="s">
        <v>1387</v>
      </c>
    </row>
    <row r="1060" spans="1:3" x14ac:dyDescent="0.25">
      <c r="A1060" s="417">
        <v>41539</v>
      </c>
      <c r="B1060" s="418">
        <v>0.92303240740740744</v>
      </c>
      <c r="C1060" s="421" t="s">
        <v>1318</v>
      </c>
    </row>
    <row r="1061" spans="1:3" x14ac:dyDescent="0.25">
      <c r="A1061" s="417">
        <v>41539</v>
      </c>
      <c r="B1061" s="418">
        <v>0.92303240740740744</v>
      </c>
      <c r="C1061" s="421" t="s">
        <v>1388</v>
      </c>
    </row>
    <row r="1062" spans="1:3" x14ac:dyDescent="0.25">
      <c r="A1062" s="417">
        <v>41539</v>
      </c>
      <c r="B1062" s="418">
        <v>0.92303240740740744</v>
      </c>
      <c r="C1062" s="421" t="s">
        <v>1390</v>
      </c>
    </row>
    <row r="1063" spans="1:3" x14ac:dyDescent="0.25">
      <c r="A1063" s="417">
        <v>41539</v>
      </c>
      <c r="B1063" s="418">
        <v>0.92303240740740744</v>
      </c>
      <c r="C1063" s="421" t="s">
        <v>1391</v>
      </c>
    </row>
    <row r="1064" spans="1:3" x14ac:dyDescent="0.25">
      <c r="A1064" s="417">
        <v>41539</v>
      </c>
      <c r="B1064" s="418">
        <v>0.92303240740740744</v>
      </c>
      <c r="C1064" s="421" t="s">
        <v>1392</v>
      </c>
    </row>
    <row r="1065" spans="1:3" x14ac:dyDescent="0.25">
      <c r="A1065" s="417">
        <v>41539</v>
      </c>
      <c r="B1065" s="418">
        <v>0.92305555555555552</v>
      </c>
      <c r="C1065" s="421" t="s">
        <v>1294</v>
      </c>
    </row>
    <row r="1066" spans="1:3" ht="60" x14ac:dyDescent="0.25">
      <c r="A1066" s="417">
        <v>41539</v>
      </c>
      <c r="B1066" s="418">
        <v>0.92305555555555552</v>
      </c>
      <c r="C1066" s="946" t="s">
        <v>1295</v>
      </c>
    </row>
    <row r="1067" spans="1:3" x14ac:dyDescent="0.25">
      <c r="A1067" s="417">
        <v>41539</v>
      </c>
      <c r="B1067" s="418">
        <v>0.92309027777777775</v>
      </c>
      <c r="C1067" s="421" t="s">
        <v>1393</v>
      </c>
    </row>
    <row r="1068" spans="1:3" x14ac:dyDescent="0.25">
      <c r="A1068" s="417">
        <v>41539</v>
      </c>
      <c r="B1068" s="418">
        <v>0.92309027777777775</v>
      </c>
      <c r="C1068" s="421" t="s">
        <v>1394</v>
      </c>
    </row>
    <row r="1069" spans="1:3" x14ac:dyDescent="0.25">
      <c r="A1069" s="417">
        <v>41539</v>
      </c>
      <c r="B1069" s="418">
        <v>0.92309027777777775</v>
      </c>
      <c r="C1069" s="421" t="s">
        <v>1392</v>
      </c>
    </row>
    <row r="1070" spans="1:3" x14ac:dyDescent="0.25">
      <c r="A1070" s="417">
        <v>41539</v>
      </c>
      <c r="B1070" s="418">
        <v>0.92309027777777775</v>
      </c>
      <c r="C1070" s="421" t="s">
        <v>1395</v>
      </c>
    </row>
    <row r="1071" spans="1:3" x14ac:dyDescent="0.25">
      <c r="A1071" s="417">
        <v>41539</v>
      </c>
      <c r="B1071" s="418">
        <v>0.92309027777777775</v>
      </c>
      <c r="C1071" s="421" t="s">
        <v>1396</v>
      </c>
    </row>
    <row r="1072" spans="1:3" x14ac:dyDescent="0.25">
      <c r="A1072" s="417">
        <v>41539</v>
      </c>
      <c r="B1072" s="418">
        <v>0.92309027777777775</v>
      </c>
      <c r="C1072" s="421" t="s">
        <v>1363</v>
      </c>
    </row>
    <row r="1073" spans="1:3" x14ac:dyDescent="0.25">
      <c r="A1073" s="417">
        <v>41539</v>
      </c>
      <c r="B1073" s="418">
        <v>0.92309027777777775</v>
      </c>
      <c r="C1073" s="421" t="s">
        <v>1362</v>
      </c>
    </row>
    <row r="1074" spans="1:3" x14ac:dyDescent="0.25">
      <c r="A1074" s="417">
        <v>41539</v>
      </c>
      <c r="B1074" s="418">
        <v>0.92309027777777775</v>
      </c>
      <c r="C1074" s="421" t="s">
        <v>1397</v>
      </c>
    </row>
    <row r="1075" spans="1:3" x14ac:dyDescent="0.25">
      <c r="A1075" s="417">
        <v>41539</v>
      </c>
      <c r="B1075" s="418">
        <v>0.92309027777777775</v>
      </c>
      <c r="C1075" s="421" t="s">
        <v>1381</v>
      </c>
    </row>
    <row r="1076" spans="1:3" x14ac:dyDescent="0.25">
      <c r="A1076" s="417">
        <v>41539</v>
      </c>
      <c r="B1076" s="418">
        <v>0.92309027777777775</v>
      </c>
      <c r="C1076" s="421" t="s">
        <v>1398</v>
      </c>
    </row>
    <row r="1077" spans="1:3" x14ac:dyDescent="0.25">
      <c r="A1077" s="417">
        <v>41539</v>
      </c>
      <c r="B1077" s="418">
        <v>0.92309027777777775</v>
      </c>
      <c r="C1077" s="421" t="s">
        <v>1399</v>
      </c>
    </row>
    <row r="1078" spans="1:3" x14ac:dyDescent="0.25">
      <c r="A1078" s="417">
        <v>41539</v>
      </c>
      <c r="B1078" s="418">
        <v>0.92309027777777775</v>
      </c>
      <c r="C1078" s="421" t="s">
        <v>1400</v>
      </c>
    </row>
    <row r="1079" spans="1:3" x14ac:dyDescent="0.25">
      <c r="A1079" s="417">
        <v>41539</v>
      </c>
      <c r="B1079" s="418">
        <v>0.92310185185185178</v>
      </c>
      <c r="C1079" s="421" t="s">
        <v>1400</v>
      </c>
    </row>
    <row r="1080" spans="1:3" x14ac:dyDescent="0.25">
      <c r="A1080" s="417">
        <v>41539</v>
      </c>
      <c r="B1080" s="418">
        <v>0.92310185185185178</v>
      </c>
      <c r="C1080" s="421" t="s">
        <v>1373</v>
      </c>
    </row>
    <row r="1081" spans="1:3" x14ac:dyDescent="0.25">
      <c r="A1081" s="417">
        <v>41539</v>
      </c>
      <c r="B1081" s="418">
        <v>0.92310185185185178</v>
      </c>
      <c r="C1081" s="421" t="s">
        <v>1353</v>
      </c>
    </row>
    <row r="1082" spans="1:3" x14ac:dyDescent="0.25">
      <c r="A1082" s="417">
        <v>41539</v>
      </c>
      <c r="B1082" s="418">
        <v>0.92310185185185178</v>
      </c>
      <c r="C1082" s="421" t="s">
        <v>1353</v>
      </c>
    </row>
    <row r="1083" spans="1:3" x14ac:dyDescent="0.25">
      <c r="A1083" s="417">
        <v>41539</v>
      </c>
      <c r="B1083" s="418">
        <v>0.92310185185185178</v>
      </c>
      <c r="C1083" s="421" t="s">
        <v>1401</v>
      </c>
    </row>
    <row r="1084" spans="1:3" x14ac:dyDescent="0.25">
      <c r="A1084" s="417">
        <v>41539</v>
      </c>
      <c r="B1084" s="418">
        <v>0.92310185185185178</v>
      </c>
      <c r="C1084" s="421" t="s">
        <v>1392</v>
      </c>
    </row>
    <row r="1085" spans="1:3" x14ac:dyDescent="0.25">
      <c r="A1085" s="417">
        <v>41539</v>
      </c>
      <c r="B1085" s="418">
        <v>0.92310185185185178</v>
      </c>
      <c r="C1085" s="421" t="s">
        <v>1403</v>
      </c>
    </row>
    <row r="1086" spans="1:3" x14ac:dyDescent="0.25">
      <c r="A1086" s="417">
        <v>41539</v>
      </c>
      <c r="B1086" s="418">
        <v>0.92310185185185178</v>
      </c>
      <c r="C1086" s="421" t="s">
        <v>1403</v>
      </c>
    </row>
    <row r="1087" spans="1:3" x14ac:dyDescent="0.25">
      <c r="A1087" s="417">
        <v>41539</v>
      </c>
      <c r="B1087" s="418">
        <v>0.92310185185185178</v>
      </c>
      <c r="C1087" s="421" t="s">
        <v>1403</v>
      </c>
    </row>
    <row r="1088" spans="1:3" x14ac:dyDescent="0.25">
      <c r="A1088" s="417">
        <v>41539</v>
      </c>
      <c r="B1088" s="418">
        <v>0.92310185185185178</v>
      </c>
      <c r="C1088" s="421" t="s">
        <v>1362</v>
      </c>
    </row>
    <row r="1089" spans="1:3" x14ac:dyDescent="0.25">
      <c r="A1089" s="417">
        <v>41539</v>
      </c>
      <c r="B1089" s="418">
        <v>0.92310185185185178</v>
      </c>
      <c r="C1089" s="421" t="s">
        <v>1364</v>
      </c>
    </row>
    <row r="1090" spans="1:3" x14ac:dyDescent="0.25">
      <c r="A1090" s="417">
        <v>41539</v>
      </c>
      <c r="B1090" s="418">
        <v>0.92310185185185178</v>
      </c>
      <c r="C1090" s="421" t="s">
        <v>1364</v>
      </c>
    </row>
    <row r="1091" spans="1:3" x14ac:dyDescent="0.25">
      <c r="A1091" s="417">
        <v>41539</v>
      </c>
      <c r="B1091" s="418">
        <v>0.92310185185185178</v>
      </c>
      <c r="C1091" s="421" t="s">
        <v>1381</v>
      </c>
    </row>
    <row r="1092" spans="1:3" x14ac:dyDescent="0.25">
      <c r="A1092" s="417">
        <v>41539</v>
      </c>
      <c r="B1092" s="418">
        <v>0.92310185185185178</v>
      </c>
      <c r="C1092" s="421" t="s">
        <v>1364</v>
      </c>
    </row>
    <row r="1093" spans="1:3" x14ac:dyDescent="0.25">
      <c r="A1093" s="417">
        <v>41539</v>
      </c>
      <c r="B1093" s="418">
        <v>0.92310185185185178</v>
      </c>
      <c r="C1093" s="421" t="s">
        <v>1480</v>
      </c>
    </row>
    <row r="1094" spans="1:3" x14ac:dyDescent="0.25">
      <c r="A1094" s="417">
        <v>41539</v>
      </c>
      <c r="B1094" s="418">
        <v>0.92310185185185178</v>
      </c>
      <c r="C1094" s="421" t="s">
        <v>1480</v>
      </c>
    </row>
    <row r="1095" spans="1:3" x14ac:dyDescent="0.25">
      <c r="A1095" s="417">
        <v>41539</v>
      </c>
      <c r="B1095" s="418">
        <v>0.92310185185185178</v>
      </c>
      <c r="C1095" s="421" t="s">
        <v>1480</v>
      </c>
    </row>
    <row r="1096" spans="1:3" x14ac:dyDescent="0.25">
      <c r="A1096" s="417">
        <v>41539</v>
      </c>
      <c r="B1096" s="418">
        <v>0.92310185185185178</v>
      </c>
      <c r="C1096" s="421" t="s">
        <v>1481</v>
      </c>
    </row>
    <row r="1097" spans="1:3" x14ac:dyDescent="0.25">
      <c r="A1097" s="417">
        <v>41539</v>
      </c>
      <c r="B1097" s="418">
        <v>0.92310185185185178</v>
      </c>
      <c r="C1097" s="421" t="s">
        <v>1346</v>
      </c>
    </row>
    <row r="1098" spans="1:3" x14ac:dyDescent="0.25">
      <c r="A1098" s="417">
        <v>41539</v>
      </c>
      <c r="B1098" s="418">
        <v>0.92310185185185178</v>
      </c>
      <c r="C1098" s="421" t="s">
        <v>1405</v>
      </c>
    </row>
    <row r="1099" spans="1:3" x14ac:dyDescent="0.25">
      <c r="A1099" s="417">
        <v>41539</v>
      </c>
      <c r="B1099" s="418">
        <v>0.92310185185185178</v>
      </c>
      <c r="C1099" s="421" t="s">
        <v>1406</v>
      </c>
    </row>
    <row r="1100" spans="1:3" x14ac:dyDescent="0.25">
      <c r="A1100" s="417">
        <v>41539</v>
      </c>
      <c r="B1100" s="418">
        <v>0.92310185185185178</v>
      </c>
      <c r="C1100" s="421" t="s">
        <v>1362</v>
      </c>
    </row>
    <row r="1101" spans="1:3" x14ac:dyDescent="0.25">
      <c r="A1101" s="417">
        <v>41539</v>
      </c>
      <c r="B1101" s="418">
        <v>0.92310185185185178</v>
      </c>
      <c r="C1101" s="421" t="s">
        <v>1482</v>
      </c>
    </row>
    <row r="1102" spans="1:3" x14ac:dyDescent="0.25">
      <c r="A1102" s="417">
        <v>41539</v>
      </c>
      <c r="B1102" s="418">
        <v>0.92310185185185178</v>
      </c>
      <c r="C1102" s="421" t="s">
        <v>1318</v>
      </c>
    </row>
    <row r="1103" spans="1:3" x14ac:dyDescent="0.25">
      <c r="A1103" s="417">
        <v>41539</v>
      </c>
      <c r="B1103" s="418">
        <v>0.92310185185185178</v>
      </c>
      <c r="C1103" s="421" t="s">
        <v>1368</v>
      </c>
    </row>
    <row r="1104" spans="1:3" x14ac:dyDescent="0.25">
      <c r="A1104" s="417">
        <v>41539</v>
      </c>
      <c r="B1104" s="418">
        <v>0.92310185185185178</v>
      </c>
      <c r="C1104" s="421" t="s">
        <v>1368</v>
      </c>
    </row>
    <row r="1105" spans="1:3" x14ac:dyDescent="0.25">
      <c r="A1105" s="417">
        <v>41539</v>
      </c>
      <c r="B1105" s="418">
        <v>0.92310185185185178</v>
      </c>
      <c r="C1105" s="421" t="s">
        <v>1368</v>
      </c>
    </row>
    <row r="1106" spans="1:3" x14ac:dyDescent="0.25">
      <c r="A1106" s="417">
        <v>41539</v>
      </c>
      <c r="B1106" s="418">
        <v>0.92310185185185178</v>
      </c>
      <c r="C1106" s="421" t="s">
        <v>1368</v>
      </c>
    </row>
    <row r="1107" spans="1:3" x14ac:dyDescent="0.25">
      <c r="A1107" s="417">
        <v>41539</v>
      </c>
      <c r="B1107" s="418">
        <v>0.92310185185185178</v>
      </c>
      <c r="C1107" s="421" t="s">
        <v>1368</v>
      </c>
    </row>
    <row r="1108" spans="1:3" x14ac:dyDescent="0.25">
      <c r="A1108" s="417">
        <v>41539</v>
      </c>
      <c r="B1108" s="418">
        <v>0.92310185185185178</v>
      </c>
      <c r="C1108" s="421" t="s">
        <v>1409</v>
      </c>
    </row>
    <row r="1109" spans="1:3" x14ac:dyDescent="0.25">
      <c r="A1109" s="417">
        <v>41539</v>
      </c>
      <c r="B1109" s="418">
        <v>0.92310185185185178</v>
      </c>
      <c r="C1109" s="421" t="s">
        <v>1308</v>
      </c>
    </row>
    <row r="1110" spans="1:3" x14ac:dyDescent="0.25">
      <c r="A1110" s="417">
        <v>41539</v>
      </c>
      <c r="B1110" s="418">
        <v>0.92310185185185178</v>
      </c>
      <c r="C1110" s="421" t="s">
        <v>1410</v>
      </c>
    </row>
    <row r="1111" spans="1:3" x14ac:dyDescent="0.25">
      <c r="A1111" s="417">
        <v>41539</v>
      </c>
      <c r="B1111" s="418">
        <v>0.92310185185185178</v>
      </c>
      <c r="C1111" s="421" t="s">
        <v>1410</v>
      </c>
    </row>
    <row r="1112" spans="1:3" x14ac:dyDescent="0.25">
      <c r="A1112" s="417">
        <v>41539</v>
      </c>
      <c r="B1112" s="418">
        <v>0.92310185185185178</v>
      </c>
      <c r="C1112" s="421" t="s">
        <v>1411</v>
      </c>
    </row>
    <row r="1113" spans="1:3" x14ac:dyDescent="0.25">
      <c r="A1113" s="417">
        <v>41539</v>
      </c>
      <c r="B1113" s="418">
        <v>0.92310185185185178</v>
      </c>
      <c r="C1113" s="421" t="s">
        <v>1483</v>
      </c>
    </row>
    <row r="1114" spans="1:3" x14ac:dyDescent="0.25">
      <c r="A1114" s="417">
        <v>41539</v>
      </c>
      <c r="B1114" s="418">
        <v>0.92310185185185178</v>
      </c>
      <c r="C1114" s="421" t="s">
        <v>1413</v>
      </c>
    </row>
    <row r="1115" spans="1:3" x14ac:dyDescent="0.25">
      <c r="A1115" s="417">
        <v>41539</v>
      </c>
      <c r="B1115" s="418">
        <v>0.92310185185185178</v>
      </c>
      <c r="C1115" s="421" t="s">
        <v>1414</v>
      </c>
    </row>
    <row r="1116" spans="1:3" x14ac:dyDescent="0.25">
      <c r="A1116" s="417">
        <v>41539</v>
      </c>
      <c r="B1116" s="418">
        <v>0.92310185185185178</v>
      </c>
      <c r="C1116" s="421" t="s">
        <v>1373</v>
      </c>
    </row>
    <row r="1117" spans="1:3" x14ac:dyDescent="0.25">
      <c r="A1117" s="417">
        <v>41539</v>
      </c>
      <c r="B1117" s="418">
        <v>0.92310185185185178</v>
      </c>
      <c r="C1117" s="421" t="s">
        <v>1484</v>
      </c>
    </row>
    <row r="1118" spans="1:3" x14ac:dyDescent="0.25">
      <c r="A1118" s="417">
        <v>41539</v>
      </c>
      <c r="B1118" s="418">
        <v>0.92310185185185178</v>
      </c>
      <c r="C1118" s="421" t="s">
        <v>1409</v>
      </c>
    </row>
    <row r="1119" spans="1:3" x14ac:dyDescent="0.25">
      <c r="A1119" s="417">
        <v>41539</v>
      </c>
      <c r="B1119" s="418">
        <v>0.92310185185185178</v>
      </c>
      <c r="C1119" s="421" t="s">
        <v>1416</v>
      </c>
    </row>
    <row r="1120" spans="1:3" x14ac:dyDescent="0.25">
      <c r="A1120" s="417">
        <v>41539</v>
      </c>
      <c r="B1120" s="418">
        <v>0.92310185185185178</v>
      </c>
      <c r="C1120" s="421" t="s">
        <v>1415</v>
      </c>
    </row>
    <row r="1121" spans="1:3" x14ac:dyDescent="0.25">
      <c r="A1121" s="417">
        <v>41539</v>
      </c>
      <c r="B1121" s="418">
        <v>0.92310185185185178</v>
      </c>
      <c r="C1121" s="421" t="s">
        <v>1348</v>
      </c>
    </row>
    <row r="1122" spans="1:3" x14ac:dyDescent="0.25">
      <c r="A1122" s="417">
        <v>41539</v>
      </c>
      <c r="B1122" s="418">
        <v>0.92310185185185178</v>
      </c>
      <c r="C1122" s="421" t="s">
        <v>1419</v>
      </c>
    </row>
    <row r="1123" spans="1:3" x14ac:dyDescent="0.25">
      <c r="A1123" s="417">
        <v>41539</v>
      </c>
      <c r="B1123" s="418">
        <v>0.92310185185185178</v>
      </c>
      <c r="C1123" s="421" t="s">
        <v>1419</v>
      </c>
    </row>
    <row r="1124" spans="1:3" x14ac:dyDescent="0.25">
      <c r="A1124" s="417">
        <v>41539</v>
      </c>
      <c r="B1124" s="418">
        <v>0.92310185185185178</v>
      </c>
      <c r="C1124" s="421" t="s">
        <v>1420</v>
      </c>
    </row>
    <row r="1125" spans="1:3" x14ac:dyDescent="0.25">
      <c r="A1125" s="417">
        <v>41539</v>
      </c>
      <c r="B1125" s="418">
        <v>0.92310185185185178</v>
      </c>
      <c r="C1125" s="421" t="s">
        <v>1485</v>
      </c>
    </row>
    <row r="1126" spans="1:3" x14ac:dyDescent="0.25">
      <c r="A1126" s="417">
        <v>41539</v>
      </c>
      <c r="B1126" s="418">
        <v>0.92310185185185178</v>
      </c>
      <c r="C1126" s="421" t="s">
        <v>1486</v>
      </c>
    </row>
    <row r="1127" spans="1:3" x14ac:dyDescent="0.25">
      <c r="A1127" s="417">
        <v>41539</v>
      </c>
      <c r="B1127" s="418">
        <v>0.92310185185185178</v>
      </c>
      <c r="C1127" s="421" t="s">
        <v>1487</v>
      </c>
    </row>
    <row r="1128" spans="1:3" x14ac:dyDescent="0.25">
      <c r="A1128" s="417">
        <v>41539</v>
      </c>
      <c r="B1128" s="418">
        <v>0.92310185185185178</v>
      </c>
      <c r="C1128" s="421" t="s">
        <v>1488</v>
      </c>
    </row>
    <row r="1129" spans="1:3" x14ac:dyDescent="0.25">
      <c r="A1129" s="417">
        <v>41539</v>
      </c>
      <c r="B1129" s="418">
        <v>0.92310185185185178</v>
      </c>
      <c r="C1129" s="421" t="s">
        <v>1489</v>
      </c>
    </row>
    <row r="1130" spans="1:3" x14ac:dyDescent="0.25">
      <c r="A1130" s="417">
        <v>41539</v>
      </c>
      <c r="B1130" s="418">
        <v>0.92310185185185178</v>
      </c>
      <c r="C1130" s="421" t="s">
        <v>1490</v>
      </c>
    </row>
    <row r="1131" spans="1:3" x14ac:dyDescent="0.25">
      <c r="A1131" s="417">
        <v>41539</v>
      </c>
      <c r="B1131" s="418">
        <v>0.92310185185185178</v>
      </c>
      <c r="C1131" s="421" t="s">
        <v>1491</v>
      </c>
    </row>
    <row r="1132" spans="1:3" x14ac:dyDescent="0.25">
      <c r="A1132" s="417">
        <v>41539</v>
      </c>
      <c r="B1132" s="418">
        <v>0.92310185185185178</v>
      </c>
      <c r="C1132" s="421" t="s">
        <v>1492</v>
      </c>
    </row>
    <row r="1133" spans="1:3" x14ac:dyDescent="0.25">
      <c r="A1133" s="417">
        <v>41539</v>
      </c>
      <c r="B1133" s="418">
        <v>0.92310185185185178</v>
      </c>
      <c r="C1133" s="421" t="s">
        <v>1320</v>
      </c>
    </row>
    <row r="1134" spans="1:3" x14ac:dyDescent="0.25">
      <c r="A1134" s="417">
        <v>41539</v>
      </c>
      <c r="B1134" s="418">
        <v>0.92310185185185178</v>
      </c>
      <c r="C1134" s="421" t="s">
        <v>1429</v>
      </c>
    </row>
    <row r="1135" spans="1:3" x14ac:dyDescent="0.25">
      <c r="A1135" s="417">
        <v>41539</v>
      </c>
      <c r="B1135" s="418">
        <v>0.92310185185185178</v>
      </c>
      <c r="C1135" s="421" t="s">
        <v>1430</v>
      </c>
    </row>
    <row r="1136" spans="1:3" x14ac:dyDescent="0.25">
      <c r="A1136" s="417">
        <v>41539</v>
      </c>
      <c r="B1136" s="418">
        <v>0.92311342592592593</v>
      </c>
      <c r="C1136" s="421" t="s">
        <v>1493</v>
      </c>
    </row>
    <row r="1137" spans="1:3" x14ac:dyDescent="0.25">
      <c r="A1137" s="417">
        <v>41539</v>
      </c>
      <c r="B1137" s="418">
        <v>0.92311342592592593</v>
      </c>
      <c r="C1137" s="421" t="s">
        <v>1308</v>
      </c>
    </row>
    <row r="1138" spans="1:3" x14ac:dyDescent="0.25">
      <c r="A1138" s="417">
        <v>41539</v>
      </c>
      <c r="B1138" s="418">
        <v>0.92311342592592593</v>
      </c>
      <c r="C1138" s="421" t="s">
        <v>1360</v>
      </c>
    </row>
    <row r="1139" spans="1:3" x14ac:dyDescent="0.25">
      <c r="A1139" s="417">
        <v>41539</v>
      </c>
      <c r="B1139" s="418">
        <v>0.92311342592592593</v>
      </c>
      <c r="C1139" s="421" t="s">
        <v>1432</v>
      </c>
    </row>
    <row r="1140" spans="1:3" x14ac:dyDescent="0.25">
      <c r="A1140" s="417">
        <v>41539</v>
      </c>
      <c r="B1140" s="418">
        <v>0.92311342592592593</v>
      </c>
      <c r="C1140" s="421" t="s">
        <v>1432</v>
      </c>
    </row>
    <row r="1141" spans="1:3" x14ac:dyDescent="0.25">
      <c r="A1141" s="417">
        <v>41539</v>
      </c>
      <c r="B1141" s="418">
        <v>0.92311342592592593</v>
      </c>
      <c r="C1141" s="421" t="s">
        <v>1432</v>
      </c>
    </row>
    <row r="1142" spans="1:3" x14ac:dyDescent="0.25">
      <c r="A1142" s="417">
        <v>41539</v>
      </c>
      <c r="B1142" s="418">
        <v>0.92313657407407401</v>
      </c>
      <c r="C1142" s="421" t="s">
        <v>1281</v>
      </c>
    </row>
    <row r="1143" spans="1:3" ht="60" x14ac:dyDescent="0.25">
      <c r="A1143" s="417">
        <v>41539</v>
      </c>
      <c r="B1143" s="418">
        <v>0.92313657407407401</v>
      </c>
      <c r="C1143" s="946" t="s">
        <v>1282</v>
      </c>
    </row>
    <row r="1144" spans="1:3" x14ac:dyDescent="0.25">
      <c r="A1144" s="417">
        <v>41539</v>
      </c>
      <c r="B1144" s="418">
        <v>0.9231597222222222</v>
      </c>
      <c r="C1144" s="421" t="s">
        <v>1413</v>
      </c>
    </row>
    <row r="1145" spans="1:3" x14ac:dyDescent="0.25">
      <c r="A1145" s="417">
        <v>41539</v>
      </c>
      <c r="B1145" s="418">
        <v>0.9231597222222222</v>
      </c>
      <c r="C1145" s="421" t="s">
        <v>1494</v>
      </c>
    </row>
    <row r="1146" spans="1:3" x14ac:dyDescent="0.25">
      <c r="A1146" s="417">
        <v>41539</v>
      </c>
      <c r="B1146" s="418">
        <v>0.9231597222222222</v>
      </c>
      <c r="C1146" s="421" t="s">
        <v>1495</v>
      </c>
    </row>
    <row r="1147" spans="1:3" x14ac:dyDescent="0.25">
      <c r="A1147" s="417">
        <v>41539</v>
      </c>
      <c r="B1147" s="418">
        <v>0.9231597222222222</v>
      </c>
      <c r="C1147" s="421" t="s">
        <v>1496</v>
      </c>
    </row>
    <row r="1148" spans="1:3" x14ac:dyDescent="0.25">
      <c r="A1148" s="417">
        <v>41539</v>
      </c>
      <c r="B1148" s="418">
        <v>0.9231597222222222</v>
      </c>
      <c r="C1148" s="421" t="s">
        <v>1497</v>
      </c>
    </row>
    <row r="1149" spans="1:3" x14ac:dyDescent="0.25">
      <c r="A1149" s="417">
        <v>41539</v>
      </c>
      <c r="B1149" s="418">
        <v>0.9231597222222222</v>
      </c>
      <c r="C1149" s="421" t="s">
        <v>1498</v>
      </c>
    </row>
    <row r="1150" spans="1:3" x14ac:dyDescent="0.25">
      <c r="A1150" s="417">
        <v>41539</v>
      </c>
      <c r="B1150" s="418">
        <v>0.9231597222222222</v>
      </c>
      <c r="C1150" s="421" t="s">
        <v>1499</v>
      </c>
    </row>
    <row r="1151" spans="1:3" x14ac:dyDescent="0.25">
      <c r="A1151" s="417">
        <v>41539</v>
      </c>
      <c r="B1151" s="418">
        <v>0.9231597222222222</v>
      </c>
      <c r="C1151" s="421" t="s">
        <v>1500</v>
      </c>
    </row>
    <row r="1152" spans="1:3" x14ac:dyDescent="0.25">
      <c r="A1152" s="417">
        <v>41539</v>
      </c>
      <c r="B1152" s="418">
        <v>0.9231597222222222</v>
      </c>
      <c r="C1152" s="421" t="s">
        <v>1501</v>
      </c>
    </row>
    <row r="1153" spans="1:3" x14ac:dyDescent="0.25">
      <c r="A1153" s="417">
        <v>41539</v>
      </c>
      <c r="B1153" s="418">
        <v>0.9231597222222222</v>
      </c>
      <c r="C1153" s="421" t="s">
        <v>1439</v>
      </c>
    </row>
    <row r="1154" spans="1:3" x14ac:dyDescent="0.25">
      <c r="A1154" s="417">
        <v>41539</v>
      </c>
      <c r="B1154" s="418">
        <v>0.9231597222222222</v>
      </c>
      <c r="C1154" s="421" t="s">
        <v>1320</v>
      </c>
    </row>
    <row r="1155" spans="1:3" x14ac:dyDescent="0.25">
      <c r="A1155" s="417">
        <v>41539</v>
      </c>
      <c r="B1155" s="418">
        <v>0.9231597222222222</v>
      </c>
      <c r="C1155" s="421" t="s">
        <v>1502</v>
      </c>
    </row>
    <row r="1156" spans="1:3" x14ac:dyDescent="0.25">
      <c r="A1156" s="417">
        <v>41539</v>
      </c>
      <c r="B1156" s="418">
        <v>0.9231597222222222</v>
      </c>
      <c r="C1156" s="421" t="s">
        <v>1503</v>
      </c>
    </row>
    <row r="1157" spans="1:3" x14ac:dyDescent="0.25">
      <c r="A1157" s="417">
        <v>41539</v>
      </c>
      <c r="B1157" s="418">
        <v>0.9231597222222222</v>
      </c>
      <c r="C1157" s="421" t="s">
        <v>1504</v>
      </c>
    </row>
    <row r="1158" spans="1:3" x14ac:dyDescent="0.25">
      <c r="A1158" s="417">
        <v>41539</v>
      </c>
      <c r="B1158" s="418">
        <v>0.9231597222222222</v>
      </c>
      <c r="C1158" s="421" t="s">
        <v>1505</v>
      </c>
    </row>
    <row r="1159" spans="1:3" x14ac:dyDescent="0.25">
      <c r="A1159" s="417">
        <v>41539</v>
      </c>
      <c r="B1159" s="418">
        <v>0.9231597222222222</v>
      </c>
      <c r="C1159" s="421" t="s">
        <v>1446</v>
      </c>
    </row>
    <row r="1160" spans="1:3" x14ac:dyDescent="0.25">
      <c r="A1160" s="417">
        <v>41539</v>
      </c>
      <c r="B1160" s="418">
        <v>0.9231597222222222</v>
      </c>
      <c r="C1160" s="421" t="s">
        <v>1238</v>
      </c>
    </row>
    <row r="1161" spans="1:3" x14ac:dyDescent="0.25">
      <c r="A1161" s="417">
        <v>41539</v>
      </c>
      <c r="B1161" s="418">
        <v>0.9231597222222222</v>
      </c>
      <c r="C1161" s="421" t="s">
        <v>1506</v>
      </c>
    </row>
    <row r="1162" spans="1:3" x14ac:dyDescent="0.25">
      <c r="A1162" s="417">
        <v>41539</v>
      </c>
      <c r="B1162" s="418">
        <v>0.9231597222222222</v>
      </c>
      <c r="C1162" s="421" t="s">
        <v>1389</v>
      </c>
    </row>
    <row r="1163" spans="1:3" x14ac:dyDescent="0.25">
      <c r="A1163" s="417">
        <v>41539</v>
      </c>
      <c r="B1163" s="418">
        <v>0.9231597222222222</v>
      </c>
      <c r="C1163" s="421" t="s">
        <v>1448</v>
      </c>
    </row>
    <row r="1164" spans="1:3" x14ac:dyDescent="0.25">
      <c r="A1164" s="417">
        <v>41539</v>
      </c>
      <c r="B1164" s="418">
        <v>0.9231597222222222</v>
      </c>
      <c r="C1164" s="421" t="s">
        <v>1450</v>
      </c>
    </row>
    <row r="1165" spans="1:3" x14ac:dyDescent="0.25">
      <c r="A1165" s="417">
        <v>41539</v>
      </c>
      <c r="B1165" s="418">
        <v>0.9231597222222222</v>
      </c>
      <c r="C1165" s="421" t="s">
        <v>1450</v>
      </c>
    </row>
    <row r="1166" spans="1:3" x14ac:dyDescent="0.25">
      <c r="A1166" s="417">
        <v>41539</v>
      </c>
      <c r="B1166" s="418">
        <v>0.9231597222222222</v>
      </c>
      <c r="C1166" s="421" t="s">
        <v>1450</v>
      </c>
    </row>
    <row r="1167" spans="1:3" x14ac:dyDescent="0.25">
      <c r="A1167" s="417">
        <v>41539</v>
      </c>
      <c r="B1167" s="418">
        <v>0.9231597222222222</v>
      </c>
      <c r="C1167" s="421" t="s">
        <v>1450</v>
      </c>
    </row>
    <row r="1168" spans="1:3" x14ac:dyDescent="0.25">
      <c r="A1168" s="417">
        <v>41539</v>
      </c>
      <c r="B1168" s="418">
        <v>0.9231597222222222</v>
      </c>
      <c r="C1168" s="421" t="s">
        <v>1450</v>
      </c>
    </row>
    <row r="1169" spans="1:3" x14ac:dyDescent="0.25">
      <c r="A1169" s="417">
        <v>41539</v>
      </c>
      <c r="B1169" s="418">
        <v>0.9231597222222222</v>
      </c>
      <c r="C1169" s="421" t="s">
        <v>1450</v>
      </c>
    </row>
    <row r="1170" spans="1:3" x14ac:dyDescent="0.25">
      <c r="A1170" s="417">
        <v>41539</v>
      </c>
      <c r="B1170" s="418">
        <v>0.9231597222222222</v>
      </c>
      <c r="C1170" s="421" t="s">
        <v>1450</v>
      </c>
    </row>
    <row r="1171" spans="1:3" x14ac:dyDescent="0.25">
      <c r="A1171" s="417">
        <v>41539</v>
      </c>
      <c r="B1171" s="418">
        <v>0.92317129629629635</v>
      </c>
      <c r="C1171" s="421" t="s">
        <v>1448</v>
      </c>
    </row>
    <row r="1172" spans="1:3" x14ac:dyDescent="0.25">
      <c r="A1172" s="417">
        <v>41539</v>
      </c>
      <c r="B1172" s="418">
        <v>0.92317129629629635</v>
      </c>
      <c r="C1172" s="421" t="s">
        <v>1399</v>
      </c>
    </row>
    <row r="1173" spans="1:3" x14ac:dyDescent="0.25">
      <c r="A1173" s="417">
        <v>41539</v>
      </c>
      <c r="B1173" s="418">
        <v>0.92317129629629635</v>
      </c>
      <c r="C1173" s="421" t="s">
        <v>1309</v>
      </c>
    </row>
    <row r="1174" spans="1:3" x14ac:dyDescent="0.25">
      <c r="A1174" s="417">
        <v>41539</v>
      </c>
      <c r="B1174" s="418">
        <v>0.92317129629629635</v>
      </c>
      <c r="C1174" s="421" t="s">
        <v>1236</v>
      </c>
    </row>
    <row r="1175" spans="1:3" x14ac:dyDescent="0.25">
      <c r="A1175" s="417">
        <v>41539</v>
      </c>
      <c r="B1175" s="418">
        <v>0.92317129629629635</v>
      </c>
      <c r="C1175" s="421" t="s">
        <v>1237</v>
      </c>
    </row>
    <row r="1176" spans="1:3" x14ac:dyDescent="0.25">
      <c r="A1176" s="417">
        <v>41539</v>
      </c>
      <c r="B1176" s="418">
        <v>0.92317129629629635</v>
      </c>
      <c r="C1176" s="421" t="s">
        <v>1238</v>
      </c>
    </row>
    <row r="1177" spans="1:3" x14ac:dyDescent="0.25">
      <c r="A1177" s="417">
        <v>41539</v>
      </c>
      <c r="B1177" s="418">
        <v>0.92452546296296301</v>
      </c>
      <c r="C1177" s="421" t="s">
        <v>1238</v>
      </c>
    </row>
    <row r="1178" spans="1:3" x14ac:dyDescent="0.25">
      <c r="A1178" s="417">
        <v>41539</v>
      </c>
      <c r="B1178" s="418">
        <v>0.92452546296296301</v>
      </c>
      <c r="C1178" s="421" t="s">
        <v>1307</v>
      </c>
    </row>
    <row r="1179" spans="1:3" x14ac:dyDescent="0.25">
      <c r="A1179" s="417">
        <v>41539</v>
      </c>
      <c r="B1179" s="418">
        <v>0.92452546296296301</v>
      </c>
      <c r="C1179" s="421" t="s">
        <v>1308</v>
      </c>
    </row>
    <row r="1180" spans="1:3" x14ac:dyDescent="0.25">
      <c r="A1180" s="417">
        <v>41539</v>
      </c>
      <c r="B1180" s="418">
        <v>0.92452546296296301</v>
      </c>
      <c r="C1180" s="421" t="s">
        <v>1309</v>
      </c>
    </row>
    <row r="1181" spans="1:3" x14ac:dyDescent="0.25">
      <c r="A1181" s="417">
        <v>41539</v>
      </c>
      <c r="B1181" s="418">
        <v>0.92452546296296301</v>
      </c>
      <c r="C1181" s="421" t="s">
        <v>1310</v>
      </c>
    </row>
    <row r="1182" spans="1:3" x14ac:dyDescent="0.25">
      <c r="A1182" s="417">
        <v>41539</v>
      </c>
      <c r="B1182" s="418">
        <v>0.92452546296296301</v>
      </c>
      <c r="C1182" s="421" t="s">
        <v>1311</v>
      </c>
    </row>
    <row r="1183" spans="1:3" x14ac:dyDescent="0.25">
      <c r="A1183" s="417">
        <v>41539</v>
      </c>
      <c r="B1183" s="418">
        <v>0.92452546296296301</v>
      </c>
      <c r="C1183" s="421" t="s">
        <v>1312</v>
      </c>
    </row>
    <row r="1184" spans="1:3" x14ac:dyDescent="0.25">
      <c r="A1184" s="417">
        <v>41539</v>
      </c>
      <c r="B1184" s="418">
        <v>0.92452546296296301</v>
      </c>
      <c r="C1184" s="421" t="s">
        <v>1313</v>
      </c>
    </row>
    <row r="1185" spans="1:3" x14ac:dyDescent="0.25">
      <c r="A1185" s="417">
        <v>41539</v>
      </c>
      <c r="B1185" s="418">
        <v>0.92452546296296301</v>
      </c>
      <c r="C1185" s="421" t="s">
        <v>1310</v>
      </c>
    </row>
    <row r="1186" spans="1:3" x14ac:dyDescent="0.25">
      <c r="A1186" s="417">
        <v>41539</v>
      </c>
      <c r="B1186" s="418">
        <v>0.92452546296296301</v>
      </c>
      <c r="C1186" s="421" t="s">
        <v>1314</v>
      </c>
    </row>
    <row r="1187" spans="1:3" x14ac:dyDescent="0.25">
      <c r="A1187" s="417">
        <v>41539</v>
      </c>
      <c r="B1187" s="418">
        <v>0.92452546296296301</v>
      </c>
      <c r="C1187" s="421" t="s">
        <v>1315</v>
      </c>
    </row>
    <row r="1188" spans="1:3" x14ac:dyDescent="0.25">
      <c r="A1188" s="417">
        <v>41539</v>
      </c>
      <c r="B1188" s="418">
        <v>0.92452546296296301</v>
      </c>
      <c r="C1188" s="421" t="s">
        <v>1460</v>
      </c>
    </row>
    <row r="1189" spans="1:3" x14ac:dyDescent="0.25">
      <c r="A1189" s="417">
        <v>41539</v>
      </c>
      <c r="B1189" s="418">
        <v>0.92452546296296301</v>
      </c>
      <c r="C1189" s="421" t="s">
        <v>1461</v>
      </c>
    </row>
    <row r="1190" spans="1:3" x14ac:dyDescent="0.25">
      <c r="A1190" s="417">
        <v>41539</v>
      </c>
      <c r="B1190" s="418">
        <v>0.92453703703703705</v>
      </c>
      <c r="C1190" s="421" t="s">
        <v>1310</v>
      </c>
    </row>
    <row r="1191" spans="1:3" x14ac:dyDescent="0.25">
      <c r="A1191" s="417">
        <v>41539</v>
      </c>
      <c r="B1191" s="418">
        <v>0.92453703703703705</v>
      </c>
      <c r="C1191" s="421" t="s">
        <v>1238</v>
      </c>
    </row>
    <row r="1192" spans="1:3" x14ac:dyDescent="0.25">
      <c r="A1192" s="417">
        <v>41539</v>
      </c>
      <c r="B1192" s="418">
        <v>0.92453703703703705</v>
      </c>
      <c r="C1192" s="421" t="s">
        <v>1462</v>
      </c>
    </row>
    <row r="1193" spans="1:3" x14ac:dyDescent="0.25">
      <c r="A1193" s="417">
        <v>41539</v>
      </c>
      <c r="B1193" s="418">
        <v>0.92453703703703705</v>
      </c>
      <c r="C1193" s="421" t="s">
        <v>1316</v>
      </c>
    </row>
    <row r="1194" spans="1:3" x14ac:dyDescent="0.25">
      <c r="A1194" s="417">
        <v>41539</v>
      </c>
      <c r="B1194" s="418">
        <v>0.92453703703703705</v>
      </c>
      <c r="C1194" s="421" t="s">
        <v>1316</v>
      </c>
    </row>
    <row r="1195" spans="1:3" x14ac:dyDescent="0.25">
      <c r="A1195" s="417">
        <v>41539</v>
      </c>
      <c r="B1195" s="418">
        <v>0.92453703703703705</v>
      </c>
      <c r="C1195" s="421" t="s">
        <v>1317</v>
      </c>
    </row>
    <row r="1196" spans="1:3" x14ac:dyDescent="0.25">
      <c r="A1196" s="417">
        <v>41539</v>
      </c>
      <c r="B1196" s="418">
        <v>0.92453703703703705</v>
      </c>
      <c r="C1196" s="421" t="s">
        <v>1309</v>
      </c>
    </row>
    <row r="1197" spans="1:3" x14ac:dyDescent="0.25">
      <c r="A1197" s="417">
        <v>41539</v>
      </c>
      <c r="B1197" s="418">
        <v>0.92453703703703705</v>
      </c>
      <c r="C1197" s="421" t="s">
        <v>1318</v>
      </c>
    </row>
    <row r="1198" spans="1:3" x14ac:dyDescent="0.25">
      <c r="A1198" s="417">
        <v>41539</v>
      </c>
      <c r="B1198" s="418">
        <v>0.92453703703703705</v>
      </c>
      <c r="C1198" s="421" t="s">
        <v>1319</v>
      </c>
    </row>
    <row r="1199" spans="1:3" x14ac:dyDescent="0.25">
      <c r="A1199" s="417">
        <v>41539</v>
      </c>
      <c r="B1199" s="418">
        <v>0.92453703703703705</v>
      </c>
      <c r="C1199" s="421" t="s">
        <v>1320</v>
      </c>
    </row>
    <row r="1200" spans="1:3" x14ac:dyDescent="0.25">
      <c r="A1200" s="417">
        <v>41539</v>
      </c>
      <c r="B1200" s="418">
        <v>0.92453703703703705</v>
      </c>
      <c r="C1200" s="421" t="s">
        <v>1318</v>
      </c>
    </row>
    <row r="1201" spans="1:3" x14ac:dyDescent="0.25">
      <c r="A1201" s="417">
        <v>41539</v>
      </c>
      <c r="B1201" s="418">
        <v>0.92453703703703705</v>
      </c>
      <c r="C1201" s="421" t="s">
        <v>1307</v>
      </c>
    </row>
    <row r="1202" spans="1:3" x14ac:dyDescent="0.25">
      <c r="A1202" s="417">
        <v>41539</v>
      </c>
      <c r="B1202" s="418">
        <v>0.92453703703703705</v>
      </c>
      <c r="C1202" s="421" t="s">
        <v>1321</v>
      </c>
    </row>
    <row r="1203" spans="1:3" x14ac:dyDescent="0.25">
      <c r="A1203" s="417">
        <v>41539</v>
      </c>
      <c r="B1203" s="418">
        <v>0.92453703703703705</v>
      </c>
      <c r="C1203" s="421" t="s">
        <v>1322</v>
      </c>
    </row>
    <row r="1204" spans="1:3" x14ac:dyDescent="0.25">
      <c r="A1204" s="417">
        <v>41539</v>
      </c>
      <c r="B1204" s="418">
        <v>0.92453703703703705</v>
      </c>
      <c r="C1204" s="421" t="s">
        <v>1322</v>
      </c>
    </row>
    <row r="1205" spans="1:3" x14ac:dyDescent="0.25">
      <c r="A1205" s="417">
        <v>41539</v>
      </c>
      <c r="B1205" s="418">
        <v>0.92453703703703705</v>
      </c>
      <c r="C1205" s="421" t="s">
        <v>1323</v>
      </c>
    </row>
    <row r="1206" spans="1:3" x14ac:dyDescent="0.25">
      <c r="A1206" s="417">
        <v>41539</v>
      </c>
      <c r="B1206" s="418">
        <v>0.92453703703703705</v>
      </c>
      <c r="C1206" s="421" t="s">
        <v>1324</v>
      </c>
    </row>
    <row r="1207" spans="1:3" x14ac:dyDescent="0.25">
      <c r="A1207" s="417">
        <v>41539</v>
      </c>
      <c r="B1207" s="418">
        <v>0.92453703703703705</v>
      </c>
      <c r="C1207" s="421" t="s">
        <v>1310</v>
      </c>
    </row>
    <row r="1208" spans="1:3" x14ac:dyDescent="0.25">
      <c r="A1208" s="417">
        <v>41539</v>
      </c>
      <c r="B1208" s="418">
        <v>0.92453703703703705</v>
      </c>
      <c r="C1208" s="421" t="s">
        <v>1325</v>
      </c>
    </row>
    <row r="1209" spans="1:3" x14ac:dyDescent="0.25">
      <c r="A1209" s="417">
        <v>41539</v>
      </c>
      <c r="B1209" s="418">
        <v>0.92453703703703705</v>
      </c>
      <c r="C1209" s="421" t="s">
        <v>1326</v>
      </c>
    </row>
    <row r="1210" spans="1:3" x14ac:dyDescent="0.25">
      <c r="A1210" s="417">
        <v>41539</v>
      </c>
      <c r="B1210" s="418">
        <v>0.92453703703703705</v>
      </c>
      <c r="C1210" s="421" t="s">
        <v>1327</v>
      </c>
    </row>
    <row r="1211" spans="1:3" ht="45" x14ac:dyDescent="0.25">
      <c r="A1211" s="417">
        <v>41540</v>
      </c>
      <c r="B1211" s="418">
        <v>8.5439814814814816E-2</v>
      </c>
      <c r="C1211" s="946" t="s">
        <v>1511</v>
      </c>
    </row>
    <row r="1212" spans="1:3" x14ac:dyDescent="0.25">
      <c r="A1212" s="417">
        <v>41540</v>
      </c>
      <c r="B1212" s="418">
        <v>0.2094560185185185</v>
      </c>
      <c r="C1212" s="421" t="s">
        <v>1238</v>
      </c>
    </row>
    <row r="1213" spans="1:3" x14ac:dyDescent="0.25">
      <c r="A1213" s="417">
        <v>41540</v>
      </c>
      <c r="B1213" s="418">
        <v>0.2094560185185185</v>
      </c>
      <c r="C1213" s="421" t="s">
        <v>1307</v>
      </c>
    </row>
    <row r="1214" spans="1:3" x14ac:dyDescent="0.25">
      <c r="A1214" s="417">
        <v>41540</v>
      </c>
      <c r="B1214" s="418">
        <v>0.2094560185185185</v>
      </c>
      <c r="C1214" s="421" t="s">
        <v>1308</v>
      </c>
    </row>
    <row r="1215" spans="1:3" x14ac:dyDescent="0.25">
      <c r="A1215" s="417">
        <v>41540</v>
      </c>
      <c r="B1215" s="418">
        <v>0.2094560185185185</v>
      </c>
      <c r="C1215" s="421" t="s">
        <v>1309</v>
      </c>
    </row>
    <row r="1216" spans="1:3" x14ac:dyDescent="0.25">
      <c r="A1216" s="417">
        <v>41540</v>
      </c>
      <c r="B1216" s="418">
        <v>0.2094560185185185</v>
      </c>
      <c r="C1216" s="421" t="s">
        <v>1310</v>
      </c>
    </row>
    <row r="1217" spans="1:3" x14ac:dyDescent="0.25">
      <c r="A1217" s="417">
        <v>41540</v>
      </c>
      <c r="B1217" s="418">
        <v>0.2094560185185185</v>
      </c>
      <c r="C1217" s="421" t="s">
        <v>1311</v>
      </c>
    </row>
    <row r="1218" spans="1:3" x14ac:dyDescent="0.25">
      <c r="A1218" s="417">
        <v>41540</v>
      </c>
      <c r="B1218" s="418">
        <v>0.2094560185185185</v>
      </c>
      <c r="C1218" s="421" t="s">
        <v>1312</v>
      </c>
    </row>
    <row r="1219" spans="1:3" x14ac:dyDescent="0.25">
      <c r="A1219" s="417">
        <v>41540</v>
      </c>
      <c r="B1219" s="418">
        <v>0.2094560185185185</v>
      </c>
      <c r="C1219" s="421" t="s">
        <v>1313</v>
      </c>
    </row>
    <row r="1220" spans="1:3" x14ac:dyDescent="0.25">
      <c r="A1220" s="417">
        <v>41540</v>
      </c>
      <c r="B1220" s="418">
        <v>0.2094560185185185</v>
      </c>
      <c r="C1220" s="421" t="s">
        <v>1310</v>
      </c>
    </row>
    <row r="1221" spans="1:3" x14ac:dyDescent="0.25">
      <c r="A1221" s="417">
        <v>41540</v>
      </c>
      <c r="B1221" s="418">
        <v>0.2094560185185185</v>
      </c>
      <c r="C1221" s="421" t="s">
        <v>1314</v>
      </c>
    </row>
    <row r="1222" spans="1:3" x14ac:dyDescent="0.25">
      <c r="A1222" s="417">
        <v>41540</v>
      </c>
      <c r="B1222" s="418">
        <v>0.2094560185185185</v>
      </c>
      <c r="C1222" s="421" t="s">
        <v>1315</v>
      </c>
    </row>
    <row r="1223" spans="1:3" x14ac:dyDescent="0.25">
      <c r="A1223" s="417">
        <v>41540</v>
      </c>
      <c r="B1223" s="418">
        <v>0.2094560185185185</v>
      </c>
      <c r="C1223" s="421" t="s">
        <v>1460</v>
      </c>
    </row>
    <row r="1224" spans="1:3" x14ac:dyDescent="0.25">
      <c r="A1224" s="417">
        <v>41540</v>
      </c>
      <c r="B1224" s="418">
        <v>0.2094560185185185</v>
      </c>
      <c r="C1224" s="421" t="s">
        <v>1461</v>
      </c>
    </row>
    <row r="1225" spans="1:3" x14ac:dyDescent="0.25">
      <c r="A1225" s="417">
        <v>41540</v>
      </c>
      <c r="B1225" s="418">
        <v>0.2094560185185185</v>
      </c>
      <c r="C1225" s="421" t="s">
        <v>1310</v>
      </c>
    </row>
    <row r="1226" spans="1:3" x14ac:dyDescent="0.25">
      <c r="A1226" s="417">
        <v>41540</v>
      </c>
      <c r="B1226" s="418">
        <v>0.2094560185185185</v>
      </c>
      <c r="C1226" s="421" t="s">
        <v>1238</v>
      </c>
    </row>
    <row r="1227" spans="1:3" x14ac:dyDescent="0.25">
      <c r="A1227" s="417">
        <v>41540</v>
      </c>
      <c r="B1227" s="418">
        <v>0.2094560185185185</v>
      </c>
      <c r="C1227" s="421" t="s">
        <v>1462</v>
      </c>
    </row>
    <row r="1228" spans="1:3" x14ac:dyDescent="0.25">
      <c r="A1228" s="417">
        <v>41540</v>
      </c>
      <c r="B1228" s="418">
        <v>0.2094560185185185</v>
      </c>
      <c r="C1228" s="421" t="s">
        <v>1316</v>
      </c>
    </row>
    <row r="1229" spans="1:3" x14ac:dyDescent="0.25">
      <c r="A1229" s="417">
        <v>41540</v>
      </c>
      <c r="B1229" s="418">
        <v>0.2094560185185185</v>
      </c>
      <c r="C1229" s="421" t="s">
        <v>1316</v>
      </c>
    </row>
    <row r="1230" spans="1:3" x14ac:dyDescent="0.25">
      <c r="A1230" s="417">
        <v>41540</v>
      </c>
      <c r="B1230" s="418">
        <v>0.2094560185185185</v>
      </c>
      <c r="C1230" s="421" t="s">
        <v>1317</v>
      </c>
    </row>
    <row r="1231" spans="1:3" x14ac:dyDescent="0.25">
      <c r="A1231" s="417">
        <v>41540</v>
      </c>
      <c r="B1231" s="418">
        <v>0.2094560185185185</v>
      </c>
      <c r="C1231" s="421" t="s">
        <v>1309</v>
      </c>
    </row>
    <row r="1232" spans="1:3" x14ac:dyDescent="0.25">
      <c r="A1232" s="417">
        <v>41540</v>
      </c>
      <c r="B1232" s="418">
        <v>0.2094560185185185</v>
      </c>
      <c r="C1232" s="421" t="s">
        <v>1318</v>
      </c>
    </row>
    <row r="1233" spans="1:3" x14ac:dyDescent="0.25">
      <c r="A1233" s="417">
        <v>41540</v>
      </c>
      <c r="B1233" s="418">
        <v>0.2094560185185185</v>
      </c>
      <c r="C1233" s="421" t="s">
        <v>1319</v>
      </c>
    </row>
    <row r="1234" spans="1:3" x14ac:dyDescent="0.25">
      <c r="A1234" s="417">
        <v>41540</v>
      </c>
      <c r="B1234" s="418">
        <v>0.2094560185185185</v>
      </c>
      <c r="C1234" s="421" t="s">
        <v>1320</v>
      </c>
    </row>
    <row r="1235" spans="1:3" x14ac:dyDescent="0.25">
      <c r="A1235" s="417">
        <v>41540</v>
      </c>
      <c r="B1235" s="418">
        <v>0.2094560185185185</v>
      </c>
      <c r="C1235" s="421" t="s">
        <v>1318</v>
      </c>
    </row>
    <row r="1236" spans="1:3" x14ac:dyDescent="0.25">
      <c r="A1236" s="417">
        <v>41540</v>
      </c>
      <c r="B1236" s="418">
        <v>0.2094560185185185</v>
      </c>
      <c r="C1236" s="421" t="s">
        <v>1307</v>
      </c>
    </row>
    <row r="1237" spans="1:3" x14ac:dyDescent="0.25">
      <c r="A1237" s="417">
        <v>41540</v>
      </c>
      <c r="B1237" s="418">
        <v>0.2094560185185185</v>
      </c>
      <c r="C1237" s="421" t="s">
        <v>1321</v>
      </c>
    </row>
    <row r="1238" spans="1:3" x14ac:dyDescent="0.25">
      <c r="A1238" s="417">
        <v>41540</v>
      </c>
      <c r="B1238" s="418">
        <v>0.2094560185185185</v>
      </c>
      <c r="C1238" s="421" t="s">
        <v>1322</v>
      </c>
    </row>
    <row r="1239" spans="1:3" x14ac:dyDescent="0.25">
      <c r="A1239" s="417">
        <v>41540</v>
      </c>
      <c r="B1239" s="418">
        <v>0.2094560185185185</v>
      </c>
      <c r="C1239" s="421" t="s">
        <v>1322</v>
      </c>
    </row>
    <row r="1240" spans="1:3" x14ac:dyDescent="0.25">
      <c r="A1240" s="417">
        <v>41540</v>
      </c>
      <c r="B1240" s="418">
        <v>0.2094560185185185</v>
      </c>
      <c r="C1240" s="421" t="s">
        <v>1323</v>
      </c>
    </row>
    <row r="1241" spans="1:3" x14ac:dyDescent="0.25">
      <c r="A1241" s="417">
        <v>41540</v>
      </c>
      <c r="B1241" s="418">
        <v>0.2094560185185185</v>
      </c>
      <c r="C1241" s="421" t="s">
        <v>1324</v>
      </c>
    </row>
    <row r="1242" spans="1:3" x14ac:dyDescent="0.25">
      <c r="A1242" s="417">
        <v>41540</v>
      </c>
      <c r="B1242" s="418">
        <v>0.2094560185185185</v>
      </c>
      <c r="C1242" s="421" t="s">
        <v>1310</v>
      </c>
    </row>
    <row r="1243" spans="1:3" x14ac:dyDescent="0.25">
      <c r="A1243" s="417">
        <v>41540</v>
      </c>
      <c r="B1243" s="418">
        <v>0.2094560185185185</v>
      </c>
      <c r="C1243" s="421" t="s">
        <v>1325</v>
      </c>
    </row>
    <row r="1244" spans="1:3" x14ac:dyDescent="0.25">
      <c r="A1244" s="417">
        <v>41540</v>
      </c>
      <c r="B1244" s="418">
        <v>0.2094560185185185</v>
      </c>
      <c r="C1244" s="421" t="s">
        <v>1326</v>
      </c>
    </row>
    <row r="1245" spans="1:3" x14ac:dyDescent="0.25">
      <c r="A1245" s="417">
        <v>41540</v>
      </c>
      <c r="B1245" s="418">
        <v>0.2094560185185185</v>
      </c>
      <c r="C1245" s="421" t="s">
        <v>1327</v>
      </c>
    </row>
    <row r="1246" spans="1:3" x14ac:dyDescent="0.25">
      <c r="A1246" s="417">
        <v>41540</v>
      </c>
      <c r="B1246" s="418">
        <v>0.2094560185185185</v>
      </c>
      <c r="C1246" s="421" t="s">
        <v>1328</v>
      </c>
    </row>
    <row r="1247" spans="1:3" ht="60" x14ac:dyDescent="0.25">
      <c r="A1247" s="417">
        <v>41540</v>
      </c>
      <c r="B1247" s="418">
        <v>0.2094560185185185</v>
      </c>
      <c r="C1247" s="946" t="s">
        <v>1478</v>
      </c>
    </row>
    <row r="1248" spans="1:3" x14ac:dyDescent="0.25">
      <c r="A1248" s="417">
        <v>41540</v>
      </c>
      <c r="B1248" s="418">
        <v>0.20953703703703705</v>
      </c>
      <c r="C1248" s="421" t="s">
        <v>1323</v>
      </c>
    </row>
    <row r="1249" spans="1:3" x14ac:dyDescent="0.25">
      <c r="A1249" s="417">
        <v>41540</v>
      </c>
      <c r="B1249" s="418">
        <v>0.20953703703703705</v>
      </c>
      <c r="C1249" s="421" t="s">
        <v>1342</v>
      </c>
    </row>
    <row r="1250" spans="1:3" x14ac:dyDescent="0.25">
      <c r="A1250" s="417">
        <v>41540</v>
      </c>
      <c r="B1250" s="418">
        <v>0.20953703703703705</v>
      </c>
      <c r="C1250" s="421" t="s">
        <v>1343</v>
      </c>
    </row>
    <row r="1251" spans="1:3" x14ac:dyDescent="0.25">
      <c r="A1251" s="417">
        <v>41540</v>
      </c>
      <c r="B1251" s="418">
        <v>0.20953703703703705</v>
      </c>
      <c r="C1251" s="421" t="s">
        <v>1344</v>
      </c>
    </row>
    <row r="1252" spans="1:3" x14ac:dyDescent="0.25">
      <c r="A1252" s="417">
        <v>41540</v>
      </c>
      <c r="B1252" s="418">
        <v>0.20953703703703705</v>
      </c>
      <c r="C1252" s="421" t="s">
        <v>1344</v>
      </c>
    </row>
    <row r="1253" spans="1:3" x14ac:dyDescent="0.25">
      <c r="A1253" s="417">
        <v>41540</v>
      </c>
      <c r="B1253" s="418">
        <v>0.20953703703703705</v>
      </c>
      <c r="C1253" s="421" t="s">
        <v>1310</v>
      </c>
    </row>
    <row r="1254" spans="1:3" x14ac:dyDescent="0.25">
      <c r="A1254" s="417">
        <v>41540</v>
      </c>
      <c r="B1254" s="418">
        <v>0.20953703703703705</v>
      </c>
      <c r="C1254" s="421" t="s">
        <v>1345</v>
      </c>
    </row>
    <row r="1255" spans="1:3" x14ac:dyDescent="0.25">
      <c r="A1255" s="417">
        <v>41540</v>
      </c>
      <c r="B1255" s="418">
        <v>0.20953703703703705</v>
      </c>
      <c r="C1255" s="421" t="s">
        <v>1346</v>
      </c>
    </row>
    <row r="1256" spans="1:3" x14ac:dyDescent="0.25">
      <c r="A1256" s="417">
        <v>41540</v>
      </c>
      <c r="B1256" s="418">
        <v>0.20953703703703705</v>
      </c>
      <c r="C1256" s="421" t="s">
        <v>1347</v>
      </c>
    </row>
    <row r="1257" spans="1:3" x14ac:dyDescent="0.25">
      <c r="A1257" s="417">
        <v>41540</v>
      </c>
      <c r="B1257" s="418">
        <v>0.20953703703703705</v>
      </c>
      <c r="C1257" s="421" t="s">
        <v>1348</v>
      </c>
    </row>
    <row r="1258" spans="1:3" x14ac:dyDescent="0.25">
      <c r="A1258" s="417">
        <v>41540</v>
      </c>
      <c r="B1258" s="418">
        <v>0.20953703703703705</v>
      </c>
      <c r="C1258" s="421" t="s">
        <v>1349</v>
      </c>
    </row>
    <row r="1259" spans="1:3" x14ac:dyDescent="0.25">
      <c r="A1259" s="417">
        <v>41540</v>
      </c>
      <c r="B1259" s="418">
        <v>0.20953703703703705</v>
      </c>
      <c r="C1259" s="421" t="s">
        <v>1349</v>
      </c>
    </row>
    <row r="1260" spans="1:3" x14ac:dyDescent="0.25">
      <c r="A1260" s="417">
        <v>41540</v>
      </c>
      <c r="B1260" s="418">
        <v>0.20953703703703705</v>
      </c>
      <c r="C1260" s="421" t="s">
        <v>1348</v>
      </c>
    </row>
    <row r="1261" spans="1:3" x14ac:dyDescent="0.25">
      <c r="A1261" s="417">
        <v>41540</v>
      </c>
      <c r="B1261" s="418">
        <v>0.20953703703703705</v>
      </c>
      <c r="C1261" s="421" t="s">
        <v>1350</v>
      </c>
    </row>
    <row r="1262" spans="1:3" x14ac:dyDescent="0.25">
      <c r="A1262" s="417">
        <v>41540</v>
      </c>
      <c r="B1262" s="418">
        <v>0.20953703703703705</v>
      </c>
      <c r="C1262" s="421" t="s">
        <v>1351</v>
      </c>
    </row>
    <row r="1263" spans="1:3" x14ac:dyDescent="0.25">
      <c r="A1263" s="417">
        <v>41540</v>
      </c>
      <c r="B1263" s="418">
        <v>0.20953703703703705</v>
      </c>
      <c r="C1263" s="421" t="s">
        <v>1352</v>
      </c>
    </row>
    <row r="1264" spans="1:3" x14ac:dyDescent="0.25">
      <c r="A1264" s="417">
        <v>41540</v>
      </c>
      <c r="B1264" s="418">
        <v>0.20953703703703705</v>
      </c>
      <c r="C1264" s="421" t="s">
        <v>1287</v>
      </c>
    </row>
    <row r="1265" spans="1:3" ht="60" x14ac:dyDescent="0.25">
      <c r="A1265" s="417">
        <v>41540</v>
      </c>
      <c r="B1265" s="418">
        <v>0.20953703703703705</v>
      </c>
      <c r="C1265" s="946" t="s">
        <v>1288</v>
      </c>
    </row>
    <row r="1266" spans="1:3" x14ac:dyDescent="0.25">
      <c r="A1266" s="417">
        <v>41540</v>
      </c>
      <c r="B1266" s="418">
        <v>0.20954861111111112</v>
      </c>
      <c r="C1266" s="421" t="s">
        <v>1353</v>
      </c>
    </row>
    <row r="1267" spans="1:3" x14ac:dyDescent="0.25">
      <c r="A1267" s="417">
        <v>41540</v>
      </c>
      <c r="B1267" s="418">
        <v>0.20954861111111112</v>
      </c>
      <c r="C1267" s="421" t="s">
        <v>1354</v>
      </c>
    </row>
    <row r="1268" spans="1:3" x14ac:dyDescent="0.25">
      <c r="A1268" s="417">
        <v>41540</v>
      </c>
      <c r="B1268" s="418">
        <v>0.20954861111111112</v>
      </c>
      <c r="C1268" s="421" t="s">
        <v>1355</v>
      </c>
    </row>
    <row r="1269" spans="1:3" x14ac:dyDescent="0.25">
      <c r="A1269" s="417">
        <v>41540</v>
      </c>
      <c r="B1269" s="418">
        <v>0.20954861111111112</v>
      </c>
      <c r="C1269" s="421" t="s">
        <v>1357</v>
      </c>
    </row>
    <row r="1270" spans="1:3" x14ac:dyDescent="0.25">
      <c r="A1270" s="417">
        <v>41540</v>
      </c>
      <c r="B1270" s="418">
        <v>0.20954861111111112</v>
      </c>
      <c r="C1270" s="421" t="s">
        <v>1358</v>
      </c>
    </row>
    <row r="1271" spans="1:3" x14ac:dyDescent="0.25">
      <c r="A1271" s="417">
        <v>41540</v>
      </c>
      <c r="B1271" s="418">
        <v>0.20954861111111112</v>
      </c>
      <c r="C1271" s="421" t="s">
        <v>1359</v>
      </c>
    </row>
    <row r="1272" spans="1:3" x14ac:dyDescent="0.25">
      <c r="A1272" s="417">
        <v>41540</v>
      </c>
      <c r="B1272" s="418">
        <v>0.20954861111111112</v>
      </c>
      <c r="C1272" s="421" t="s">
        <v>1360</v>
      </c>
    </row>
    <row r="1273" spans="1:3" x14ac:dyDescent="0.25">
      <c r="A1273" s="417">
        <v>41540</v>
      </c>
      <c r="B1273" s="418">
        <v>0.20954861111111112</v>
      </c>
      <c r="C1273" s="421" t="s">
        <v>1361</v>
      </c>
    </row>
    <row r="1274" spans="1:3" x14ac:dyDescent="0.25">
      <c r="A1274" s="417">
        <v>41540</v>
      </c>
      <c r="B1274" s="418">
        <v>0.20954861111111112</v>
      </c>
      <c r="C1274" s="421" t="s">
        <v>1317</v>
      </c>
    </row>
    <row r="1275" spans="1:3" x14ac:dyDescent="0.25">
      <c r="A1275" s="417">
        <v>41540</v>
      </c>
      <c r="B1275" s="418">
        <v>0.20954861111111112</v>
      </c>
      <c r="C1275" s="421" t="s">
        <v>1362</v>
      </c>
    </row>
    <row r="1276" spans="1:3" x14ac:dyDescent="0.25">
      <c r="A1276" s="417">
        <v>41540</v>
      </c>
      <c r="B1276" s="418">
        <v>0.20954861111111112</v>
      </c>
      <c r="C1276" s="421" t="s">
        <v>1355</v>
      </c>
    </row>
    <row r="1277" spans="1:3" x14ac:dyDescent="0.25">
      <c r="A1277" s="417">
        <v>41540</v>
      </c>
      <c r="B1277" s="418">
        <v>0.20954861111111112</v>
      </c>
      <c r="C1277" s="421" t="s">
        <v>1363</v>
      </c>
    </row>
    <row r="1278" spans="1:3" x14ac:dyDescent="0.25">
      <c r="A1278" s="417">
        <v>41540</v>
      </c>
      <c r="B1278" s="418">
        <v>0.20954861111111112</v>
      </c>
      <c r="C1278" s="421" t="s">
        <v>1364</v>
      </c>
    </row>
    <row r="1279" spans="1:3" x14ac:dyDescent="0.25">
      <c r="A1279" s="417">
        <v>41540</v>
      </c>
      <c r="B1279" s="418">
        <v>0.20954861111111112</v>
      </c>
      <c r="C1279" s="421" t="s">
        <v>1365</v>
      </c>
    </row>
    <row r="1280" spans="1:3" x14ac:dyDescent="0.25">
      <c r="A1280" s="417">
        <v>41540</v>
      </c>
      <c r="B1280" s="418">
        <v>0.20954861111111112</v>
      </c>
      <c r="C1280" s="421" t="s">
        <v>1365</v>
      </c>
    </row>
    <row r="1281" spans="1:3" x14ac:dyDescent="0.25">
      <c r="A1281" s="417">
        <v>41540</v>
      </c>
      <c r="B1281" s="418">
        <v>0.20954861111111112</v>
      </c>
      <c r="C1281" s="421" t="s">
        <v>1366</v>
      </c>
    </row>
    <row r="1282" spans="1:3" x14ac:dyDescent="0.25">
      <c r="A1282" s="417">
        <v>41540</v>
      </c>
      <c r="B1282" s="418">
        <v>0.20954861111111112</v>
      </c>
      <c r="C1282" s="421" t="s">
        <v>1320</v>
      </c>
    </row>
    <row r="1283" spans="1:3" x14ac:dyDescent="0.25">
      <c r="A1283" s="417">
        <v>41540</v>
      </c>
      <c r="B1283" s="418">
        <v>0.20954861111111112</v>
      </c>
      <c r="C1283" s="421" t="s">
        <v>1367</v>
      </c>
    </row>
    <row r="1284" spans="1:3" x14ac:dyDescent="0.25">
      <c r="A1284" s="417">
        <v>41540</v>
      </c>
      <c r="B1284" s="418">
        <v>0.20954861111111112</v>
      </c>
      <c r="C1284" s="421" t="s">
        <v>1344</v>
      </c>
    </row>
    <row r="1285" spans="1:3" x14ac:dyDescent="0.25">
      <c r="A1285" s="417">
        <v>41540</v>
      </c>
      <c r="B1285" s="418">
        <v>0.20954861111111112</v>
      </c>
      <c r="C1285" s="421" t="s">
        <v>1368</v>
      </c>
    </row>
    <row r="1286" spans="1:3" x14ac:dyDescent="0.25">
      <c r="A1286" s="417">
        <v>41540</v>
      </c>
      <c r="B1286" s="418">
        <v>0.20954861111111112</v>
      </c>
      <c r="C1286" s="421" t="s">
        <v>1369</v>
      </c>
    </row>
    <row r="1287" spans="1:3" x14ac:dyDescent="0.25">
      <c r="A1287" s="417">
        <v>41540</v>
      </c>
      <c r="B1287" s="418">
        <v>0.20954861111111112</v>
      </c>
      <c r="C1287" s="421" t="s">
        <v>1307</v>
      </c>
    </row>
    <row r="1288" spans="1:3" x14ac:dyDescent="0.25">
      <c r="A1288" s="417">
        <v>41540</v>
      </c>
      <c r="B1288" s="418">
        <v>0.20954861111111112</v>
      </c>
      <c r="C1288" s="421" t="s">
        <v>1370</v>
      </c>
    </row>
    <row r="1289" spans="1:3" x14ac:dyDescent="0.25">
      <c r="A1289" s="417">
        <v>41540</v>
      </c>
      <c r="B1289" s="418">
        <v>0.20954861111111112</v>
      </c>
      <c r="C1289" s="421" t="s">
        <v>1371</v>
      </c>
    </row>
    <row r="1290" spans="1:3" x14ac:dyDescent="0.25">
      <c r="A1290" s="417">
        <v>41540</v>
      </c>
      <c r="B1290" s="418">
        <v>0.20954861111111112</v>
      </c>
      <c r="C1290" s="421" t="s">
        <v>1344</v>
      </c>
    </row>
    <row r="1291" spans="1:3" x14ac:dyDescent="0.25">
      <c r="A1291" s="417">
        <v>41540</v>
      </c>
      <c r="B1291" s="418">
        <v>0.20954861111111112</v>
      </c>
      <c r="C1291" s="421" t="s">
        <v>1317</v>
      </c>
    </row>
    <row r="1292" spans="1:3" x14ac:dyDescent="0.25">
      <c r="A1292" s="417">
        <v>41540</v>
      </c>
      <c r="B1292" s="418">
        <v>0.20954861111111112</v>
      </c>
      <c r="C1292" s="421" t="s">
        <v>1463</v>
      </c>
    </row>
    <row r="1293" spans="1:3" x14ac:dyDescent="0.25">
      <c r="A1293" s="417">
        <v>41540</v>
      </c>
      <c r="B1293" s="418">
        <v>0.20954861111111112</v>
      </c>
      <c r="C1293" s="421" t="s">
        <v>1378</v>
      </c>
    </row>
    <row r="1294" spans="1:3" ht="60" x14ac:dyDescent="0.25">
      <c r="A1294" s="417">
        <v>41540</v>
      </c>
      <c r="B1294" s="418">
        <v>0.20954861111111112</v>
      </c>
      <c r="C1294" s="946" t="s">
        <v>1479</v>
      </c>
    </row>
    <row r="1295" spans="1:3" x14ac:dyDescent="0.25">
      <c r="A1295" s="417">
        <v>41540</v>
      </c>
      <c r="B1295" s="418">
        <v>0.20956018518518518</v>
      </c>
      <c r="C1295" s="421" t="s">
        <v>1373</v>
      </c>
    </row>
    <row r="1296" spans="1:3" x14ac:dyDescent="0.25">
      <c r="A1296" s="417">
        <v>41540</v>
      </c>
      <c r="B1296" s="418">
        <v>0.20956018518518518</v>
      </c>
      <c r="C1296" s="421" t="s">
        <v>1308</v>
      </c>
    </row>
    <row r="1297" spans="1:3" x14ac:dyDescent="0.25">
      <c r="A1297" s="417">
        <v>41540</v>
      </c>
      <c r="B1297" s="418">
        <v>0.20956018518518518</v>
      </c>
      <c r="C1297" s="421" t="s">
        <v>1374</v>
      </c>
    </row>
    <row r="1298" spans="1:3" x14ac:dyDescent="0.25">
      <c r="A1298" s="417">
        <v>41540</v>
      </c>
      <c r="B1298" s="418">
        <v>0.20956018518518518</v>
      </c>
      <c r="C1298" s="421" t="s">
        <v>1375</v>
      </c>
    </row>
    <row r="1299" spans="1:3" x14ac:dyDescent="0.25">
      <c r="A1299" s="417">
        <v>41540</v>
      </c>
      <c r="B1299" s="418">
        <v>0.20956018518518518</v>
      </c>
      <c r="C1299" s="421" t="s">
        <v>1376</v>
      </c>
    </row>
    <row r="1300" spans="1:3" x14ac:dyDescent="0.25">
      <c r="A1300" s="417">
        <v>41540</v>
      </c>
      <c r="B1300" s="418">
        <v>0.20956018518518518</v>
      </c>
      <c r="C1300" s="421" t="s">
        <v>1377</v>
      </c>
    </row>
    <row r="1301" spans="1:3" x14ac:dyDescent="0.25">
      <c r="A1301" s="417">
        <v>41540</v>
      </c>
      <c r="B1301" s="418">
        <v>0.20956018518518518</v>
      </c>
      <c r="C1301" s="421" t="s">
        <v>1326</v>
      </c>
    </row>
    <row r="1302" spans="1:3" x14ac:dyDescent="0.25">
      <c r="A1302" s="417">
        <v>41540</v>
      </c>
      <c r="B1302" s="418">
        <v>0.20956018518518518</v>
      </c>
      <c r="C1302" s="421" t="s">
        <v>1378</v>
      </c>
    </row>
    <row r="1303" spans="1:3" ht="60" x14ac:dyDescent="0.25">
      <c r="A1303" s="417">
        <v>41540</v>
      </c>
      <c r="B1303" s="418">
        <v>0.20956018518518518</v>
      </c>
      <c r="C1303" s="946" t="s">
        <v>1464</v>
      </c>
    </row>
    <row r="1304" spans="1:3" x14ac:dyDescent="0.25">
      <c r="A1304" s="417">
        <v>41540</v>
      </c>
      <c r="B1304" s="418">
        <v>0.20957175925925928</v>
      </c>
      <c r="C1304" s="421" t="s">
        <v>1380</v>
      </c>
    </row>
    <row r="1305" spans="1:3" x14ac:dyDescent="0.25">
      <c r="A1305" s="417">
        <v>41540</v>
      </c>
      <c r="B1305" s="418">
        <v>0.20957175925925928</v>
      </c>
      <c r="C1305" s="421" t="s">
        <v>1381</v>
      </c>
    </row>
    <row r="1306" spans="1:3" x14ac:dyDescent="0.25">
      <c r="A1306" s="417">
        <v>41540</v>
      </c>
      <c r="B1306" s="418">
        <v>0.20957175925925928</v>
      </c>
      <c r="C1306" s="421" t="s">
        <v>1382</v>
      </c>
    </row>
    <row r="1307" spans="1:3" x14ac:dyDescent="0.25">
      <c r="A1307" s="417">
        <v>41540</v>
      </c>
      <c r="B1307" s="418">
        <v>0.20957175925925928</v>
      </c>
      <c r="C1307" s="421" t="s">
        <v>1383</v>
      </c>
    </row>
    <row r="1308" spans="1:3" x14ac:dyDescent="0.25">
      <c r="A1308" s="417">
        <v>41540</v>
      </c>
      <c r="B1308" s="418">
        <v>0.20957175925925928</v>
      </c>
      <c r="C1308" s="421" t="s">
        <v>1352</v>
      </c>
    </row>
    <row r="1309" spans="1:3" x14ac:dyDescent="0.25">
      <c r="A1309" s="417">
        <v>41540</v>
      </c>
      <c r="B1309" s="418">
        <v>0.20957175925925928</v>
      </c>
      <c r="C1309" s="421" t="s">
        <v>1384</v>
      </c>
    </row>
    <row r="1310" spans="1:3" x14ac:dyDescent="0.25">
      <c r="A1310" s="417">
        <v>41540</v>
      </c>
      <c r="B1310" s="418">
        <v>0.20957175925925928</v>
      </c>
      <c r="C1310" s="421" t="s">
        <v>1385</v>
      </c>
    </row>
    <row r="1311" spans="1:3" x14ac:dyDescent="0.25">
      <c r="A1311" s="417">
        <v>41540</v>
      </c>
      <c r="B1311" s="418">
        <v>0.20957175925925928</v>
      </c>
      <c r="C1311" s="421" t="s">
        <v>1385</v>
      </c>
    </row>
    <row r="1312" spans="1:3" x14ac:dyDescent="0.25">
      <c r="A1312" s="417">
        <v>41540</v>
      </c>
      <c r="B1312" s="418">
        <v>0.20957175925925928</v>
      </c>
      <c r="C1312" s="421" t="s">
        <v>1386</v>
      </c>
    </row>
    <row r="1313" spans="1:3" x14ac:dyDescent="0.25">
      <c r="A1313" s="417">
        <v>41540</v>
      </c>
      <c r="B1313" s="418">
        <v>0.20957175925925928</v>
      </c>
      <c r="C1313" s="421" t="s">
        <v>1387</v>
      </c>
    </row>
    <row r="1314" spans="1:3" x14ac:dyDescent="0.25">
      <c r="A1314" s="417">
        <v>41540</v>
      </c>
      <c r="B1314" s="418">
        <v>0.20957175925925928</v>
      </c>
      <c r="C1314" s="421" t="s">
        <v>1387</v>
      </c>
    </row>
    <row r="1315" spans="1:3" x14ac:dyDescent="0.25">
      <c r="A1315" s="417">
        <v>41540</v>
      </c>
      <c r="B1315" s="418">
        <v>0.20957175925925928</v>
      </c>
      <c r="C1315" s="421" t="s">
        <v>1318</v>
      </c>
    </row>
    <row r="1316" spans="1:3" x14ac:dyDescent="0.25">
      <c r="A1316" s="417">
        <v>41540</v>
      </c>
      <c r="B1316" s="418">
        <v>0.20957175925925928</v>
      </c>
      <c r="C1316" s="421" t="s">
        <v>1388</v>
      </c>
    </row>
    <row r="1317" spans="1:3" x14ac:dyDescent="0.25">
      <c r="A1317" s="417">
        <v>41540</v>
      </c>
      <c r="B1317" s="418">
        <v>0.20957175925925928</v>
      </c>
      <c r="C1317" s="421" t="s">
        <v>1390</v>
      </c>
    </row>
    <row r="1318" spans="1:3" x14ac:dyDescent="0.25">
      <c r="A1318" s="417">
        <v>41540</v>
      </c>
      <c r="B1318" s="418">
        <v>0.20957175925925928</v>
      </c>
      <c r="C1318" s="421" t="s">
        <v>1391</v>
      </c>
    </row>
    <row r="1319" spans="1:3" x14ac:dyDescent="0.25">
      <c r="A1319" s="417">
        <v>41540</v>
      </c>
      <c r="B1319" s="418">
        <v>0.20957175925925928</v>
      </c>
      <c r="C1319" s="421" t="s">
        <v>1392</v>
      </c>
    </row>
    <row r="1320" spans="1:3" x14ac:dyDescent="0.25">
      <c r="A1320" s="417">
        <v>41540</v>
      </c>
      <c r="B1320" s="418">
        <v>0.20957175925925928</v>
      </c>
      <c r="C1320" s="421" t="s">
        <v>1294</v>
      </c>
    </row>
    <row r="1321" spans="1:3" ht="60" x14ac:dyDescent="0.25">
      <c r="A1321" s="417">
        <v>41540</v>
      </c>
      <c r="B1321" s="418">
        <v>0.20957175925925928</v>
      </c>
      <c r="C1321" s="946" t="s">
        <v>1295</v>
      </c>
    </row>
    <row r="1322" spans="1:3" x14ac:dyDescent="0.25">
      <c r="A1322" s="417">
        <v>41540</v>
      </c>
      <c r="B1322" s="418">
        <v>0.20959490740740741</v>
      </c>
      <c r="C1322" s="421" t="s">
        <v>1393</v>
      </c>
    </row>
    <row r="1323" spans="1:3" x14ac:dyDescent="0.25">
      <c r="A1323" s="417">
        <v>41540</v>
      </c>
      <c r="B1323" s="418">
        <v>0.20959490740740741</v>
      </c>
      <c r="C1323" s="421" t="s">
        <v>1394</v>
      </c>
    </row>
    <row r="1324" spans="1:3" x14ac:dyDescent="0.25">
      <c r="A1324" s="417">
        <v>41540</v>
      </c>
      <c r="B1324" s="418">
        <v>0.20959490740740741</v>
      </c>
      <c r="C1324" s="421" t="s">
        <v>1392</v>
      </c>
    </row>
    <row r="1325" spans="1:3" x14ac:dyDescent="0.25">
      <c r="A1325" s="417">
        <v>41540</v>
      </c>
      <c r="B1325" s="418">
        <v>0.20959490740740741</v>
      </c>
      <c r="C1325" s="421" t="s">
        <v>1395</v>
      </c>
    </row>
    <row r="1326" spans="1:3" x14ac:dyDescent="0.25">
      <c r="A1326" s="417">
        <v>41540</v>
      </c>
      <c r="B1326" s="418">
        <v>0.20959490740740741</v>
      </c>
      <c r="C1326" s="421" t="s">
        <v>1396</v>
      </c>
    </row>
    <row r="1327" spans="1:3" x14ac:dyDescent="0.25">
      <c r="A1327" s="417">
        <v>41540</v>
      </c>
      <c r="B1327" s="418">
        <v>0.20959490740740741</v>
      </c>
      <c r="C1327" s="421" t="s">
        <v>1363</v>
      </c>
    </row>
    <row r="1328" spans="1:3" x14ac:dyDescent="0.25">
      <c r="A1328" s="417">
        <v>41540</v>
      </c>
      <c r="B1328" s="418">
        <v>0.20959490740740741</v>
      </c>
      <c r="C1328" s="421" t="s">
        <v>1362</v>
      </c>
    </row>
    <row r="1329" spans="1:3" x14ac:dyDescent="0.25">
      <c r="A1329" s="417">
        <v>41540</v>
      </c>
      <c r="B1329" s="418">
        <v>0.20959490740740741</v>
      </c>
      <c r="C1329" s="421" t="s">
        <v>1397</v>
      </c>
    </row>
    <row r="1330" spans="1:3" x14ac:dyDescent="0.25">
      <c r="A1330" s="417">
        <v>41540</v>
      </c>
      <c r="B1330" s="418">
        <v>0.20959490740740741</v>
      </c>
      <c r="C1330" s="421" t="s">
        <v>1381</v>
      </c>
    </row>
    <row r="1331" spans="1:3" x14ac:dyDescent="0.25">
      <c r="A1331" s="417">
        <v>41540</v>
      </c>
      <c r="B1331" s="418">
        <v>0.20959490740740741</v>
      </c>
      <c r="C1331" s="421" t="s">
        <v>1398</v>
      </c>
    </row>
    <row r="1332" spans="1:3" x14ac:dyDescent="0.25">
      <c r="A1332" s="417">
        <v>41540</v>
      </c>
      <c r="B1332" s="418">
        <v>0.20959490740740741</v>
      </c>
      <c r="C1332" s="421" t="s">
        <v>1399</v>
      </c>
    </row>
    <row r="1333" spans="1:3" x14ac:dyDescent="0.25">
      <c r="A1333" s="417">
        <v>41540</v>
      </c>
      <c r="B1333" s="418">
        <v>0.20959490740740741</v>
      </c>
      <c r="C1333" s="421" t="s">
        <v>1400</v>
      </c>
    </row>
    <row r="1334" spans="1:3" x14ac:dyDescent="0.25">
      <c r="A1334" s="417">
        <v>41540</v>
      </c>
      <c r="B1334" s="418">
        <v>0.20959490740740741</v>
      </c>
      <c r="C1334" s="421" t="s">
        <v>1400</v>
      </c>
    </row>
    <row r="1335" spans="1:3" x14ac:dyDescent="0.25">
      <c r="A1335" s="417">
        <v>41540</v>
      </c>
      <c r="B1335" s="418">
        <v>0.20959490740740741</v>
      </c>
      <c r="C1335" s="421" t="s">
        <v>1373</v>
      </c>
    </row>
    <row r="1336" spans="1:3" x14ac:dyDescent="0.25">
      <c r="A1336" s="417">
        <v>41540</v>
      </c>
      <c r="B1336" s="418">
        <v>0.20959490740740741</v>
      </c>
      <c r="C1336" s="421" t="s">
        <v>1353</v>
      </c>
    </row>
    <row r="1337" spans="1:3" x14ac:dyDescent="0.25">
      <c r="A1337" s="417">
        <v>41540</v>
      </c>
      <c r="B1337" s="418">
        <v>0.20959490740740741</v>
      </c>
      <c r="C1337" s="421" t="s">
        <v>1353</v>
      </c>
    </row>
    <row r="1338" spans="1:3" x14ac:dyDescent="0.25">
      <c r="A1338" s="417">
        <v>41540</v>
      </c>
      <c r="B1338" s="418">
        <v>0.20959490740740741</v>
      </c>
      <c r="C1338" s="421" t="s">
        <v>1401</v>
      </c>
    </row>
    <row r="1339" spans="1:3" x14ac:dyDescent="0.25">
      <c r="A1339" s="417">
        <v>41540</v>
      </c>
      <c r="B1339" s="418">
        <v>0.20959490740740741</v>
      </c>
      <c r="C1339" s="421" t="s">
        <v>1392</v>
      </c>
    </row>
    <row r="1340" spans="1:3" x14ac:dyDescent="0.25">
      <c r="A1340" s="417">
        <v>41540</v>
      </c>
      <c r="B1340" s="418">
        <v>0.20959490740740741</v>
      </c>
      <c r="C1340" s="421" t="s">
        <v>1403</v>
      </c>
    </row>
    <row r="1341" spans="1:3" x14ac:dyDescent="0.25">
      <c r="A1341" s="417">
        <v>41540</v>
      </c>
      <c r="B1341" s="418">
        <v>0.20959490740740741</v>
      </c>
      <c r="C1341" s="421" t="s">
        <v>1403</v>
      </c>
    </row>
    <row r="1342" spans="1:3" x14ac:dyDescent="0.25">
      <c r="A1342" s="417">
        <v>41540</v>
      </c>
      <c r="B1342" s="418">
        <v>0.20959490740740741</v>
      </c>
      <c r="C1342" s="421" t="s">
        <v>1403</v>
      </c>
    </row>
    <row r="1343" spans="1:3" x14ac:dyDescent="0.25">
      <c r="A1343" s="417">
        <v>41540</v>
      </c>
      <c r="B1343" s="418">
        <v>0.20959490740740741</v>
      </c>
      <c r="C1343" s="421" t="s">
        <v>1362</v>
      </c>
    </row>
    <row r="1344" spans="1:3" x14ac:dyDescent="0.25">
      <c r="A1344" s="417">
        <v>41540</v>
      </c>
      <c r="B1344" s="418">
        <v>0.20959490740740741</v>
      </c>
      <c r="C1344" s="421" t="s">
        <v>1364</v>
      </c>
    </row>
    <row r="1345" spans="1:3" x14ac:dyDescent="0.25">
      <c r="A1345" s="417">
        <v>41540</v>
      </c>
      <c r="B1345" s="418">
        <v>0.20959490740740741</v>
      </c>
      <c r="C1345" s="421" t="s">
        <v>1364</v>
      </c>
    </row>
    <row r="1346" spans="1:3" x14ac:dyDescent="0.25">
      <c r="A1346" s="417">
        <v>41540</v>
      </c>
      <c r="B1346" s="418">
        <v>0.20959490740740741</v>
      </c>
      <c r="C1346" s="421" t="s">
        <v>1381</v>
      </c>
    </row>
    <row r="1347" spans="1:3" x14ac:dyDescent="0.25">
      <c r="A1347" s="417">
        <v>41540</v>
      </c>
      <c r="B1347" s="418">
        <v>0.20959490740740741</v>
      </c>
      <c r="C1347" s="421" t="s">
        <v>1364</v>
      </c>
    </row>
    <row r="1348" spans="1:3" x14ac:dyDescent="0.25">
      <c r="A1348" s="417">
        <v>41540</v>
      </c>
      <c r="B1348" s="418">
        <v>0.20959490740740741</v>
      </c>
      <c r="C1348" s="421" t="s">
        <v>1480</v>
      </c>
    </row>
    <row r="1349" spans="1:3" x14ac:dyDescent="0.25">
      <c r="A1349" s="417">
        <v>41540</v>
      </c>
      <c r="B1349" s="418">
        <v>0.20959490740740741</v>
      </c>
      <c r="C1349" s="421" t="s">
        <v>1480</v>
      </c>
    </row>
    <row r="1350" spans="1:3" x14ac:dyDescent="0.25">
      <c r="A1350" s="417">
        <v>41540</v>
      </c>
      <c r="B1350" s="418">
        <v>0.20959490740740741</v>
      </c>
      <c r="C1350" s="421" t="s">
        <v>1480</v>
      </c>
    </row>
    <row r="1351" spans="1:3" x14ac:dyDescent="0.25">
      <c r="A1351" s="417">
        <v>41540</v>
      </c>
      <c r="B1351" s="418">
        <v>0.20959490740740741</v>
      </c>
      <c r="C1351" s="421" t="s">
        <v>1481</v>
      </c>
    </row>
    <row r="1352" spans="1:3" x14ac:dyDescent="0.25">
      <c r="A1352" s="417">
        <v>41540</v>
      </c>
      <c r="B1352" s="418">
        <v>0.20959490740740741</v>
      </c>
      <c r="C1352" s="421" t="s">
        <v>1346</v>
      </c>
    </row>
    <row r="1353" spans="1:3" x14ac:dyDescent="0.25">
      <c r="A1353" s="417">
        <v>41540</v>
      </c>
      <c r="B1353" s="418">
        <v>0.20959490740740741</v>
      </c>
      <c r="C1353" s="421" t="s">
        <v>1405</v>
      </c>
    </row>
    <row r="1354" spans="1:3" x14ac:dyDescent="0.25">
      <c r="A1354" s="417">
        <v>41540</v>
      </c>
      <c r="B1354" s="418">
        <v>0.20959490740740741</v>
      </c>
      <c r="C1354" s="421" t="s">
        <v>1406</v>
      </c>
    </row>
    <row r="1355" spans="1:3" x14ac:dyDescent="0.25">
      <c r="A1355" s="417">
        <v>41540</v>
      </c>
      <c r="B1355" s="418">
        <v>0.20959490740740741</v>
      </c>
      <c r="C1355" s="421" t="s">
        <v>1362</v>
      </c>
    </row>
    <row r="1356" spans="1:3" x14ac:dyDescent="0.25">
      <c r="A1356" s="417">
        <v>41540</v>
      </c>
      <c r="B1356" s="418">
        <v>0.20959490740740741</v>
      </c>
      <c r="C1356" s="421" t="s">
        <v>1482</v>
      </c>
    </row>
    <row r="1357" spans="1:3" x14ac:dyDescent="0.25">
      <c r="A1357" s="417">
        <v>41540</v>
      </c>
      <c r="B1357" s="418">
        <v>0.20959490740740741</v>
      </c>
      <c r="C1357" s="421" t="s">
        <v>1318</v>
      </c>
    </row>
    <row r="1358" spans="1:3" x14ac:dyDescent="0.25">
      <c r="A1358" s="417">
        <v>41540</v>
      </c>
      <c r="B1358" s="418">
        <v>0.20959490740740741</v>
      </c>
      <c r="C1358" s="421" t="s">
        <v>1368</v>
      </c>
    </row>
    <row r="1359" spans="1:3" x14ac:dyDescent="0.25">
      <c r="A1359" s="417">
        <v>41540</v>
      </c>
      <c r="B1359" s="418">
        <v>0.20959490740740741</v>
      </c>
      <c r="C1359" s="421" t="s">
        <v>1368</v>
      </c>
    </row>
    <row r="1360" spans="1:3" x14ac:dyDescent="0.25">
      <c r="A1360" s="417">
        <v>41540</v>
      </c>
      <c r="B1360" s="418">
        <v>0.20959490740740741</v>
      </c>
      <c r="C1360" s="421" t="s">
        <v>1368</v>
      </c>
    </row>
    <row r="1361" spans="1:3" x14ac:dyDescent="0.25">
      <c r="A1361" s="417">
        <v>41540</v>
      </c>
      <c r="B1361" s="418">
        <v>0.20959490740740741</v>
      </c>
      <c r="C1361" s="421" t="s">
        <v>1368</v>
      </c>
    </row>
    <row r="1362" spans="1:3" x14ac:dyDescent="0.25">
      <c r="A1362" s="417">
        <v>41540</v>
      </c>
      <c r="B1362" s="418">
        <v>0.20959490740740741</v>
      </c>
      <c r="C1362" s="421" t="s">
        <v>1368</v>
      </c>
    </row>
    <row r="1363" spans="1:3" x14ac:dyDescent="0.25">
      <c r="A1363" s="417">
        <v>41540</v>
      </c>
      <c r="B1363" s="418">
        <v>0.20959490740740741</v>
      </c>
      <c r="C1363" s="421" t="s">
        <v>1409</v>
      </c>
    </row>
    <row r="1364" spans="1:3" x14ac:dyDescent="0.25">
      <c r="A1364" s="417">
        <v>41540</v>
      </c>
      <c r="B1364" s="418">
        <v>0.20959490740740741</v>
      </c>
      <c r="C1364" s="421" t="s">
        <v>1308</v>
      </c>
    </row>
    <row r="1365" spans="1:3" x14ac:dyDescent="0.25">
      <c r="A1365" s="417">
        <v>41540</v>
      </c>
      <c r="B1365" s="418">
        <v>0.20959490740740741</v>
      </c>
      <c r="C1365" s="421" t="s">
        <v>1410</v>
      </c>
    </row>
    <row r="1366" spans="1:3" x14ac:dyDescent="0.25">
      <c r="A1366" s="417">
        <v>41540</v>
      </c>
      <c r="B1366" s="418">
        <v>0.20959490740740741</v>
      </c>
      <c r="C1366" s="421" t="s">
        <v>1410</v>
      </c>
    </row>
    <row r="1367" spans="1:3" x14ac:dyDescent="0.25">
      <c r="A1367" s="417">
        <v>41540</v>
      </c>
      <c r="B1367" s="418">
        <v>0.20959490740740741</v>
      </c>
      <c r="C1367" s="421" t="s">
        <v>1411</v>
      </c>
    </row>
    <row r="1368" spans="1:3" x14ac:dyDescent="0.25">
      <c r="A1368" s="417">
        <v>41540</v>
      </c>
      <c r="B1368" s="418">
        <v>0.20959490740740741</v>
      </c>
      <c r="C1368" s="421" t="s">
        <v>1483</v>
      </c>
    </row>
    <row r="1369" spans="1:3" x14ac:dyDescent="0.25">
      <c r="A1369" s="417">
        <v>41540</v>
      </c>
      <c r="B1369" s="418">
        <v>0.20959490740740741</v>
      </c>
      <c r="C1369" s="421" t="s">
        <v>1413</v>
      </c>
    </row>
    <row r="1370" spans="1:3" x14ac:dyDescent="0.25">
      <c r="A1370" s="417">
        <v>41540</v>
      </c>
      <c r="B1370" s="418">
        <v>0.20959490740740741</v>
      </c>
      <c r="C1370" s="421" t="s">
        <v>1414</v>
      </c>
    </row>
    <row r="1371" spans="1:3" x14ac:dyDescent="0.25">
      <c r="A1371" s="417">
        <v>41540</v>
      </c>
      <c r="B1371" s="418">
        <v>0.2096064814814815</v>
      </c>
      <c r="C1371" s="421" t="s">
        <v>1373</v>
      </c>
    </row>
    <row r="1372" spans="1:3" x14ac:dyDescent="0.25">
      <c r="A1372" s="417">
        <v>41540</v>
      </c>
      <c r="B1372" s="418">
        <v>0.2096064814814815</v>
      </c>
      <c r="C1372" s="421" t="s">
        <v>1484</v>
      </c>
    </row>
    <row r="1373" spans="1:3" x14ac:dyDescent="0.25">
      <c r="A1373" s="417">
        <v>41540</v>
      </c>
      <c r="B1373" s="418">
        <v>0.2096064814814815</v>
      </c>
      <c r="C1373" s="421" t="s">
        <v>1409</v>
      </c>
    </row>
    <row r="1374" spans="1:3" x14ac:dyDescent="0.25">
      <c r="A1374" s="417">
        <v>41540</v>
      </c>
      <c r="B1374" s="418">
        <v>0.2096064814814815</v>
      </c>
      <c r="C1374" s="421" t="s">
        <v>1416</v>
      </c>
    </row>
    <row r="1375" spans="1:3" x14ac:dyDescent="0.25">
      <c r="A1375" s="417">
        <v>41540</v>
      </c>
      <c r="B1375" s="418">
        <v>0.2096064814814815</v>
      </c>
      <c r="C1375" s="421" t="s">
        <v>1415</v>
      </c>
    </row>
    <row r="1376" spans="1:3" x14ac:dyDescent="0.25">
      <c r="A1376" s="417">
        <v>41540</v>
      </c>
      <c r="B1376" s="418">
        <v>0.2096064814814815</v>
      </c>
      <c r="C1376" s="421" t="s">
        <v>1348</v>
      </c>
    </row>
    <row r="1377" spans="1:3" x14ac:dyDescent="0.25">
      <c r="A1377" s="417">
        <v>41540</v>
      </c>
      <c r="B1377" s="418">
        <v>0.2096064814814815</v>
      </c>
      <c r="C1377" s="421" t="s">
        <v>1419</v>
      </c>
    </row>
    <row r="1378" spans="1:3" x14ac:dyDescent="0.25">
      <c r="A1378" s="417">
        <v>41540</v>
      </c>
      <c r="B1378" s="418">
        <v>0.2096064814814815</v>
      </c>
      <c r="C1378" s="421" t="s">
        <v>1419</v>
      </c>
    </row>
    <row r="1379" spans="1:3" x14ac:dyDescent="0.25">
      <c r="A1379" s="417">
        <v>41540</v>
      </c>
      <c r="B1379" s="418">
        <v>0.2096064814814815</v>
      </c>
      <c r="C1379" s="421" t="s">
        <v>1420</v>
      </c>
    </row>
    <row r="1380" spans="1:3" x14ac:dyDescent="0.25">
      <c r="A1380" s="417">
        <v>41540</v>
      </c>
      <c r="B1380" s="418">
        <v>0.2096064814814815</v>
      </c>
      <c r="C1380" s="421" t="s">
        <v>1485</v>
      </c>
    </row>
    <row r="1381" spans="1:3" x14ac:dyDescent="0.25">
      <c r="A1381" s="417">
        <v>41540</v>
      </c>
      <c r="B1381" s="418">
        <v>0.2096064814814815</v>
      </c>
      <c r="C1381" s="421" t="s">
        <v>1486</v>
      </c>
    </row>
    <row r="1382" spans="1:3" x14ac:dyDescent="0.25">
      <c r="A1382" s="417">
        <v>41540</v>
      </c>
      <c r="B1382" s="418">
        <v>0.2096064814814815</v>
      </c>
      <c r="C1382" s="421" t="s">
        <v>1487</v>
      </c>
    </row>
    <row r="1383" spans="1:3" x14ac:dyDescent="0.25">
      <c r="A1383" s="417">
        <v>41540</v>
      </c>
      <c r="B1383" s="418">
        <v>0.2096064814814815</v>
      </c>
      <c r="C1383" s="421" t="s">
        <v>1488</v>
      </c>
    </row>
    <row r="1384" spans="1:3" x14ac:dyDescent="0.25">
      <c r="A1384" s="417">
        <v>41540</v>
      </c>
      <c r="B1384" s="418">
        <v>0.2096064814814815</v>
      </c>
      <c r="C1384" s="421" t="s">
        <v>1489</v>
      </c>
    </row>
    <row r="1385" spans="1:3" x14ac:dyDescent="0.25">
      <c r="A1385" s="417">
        <v>41540</v>
      </c>
      <c r="B1385" s="418">
        <v>0.2096064814814815</v>
      </c>
      <c r="C1385" s="421" t="s">
        <v>1490</v>
      </c>
    </row>
    <row r="1386" spans="1:3" x14ac:dyDescent="0.25">
      <c r="A1386" s="417">
        <v>41540</v>
      </c>
      <c r="B1386" s="418">
        <v>0.2096064814814815</v>
      </c>
      <c r="C1386" s="421" t="s">
        <v>1491</v>
      </c>
    </row>
    <row r="1387" spans="1:3" x14ac:dyDescent="0.25">
      <c r="A1387" s="417">
        <v>41540</v>
      </c>
      <c r="B1387" s="418">
        <v>0.2096064814814815</v>
      </c>
      <c r="C1387" s="421" t="s">
        <v>1492</v>
      </c>
    </row>
    <row r="1388" spans="1:3" x14ac:dyDescent="0.25">
      <c r="A1388" s="417">
        <v>41540</v>
      </c>
      <c r="B1388" s="418">
        <v>0.2096064814814815</v>
      </c>
      <c r="C1388" s="421" t="s">
        <v>1320</v>
      </c>
    </row>
    <row r="1389" spans="1:3" x14ac:dyDescent="0.25">
      <c r="A1389" s="417">
        <v>41540</v>
      </c>
      <c r="B1389" s="418">
        <v>0.2096064814814815</v>
      </c>
      <c r="C1389" s="421" t="s">
        <v>1429</v>
      </c>
    </row>
    <row r="1390" spans="1:3" x14ac:dyDescent="0.25">
      <c r="A1390" s="417">
        <v>41540</v>
      </c>
      <c r="B1390" s="418">
        <v>0.2096064814814815</v>
      </c>
      <c r="C1390" s="421" t="s">
        <v>1430</v>
      </c>
    </row>
    <row r="1391" spans="1:3" x14ac:dyDescent="0.25">
      <c r="A1391" s="417">
        <v>41540</v>
      </c>
      <c r="B1391" s="418">
        <v>0.2096064814814815</v>
      </c>
      <c r="C1391" s="421" t="s">
        <v>1493</v>
      </c>
    </row>
    <row r="1392" spans="1:3" x14ac:dyDescent="0.25">
      <c r="A1392" s="417">
        <v>41540</v>
      </c>
      <c r="B1392" s="418">
        <v>0.2096064814814815</v>
      </c>
      <c r="C1392" s="421" t="s">
        <v>1308</v>
      </c>
    </row>
    <row r="1393" spans="1:3" x14ac:dyDescent="0.25">
      <c r="A1393" s="417">
        <v>41540</v>
      </c>
      <c r="B1393" s="418">
        <v>0.2096064814814815</v>
      </c>
      <c r="C1393" s="421" t="s">
        <v>1360</v>
      </c>
    </row>
    <row r="1394" spans="1:3" x14ac:dyDescent="0.25">
      <c r="A1394" s="417">
        <v>41540</v>
      </c>
      <c r="B1394" s="418">
        <v>0.2096064814814815</v>
      </c>
      <c r="C1394" s="421" t="s">
        <v>1432</v>
      </c>
    </row>
    <row r="1395" spans="1:3" x14ac:dyDescent="0.25">
      <c r="A1395" s="417">
        <v>41540</v>
      </c>
      <c r="B1395" s="418">
        <v>0.2096064814814815</v>
      </c>
      <c r="C1395" s="421" t="s">
        <v>1432</v>
      </c>
    </row>
    <row r="1396" spans="1:3" x14ac:dyDescent="0.25">
      <c r="A1396" s="417">
        <v>41540</v>
      </c>
      <c r="B1396" s="418">
        <v>0.2096064814814815</v>
      </c>
      <c r="C1396" s="421" t="s">
        <v>1432</v>
      </c>
    </row>
    <row r="1397" spans="1:3" x14ac:dyDescent="0.25">
      <c r="A1397" s="417">
        <v>41540</v>
      </c>
      <c r="B1397" s="418">
        <v>0.2096064814814815</v>
      </c>
      <c r="C1397" s="421" t="s">
        <v>1281</v>
      </c>
    </row>
    <row r="1398" spans="1:3" ht="60" x14ac:dyDescent="0.25">
      <c r="A1398" s="417">
        <v>41540</v>
      </c>
      <c r="B1398" s="418">
        <v>0.2096064814814815</v>
      </c>
      <c r="C1398" s="946" t="s">
        <v>1282</v>
      </c>
    </row>
    <row r="1399" spans="1:3" x14ac:dyDescent="0.25">
      <c r="A1399" s="417">
        <v>41540</v>
      </c>
      <c r="B1399" s="418">
        <v>0.20961805555555557</v>
      </c>
      <c r="C1399" s="421" t="s">
        <v>1413</v>
      </c>
    </row>
    <row r="1400" spans="1:3" x14ac:dyDescent="0.25">
      <c r="A1400" s="417">
        <v>41540</v>
      </c>
      <c r="B1400" s="418">
        <v>0.20961805555555557</v>
      </c>
      <c r="C1400" s="421" t="s">
        <v>1494</v>
      </c>
    </row>
    <row r="1401" spans="1:3" x14ac:dyDescent="0.25">
      <c r="A1401" s="417">
        <v>41540</v>
      </c>
      <c r="B1401" s="418">
        <v>0.20961805555555557</v>
      </c>
      <c r="C1401" s="421" t="s">
        <v>1495</v>
      </c>
    </row>
    <row r="1402" spans="1:3" x14ac:dyDescent="0.25">
      <c r="A1402" s="417">
        <v>41540</v>
      </c>
      <c r="B1402" s="418">
        <v>0.20961805555555557</v>
      </c>
      <c r="C1402" s="421" t="s">
        <v>1496</v>
      </c>
    </row>
    <row r="1403" spans="1:3" x14ac:dyDescent="0.25">
      <c r="A1403" s="417">
        <v>41540</v>
      </c>
      <c r="B1403" s="418">
        <v>0.20961805555555557</v>
      </c>
      <c r="C1403" s="421" t="s">
        <v>1497</v>
      </c>
    </row>
    <row r="1404" spans="1:3" x14ac:dyDescent="0.25">
      <c r="A1404" s="417">
        <v>41540</v>
      </c>
      <c r="B1404" s="418">
        <v>0.20961805555555557</v>
      </c>
      <c r="C1404" s="421" t="s">
        <v>1498</v>
      </c>
    </row>
    <row r="1405" spans="1:3" x14ac:dyDescent="0.25">
      <c r="A1405" s="417">
        <v>41540</v>
      </c>
      <c r="B1405" s="418">
        <v>0.20961805555555557</v>
      </c>
      <c r="C1405" s="421" t="s">
        <v>1499</v>
      </c>
    </row>
    <row r="1406" spans="1:3" x14ac:dyDescent="0.25">
      <c r="A1406" s="417">
        <v>41540</v>
      </c>
      <c r="B1406" s="418">
        <v>0.20961805555555557</v>
      </c>
      <c r="C1406" s="421" t="s">
        <v>1500</v>
      </c>
    </row>
    <row r="1407" spans="1:3" x14ac:dyDescent="0.25">
      <c r="A1407" s="417">
        <v>41540</v>
      </c>
      <c r="B1407" s="418">
        <v>0.20961805555555557</v>
      </c>
      <c r="C1407" s="421" t="s">
        <v>1501</v>
      </c>
    </row>
    <row r="1408" spans="1:3" x14ac:dyDescent="0.25">
      <c r="A1408" s="417">
        <v>41540</v>
      </c>
      <c r="B1408" s="418">
        <v>0.20961805555555557</v>
      </c>
      <c r="C1408" s="421" t="s">
        <v>1439</v>
      </c>
    </row>
    <row r="1409" spans="1:3" x14ac:dyDescent="0.25">
      <c r="A1409" s="417">
        <v>41540</v>
      </c>
      <c r="B1409" s="418">
        <v>0.20961805555555557</v>
      </c>
      <c r="C1409" s="421" t="s">
        <v>1320</v>
      </c>
    </row>
    <row r="1410" spans="1:3" x14ac:dyDescent="0.25">
      <c r="A1410" s="417">
        <v>41540</v>
      </c>
      <c r="B1410" s="418">
        <v>0.20961805555555557</v>
      </c>
      <c r="C1410" s="421" t="s">
        <v>1502</v>
      </c>
    </row>
    <row r="1411" spans="1:3" x14ac:dyDescent="0.25">
      <c r="A1411" s="417">
        <v>41540</v>
      </c>
      <c r="B1411" s="418">
        <v>0.20961805555555557</v>
      </c>
      <c r="C1411" s="421" t="s">
        <v>1503</v>
      </c>
    </row>
    <row r="1412" spans="1:3" x14ac:dyDescent="0.25">
      <c r="A1412" s="417">
        <v>41540</v>
      </c>
      <c r="B1412" s="418">
        <v>0.20961805555555557</v>
      </c>
      <c r="C1412" s="421" t="s">
        <v>1504</v>
      </c>
    </row>
    <row r="1413" spans="1:3" x14ac:dyDescent="0.25">
      <c r="A1413" s="417">
        <v>41540</v>
      </c>
      <c r="B1413" s="418">
        <v>0.20961805555555557</v>
      </c>
      <c r="C1413" s="421" t="s">
        <v>1505</v>
      </c>
    </row>
    <row r="1414" spans="1:3" x14ac:dyDescent="0.25">
      <c r="A1414" s="417">
        <v>41540</v>
      </c>
      <c r="B1414" s="418">
        <v>0.20961805555555557</v>
      </c>
      <c r="C1414" s="421" t="s">
        <v>1446</v>
      </c>
    </row>
    <row r="1415" spans="1:3" x14ac:dyDescent="0.25">
      <c r="A1415" s="417">
        <v>41540</v>
      </c>
      <c r="B1415" s="418">
        <v>0.20961805555555557</v>
      </c>
      <c r="C1415" s="421" t="s">
        <v>1238</v>
      </c>
    </row>
    <row r="1416" spans="1:3" x14ac:dyDescent="0.25">
      <c r="A1416" s="417">
        <v>41540</v>
      </c>
      <c r="B1416" s="418">
        <v>0.20961805555555557</v>
      </c>
      <c r="C1416" s="421" t="s">
        <v>1506</v>
      </c>
    </row>
    <row r="1417" spans="1:3" x14ac:dyDescent="0.25">
      <c r="A1417" s="417">
        <v>41540</v>
      </c>
      <c r="B1417" s="418">
        <v>0.20961805555555557</v>
      </c>
      <c r="C1417" s="421" t="s">
        <v>1389</v>
      </c>
    </row>
    <row r="1418" spans="1:3" x14ac:dyDescent="0.25">
      <c r="A1418" s="417">
        <v>41540</v>
      </c>
      <c r="B1418" s="418">
        <v>0.20961805555555557</v>
      </c>
      <c r="C1418" s="421" t="s">
        <v>1448</v>
      </c>
    </row>
    <row r="1419" spans="1:3" x14ac:dyDescent="0.25">
      <c r="A1419" s="417">
        <v>41540</v>
      </c>
      <c r="B1419" s="418">
        <v>0.20961805555555557</v>
      </c>
      <c r="C1419" s="421" t="s">
        <v>1450</v>
      </c>
    </row>
    <row r="1420" spans="1:3" x14ac:dyDescent="0.25">
      <c r="A1420" s="417">
        <v>41540</v>
      </c>
      <c r="B1420" s="418">
        <v>0.20961805555555557</v>
      </c>
      <c r="C1420" s="421" t="s">
        <v>1450</v>
      </c>
    </row>
    <row r="1421" spans="1:3" x14ac:dyDescent="0.25">
      <c r="A1421" s="417">
        <v>41540</v>
      </c>
      <c r="B1421" s="418">
        <v>0.20961805555555557</v>
      </c>
      <c r="C1421" s="421" t="s">
        <v>1450</v>
      </c>
    </row>
    <row r="1422" spans="1:3" x14ac:dyDescent="0.25">
      <c r="A1422" s="417">
        <v>41540</v>
      </c>
      <c r="B1422" s="418">
        <v>0.20961805555555557</v>
      </c>
      <c r="C1422" s="421" t="s">
        <v>1450</v>
      </c>
    </row>
    <row r="1423" spans="1:3" x14ac:dyDescent="0.25">
      <c r="A1423" s="417">
        <v>41540</v>
      </c>
      <c r="B1423" s="418">
        <v>0.20961805555555557</v>
      </c>
      <c r="C1423" s="421" t="s">
        <v>1450</v>
      </c>
    </row>
    <row r="1424" spans="1:3" x14ac:dyDescent="0.25">
      <c r="A1424" s="417">
        <v>41540</v>
      </c>
      <c r="B1424" s="418">
        <v>0.20961805555555557</v>
      </c>
      <c r="C1424" s="421" t="s">
        <v>1450</v>
      </c>
    </row>
    <row r="1425" spans="1:3" x14ac:dyDescent="0.25">
      <c r="A1425" s="417">
        <v>41540</v>
      </c>
      <c r="B1425" s="418">
        <v>0.20961805555555557</v>
      </c>
      <c r="C1425" s="421" t="s">
        <v>1450</v>
      </c>
    </row>
    <row r="1426" spans="1:3" x14ac:dyDescent="0.25">
      <c r="A1426" s="417">
        <v>41540</v>
      </c>
      <c r="B1426" s="418">
        <v>0.20961805555555557</v>
      </c>
      <c r="C1426" s="421" t="s">
        <v>1448</v>
      </c>
    </row>
    <row r="1427" spans="1:3" x14ac:dyDescent="0.25">
      <c r="A1427" s="417">
        <v>41540</v>
      </c>
      <c r="B1427" s="418">
        <v>0.20962962962962964</v>
      </c>
      <c r="C1427" s="421" t="s">
        <v>1399</v>
      </c>
    </row>
    <row r="1428" spans="1:3" x14ac:dyDescent="0.25">
      <c r="A1428" s="417">
        <v>41540</v>
      </c>
      <c r="B1428" s="418">
        <v>0.20962962962962964</v>
      </c>
      <c r="C1428" s="421" t="s">
        <v>1309</v>
      </c>
    </row>
    <row r="1429" spans="1:3" x14ac:dyDescent="0.25">
      <c r="A1429" s="417">
        <v>41540</v>
      </c>
      <c r="B1429" s="418">
        <v>0.20962962962962964</v>
      </c>
      <c r="C1429" s="421" t="s">
        <v>1236</v>
      </c>
    </row>
    <row r="1430" spans="1:3" x14ac:dyDescent="0.25">
      <c r="A1430" s="417">
        <v>41540</v>
      </c>
      <c r="B1430" s="418">
        <v>0.20962962962962964</v>
      </c>
      <c r="C1430" s="421" t="s">
        <v>1237</v>
      </c>
    </row>
    <row r="1431" spans="1:3" x14ac:dyDescent="0.25">
      <c r="A1431" s="417">
        <v>41540</v>
      </c>
      <c r="B1431" s="418">
        <v>0.20962962962962964</v>
      </c>
      <c r="C1431" s="421" t="s">
        <v>1238</v>
      </c>
    </row>
    <row r="1432" spans="1:3" ht="45" x14ac:dyDescent="0.25">
      <c r="A1432" s="417">
        <v>41540</v>
      </c>
      <c r="B1432" s="418">
        <v>0.21068287037037037</v>
      </c>
      <c r="C1432" s="946" t="s">
        <v>1513</v>
      </c>
    </row>
    <row r="1433" spans="1:3" ht="45" x14ac:dyDescent="0.25">
      <c r="A1433" s="417">
        <v>41540</v>
      </c>
      <c r="B1433" s="418">
        <v>0.21069444444444443</v>
      </c>
      <c r="C1433" s="946" t="s">
        <v>1514</v>
      </c>
    </row>
    <row r="1434" spans="1:3" ht="45" x14ac:dyDescent="0.25">
      <c r="A1434" s="417">
        <v>41540</v>
      </c>
      <c r="B1434" s="418">
        <v>0.21255787037037036</v>
      </c>
      <c r="C1434" s="946" t="s">
        <v>1513</v>
      </c>
    </row>
    <row r="1435" spans="1:3" ht="45" x14ac:dyDescent="0.25">
      <c r="A1435" s="417">
        <v>41540</v>
      </c>
      <c r="B1435" s="418">
        <v>0.21724537037037037</v>
      </c>
      <c r="C1435" s="946" t="s">
        <v>1515</v>
      </c>
    </row>
    <row r="1436" spans="1:3" ht="45" x14ac:dyDescent="0.25">
      <c r="A1436" s="417">
        <v>41540</v>
      </c>
      <c r="B1436" s="418">
        <v>0.21753472222222223</v>
      </c>
      <c r="C1436" s="946" t="s">
        <v>1516</v>
      </c>
    </row>
    <row r="1437" spans="1:3" ht="45" x14ac:dyDescent="0.25">
      <c r="A1437" s="417">
        <v>41540</v>
      </c>
      <c r="B1437" s="418">
        <v>0.21819444444444444</v>
      </c>
      <c r="C1437" s="946" t="s">
        <v>1513</v>
      </c>
    </row>
    <row r="1438" spans="1:3" ht="45" x14ac:dyDescent="0.25">
      <c r="A1438" s="417">
        <v>41540</v>
      </c>
      <c r="B1438" s="418">
        <v>0.21875</v>
      </c>
      <c r="C1438" s="946" t="s">
        <v>1517</v>
      </c>
    </row>
    <row r="1439" spans="1:3" ht="45" x14ac:dyDescent="0.25">
      <c r="A1439" s="417">
        <v>41540</v>
      </c>
      <c r="B1439" s="418">
        <v>0.21898148148148147</v>
      </c>
      <c r="C1439" s="946" t="s">
        <v>1513</v>
      </c>
    </row>
    <row r="1440" spans="1:3" ht="45" x14ac:dyDescent="0.25">
      <c r="A1440" s="417">
        <v>41540</v>
      </c>
      <c r="B1440" s="418">
        <v>0.2212962962962963</v>
      </c>
      <c r="C1440" s="946" t="s">
        <v>1515</v>
      </c>
    </row>
    <row r="1441" spans="1:3" ht="45" x14ac:dyDescent="0.25">
      <c r="A1441" s="417">
        <v>41540</v>
      </c>
      <c r="B1441" s="418">
        <v>0.22207175925925926</v>
      </c>
      <c r="C1441" s="946" t="s">
        <v>1518</v>
      </c>
    </row>
    <row r="1442" spans="1:3" ht="45" x14ac:dyDescent="0.25">
      <c r="A1442" s="417">
        <v>41540</v>
      </c>
      <c r="B1442" s="418">
        <v>0.23118055555555558</v>
      </c>
      <c r="C1442" s="946" t="s">
        <v>1519</v>
      </c>
    </row>
    <row r="1443" spans="1:3" ht="45" x14ac:dyDescent="0.25">
      <c r="A1443" s="417">
        <v>41540</v>
      </c>
      <c r="B1443" s="418">
        <v>0.23155092592592594</v>
      </c>
      <c r="C1443" s="946" t="s">
        <v>1520</v>
      </c>
    </row>
    <row r="1444" spans="1:3" ht="45" x14ac:dyDescent="0.25">
      <c r="A1444" s="417">
        <v>41540</v>
      </c>
      <c r="B1444" s="418">
        <v>0.24371527777777779</v>
      </c>
      <c r="C1444" s="946" t="s">
        <v>1521</v>
      </c>
    </row>
    <row r="1445" spans="1:3" ht="45" x14ac:dyDescent="0.25">
      <c r="A1445" s="417">
        <v>41540</v>
      </c>
      <c r="B1445" s="418">
        <v>0.26680555555555557</v>
      </c>
      <c r="C1445" s="946" t="s">
        <v>1522</v>
      </c>
    </row>
    <row r="1446" spans="1:3" x14ac:dyDescent="0.25">
      <c r="A1446" s="417">
        <v>41540</v>
      </c>
      <c r="B1446" s="418">
        <v>0.29894675925925923</v>
      </c>
      <c r="C1446" s="421" t="s">
        <v>1238</v>
      </c>
    </row>
    <row r="1447" spans="1:3" x14ac:dyDescent="0.25">
      <c r="A1447" s="417">
        <v>41540</v>
      </c>
      <c r="B1447" s="418">
        <v>0.29894675925925923</v>
      </c>
      <c r="C1447" s="421" t="s">
        <v>1307</v>
      </c>
    </row>
    <row r="1448" spans="1:3" x14ac:dyDescent="0.25">
      <c r="A1448" s="417">
        <v>41540</v>
      </c>
      <c r="B1448" s="418">
        <v>0.29894675925925923</v>
      </c>
      <c r="C1448" s="421" t="s">
        <v>1308</v>
      </c>
    </row>
    <row r="1449" spans="1:3" x14ac:dyDescent="0.25">
      <c r="A1449" s="417">
        <v>41540</v>
      </c>
      <c r="B1449" s="418">
        <v>0.29894675925925923</v>
      </c>
      <c r="C1449" s="421" t="s">
        <v>1309</v>
      </c>
    </row>
    <row r="1450" spans="1:3" x14ac:dyDescent="0.25">
      <c r="A1450" s="417">
        <v>41540</v>
      </c>
      <c r="B1450" s="418">
        <v>0.29894675925925923</v>
      </c>
      <c r="C1450" s="421" t="s">
        <v>1310</v>
      </c>
    </row>
    <row r="1451" spans="1:3" x14ac:dyDescent="0.25">
      <c r="A1451" s="417">
        <v>41540</v>
      </c>
      <c r="B1451" s="418">
        <v>0.29894675925925923</v>
      </c>
      <c r="C1451" s="421" t="s">
        <v>1311</v>
      </c>
    </row>
    <row r="1452" spans="1:3" x14ac:dyDescent="0.25">
      <c r="A1452" s="417">
        <v>41540</v>
      </c>
      <c r="B1452" s="418">
        <v>0.29894675925925923</v>
      </c>
      <c r="C1452" s="421" t="s">
        <v>1312</v>
      </c>
    </row>
    <row r="1453" spans="1:3" x14ac:dyDescent="0.25">
      <c r="A1453" s="417">
        <v>41540</v>
      </c>
      <c r="B1453" s="418">
        <v>0.29894675925925923</v>
      </c>
      <c r="C1453" s="421" t="s">
        <v>1313</v>
      </c>
    </row>
    <row r="1454" spans="1:3" x14ac:dyDescent="0.25">
      <c r="A1454" s="417">
        <v>41540</v>
      </c>
      <c r="B1454" s="418">
        <v>0.29894675925925923</v>
      </c>
      <c r="C1454" s="421" t="s">
        <v>1310</v>
      </c>
    </row>
    <row r="1455" spans="1:3" x14ac:dyDescent="0.25">
      <c r="A1455" s="417">
        <v>41540</v>
      </c>
      <c r="B1455" s="418">
        <v>0.29894675925925923</v>
      </c>
      <c r="C1455" s="421" t="s">
        <v>1314</v>
      </c>
    </row>
    <row r="1456" spans="1:3" x14ac:dyDescent="0.25">
      <c r="A1456" s="417">
        <v>41540</v>
      </c>
      <c r="B1456" s="418">
        <v>0.29894675925925923</v>
      </c>
      <c r="C1456" s="421" t="s">
        <v>1315</v>
      </c>
    </row>
    <row r="1457" spans="1:3" x14ac:dyDescent="0.25">
      <c r="A1457" s="417">
        <v>41540</v>
      </c>
      <c r="B1457" s="418">
        <v>0.29894675925925923</v>
      </c>
      <c r="C1457" s="421" t="s">
        <v>1460</v>
      </c>
    </row>
    <row r="1458" spans="1:3" x14ac:dyDescent="0.25">
      <c r="A1458" s="417">
        <v>41540</v>
      </c>
      <c r="B1458" s="418">
        <v>0.29894675925925923</v>
      </c>
      <c r="C1458" s="421" t="s">
        <v>1461</v>
      </c>
    </row>
    <row r="1459" spans="1:3" x14ac:dyDescent="0.25">
      <c r="A1459" s="417">
        <v>41540</v>
      </c>
      <c r="B1459" s="418">
        <v>0.29894675925925923</v>
      </c>
      <c r="C1459" s="421" t="s">
        <v>1310</v>
      </c>
    </row>
    <row r="1460" spans="1:3" x14ac:dyDescent="0.25">
      <c r="A1460" s="417">
        <v>41540</v>
      </c>
      <c r="B1460" s="418">
        <v>0.29894675925925923</v>
      </c>
      <c r="C1460" s="421" t="s">
        <v>1238</v>
      </c>
    </row>
    <row r="1461" spans="1:3" x14ac:dyDescent="0.25">
      <c r="A1461" s="417">
        <v>41540</v>
      </c>
      <c r="B1461" s="418">
        <v>0.29894675925925923</v>
      </c>
      <c r="C1461" s="421" t="s">
        <v>1462</v>
      </c>
    </row>
    <row r="1462" spans="1:3" x14ac:dyDescent="0.25">
      <c r="A1462" s="417">
        <v>41540</v>
      </c>
      <c r="B1462" s="418">
        <v>0.29894675925925923</v>
      </c>
      <c r="C1462" s="421" t="s">
        <v>1316</v>
      </c>
    </row>
    <row r="1463" spans="1:3" x14ac:dyDescent="0.25">
      <c r="A1463" s="417">
        <v>41540</v>
      </c>
      <c r="B1463" s="418">
        <v>0.29894675925925923</v>
      </c>
      <c r="C1463" s="421" t="s">
        <v>1316</v>
      </c>
    </row>
    <row r="1464" spans="1:3" x14ac:dyDescent="0.25">
      <c r="A1464" s="417">
        <v>41540</v>
      </c>
      <c r="B1464" s="418">
        <v>0.29894675925925923</v>
      </c>
      <c r="C1464" s="421" t="s">
        <v>1317</v>
      </c>
    </row>
    <row r="1465" spans="1:3" x14ac:dyDescent="0.25">
      <c r="A1465" s="417">
        <v>41540</v>
      </c>
      <c r="B1465" s="418">
        <v>0.29894675925925923</v>
      </c>
      <c r="C1465" s="421" t="s">
        <v>1309</v>
      </c>
    </row>
    <row r="1466" spans="1:3" x14ac:dyDescent="0.25">
      <c r="A1466" s="417">
        <v>41540</v>
      </c>
      <c r="B1466" s="418">
        <v>0.29894675925925923</v>
      </c>
      <c r="C1466" s="421" t="s">
        <v>1318</v>
      </c>
    </row>
    <row r="1467" spans="1:3" x14ac:dyDescent="0.25">
      <c r="A1467" s="417">
        <v>41540</v>
      </c>
      <c r="B1467" s="418">
        <v>0.29894675925925923</v>
      </c>
      <c r="C1467" s="421" t="s">
        <v>1319</v>
      </c>
    </row>
    <row r="1468" spans="1:3" x14ac:dyDescent="0.25">
      <c r="A1468" s="417">
        <v>41540</v>
      </c>
      <c r="B1468" s="418">
        <v>0.29894675925925923</v>
      </c>
      <c r="C1468" s="421" t="s">
        <v>1320</v>
      </c>
    </row>
    <row r="1469" spans="1:3" x14ac:dyDescent="0.25">
      <c r="A1469" s="417">
        <v>41540</v>
      </c>
      <c r="B1469" s="418">
        <v>0.29894675925925923</v>
      </c>
      <c r="C1469" s="421" t="s">
        <v>1318</v>
      </c>
    </row>
    <row r="1470" spans="1:3" x14ac:dyDescent="0.25">
      <c r="A1470" s="417">
        <v>41540</v>
      </c>
      <c r="B1470" s="418">
        <v>0.29894675925925923</v>
      </c>
      <c r="C1470" s="421" t="s">
        <v>1307</v>
      </c>
    </row>
    <row r="1471" spans="1:3" x14ac:dyDescent="0.25">
      <c r="A1471" s="417">
        <v>41540</v>
      </c>
      <c r="B1471" s="418">
        <v>0.29894675925925923</v>
      </c>
      <c r="C1471" s="421" t="s">
        <v>1321</v>
      </c>
    </row>
    <row r="1472" spans="1:3" x14ac:dyDescent="0.25">
      <c r="A1472" s="417">
        <v>41540</v>
      </c>
      <c r="B1472" s="418">
        <v>0.29894675925925923</v>
      </c>
      <c r="C1472" s="421" t="s">
        <v>1322</v>
      </c>
    </row>
    <row r="1473" spans="1:3" x14ac:dyDescent="0.25">
      <c r="A1473" s="417">
        <v>41540</v>
      </c>
      <c r="B1473" s="418">
        <v>0.29894675925925923</v>
      </c>
      <c r="C1473" s="421" t="s">
        <v>1322</v>
      </c>
    </row>
    <row r="1474" spans="1:3" x14ac:dyDescent="0.25">
      <c r="A1474" s="417">
        <v>41540</v>
      </c>
      <c r="B1474" s="418">
        <v>0.29894675925925923</v>
      </c>
      <c r="C1474" s="421" t="s">
        <v>1323</v>
      </c>
    </row>
    <row r="1475" spans="1:3" x14ac:dyDescent="0.25">
      <c r="A1475" s="417">
        <v>41540</v>
      </c>
      <c r="B1475" s="418">
        <v>0.29894675925925923</v>
      </c>
      <c r="C1475" s="421" t="s">
        <v>1324</v>
      </c>
    </row>
    <row r="1476" spans="1:3" x14ac:dyDescent="0.25">
      <c r="A1476" s="417">
        <v>41540</v>
      </c>
      <c r="B1476" s="418">
        <v>0.29894675925925923</v>
      </c>
      <c r="C1476" s="421" t="s">
        <v>1310</v>
      </c>
    </row>
    <row r="1477" spans="1:3" x14ac:dyDescent="0.25">
      <c r="A1477" s="417">
        <v>41540</v>
      </c>
      <c r="B1477" s="418">
        <v>0.29894675925925923</v>
      </c>
      <c r="C1477" s="421" t="s">
        <v>1325</v>
      </c>
    </row>
    <row r="1478" spans="1:3" x14ac:dyDescent="0.25">
      <c r="A1478" s="417">
        <v>41540</v>
      </c>
      <c r="B1478" s="418">
        <v>0.29894675925925923</v>
      </c>
      <c r="C1478" s="421" t="s">
        <v>1326</v>
      </c>
    </row>
    <row r="1479" spans="1:3" x14ac:dyDescent="0.25">
      <c r="A1479" s="417">
        <v>41540</v>
      </c>
      <c r="B1479" s="418">
        <v>0.29894675925925923</v>
      </c>
      <c r="C1479" s="421" t="s">
        <v>1327</v>
      </c>
    </row>
    <row r="1480" spans="1:3" x14ac:dyDescent="0.25">
      <c r="A1480" s="417">
        <v>41540</v>
      </c>
      <c r="B1480" s="418">
        <v>0.29894675925925923</v>
      </c>
      <c r="C1480" s="421" t="s">
        <v>1328</v>
      </c>
    </row>
    <row r="1481" spans="1:3" ht="60" x14ac:dyDescent="0.25">
      <c r="A1481" s="417">
        <v>41540</v>
      </c>
      <c r="B1481" s="418">
        <v>0.29894675925925923</v>
      </c>
      <c r="C1481" s="946" t="s">
        <v>1478</v>
      </c>
    </row>
    <row r="1482" spans="1:3" x14ac:dyDescent="0.25">
      <c r="A1482" s="417">
        <v>41540</v>
      </c>
      <c r="B1482" s="418">
        <v>0.29905092592592591</v>
      </c>
      <c r="C1482" s="421" t="s">
        <v>1323</v>
      </c>
    </row>
    <row r="1483" spans="1:3" x14ac:dyDescent="0.25">
      <c r="A1483" s="417">
        <v>41540</v>
      </c>
      <c r="B1483" s="418">
        <v>0.29905092592592591</v>
      </c>
      <c r="C1483" s="421" t="s">
        <v>1342</v>
      </c>
    </row>
    <row r="1484" spans="1:3" x14ac:dyDescent="0.25">
      <c r="A1484" s="417">
        <v>41540</v>
      </c>
      <c r="B1484" s="418">
        <v>0.29905092592592591</v>
      </c>
      <c r="C1484" s="421" t="s">
        <v>1343</v>
      </c>
    </row>
    <row r="1485" spans="1:3" x14ac:dyDescent="0.25">
      <c r="A1485" s="417">
        <v>41540</v>
      </c>
      <c r="B1485" s="418">
        <v>0.29905092592592591</v>
      </c>
      <c r="C1485" s="421" t="s">
        <v>1344</v>
      </c>
    </row>
    <row r="1486" spans="1:3" x14ac:dyDescent="0.25">
      <c r="A1486" s="417">
        <v>41540</v>
      </c>
      <c r="B1486" s="418">
        <v>0.29905092592592591</v>
      </c>
      <c r="C1486" s="421" t="s">
        <v>1344</v>
      </c>
    </row>
    <row r="1487" spans="1:3" x14ac:dyDescent="0.25">
      <c r="A1487" s="417">
        <v>41540</v>
      </c>
      <c r="B1487" s="418">
        <v>0.29905092592592591</v>
      </c>
      <c r="C1487" s="421" t="s">
        <v>1310</v>
      </c>
    </row>
    <row r="1488" spans="1:3" x14ac:dyDescent="0.25">
      <c r="A1488" s="417">
        <v>41540</v>
      </c>
      <c r="B1488" s="418">
        <v>0.29905092592592591</v>
      </c>
      <c r="C1488" s="421" t="s">
        <v>1345</v>
      </c>
    </row>
    <row r="1489" spans="1:3" x14ac:dyDescent="0.25">
      <c r="A1489" s="417">
        <v>41540</v>
      </c>
      <c r="B1489" s="418">
        <v>0.29905092592592591</v>
      </c>
      <c r="C1489" s="421" t="s">
        <v>1346</v>
      </c>
    </row>
    <row r="1490" spans="1:3" x14ac:dyDescent="0.25">
      <c r="A1490" s="417">
        <v>41540</v>
      </c>
      <c r="B1490" s="418">
        <v>0.29905092592592591</v>
      </c>
      <c r="C1490" s="421" t="s">
        <v>1347</v>
      </c>
    </row>
    <row r="1491" spans="1:3" x14ac:dyDescent="0.25">
      <c r="A1491" s="417">
        <v>41540</v>
      </c>
      <c r="B1491" s="418">
        <v>0.29905092592592591</v>
      </c>
      <c r="C1491" s="421" t="s">
        <v>1348</v>
      </c>
    </row>
    <row r="1492" spans="1:3" x14ac:dyDescent="0.25">
      <c r="A1492" s="417">
        <v>41540</v>
      </c>
      <c r="B1492" s="418">
        <v>0.29905092592592591</v>
      </c>
      <c r="C1492" s="421" t="s">
        <v>1349</v>
      </c>
    </row>
    <row r="1493" spans="1:3" x14ac:dyDescent="0.25">
      <c r="A1493" s="417">
        <v>41540</v>
      </c>
      <c r="B1493" s="418">
        <v>0.29905092592592591</v>
      </c>
      <c r="C1493" s="421" t="s">
        <v>1349</v>
      </c>
    </row>
    <row r="1494" spans="1:3" x14ac:dyDescent="0.25">
      <c r="A1494" s="417">
        <v>41540</v>
      </c>
      <c r="B1494" s="418">
        <v>0.29905092592592591</v>
      </c>
      <c r="C1494" s="421" t="s">
        <v>1348</v>
      </c>
    </row>
    <row r="1495" spans="1:3" x14ac:dyDescent="0.25">
      <c r="A1495" s="417">
        <v>41540</v>
      </c>
      <c r="B1495" s="418">
        <v>0.29905092592592591</v>
      </c>
      <c r="C1495" s="421" t="s">
        <v>1350</v>
      </c>
    </row>
    <row r="1496" spans="1:3" x14ac:dyDescent="0.25">
      <c r="A1496" s="417">
        <v>41540</v>
      </c>
      <c r="B1496" s="418">
        <v>0.29905092592592591</v>
      </c>
      <c r="C1496" s="421" t="s">
        <v>1351</v>
      </c>
    </row>
    <row r="1497" spans="1:3" x14ac:dyDescent="0.25">
      <c r="A1497" s="417">
        <v>41540</v>
      </c>
      <c r="B1497" s="418">
        <v>0.29905092592592591</v>
      </c>
      <c r="C1497" s="421" t="s">
        <v>1352</v>
      </c>
    </row>
    <row r="1498" spans="1:3" x14ac:dyDescent="0.25">
      <c r="A1498" s="417">
        <v>41540</v>
      </c>
      <c r="B1498" s="418">
        <v>0.29905092592592591</v>
      </c>
      <c r="C1498" s="421" t="s">
        <v>1287</v>
      </c>
    </row>
    <row r="1499" spans="1:3" ht="60" x14ac:dyDescent="0.25">
      <c r="A1499" s="417">
        <v>41540</v>
      </c>
      <c r="B1499" s="418">
        <v>0.29905092592592591</v>
      </c>
      <c r="C1499" s="946" t="s">
        <v>1288</v>
      </c>
    </row>
    <row r="1500" spans="1:3" x14ac:dyDescent="0.25">
      <c r="A1500" s="417">
        <v>41540</v>
      </c>
      <c r="B1500" s="418">
        <v>0.2990740740740741</v>
      </c>
      <c r="C1500" s="421" t="s">
        <v>1353</v>
      </c>
    </row>
    <row r="1501" spans="1:3" x14ac:dyDescent="0.25">
      <c r="A1501" s="417">
        <v>41540</v>
      </c>
      <c r="B1501" s="418">
        <v>0.2990740740740741</v>
      </c>
      <c r="C1501" s="421" t="s">
        <v>1354</v>
      </c>
    </row>
    <row r="1502" spans="1:3" x14ac:dyDescent="0.25">
      <c r="A1502" s="417">
        <v>41540</v>
      </c>
      <c r="B1502" s="418">
        <v>0.2990740740740741</v>
      </c>
      <c r="C1502" s="421" t="s">
        <v>1355</v>
      </c>
    </row>
    <row r="1503" spans="1:3" x14ac:dyDescent="0.25">
      <c r="A1503" s="417">
        <v>41540</v>
      </c>
      <c r="B1503" s="418">
        <v>0.2990740740740741</v>
      </c>
      <c r="C1503" s="421" t="s">
        <v>1357</v>
      </c>
    </row>
    <row r="1504" spans="1:3" x14ac:dyDescent="0.25">
      <c r="A1504" s="417">
        <v>41540</v>
      </c>
      <c r="B1504" s="418">
        <v>0.2990740740740741</v>
      </c>
      <c r="C1504" s="421" t="s">
        <v>1358</v>
      </c>
    </row>
    <row r="1505" spans="1:3" x14ac:dyDescent="0.25">
      <c r="A1505" s="417">
        <v>41540</v>
      </c>
      <c r="B1505" s="418">
        <v>0.2990740740740741</v>
      </c>
      <c r="C1505" s="421" t="s">
        <v>1359</v>
      </c>
    </row>
    <row r="1506" spans="1:3" x14ac:dyDescent="0.25">
      <c r="A1506" s="417">
        <v>41540</v>
      </c>
      <c r="B1506" s="418">
        <v>0.2990740740740741</v>
      </c>
      <c r="C1506" s="421" t="s">
        <v>1360</v>
      </c>
    </row>
    <row r="1507" spans="1:3" x14ac:dyDescent="0.25">
      <c r="A1507" s="417">
        <v>41540</v>
      </c>
      <c r="B1507" s="418">
        <v>0.2990740740740741</v>
      </c>
      <c r="C1507" s="421" t="s">
        <v>1361</v>
      </c>
    </row>
    <row r="1508" spans="1:3" x14ac:dyDescent="0.25">
      <c r="A1508" s="417">
        <v>41540</v>
      </c>
      <c r="B1508" s="418">
        <v>0.2990740740740741</v>
      </c>
      <c r="C1508" s="421" t="s">
        <v>1317</v>
      </c>
    </row>
    <row r="1509" spans="1:3" x14ac:dyDescent="0.25">
      <c r="A1509" s="417">
        <v>41540</v>
      </c>
      <c r="B1509" s="418">
        <v>0.2990740740740741</v>
      </c>
      <c r="C1509" s="421" t="s">
        <v>1362</v>
      </c>
    </row>
    <row r="1510" spans="1:3" x14ac:dyDescent="0.25">
      <c r="A1510" s="417">
        <v>41540</v>
      </c>
      <c r="B1510" s="418">
        <v>0.2990740740740741</v>
      </c>
      <c r="C1510" s="421" t="s">
        <v>1355</v>
      </c>
    </row>
    <row r="1511" spans="1:3" x14ac:dyDescent="0.25">
      <c r="A1511" s="417">
        <v>41540</v>
      </c>
      <c r="B1511" s="418">
        <v>0.2990740740740741</v>
      </c>
      <c r="C1511" s="421" t="s">
        <v>1363</v>
      </c>
    </row>
    <row r="1512" spans="1:3" x14ac:dyDescent="0.25">
      <c r="A1512" s="417">
        <v>41540</v>
      </c>
      <c r="B1512" s="418">
        <v>0.2990740740740741</v>
      </c>
      <c r="C1512" s="421" t="s">
        <v>1364</v>
      </c>
    </row>
    <row r="1513" spans="1:3" x14ac:dyDescent="0.25">
      <c r="A1513" s="417">
        <v>41540</v>
      </c>
      <c r="B1513" s="418">
        <v>0.2990740740740741</v>
      </c>
      <c r="C1513" s="421" t="s">
        <v>1365</v>
      </c>
    </row>
    <row r="1514" spans="1:3" x14ac:dyDescent="0.25">
      <c r="A1514" s="417">
        <v>41540</v>
      </c>
      <c r="B1514" s="418">
        <v>0.2990740740740741</v>
      </c>
      <c r="C1514" s="421" t="s">
        <v>1365</v>
      </c>
    </row>
    <row r="1515" spans="1:3" x14ac:dyDescent="0.25">
      <c r="A1515" s="417">
        <v>41540</v>
      </c>
      <c r="B1515" s="418">
        <v>0.2990740740740741</v>
      </c>
      <c r="C1515" s="421" t="s">
        <v>1366</v>
      </c>
    </row>
    <row r="1516" spans="1:3" x14ac:dyDescent="0.25">
      <c r="A1516" s="417">
        <v>41540</v>
      </c>
      <c r="B1516" s="418">
        <v>0.2990740740740741</v>
      </c>
      <c r="C1516" s="421" t="s">
        <v>1320</v>
      </c>
    </row>
    <row r="1517" spans="1:3" x14ac:dyDescent="0.25">
      <c r="A1517" s="417">
        <v>41540</v>
      </c>
      <c r="B1517" s="418">
        <v>0.2990740740740741</v>
      </c>
      <c r="C1517" s="421" t="s">
        <v>1367</v>
      </c>
    </row>
    <row r="1518" spans="1:3" x14ac:dyDescent="0.25">
      <c r="A1518" s="417">
        <v>41540</v>
      </c>
      <c r="B1518" s="418">
        <v>0.2990740740740741</v>
      </c>
      <c r="C1518" s="421" t="s">
        <v>1344</v>
      </c>
    </row>
    <row r="1519" spans="1:3" x14ac:dyDescent="0.25">
      <c r="A1519" s="417">
        <v>41540</v>
      </c>
      <c r="B1519" s="418">
        <v>0.2990740740740741</v>
      </c>
      <c r="C1519" s="421" t="s">
        <v>1368</v>
      </c>
    </row>
    <row r="1520" spans="1:3" x14ac:dyDescent="0.25">
      <c r="A1520" s="417">
        <v>41540</v>
      </c>
      <c r="B1520" s="418">
        <v>0.2990740740740741</v>
      </c>
      <c r="C1520" s="421" t="s">
        <v>1369</v>
      </c>
    </row>
    <row r="1521" spans="1:3" x14ac:dyDescent="0.25">
      <c r="A1521" s="417">
        <v>41540</v>
      </c>
      <c r="B1521" s="418">
        <v>0.2990740740740741</v>
      </c>
      <c r="C1521" s="421" t="s">
        <v>1307</v>
      </c>
    </row>
    <row r="1522" spans="1:3" x14ac:dyDescent="0.25">
      <c r="A1522" s="417">
        <v>41540</v>
      </c>
      <c r="B1522" s="418">
        <v>0.2990740740740741</v>
      </c>
      <c r="C1522" s="421" t="s">
        <v>1370</v>
      </c>
    </row>
    <row r="1523" spans="1:3" x14ac:dyDescent="0.25">
      <c r="A1523" s="417">
        <v>41540</v>
      </c>
      <c r="B1523" s="418">
        <v>0.2990740740740741</v>
      </c>
      <c r="C1523" s="421" t="s">
        <v>1371</v>
      </c>
    </row>
    <row r="1524" spans="1:3" x14ac:dyDescent="0.25">
      <c r="A1524" s="417">
        <v>41540</v>
      </c>
      <c r="B1524" s="418">
        <v>0.2990740740740741</v>
      </c>
      <c r="C1524" s="421" t="s">
        <v>1344</v>
      </c>
    </row>
    <row r="1525" spans="1:3" x14ac:dyDescent="0.25">
      <c r="A1525" s="417">
        <v>41540</v>
      </c>
      <c r="B1525" s="418">
        <v>0.2990740740740741</v>
      </c>
      <c r="C1525" s="421" t="s">
        <v>1317</v>
      </c>
    </row>
    <row r="1526" spans="1:3" x14ac:dyDescent="0.25">
      <c r="A1526" s="417">
        <v>41540</v>
      </c>
      <c r="B1526" s="418">
        <v>0.2990740740740741</v>
      </c>
      <c r="C1526" s="421" t="s">
        <v>1463</v>
      </c>
    </row>
    <row r="1527" spans="1:3" x14ac:dyDescent="0.25">
      <c r="A1527" s="417">
        <v>41540</v>
      </c>
      <c r="B1527" s="418">
        <v>0.2990740740740741</v>
      </c>
      <c r="C1527" s="421" t="s">
        <v>1378</v>
      </c>
    </row>
    <row r="1528" spans="1:3" ht="60" x14ac:dyDescent="0.25">
      <c r="A1528" s="417">
        <v>41540</v>
      </c>
      <c r="B1528" s="418">
        <v>0.2990740740740741</v>
      </c>
      <c r="C1528" s="946" t="s">
        <v>1479</v>
      </c>
    </row>
    <row r="1529" spans="1:3" x14ac:dyDescent="0.25">
      <c r="A1529" s="417">
        <v>41540</v>
      </c>
      <c r="B1529" s="418">
        <v>0.29909722222222224</v>
      </c>
      <c r="C1529" s="421" t="s">
        <v>1373</v>
      </c>
    </row>
    <row r="1530" spans="1:3" x14ac:dyDescent="0.25">
      <c r="A1530" s="417">
        <v>41540</v>
      </c>
      <c r="B1530" s="418">
        <v>0.29909722222222224</v>
      </c>
      <c r="C1530" s="421" t="s">
        <v>1308</v>
      </c>
    </row>
    <row r="1531" spans="1:3" x14ac:dyDescent="0.25">
      <c r="A1531" s="417">
        <v>41540</v>
      </c>
      <c r="B1531" s="418">
        <v>0.29909722222222224</v>
      </c>
      <c r="C1531" s="421" t="s">
        <v>1374</v>
      </c>
    </row>
    <row r="1532" spans="1:3" x14ac:dyDescent="0.25">
      <c r="A1532" s="417">
        <v>41540</v>
      </c>
      <c r="B1532" s="418">
        <v>0.29909722222222224</v>
      </c>
      <c r="C1532" s="421" t="s">
        <v>1375</v>
      </c>
    </row>
    <row r="1533" spans="1:3" x14ac:dyDescent="0.25">
      <c r="A1533" s="417">
        <v>41540</v>
      </c>
      <c r="B1533" s="418">
        <v>0.29909722222222224</v>
      </c>
      <c r="C1533" s="421" t="s">
        <v>1376</v>
      </c>
    </row>
    <row r="1534" spans="1:3" x14ac:dyDescent="0.25">
      <c r="A1534" s="417">
        <v>41540</v>
      </c>
      <c r="B1534" s="418">
        <v>0.29909722222222224</v>
      </c>
      <c r="C1534" s="421" t="s">
        <v>1377</v>
      </c>
    </row>
    <row r="1535" spans="1:3" x14ac:dyDescent="0.25">
      <c r="A1535" s="417">
        <v>41540</v>
      </c>
      <c r="B1535" s="418">
        <v>0.29909722222222224</v>
      </c>
      <c r="C1535" s="421" t="s">
        <v>1326</v>
      </c>
    </row>
    <row r="1536" spans="1:3" x14ac:dyDescent="0.25">
      <c r="A1536" s="417">
        <v>41540</v>
      </c>
      <c r="B1536" s="418">
        <v>0.29909722222222224</v>
      </c>
      <c r="C1536" s="421" t="s">
        <v>1378</v>
      </c>
    </row>
    <row r="1537" spans="1:3" ht="60" x14ac:dyDescent="0.25">
      <c r="A1537" s="417">
        <v>41540</v>
      </c>
      <c r="B1537" s="418">
        <v>0.29909722222222224</v>
      </c>
      <c r="C1537" s="946" t="s">
        <v>1464</v>
      </c>
    </row>
    <row r="1538" spans="1:3" x14ac:dyDescent="0.25">
      <c r="A1538" s="417">
        <v>41540</v>
      </c>
      <c r="B1538" s="418">
        <v>0.29910879629629633</v>
      </c>
      <c r="C1538" s="421" t="s">
        <v>1380</v>
      </c>
    </row>
    <row r="1539" spans="1:3" x14ac:dyDescent="0.25">
      <c r="A1539" s="417">
        <v>41540</v>
      </c>
      <c r="B1539" s="418">
        <v>0.29910879629629633</v>
      </c>
      <c r="C1539" s="421" t="s">
        <v>1381</v>
      </c>
    </row>
    <row r="1540" spans="1:3" x14ac:dyDescent="0.25">
      <c r="A1540" s="417">
        <v>41540</v>
      </c>
      <c r="B1540" s="418">
        <v>0.29912037037037037</v>
      </c>
      <c r="C1540" s="421" t="s">
        <v>1382</v>
      </c>
    </row>
    <row r="1541" spans="1:3" x14ac:dyDescent="0.25">
      <c r="A1541" s="417">
        <v>41540</v>
      </c>
      <c r="B1541" s="418">
        <v>0.29912037037037037</v>
      </c>
      <c r="C1541" s="421" t="s">
        <v>1383</v>
      </c>
    </row>
    <row r="1542" spans="1:3" x14ac:dyDescent="0.25">
      <c r="A1542" s="417">
        <v>41540</v>
      </c>
      <c r="B1542" s="418">
        <v>0.29912037037037037</v>
      </c>
      <c r="C1542" s="421" t="s">
        <v>1352</v>
      </c>
    </row>
    <row r="1543" spans="1:3" x14ac:dyDescent="0.25">
      <c r="A1543" s="417">
        <v>41540</v>
      </c>
      <c r="B1543" s="418">
        <v>0.29912037037037037</v>
      </c>
      <c r="C1543" s="421" t="s">
        <v>1384</v>
      </c>
    </row>
    <row r="1544" spans="1:3" x14ac:dyDescent="0.25">
      <c r="A1544" s="417">
        <v>41540</v>
      </c>
      <c r="B1544" s="418">
        <v>0.29912037037037037</v>
      </c>
      <c r="C1544" s="421" t="s">
        <v>1385</v>
      </c>
    </row>
    <row r="1545" spans="1:3" x14ac:dyDescent="0.25">
      <c r="A1545" s="417">
        <v>41540</v>
      </c>
      <c r="B1545" s="418">
        <v>0.29912037037037037</v>
      </c>
      <c r="C1545" s="421" t="s">
        <v>1385</v>
      </c>
    </row>
    <row r="1546" spans="1:3" x14ac:dyDescent="0.25">
      <c r="A1546" s="417">
        <v>41540</v>
      </c>
      <c r="B1546" s="418">
        <v>0.29912037037037037</v>
      </c>
      <c r="C1546" s="421" t="s">
        <v>1386</v>
      </c>
    </row>
    <row r="1547" spans="1:3" x14ac:dyDescent="0.25">
      <c r="A1547" s="417">
        <v>41540</v>
      </c>
      <c r="B1547" s="418">
        <v>0.29912037037037037</v>
      </c>
      <c r="C1547" s="421" t="s">
        <v>1387</v>
      </c>
    </row>
    <row r="1548" spans="1:3" x14ac:dyDescent="0.25">
      <c r="A1548" s="417">
        <v>41540</v>
      </c>
      <c r="B1548" s="418">
        <v>0.29912037037037037</v>
      </c>
      <c r="C1548" s="421" t="s">
        <v>1387</v>
      </c>
    </row>
    <row r="1549" spans="1:3" x14ac:dyDescent="0.25">
      <c r="A1549" s="417">
        <v>41540</v>
      </c>
      <c r="B1549" s="418">
        <v>0.29912037037037037</v>
      </c>
      <c r="C1549" s="421" t="s">
        <v>1318</v>
      </c>
    </row>
    <row r="1550" spans="1:3" x14ac:dyDescent="0.25">
      <c r="A1550" s="417">
        <v>41540</v>
      </c>
      <c r="B1550" s="418">
        <v>0.29912037037037037</v>
      </c>
      <c r="C1550" s="421" t="s">
        <v>1388</v>
      </c>
    </row>
    <row r="1551" spans="1:3" x14ac:dyDescent="0.25">
      <c r="A1551" s="417">
        <v>41540</v>
      </c>
      <c r="B1551" s="418">
        <v>0.29912037037037037</v>
      </c>
      <c r="C1551" s="421" t="s">
        <v>1390</v>
      </c>
    </row>
    <row r="1552" spans="1:3" x14ac:dyDescent="0.25">
      <c r="A1552" s="417">
        <v>41540</v>
      </c>
      <c r="B1552" s="418">
        <v>0.29912037037037037</v>
      </c>
      <c r="C1552" s="421" t="s">
        <v>1391</v>
      </c>
    </row>
    <row r="1553" spans="1:3" x14ac:dyDescent="0.25">
      <c r="A1553" s="417">
        <v>41540</v>
      </c>
      <c r="B1553" s="418">
        <v>0.29912037037037037</v>
      </c>
      <c r="C1553" s="421" t="s">
        <v>1392</v>
      </c>
    </row>
    <row r="1554" spans="1:3" x14ac:dyDescent="0.25">
      <c r="A1554" s="417">
        <v>41540</v>
      </c>
      <c r="B1554" s="418">
        <v>0.29912037037037037</v>
      </c>
      <c r="C1554" s="421" t="s">
        <v>1294</v>
      </c>
    </row>
    <row r="1555" spans="1:3" ht="60" x14ac:dyDescent="0.25">
      <c r="A1555" s="417">
        <v>41540</v>
      </c>
      <c r="B1555" s="418">
        <v>0.29912037037037037</v>
      </c>
      <c r="C1555" s="946" t="s">
        <v>1295</v>
      </c>
    </row>
    <row r="1556" spans="1:3" x14ac:dyDescent="0.25">
      <c r="A1556" s="417">
        <v>41540</v>
      </c>
      <c r="B1556" s="418">
        <v>0.29913194444444441</v>
      </c>
      <c r="C1556" s="421" t="s">
        <v>1393</v>
      </c>
    </row>
    <row r="1557" spans="1:3" x14ac:dyDescent="0.25">
      <c r="A1557" s="417">
        <v>41540</v>
      </c>
      <c r="B1557" s="418">
        <v>0.29913194444444441</v>
      </c>
      <c r="C1557" s="421" t="s">
        <v>1394</v>
      </c>
    </row>
    <row r="1558" spans="1:3" x14ac:dyDescent="0.25">
      <c r="A1558" s="417">
        <v>41540</v>
      </c>
      <c r="B1558" s="418">
        <v>0.29913194444444441</v>
      </c>
      <c r="C1558" s="421" t="s">
        <v>1392</v>
      </c>
    </row>
    <row r="1559" spans="1:3" x14ac:dyDescent="0.25">
      <c r="A1559" s="417">
        <v>41540</v>
      </c>
      <c r="B1559" s="418">
        <v>0.29913194444444441</v>
      </c>
      <c r="C1559" s="421" t="s">
        <v>1395</v>
      </c>
    </row>
    <row r="1560" spans="1:3" x14ac:dyDescent="0.25">
      <c r="A1560" s="417">
        <v>41540</v>
      </c>
      <c r="B1560" s="418">
        <v>0.29913194444444441</v>
      </c>
      <c r="C1560" s="421" t="s">
        <v>1396</v>
      </c>
    </row>
    <row r="1561" spans="1:3" x14ac:dyDescent="0.25">
      <c r="A1561" s="417">
        <v>41540</v>
      </c>
      <c r="B1561" s="418">
        <v>0.29913194444444441</v>
      </c>
      <c r="C1561" s="421" t="s">
        <v>1363</v>
      </c>
    </row>
    <row r="1562" spans="1:3" x14ac:dyDescent="0.25">
      <c r="A1562" s="417">
        <v>41540</v>
      </c>
      <c r="B1562" s="418">
        <v>0.29913194444444441</v>
      </c>
      <c r="C1562" s="421" t="s">
        <v>1362</v>
      </c>
    </row>
    <row r="1563" spans="1:3" x14ac:dyDescent="0.25">
      <c r="A1563" s="417">
        <v>41540</v>
      </c>
      <c r="B1563" s="418">
        <v>0.29913194444444441</v>
      </c>
      <c r="C1563" s="421" t="s">
        <v>1397</v>
      </c>
    </row>
    <row r="1564" spans="1:3" x14ac:dyDescent="0.25">
      <c r="A1564" s="417">
        <v>41540</v>
      </c>
      <c r="B1564" s="418">
        <v>0.29913194444444441</v>
      </c>
      <c r="C1564" s="421" t="s">
        <v>1381</v>
      </c>
    </row>
    <row r="1565" spans="1:3" x14ac:dyDescent="0.25">
      <c r="A1565" s="417">
        <v>41540</v>
      </c>
      <c r="B1565" s="418">
        <v>0.29913194444444441</v>
      </c>
      <c r="C1565" s="421" t="s">
        <v>1398</v>
      </c>
    </row>
    <row r="1566" spans="1:3" x14ac:dyDescent="0.25">
      <c r="A1566" s="417">
        <v>41540</v>
      </c>
      <c r="B1566" s="418">
        <v>0.29913194444444441</v>
      </c>
      <c r="C1566" s="421" t="s">
        <v>1399</v>
      </c>
    </row>
    <row r="1567" spans="1:3" x14ac:dyDescent="0.25">
      <c r="A1567" s="417">
        <v>41540</v>
      </c>
      <c r="B1567" s="418">
        <v>0.29913194444444441</v>
      </c>
      <c r="C1567" s="421" t="s">
        <v>1400</v>
      </c>
    </row>
    <row r="1568" spans="1:3" x14ac:dyDescent="0.25">
      <c r="A1568" s="417">
        <v>41540</v>
      </c>
      <c r="B1568" s="418">
        <v>0.29913194444444441</v>
      </c>
      <c r="C1568" s="421" t="s">
        <v>1400</v>
      </c>
    </row>
    <row r="1569" spans="1:3" x14ac:dyDescent="0.25">
      <c r="A1569" s="417">
        <v>41540</v>
      </c>
      <c r="B1569" s="418">
        <v>0.29913194444444441</v>
      </c>
      <c r="C1569" s="421" t="s">
        <v>1373</v>
      </c>
    </row>
    <row r="1570" spans="1:3" x14ac:dyDescent="0.25">
      <c r="A1570" s="417">
        <v>41540</v>
      </c>
      <c r="B1570" s="418">
        <v>0.29913194444444441</v>
      </c>
      <c r="C1570" s="421" t="s">
        <v>1353</v>
      </c>
    </row>
    <row r="1571" spans="1:3" x14ac:dyDescent="0.25">
      <c r="A1571" s="417">
        <v>41540</v>
      </c>
      <c r="B1571" s="418">
        <v>0.29913194444444441</v>
      </c>
      <c r="C1571" s="421" t="s">
        <v>1353</v>
      </c>
    </row>
    <row r="1572" spans="1:3" x14ac:dyDescent="0.25">
      <c r="A1572" s="417">
        <v>41540</v>
      </c>
      <c r="B1572" s="418">
        <v>0.29913194444444441</v>
      </c>
      <c r="C1572" s="421" t="s">
        <v>1401</v>
      </c>
    </row>
    <row r="1573" spans="1:3" x14ac:dyDescent="0.25">
      <c r="A1573" s="417">
        <v>41540</v>
      </c>
      <c r="B1573" s="418">
        <v>0.2991435185185185</v>
      </c>
      <c r="C1573" s="421" t="s">
        <v>1392</v>
      </c>
    </row>
    <row r="1574" spans="1:3" x14ac:dyDescent="0.25">
      <c r="A1574" s="417">
        <v>41540</v>
      </c>
      <c r="B1574" s="418">
        <v>0.2991435185185185</v>
      </c>
      <c r="C1574" s="421" t="s">
        <v>1403</v>
      </c>
    </row>
    <row r="1575" spans="1:3" x14ac:dyDescent="0.25">
      <c r="A1575" s="417">
        <v>41540</v>
      </c>
      <c r="B1575" s="418">
        <v>0.2991435185185185</v>
      </c>
      <c r="C1575" s="421" t="s">
        <v>1403</v>
      </c>
    </row>
    <row r="1576" spans="1:3" x14ac:dyDescent="0.25">
      <c r="A1576" s="417">
        <v>41540</v>
      </c>
      <c r="B1576" s="418">
        <v>0.2991435185185185</v>
      </c>
      <c r="C1576" s="421" t="s">
        <v>1403</v>
      </c>
    </row>
    <row r="1577" spans="1:3" x14ac:dyDescent="0.25">
      <c r="A1577" s="417">
        <v>41540</v>
      </c>
      <c r="B1577" s="418">
        <v>0.2991435185185185</v>
      </c>
      <c r="C1577" s="421" t="s">
        <v>1362</v>
      </c>
    </row>
    <row r="1578" spans="1:3" x14ac:dyDescent="0.25">
      <c r="A1578" s="417">
        <v>41540</v>
      </c>
      <c r="B1578" s="418">
        <v>0.2991435185185185</v>
      </c>
      <c r="C1578" s="421" t="s">
        <v>1364</v>
      </c>
    </row>
    <row r="1579" spans="1:3" x14ac:dyDescent="0.25">
      <c r="A1579" s="417">
        <v>41540</v>
      </c>
      <c r="B1579" s="418">
        <v>0.2991435185185185</v>
      </c>
      <c r="C1579" s="421" t="s">
        <v>1364</v>
      </c>
    </row>
    <row r="1580" spans="1:3" x14ac:dyDescent="0.25">
      <c r="A1580" s="417">
        <v>41540</v>
      </c>
      <c r="B1580" s="418">
        <v>0.2991435185185185</v>
      </c>
      <c r="C1580" s="421" t="s">
        <v>1381</v>
      </c>
    </row>
    <row r="1581" spans="1:3" x14ac:dyDescent="0.25">
      <c r="A1581" s="417">
        <v>41540</v>
      </c>
      <c r="B1581" s="418">
        <v>0.2991435185185185</v>
      </c>
      <c r="C1581" s="421" t="s">
        <v>1364</v>
      </c>
    </row>
    <row r="1582" spans="1:3" x14ac:dyDescent="0.25">
      <c r="A1582" s="417">
        <v>41540</v>
      </c>
      <c r="B1582" s="418">
        <v>0.2991435185185185</v>
      </c>
      <c r="C1582" s="421" t="s">
        <v>1480</v>
      </c>
    </row>
    <row r="1583" spans="1:3" x14ac:dyDescent="0.25">
      <c r="A1583" s="417">
        <v>41540</v>
      </c>
      <c r="B1583" s="418">
        <v>0.2991435185185185</v>
      </c>
      <c r="C1583" s="421" t="s">
        <v>1480</v>
      </c>
    </row>
    <row r="1584" spans="1:3" x14ac:dyDescent="0.25">
      <c r="A1584" s="417">
        <v>41540</v>
      </c>
      <c r="B1584" s="418">
        <v>0.2991435185185185</v>
      </c>
      <c r="C1584" s="421" t="s">
        <v>1480</v>
      </c>
    </row>
    <row r="1585" spans="1:3" x14ac:dyDescent="0.25">
      <c r="A1585" s="417">
        <v>41540</v>
      </c>
      <c r="B1585" s="418">
        <v>0.2991435185185185</v>
      </c>
      <c r="C1585" s="421" t="s">
        <v>1481</v>
      </c>
    </row>
    <row r="1586" spans="1:3" x14ac:dyDescent="0.25">
      <c r="A1586" s="417">
        <v>41540</v>
      </c>
      <c r="B1586" s="418">
        <v>0.2991435185185185</v>
      </c>
      <c r="C1586" s="421" t="s">
        <v>1346</v>
      </c>
    </row>
    <row r="1587" spans="1:3" x14ac:dyDescent="0.25">
      <c r="A1587" s="417">
        <v>41540</v>
      </c>
      <c r="B1587" s="418">
        <v>0.2991435185185185</v>
      </c>
      <c r="C1587" s="421" t="s">
        <v>1405</v>
      </c>
    </row>
    <row r="1588" spans="1:3" x14ac:dyDescent="0.25">
      <c r="A1588" s="417">
        <v>41540</v>
      </c>
      <c r="B1588" s="418">
        <v>0.2991435185185185</v>
      </c>
      <c r="C1588" s="421" t="s">
        <v>1406</v>
      </c>
    </row>
    <row r="1589" spans="1:3" x14ac:dyDescent="0.25">
      <c r="A1589" s="417">
        <v>41540</v>
      </c>
      <c r="B1589" s="418">
        <v>0.2991435185185185</v>
      </c>
      <c r="C1589" s="421" t="s">
        <v>1362</v>
      </c>
    </row>
    <row r="1590" spans="1:3" x14ac:dyDescent="0.25">
      <c r="A1590" s="417">
        <v>41540</v>
      </c>
      <c r="B1590" s="418">
        <v>0.2991435185185185</v>
      </c>
      <c r="C1590" s="421" t="s">
        <v>1482</v>
      </c>
    </row>
    <row r="1591" spans="1:3" x14ac:dyDescent="0.25">
      <c r="A1591" s="417">
        <v>41540</v>
      </c>
      <c r="B1591" s="418">
        <v>0.2991435185185185</v>
      </c>
      <c r="C1591" s="421" t="s">
        <v>1318</v>
      </c>
    </row>
    <row r="1592" spans="1:3" x14ac:dyDescent="0.25">
      <c r="A1592" s="417">
        <v>41540</v>
      </c>
      <c r="B1592" s="418">
        <v>0.2991435185185185</v>
      </c>
      <c r="C1592" s="421" t="s">
        <v>1368</v>
      </c>
    </row>
    <row r="1593" spans="1:3" x14ac:dyDescent="0.25">
      <c r="A1593" s="417">
        <v>41540</v>
      </c>
      <c r="B1593" s="418">
        <v>0.2991435185185185</v>
      </c>
      <c r="C1593" s="421" t="s">
        <v>1368</v>
      </c>
    </row>
    <row r="1594" spans="1:3" x14ac:dyDescent="0.25">
      <c r="A1594" s="417">
        <v>41540</v>
      </c>
      <c r="B1594" s="418">
        <v>0.2991435185185185</v>
      </c>
      <c r="C1594" s="421" t="s">
        <v>1368</v>
      </c>
    </row>
    <row r="1595" spans="1:3" x14ac:dyDescent="0.25">
      <c r="A1595" s="417">
        <v>41540</v>
      </c>
      <c r="B1595" s="418">
        <v>0.2991435185185185</v>
      </c>
      <c r="C1595" s="421" t="s">
        <v>1368</v>
      </c>
    </row>
    <row r="1596" spans="1:3" x14ac:dyDescent="0.25">
      <c r="A1596" s="417">
        <v>41540</v>
      </c>
      <c r="B1596" s="418">
        <v>0.2991435185185185</v>
      </c>
      <c r="C1596" s="421" t="s">
        <v>1368</v>
      </c>
    </row>
    <row r="1597" spans="1:3" x14ac:dyDescent="0.25">
      <c r="A1597" s="417">
        <v>41540</v>
      </c>
      <c r="B1597" s="418">
        <v>0.2991435185185185</v>
      </c>
      <c r="C1597" s="421" t="s">
        <v>1409</v>
      </c>
    </row>
    <row r="1598" spans="1:3" x14ac:dyDescent="0.25">
      <c r="A1598" s="417">
        <v>41540</v>
      </c>
      <c r="B1598" s="418">
        <v>0.2991435185185185</v>
      </c>
      <c r="C1598" s="421" t="s">
        <v>1308</v>
      </c>
    </row>
    <row r="1599" spans="1:3" x14ac:dyDescent="0.25">
      <c r="A1599" s="417">
        <v>41540</v>
      </c>
      <c r="B1599" s="418">
        <v>0.2991435185185185</v>
      </c>
      <c r="C1599" s="421" t="s">
        <v>1410</v>
      </c>
    </row>
    <row r="1600" spans="1:3" x14ac:dyDescent="0.25">
      <c r="A1600" s="417">
        <v>41540</v>
      </c>
      <c r="B1600" s="418">
        <v>0.2991435185185185</v>
      </c>
      <c r="C1600" s="421" t="s">
        <v>1410</v>
      </c>
    </row>
    <row r="1601" spans="1:3" x14ac:dyDescent="0.25">
      <c r="A1601" s="417">
        <v>41540</v>
      </c>
      <c r="B1601" s="418">
        <v>0.2991435185185185</v>
      </c>
      <c r="C1601" s="421" t="s">
        <v>1411</v>
      </c>
    </row>
    <row r="1602" spans="1:3" x14ac:dyDescent="0.25">
      <c r="A1602" s="417">
        <v>41540</v>
      </c>
      <c r="B1602" s="418">
        <v>0.2991435185185185</v>
      </c>
      <c r="C1602" s="421" t="s">
        <v>1483</v>
      </c>
    </row>
    <row r="1603" spans="1:3" x14ac:dyDescent="0.25">
      <c r="A1603" s="417">
        <v>41540</v>
      </c>
      <c r="B1603" s="418">
        <v>0.2991435185185185</v>
      </c>
      <c r="C1603" s="421" t="s">
        <v>1413</v>
      </c>
    </row>
    <row r="1604" spans="1:3" x14ac:dyDescent="0.25">
      <c r="A1604" s="417">
        <v>41540</v>
      </c>
      <c r="B1604" s="418">
        <v>0.2991435185185185</v>
      </c>
      <c r="C1604" s="421" t="s">
        <v>1414</v>
      </c>
    </row>
    <row r="1605" spans="1:3" x14ac:dyDescent="0.25">
      <c r="A1605" s="417">
        <v>41540</v>
      </c>
      <c r="B1605" s="418">
        <v>0.2991435185185185</v>
      </c>
      <c r="C1605" s="421" t="s">
        <v>1373</v>
      </c>
    </row>
    <row r="1606" spans="1:3" x14ac:dyDescent="0.25">
      <c r="A1606" s="417">
        <v>41540</v>
      </c>
      <c r="B1606" s="418">
        <v>0.2991435185185185</v>
      </c>
      <c r="C1606" s="421" t="s">
        <v>1484</v>
      </c>
    </row>
    <row r="1607" spans="1:3" x14ac:dyDescent="0.25">
      <c r="A1607" s="417">
        <v>41540</v>
      </c>
      <c r="B1607" s="418">
        <v>0.2991435185185185</v>
      </c>
      <c r="C1607" s="421" t="s">
        <v>1409</v>
      </c>
    </row>
    <row r="1608" spans="1:3" x14ac:dyDescent="0.25">
      <c r="A1608" s="417">
        <v>41540</v>
      </c>
      <c r="B1608" s="418">
        <v>0.2991435185185185</v>
      </c>
      <c r="C1608" s="421" t="s">
        <v>1416</v>
      </c>
    </row>
    <row r="1609" spans="1:3" x14ac:dyDescent="0.25">
      <c r="A1609" s="417">
        <v>41540</v>
      </c>
      <c r="B1609" s="418">
        <v>0.2991435185185185</v>
      </c>
      <c r="C1609" s="421" t="s">
        <v>1415</v>
      </c>
    </row>
    <row r="1610" spans="1:3" x14ac:dyDescent="0.25">
      <c r="A1610" s="417">
        <v>41540</v>
      </c>
      <c r="B1610" s="418">
        <v>0.2991435185185185</v>
      </c>
      <c r="C1610" s="421" t="s">
        <v>1348</v>
      </c>
    </row>
    <row r="1611" spans="1:3" x14ac:dyDescent="0.25">
      <c r="A1611" s="417">
        <v>41540</v>
      </c>
      <c r="B1611" s="418">
        <v>0.2991435185185185</v>
      </c>
      <c r="C1611" s="421" t="s">
        <v>1419</v>
      </c>
    </row>
    <row r="1612" spans="1:3" x14ac:dyDescent="0.25">
      <c r="A1612" s="417">
        <v>41540</v>
      </c>
      <c r="B1612" s="418">
        <v>0.2991435185185185</v>
      </c>
      <c r="C1612" s="421" t="s">
        <v>1419</v>
      </c>
    </row>
    <row r="1613" spans="1:3" x14ac:dyDescent="0.25">
      <c r="A1613" s="417">
        <v>41540</v>
      </c>
      <c r="B1613" s="418">
        <v>0.2991435185185185</v>
      </c>
      <c r="C1613" s="421" t="s">
        <v>1420</v>
      </c>
    </row>
    <row r="1614" spans="1:3" x14ac:dyDescent="0.25">
      <c r="A1614" s="417">
        <v>41540</v>
      </c>
      <c r="B1614" s="418">
        <v>0.2991435185185185</v>
      </c>
      <c r="C1614" s="421" t="s">
        <v>1485</v>
      </c>
    </row>
    <row r="1615" spans="1:3" x14ac:dyDescent="0.25">
      <c r="A1615" s="417">
        <v>41540</v>
      </c>
      <c r="B1615" s="418">
        <v>0.2991435185185185</v>
      </c>
      <c r="C1615" s="421" t="s">
        <v>1486</v>
      </c>
    </row>
    <row r="1616" spans="1:3" x14ac:dyDescent="0.25">
      <c r="A1616" s="417">
        <v>41540</v>
      </c>
      <c r="B1616" s="418">
        <v>0.2991435185185185</v>
      </c>
      <c r="C1616" s="421" t="s">
        <v>1487</v>
      </c>
    </row>
    <row r="1617" spans="1:3" x14ac:dyDescent="0.25">
      <c r="A1617" s="417">
        <v>41540</v>
      </c>
      <c r="B1617" s="418">
        <v>0.2991435185185185</v>
      </c>
      <c r="C1617" s="421" t="s">
        <v>1488</v>
      </c>
    </row>
    <row r="1618" spans="1:3" x14ac:dyDescent="0.25">
      <c r="A1618" s="417">
        <v>41540</v>
      </c>
      <c r="B1618" s="418">
        <v>0.2991435185185185</v>
      </c>
      <c r="C1618" s="421" t="s">
        <v>1489</v>
      </c>
    </row>
    <row r="1619" spans="1:3" x14ac:dyDescent="0.25">
      <c r="A1619" s="417">
        <v>41540</v>
      </c>
      <c r="B1619" s="418">
        <v>0.2991435185185185</v>
      </c>
      <c r="C1619" s="421" t="s">
        <v>1490</v>
      </c>
    </row>
    <row r="1620" spans="1:3" x14ac:dyDescent="0.25">
      <c r="A1620" s="417">
        <v>41540</v>
      </c>
      <c r="B1620" s="418">
        <v>0.2991435185185185</v>
      </c>
      <c r="C1620" s="421" t="s">
        <v>1491</v>
      </c>
    </row>
    <row r="1621" spans="1:3" x14ac:dyDescent="0.25">
      <c r="A1621" s="417">
        <v>41540</v>
      </c>
      <c r="B1621" s="418">
        <v>0.2991435185185185</v>
      </c>
      <c r="C1621" s="421" t="s">
        <v>1492</v>
      </c>
    </row>
    <row r="1622" spans="1:3" x14ac:dyDescent="0.25">
      <c r="A1622" s="417">
        <v>41540</v>
      </c>
      <c r="B1622" s="418">
        <v>0.2991435185185185</v>
      </c>
      <c r="C1622" s="421" t="s">
        <v>1320</v>
      </c>
    </row>
    <row r="1623" spans="1:3" x14ac:dyDescent="0.25">
      <c r="A1623" s="417">
        <v>41540</v>
      </c>
      <c r="B1623" s="418">
        <v>0.2991435185185185</v>
      </c>
      <c r="C1623" s="421" t="s">
        <v>1429</v>
      </c>
    </row>
    <row r="1624" spans="1:3" x14ac:dyDescent="0.25">
      <c r="A1624" s="417">
        <v>41540</v>
      </c>
      <c r="B1624" s="418">
        <v>0.2991435185185185</v>
      </c>
      <c r="C1624" s="421" t="s">
        <v>1430</v>
      </c>
    </row>
    <row r="1625" spans="1:3" x14ac:dyDescent="0.25">
      <c r="A1625" s="417">
        <v>41540</v>
      </c>
      <c r="B1625" s="418">
        <v>0.2991435185185185</v>
      </c>
      <c r="C1625" s="421" t="s">
        <v>1493</v>
      </c>
    </row>
    <row r="1626" spans="1:3" x14ac:dyDescent="0.25">
      <c r="A1626" s="417">
        <v>41540</v>
      </c>
      <c r="B1626" s="418">
        <v>0.2991435185185185</v>
      </c>
      <c r="C1626" s="421" t="s">
        <v>1308</v>
      </c>
    </row>
    <row r="1627" spans="1:3" x14ac:dyDescent="0.25">
      <c r="A1627" s="417">
        <v>41540</v>
      </c>
      <c r="B1627" s="418">
        <v>0.2991435185185185</v>
      </c>
      <c r="C1627" s="421" t="s">
        <v>1360</v>
      </c>
    </row>
    <row r="1628" spans="1:3" x14ac:dyDescent="0.25">
      <c r="A1628" s="417">
        <v>41540</v>
      </c>
      <c r="B1628" s="418">
        <v>0.2991435185185185</v>
      </c>
      <c r="C1628" s="421" t="s">
        <v>1432</v>
      </c>
    </row>
    <row r="1629" spans="1:3" x14ac:dyDescent="0.25">
      <c r="A1629" s="417">
        <v>41540</v>
      </c>
      <c r="B1629" s="418">
        <v>0.2991435185185185</v>
      </c>
      <c r="C1629" s="421" t="s">
        <v>1432</v>
      </c>
    </row>
    <row r="1630" spans="1:3" x14ac:dyDescent="0.25">
      <c r="A1630" s="417">
        <v>41540</v>
      </c>
      <c r="B1630" s="418">
        <v>0.2991435185185185</v>
      </c>
      <c r="C1630" s="421" t="s">
        <v>1432</v>
      </c>
    </row>
    <row r="1631" spans="1:3" x14ac:dyDescent="0.25">
      <c r="A1631" s="417">
        <v>41540</v>
      </c>
      <c r="B1631" s="418">
        <v>0.2991435185185185</v>
      </c>
      <c r="C1631" s="421" t="s">
        <v>1281</v>
      </c>
    </row>
    <row r="1632" spans="1:3" ht="60" x14ac:dyDescent="0.25">
      <c r="A1632" s="417">
        <v>41540</v>
      </c>
      <c r="B1632" s="418">
        <v>0.2991435185185185</v>
      </c>
      <c r="C1632" s="946" t="s">
        <v>1282</v>
      </c>
    </row>
    <row r="1633" spans="1:3" x14ac:dyDescent="0.25">
      <c r="A1633" s="417">
        <v>41540</v>
      </c>
      <c r="B1633" s="418">
        <v>0.29918981481481483</v>
      </c>
      <c r="C1633" s="421" t="s">
        <v>1413</v>
      </c>
    </row>
    <row r="1634" spans="1:3" x14ac:dyDescent="0.25">
      <c r="A1634" s="417">
        <v>41540</v>
      </c>
      <c r="B1634" s="418">
        <v>0.29918981481481483</v>
      </c>
      <c r="C1634" s="421" t="s">
        <v>1494</v>
      </c>
    </row>
    <row r="1635" spans="1:3" x14ac:dyDescent="0.25">
      <c r="A1635" s="417">
        <v>41540</v>
      </c>
      <c r="B1635" s="418">
        <v>0.29918981481481483</v>
      </c>
      <c r="C1635" s="421" t="s">
        <v>1495</v>
      </c>
    </row>
    <row r="1636" spans="1:3" x14ac:dyDescent="0.25">
      <c r="A1636" s="417">
        <v>41540</v>
      </c>
      <c r="B1636" s="418">
        <v>0.29918981481481483</v>
      </c>
      <c r="C1636" s="421" t="s">
        <v>1496</v>
      </c>
    </row>
    <row r="1637" spans="1:3" x14ac:dyDescent="0.25">
      <c r="A1637" s="417">
        <v>41540</v>
      </c>
      <c r="B1637" s="418">
        <v>0.29918981481481483</v>
      </c>
      <c r="C1637" s="421" t="s">
        <v>1497</v>
      </c>
    </row>
    <row r="1638" spans="1:3" x14ac:dyDescent="0.25">
      <c r="A1638" s="417">
        <v>41540</v>
      </c>
      <c r="B1638" s="418">
        <v>0.29918981481481483</v>
      </c>
      <c r="C1638" s="421" t="s">
        <v>1498</v>
      </c>
    </row>
    <row r="1639" spans="1:3" x14ac:dyDescent="0.25">
      <c r="A1639" s="417">
        <v>41540</v>
      </c>
      <c r="B1639" s="418">
        <v>0.29918981481481483</v>
      </c>
      <c r="C1639" s="421" t="s">
        <v>1499</v>
      </c>
    </row>
    <row r="1640" spans="1:3" x14ac:dyDescent="0.25">
      <c r="A1640" s="417">
        <v>41540</v>
      </c>
      <c r="B1640" s="418">
        <v>0.29918981481481483</v>
      </c>
      <c r="C1640" s="421" t="s">
        <v>1500</v>
      </c>
    </row>
    <row r="1641" spans="1:3" x14ac:dyDescent="0.25">
      <c r="A1641" s="417">
        <v>41540</v>
      </c>
      <c r="B1641" s="418">
        <v>0.29918981481481483</v>
      </c>
      <c r="C1641" s="421" t="s">
        <v>1501</v>
      </c>
    </row>
    <row r="1642" spans="1:3" x14ac:dyDescent="0.25">
      <c r="A1642" s="417">
        <v>41540</v>
      </c>
      <c r="B1642" s="418">
        <v>0.29918981481481483</v>
      </c>
      <c r="C1642" s="421" t="s">
        <v>1439</v>
      </c>
    </row>
    <row r="1643" spans="1:3" x14ac:dyDescent="0.25">
      <c r="A1643" s="417">
        <v>41540</v>
      </c>
      <c r="B1643" s="418">
        <v>0.29918981481481483</v>
      </c>
      <c r="C1643" s="421" t="s">
        <v>1320</v>
      </c>
    </row>
    <row r="1644" spans="1:3" x14ac:dyDescent="0.25">
      <c r="A1644" s="417">
        <v>41540</v>
      </c>
      <c r="B1644" s="418">
        <v>0.29918981481481483</v>
      </c>
      <c r="C1644" s="421" t="s">
        <v>1502</v>
      </c>
    </row>
    <row r="1645" spans="1:3" x14ac:dyDescent="0.25">
      <c r="A1645" s="417">
        <v>41540</v>
      </c>
      <c r="B1645" s="418">
        <v>0.29918981481481483</v>
      </c>
      <c r="C1645" s="421" t="s">
        <v>1503</v>
      </c>
    </row>
    <row r="1646" spans="1:3" x14ac:dyDescent="0.25">
      <c r="A1646" s="417">
        <v>41540</v>
      </c>
      <c r="B1646" s="418">
        <v>0.29918981481481483</v>
      </c>
      <c r="C1646" s="421" t="s">
        <v>1504</v>
      </c>
    </row>
    <row r="1647" spans="1:3" x14ac:dyDescent="0.25">
      <c r="A1647" s="417">
        <v>41540</v>
      </c>
      <c r="B1647" s="418">
        <v>0.29918981481481483</v>
      </c>
      <c r="C1647" s="421" t="s">
        <v>1505</v>
      </c>
    </row>
    <row r="1648" spans="1:3" x14ac:dyDescent="0.25">
      <c r="A1648" s="417">
        <v>41540</v>
      </c>
      <c r="B1648" s="418">
        <v>0.29918981481481483</v>
      </c>
      <c r="C1648" s="421" t="s">
        <v>1446</v>
      </c>
    </row>
    <row r="1649" spans="1:3" x14ac:dyDescent="0.25">
      <c r="A1649" s="417">
        <v>41540</v>
      </c>
      <c r="B1649" s="418">
        <v>0.29918981481481483</v>
      </c>
      <c r="C1649" s="421" t="s">
        <v>1238</v>
      </c>
    </row>
    <row r="1650" spans="1:3" x14ac:dyDescent="0.25">
      <c r="A1650" s="417">
        <v>41540</v>
      </c>
      <c r="B1650" s="418">
        <v>0.29918981481481483</v>
      </c>
      <c r="C1650" s="421" t="s">
        <v>1506</v>
      </c>
    </row>
    <row r="1651" spans="1:3" x14ac:dyDescent="0.25">
      <c r="A1651" s="417">
        <v>41540</v>
      </c>
      <c r="B1651" s="418">
        <v>0.29918981481481483</v>
      </c>
      <c r="C1651" s="421" t="s">
        <v>1389</v>
      </c>
    </row>
    <row r="1652" spans="1:3" x14ac:dyDescent="0.25">
      <c r="A1652" s="417">
        <v>41540</v>
      </c>
      <c r="B1652" s="418">
        <v>0.29918981481481483</v>
      </c>
      <c r="C1652" s="421" t="s">
        <v>1448</v>
      </c>
    </row>
    <row r="1653" spans="1:3" x14ac:dyDescent="0.25">
      <c r="A1653" s="417">
        <v>41540</v>
      </c>
      <c r="B1653" s="418">
        <v>0.29918981481481483</v>
      </c>
      <c r="C1653" s="421" t="s">
        <v>1450</v>
      </c>
    </row>
    <row r="1654" spans="1:3" x14ac:dyDescent="0.25">
      <c r="A1654" s="417">
        <v>41540</v>
      </c>
      <c r="B1654" s="418">
        <v>0.29918981481481483</v>
      </c>
      <c r="C1654" s="421" t="s">
        <v>1450</v>
      </c>
    </row>
    <row r="1655" spans="1:3" x14ac:dyDescent="0.25">
      <c r="A1655" s="417">
        <v>41540</v>
      </c>
      <c r="B1655" s="418">
        <v>0.29918981481481483</v>
      </c>
      <c r="C1655" s="421" t="s">
        <v>1450</v>
      </c>
    </row>
    <row r="1656" spans="1:3" x14ac:dyDescent="0.25">
      <c r="A1656" s="417">
        <v>41540</v>
      </c>
      <c r="B1656" s="418">
        <v>0.29918981481481483</v>
      </c>
      <c r="C1656" s="421" t="s">
        <v>1450</v>
      </c>
    </row>
    <row r="1657" spans="1:3" x14ac:dyDescent="0.25">
      <c r="A1657" s="417">
        <v>41540</v>
      </c>
      <c r="B1657" s="418">
        <v>0.29918981481481483</v>
      </c>
      <c r="C1657" s="421" t="s">
        <v>1450</v>
      </c>
    </row>
    <row r="1658" spans="1:3" x14ac:dyDescent="0.25">
      <c r="A1658" s="417">
        <v>41540</v>
      </c>
      <c r="B1658" s="418">
        <v>0.29918981481481483</v>
      </c>
      <c r="C1658" s="421" t="s">
        <v>1450</v>
      </c>
    </row>
    <row r="1659" spans="1:3" x14ac:dyDescent="0.25">
      <c r="A1659" s="417">
        <v>41540</v>
      </c>
      <c r="B1659" s="418">
        <v>0.29918981481481483</v>
      </c>
      <c r="C1659" s="421" t="s">
        <v>1450</v>
      </c>
    </row>
    <row r="1660" spans="1:3" x14ac:dyDescent="0.25">
      <c r="A1660" s="417">
        <v>41540</v>
      </c>
      <c r="B1660" s="418">
        <v>0.29920138888888886</v>
      </c>
      <c r="C1660" s="421" t="s">
        <v>1448</v>
      </c>
    </row>
    <row r="1661" spans="1:3" x14ac:dyDescent="0.25">
      <c r="A1661" s="417">
        <v>41540</v>
      </c>
      <c r="B1661" s="418">
        <v>0.29920138888888886</v>
      </c>
      <c r="C1661" s="421" t="s">
        <v>1399</v>
      </c>
    </row>
    <row r="1662" spans="1:3" x14ac:dyDescent="0.25">
      <c r="A1662" s="417">
        <v>41540</v>
      </c>
      <c r="B1662" s="418">
        <v>0.29920138888888886</v>
      </c>
      <c r="C1662" s="421" t="s">
        <v>1309</v>
      </c>
    </row>
    <row r="1663" spans="1:3" x14ac:dyDescent="0.25">
      <c r="A1663" s="417">
        <v>41540</v>
      </c>
      <c r="B1663" s="418">
        <v>0.29921296296296296</v>
      </c>
      <c r="C1663" s="421" t="s">
        <v>1236</v>
      </c>
    </row>
    <row r="1664" spans="1:3" x14ac:dyDescent="0.25">
      <c r="A1664" s="417">
        <v>41540</v>
      </c>
      <c r="B1664" s="418">
        <v>0.29921296296296296</v>
      </c>
      <c r="C1664" s="421" t="s">
        <v>1237</v>
      </c>
    </row>
    <row r="1665" spans="1:3" x14ac:dyDescent="0.25">
      <c r="A1665" s="417">
        <v>41540</v>
      </c>
      <c r="B1665" s="418">
        <v>0.29921296296296296</v>
      </c>
      <c r="C1665" s="421" t="s">
        <v>1238</v>
      </c>
    </row>
    <row r="1666" spans="1:3" x14ac:dyDescent="0.25">
      <c r="A1666" s="417">
        <v>41540</v>
      </c>
      <c r="B1666" s="418">
        <v>0.49464120370370374</v>
      </c>
      <c r="C1666" s="421" t="s">
        <v>1238</v>
      </c>
    </row>
    <row r="1667" spans="1:3" x14ac:dyDescent="0.25">
      <c r="A1667" s="417">
        <v>41540</v>
      </c>
      <c r="B1667" s="418">
        <v>0.49464120370370374</v>
      </c>
      <c r="C1667" s="421" t="s">
        <v>1307</v>
      </c>
    </row>
    <row r="1668" spans="1:3" x14ac:dyDescent="0.25">
      <c r="A1668" s="417">
        <v>41540</v>
      </c>
      <c r="B1668" s="418">
        <v>0.49464120370370374</v>
      </c>
      <c r="C1668" s="421" t="s">
        <v>1308</v>
      </c>
    </row>
    <row r="1669" spans="1:3" x14ac:dyDescent="0.25">
      <c r="A1669" s="417">
        <v>41540</v>
      </c>
      <c r="B1669" s="418">
        <v>0.49464120370370374</v>
      </c>
      <c r="C1669" s="421" t="s">
        <v>1309</v>
      </c>
    </row>
    <row r="1670" spans="1:3" x14ac:dyDescent="0.25">
      <c r="A1670" s="417">
        <v>41540</v>
      </c>
      <c r="B1670" s="418">
        <v>0.49464120370370374</v>
      </c>
      <c r="C1670" s="421" t="s">
        <v>1310</v>
      </c>
    </row>
    <row r="1671" spans="1:3" x14ac:dyDescent="0.25">
      <c r="A1671" s="417">
        <v>41540</v>
      </c>
      <c r="B1671" s="418">
        <v>0.49464120370370374</v>
      </c>
      <c r="C1671" s="421" t="s">
        <v>1311</v>
      </c>
    </row>
    <row r="1672" spans="1:3" x14ac:dyDescent="0.25">
      <c r="A1672" s="417">
        <v>41540</v>
      </c>
      <c r="B1672" s="418">
        <v>0.49464120370370374</v>
      </c>
      <c r="C1672" s="421" t="s">
        <v>1312</v>
      </c>
    </row>
    <row r="1673" spans="1:3" x14ac:dyDescent="0.25">
      <c r="A1673" s="417">
        <v>41540</v>
      </c>
      <c r="B1673" s="418">
        <v>0.49464120370370374</v>
      </c>
      <c r="C1673" s="421" t="s">
        <v>1313</v>
      </c>
    </row>
    <row r="1674" spans="1:3" x14ac:dyDescent="0.25">
      <c r="A1674" s="417">
        <v>41540</v>
      </c>
      <c r="B1674" s="418">
        <v>0.49464120370370374</v>
      </c>
      <c r="C1674" s="421" t="s">
        <v>1310</v>
      </c>
    </row>
    <row r="1675" spans="1:3" x14ac:dyDescent="0.25">
      <c r="A1675" s="417">
        <v>41540</v>
      </c>
      <c r="B1675" s="418">
        <v>0.49464120370370374</v>
      </c>
      <c r="C1675" s="421" t="s">
        <v>1314</v>
      </c>
    </row>
    <row r="1676" spans="1:3" x14ac:dyDescent="0.25">
      <c r="A1676" s="417">
        <v>41540</v>
      </c>
      <c r="B1676" s="418">
        <v>0.49464120370370374</v>
      </c>
      <c r="C1676" s="421" t="s">
        <v>1315</v>
      </c>
    </row>
    <row r="1677" spans="1:3" x14ac:dyDescent="0.25">
      <c r="A1677" s="417">
        <v>41540</v>
      </c>
      <c r="B1677" s="418">
        <v>0.49464120370370374</v>
      </c>
      <c r="C1677" s="421" t="s">
        <v>1460</v>
      </c>
    </row>
    <row r="1678" spans="1:3" x14ac:dyDescent="0.25">
      <c r="A1678" s="417">
        <v>41540</v>
      </c>
      <c r="B1678" s="418">
        <v>0.49464120370370374</v>
      </c>
      <c r="C1678" s="421" t="s">
        <v>1461</v>
      </c>
    </row>
    <row r="1679" spans="1:3" x14ac:dyDescent="0.25">
      <c r="A1679" s="417">
        <v>41540</v>
      </c>
      <c r="B1679" s="418">
        <v>0.49464120370370374</v>
      </c>
      <c r="C1679" s="421" t="s">
        <v>1310</v>
      </c>
    </row>
    <row r="1680" spans="1:3" x14ac:dyDescent="0.25">
      <c r="A1680" s="417">
        <v>41540</v>
      </c>
      <c r="B1680" s="418">
        <v>0.49464120370370374</v>
      </c>
      <c r="C1680" s="421" t="s">
        <v>1238</v>
      </c>
    </row>
    <row r="1681" spans="1:3" x14ac:dyDescent="0.25">
      <c r="A1681" s="417">
        <v>41540</v>
      </c>
      <c r="B1681" s="418">
        <v>0.49464120370370374</v>
      </c>
      <c r="C1681" s="421" t="s">
        <v>1462</v>
      </c>
    </row>
    <row r="1682" spans="1:3" x14ac:dyDescent="0.25">
      <c r="A1682" s="417">
        <v>41540</v>
      </c>
      <c r="B1682" s="418">
        <v>0.49464120370370374</v>
      </c>
      <c r="C1682" s="421" t="s">
        <v>1316</v>
      </c>
    </row>
    <row r="1683" spans="1:3" x14ac:dyDescent="0.25">
      <c r="A1683" s="417">
        <v>41540</v>
      </c>
      <c r="B1683" s="418">
        <v>0.49464120370370374</v>
      </c>
      <c r="C1683" s="421" t="s">
        <v>1316</v>
      </c>
    </row>
    <row r="1684" spans="1:3" x14ac:dyDescent="0.25">
      <c r="A1684" s="417">
        <v>41540</v>
      </c>
      <c r="B1684" s="418">
        <v>0.49464120370370374</v>
      </c>
      <c r="C1684" s="421" t="s">
        <v>1317</v>
      </c>
    </row>
    <row r="1685" spans="1:3" x14ac:dyDescent="0.25">
      <c r="A1685" s="417">
        <v>41540</v>
      </c>
      <c r="B1685" s="418">
        <v>0.49464120370370374</v>
      </c>
      <c r="C1685" s="421" t="s">
        <v>1309</v>
      </c>
    </row>
    <row r="1686" spans="1:3" x14ac:dyDescent="0.25">
      <c r="A1686" s="417">
        <v>41540</v>
      </c>
      <c r="B1686" s="418">
        <v>0.49464120370370374</v>
      </c>
      <c r="C1686" s="421" t="s">
        <v>1318</v>
      </c>
    </row>
    <row r="1687" spans="1:3" ht="45" x14ac:dyDescent="0.25">
      <c r="A1687" s="417">
        <v>41540</v>
      </c>
      <c r="B1687" s="418">
        <v>0.76457175925925924</v>
      </c>
      <c r="C1687" s="946" t="s">
        <v>1523</v>
      </c>
    </row>
    <row r="1688" spans="1:3" ht="45" x14ac:dyDescent="0.25">
      <c r="A1688" s="417">
        <v>41540</v>
      </c>
      <c r="B1688" s="418">
        <v>0.765162037037037</v>
      </c>
      <c r="C1688" s="946" t="s">
        <v>1524</v>
      </c>
    </row>
    <row r="1689" spans="1:3" ht="45" x14ac:dyDescent="0.25">
      <c r="A1689" s="417">
        <v>41540</v>
      </c>
      <c r="B1689" s="418">
        <v>0.76635416666666656</v>
      </c>
      <c r="C1689" s="946" t="s">
        <v>1525</v>
      </c>
    </row>
    <row r="1690" spans="1:3" ht="45" x14ac:dyDescent="0.25">
      <c r="A1690" s="417">
        <v>41540</v>
      </c>
      <c r="B1690" s="418">
        <v>0.76637731481481486</v>
      </c>
      <c r="C1690" s="946" t="s">
        <v>1526</v>
      </c>
    </row>
    <row r="1691" spans="1:3" ht="30" x14ac:dyDescent="0.25">
      <c r="A1691" s="417">
        <v>41540</v>
      </c>
      <c r="B1691" s="418">
        <v>0.76641203703703698</v>
      </c>
      <c r="C1691" s="946" t="s">
        <v>1527</v>
      </c>
    </row>
    <row r="1692" spans="1:3" ht="30" x14ac:dyDescent="0.25">
      <c r="A1692" s="417">
        <v>41540</v>
      </c>
      <c r="B1692" s="418">
        <v>0.77068287037037031</v>
      </c>
      <c r="C1692" s="946" t="s">
        <v>1528</v>
      </c>
    </row>
    <row r="1693" spans="1:3" ht="45" x14ac:dyDescent="0.25">
      <c r="A1693" s="417">
        <v>41540</v>
      </c>
      <c r="B1693" s="418">
        <v>0.77180555555555552</v>
      </c>
      <c r="C1693" s="946" t="s">
        <v>1529</v>
      </c>
    </row>
    <row r="1694" spans="1:3" ht="30" x14ac:dyDescent="0.25">
      <c r="A1694" s="417">
        <v>41540</v>
      </c>
      <c r="B1694" s="418">
        <v>0.77256944444444453</v>
      </c>
      <c r="C1694" s="946" t="s">
        <v>1530</v>
      </c>
    </row>
    <row r="1695" spans="1:3" ht="45" x14ac:dyDescent="0.25">
      <c r="A1695" s="417">
        <v>41540</v>
      </c>
      <c r="B1695" s="418">
        <v>0.78092592592592591</v>
      </c>
      <c r="C1695" s="946" t="s">
        <v>1531</v>
      </c>
    </row>
    <row r="1696" spans="1:3" ht="45" x14ac:dyDescent="0.25">
      <c r="A1696" s="417">
        <v>41540</v>
      </c>
      <c r="B1696" s="418">
        <v>0.78204861111111112</v>
      </c>
      <c r="C1696" s="946" t="s">
        <v>1532</v>
      </c>
    </row>
    <row r="1697" spans="1:3" ht="30" x14ac:dyDescent="0.25">
      <c r="A1697" s="417">
        <v>41540</v>
      </c>
      <c r="B1697" s="418">
        <v>0.78217592592592589</v>
      </c>
      <c r="C1697" s="946" t="s">
        <v>1533</v>
      </c>
    </row>
    <row r="1698" spans="1:3" ht="45" x14ac:dyDescent="0.25">
      <c r="A1698" s="417">
        <v>41540</v>
      </c>
      <c r="B1698" s="418">
        <v>0.78236111111111117</v>
      </c>
      <c r="C1698" s="946" t="s">
        <v>1534</v>
      </c>
    </row>
    <row r="1699" spans="1:3" x14ac:dyDescent="0.25">
      <c r="A1699" s="417">
        <v>41540</v>
      </c>
      <c r="B1699" s="418">
        <v>0.79275462962962961</v>
      </c>
      <c r="C1699" s="421" t="s">
        <v>1535</v>
      </c>
    </row>
    <row r="1700" spans="1:3" x14ac:dyDescent="0.25">
      <c r="A1700" s="417">
        <v>41540</v>
      </c>
      <c r="B1700" s="418">
        <v>0.79276620370370365</v>
      </c>
      <c r="C1700" s="421" t="s">
        <v>1346</v>
      </c>
    </row>
    <row r="1701" spans="1:3" x14ac:dyDescent="0.25">
      <c r="A1701" s="417">
        <v>41540</v>
      </c>
      <c r="B1701" s="418">
        <v>0.79276620370370365</v>
      </c>
      <c r="C1701" s="421" t="s">
        <v>1238</v>
      </c>
    </row>
    <row r="1702" spans="1:3" x14ac:dyDescent="0.25">
      <c r="A1702" s="417">
        <v>41540</v>
      </c>
      <c r="B1702" s="418">
        <v>0.79276620370370365</v>
      </c>
      <c r="C1702" s="421" t="s">
        <v>1307</v>
      </c>
    </row>
    <row r="1703" spans="1:3" x14ac:dyDescent="0.25">
      <c r="A1703" s="417">
        <v>41540</v>
      </c>
      <c r="B1703" s="418">
        <v>0.79276620370370365</v>
      </c>
      <c r="C1703" s="421" t="s">
        <v>1308</v>
      </c>
    </row>
    <row r="1704" spans="1:3" x14ac:dyDescent="0.25">
      <c r="A1704" s="417">
        <v>41540</v>
      </c>
      <c r="B1704" s="418">
        <v>0.79276620370370365</v>
      </c>
      <c r="C1704" s="421" t="s">
        <v>1309</v>
      </c>
    </row>
    <row r="1705" spans="1:3" x14ac:dyDescent="0.25">
      <c r="A1705" s="417">
        <v>41540</v>
      </c>
      <c r="B1705" s="418">
        <v>0.79276620370370365</v>
      </c>
      <c r="C1705" s="421" t="s">
        <v>1310</v>
      </c>
    </row>
    <row r="1706" spans="1:3" x14ac:dyDescent="0.25">
      <c r="A1706" s="417">
        <v>41540</v>
      </c>
      <c r="B1706" s="418">
        <v>0.79276620370370365</v>
      </c>
      <c r="C1706" s="421" t="s">
        <v>1311</v>
      </c>
    </row>
    <row r="1707" spans="1:3" x14ac:dyDescent="0.25">
      <c r="A1707" s="417">
        <v>41540</v>
      </c>
      <c r="B1707" s="418">
        <v>0.79276620370370365</v>
      </c>
      <c r="C1707" s="421" t="s">
        <v>1312</v>
      </c>
    </row>
    <row r="1708" spans="1:3" x14ac:dyDescent="0.25">
      <c r="A1708" s="417">
        <v>41540</v>
      </c>
      <c r="B1708" s="418">
        <v>0.79276620370370365</v>
      </c>
      <c r="C1708" s="421" t="s">
        <v>1313</v>
      </c>
    </row>
    <row r="1709" spans="1:3" x14ac:dyDescent="0.25">
      <c r="A1709" s="417">
        <v>41540</v>
      </c>
      <c r="B1709" s="418">
        <v>0.79276620370370365</v>
      </c>
      <c r="C1709" s="421" t="s">
        <v>1310</v>
      </c>
    </row>
    <row r="1710" spans="1:3" x14ac:dyDescent="0.25">
      <c r="A1710" s="417">
        <v>41540</v>
      </c>
      <c r="B1710" s="418">
        <v>0.79276620370370365</v>
      </c>
      <c r="C1710" s="421" t="s">
        <v>1314</v>
      </c>
    </row>
    <row r="1711" spans="1:3" x14ac:dyDescent="0.25">
      <c r="A1711" s="417">
        <v>41540</v>
      </c>
      <c r="B1711" s="418">
        <v>0.79276620370370365</v>
      </c>
      <c r="C1711" s="421" t="s">
        <v>1315</v>
      </c>
    </row>
    <row r="1712" spans="1:3" x14ac:dyDescent="0.25">
      <c r="A1712" s="417">
        <v>41540</v>
      </c>
      <c r="B1712" s="418">
        <v>0.79276620370370365</v>
      </c>
      <c r="C1712" s="421" t="s">
        <v>1460</v>
      </c>
    </row>
    <row r="1713" spans="1:3" x14ac:dyDescent="0.25">
      <c r="A1713" s="417">
        <v>41540</v>
      </c>
      <c r="B1713" s="418">
        <v>0.79276620370370365</v>
      </c>
      <c r="C1713" s="421" t="s">
        <v>1461</v>
      </c>
    </row>
    <row r="1714" spans="1:3" x14ac:dyDescent="0.25">
      <c r="A1714" s="417">
        <v>41540</v>
      </c>
      <c r="B1714" s="418">
        <v>0.79276620370370365</v>
      </c>
      <c r="C1714" s="421" t="s">
        <v>1310</v>
      </c>
    </row>
    <row r="1715" spans="1:3" x14ac:dyDescent="0.25">
      <c r="A1715" s="417">
        <v>41540</v>
      </c>
      <c r="B1715" s="418">
        <v>0.79276620370370365</v>
      </c>
      <c r="C1715" s="421" t="s">
        <v>1238</v>
      </c>
    </row>
    <row r="1716" spans="1:3" x14ac:dyDescent="0.25">
      <c r="A1716" s="417">
        <v>41540</v>
      </c>
      <c r="B1716" s="418">
        <v>0.79276620370370365</v>
      </c>
      <c r="C1716" s="421" t="s">
        <v>1462</v>
      </c>
    </row>
    <row r="1717" spans="1:3" x14ac:dyDescent="0.25">
      <c r="A1717" s="417">
        <v>41540</v>
      </c>
      <c r="B1717" s="418">
        <v>0.79276620370370365</v>
      </c>
      <c r="C1717" s="421" t="s">
        <v>1316</v>
      </c>
    </row>
    <row r="1718" spans="1:3" x14ac:dyDescent="0.25">
      <c r="A1718" s="417">
        <v>41540</v>
      </c>
      <c r="B1718" s="418">
        <v>0.79276620370370365</v>
      </c>
      <c r="C1718" s="421" t="s">
        <v>1316</v>
      </c>
    </row>
    <row r="1719" spans="1:3" x14ac:dyDescent="0.25">
      <c r="A1719" s="417">
        <v>41540</v>
      </c>
      <c r="B1719" s="418">
        <v>0.79276620370370365</v>
      </c>
      <c r="C1719" s="421" t="s">
        <v>1317</v>
      </c>
    </row>
    <row r="1720" spans="1:3" x14ac:dyDescent="0.25">
      <c r="A1720" s="417">
        <v>41540</v>
      </c>
      <c r="B1720" s="418">
        <v>0.79276620370370365</v>
      </c>
      <c r="C1720" s="421" t="s">
        <v>1309</v>
      </c>
    </row>
    <row r="1721" spans="1:3" x14ac:dyDescent="0.25">
      <c r="A1721" s="417">
        <v>41540</v>
      </c>
      <c r="B1721" s="418">
        <v>0.79276620370370365</v>
      </c>
      <c r="C1721" s="421" t="s">
        <v>1318</v>
      </c>
    </row>
    <row r="1722" spans="1:3" x14ac:dyDescent="0.25">
      <c r="A1722" s="417">
        <v>41540</v>
      </c>
      <c r="B1722" s="418">
        <v>0.79276620370370365</v>
      </c>
      <c r="C1722" s="421" t="s">
        <v>1319</v>
      </c>
    </row>
    <row r="1723" spans="1:3" x14ac:dyDescent="0.25">
      <c r="A1723" s="417">
        <v>41540</v>
      </c>
      <c r="B1723" s="418">
        <v>0.79276620370370365</v>
      </c>
      <c r="C1723" s="421" t="s">
        <v>1320</v>
      </c>
    </row>
    <row r="1724" spans="1:3" x14ac:dyDescent="0.25">
      <c r="A1724" s="417">
        <v>41540</v>
      </c>
      <c r="B1724" s="418">
        <v>0.79276620370370365</v>
      </c>
      <c r="C1724" s="421" t="s">
        <v>1318</v>
      </c>
    </row>
    <row r="1725" spans="1:3" x14ac:dyDescent="0.25">
      <c r="A1725" s="417">
        <v>41540</v>
      </c>
      <c r="B1725" s="418">
        <v>0.79276620370370365</v>
      </c>
      <c r="C1725" s="421" t="s">
        <v>1307</v>
      </c>
    </row>
    <row r="1726" spans="1:3" x14ac:dyDescent="0.25">
      <c r="A1726" s="417">
        <v>41540</v>
      </c>
      <c r="B1726" s="418">
        <v>0.79276620370370365</v>
      </c>
      <c r="C1726" s="421" t="s">
        <v>1321</v>
      </c>
    </row>
    <row r="1727" spans="1:3" x14ac:dyDescent="0.25">
      <c r="A1727" s="417">
        <v>41540</v>
      </c>
      <c r="B1727" s="418">
        <v>0.79276620370370365</v>
      </c>
      <c r="C1727" s="421" t="s">
        <v>1322</v>
      </c>
    </row>
    <row r="1728" spans="1:3" x14ac:dyDescent="0.25">
      <c r="A1728" s="417">
        <v>41540</v>
      </c>
      <c r="B1728" s="418">
        <v>0.79276620370370365</v>
      </c>
      <c r="C1728" s="421" t="s">
        <v>1322</v>
      </c>
    </row>
    <row r="1729" spans="1:3" x14ac:dyDescent="0.25">
      <c r="A1729" s="417">
        <v>41540</v>
      </c>
      <c r="B1729" s="418">
        <v>0.79276620370370365</v>
      </c>
      <c r="C1729" s="421" t="s">
        <v>1323</v>
      </c>
    </row>
    <row r="1730" spans="1:3" x14ac:dyDescent="0.25">
      <c r="A1730" s="417">
        <v>41540</v>
      </c>
      <c r="B1730" s="418">
        <v>0.79276620370370365</v>
      </c>
      <c r="C1730" s="421" t="s">
        <v>1324</v>
      </c>
    </row>
    <row r="1731" spans="1:3" x14ac:dyDescent="0.25">
      <c r="A1731" s="417">
        <v>41540</v>
      </c>
      <c r="B1731" s="418">
        <v>0.79276620370370365</v>
      </c>
      <c r="C1731" s="421" t="s">
        <v>1310</v>
      </c>
    </row>
    <row r="1732" spans="1:3" x14ac:dyDescent="0.25">
      <c r="A1732" s="417">
        <v>41540</v>
      </c>
      <c r="B1732" s="418">
        <v>0.79276620370370365</v>
      </c>
      <c r="C1732" s="421" t="s">
        <v>1325</v>
      </c>
    </row>
    <row r="1733" spans="1:3" x14ac:dyDescent="0.25">
      <c r="A1733" s="417">
        <v>41540</v>
      </c>
      <c r="B1733" s="418">
        <v>0.79276620370370365</v>
      </c>
      <c r="C1733" s="421" t="s">
        <v>1326</v>
      </c>
    </row>
    <row r="1734" spans="1:3" x14ac:dyDescent="0.25">
      <c r="A1734" s="417">
        <v>41540</v>
      </c>
      <c r="B1734" s="418">
        <v>0.79276620370370365</v>
      </c>
      <c r="C1734" s="421" t="s">
        <v>1327</v>
      </c>
    </row>
    <row r="1735" spans="1:3" x14ac:dyDescent="0.25">
      <c r="A1735" s="417">
        <v>41540</v>
      </c>
      <c r="B1735" s="418">
        <v>0.79276620370370365</v>
      </c>
      <c r="C1735" s="421" t="s">
        <v>1328</v>
      </c>
    </row>
    <row r="1736" spans="1:3" ht="60" x14ac:dyDescent="0.25">
      <c r="A1736" s="417">
        <v>41540</v>
      </c>
      <c r="B1736" s="418">
        <v>0.79276620370370365</v>
      </c>
      <c r="C1736" s="946" t="s">
        <v>1536</v>
      </c>
    </row>
    <row r="1737" spans="1:3" x14ac:dyDescent="0.25">
      <c r="A1737" s="417">
        <v>41540</v>
      </c>
      <c r="B1737" s="418">
        <v>0.79283564814814822</v>
      </c>
      <c r="C1737" s="421" t="s">
        <v>1323</v>
      </c>
    </row>
    <row r="1738" spans="1:3" x14ac:dyDescent="0.25">
      <c r="A1738" s="417">
        <v>41540</v>
      </c>
      <c r="B1738" s="418">
        <v>0.79283564814814822</v>
      </c>
      <c r="C1738" s="421" t="s">
        <v>1342</v>
      </c>
    </row>
    <row r="1739" spans="1:3" x14ac:dyDescent="0.25">
      <c r="A1739" s="417">
        <v>41540</v>
      </c>
      <c r="B1739" s="418">
        <v>0.79283564814814822</v>
      </c>
      <c r="C1739" s="421" t="s">
        <v>1343</v>
      </c>
    </row>
    <row r="1740" spans="1:3" x14ac:dyDescent="0.25">
      <c r="A1740" s="417">
        <v>41540</v>
      </c>
      <c r="B1740" s="418">
        <v>0.79283564814814822</v>
      </c>
      <c r="C1740" s="421" t="s">
        <v>1344</v>
      </c>
    </row>
    <row r="1741" spans="1:3" x14ac:dyDescent="0.25">
      <c r="A1741" s="417">
        <v>41540</v>
      </c>
      <c r="B1741" s="418">
        <v>0.79283564814814822</v>
      </c>
      <c r="C1741" s="421" t="s">
        <v>1344</v>
      </c>
    </row>
    <row r="1742" spans="1:3" x14ac:dyDescent="0.25">
      <c r="A1742" s="417">
        <v>41540</v>
      </c>
      <c r="B1742" s="418">
        <v>0.79283564814814822</v>
      </c>
      <c r="C1742" s="421" t="s">
        <v>1310</v>
      </c>
    </row>
    <row r="1743" spans="1:3" x14ac:dyDescent="0.25">
      <c r="A1743" s="417">
        <v>41540</v>
      </c>
      <c r="B1743" s="418">
        <v>0.79283564814814822</v>
      </c>
      <c r="C1743" s="421" t="s">
        <v>1345</v>
      </c>
    </row>
    <row r="1744" spans="1:3" x14ac:dyDescent="0.25">
      <c r="A1744" s="417">
        <v>41540</v>
      </c>
      <c r="B1744" s="418">
        <v>0.79283564814814822</v>
      </c>
      <c r="C1744" s="421" t="s">
        <v>1346</v>
      </c>
    </row>
    <row r="1745" spans="1:3" x14ac:dyDescent="0.25">
      <c r="A1745" s="417">
        <v>41540</v>
      </c>
      <c r="B1745" s="418">
        <v>0.79283564814814822</v>
      </c>
      <c r="C1745" s="421" t="s">
        <v>1347</v>
      </c>
    </row>
    <row r="1746" spans="1:3" x14ac:dyDescent="0.25">
      <c r="A1746" s="417">
        <v>41540</v>
      </c>
      <c r="B1746" s="418">
        <v>0.79283564814814822</v>
      </c>
      <c r="C1746" s="421" t="s">
        <v>1348</v>
      </c>
    </row>
    <row r="1747" spans="1:3" x14ac:dyDescent="0.25">
      <c r="A1747" s="417">
        <v>41540</v>
      </c>
      <c r="B1747" s="418">
        <v>0.79283564814814822</v>
      </c>
      <c r="C1747" s="421" t="s">
        <v>1349</v>
      </c>
    </row>
    <row r="1748" spans="1:3" x14ac:dyDescent="0.25">
      <c r="A1748" s="417">
        <v>41540</v>
      </c>
      <c r="B1748" s="418">
        <v>0.79283564814814822</v>
      </c>
      <c r="C1748" s="421" t="s">
        <v>1349</v>
      </c>
    </row>
    <row r="1749" spans="1:3" x14ac:dyDescent="0.25">
      <c r="A1749" s="417">
        <v>41540</v>
      </c>
      <c r="B1749" s="418">
        <v>0.79283564814814822</v>
      </c>
      <c r="C1749" s="421" t="s">
        <v>1348</v>
      </c>
    </row>
    <row r="1750" spans="1:3" x14ac:dyDescent="0.25">
      <c r="A1750" s="417">
        <v>41540</v>
      </c>
      <c r="B1750" s="418">
        <v>0.79283564814814822</v>
      </c>
      <c r="C1750" s="421" t="s">
        <v>1350</v>
      </c>
    </row>
    <row r="1751" spans="1:3" x14ac:dyDescent="0.25">
      <c r="A1751" s="417">
        <v>41540</v>
      </c>
      <c r="B1751" s="418">
        <v>0.79283564814814822</v>
      </c>
      <c r="C1751" s="421" t="s">
        <v>1351</v>
      </c>
    </row>
    <row r="1752" spans="1:3" x14ac:dyDescent="0.25">
      <c r="A1752" s="417">
        <v>41540</v>
      </c>
      <c r="B1752" s="418">
        <v>0.79283564814814822</v>
      </c>
      <c r="C1752" s="421" t="s">
        <v>1352</v>
      </c>
    </row>
    <row r="1753" spans="1:3" x14ac:dyDescent="0.25">
      <c r="A1753" s="417">
        <v>41540</v>
      </c>
      <c r="B1753" s="418">
        <v>0.79283564814814822</v>
      </c>
      <c r="C1753" s="421" t="s">
        <v>1287</v>
      </c>
    </row>
    <row r="1754" spans="1:3" ht="60" x14ac:dyDescent="0.25">
      <c r="A1754" s="417">
        <v>41540</v>
      </c>
      <c r="B1754" s="418">
        <v>0.79283564814814822</v>
      </c>
      <c r="C1754" s="946" t="s">
        <v>1288</v>
      </c>
    </row>
    <row r="1755" spans="1:3" x14ac:dyDescent="0.25">
      <c r="A1755" s="417">
        <v>41540</v>
      </c>
      <c r="B1755" s="418">
        <v>0.79284722222222215</v>
      </c>
      <c r="C1755" s="421" t="s">
        <v>1353</v>
      </c>
    </row>
    <row r="1756" spans="1:3" x14ac:dyDescent="0.25">
      <c r="A1756" s="417">
        <v>41540</v>
      </c>
      <c r="B1756" s="418">
        <v>0.79284722222222215</v>
      </c>
      <c r="C1756" s="421" t="s">
        <v>1354</v>
      </c>
    </row>
    <row r="1757" spans="1:3" x14ac:dyDescent="0.25">
      <c r="A1757" s="417">
        <v>41540</v>
      </c>
      <c r="B1757" s="418">
        <v>0.79284722222222215</v>
      </c>
      <c r="C1757" s="421" t="s">
        <v>1355</v>
      </c>
    </row>
    <row r="1758" spans="1:3" x14ac:dyDescent="0.25">
      <c r="A1758" s="417">
        <v>41540</v>
      </c>
      <c r="B1758" s="418">
        <v>0.79284722222222215</v>
      </c>
      <c r="C1758" s="421" t="s">
        <v>1357</v>
      </c>
    </row>
    <row r="1759" spans="1:3" x14ac:dyDescent="0.25">
      <c r="A1759" s="417">
        <v>41540</v>
      </c>
      <c r="B1759" s="418">
        <v>0.79284722222222215</v>
      </c>
      <c r="C1759" s="421" t="s">
        <v>1358</v>
      </c>
    </row>
    <row r="1760" spans="1:3" x14ac:dyDescent="0.25">
      <c r="A1760" s="417">
        <v>41540</v>
      </c>
      <c r="B1760" s="418">
        <v>0.79284722222222215</v>
      </c>
      <c r="C1760" s="421" t="s">
        <v>1359</v>
      </c>
    </row>
    <row r="1761" spans="1:3" x14ac:dyDescent="0.25">
      <c r="A1761" s="417">
        <v>41540</v>
      </c>
      <c r="B1761" s="418">
        <v>0.79284722222222215</v>
      </c>
      <c r="C1761" s="421" t="s">
        <v>1360</v>
      </c>
    </row>
    <row r="1762" spans="1:3" x14ac:dyDescent="0.25">
      <c r="A1762" s="417">
        <v>41540</v>
      </c>
      <c r="B1762" s="418">
        <v>0.79284722222222215</v>
      </c>
      <c r="C1762" s="421" t="s">
        <v>1361</v>
      </c>
    </row>
    <row r="1763" spans="1:3" x14ac:dyDescent="0.25">
      <c r="A1763" s="417">
        <v>41540</v>
      </c>
      <c r="B1763" s="418">
        <v>0.79284722222222215</v>
      </c>
      <c r="C1763" s="421" t="s">
        <v>1317</v>
      </c>
    </row>
    <row r="1764" spans="1:3" x14ac:dyDescent="0.25">
      <c r="A1764" s="417">
        <v>41540</v>
      </c>
      <c r="B1764" s="418">
        <v>0.79284722222222215</v>
      </c>
      <c r="C1764" s="421" t="s">
        <v>1537</v>
      </c>
    </row>
    <row r="1765" spans="1:3" x14ac:dyDescent="0.25">
      <c r="A1765" s="417">
        <v>41540</v>
      </c>
      <c r="B1765" s="418">
        <v>0.79284722222222215</v>
      </c>
      <c r="C1765" s="421" t="s">
        <v>1362</v>
      </c>
    </row>
    <row r="1766" spans="1:3" x14ac:dyDescent="0.25">
      <c r="A1766" s="417">
        <v>41540</v>
      </c>
      <c r="B1766" s="418">
        <v>0.79284722222222215</v>
      </c>
      <c r="C1766" s="421" t="s">
        <v>1355</v>
      </c>
    </row>
    <row r="1767" spans="1:3" x14ac:dyDescent="0.25">
      <c r="A1767" s="417">
        <v>41540</v>
      </c>
      <c r="B1767" s="418">
        <v>0.79284722222222215</v>
      </c>
      <c r="C1767" s="421" t="s">
        <v>1363</v>
      </c>
    </row>
    <row r="1768" spans="1:3" x14ac:dyDescent="0.25">
      <c r="A1768" s="417">
        <v>41540</v>
      </c>
      <c r="B1768" s="418">
        <v>0.79284722222222215</v>
      </c>
      <c r="C1768" s="421" t="s">
        <v>1364</v>
      </c>
    </row>
    <row r="1769" spans="1:3" x14ac:dyDescent="0.25">
      <c r="A1769" s="417">
        <v>41540</v>
      </c>
      <c r="B1769" s="418">
        <v>0.79284722222222215</v>
      </c>
      <c r="C1769" s="421" t="s">
        <v>1365</v>
      </c>
    </row>
    <row r="1770" spans="1:3" x14ac:dyDescent="0.25">
      <c r="A1770" s="417">
        <v>41540</v>
      </c>
      <c r="B1770" s="418">
        <v>0.79284722222222215</v>
      </c>
      <c r="C1770" s="421" t="s">
        <v>1365</v>
      </c>
    </row>
    <row r="1771" spans="1:3" x14ac:dyDescent="0.25">
      <c r="A1771" s="417">
        <v>41540</v>
      </c>
      <c r="B1771" s="418">
        <v>0.79284722222222215</v>
      </c>
      <c r="C1771" s="421" t="s">
        <v>1366</v>
      </c>
    </row>
    <row r="1772" spans="1:3" x14ac:dyDescent="0.25">
      <c r="A1772" s="417">
        <v>41540</v>
      </c>
      <c r="B1772" s="418">
        <v>0.79284722222222215</v>
      </c>
      <c r="C1772" s="421" t="s">
        <v>1320</v>
      </c>
    </row>
    <row r="1773" spans="1:3" x14ac:dyDescent="0.25">
      <c r="A1773" s="417">
        <v>41540</v>
      </c>
      <c r="B1773" s="418">
        <v>0.79284722222222215</v>
      </c>
      <c r="C1773" s="421" t="s">
        <v>1367</v>
      </c>
    </row>
    <row r="1774" spans="1:3" x14ac:dyDescent="0.25">
      <c r="A1774" s="417">
        <v>41540</v>
      </c>
      <c r="B1774" s="418">
        <v>0.79284722222222215</v>
      </c>
      <c r="C1774" s="421" t="s">
        <v>1344</v>
      </c>
    </row>
    <row r="1775" spans="1:3" x14ac:dyDescent="0.25">
      <c r="A1775" s="417">
        <v>41540</v>
      </c>
      <c r="B1775" s="418">
        <v>0.79284722222222215</v>
      </c>
      <c r="C1775" s="421" t="s">
        <v>1368</v>
      </c>
    </row>
    <row r="1776" spans="1:3" x14ac:dyDescent="0.25">
      <c r="A1776" s="417">
        <v>41540</v>
      </c>
      <c r="B1776" s="418">
        <v>0.79284722222222215</v>
      </c>
      <c r="C1776" s="421" t="s">
        <v>1369</v>
      </c>
    </row>
    <row r="1777" spans="1:3" x14ac:dyDescent="0.25">
      <c r="A1777" s="417">
        <v>41540</v>
      </c>
      <c r="B1777" s="418">
        <v>0.79284722222222215</v>
      </c>
      <c r="C1777" s="421" t="s">
        <v>1307</v>
      </c>
    </row>
    <row r="1778" spans="1:3" x14ac:dyDescent="0.25">
      <c r="A1778" s="417">
        <v>41540</v>
      </c>
      <c r="B1778" s="418">
        <v>0.79284722222222215</v>
      </c>
      <c r="C1778" s="421" t="s">
        <v>1370</v>
      </c>
    </row>
    <row r="1779" spans="1:3" x14ac:dyDescent="0.25">
      <c r="A1779" s="417">
        <v>41540</v>
      </c>
      <c r="B1779" s="418">
        <v>0.79284722222222215</v>
      </c>
      <c r="C1779" s="421" t="s">
        <v>1371</v>
      </c>
    </row>
    <row r="1780" spans="1:3" x14ac:dyDescent="0.25">
      <c r="A1780" s="417">
        <v>41540</v>
      </c>
      <c r="B1780" s="418">
        <v>0.79284722222222215</v>
      </c>
      <c r="C1780" s="421" t="s">
        <v>1344</v>
      </c>
    </row>
    <row r="1781" spans="1:3" x14ac:dyDescent="0.25">
      <c r="A1781" s="417">
        <v>41540</v>
      </c>
      <c r="B1781" s="418">
        <v>0.79284722222222215</v>
      </c>
      <c r="C1781" s="421" t="s">
        <v>1317</v>
      </c>
    </row>
    <row r="1782" spans="1:3" x14ac:dyDescent="0.25">
      <c r="A1782" s="417">
        <v>41540</v>
      </c>
      <c r="B1782" s="418">
        <v>0.79284722222222215</v>
      </c>
      <c r="C1782" s="421" t="s">
        <v>1463</v>
      </c>
    </row>
    <row r="1783" spans="1:3" x14ac:dyDescent="0.25">
      <c r="A1783" s="417">
        <v>41540</v>
      </c>
      <c r="B1783" s="418">
        <v>0.79284722222222215</v>
      </c>
      <c r="C1783" s="421" t="s">
        <v>1378</v>
      </c>
    </row>
    <row r="1784" spans="1:3" ht="60" x14ac:dyDescent="0.25">
      <c r="A1784" s="417">
        <v>41540</v>
      </c>
      <c r="B1784" s="418">
        <v>0.79284722222222215</v>
      </c>
      <c r="C1784" s="946" t="s">
        <v>1538</v>
      </c>
    </row>
    <row r="1785" spans="1:3" x14ac:dyDescent="0.25">
      <c r="A1785" s="417">
        <v>41540</v>
      </c>
      <c r="B1785" s="418">
        <v>0.7928587962962963</v>
      </c>
      <c r="C1785" s="421" t="s">
        <v>1373</v>
      </c>
    </row>
    <row r="1786" spans="1:3" x14ac:dyDescent="0.25">
      <c r="A1786" s="417">
        <v>41540</v>
      </c>
      <c r="B1786" s="418">
        <v>0.7928587962962963</v>
      </c>
      <c r="C1786" s="421" t="s">
        <v>1308</v>
      </c>
    </row>
    <row r="1787" spans="1:3" x14ac:dyDescent="0.25">
      <c r="A1787" s="417">
        <v>41540</v>
      </c>
      <c r="B1787" s="418">
        <v>0.7928587962962963</v>
      </c>
      <c r="C1787" s="421" t="s">
        <v>1374</v>
      </c>
    </row>
    <row r="1788" spans="1:3" x14ac:dyDescent="0.25">
      <c r="A1788" s="417">
        <v>41540</v>
      </c>
      <c r="B1788" s="418">
        <v>0.7928587962962963</v>
      </c>
      <c r="C1788" s="421" t="s">
        <v>1375</v>
      </c>
    </row>
    <row r="1789" spans="1:3" x14ac:dyDescent="0.25">
      <c r="A1789" s="417">
        <v>41540</v>
      </c>
      <c r="B1789" s="418">
        <v>0.7928587962962963</v>
      </c>
      <c r="C1789" s="421" t="s">
        <v>1376</v>
      </c>
    </row>
    <row r="1790" spans="1:3" x14ac:dyDescent="0.25">
      <c r="A1790" s="417">
        <v>41540</v>
      </c>
      <c r="B1790" s="418">
        <v>0.7928587962962963</v>
      </c>
      <c r="C1790" s="421" t="s">
        <v>1377</v>
      </c>
    </row>
    <row r="1791" spans="1:3" x14ac:dyDescent="0.25">
      <c r="A1791" s="417">
        <v>41540</v>
      </c>
      <c r="B1791" s="418">
        <v>0.7928587962962963</v>
      </c>
      <c r="C1791" s="421" t="s">
        <v>1326</v>
      </c>
    </row>
    <row r="1792" spans="1:3" x14ac:dyDescent="0.25">
      <c r="A1792" s="417">
        <v>41540</v>
      </c>
      <c r="B1792" s="418">
        <v>0.7928587962962963</v>
      </c>
      <c r="C1792" s="421" t="s">
        <v>1378</v>
      </c>
    </row>
    <row r="1793" spans="1:3" ht="60" x14ac:dyDescent="0.25">
      <c r="A1793" s="417">
        <v>41540</v>
      </c>
      <c r="B1793" s="418">
        <v>0.7928587962962963</v>
      </c>
      <c r="C1793" s="946" t="s">
        <v>1539</v>
      </c>
    </row>
    <row r="1794" spans="1:3" x14ac:dyDescent="0.25">
      <c r="A1794" s="417">
        <v>41540</v>
      </c>
      <c r="B1794" s="418">
        <v>0.79287037037037045</v>
      </c>
      <c r="C1794" s="421" t="s">
        <v>1380</v>
      </c>
    </row>
    <row r="1795" spans="1:3" x14ac:dyDescent="0.25">
      <c r="A1795" s="417">
        <v>41540</v>
      </c>
      <c r="B1795" s="418">
        <v>0.79287037037037045</v>
      </c>
      <c r="C1795" s="421" t="s">
        <v>1381</v>
      </c>
    </row>
    <row r="1796" spans="1:3" x14ac:dyDescent="0.25">
      <c r="A1796" s="417">
        <v>41540</v>
      </c>
      <c r="B1796" s="418">
        <v>0.79287037037037045</v>
      </c>
      <c r="C1796" s="421" t="s">
        <v>1382</v>
      </c>
    </row>
    <row r="1797" spans="1:3" x14ac:dyDescent="0.25">
      <c r="A1797" s="417">
        <v>41540</v>
      </c>
      <c r="B1797" s="418">
        <v>0.79287037037037045</v>
      </c>
      <c r="C1797" s="421" t="s">
        <v>1383</v>
      </c>
    </row>
    <row r="1798" spans="1:3" x14ac:dyDescent="0.25">
      <c r="A1798" s="417">
        <v>41540</v>
      </c>
      <c r="B1798" s="418">
        <v>0.79287037037037045</v>
      </c>
      <c r="C1798" s="421" t="s">
        <v>1352</v>
      </c>
    </row>
    <row r="1799" spans="1:3" x14ac:dyDescent="0.25">
      <c r="A1799" s="417">
        <v>41540</v>
      </c>
      <c r="B1799" s="418">
        <v>0.79287037037037045</v>
      </c>
      <c r="C1799" s="421" t="s">
        <v>1384</v>
      </c>
    </row>
    <row r="1800" spans="1:3" x14ac:dyDescent="0.25">
      <c r="A1800" s="417">
        <v>41540</v>
      </c>
      <c r="B1800" s="418">
        <v>0.79287037037037045</v>
      </c>
      <c r="C1800" s="421" t="s">
        <v>1385</v>
      </c>
    </row>
    <row r="1801" spans="1:3" x14ac:dyDescent="0.25">
      <c r="A1801" s="417">
        <v>41540</v>
      </c>
      <c r="B1801" s="418">
        <v>0.79287037037037045</v>
      </c>
      <c r="C1801" s="421" t="s">
        <v>1385</v>
      </c>
    </row>
    <row r="1802" spans="1:3" x14ac:dyDescent="0.25">
      <c r="A1802" s="417">
        <v>41540</v>
      </c>
      <c r="B1802" s="418">
        <v>0.79287037037037045</v>
      </c>
      <c r="C1802" s="421" t="s">
        <v>1386</v>
      </c>
    </row>
    <row r="1803" spans="1:3" x14ac:dyDescent="0.25">
      <c r="A1803" s="417">
        <v>41540</v>
      </c>
      <c r="B1803" s="418">
        <v>0.79287037037037045</v>
      </c>
      <c r="C1803" s="421" t="s">
        <v>1387</v>
      </c>
    </row>
    <row r="1804" spans="1:3" x14ac:dyDescent="0.25">
      <c r="A1804" s="417">
        <v>41540</v>
      </c>
      <c r="B1804" s="418">
        <v>0.79287037037037045</v>
      </c>
      <c r="C1804" s="421" t="s">
        <v>1387</v>
      </c>
    </row>
    <row r="1805" spans="1:3" x14ac:dyDescent="0.25">
      <c r="A1805" s="417">
        <v>41540</v>
      </c>
      <c r="B1805" s="418">
        <v>0.79287037037037045</v>
      </c>
      <c r="C1805" s="421" t="s">
        <v>1318</v>
      </c>
    </row>
    <row r="1806" spans="1:3" x14ac:dyDescent="0.25">
      <c r="A1806" s="417">
        <v>41540</v>
      </c>
      <c r="B1806" s="418">
        <v>0.79287037037037045</v>
      </c>
      <c r="C1806" s="421" t="s">
        <v>1388</v>
      </c>
    </row>
    <row r="1807" spans="1:3" x14ac:dyDescent="0.25">
      <c r="A1807" s="417">
        <v>41540</v>
      </c>
      <c r="B1807" s="418">
        <v>0.79287037037037045</v>
      </c>
      <c r="C1807" s="421" t="s">
        <v>1390</v>
      </c>
    </row>
    <row r="1808" spans="1:3" x14ac:dyDescent="0.25">
      <c r="A1808" s="417">
        <v>41540</v>
      </c>
      <c r="B1808" s="418">
        <v>0.79287037037037045</v>
      </c>
      <c r="C1808" s="421" t="s">
        <v>1391</v>
      </c>
    </row>
    <row r="1809" spans="1:3" x14ac:dyDescent="0.25">
      <c r="A1809" s="417">
        <v>41540</v>
      </c>
      <c r="B1809" s="418">
        <v>0.79287037037037045</v>
      </c>
      <c r="C1809" s="421" t="s">
        <v>1392</v>
      </c>
    </row>
    <row r="1810" spans="1:3" x14ac:dyDescent="0.25">
      <c r="A1810" s="417">
        <v>41540</v>
      </c>
      <c r="B1810" s="418">
        <v>0.79287037037037045</v>
      </c>
      <c r="C1810" s="421" t="s">
        <v>1294</v>
      </c>
    </row>
    <row r="1811" spans="1:3" ht="60" x14ac:dyDescent="0.25">
      <c r="A1811" s="417">
        <v>41540</v>
      </c>
      <c r="B1811" s="418">
        <v>0.79287037037037045</v>
      </c>
      <c r="C1811" s="946" t="s">
        <v>1295</v>
      </c>
    </row>
    <row r="1812" spans="1:3" x14ac:dyDescent="0.25">
      <c r="A1812" s="417">
        <v>41540</v>
      </c>
      <c r="B1812" s="418">
        <v>0.79288194444444438</v>
      </c>
      <c r="C1812" s="421" t="s">
        <v>1393</v>
      </c>
    </row>
    <row r="1813" spans="1:3" x14ac:dyDescent="0.25">
      <c r="A1813" s="417">
        <v>41540</v>
      </c>
      <c r="B1813" s="418">
        <v>0.79288194444444438</v>
      </c>
      <c r="C1813" s="421" t="s">
        <v>1394</v>
      </c>
    </row>
    <row r="1814" spans="1:3" x14ac:dyDescent="0.25">
      <c r="A1814" s="417">
        <v>41540</v>
      </c>
      <c r="B1814" s="418">
        <v>0.79288194444444438</v>
      </c>
      <c r="C1814" s="421" t="s">
        <v>1392</v>
      </c>
    </row>
    <row r="1815" spans="1:3" x14ac:dyDescent="0.25">
      <c r="A1815" s="417">
        <v>41540</v>
      </c>
      <c r="B1815" s="418">
        <v>0.79288194444444438</v>
      </c>
      <c r="C1815" s="421" t="s">
        <v>1395</v>
      </c>
    </row>
    <row r="1816" spans="1:3" x14ac:dyDescent="0.25">
      <c r="A1816" s="417">
        <v>41540</v>
      </c>
      <c r="B1816" s="418">
        <v>0.79288194444444438</v>
      </c>
      <c r="C1816" s="421" t="s">
        <v>1396</v>
      </c>
    </row>
    <row r="1817" spans="1:3" x14ac:dyDescent="0.25">
      <c r="A1817" s="417">
        <v>41540</v>
      </c>
      <c r="B1817" s="418">
        <v>0.79288194444444438</v>
      </c>
      <c r="C1817" s="421" t="s">
        <v>1363</v>
      </c>
    </row>
    <row r="1818" spans="1:3" x14ac:dyDescent="0.25">
      <c r="A1818" s="417">
        <v>41540</v>
      </c>
      <c r="B1818" s="418">
        <v>0.79288194444444438</v>
      </c>
      <c r="C1818" s="421" t="s">
        <v>1362</v>
      </c>
    </row>
    <row r="1819" spans="1:3" x14ac:dyDescent="0.25">
      <c r="A1819" s="417">
        <v>41540</v>
      </c>
      <c r="B1819" s="418">
        <v>0.79288194444444438</v>
      </c>
      <c r="C1819" s="421" t="s">
        <v>1397</v>
      </c>
    </row>
    <row r="1820" spans="1:3" x14ac:dyDescent="0.25">
      <c r="A1820" s="417">
        <v>41540</v>
      </c>
      <c r="B1820" s="418">
        <v>0.79288194444444438</v>
      </c>
      <c r="C1820" s="421" t="s">
        <v>1381</v>
      </c>
    </row>
    <row r="1821" spans="1:3" x14ac:dyDescent="0.25">
      <c r="A1821" s="417">
        <v>41540</v>
      </c>
      <c r="B1821" s="418">
        <v>0.79288194444444438</v>
      </c>
      <c r="C1821" s="421" t="s">
        <v>1398</v>
      </c>
    </row>
    <row r="1822" spans="1:3" x14ac:dyDescent="0.25">
      <c r="A1822" s="417">
        <v>41540</v>
      </c>
      <c r="B1822" s="418">
        <v>0.79288194444444438</v>
      </c>
      <c r="C1822" s="421" t="s">
        <v>1399</v>
      </c>
    </row>
    <row r="1823" spans="1:3" x14ac:dyDescent="0.25">
      <c r="A1823" s="417">
        <v>41540</v>
      </c>
      <c r="B1823" s="418">
        <v>0.79288194444444438</v>
      </c>
      <c r="C1823" s="421" t="s">
        <v>1400</v>
      </c>
    </row>
    <row r="1824" spans="1:3" x14ac:dyDescent="0.25">
      <c r="A1824" s="417">
        <v>41540</v>
      </c>
      <c r="B1824" s="418">
        <v>0.79288194444444438</v>
      </c>
      <c r="C1824" s="421" t="s">
        <v>1400</v>
      </c>
    </row>
    <row r="1825" spans="1:3" x14ac:dyDescent="0.25">
      <c r="A1825" s="417">
        <v>41540</v>
      </c>
      <c r="B1825" s="418">
        <v>0.79288194444444438</v>
      </c>
      <c r="C1825" s="421" t="s">
        <v>1373</v>
      </c>
    </row>
    <row r="1826" spans="1:3" x14ac:dyDescent="0.25">
      <c r="A1826" s="417">
        <v>41540</v>
      </c>
      <c r="B1826" s="418">
        <v>0.79288194444444438</v>
      </c>
      <c r="C1826" s="421" t="s">
        <v>1353</v>
      </c>
    </row>
    <row r="1827" spans="1:3" x14ac:dyDescent="0.25">
      <c r="A1827" s="417">
        <v>41540</v>
      </c>
      <c r="B1827" s="418">
        <v>0.79288194444444438</v>
      </c>
      <c r="C1827" s="421" t="s">
        <v>1353</v>
      </c>
    </row>
    <row r="1828" spans="1:3" x14ac:dyDescent="0.25">
      <c r="A1828" s="417">
        <v>41540</v>
      </c>
      <c r="B1828" s="418">
        <v>0.79288194444444438</v>
      </c>
      <c r="C1828" s="421" t="s">
        <v>1401</v>
      </c>
    </row>
    <row r="1829" spans="1:3" x14ac:dyDescent="0.25">
      <c r="A1829" s="417">
        <v>41540</v>
      </c>
      <c r="B1829" s="418">
        <v>0.79288194444444438</v>
      </c>
      <c r="C1829" s="421" t="s">
        <v>1392</v>
      </c>
    </row>
    <row r="1830" spans="1:3" x14ac:dyDescent="0.25">
      <c r="A1830" s="417">
        <v>41540</v>
      </c>
      <c r="B1830" s="418">
        <v>0.79288194444444438</v>
      </c>
      <c r="C1830" s="421" t="s">
        <v>1403</v>
      </c>
    </row>
    <row r="1831" spans="1:3" x14ac:dyDescent="0.25">
      <c r="A1831" s="417">
        <v>41540</v>
      </c>
      <c r="B1831" s="418">
        <v>0.79288194444444438</v>
      </c>
      <c r="C1831" s="421" t="s">
        <v>1403</v>
      </c>
    </row>
    <row r="1832" spans="1:3" x14ac:dyDescent="0.25">
      <c r="A1832" s="417">
        <v>41540</v>
      </c>
      <c r="B1832" s="418">
        <v>0.79288194444444438</v>
      </c>
      <c r="C1832" s="421" t="s">
        <v>1403</v>
      </c>
    </row>
    <row r="1833" spans="1:3" x14ac:dyDescent="0.25">
      <c r="A1833" s="417">
        <v>41540</v>
      </c>
      <c r="B1833" s="418">
        <v>0.79288194444444438</v>
      </c>
      <c r="C1833" s="421" t="s">
        <v>1362</v>
      </c>
    </row>
    <row r="1834" spans="1:3" x14ac:dyDescent="0.25">
      <c r="A1834" s="417">
        <v>41540</v>
      </c>
      <c r="B1834" s="418">
        <v>0.79288194444444438</v>
      </c>
      <c r="C1834" s="421" t="s">
        <v>1364</v>
      </c>
    </row>
    <row r="1835" spans="1:3" x14ac:dyDescent="0.25">
      <c r="A1835" s="417">
        <v>41540</v>
      </c>
      <c r="B1835" s="418">
        <v>0.79288194444444438</v>
      </c>
      <c r="C1835" s="421" t="s">
        <v>1364</v>
      </c>
    </row>
    <row r="1836" spans="1:3" x14ac:dyDescent="0.25">
      <c r="A1836" s="417">
        <v>41540</v>
      </c>
      <c r="B1836" s="418">
        <v>0.79288194444444438</v>
      </c>
      <c r="C1836" s="421" t="s">
        <v>1381</v>
      </c>
    </row>
    <row r="1837" spans="1:3" x14ac:dyDescent="0.25">
      <c r="A1837" s="417">
        <v>41540</v>
      </c>
      <c r="B1837" s="418">
        <v>0.79288194444444438</v>
      </c>
      <c r="C1837" s="421" t="s">
        <v>1364</v>
      </c>
    </row>
    <row r="1838" spans="1:3" x14ac:dyDescent="0.25">
      <c r="A1838" s="417">
        <v>41540</v>
      </c>
      <c r="B1838" s="418">
        <v>0.79288194444444438</v>
      </c>
      <c r="C1838" s="421" t="s">
        <v>1480</v>
      </c>
    </row>
    <row r="1839" spans="1:3" x14ac:dyDescent="0.25">
      <c r="A1839" s="417">
        <v>41540</v>
      </c>
      <c r="B1839" s="418">
        <v>0.79288194444444438</v>
      </c>
      <c r="C1839" s="421" t="s">
        <v>1480</v>
      </c>
    </row>
    <row r="1840" spans="1:3" x14ac:dyDescent="0.25">
      <c r="A1840" s="417">
        <v>41540</v>
      </c>
      <c r="B1840" s="418">
        <v>0.79288194444444438</v>
      </c>
      <c r="C1840" s="421" t="s">
        <v>1480</v>
      </c>
    </row>
    <row r="1841" spans="1:3" x14ac:dyDescent="0.25">
      <c r="A1841" s="417">
        <v>41540</v>
      </c>
      <c r="B1841" s="418">
        <v>0.79288194444444438</v>
      </c>
      <c r="C1841" s="421" t="s">
        <v>1540</v>
      </c>
    </row>
    <row r="1842" spans="1:3" x14ac:dyDescent="0.25">
      <c r="A1842" s="417">
        <v>41540</v>
      </c>
      <c r="B1842" s="418">
        <v>0.79288194444444438</v>
      </c>
      <c r="C1842" s="421" t="s">
        <v>1541</v>
      </c>
    </row>
    <row r="1843" spans="1:3" x14ac:dyDescent="0.25">
      <c r="A1843" s="417">
        <v>41540</v>
      </c>
      <c r="B1843" s="418">
        <v>0.79288194444444438</v>
      </c>
      <c r="C1843" s="421" t="s">
        <v>1346</v>
      </c>
    </row>
    <row r="1844" spans="1:3" x14ac:dyDescent="0.25">
      <c r="A1844" s="417">
        <v>41540</v>
      </c>
      <c r="B1844" s="418">
        <v>0.79288194444444438</v>
      </c>
      <c r="C1844" s="421" t="s">
        <v>1405</v>
      </c>
    </row>
    <row r="1845" spans="1:3" x14ac:dyDescent="0.25">
      <c r="A1845" s="417">
        <v>41540</v>
      </c>
      <c r="B1845" s="418">
        <v>0.79288194444444438</v>
      </c>
      <c r="C1845" s="421" t="s">
        <v>1406</v>
      </c>
    </row>
    <row r="1846" spans="1:3" x14ac:dyDescent="0.25">
      <c r="A1846" s="417">
        <v>41540</v>
      </c>
      <c r="B1846" s="418">
        <v>0.79288194444444438</v>
      </c>
      <c r="C1846" s="421" t="s">
        <v>1362</v>
      </c>
    </row>
    <row r="1847" spans="1:3" x14ac:dyDescent="0.25">
      <c r="A1847" s="417">
        <v>41540</v>
      </c>
      <c r="B1847" s="418">
        <v>0.79288194444444438</v>
      </c>
      <c r="C1847" s="421" t="s">
        <v>1542</v>
      </c>
    </row>
    <row r="1848" spans="1:3" x14ac:dyDescent="0.25">
      <c r="A1848" s="417">
        <v>41540</v>
      </c>
      <c r="B1848" s="418">
        <v>0.79288194444444438</v>
      </c>
      <c r="C1848" s="421" t="s">
        <v>1318</v>
      </c>
    </row>
    <row r="1849" spans="1:3" x14ac:dyDescent="0.25">
      <c r="A1849" s="417">
        <v>41540</v>
      </c>
      <c r="B1849" s="418">
        <v>0.79288194444444438</v>
      </c>
      <c r="C1849" s="421" t="s">
        <v>1368</v>
      </c>
    </row>
    <row r="1850" spans="1:3" x14ac:dyDescent="0.25">
      <c r="A1850" s="417">
        <v>41540</v>
      </c>
      <c r="B1850" s="418">
        <v>0.79288194444444438</v>
      </c>
      <c r="C1850" s="421" t="s">
        <v>1368</v>
      </c>
    </row>
    <row r="1851" spans="1:3" x14ac:dyDescent="0.25">
      <c r="A1851" s="417">
        <v>41540</v>
      </c>
      <c r="B1851" s="418">
        <v>0.79288194444444438</v>
      </c>
      <c r="C1851" s="421" t="s">
        <v>1368</v>
      </c>
    </row>
    <row r="1852" spans="1:3" x14ac:dyDescent="0.25">
      <c r="A1852" s="417">
        <v>41540</v>
      </c>
      <c r="B1852" s="418">
        <v>0.79288194444444438</v>
      </c>
      <c r="C1852" s="421" t="s">
        <v>1368</v>
      </c>
    </row>
    <row r="1853" spans="1:3" x14ac:dyDescent="0.25">
      <c r="A1853" s="417">
        <v>41540</v>
      </c>
      <c r="B1853" s="418">
        <v>0.79288194444444438</v>
      </c>
      <c r="C1853" s="421" t="s">
        <v>1368</v>
      </c>
    </row>
    <row r="1854" spans="1:3" x14ac:dyDescent="0.25">
      <c r="A1854" s="417">
        <v>41540</v>
      </c>
      <c r="B1854" s="418">
        <v>0.79288194444444438</v>
      </c>
      <c r="C1854" s="421" t="s">
        <v>1409</v>
      </c>
    </row>
    <row r="1855" spans="1:3" x14ac:dyDescent="0.25">
      <c r="A1855" s="417">
        <v>41540</v>
      </c>
      <c r="B1855" s="418">
        <v>0.79288194444444438</v>
      </c>
      <c r="C1855" s="421" t="s">
        <v>1308</v>
      </c>
    </row>
    <row r="1856" spans="1:3" x14ac:dyDescent="0.25">
      <c r="A1856" s="417">
        <v>41540</v>
      </c>
      <c r="B1856" s="418">
        <v>0.79289351851851853</v>
      </c>
      <c r="C1856" s="421" t="s">
        <v>1410</v>
      </c>
    </row>
    <row r="1857" spans="1:3" x14ac:dyDescent="0.25">
      <c r="A1857" s="417">
        <v>41540</v>
      </c>
      <c r="B1857" s="418">
        <v>0.79289351851851853</v>
      </c>
      <c r="C1857" s="421" t="s">
        <v>1410</v>
      </c>
    </row>
    <row r="1858" spans="1:3" x14ac:dyDescent="0.25">
      <c r="A1858" s="417">
        <v>41540</v>
      </c>
      <c r="B1858" s="418">
        <v>0.79289351851851853</v>
      </c>
      <c r="C1858" s="421" t="s">
        <v>1411</v>
      </c>
    </row>
    <row r="1859" spans="1:3" x14ac:dyDescent="0.25">
      <c r="A1859" s="417">
        <v>41540</v>
      </c>
      <c r="B1859" s="418">
        <v>0.79289351851851853</v>
      </c>
      <c r="C1859" s="421" t="s">
        <v>1543</v>
      </c>
    </row>
    <row r="1860" spans="1:3" x14ac:dyDescent="0.25">
      <c r="A1860" s="417">
        <v>41540</v>
      </c>
      <c r="B1860" s="418">
        <v>0.79289351851851853</v>
      </c>
      <c r="C1860" s="421" t="s">
        <v>1413</v>
      </c>
    </row>
    <row r="1861" spans="1:3" x14ac:dyDescent="0.25">
      <c r="A1861" s="417">
        <v>41540</v>
      </c>
      <c r="B1861" s="418">
        <v>0.79289351851851853</v>
      </c>
      <c r="C1861" s="421" t="s">
        <v>1414</v>
      </c>
    </row>
    <row r="1862" spans="1:3" x14ac:dyDescent="0.25">
      <c r="A1862" s="417">
        <v>41540</v>
      </c>
      <c r="B1862" s="418">
        <v>0.79289351851851853</v>
      </c>
      <c r="C1862" s="421" t="s">
        <v>1373</v>
      </c>
    </row>
    <row r="1863" spans="1:3" x14ac:dyDescent="0.25">
      <c r="A1863" s="417">
        <v>41540</v>
      </c>
      <c r="B1863" s="418">
        <v>0.79289351851851853</v>
      </c>
      <c r="C1863" s="421" t="s">
        <v>1544</v>
      </c>
    </row>
    <row r="1864" spans="1:3" x14ac:dyDescent="0.25">
      <c r="A1864" s="417">
        <v>41540</v>
      </c>
      <c r="B1864" s="418">
        <v>0.79289351851851853</v>
      </c>
      <c r="C1864" s="421" t="s">
        <v>1409</v>
      </c>
    </row>
    <row r="1865" spans="1:3" x14ac:dyDescent="0.25">
      <c r="A1865" s="417">
        <v>41540</v>
      </c>
      <c r="B1865" s="418">
        <v>0.79289351851851853</v>
      </c>
      <c r="C1865" s="421" t="s">
        <v>1416</v>
      </c>
    </row>
    <row r="1866" spans="1:3" x14ac:dyDescent="0.25">
      <c r="A1866" s="417">
        <v>41540</v>
      </c>
      <c r="B1866" s="418">
        <v>0.79289351851851853</v>
      </c>
      <c r="C1866" s="421" t="s">
        <v>1545</v>
      </c>
    </row>
    <row r="1867" spans="1:3" x14ac:dyDescent="0.25">
      <c r="A1867" s="417">
        <v>41540</v>
      </c>
      <c r="B1867" s="418">
        <v>0.79289351851851853</v>
      </c>
      <c r="C1867" s="421" t="s">
        <v>1348</v>
      </c>
    </row>
    <row r="1868" spans="1:3" x14ac:dyDescent="0.25">
      <c r="A1868" s="417">
        <v>41540</v>
      </c>
      <c r="B1868" s="418">
        <v>0.79289351851851853</v>
      </c>
      <c r="C1868" s="421" t="s">
        <v>1419</v>
      </c>
    </row>
    <row r="1869" spans="1:3" x14ac:dyDescent="0.25">
      <c r="A1869" s="417">
        <v>41540</v>
      </c>
      <c r="B1869" s="418">
        <v>0.79289351851851853</v>
      </c>
      <c r="C1869" s="421" t="s">
        <v>1419</v>
      </c>
    </row>
    <row r="1870" spans="1:3" x14ac:dyDescent="0.25">
      <c r="A1870" s="417">
        <v>41540</v>
      </c>
      <c r="B1870" s="418">
        <v>0.79289351851851853</v>
      </c>
      <c r="C1870" s="421" t="s">
        <v>1420</v>
      </c>
    </row>
    <row r="1871" spans="1:3" x14ac:dyDescent="0.25">
      <c r="A1871" s="417">
        <v>41540</v>
      </c>
      <c r="B1871" s="418">
        <v>0.79289351851851853</v>
      </c>
      <c r="C1871" s="421" t="s">
        <v>1546</v>
      </c>
    </row>
    <row r="1872" spans="1:3" x14ac:dyDescent="0.25">
      <c r="A1872" s="417">
        <v>41540</v>
      </c>
      <c r="B1872" s="418">
        <v>0.79289351851851853</v>
      </c>
      <c r="C1872" s="421" t="s">
        <v>1547</v>
      </c>
    </row>
    <row r="1873" spans="1:3" x14ac:dyDescent="0.25">
      <c r="A1873" s="417">
        <v>41540</v>
      </c>
      <c r="B1873" s="418">
        <v>0.79289351851851853</v>
      </c>
      <c r="C1873" s="421" t="s">
        <v>1548</v>
      </c>
    </row>
    <row r="1874" spans="1:3" x14ac:dyDescent="0.25">
      <c r="A1874" s="417">
        <v>41540</v>
      </c>
      <c r="B1874" s="418">
        <v>0.79289351851851853</v>
      </c>
      <c r="C1874" s="421" t="s">
        <v>1549</v>
      </c>
    </row>
    <row r="1875" spans="1:3" x14ac:dyDescent="0.25">
      <c r="A1875" s="417">
        <v>41540</v>
      </c>
      <c r="B1875" s="418">
        <v>0.79289351851851853</v>
      </c>
      <c r="C1875" s="421" t="s">
        <v>1550</v>
      </c>
    </row>
    <row r="1876" spans="1:3" x14ac:dyDescent="0.25">
      <c r="A1876" s="417">
        <v>41540</v>
      </c>
      <c r="B1876" s="418">
        <v>0.79289351851851853</v>
      </c>
      <c r="C1876" s="421" t="s">
        <v>1551</v>
      </c>
    </row>
    <row r="1877" spans="1:3" x14ac:dyDescent="0.25">
      <c r="A1877" s="417">
        <v>41540</v>
      </c>
      <c r="B1877" s="418">
        <v>0.79289351851851853</v>
      </c>
      <c r="C1877" s="421" t="s">
        <v>1552</v>
      </c>
    </row>
    <row r="1878" spans="1:3" x14ac:dyDescent="0.25">
      <c r="A1878" s="417">
        <v>41540</v>
      </c>
      <c r="B1878" s="418">
        <v>0.79289351851851853</v>
      </c>
      <c r="C1878" s="421" t="s">
        <v>1553</v>
      </c>
    </row>
    <row r="1879" spans="1:3" x14ac:dyDescent="0.25">
      <c r="A1879" s="417">
        <v>41540</v>
      </c>
      <c r="B1879" s="418">
        <v>0.79289351851851853</v>
      </c>
      <c r="C1879" s="421" t="s">
        <v>1320</v>
      </c>
    </row>
    <row r="1880" spans="1:3" x14ac:dyDescent="0.25">
      <c r="A1880" s="417">
        <v>41540</v>
      </c>
      <c r="B1880" s="418">
        <v>0.79289351851851853</v>
      </c>
      <c r="C1880" s="421" t="s">
        <v>1429</v>
      </c>
    </row>
    <row r="1881" spans="1:3" x14ac:dyDescent="0.25">
      <c r="A1881" s="417">
        <v>41540</v>
      </c>
      <c r="B1881" s="418">
        <v>0.79289351851851853</v>
      </c>
      <c r="C1881" s="421" t="s">
        <v>1430</v>
      </c>
    </row>
    <row r="1882" spans="1:3" x14ac:dyDescent="0.25">
      <c r="A1882" s="417">
        <v>41540</v>
      </c>
      <c r="B1882" s="418">
        <v>0.79289351851851853</v>
      </c>
      <c r="C1882" s="421" t="s">
        <v>1554</v>
      </c>
    </row>
    <row r="1883" spans="1:3" x14ac:dyDescent="0.25">
      <c r="A1883" s="417">
        <v>41540</v>
      </c>
      <c r="B1883" s="418">
        <v>0.79289351851851853</v>
      </c>
      <c r="C1883" s="421" t="s">
        <v>1308</v>
      </c>
    </row>
    <row r="1884" spans="1:3" x14ac:dyDescent="0.25">
      <c r="A1884" s="417">
        <v>41540</v>
      </c>
      <c r="B1884" s="418">
        <v>0.79289351851851853</v>
      </c>
      <c r="C1884" s="421" t="s">
        <v>1360</v>
      </c>
    </row>
    <row r="1885" spans="1:3" x14ac:dyDescent="0.25">
      <c r="A1885" s="417">
        <v>41540</v>
      </c>
      <c r="B1885" s="418">
        <v>0.79289351851851853</v>
      </c>
      <c r="C1885" s="421" t="s">
        <v>1432</v>
      </c>
    </row>
    <row r="1886" spans="1:3" x14ac:dyDescent="0.25">
      <c r="A1886" s="417">
        <v>41540</v>
      </c>
      <c r="B1886" s="418">
        <v>0.79289351851851853</v>
      </c>
      <c r="C1886" s="421" t="s">
        <v>1432</v>
      </c>
    </row>
    <row r="1887" spans="1:3" x14ac:dyDescent="0.25">
      <c r="A1887" s="417">
        <v>41540</v>
      </c>
      <c r="B1887" s="418">
        <v>0.79289351851851853</v>
      </c>
      <c r="C1887" s="421" t="s">
        <v>1432</v>
      </c>
    </row>
    <row r="1888" spans="1:3" x14ac:dyDescent="0.25">
      <c r="A1888" s="417">
        <v>41540</v>
      </c>
      <c r="B1888" s="418">
        <v>0.79289351851851853</v>
      </c>
      <c r="C1888" s="421" t="s">
        <v>1281</v>
      </c>
    </row>
    <row r="1889" spans="1:3" ht="60" x14ac:dyDescent="0.25">
      <c r="A1889" s="417">
        <v>41540</v>
      </c>
      <c r="B1889" s="418">
        <v>0.79289351851851853</v>
      </c>
      <c r="C1889" s="946" t="s">
        <v>1282</v>
      </c>
    </row>
    <row r="1890" spans="1:3" x14ac:dyDescent="0.25">
      <c r="A1890" s="417">
        <v>41540</v>
      </c>
      <c r="B1890" s="418">
        <v>0.79290509259259256</v>
      </c>
      <c r="C1890" s="421" t="s">
        <v>1413</v>
      </c>
    </row>
    <row r="1891" spans="1:3" x14ac:dyDescent="0.25">
      <c r="A1891" s="417">
        <v>41540</v>
      </c>
      <c r="B1891" s="418">
        <v>0.79290509259259256</v>
      </c>
      <c r="C1891" s="421" t="s">
        <v>1499</v>
      </c>
    </row>
    <row r="1892" spans="1:3" x14ac:dyDescent="0.25">
      <c r="A1892" s="417">
        <v>41540</v>
      </c>
      <c r="B1892" s="418">
        <v>0.79290509259259256</v>
      </c>
      <c r="C1892" s="421" t="s">
        <v>1555</v>
      </c>
    </row>
    <row r="1893" spans="1:3" x14ac:dyDescent="0.25">
      <c r="A1893" s="417">
        <v>41540</v>
      </c>
      <c r="B1893" s="418">
        <v>0.79290509259259256</v>
      </c>
      <c r="C1893" s="421" t="s">
        <v>1556</v>
      </c>
    </row>
    <row r="1894" spans="1:3" x14ac:dyDescent="0.25">
      <c r="A1894" s="417">
        <v>41540</v>
      </c>
      <c r="B1894" s="418">
        <v>0.79290509259259256</v>
      </c>
      <c r="C1894" s="421" t="s">
        <v>1557</v>
      </c>
    </row>
    <row r="1895" spans="1:3" x14ac:dyDescent="0.25">
      <c r="A1895" s="417">
        <v>41540</v>
      </c>
      <c r="B1895" s="418">
        <v>0.79290509259259256</v>
      </c>
      <c r="C1895" s="421" t="s">
        <v>1558</v>
      </c>
    </row>
    <row r="1896" spans="1:3" x14ac:dyDescent="0.25">
      <c r="A1896" s="417">
        <v>41540</v>
      </c>
      <c r="B1896" s="418">
        <v>0.79290509259259256</v>
      </c>
      <c r="C1896" s="421" t="s">
        <v>1559</v>
      </c>
    </row>
    <row r="1897" spans="1:3" x14ac:dyDescent="0.25">
      <c r="A1897" s="417">
        <v>41540</v>
      </c>
      <c r="B1897" s="418">
        <v>0.79290509259259256</v>
      </c>
      <c r="C1897" s="421" t="s">
        <v>1560</v>
      </c>
    </row>
    <row r="1898" spans="1:3" x14ac:dyDescent="0.25">
      <c r="A1898" s="417">
        <v>41540</v>
      </c>
      <c r="B1898" s="418">
        <v>0.79290509259259256</v>
      </c>
      <c r="C1898" s="421" t="s">
        <v>1561</v>
      </c>
    </row>
    <row r="1899" spans="1:3" x14ac:dyDescent="0.25">
      <c r="A1899" s="417">
        <v>41540</v>
      </c>
      <c r="B1899" s="418">
        <v>0.79290509259259256</v>
      </c>
      <c r="C1899" s="421" t="s">
        <v>1562</v>
      </c>
    </row>
    <row r="1900" spans="1:3" x14ac:dyDescent="0.25">
      <c r="A1900" s="417">
        <v>41540</v>
      </c>
      <c r="B1900" s="418">
        <v>0.79290509259259256</v>
      </c>
      <c r="C1900" s="421" t="s">
        <v>1320</v>
      </c>
    </row>
    <row r="1901" spans="1:3" x14ac:dyDescent="0.25">
      <c r="A1901" s="417">
        <v>41540</v>
      </c>
      <c r="B1901" s="418">
        <v>0.79290509259259256</v>
      </c>
      <c r="C1901" s="421" t="s">
        <v>1563</v>
      </c>
    </row>
    <row r="1902" spans="1:3" x14ac:dyDescent="0.25">
      <c r="A1902" s="417">
        <v>41540</v>
      </c>
      <c r="B1902" s="418">
        <v>0.79290509259259256</v>
      </c>
      <c r="C1902" s="421" t="s">
        <v>1564</v>
      </c>
    </row>
    <row r="1903" spans="1:3" x14ac:dyDescent="0.25">
      <c r="A1903" s="417">
        <v>41540</v>
      </c>
      <c r="B1903" s="418">
        <v>0.79290509259259256</v>
      </c>
      <c r="C1903" s="421" t="s">
        <v>1565</v>
      </c>
    </row>
    <row r="1904" spans="1:3" x14ac:dyDescent="0.25">
      <c r="A1904" s="417">
        <v>41540</v>
      </c>
      <c r="B1904" s="418">
        <v>0.79290509259259256</v>
      </c>
      <c r="C1904" s="421" t="s">
        <v>1566</v>
      </c>
    </row>
    <row r="1905" spans="1:3" x14ac:dyDescent="0.25">
      <c r="A1905" s="417">
        <v>41540</v>
      </c>
      <c r="B1905" s="418">
        <v>0.79290509259259256</v>
      </c>
      <c r="C1905" s="421" t="s">
        <v>1446</v>
      </c>
    </row>
    <row r="1906" spans="1:3" x14ac:dyDescent="0.25">
      <c r="A1906" s="417">
        <v>41540</v>
      </c>
      <c r="B1906" s="418">
        <v>0.79290509259259256</v>
      </c>
      <c r="C1906" s="421" t="s">
        <v>1238</v>
      </c>
    </row>
    <row r="1907" spans="1:3" x14ac:dyDescent="0.25">
      <c r="A1907" s="417">
        <v>41540</v>
      </c>
      <c r="B1907" s="418">
        <v>0.79290509259259256</v>
      </c>
      <c r="C1907" s="421" t="s">
        <v>1567</v>
      </c>
    </row>
    <row r="1908" spans="1:3" x14ac:dyDescent="0.25">
      <c r="A1908" s="417">
        <v>41540</v>
      </c>
      <c r="B1908" s="418">
        <v>0.79290509259259256</v>
      </c>
      <c r="C1908" s="421" t="s">
        <v>1389</v>
      </c>
    </row>
    <row r="1909" spans="1:3" x14ac:dyDescent="0.25">
      <c r="A1909" s="417">
        <v>41540</v>
      </c>
      <c r="B1909" s="418">
        <v>0.79290509259259256</v>
      </c>
      <c r="C1909" s="421" t="s">
        <v>1448</v>
      </c>
    </row>
    <row r="1910" spans="1:3" x14ac:dyDescent="0.25">
      <c r="A1910" s="417">
        <v>41540</v>
      </c>
      <c r="B1910" s="418">
        <v>0.79290509259259256</v>
      </c>
      <c r="C1910" s="421" t="s">
        <v>1450</v>
      </c>
    </row>
    <row r="1911" spans="1:3" x14ac:dyDescent="0.25">
      <c r="A1911" s="417">
        <v>41540</v>
      </c>
      <c r="B1911" s="418">
        <v>0.79290509259259256</v>
      </c>
      <c r="C1911" s="421" t="s">
        <v>1450</v>
      </c>
    </row>
    <row r="1912" spans="1:3" x14ac:dyDescent="0.25">
      <c r="A1912" s="417">
        <v>41540</v>
      </c>
      <c r="B1912" s="418">
        <v>0.79290509259259256</v>
      </c>
      <c r="C1912" s="421" t="s">
        <v>1450</v>
      </c>
    </row>
    <row r="1913" spans="1:3" x14ac:dyDescent="0.25">
      <c r="A1913" s="417">
        <v>41540</v>
      </c>
      <c r="B1913" s="418">
        <v>0.79290509259259256</v>
      </c>
      <c r="C1913" s="421" t="s">
        <v>1450</v>
      </c>
    </row>
    <row r="1914" spans="1:3" x14ac:dyDescent="0.25">
      <c r="A1914" s="417">
        <v>41540</v>
      </c>
      <c r="B1914" s="418">
        <v>0.79290509259259256</v>
      </c>
      <c r="C1914" s="421" t="s">
        <v>1450</v>
      </c>
    </row>
    <row r="1915" spans="1:3" x14ac:dyDescent="0.25">
      <c r="A1915" s="417">
        <v>41540</v>
      </c>
      <c r="B1915" s="418">
        <v>0.79290509259259256</v>
      </c>
      <c r="C1915" s="421" t="s">
        <v>1450</v>
      </c>
    </row>
    <row r="1916" spans="1:3" x14ac:dyDescent="0.25">
      <c r="A1916" s="417">
        <v>41540</v>
      </c>
      <c r="B1916" s="418">
        <v>0.79290509259259256</v>
      </c>
      <c r="C1916" s="421" t="s">
        <v>1450</v>
      </c>
    </row>
    <row r="1917" spans="1:3" x14ac:dyDescent="0.25">
      <c r="A1917" s="417">
        <v>41540</v>
      </c>
      <c r="B1917" s="418">
        <v>0.79290509259259256</v>
      </c>
      <c r="C1917" s="421" t="s">
        <v>1448</v>
      </c>
    </row>
    <row r="1918" spans="1:3" x14ac:dyDescent="0.25">
      <c r="A1918" s="417">
        <v>41540</v>
      </c>
      <c r="B1918" s="418">
        <v>0.79290509259259256</v>
      </c>
      <c r="C1918" s="421" t="s">
        <v>1399</v>
      </c>
    </row>
    <row r="1919" spans="1:3" x14ac:dyDescent="0.25">
      <c r="A1919" s="417">
        <v>41540</v>
      </c>
      <c r="B1919" s="418">
        <v>0.79290509259259256</v>
      </c>
      <c r="C1919" s="421" t="s">
        <v>1309</v>
      </c>
    </row>
    <row r="1920" spans="1:3" x14ac:dyDescent="0.25">
      <c r="A1920" s="417">
        <v>41540</v>
      </c>
      <c r="B1920" s="418">
        <v>0.79291666666666671</v>
      </c>
      <c r="C1920" s="421" t="s">
        <v>1568</v>
      </c>
    </row>
    <row r="1921" spans="1:3" x14ac:dyDescent="0.25">
      <c r="A1921" s="417">
        <v>41540</v>
      </c>
      <c r="B1921" s="418">
        <v>0.79291666666666671</v>
      </c>
      <c r="C1921" s="421" t="s">
        <v>1569</v>
      </c>
    </row>
    <row r="1922" spans="1:3" x14ac:dyDescent="0.25">
      <c r="A1922" s="417">
        <v>41540</v>
      </c>
      <c r="B1922" s="418">
        <v>0.79291666666666671</v>
      </c>
      <c r="C1922" s="421" t="s">
        <v>1535</v>
      </c>
    </row>
    <row r="1923" spans="1:3" x14ac:dyDescent="0.25">
      <c r="A1923" s="417">
        <v>41540</v>
      </c>
      <c r="B1923" s="418">
        <v>0.79291666666666671</v>
      </c>
      <c r="C1923" s="421" t="s">
        <v>1570</v>
      </c>
    </row>
    <row r="1924" spans="1:3" x14ac:dyDescent="0.25">
      <c r="A1924" s="417">
        <v>41540</v>
      </c>
      <c r="B1924" s="418">
        <v>0.79291666666666671</v>
      </c>
      <c r="C1924" s="421" t="s">
        <v>1571</v>
      </c>
    </row>
    <row r="1925" spans="1:3" ht="45" x14ac:dyDescent="0.25">
      <c r="A1925" s="417">
        <v>41540</v>
      </c>
      <c r="B1925" s="418">
        <v>0.83429398148148148</v>
      </c>
      <c r="C1925" s="946" t="s">
        <v>1532</v>
      </c>
    </row>
    <row r="1926" spans="1:3" ht="30" x14ac:dyDescent="0.25">
      <c r="A1926" s="417">
        <v>41540</v>
      </c>
      <c r="B1926" s="418">
        <v>0.83437499999999998</v>
      </c>
      <c r="C1926" s="946" t="s">
        <v>1572</v>
      </c>
    </row>
    <row r="1927" spans="1:3" ht="45" x14ac:dyDescent="0.25">
      <c r="A1927" s="417">
        <v>41540</v>
      </c>
      <c r="B1927" s="418">
        <v>0.83447916666666666</v>
      </c>
      <c r="C1927" s="946" t="s">
        <v>1573</v>
      </c>
    </row>
    <row r="1928" spans="1:3" x14ac:dyDescent="0.25">
      <c r="A1928" s="417">
        <v>41540</v>
      </c>
      <c r="B1928" s="418">
        <v>0.83510416666666665</v>
      </c>
      <c r="C1928" s="421" t="s">
        <v>1535</v>
      </c>
    </row>
    <row r="1929" spans="1:3" x14ac:dyDescent="0.25">
      <c r="A1929" s="417">
        <v>41540</v>
      </c>
      <c r="B1929" s="418">
        <v>0.83510416666666665</v>
      </c>
      <c r="C1929" s="421" t="s">
        <v>1346</v>
      </c>
    </row>
    <row r="1930" spans="1:3" x14ac:dyDescent="0.25">
      <c r="A1930" s="417">
        <v>41540</v>
      </c>
      <c r="B1930" s="418">
        <v>0.83510416666666665</v>
      </c>
      <c r="C1930" s="421" t="s">
        <v>1238</v>
      </c>
    </row>
    <row r="1931" spans="1:3" x14ac:dyDescent="0.25">
      <c r="A1931" s="417">
        <v>41540</v>
      </c>
      <c r="B1931" s="418">
        <v>0.83510416666666665</v>
      </c>
      <c r="C1931" s="421" t="s">
        <v>1307</v>
      </c>
    </row>
    <row r="1932" spans="1:3" x14ac:dyDescent="0.25">
      <c r="A1932" s="417">
        <v>41540</v>
      </c>
      <c r="B1932" s="418">
        <v>0.83510416666666665</v>
      </c>
      <c r="C1932" s="421" t="s">
        <v>1308</v>
      </c>
    </row>
    <row r="1933" spans="1:3" x14ac:dyDescent="0.25">
      <c r="A1933" s="417">
        <v>41540</v>
      </c>
      <c r="B1933" s="418">
        <v>0.83510416666666665</v>
      </c>
      <c r="C1933" s="421" t="s">
        <v>1309</v>
      </c>
    </row>
    <row r="1934" spans="1:3" x14ac:dyDescent="0.25">
      <c r="A1934" s="417">
        <v>41540</v>
      </c>
      <c r="B1934" s="418">
        <v>0.83510416666666665</v>
      </c>
      <c r="C1934" s="421" t="s">
        <v>1310</v>
      </c>
    </row>
    <row r="1935" spans="1:3" x14ac:dyDescent="0.25">
      <c r="A1935" s="417">
        <v>41540</v>
      </c>
      <c r="B1935" s="418">
        <v>0.83510416666666665</v>
      </c>
      <c r="C1935" s="421" t="s">
        <v>1311</v>
      </c>
    </row>
    <row r="1936" spans="1:3" x14ac:dyDescent="0.25">
      <c r="A1936" s="417">
        <v>41540</v>
      </c>
      <c r="B1936" s="418">
        <v>0.83510416666666665</v>
      </c>
      <c r="C1936" s="421" t="s">
        <v>1312</v>
      </c>
    </row>
    <row r="1937" spans="1:3" x14ac:dyDescent="0.25">
      <c r="A1937" s="417">
        <v>41540</v>
      </c>
      <c r="B1937" s="418">
        <v>0.83510416666666665</v>
      </c>
      <c r="C1937" s="421" t="s">
        <v>1313</v>
      </c>
    </row>
    <row r="1938" spans="1:3" x14ac:dyDescent="0.25">
      <c r="A1938" s="417">
        <v>41540</v>
      </c>
      <c r="B1938" s="418">
        <v>0.83510416666666665</v>
      </c>
      <c r="C1938" s="421" t="s">
        <v>1310</v>
      </c>
    </row>
    <row r="1939" spans="1:3" x14ac:dyDescent="0.25">
      <c r="A1939" s="417">
        <v>41540</v>
      </c>
      <c r="B1939" s="418">
        <v>0.83510416666666665</v>
      </c>
      <c r="C1939" s="421" t="s">
        <v>1314</v>
      </c>
    </row>
    <row r="1940" spans="1:3" x14ac:dyDescent="0.25">
      <c r="A1940" s="417">
        <v>41540</v>
      </c>
      <c r="B1940" s="418">
        <v>0.83510416666666665</v>
      </c>
      <c r="C1940" s="421" t="s">
        <v>1315</v>
      </c>
    </row>
    <row r="1941" spans="1:3" x14ac:dyDescent="0.25">
      <c r="A1941" s="417">
        <v>41540</v>
      </c>
      <c r="B1941" s="418">
        <v>0.83510416666666665</v>
      </c>
      <c r="C1941" s="421" t="s">
        <v>1460</v>
      </c>
    </row>
    <row r="1942" spans="1:3" x14ac:dyDescent="0.25">
      <c r="A1942" s="417">
        <v>41540</v>
      </c>
      <c r="B1942" s="418">
        <v>0.83510416666666665</v>
      </c>
      <c r="C1942" s="421" t="s">
        <v>1461</v>
      </c>
    </row>
    <row r="1943" spans="1:3" x14ac:dyDescent="0.25">
      <c r="A1943" s="417">
        <v>41540</v>
      </c>
      <c r="B1943" s="418">
        <v>0.83510416666666665</v>
      </c>
      <c r="C1943" s="421" t="s">
        <v>1310</v>
      </c>
    </row>
    <row r="1944" spans="1:3" x14ac:dyDescent="0.25">
      <c r="A1944" s="417">
        <v>41540</v>
      </c>
      <c r="B1944" s="418">
        <v>0.83510416666666665</v>
      </c>
      <c r="C1944" s="421" t="s">
        <v>1238</v>
      </c>
    </row>
    <row r="1945" spans="1:3" x14ac:dyDescent="0.25">
      <c r="A1945" s="417">
        <v>41540</v>
      </c>
      <c r="B1945" s="418">
        <v>0.83510416666666665</v>
      </c>
      <c r="C1945" s="421" t="s">
        <v>1462</v>
      </c>
    </row>
    <row r="1946" spans="1:3" x14ac:dyDescent="0.25">
      <c r="A1946" s="417">
        <v>41540</v>
      </c>
      <c r="B1946" s="418">
        <v>0.83510416666666665</v>
      </c>
      <c r="C1946" s="421" t="s">
        <v>1316</v>
      </c>
    </row>
    <row r="1947" spans="1:3" x14ac:dyDescent="0.25">
      <c r="A1947" s="417">
        <v>41540</v>
      </c>
      <c r="B1947" s="418">
        <v>0.83510416666666665</v>
      </c>
      <c r="C1947" s="421" t="s">
        <v>1316</v>
      </c>
    </row>
    <row r="1948" spans="1:3" x14ac:dyDescent="0.25">
      <c r="A1948" s="417">
        <v>41540</v>
      </c>
      <c r="B1948" s="418">
        <v>0.83510416666666665</v>
      </c>
      <c r="C1948" s="421" t="s">
        <v>1317</v>
      </c>
    </row>
    <row r="1949" spans="1:3" x14ac:dyDescent="0.25">
      <c r="A1949" s="417">
        <v>41540</v>
      </c>
      <c r="B1949" s="418">
        <v>0.83510416666666665</v>
      </c>
      <c r="C1949" s="421" t="s">
        <v>1309</v>
      </c>
    </row>
    <row r="1950" spans="1:3" x14ac:dyDescent="0.25">
      <c r="A1950" s="417">
        <v>41540</v>
      </c>
      <c r="B1950" s="418">
        <v>0.83510416666666665</v>
      </c>
      <c r="C1950" s="421" t="s">
        <v>1318</v>
      </c>
    </row>
    <row r="1951" spans="1:3" x14ac:dyDescent="0.25">
      <c r="A1951" s="417">
        <v>41540</v>
      </c>
      <c r="B1951" s="418">
        <v>0.83510416666666665</v>
      </c>
      <c r="C1951" s="421" t="s">
        <v>1319</v>
      </c>
    </row>
    <row r="1952" spans="1:3" x14ac:dyDescent="0.25">
      <c r="A1952" s="417">
        <v>41540</v>
      </c>
      <c r="B1952" s="418">
        <v>0.83510416666666665</v>
      </c>
      <c r="C1952" s="421" t="s">
        <v>1320</v>
      </c>
    </row>
    <row r="1953" spans="1:3" x14ac:dyDescent="0.25">
      <c r="A1953" s="417">
        <v>41540</v>
      </c>
      <c r="B1953" s="418">
        <v>0.83510416666666665</v>
      </c>
      <c r="C1953" s="421" t="s">
        <v>1318</v>
      </c>
    </row>
    <row r="1954" spans="1:3" x14ac:dyDescent="0.25">
      <c r="A1954" s="417">
        <v>41540</v>
      </c>
      <c r="B1954" s="418">
        <v>0.83510416666666665</v>
      </c>
      <c r="C1954" s="421" t="s">
        <v>1307</v>
      </c>
    </row>
    <row r="1955" spans="1:3" x14ac:dyDescent="0.25">
      <c r="A1955" s="417">
        <v>41540</v>
      </c>
      <c r="B1955" s="418">
        <v>0.83510416666666665</v>
      </c>
      <c r="C1955" s="421" t="s">
        <v>1321</v>
      </c>
    </row>
    <row r="1956" spans="1:3" x14ac:dyDescent="0.25">
      <c r="A1956" s="417">
        <v>41540</v>
      </c>
      <c r="B1956" s="418">
        <v>0.83510416666666665</v>
      </c>
      <c r="C1956" s="421" t="s">
        <v>1322</v>
      </c>
    </row>
    <row r="1957" spans="1:3" x14ac:dyDescent="0.25">
      <c r="A1957" s="417">
        <v>41540</v>
      </c>
      <c r="B1957" s="418">
        <v>0.83510416666666665</v>
      </c>
      <c r="C1957" s="421" t="s">
        <v>1322</v>
      </c>
    </row>
    <row r="1958" spans="1:3" x14ac:dyDescent="0.25">
      <c r="A1958" s="417">
        <v>41540</v>
      </c>
      <c r="B1958" s="418">
        <v>0.83510416666666665</v>
      </c>
      <c r="C1958" s="421" t="s">
        <v>1323</v>
      </c>
    </row>
    <row r="1959" spans="1:3" x14ac:dyDescent="0.25">
      <c r="A1959" s="417">
        <v>41540</v>
      </c>
      <c r="B1959" s="418">
        <v>0.83510416666666665</v>
      </c>
      <c r="C1959" s="421" t="s">
        <v>1324</v>
      </c>
    </row>
    <row r="1960" spans="1:3" x14ac:dyDescent="0.25">
      <c r="A1960" s="417">
        <v>41540</v>
      </c>
      <c r="B1960" s="418">
        <v>0.83510416666666665</v>
      </c>
      <c r="C1960" s="421" t="s">
        <v>1310</v>
      </c>
    </row>
    <row r="1961" spans="1:3" x14ac:dyDescent="0.25">
      <c r="A1961" s="417">
        <v>41540</v>
      </c>
      <c r="B1961" s="418">
        <v>0.83510416666666665</v>
      </c>
      <c r="C1961" s="421" t="s">
        <v>1325</v>
      </c>
    </row>
    <row r="1962" spans="1:3" x14ac:dyDescent="0.25">
      <c r="A1962" s="417">
        <v>41540</v>
      </c>
      <c r="B1962" s="418">
        <v>0.83510416666666665</v>
      </c>
      <c r="C1962" s="421" t="s">
        <v>1326</v>
      </c>
    </row>
    <row r="1963" spans="1:3" x14ac:dyDescent="0.25">
      <c r="A1963" s="417">
        <v>41540</v>
      </c>
      <c r="B1963" s="418">
        <v>0.83510416666666665</v>
      </c>
      <c r="C1963" s="421" t="s">
        <v>1327</v>
      </c>
    </row>
    <row r="1964" spans="1:3" x14ac:dyDescent="0.25">
      <c r="A1964" s="417">
        <v>41540</v>
      </c>
      <c r="B1964" s="418">
        <v>0.83510416666666665</v>
      </c>
      <c r="C1964" s="421" t="s">
        <v>1328</v>
      </c>
    </row>
    <row r="1965" spans="1:3" ht="60" x14ac:dyDescent="0.25">
      <c r="A1965" s="417">
        <v>41540</v>
      </c>
      <c r="B1965" s="418">
        <v>0.83510416666666665</v>
      </c>
      <c r="C1965" s="946" t="s">
        <v>1536</v>
      </c>
    </row>
    <row r="1966" spans="1:3" x14ac:dyDescent="0.25">
      <c r="A1966" s="417">
        <v>41540</v>
      </c>
      <c r="B1966" s="418">
        <v>0.83519675925925929</v>
      </c>
      <c r="C1966" s="421" t="s">
        <v>1323</v>
      </c>
    </row>
    <row r="1967" spans="1:3" x14ac:dyDescent="0.25">
      <c r="A1967" s="417">
        <v>41540</v>
      </c>
      <c r="B1967" s="418">
        <v>0.83519675925925929</v>
      </c>
      <c r="C1967" s="421" t="s">
        <v>1342</v>
      </c>
    </row>
    <row r="1968" spans="1:3" x14ac:dyDescent="0.25">
      <c r="A1968" s="417">
        <v>41540</v>
      </c>
      <c r="B1968" s="418">
        <v>0.83519675925925929</v>
      </c>
      <c r="C1968" s="421" t="s">
        <v>1343</v>
      </c>
    </row>
    <row r="1969" spans="1:3" x14ac:dyDescent="0.25">
      <c r="A1969" s="417">
        <v>41540</v>
      </c>
      <c r="B1969" s="418">
        <v>0.83519675925925929</v>
      </c>
      <c r="C1969" s="421" t="s">
        <v>1344</v>
      </c>
    </row>
    <row r="1970" spans="1:3" x14ac:dyDescent="0.25">
      <c r="A1970" s="417">
        <v>41540</v>
      </c>
      <c r="B1970" s="418">
        <v>0.83519675925925929</v>
      </c>
      <c r="C1970" s="421" t="s">
        <v>1344</v>
      </c>
    </row>
    <row r="1971" spans="1:3" x14ac:dyDescent="0.25">
      <c r="A1971" s="417">
        <v>41540</v>
      </c>
      <c r="B1971" s="418">
        <v>0.83519675925925929</v>
      </c>
      <c r="C1971" s="421" t="s">
        <v>1310</v>
      </c>
    </row>
    <row r="1972" spans="1:3" x14ac:dyDescent="0.25">
      <c r="A1972" s="417">
        <v>41540</v>
      </c>
      <c r="B1972" s="418">
        <v>0.83519675925925929</v>
      </c>
      <c r="C1972" s="421" t="s">
        <v>1345</v>
      </c>
    </row>
    <row r="1973" spans="1:3" x14ac:dyDescent="0.25">
      <c r="A1973" s="417">
        <v>41540</v>
      </c>
      <c r="B1973" s="418">
        <v>0.83519675925925929</v>
      </c>
      <c r="C1973" s="421" t="s">
        <v>1346</v>
      </c>
    </row>
    <row r="1974" spans="1:3" x14ac:dyDescent="0.25">
      <c r="A1974" s="417">
        <v>41540</v>
      </c>
      <c r="B1974" s="418">
        <v>0.83519675925925929</v>
      </c>
      <c r="C1974" s="421" t="s">
        <v>1347</v>
      </c>
    </row>
    <row r="1975" spans="1:3" x14ac:dyDescent="0.25">
      <c r="A1975" s="417">
        <v>41540</v>
      </c>
      <c r="B1975" s="418">
        <v>0.83519675925925929</v>
      </c>
      <c r="C1975" s="421" t="s">
        <v>1348</v>
      </c>
    </row>
    <row r="1976" spans="1:3" x14ac:dyDescent="0.25">
      <c r="A1976" s="417">
        <v>41540</v>
      </c>
      <c r="B1976" s="418">
        <v>0.83519675925925929</v>
      </c>
      <c r="C1976" s="421" t="s">
        <v>1349</v>
      </c>
    </row>
    <row r="1977" spans="1:3" x14ac:dyDescent="0.25">
      <c r="A1977" s="417">
        <v>41540</v>
      </c>
      <c r="B1977" s="418">
        <v>0.83519675925925929</v>
      </c>
      <c r="C1977" s="421" t="s">
        <v>1349</v>
      </c>
    </row>
    <row r="1978" spans="1:3" x14ac:dyDescent="0.25">
      <c r="A1978" s="417">
        <v>41540</v>
      </c>
      <c r="B1978" s="418">
        <v>0.83519675925925929</v>
      </c>
      <c r="C1978" s="421" t="s">
        <v>1348</v>
      </c>
    </row>
    <row r="1979" spans="1:3" x14ac:dyDescent="0.25">
      <c r="A1979" s="417">
        <v>41540</v>
      </c>
      <c r="B1979" s="418">
        <v>0.83519675925925929</v>
      </c>
      <c r="C1979" s="421" t="s">
        <v>1350</v>
      </c>
    </row>
    <row r="1980" spans="1:3" x14ac:dyDescent="0.25">
      <c r="A1980" s="417">
        <v>41540</v>
      </c>
      <c r="B1980" s="418">
        <v>0.83519675925925929</v>
      </c>
      <c r="C1980" s="421" t="s">
        <v>1351</v>
      </c>
    </row>
    <row r="1981" spans="1:3" x14ac:dyDescent="0.25">
      <c r="A1981" s="417">
        <v>41540</v>
      </c>
      <c r="B1981" s="418">
        <v>0.83519675925925929</v>
      </c>
      <c r="C1981" s="421" t="s">
        <v>1352</v>
      </c>
    </row>
    <row r="1982" spans="1:3" x14ac:dyDescent="0.25">
      <c r="A1982" s="417">
        <v>41540</v>
      </c>
      <c r="B1982" s="418">
        <v>0.83519675925925929</v>
      </c>
      <c r="C1982" s="421" t="s">
        <v>1287</v>
      </c>
    </row>
    <row r="1983" spans="1:3" ht="60" x14ac:dyDescent="0.25">
      <c r="A1983" s="417">
        <v>41540</v>
      </c>
      <c r="B1983" s="418">
        <v>0.83519675925925929</v>
      </c>
      <c r="C1983" s="946" t="s">
        <v>1288</v>
      </c>
    </row>
    <row r="1984" spans="1:3" x14ac:dyDescent="0.25">
      <c r="A1984" s="417">
        <v>41540</v>
      </c>
      <c r="B1984" s="418">
        <v>0.83520833333333344</v>
      </c>
      <c r="C1984" s="421" t="s">
        <v>1353</v>
      </c>
    </row>
    <row r="1985" spans="1:3" x14ac:dyDescent="0.25">
      <c r="A1985" s="417">
        <v>41540</v>
      </c>
      <c r="B1985" s="418">
        <v>0.83520833333333344</v>
      </c>
      <c r="C1985" s="421" t="s">
        <v>1354</v>
      </c>
    </row>
    <row r="1986" spans="1:3" x14ac:dyDescent="0.25">
      <c r="A1986" s="417">
        <v>41540</v>
      </c>
      <c r="B1986" s="418">
        <v>0.83520833333333344</v>
      </c>
      <c r="C1986" s="421" t="s">
        <v>1355</v>
      </c>
    </row>
    <row r="1987" spans="1:3" x14ac:dyDescent="0.25">
      <c r="A1987" s="417">
        <v>41540</v>
      </c>
      <c r="B1987" s="418">
        <v>0.83520833333333344</v>
      </c>
      <c r="C1987" s="421" t="s">
        <v>1357</v>
      </c>
    </row>
    <row r="1988" spans="1:3" x14ac:dyDescent="0.25">
      <c r="A1988" s="417">
        <v>41540</v>
      </c>
      <c r="B1988" s="418">
        <v>0.83520833333333344</v>
      </c>
      <c r="C1988" s="421" t="s">
        <v>1358</v>
      </c>
    </row>
    <row r="1989" spans="1:3" x14ac:dyDescent="0.25">
      <c r="A1989" s="417">
        <v>41540</v>
      </c>
      <c r="B1989" s="418">
        <v>0.83520833333333344</v>
      </c>
      <c r="C1989" s="421" t="s">
        <v>1359</v>
      </c>
    </row>
    <row r="1990" spans="1:3" x14ac:dyDescent="0.25">
      <c r="A1990" s="417">
        <v>41540</v>
      </c>
      <c r="B1990" s="418">
        <v>0.83520833333333344</v>
      </c>
      <c r="C1990" s="421" t="s">
        <v>1360</v>
      </c>
    </row>
    <row r="1991" spans="1:3" x14ac:dyDescent="0.25">
      <c r="A1991" s="417">
        <v>41540</v>
      </c>
      <c r="B1991" s="418">
        <v>0.83520833333333344</v>
      </c>
      <c r="C1991" s="421" t="s">
        <v>1361</v>
      </c>
    </row>
    <row r="1992" spans="1:3" x14ac:dyDescent="0.25">
      <c r="A1992" s="417">
        <v>41540</v>
      </c>
      <c r="B1992" s="418">
        <v>0.83520833333333344</v>
      </c>
      <c r="C1992" s="421" t="s">
        <v>1317</v>
      </c>
    </row>
    <row r="1993" spans="1:3" x14ac:dyDescent="0.25">
      <c r="A1993" s="417">
        <v>41540</v>
      </c>
      <c r="B1993" s="418">
        <v>0.83520833333333344</v>
      </c>
      <c r="C1993" s="421" t="s">
        <v>1537</v>
      </c>
    </row>
    <row r="1994" spans="1:3" x14ac:dyDescent="0.25">
      <c r="A1994" s="417">
        <v>41540</v>
      </c>
      <c r="B1994" s="418">
        <v>0.83520833333333344</v>
      </c>
      <c r="C1994" s="421" t="s">
        <v>1362</v>
      </c>
    </row>
    <row r="1995" spans="1:3" x14ac:dyDescent="0.25">
      <c r="A1995" s="417">
        <v>41540</v>
      </c>
      <c r="B1995" s="418">
        <v>0.83520833333333344</v>
      </c>
      <c r="C1995" s="421" t="s">
        <v>1355</v>
      </c>
    </row>
    <row r="1996" spans="1:3" x14ac:dyDescent="0.25">
      <c r="A1996" s="417">
        <v>41540</v>
      </c>
      <c r="B1996" s="418">
        <v>0.83520833333333344</v>
      </c>
      <c r="C1996" s="421" t="s">
        <v>1363</v>
      </c>
    </row>
    <row r="1997" spans="1:3" x14ac:dyDescent="0.25">
      <c r="A1997" s="417">
        <v>41540</v>
      </c>
      <c r="B1997" s="418">
        <v>0.83520833333333344</v>
      </c>
      <c r="C1997" s="421" t="s">
        <v>1364</v>
      </c>
    </row>
    <row r="1998" spans="1:3" x14ac:dyDescent="0.25">
      <c r="A1998" s="417">
        <v>41540</v>
      </c>
      <c r="B1998" s="418">
        <v>0.83520833333333344</v>
      </c>
      <c r="C1998" s="421" t="s">
        <v>1365</v>
      </c>
    </row>
    <row r="1999" spans="1:3" x14ac:dyDescent="0.25">
      <c r="A1999" s="417">
        <v>41540</v>
      </c>
      <c r="B1999" s="418">
        <v>0.83520833333333344</v>
      </c>
      <c r="C1999" s="421" t="s">
        <v>1365</v>
      </c>
    </row>
    <row r="2000" spans="1:3" x14ac:dyDescent="0.25">
      <c r="A2000" s="417">
        <v>41540</v>
      </c>
      <c r="B2000" s="418">
        <v>0.83520833333333344</v>
      </c>
      <c r="C2000" s="421" t="s">
        <v>1366</v>
      </c>
    </row>
    <row r="2001" spans="1:3" x14ac:dyDescent="0.25">
      <c r="A2001" s="417">
        <v>41540</v>
      </c>
      <c r="B2001" s="418">
        <v>0.83520833333333344</v>
      </c>
      <c r="C2001" s="421" t="s">
        <v>1320</v>
      </c>
    </row>
    <row r="2002" spans="1:3" x14ac:dyDescent="0.25">
      <c r="A2002" s="417">
        <v>41540</v>
      </c>
      <c r="B2002" s="418">
        <v>0.83520833333333344</v>
      </c>
      <c r="C2002" s="421" t="s">
        <v>1367</v>
      </c>
    </row>
    <row r="2003" spans="1:3" x14ac:dyDescent="0.25">
      <c r="A2003" s="417">
        <v>41540</v>
      </c>
      <c r="B2003" s="418">
        <v>0.83520833333333344</v>
      </c>
      <c r="C2003" s="421" t="s">
        <v>1344</v>
      </c>
    </row>
    <row r="2004" spans="1:3" x14ac:dyDescent="0.25">
      <c r="A2004" s="417">
        <v>41540</v>
      </c>
      <c r="B2004" s="418">
        <v>0.83520833333333344</v>
      </c>
      <c r="C2004" s="421" t="s">
        <v>1368</v>
      </c>
    </row>
    <row r="2005" spans="1:3" x14ac:dyDescent="0.25">
      <c r="A2005" s="417">
        <v>41540</v>
      </c>
      <c r="B2005" s="418">
        <v>0.83520833333333344</v>
      </c>
      <c r="C2005" s="421" t="s">
        <v>1369</v>
      </c>
    </row>
    <row r="2006" spans="1:3" x14ac:dyDescent="0.25">
      <c r="A2006" s="417">
        <v>41540</v>
      </c>
      <c r="B2006" s="418">
        <v>0.83520833333333344</v>
      </c>
      <c r="C2006" s="421" t="s">
        <v>1307</v>
      </c>
    </row>
    <row r="2007" spans="1:3" x14ac:dyDescent="0.25">
      <c r="A2007" s="417">
        <v>41540</v>
      </c>
      <c r="B2007" s="418">
        <v>0.83520833333333344</v>
      </c>
      <c r="C2007" s="421" t="s">
        <v>1370</v>
      </c>
    </row>
    <row r="2008" spans="1:3" x14ac:dyDescent="0.25">
      <c r="A2008" s="417">
        <v>41540</v>
      </c>
      <c r="B2008" s="418">
        <v>0.83520833333333344</v>
      </c>
      <c r="C2008" s="421" t="s">
        <v>1371</v>
      </c>
    </row>
    <row r="2009" spans="1:3" x14ac:dyDescent="0.25">
      <c r="A2009" s="417">
        <v>41540</v>
      </c>
      <c r="B2009" s="418">
        <v>0.83520833333333344</v>
      </c>
      <c r="C2009" s="421" t="s">
        <v>1344</v>
      </c>
    </row>
    <row r="2010" spans="1:3" x14ac:dyDescent="0.25">
      <c r="A2010" s="417">
        <v>41540</v>
      </c>
      <c r="B2010" s="418">
        <v>0.83520833333333344</v>
      </c>
      <c r="C2010" s="421" t="s">
        <v>1317</v>
      </c>
    </row>
    <row r="2011" spans="1:3" x14ac:dyDescent="0.25">
      <c r="A2011" s="417">
        <v>41540</v>
      </c>
      <c r="B2011" s="418">
        <v>0.83520833333333344</v>
      </c>
      <c r="C2011" s="421" t="s">
        <v>1463</v>
      </c>
    </row>
    <row r="2012" spans="1:3" x14ac:dyDescent="0.25">
      <c r="A2012" s="417">
        <v>41540</v>
      </c>
      <c r="B2012" s="418">
        <v>0.83520833333333344</v>
      </c>
      <c r="C2012" s="421" t="s">
        <v>1378</v>
      </c>
    </row>
    <row r="2013" spans="1:3" ht="60" x14ac:dyDescent="0.25">
      <c r="A2013" s="417">
        <v>41540</v>
      </c>
      <c r="B2013" s="418">
        <v>0.83520833333333344</v>
      </c>
      <c r="C2013" s="946" t="s">
        <v>1538</v>
      </c>
    </row>
    <row r="2014" spans="1:3" x14ac:dyDescent="0.25">
      <c r="A2014" s="417">
        <v>41540</v>
      </c>
      <c r="B2014" s="418">
        <v>0.83521990740740737</v>
      </c>
      <c r="C2014" s="421" t="s">
        <v>1373</v>
      </c>
    </row>
    <row r="2015" spans="1:3" x14ac:dyDescent="0.25">
      <c r="A2015" s="417">
        <v>41540</v>
      </c>
      <c r="B2015" s="418">
        <v>0.83521990740740737</v>
      </c>
      <c r="C2015" s="421" t="s">
        <v>1308</v>
      </c>
    </row>
    <row r="2016" spans="1:3" x14ac:dyDescent="0.25">
      <c r="A2016" s="417">
        <v>41540</v>
      </c>
      <c r="B2016" s="418">
        <v>0.83521990740740737</v>
      </c>
      <c r="C2016" s="421" t="s">
        <v>1374</v>
      </c>
    </row>
    <row r="2017" spans="1:3" x14ac:dyDescent="0.25">
      <c r="A2017" s="417">
        <v>41540</v>
      </c>
      <c r="B2017" s="418">
        <v>0.83521990740740737</v>
      </c>
      <c r="C2017" s="421" t="s">
        <v>1375</v>
      </c>
    </row>
    <row r="2018" spans="1:3" x14ac:dyDescent="0.25">
      <c r="A2018" s="417">
        <v>41540</v>
      </c>
      <c r="B2018" s="418">
        <v>0.83521990740740737</v>
      </c>
      <c r="C2018" s="421" t="s">
        <v>1376</v>
      </c>
    </row>
    <row r="2019" spans="1:3" x14ac:dyDescent="0.25">
      <c r="A2019" s="417">
        <v>41540</v>
      </c>
      <c r="B2019" s="418">
        <v>0.83521990740740737</v>
      </c>
      <c r="C2019" s="421" t="s">
        <v>1377</v>
      </c>
    </row>
    <row r="2020" spans="1:3" x14ac:dyDescent="0.25">
      <c r="A2020" s="417">
        <v>41540</v>
      </c>
      <c r="B2020" s="418">
        <v>0.83521990740740737</v>
      </c>
      <c r="C2020" s="421" t="s">
        <v>1326</v>
      </c>
    </row>
    <row r="2021" spans="1:3" x14ac:dyDescent="0.25">
      <c r="A2021" s="417">
        <v>41540</v>
      </c>
      <c r="B2021" s="418">
        <v>0.83521990740740737</v>
      </c>
      <c r="C2021" s="421" t="s">
        <v>1378</v>
      </c>
    </row>
    <row r="2022" spans="1:3" ht="60" x14ac:dyDescent="0.25">
      <c r="A2022" s="417">
        <v>41540</v>
      </c>
      <c r="B2022" s="418">
        <v>0.83521990740740737</v>
      </c>
      <c r="C2022" s="946" t="s">
        <v>1539</v>
      </c>
    </row>
    <row r="2023" spans="1:3" x14ac:dyDescent="0.25">
      <c r="A2023" s="417">
        <v>41540</v>
      </c>
      <c r="B2023" s="418">
        <v>0.83523148148148152</v>
      </c>
      <c r="C2023" s="421" t="s">
        <v>1380</v>
      </c>
    </row>
    <row r="2024" spans="1:3" x14ac:dyDescent="0.25">
      <c r="A2024" s="417">
        <v>41540</v>
      </c>
      <c r="B2024" s="418">
        <v>0.83523148148148152</v>
      </c>
      <c r="C2024" s="421" t="s">
        <v>1381</v>
      </c>
    </row>
    <row r="2025" spans="1:3" x14ac:dyDescent="0.25">
      <c r="A2025" s="417">
        <v>41540</v>
      </c>
      <c r="B2025" s="418">
        <v>0.83523148148148152</v>
      </c>
      <c r="C2025" s="421" t="s">
        <v>1382</v>
      </c>
    </row>
    <row r="2026" spans="1:3" x14ac:dyDescent="0.25">
      <c r="A2026" s="417">
        <v>41540</v>
      </c>
      <c r="B2026" s="418">
        <v>0.83523148148148152</v>
      </c>
      <c r="C2026" s="421" t="s">
        <v>1383</v>
      </c>
    </row>
    <row r="2027" spans="1:3" x14ac:dyDescent="0.25">
      <c r="A2027" s="417">
        <v>41540</v>
      </c>
      <c r="B2027" s="418">
        <v>0.83523148148148152</v>
      </c>
      <c r="C2027" s="421" t="s">
        <v>1352</v>
      </c>
    </row>
    <row r="2028" spans="1:3" x14ac:dyDescent="0.25">
      <c r="A2028" s="417">
        <v>41540</v>
      </c>
      <c r="B2028" s="418">
        <v>0.83523148148148152</v>
      </c>
      <c r="C2028" s="421" t="s">
        <v>1384</v>
      </c>
    </row>
    <row r="2029" spans="1:3" x14ac:dyDescent="0.25">
      <c r="A2029" s="417">
        <v>41540</v>
      </c>
      <c r="B2029" s="418">
        <v>0.83523148148148152</v>
      </c>
      <c r="C2029" s="421" t="s">
        <v>1385</v>
      </c>
    </row>
    <row r="2030" spans="1:3" x14ac:dyDescent="0.25">
      <c r="A2030" s="417">
        <v>41540</v>
      </c>
      <c r="B2030" s="418">
        <v>0.83523148148148152</v>
      </c>
      <c r="C2030" s="421" t="s">
        <v>1385</v>
      </c>
    </row>
    <row r="2031" spans="1:3" x14ac:dyDescent="0.25">
      <c r="A2031" s="417">
        <v>41540</v>
      </c>
      <c r="B2031" s="418">
        <v>0.83523148148148152</v>
      </c>
      <c r="C2031" s="421" t="s">
        <v>1386</v>
      </c>
    </row>
    <row r="2032" spans="1:3" x14ac:dyDescent="0.25">
      <c r="A2032" s="417">
        <v>41540</v>
      </c>
      <c r="B2032" s="418">
        <v>0.83523148148148152</v>
      </c>
      <c r="C2032" s="421" t="s">
        <v>1387</v>
      </c>
    </row>
    <row r="2033" spans="1:3" x14ac:dyDescent="0.25">
      <c r="A2033" s="417">
        <v>41540</v>
      </c>
      <c r="B2033" s="418">
        <v>0.83523148148148152</v>
      </c>
      <c r="C2033" s="421" t="s">
        <v>1387</v>
      </c>
    </row>
    <row r="2034" spans="1:3" x14ac:dyDescent="0.25">
      <c r="A2034" s="417">
        <v>41540</v>
      </c>
      <c r="B2034" s="418">
        <v>0.83523148148148152</v>
      </c>
      <c r="C2034" s="421" t="s">
        <v>1318</v>
      </c>
    </row>
    <row r="2035" spans="1:3" x14ac:dyDescent="0.25">
      <c r="A2035" s="417">
        <v>41540</v>
      </c>
      <c r="B2035" s="418">
        <v>0.83523148148148152</v>
      </c>
      <c r="C2035" s="421" t="s">
        <v>1388</v>
      </c>
    </row>
    <row r="2036" spans="1:3" x14ac:dyDescent="0.25">
      <c r="A2036" s="417">
        <v>41540</v>
      </c>
      <c r="B2036" s="418">
        <v>0.83523148148148152</v>
      </c>
      <c r="C2036" s="421" t="s">
        <v>1390</v>
      </c>
    </row>
    <row r="2037" spans="1:3" x14ac:dyDescent="0.25">
      <c r="A2037" s="417">
        <v>41540</v>
      </c>
      <c r="B2037" s="418">
        <v>0.83523148148148152</v>
      </c>
      <c r="C2037" s="421" t="s">
        <v>1391</v>
      </c>
    </row>
    <row r="2038" spans="1:3" x14ac:dyDescent="0.25">
      <c r="A2038" s="417">
        <v>41540</v>
      </c>
      <c r="B2038" s="418">
        <v>0.83523148148148152</v>
      </c>
      <c r="C2038" s="421" t="s">
        <v>1392</v>
      </c>
    </row>
    <row r="2039" spans="1:3" x14ac:dyDescent="0.25">
      <c r="A2039" s="417">
        <v>41540</v>
      </c>
      <c r="B2039" s="418">
        <v>0.83523148148148152</v>
      </c>
      <c r="C2039" s="421" t="s">
        <v>1294</v>
      </c>
    </row>
    <row r="2040" spans="1:3" ht="60" x14ac:dyDescent="0.25">
      <c r="A2040" s="417">
        <v>41540</v>
      </c>
      <c r="B2040" s="418">
        <v>0.83523148148148152</v>
      </c>
      <c r="C2040" s="946" t="s">
        <v>1295</v>
      </c>
    </row>
    <row r="2041" spans="1:3" x14ac:dyDescent="0.25">
      <c r="A2041" s="417">
        <v>41540</v>
      </c>
      <c r="B2041" s="418">
        <v>0.83524305555555556</v>
      </c>
      <c r="C2041" s="421" t="s">
        <v>1393</v>
      </c>
    </row>
    <row r="2042" spans="1:3" x14ac:dyDescent="0.25">
      <c r="A2042" s="417">
        <v>41540</v>
      </c>
      <c r="B2042" s="418">
        <v>0.83524305555555556</v>
      </c>
      <c r="C2042" s="421" t="s">
        <v>1394</v>
      </c>
    </row>
    <row r="2043" spans="1:3" x14ac:dyDescent="0.25">
      <c r="A2043" s="417">
        <v>41540</v>
      </c>
      <c r="B2043" s="418">
        <v>0.83524305555555556</v>
      </c>
      <c r="C2043" s="421" t="s">
        <v>1392</v>
      </c>
    </row>
    <row r="2044" spans="1:3" x14ac:dyDescent="0.25">
      <c r="A2044" s="417">
        <v>41540</v>
      </c>
      <c r="B2044" s="418">
        <v>0.83524305555555556</v>
      </c>
      <c r="C2044" s="421" t="s">
        <v>1395</v>
      </c>
    </row>
    <row r="2045" spans="1:3" x14ac:dyDescent="0.25">
      <c r="A2045" s="417">
        <v>41540</v>
      </c>
      <c r="B2045" s="418">
        <v>0.83524305555555556</v>
      </c>
      <c r="C2045" s="421" t="s">
        <v>1396</v>
      </c>
    </row>
    <row r="2046" spans="1:3" x14ac:dyDescent="0.25">
      <c r="A2046" s="417">
        <v>41540</v>
      </c>
      <c r="B2046" s="418">
        <v>0.83524305555555556</v>
      </c>
      <c r="C2046" s="421" t="s">
        <v>1363</v>
      </c>
    </row>
    <row r="2047" spans="1:3" x14ac:dyDescent="0.25">
      <c r="A2047" s="417">
        <v>41540</v>
      </c>
      <c r="B2047" s="418">
        <v>0.83524305555555556</v>
      </c>
      <c r="C2047" s="421" t="s">
        <v>1362</v>
      </c>
    </row>
    <row r="2048" spans="1:3" x14ac:dyDescent="0.25">
      <c r="A2048" s="417">
        <v>41540</v>
      </c>
      <c r="B2048" s="418">
        <v>0.83524305555555556</v>
      </c>
      <c r="C2048" s="421" t="s">
        <v>1397</v>
      </c>
    </row>
    <row r="2049" spans="1:3" x14ac:dyDescent="0.25">
      <c r="A2049" s="417">
        <v>41540</v>
      </c>
      <c r="B2049" s="418">
        <v>0.83524305555555556</v>
      </c>
      <c r="C2049" s="421" t="s">
        <v>1381</v>
      </c>
    </row>
    <row r="2050" spans="1:3" x14ac:dyDescent="0.25">
      <c r="A2050" s="417">
        <v>41540</v>
      </c>
      <c r="B2050" s="418">
        <v>0.83524305555555556</v>
      </c>
      <c r="C2050" s="421" t="s">
        <v>1398</v>
      </c>
    </row>
    <row r="2051" spans="1:3" x14ac:dyDescent="0.25">
      <c r="A2051" s="417">
        <v>41540</v>
      </c>
      <c r="B2051" s="418">
        <v>0.83524305555555556</v>
      </c>
      <c r="C2051" s="421" t="s">
        <v>1399</v>
      </c>
    </row>
    <row r="2052" spans="1:3" x14ac:dyDescent="0.25">
      <c r="A2052" s="417">
        <v>41540</v>
      </c>
      <c r="B2052" s="418">
        <v>0.83524305555555556</v>
      </c>
      <c r="C2052" s="421" t="s">
        <v>1400</v>
      </c>
    </row>
    <row r="2053" spans="1:3" x14ac:dyDescent="0.25">
      <c r="A2053" s="417">
        <v>41540</v>
      </c>
      <c r="B2053" s="418">
        <v>0.83524305555555556</v>
      </c>
      <c r="C2053" s="421" t="s">
        <v>1400</v>
      </c>
    </row>
    <row r="2054" spans="1:3" x14ac:dyDescent="0.25">
      <c r="A2054" s="417">
        <v>41540</v>
      </c>
      <c r="B2054" s="418">
        <v>0.83524305555555556</v>
      </c>
      <c r="C2054" s="421" t="s">
        <v>1373</v>
      </c>
    </row>
    <row r="2055" spans="1:3" x14ac:dyDescent="0.25">
      <c r="A2055" s="417">
        <v>41540</v>
      </c>
      <c r="B2055" s="418">
        <v>0.83524305555555556</v>
      </c>
      <c r="C2055" s="421" t="s">
        <v>1353</v>
      </c>
    </row>
    <row r="2056" spans="1:3" x14ac:dyDescent="0.25">
      <c r="A2056" s="417">
        <v>41540</v>
      </c>
      <c r="B2056" s="418">
        <v>0.83524305555555556</v>
      </c>
      <c r="C2056" s="421" t="s">
        <v>1353</v>
      </c>
    </row>
    <row r="2057" spans="1:3" x14ac:dyDescent="0.25">
      <c r="A2057" s="417">
        <v>41540</v>
      </c>
      <c r="B2057" s="418">
        <v>0.83524305555555556</v>
      </c>
      <c r="C2057" s="421" t="s">
        <v>1401</v>
      </c>
    </row>
    <row r="2058" spans="1:3" x14ac:dyDescent="0.25">
      <c r="A2058" s="417">
        <v>41540</v>
      </c>
      <c r="B2058" s="418">
        <v>0.83524305555555556</v>
      </c>
      <c r="C2058" s="421" t="s">
        <v>1392</v>
      </c>
    </row>
    <row r="2059" spans="1:3" x14ac:dyDescent="0.25">
      <c r="A2059" s="417">
        <v>41540</v>
      </c>
      <c r="B2059" s="418">
        <v>0.83524305555555556</v>
      </c>
      <c r="C2059" s="421" t="s">
        <v>1403</v>
      </c>
    </row>
    <row r="2060" spans="1:3" x14ac:dyDescent="0.25">
      <c r="A2060" s="417">
        <v>41540</v>
      </c>
      <c r="B2060" s="418">
        <v>0.83524305555555556</v>
      </c>
      <c r="C2060" s="421" t="s">
        <v>1403</v>
      </c>
    </row>
    <row r="2061" spans="1:3" x14ac:dyDescent="0.25">
      <c r="A2061" s="417">
        <v>41540</v>
      </c>
      <c r="B2061" s="418">
        <v>0.83524305555555556</v>
      </c>
      <c r="C2061" s="421" t="s">
        <v>1403</v>
      </c>
    </row>
    <row r="2062" spans="1:3" x14ac:dyDescent="0.25">
      <c r="A2062" s="417">
        <v>41540</v>
      </c>
      <c r="B2062" s="418">
        <v>0.83524305555555556</v>
      </c>
      <c r="C2062" s="421" t="s">
        <v>1362</v>
      </c>
    </row>
    <row r="2063" spans="1:3" x14ac:dyDescent="0.25">
      <c r="A2063" s="417">
        <v>41540</v>
      </c>
      <c r="B2063" s="418">
        <v>0.83524305555555556</v>
      </c>
      <c r="C2063" s="421" t="s">
        <v>1364</v>
      </c>
    </row>
    <row r="2064" spans="1:3" x14ac:dyDescent="0.25">
      <c r="A2064" s="417">
        <v>41540</v>
      </c>
      <c r="B2064" s="418">
        <v>0.83524305555555556</v>
      </c>
      <c r="C2064" s="421" t="s">
        <v>1364</v>
      </c>
    </row>
    <row r="2065" spans="1:3" x14ac:dyDescent="0.25">
      <c r="A2065" s="417">
        <v>41540</v>
      </c>
      <c r="B2065" s="418">
        <v>0.83524305555555556</v>
      </c>
      <c r="C2065" s="421" t="s">
        <v>1381</v>
      </c>
    </row>
    <row r="2066" spans="1:3" x14ac:dyDescent="0.25">
      <c r="A2066" s="417">
        <v>41540</v>
      </c>
      <c r="B2066" s="418">
        <v>0.83524305555555556</v>
      </c>
      <c r="C2066" s="421" t="s">
        <v>1364</v>
      </c>
    </row>
    <row r="2067" spans="1:3" x14ac:dyDescent="0.25">
      <c r="A2067" s="417">
        <v>41540</v>
      </c>
      <c r="B2067" s="418">
        <v>0.83524305555555556</v>
      </c>
      <c r="C2067" s="421" t="s">
        <v>1480</v>
      </c>
    </row>
    <row r="2068" spans="1:3" x14ac:dyDescent="0.25">
      <c r="A2068" s="417">
        <v>41540</v>
      </c>
      <c r="B2068" s="418">
        <v>0.83524305555555556</v>
      </c>
      <c r="C2068" s="421" t="s">
        <v>1480</v>
      </c>
    </row>
    <row r="2069" spans="1:3" x14ac:dyDescent="0.25">
      <c r="A2069" s="417">
        <v>41540</v>
      </c>
      <c r="B2069" s="418">
        <v>0.83524305555555556</v>
      </c>
      <c r="C2069" s="421" t="s">
        <v>1480</v>
      </c>
    </row>
    <row r="2070" spans="1:3" x14ac:dyDescent="0.25">
      <c r="A2070" s="417">
        <v>41540</v>
      </c>
      <c r="B2070" s="418">
        <v>0.83524305555555556</v>
      </c>
      <c r="C2070" s="421" t="s">
        <v>1540</v>
      </c>
    </row>
    <row r="2071" spans="1:3" x14ac:dyDescent="0.25">
      <c r="A2071" s="417">
        <v>41540</v>
      </c>
      <c r="B2071" s="418">
        <v>0.83524305555555556</v>
      </c>
      <c r="C2071" s="421" t="s">
        <v>1541</v>
      </c>
    </row>
    <row r="2072" spans="1:3" x14ac:dyDescent="0.25">
      <c r="A2072" s="417">
        <v>41540</v>
      </c>
      <c r="B2072" s="418">
        <v>0.83524305555555556</v>
      </c>
      <c r="C2072" s="421" t="s">
        <v>1346</v>
      </c>
    </row>
    <row r="2073" spans="1:3" x14ac:dyDescent="0.25">
      <c r="A2073" s="417">
        <v>41540</v>
      </c>
      <c r="B2073" s="418">
        <v>0.83524305555555556</v>
      </c>
      <c r="C2073" s="421" t="s">
        <v>1405</v>
      </c>
    </row>
    <row r="2074" spans="1:3" x14ac:dyDescent="0.25">
      <c r="A2074" s="417">
        <v>41540</v>
      </c>
      <c r="B2074" s="418">
        <v>0.83524305555555556</v>
      </c>
      <c r="C2074" s="421" t="s">
        <v>1406</v>
      </c>
    </row>
    <row r="2075" spans="1:3" x14ac:dyDescent="0.25">
      <c r="A2075" s="417">
        <v>41540</v>
      </c>
      <c r="B2075" s="418">
        <v>0.83524305555555556</v>
      </c>
      <c r="C2075" s="421" t="s">
        <v>1362</v>
      </c>
    </row>
    <row r="2076" spans="1:3" x14ac:dyDescent="0.25">
      <c r="A2076" s="417">
        <v>41540</v>
      </c>
      <c r="B2076" s="418">
        <v>0.83524305555555556</v>
      </c>
      <c r="C2076" s="421" t="s">
        <v>1542</v>
      </c>
    </row>
    <row r="2077" spans="1:3" x14ac:dyDescent="0.25">
      <c r="A2077" s="417">
        <v>41540</v>
      </c>
      <c r="B2077" s="418">
        <v>0.83524305555555556</v>
      </c>
      <c r="C2077" s="421" t="s">
        <v>1318</v>
      </c>
    </row>
    <row r="2078" spans="1:3" x14ac:dyDescent="0.25">
      <c r="A2078" s="417">
        <v>41540</v>
      </c>
      <c r="B2078" s="418">
        <v>0.83524305555555556</v>
      </c>
      <c r="C2078" s="421" t="s">
        <v>1368</v>
      </c>
    </row>
    <row r="2079" spans="1:3" x14ac:dyDescent="0.25">
      <c r="A2079" s="417">
        <v>41540</v>
      </c>
      <c r="B2079" s="418">
        <v>0.83524305555555556</v>
      </c>
      <c r="C2079" s="421" t="s">
        <v>1368</v>
      </c>
    </row>
    <row r="2080" spans="1:3" x14ac:dyDescent="0.25">
      <c r="A2080" s="417">
        <v>41540</v>
      </c>
      <c r="B2080" s="418">
        <v>0.83524305555555556</v>
      </c>
      <c r="C2080" s="421" t="s">
        <v>1368</v>
      </c>
    </row>
    <row r="2081" spans="1:3" x14ac:dyDescent="0.25">
      <c r="A2081" s="417">
        <v>41540</v>
      </c>
      <c r="B2081" s="418">
        <v>0.83524305555555556</v>
      </c>
      <c r="C2081" s="421" t="s">
        <v>1368</v>
      </c>
    </row>
    <row r="2082" spans="1:3" x14ac:dyDescent="0.25">
      <c r="A2082" s="417">
        <v>41540</v>
      </c>
      <c r="B2082" s="418">
        <v>0.83524305555555556</v>
      </c>
      <c r="C2082" s="421" t="s">
        <v>1368</v>
      </c>
    </row>
    <row r="2083" spans="1:3" x14ac:dyDescent="0.25">
      <c r="A2083" s="417">
        <v>41540</v>
      </c>
      <c r="B2083" s="418">
        <v>0.83524305555555556</v>
      </c>
      <c r="C2083" s="421" t="s">
        <v>1409</v>
      </c>
    </row>
    <row r="2084" spans="1:3" x14ac:dyDescent="0.25">
      <c r="A2084" s="417">
        <v>41540</v>
      </c>
      <c r="B2084" s="418">
        <v>0.83524305555555556</v>
      </c>
      <c r="C2084" s="421" t="s">
        <v>1308</v>
      </c>
    </row>
    <row r="2085" spans="1:3" x14ac:dyDescent="0.25">
      <c r="A2085" s="417">
        <v>41540</v>
      </c>
      <c r="B2085" s="418">
        <v>0.83524305555555556</v>
      </c>
      <c r="C2085" s="421" t="s">
        <v>1410</v>
      </c>
    </row>
    <row r="2086" spans="1:3" x14ac:dyDescent="0.25">
      <c r="A2086" s="417">
        <v>41540</v>
      </c>
      <c r="B2086" s="418">
        <v>0.83524305555555556</v>
      </c>
      <c r="C2086" s="421" t="s">
        <v>1410</v>
      </c>
    </row>
    <row r="2087" spans="1:3" x14ac:dyDescent="0.25">
      <c r="A2087" s="417">
        <v>41540</v>
      </c>
      <c r="B2087" s="418">
        <v>0.83524305555555556</v>
      </c>
      <c r="C2087" s="421" t="s">
        <v>1411</v>
      </c>
    </row>
    <row r="2088" spans="1:3" x14ac:dyDescent="0.25">
      <c r="A2088" s="417">
        <v>41540</v>
      </c>
      <c r="B2088" s="418">
        <v>0.83524305555555556</v>
      </c>
      <c r="C2088" s="421" t="s">
        <v>1543</v>
      </c>
    </row>
    <row r="2089" spans="1:3" x14ac:dyDescent="0.25">
      <c r="A2089" s="417">
        <v>41540</v>
      </c>
      <c r="B2089" s="418">
        <v>0.83524305555555556</v>
      </c>
      <c r="C2089" s="421" t="s">
        <v>1413</v>
      </c>
    </row>
    <row r="2090" spans="1:3" x14ac:dyDescent="0.25">
      <c r="A2090" s="417">
        <v>41540</v>
      </c>
      <c r="B2090" s="418">
        <v>0.83524305555555556</v>
      </c>
      <c r="C2090" s="421" t="s">
        <v>1414</v>
      </c>
    </row>
    <row r="2091" spans="1:3" x14ac:dyDescent="0.25">
      <c r="A2091" s="417">
        <v>41540</v>
      </c>
      <c r="B2091" s="418">
        <v>0.83524305555555556</v>
      </c>
      <c r="C2091" s="421" t="s">
        <v>1373</v>
      </c>
    </row>
    <row r="2092" spans="1:3" x14ac:dyDescent="0.25">
      <c r="A2092" s="417">
        <v>41540</v>
      </c>
      <c r="B2092" s="418">
        <v>0.83524305555555556</v>
      </c>
      <c r="C2092" s="421" t="s">
        <v>1544</v>
      </c>
    </row>
    <row r="2093" spans="1:3" x14ac:dyDescent="0.25">
      <c r="A2093" s="417">
        <v>41540</v>
      </c>
      <c r="B2093" s="418">
        <v>0.83524305555555556</v>
      </c>
      <c r="C2093" s="421" t="s">
        <v>1409</v>
      </c>
    </row>
    <row r="2094" spans="1:3" x14ac:dyDescent="0.25">
      <c r="A2094" s="417">
        <v>41540</v>
      </c>
      <c r="B2094" s="418">
        <v>0.83524305555555556</v>
      </c>
      <c r="C2094" s="421" t="s">
        <v>1416</v>
      </c>
    </row>
    <row r="2095" spans="1:3" x14ac:dyDescent="0.25">
      <c r="A2095" s="417">
        <v>41540</v>
      </c>
      <c r="B2095" s="418">
        <v>0.83524305555555556</v>
      </c>
      <c r="C2095" s="421" t="s">
        <v>1545</v>
      </c>
    </row>
    <row r="2096" spans="1:3" x14ac:dyDescent="0.25">
      <c r="A2096" s="417">
        <v>41540</v>
      </c>
      <c r="B2096" s="418">
        <v>0.83524305555555556</v>
      </c>
      <c r="C2096" s="421" t="s">
        <v>1348</v>
      </c>
    </row>
    <row r="2097" spans="1:3" x14ac:dyDescent="0.25">
      <c r="A2097" s="417">
        <v>41540</v>
      </c>
      <c r="B2097" s="418">
        <v>0.83524305555555556</v>
      </c>
      <c r="C2097" s="421" t="s">
        <v>1419</v>
      </c>
    </row>
    <row r="2098" spans="1:3" x14ac:dyDescent="0.25">
      <c r="A2098" s="417">
        <v>41540</v>
      </c>
      <c r="B2098" s="418">
        <v>0.83524305555555556</v>
      </c>
      <c r="C2098" s="421" t="s">
        <v>1419</v>
      </c>
    </row>
    <row r="2099" spans="1:3" x14ac:dyDescent="0.25">
      <c r="A2099" s="417">
        <v>41540</v>
      </c>
      <c r="B2099" s="418">
        <v>0.83524305555555556</v>
      </c>
      <c r="C2099" s="421" t="s">
        <v>1420</v>
      </c>
    </row>
    <row r="2100" spans="1:3" x14ac:dyDescent="0.25">
      <c r="A2100" s="417">
        <v>41540</v>
      </c>
      <c r="B2100" s="418">
        <v>0.83524305555555556</v>
      </c>
      <c r="C2100" s="421" t="s">
        <v>1546</v>
      </c>
    </row>
    <row r="2101" spans="1:3" x14ac:dyDescent="0.25">
      <c r="A2101" s="417">
        <v>41540</v>
      </c>
      <c r="B2101" s="418">
        <v>0.83524305555555556</v>
      </c>
      <c r="C2101" s="421" t="s">
        <v>1547</v>
      </c>
    </row>
    <row r="2102" spans="1:3" x14ac:dyDescent="0.25">
      <c r="A2102" s="417">
        <v>41540</v>
      </c>
      <c r="B2102" s="418">
        <v>0.83524305555555556</v>
      </c>
      <c r="C2102" s="421" t="s">
        <v>1548</v>
      </c>
    </row>
    <row r="2103" spans="1:3" x14ac:dyDescent="0.25">
      <c r="A2103" s="417">
        <v>41540</v>
      </c>
      <c r="B2103" s="418">
        <v>0.83524305555555556</v>
      </c>
      <c r="C2103" s="421" t="s">
        <v>1549</v>
      </c>
    </row>
    <row r="2104" spans="1:3" x14ac:dyDescent="0.25">
      <c r="A2104" s="417">
        <v>41540</v>
      </c>
      <c r="B2104" s="418">
        <v>0.8352546296296296</v>
      </c>
      <c r="C2104" s="421" t="s">
        <v>1550</v>
      </c>
    </row>
    <row r="2105" spans="1:3" x14ac:dyDescent="0.25">
      <c r="A2105" s="417">
        <v>41540</v>
      </c>
      <c r="B2105" s="418">
        <v>0.8352546296296296</v>
      </c>
      <c r="C2105" s="421" t="s">
        <v>1551</v>
      </c>
    </row>
    <row r="2106" spans="1:3" x14ac:dyDescent="0.25">
      <c r="A2106" s="417">
        <v>41540</v>
      </c>
      <c r="B2106" s="418">
        <v>0.8352546296296296</v>
      </c>
      <c r="C2106" s="421" t="s">
        <v>1552</v>
      </c>
    </row>
    <row r="2107" spans="1:3" x14ac:dyDescent="0.25">
      <c r="A2107" s="417">
        <v>41540</v>
      </c>
      <c r="B2107" s="418">
        <v>0.8352546296296296</v>
      </c>
      <c r="C2107" s="421" t="s">
        <v>1553</v>
      </c>
    </row>
    <row r="2108" spans="1:3" x14ac:dyDescent="0.25">
      <c r="A2108" s="417">
        <v>41540</v>
      </c>
      <c r="B2108" s="418">
        <v>0.8352546296296296</v>
      </c>
      <c r="C2108" s="421" t="s">
        <v>1320</v>
      </c>
    </row>
    <row r="2109" spans="1:3" x14ac:dyDescent="0.25">
      <c r="A2109" s="417">
        <v>41540</v>
      </c>
      <c r="B2109" s="418">
        <v>0.8352546296296296</v>
      </c>
      <c r="C2109" s="421" t="s">
        <v>1429</v>
      </c>
    </row>
    <row r="2110" spans="1:3" x14ac:dyDescent="0.25">
      <c r="A2110" s="417">
        <v>41540</v>
      </c>
      <c r="B2110" s="418">
        <v>0.8352546296296296</v>
      </c>
      <c r="C2110" s="421" t="s">
        <v>1430</v>
      </c>
    </row>
    <row r="2111" spans="1:3" x14ac:dyDescent="0.25">
      <c r="A2111" s="417">
        <v>41540</v>
      </c>
      <c r="B2111" s="418">
        <v>0.8352546296296296</v>
      </c>
      <c r="C2111" s="421" t="s">
        <v>1554</v>
      </c>
    </row>
    <row r="2112" spans="1:3" x14ac:dyDescent="0.25">
      <c r="A2112" s="417">
        <v>41540</v>
      </c>
      <c r="B2112" s="418">
        <v>0.8352546296296296</v>
      </c>
      <c r="C2112" s="421" t="s">
        <v>1308</v>
      </c>
    </row>
    <row r="2113" spans="1:3" x14ac:dyDescent="0.25">
      <c r="A2113" s="417">
        <v>41540</v>
      </c>
      <c r="B2113" s="418">
        <v>0.8352546296296296</v>
      </c>
      <c r="C2113" s="421" t="s">
        <v>1360</v>
      </c>
    </row>
    <row r="2114" spans="1:3" x14ac:dyDescent="0.25">
      <c r="A2114" s="417">
        <v>41540</v>
      </c>
      <c r="B2114" s="418">
        <v>0.8352546296296296</v>
      </c>
      <c r="C2114" s="421" t="s">
        <v>1432</v>
      </c>
    </row>
    <row r="2115" spans="1:3" x14ac:dyDescent="0.25">
      <c r="A2115" s="417">
        <v>41540</v>
      </c>
      <c r="B2115" s="418">
        <v>0.8352546296296296</v>
      </c>
      <c r="C2115" s="421" t="s">
        <v>1432</v>
      </c>
    </row>
    <row r="2116" spans="1:3" x14ac:dyDescent="0.25">
      <c r="A2116" s="417">
        <v>41540</v>
      </c>
      <c r="B2116" s="418">
        <v>0.8352546296296296</v>
      </c>
      <c r="C2116" s="421" t="s">
        <v>1432</v>
      </c>
    </row>
    <row r="2117" spans="1:3" x14ac:dyDescent="0.25">
      <c r="A2117" s="417">
        <v>41540</v>
      </c>
      <c r="B2117" s="418">
        <v>0.8352546296296296</v>
      </c>
      <c r="C2117" s="421" t="s">
        <v>1281</v>
      </c>
    </row>
    <row r="2118" spans="1:3" ht="60" x14ac:dyDescent="0.25">
      <c r="A2118" s="417">
        <v>41540</v>
      </c>
      <c r="B2118" s="418">
        <v>0.8352546296296296</v>
      </c>
      <c r="C2118" s="946" t="s">
        <v>1282</v>
      </c>
    </row>
    <row r="2119" spans="1:3" x14ac:dyDescent="0.25">
      <c r="A2119" s="417">
        <v>41540</v>
      </c>
      <c r="B2119" s="418">
        <v>0.83526620370370364</v>
      </c>
      <c r="C2119" s="421" t="s">
        <v>1413</v>
      </c>
    </row>
    <row r="2120" spans="1:3" x14ac:dyDescent="0.25">
      <c r="A2120" s="417">
        <v>41540</v>
      </c>
      <c r="B2120" s="418">
        <v>0.83526620370370364</v>
      </c>
      <c r="C2120" s="421" t="s">
        <v>1499</v>
      </c>
    </row>
    <row r="2121" spans="1:3" x14ac:dyDescent="0.25">
      <c r="A2121" s="417">
        <v>41540</v>
      </c>
      <c r="B2121" s="418">
        <v>0.83526620370370364</v>
      </c>
      <c r="C2121" s="421" t="s">
        <v>1555</v>
      </c>
    </row>
    <row r="2122" spans="1:3" x14ac:dyDescent="0.25">
      <c r="A2122" s="417">
        <v>41540</v>
      </c>
      <c r="B2122" s="418">
        <v>0.83526620370370364</v>
      </c>
      <c r="C2122" s="421" t="s">
        <v>1556</v>
      </c>
    </row>
    <row r="2123" spans="1:3" x14ac:dyDescent="0.25">
      <c r="A2123" s="417">
        <v>41540</v>
      </c>
      <c r="B2123" s="418">
        <v>0.83526620370370364</v>
      </c>
      <c r="C2123" s="421" t="s">
        <v>1557</v>
      </c>
    </row>
    <row r="2124" spans="1:3" x14ac:dyDescent="0.25">
      <c r="A2124" s="417">
        <v>41540</v>
      </c>
      <c r="B2124" s="418">
        <v>0.83526620370370364</v>
      </c>
      <c r="C2124" s="421" t="s">
        <v>1558</v>
      </c>
    </row>
    <row r="2125" spans="1:3" x14ac:dyDescent="0.25">
      <c r="A2125" s="417">
        <v>41540</v>
      </c>
      <c r="B2125" s="418">
        <v>0.83526620370370364</v>
      </c>
      <c r="C2125" s="421" t="s">
        <v>1559</v>
      </c>
    </row>
    <row r="2126" spans="1:3" x14ac:dyDescent="0.25">
      <c r="A2126" s="417">
        <v>41540</v>
      </c>
      <c r="B2126" s="418">
        <v>0.83526620370370364</v>
      </c>
      <c r="C2126" s="421" t="s">
        <v>1560</v>
      </c>
    </row>
    <row r="2127" spans="1:3" x14ac:dyDescent="0.25">
      <c r="A2127" s="417">
        <v>41540</v>
      </c>
      <c r="B2127" s="418">
        <v>0.83526620370370364</v>
      </c>
      <c r="C2127" s="421" t="s">
        <v>1561</v>
      </c>
    </row>
    <row r="2128" spans="1:3" x14ac:dyDescent="0.25">
      <c r="A2128" s="417">
        <v>41540</v>
      </c>
      <c r="B2128" s="418">
        <v>0.83526620370370364</v>
      </c>
      <c r="C2128" s="421" t="s">
        <v>1562</v>
      </c>
    </row>
    <row r="2129" spans="1:3" x14ac:dyDescent="0.25">
      <c r="A2129" s="417">
        <v>41540</v>
      </c>
      <c r="B2129" s="418">
        <v>0.83526620370370364</v>
      </c>
      <c r="C2129" s="421" t="s">
        <v>1320</v>
      </c>
    </row>
    <row r="2130" spans="1:3" x14ac:dyDescent="0.25">
      <c r="A2130" s="417">
        <v>41540</v>
      </c>
      <c r="B2130" s="418">
        <v>0.83526620370370364</v>
      </c>
      <c r="C2130" s="421" t="s">
        <v>1563</v>
      </c>
    </row>
    <row r="2131" spans="1:3" x14ac:dyDescent="0.25">
      <c r="A2131" s="417">
        <v>41540</v>
      </c>
      <c r="B2131" s="418">
        <v>0.83526620370370364</v>
      </c>
      <c r="C2131" s="421" t="s">
        <v>1564</v>
      </c>
    </row>
    <row r="2132" spans="1:3" x14ac:dyDescent="0.25">
      <c r="A2132" s="417">
        <v>41540</v>
      </c>
      <c r="B2132" s="418">
        <v>0.83526620370370364</v>
      </c>
      <c r="C2132" s="421" t="s">
        <v>1565</v>
      </c>
    </row>
    <row r="2133" spans="1:3" x14ac:dyDescent="0.25">
      <c r="A2133" s="417">
        <v>41540</v>
      </c>
      <c r="B2133" s="418">
        <v>0.83526620370370364</v>
      </c>
      <c r="C2133" s="421" t="s">
        <v>1566</v>
      </c>
    </row>
    <row r="2134" spans="1:3" x14ac:dyDescent="0.25">
      <c r="A2134" s="417">
        <v>41540</v>
      </c>
      <c r="B2134" s="418">
        <v>0.83526620370370364</v>
      </c>
      <c r="C2134" s="421" t="s">
        <v>1446</v>
      </c>
    </row>
    <row r="2135" spans="1:3" x14ac:dyDescent="0.25">
      <c r="A2135" s="417">
        <v>41540</v>
      </c>
      <c r="B2135" s="418">
        <v>0.83526620370370364</v>
      </c>
      <c r="C2135" s="421" t="s">
        <v>1238</v>
      </c>
    </row>
    <row r="2136" spans="1:3" x14ac:dyDescent="0.25">
      <c r="A2136" s="417">
        <v>41540</v>
      </c>
      <c r="B2136" s="418">
        <v>0.83526620370370364</v>
      </c>
      <c r="C2136" s="421" t="s">
        <v>1567</v>
      </c>
    </row>
    <row r="2137" spans="1:3" x14ac:dyDescent="0.25">
      <c r="A2137" s="417">
        <v>41540</v>
      </c>
      <c r="B2137" s="418">
        <v>0.83526620370370364</v>
      </c>
      <c r="C2137" s="421" t="s">
        <v>1389</v>
      </c>
    </row>
    <row r="2138" spans="1:3" x14ac:dyDescent="0.25">
      <c r="A2138" s="417">
        <v>41540</v>
      </c>
      <c r="B2138" s="418">
        <v>0.83526620370370364</v>
      </c>
      <c r="C2138" s="421" t="s">
        <v>1448</v>
      </c>
    </row>
    <row r="2139" spans="1:3" x14ac:dyDescent="0.25">
      <c r="A2139" s="417">
        <v>41540</v>
      </c>
      <c r="B2139" s="418">
        <v>0.83526620370370364</v>
      </c>
      <c r="C2139" s="421" t="s">
        <v>1450</v>
      </c>
    </row>
    <row r="2140" spans="1:3" x14ac:dyDescent="0.25">
      <c r="A2140" s="417">
        <v>41540</v>
      </c>
      <c r="B2140" s="418">
        <v>0.83526620370370364</v>
      </c>
      <c r="C2140" s="421" t="s">
        <v>1450</v>
      </c>
    </row>
    <row r="2141" spans="1:3" x14ac:dyDescent="0.25">
      <c r="A2141" s="417">
        <v>41540</v>
      </c>
      <c r="B2141" s="418">
        <v>0.83526620370370364</v>
      </c>
      <c r="C2141" s="421" t="s">
        <v>1450</v>
      </c>
    </row>
    <row r="2142" spans="1:3" x14ac:dyDescent="0.25">
      <c r="A2142" s="417">
        <v>41540</v>
      </c>
      <c r="B2142" s="418">
        <v>0.83526620370370364</v>
      </c>
      <c r="C2142" s="421" t="s">
        <v>1450</v>
      </c>
    </row>
    <row r="2143" spans="1:3" x14ac:dyDescent="0.25">
      <c r="A2143" s="417">
        <v>41540</v>
      </c>
      <c r="B2143" s="418">
        <v>0.83526620370370364</v>
      </c>
      <c r="C2143" s="421" t="s">
        <v>1450</v>
      </c>
    </row>
    <row r="2144" spans="1:3" x14ac:dyDescent="0.25">
      <c r="A2144" s="417">
        <v>41540</v>
      </c>
      <c r="B2144" s="418">
        <v>0.83526620370370364</v>
      </c>
      <c r="C2144" s="421" t="s">
        <v>1450</v>
      </c>
    </row>
    <row r="2145" spans="1:3" x14ac:dyDescent="0.25">
      <c r="A2145" s="417">
        <v>41540</v>
      </c>
      <c r="B2145" s="418">
        <v>0.83526620370370364</v>
      </c>
      <c r="C2145" s="421" t="s">
        <v>1450</v>
      </c>
    </row>
    <row r="2146" spans="1:3" x14ac:dyDescent="0.25">
      <c r="A2146" s="417">
        <v>41540</v>
      </c>
      <c r="B2146" s="418">
        <v>0.83526620370370364</v>
      </c>
      <c r="C2146" s="421" t="s">
        <v>1448</v>
      </c>
    </row>
    <row r="2147" spans="1:3" x14ac:dyDescent="0.25">
      <c r="A2147" s="417">
        <v>41540</v>
      </c>
      <c r="B2147" s="418">
        <v>0.83526620370370364</v>
      </c>
      <c r="C2147" s="421" t="s">
        <v>1399</v>
      </c>
    </row>
    <row r="2148" spans="1:3" x14ac:dyDescent="0.25">
      <c r="A2148" s="417">
        <v>41540</v>
      </c>
      <c r="B2148" s="418">
        <v>0.83526620370370364</v>
      </c>
      <c r="C2148" s="421" t="s">
        <v>1309</v>
      </c>
    </row>
    <row r="2149" spans="1:3" x14ac:dyDescent="0.25">
      <c r="A2149" s="417">
        <v>41540</v>
      </c>
      <c r="B2149" s="418">
        <v>0.83527777777777779</v>
      </c>
      <c r="C2149" s="421" t="s">
        <v>1568</v>
      </c>
    </row>
    <row r="2150" spans="1:3" x14ac:dyDescent="0.25">
      <c r="A2150" s="417">
        <v>41540</v>
      </c>
      <c r="B2150" s="418">
        <v>0.83527777777777779</v>
      </c>
      <c r="C2150" s="421" t="s">
        <v>1569</v>
      </c>
    </row>
    <row r="2151" spans="1:3" x14ac:dyDescent="0.25">
      <c r="A2151" s="417">
        <v>41540</v>
      </c>
      <c r="B2151" s="418">
        <v>0.83527777777777779</v>
      </c>
      <c r="C2151" s="421" t="s">
        <v>1535</v>
      </c>
    </row>
    <row r="2152" spans="1:3" x14ac:dyDescent="0.25">
      <c r="A2152" s="417">
        <v>41540</v>
      </c>
      <c r="B2152" s="418">
        <v>0.83527777777777779</v>
      </c>
      <c r="C2152" s="421" t="s">
        <v>1570</v>
      </c>
    </row>
    <row r="2153" spans="1:3" x14ac:dyDescent="0.25">
      <c r="A2153" s="417">
        <v>41540</v>
      </c>
      <c r="B2153" s="418">
        <v>0.83527777777777779</v>
      </c>
      <c r="C2153" s="421" t="s">
        <v>1571</v>
      </c>
    </row>
    <row r="2154" spans="1:3" x14ac:dyDescent="0.25">
      <c r="A2154" s="417">
        <v>41540</v>
      </c>
      <c r="B2154" s="418">
        <v>0.85950231481481476</v>
      </c>
      <c r="C2154" s="421" t="s">
        <v>1535</v>
      </c>
    </row>
    <row r="2155" spans="1:3" x14ac:dyDescent="0.25">
      <c r="A2155" s="417">
        <v>41540</v>
      </c>
      <c r="B2155" s="418">
        <v>0.86115740740740743</v>
      </c>
      <c r="C2155" s="421" t="s">
        <v>1346</v>
      </c>
    </row>
    <row r="2156" spans="1:3" x14ac:dyDescent="0.25">
      <c r="A2156" s="417">
        <v>41540</v>
      </c>
      <c r="B2156" s="418">
        <v>0.86115740740740743</v>
      </c>
      <c r="C2156" s="421" t="s">
        <v>1238</v>
      </c>
    </row>
    <row r="2157" spans="1:3" x14ac:dyDescent="0.25">
      <c r="A2157" s="417">
        <v>41540</v>
      </c>
      <c r="B2157" s="418">
        <v>0.86115740740740743</v>
      </c>
      <c r="C2157" s="421" t="s">
        <v>1307</v>
      </c>
    </row>
    <row r="2158" spans="1:3" x14ac:dyDescent="0.25">
      <c r="A2158" s="417">
        <v>41540</v>
      </c>
      <c r="B2158" s="418">
        <v>0.86115740740740743</v>
      </c>
      <c r="C2158" s="421" t="s">
        <v>1308</v>
      </c>
    </row>
    <row r="2159" spans="1:3" x14ac:dyDescent="0.25">
      <c r="A2159" s="417">
        <v>41540</v>
      </c>
      <c r="B2159" s="418">
        <v>0.86115740740740743</v>
      </c>
      <c r="C2159" s="421" t="s">
        <v>1309</v>
      </c>
    </row>
    <row r="2160" spans="1:3" x14ac:dyDescent="0.25">
      <c r="A2160" s="417">
        <v>41540</v>
      </c>
      <c r="B2160" s="418">
        <v>0.86115740740740743</v>
      </c>
      <c r="C2160" s="421" t="s">
        <v>1310</v>
      </c>
    </row>
    <row r="2161" spans="1:3" x14ac:dyDescent="0.25">
      <c r="A2161" s="417">
        <v>41540</v>
      </c>
      <c r="B2161" s="418">
        <v>0.86115740740740743</v>
      </c>
      <c r="C2161" s="421" t="s">
        <v>1311</v>
      </c>
    </row>
    <row r="2162" spans="1:3" x14ac:dyDescent="0.25">
      <c r="A2162" s="417">
        <v>41540</v>
      </c>
      <c r="B2162" s="418">
        <v>0.86115740740740743</v>
      </c>
      <c r="C2162" s="421" t="s">
        <v>1312</v>
      </c>
    </row>
    <row r="2163" spans="1:3" x14ac:dyDescent="0.25">
      <c r="A2163" s="417">
        <v>41540</v>
      </c>
      <c r="B2163" s="418">
        <v>0.86115740740740743</v>
      </c>
      <c r="C2163" s="421" t="s">
        <v>1313</v>
      </c>
    </row>
    <row r="2164" spans="1:3" x14ac:dyDescent="0.25">
      <c r="A2164" s="417">
        <v>41540</v>
      </c>
      <c r="B2164" s="418">
        <v>0.86115740740740743</v>
      </c>
      <c r="C2164" s="421" t="s">
        <v>1310</v>
      </c>
    </row>
    <row r="2165" spans="1:3" x14ac:dyDescent="0.25">
      <c r="A2165" s="417">
        <v>41540</v>
      </c>
      <c r="B2165" s="418">
        <v>0.86115740740740743</v>
      </c>
      <c r="C2165" s="421" t="s">
        <v>1314</v>
      </c>
    </row>
    <row r="2166" spans="1:3" x14ac:dyDescent="0.25">
      <c r="A2166" s="417">
        <v>41540</v>
      </c>
      <c r="B2166" s="418">
        <v>0.86115740740740743</v>
      </c>
      <c r="C2166" s="421" t="s">
        <v>1315</v>
      </c>
    </row>
    <row r="2167" spans="1:3" x14ac:dyDescent="0.25">
      <c r="A2167" s="417">
        <v>41540</v>
      </c>
      <c r="B2167" s="418">
        <v>0.86115740740740743</v>
      </c>
      <c r="C2167" s="421" t="s">
        <v>1460</v>
      </c>
    </row>
    <row r="2168" spans="1:3" x14ac:dyDescent="0.25">
      <c r="A2168" s="417">
        <v>41540</v>
      </c>
      <c r="B2168" s="418">
        <v>0.86115740740740743</v>
      </c>
      <c r="C2168" s="421" t="s">
        <v>1461</v>
      </c>
    </row>
    <row r="2169" spans="1:3" x14ac:dyDescent="0.25">
      <c r="A2169" s="417">
        <v>41540</v>
      </c>
      <c r="B2169" s="418">
        <v>0.86115740740740743</v>
      </c>
      <c r="C2169" s="421" t="s">
        <v>1310</v>
      </c>
    </row>
    <row r="2170" spans="1:3" x14ac:dyDescent="0.25">
      <c r="A2170" s="417">
        <v>41540</v>
      </c>
      <c r="B2170" s="418">
        <v>0.86115740740740743</v>
      </c>
      <c r="C2170" s="421" t="s">
        <v>1238</v>
      </c>
    </row>
    <row r="2171" spans="1:3" x14ac:dyDescent="0.25">
      <c r="A2171" s="417">
        <v>41540</v>
      </c>
      <c r="B2171" s="418">
        <v>0.86115740740740743</v>
      </c>
      <c r="C2171" s="421" t="s">
        <v>1462</v>
      </c>
    </row>
    <row r="2172" spans="1:3" x14ac:dyDescent="0.25">
      <c r="A2172" s="417">
        <v>41540</v>
      </c>
      <c r="B2172" s="418">
        <v>0.86115740740740743</v>
      </c>
      <c r="C2172" s="421" t="s">
        <v>1316</v>
      </c>
    </row>
    <row r="2173" spans="1:3" x14ac:dyDescent="0.25">
      <c r="A2173" s="417">
        <v>41540</v>
      </c>
      <c r="B2173" s="418">
        <v>0.86115740740740743</v>
      </c>
      <c r="C2173" s="421" t="s">
        <v>1316</v>
      </c>
    </row>
    <row r="2174" spans="1:3" x14ac:dyDescent="0.25">
      <c r="A2174" s="417">
        <v>41540</v>
      </c>
      <c r="B2174" s="418">
        <v>0.86115740740740743</v>
      </c>
      <c r="C2174" s="421" t="s">
        <v>1317</v>
      </c>
    </row>
    <row r="2175" spans="1:3" x14ac:dyDescent="0.25">
      <c r="A2175" s="417">
        <v>41540</v>
      </c>
      <c r="B2175" s="418">
        <v>0.86115740740740743</v>
      </c>
      <c r="C2175" s="421" t="s">
        <v>1309</v>
      </c>
    </row>
    <row r="2176" spans="1:3" x14ac:dyDescent="0.25">
      <c r="A2176" s="417">
        <v>41540</v>
      </c>
      <c r="B2176" s="418">
        <v>0.86115740740740743</v>
      </c>
      <c r="C2176" s="421" t="s">
        <v>1318</v>
      </c>
    </row>
    <row r="2177" spans="1:3" x14ac:dyDescent="0.25">
      <c r="A2177" s="417">
        <v>41540</v>
      </c>
      <c r="B2177" s="418">
        <v>0.86990740740740735</v>
      </c>
      <c r="C2177" s="421" t="s">
        <v>1535</v>
      </c>
    </row>
    <row r="2178" spans="1:3" x14ac:dyDescent="0.25">
      <c r="A2178" s="417">
        <v>41540</v>
      </c>
      <c r="B2178" s="418">
        <v>0.86990740740740735</v>
      </c>
      <c r="C2178" s="421" t="s">
        <v>1346</v>
      </c>
    </row>
    <row r="2179" spans="1:3" x14ac:dyDescent="0.25">
      <c r="A2179" s="417">
        <v>41540</v>
      </c>
      <c r="B2179" s="418">
        <v>0.86990740740740735</v>
      </c>
      <c r="C2179" s="421" t="s">
        <v>1238</v>
      </c>
    </row>
    <row r="2180" spans="1:3" x14ac:dyDescent="0.25">
      <c r="A2180" s="417">
        <v>41540</v>
      </c>
      <c r="B2180" s="418">
        <v>0.86990740740740735</v>
      </c>
      <c r="C2180" s="421" t="s">
        <v>1307</v>
      </c>
    </row>
    <row r="2181" spans="1:3" x14ac:dyDescent="0.25">
      <c r="A2181" s="417">
        <v>41540</v>
      </c>
      <c r="B2181" s="418">
        <v>0.86990740740740735</v>
      </c>
      <c r="C2181" s="421" t="s">
        <v>1308</v>
      </c>
    </row>
    <row r="2182" spans="1:3" x14ac:dyDescent="0.25">
      <c r="A2182" s="417">
        <v>41540</v>
      </c>
      <c r="B2182" s="418">
        <v>0.86990740740740735</v>
      </c>
      <c r="C2182" s="421" t="s">
        <v>1309</v>
      </c>
    </row>
    <row r="2183" spans="1:3" x14ac:dyDescent="0.25">
      <c r="A2183" s="417">
        <v>41540</v>
      </c>
      <c r="B2183" s="418">
        <v>0.86990740740740735</v>
      </c>
      <c r="C2183" s="421" t="s">
        <v>1310</v>
      </c>
    </row>
    <row r="2184" spans="1:3" x14ac:dyDescent="0.25">
      <c r="A2184" s="417">
        <v>41540</v>
      </c>
      <c r="B2184" s="418">
        <v>0.86990740740740735</v>
      </c>
      <c r="C2184" s="421" t="s">
        <v>1311</v>
      </c>
    </row>
    <row r="2185" spans="1:3" x14ac:dyDescent="0.25">
      <c r="A2185" s="417">
        <v>41540</v>
      </c>
      <c r="B2185" s="418">
        <v>0.86990740740740735</v>
      </c>
      <c r="C2185" s="421" t="s">
        <v>1312</v>
      </c>
    </row>
    <row r="2186" spans="1:3" x14ac:dyDescent="0.25">
      <c r="A2186" s="417">
        <v>41540</v>
      </c>
      <c r="B2186" s="418">
        <v>0.86990740740740735</v>
      </c>
      <c r="C2186" s="421" t="s">
        <v>1313</v>
      </c>
    </row>
    <row r="2187" spans="1:3" x14ac:dyDescent="0.25">
      <c r="A2187" s="417">
        <v>41540</v>
      </c>
      <c r="B2187" s="418">
        <v>0.86990740740740735</v>
      </c>
      <c r="C2187" s="421" t="s">
        <v>1310</v>
      </c>
    </row>
    <row r="2188" spans="1:3" x14ac:dyDescent="0.25">
      <c r="A2188" s="417">
        <v>41540</v>
      </c>
      <c r="B2188" s="418">
        <v>0.86990740740740735</v>
      </c>
      <c r="C2188" s="421" t="s">
        <v>1314</v>
      </c>
    </row>
    <row r="2189" spans="1:3" x14ac:dyDescent="0.25">
      <c r="A2189" s="417">
        <v>41540</v>
      </c>
      <c r="B2189" s="418">
        <v>0.86990740740740735</v>
      </c>
      <c r="C2189" s="421" t="s">
        <v>1315</v>
      </c>
    </row>
    <row r="2190" spans="1:3" x14ac:dyDescent="0.25">
      <c r="A2190" s="417">
        <v>41540</v>
      </c>
      <c r="B2190" s="418">
        <v>0.86990740740740735</v>
      </c>
      <c r="C2190" s="421" t="s">
        <v>1460</v>
      </c>
    </row>
    <row r="2191" spans="1:3" x14ac:dyDescent="0.25">
      <c r="A2191" s="417">
        <v>41540</v>
      </c>
      <c r="B2191" s="418">
        <v>0.86990740740740735</v>
      </c>
      <c r="C2191" s="421" t="s">
        <v>1461</v>
      </c>
    </row>
    <row r="2192" spans="1:3" x14ac:dyDescent="0.25">
      <c r="A2192" s="417">
        <v>41540</v>
      </c>
      <c r="B2192" s="418">
        <v>0.86990740740740735</v>
      </c>
      <c r="C2192" s="421" t="s">
        <v>1310</v>
      </c>
    </row>
    <row r="2193" spans="1:3" x14ac:dyDescent="0.25">
      <c r="A2193" s="417">
        <v>41540</v>
      </c>
      <c r="B2193" s="418">
        <v>0.86990740740740735</v>
      </c>
      <c r="C2193" s="421" t="s">
        <v>1238</v>
      </c>
    </row>
    <row r="2194" spans="1:3" x14ac:dyDescent="0.25">
      <c r="A2194" s="417">
        <v>41540</v>
      </c>
      <c r="B2194" s="418">
        <v>0.86990740740740735</v>
      </c>
      <c r="C2194" s="421" t="s">
        <v>1462</v>
      </c>
    </row>
    <row r="2195" spans="1:3" x14ac:dyDescent="0.25">
      <c r="A2195" s="417">
        <v>41540</v>
      </c>
      <c r="B2195" s="418">
        <v>0.86990740740740735</v>
      </c>
      <c r="C2195" s="421" t="s">
        <v>1316</v>
      </c>
    </row>
    <row r="2196" spans="1:3" x14ac:dyDescent="0.25">
      <c r="A2196" s="417">
        <v>41540</v>
      </c>
      <c r="B2196" s="418">
        <v>0.86990740740740735</v>
      </c>
      <c r="C2196" s="421" t="s">
        <v>1316</v>
      </c>
    </row>
    <row r="2197" spans="1:3" x14ac:dyDescent="0.25">
      <c r="A2197" s="417">
        <v>41540</v>
      </c>
      <c r="B2197" s="418">
        <v>0.86990740740740735</v>
      </c>
      <c r="C2197" s="421" t="s">
        <v>1317</v>
      </c>
    </row>
    <row r="2198" spans="1:3" x14ac:dyDescent="0.25">
      <c r="A2198" s="417">
        <v>41540</v>
      </c>
      <c r="B2198" s="418">
        <v>0.86990740740740735</v>
      </c>
      <c r="C2198" s="421" t="s">
        <v>1309</v>
      </c>
    </row>
    <row r="2199" spans="1:3" x14ac:dyDescent="0.25">
      <c r="A2199" s="417">
        <v>41540</v>
      </c>
      <c r="B2199" s="418">
        <v>0.86990740740740735</v>
      </c>
      <c r="C2199" s="421" t="s">
        <v>1318</v>
      </c>
    </row>
    <row r="2200" spans="1:3" x14ac:dyDescent="0.25">
      <c r="A2200" s="417">
        <v>41540</v>
      </c>
      <c r="B2200" s="418">
        <v>0.89178240740740744</v>
      </c>
      <c r="C2200" s="421" t="s">
        <v>1535</v>
      </c>
    </row>
    <row r="2201" spans="1:3" x14ac:dyDescent="0.25">
      <c r="A2201" s="417">
        <v>41540</v>
      </c>
      <c r="B2201" s="418">
        <v>0.89178240740740744</v>
      </c>
      <c r="C2201" s="421" t="s">
        <v>1346</v>
      </c>
    </row>
    <row r="2202" spans="1:3" x14ac:dyDescent="0.25">
      <c r="A2202" s="417">
        <v>41540</v>
      </c>
      <c r="B2202" s="418">
        <v>0.89178240740740744</v>
      </c>
      <c r="C2202" s="421" t="s">
        <v>1238</v>
      </c>
    </row>
    <row r="2203" spans="1:3" x14ac:dyDescent="0.25">
      <c r="A2203" s="417">
        <v>41540</v>
      </c>
      <c r="B2203" s="418">
        <v>0.89178240740740744</v>
      </c>
      <c r="C2203" s="421" t="s">
        <v>1307</v>
      </c>
    </row>
    <row r="2204" spans="1:3" x14ac:dyDescent="0.25">
      <c r="A2204" s="417">
        <v>41540</v>
      </c>
      <c r="B2204" s="418">
        <v>0.89178240740740744</v>
      </c>
      <c r="C2204" s="421" t="s">
        <v>1308</v>
      </c>
    </row>
    <row r="2205" spans="1:3" x14ac:dyDescent="0.25">
      <c r="A2205" s="417">
        <v>41540</v>
      </c>
      <c r="B2205" s="418">
        <v>0.89178240740740744</v>
      </c>
      <c r="C2205" s="421" t="s">
        <v>1309</v>
      </c>
    </row>
    <row r="2206" spans="1:3" x14ac:dyDescent="0.25">
      <c r="A2206" s="417">
        <v>41540</v>
      </c>
      <c r="B2206" s="418">
        <v>0.89178240740740744</v>
      </c>
      <c r="C2206" s="421" t="s">
        <v>1310</v>
      </c>
    </row>
    <row r="2207" spans="1:3" x14ac:dyDescent="0.25">
      <c r="A2207" s="417">
        <v>41540</v>
      </c>
      <c r="B2207" s="418">
        <v>0.89178240740740744</v>
      </c>
      <c r="C2207" s="421" t="s">
        <v>1311</v>
      </c>
    </row>
    <row r="2208" spans="1:3" x14ac:dyDescent="0.25">
      <c r="A2208" s="417">
        <v>41540</v>
      </c>
      <c r="B2208" s="418">
        <v>0.89178240740740744</v>
      </c>
      <c r="C2208" s="421" t="s">
        <v>1312</v>
      </c>
    </row>
    <row r="2209" spans="1:3" x14ac:dyDescent="0.25">
      <c r="A2209" s="417">
        <v>41540</v>
      </c>
      <c r="B2209" s="418">
        <v>0.89178240740740744</v>
      </c>
      <c r="C2209" s="421" t="s">
        <v>1313</v>
      </c>
    </row>
    <row r="2210" spans="1:3" x14ac:dyDescent="0.25">
      <c r="A2210" s="417">
        <v>41540</v>
      </c>
      <c r="B2210" s="418">
        <v>0.89178240740740744</v>
      </c>
      <c r="C2210" s="421" t="s">
        <v>1310</v>
      </c>
    </row>
    <row r="2211" spans="1:3" x14ac:dyDescent="0.25">
      <c r="A2211" s="417">
        <v>41540</v>
      </c>
      <c r="B2211" s="418">
        <v>0.89178240740740744</v>
      </c>
      <c r="C2211" s="421" t="s">
        <v>1314</v>
      </c>
    </row>
    <row r="2212" spans="1:3" x14ac:dyDescent="0.25">
      <c r="A2212" s="417">
        <v>41540</v>
      </c>
      <c r="B2212" s="418">
        <v>0.89178240740740744</v>
      </c>
      <c r="C2212" s="421" t="s">
        <v>1315</v>
      </c>
    </row>
    <row r="2213" spans="1:3" x14ac:dyDescent="0.25">
      <c r="A2213" s="417">
        <v>41540</v>
      </c>
      <c r="B2213" s="418">
        <v>0.89178240740740744</v>
      </c>
      <c r="C2213" s="421" t="s">
        <v>1460</v>
      </c>
    </row>
    <row r="2214" spans="1:3" x14ac:dyDescent="0.25">
      <c r="A2214" s="417">
        <v>41540</v>
      </c>
      <c r="B2214" s="418">
        <v>0.89178240740740744</v>
      </c>
      <c r="C2214" s="421" t="s">
        <v>1461</v>
      </c>
    </row>
    <row r="2215" spans="1:3" x14ac:dyDescent="0.25">
      <c r="A2215" s="417">
        <v>41540</v>
      </c>
      <c r="B2215" s="418">
        <v>0.89178240740740744</v>
      </c>
      <c r="C2215" s="421" t="s">
        <v>1310</v>
      </c>
    </row>
    <row r="2216" spans="1:3" x14ac:dyDescent="0.25">
      <c r="A2216" s="417">
        <v>41540</v>
      </c>
      <c r="B2216" s="418">
        <v>0.89178240740740744</v>
      </c>
      <c r="C2216" s="421" t="s">
        <v>1238</v>
      </c>
    </row>
    <row r="2217" spans="1:3" x14ac:dyDescent="0.25">
      <c r="A2217" s="417">
        <v>41540</v>
      </c>
      <c r="B2217" s="418">
        <v>0.89178240740740744</v>
      </c>
      <c r="C2217" s="421" t="s">
        <v>1462</v>
      </c>
    </row>
    <row r="2218" spans="1:3" x14ac:dyDescent="0.25">
      <c r="A2218" s="417">
        <v>41540</v>
      </c>
      <c r="B2218" s="418">
        <v>0.89178240740740744</v>
      </c>
      <c r="C2218" s="421" t="s">
        <v>1316</v>
      </c>
    </row>
    <row r="2219" spans="1:3" x14ac:dyDescent="0.25">
      <c r="A2219" s="417">
        <v>41540</v>
      </c>
      <c r="B2219" s="418">
        <v>0.89178240740740744</v>
      </c>
      <c r="C2219" s="421" t="s">
        <v>1316</v>
      </c>
    </row>
    <row r="2220" spans="1:3" x14ac:dyDescent="0.25">
      <c r="A2220" s="417">
        <v>41540</v>
      </c>
      <c r="B2220" s="418">
        <v>0.89178240740740744</v>
      </c>
      <c r="C2220" s="421" t="s">
        <v>1317</v>
      </c>
    </row>
    <row r="2221" spans="1:3" x14ac:dyDescent="0.25">
      <c r="A2221" s="417">
        <v>41540</v>
      </c>
      <c r="B2221" s="418">
        <v>0.89178240740740744</v>
      </c>
      <c r="C2221" s="421" t="s">
        <v>1309</v>
      </c>
    </row>
    <row r="2222" spans="1:3" x14ac:dyDescent="0.25">
      <c r="A2222" s="417">
        <v>41540</v>
      </c>
      <c r="B2222" s="418">
        <v>0.89178240740740744</v>
      </c>
      <c r="C2222" s="421" t="s">
        <v>1318</v>
      </c>
    </row>
    <row r="2223" spans="1:3" x14ac:dyDescent="0.25">
      <c r="A2223" s="417">
        <v>41540</v>
      </c>
      <c r="B2223" s="418">
        <v>0.89328703703703705</v>
      </c>
      <c r="C2223" s="421" t="s">
        <v>1535</v>
      </c>
    </row>
    <row r="2224" spans="1:3" x14ac:dyDescent="0.25">
      <c r="A2224" s="417">
        <v>41540</v>
      </c>
      <c r="B2224" s="418">
        <v>0.89328703703703705</v>
      </c>
      <c r="C2224" s="421" t="s">
        <v>1346</v>
      </c>
    </row>
    <row r="2225" spans="1:3" x14ac:dyDescent="0.25">
      <c r="A2225" s="417">
        <v>41540</v>
      </c>
      <c r="B2225" s="418">
        <v>0.89328703703703705</v>
      </c>
      <c r="C2225" s="421" t="s">
        <v>1238</v>
      </c>
    </row>
    <row r="2226" spans="1:3" x14ac:dyDescent="0.25">
      <c r="A2226" s="417">
        <v>41540</v>
      </c>
      <c r="B2226" s="418">
        <v>0.89328703703703705</v>
      </c>
      <c r="C2226" s="421" t="s">
        <v>1307</v>
      </c>
    </row>
    <row r="2227" spans="1:3" x14ac:dyDescent="0.25">
      <c r="A2227" s="417">
        <v>41540</v>
      </c>
      <c r="B2227" s="418">
        <v>0.89328703703703705</v>
      </c>
      <c r="C2227" s="421" t="s">
        <v>1308</v>
      </c>
    </row>
    <row r="2228" spans="1:3" x14ac:dyDescent="0.25">
      <c r="A2228" s="417">
        <v>41540</v>
      </c>
      <c r="B2228" s="418">
        <v>0.89328703703703705</v>
      </c>
      <c r="C2228" s="421" t="s">
        <v>1309</v>
      </c>
    </row>
    <row r="2229" spans="1:3" x14ac:dyDescent="0.25">
      <c r="A2229" s="417">
        <v>41540</v>
      </c>
      <c r="B2229" s="418">
        <v>0.89328703703703705</v>
      </c>
      <c r="C2229" s="421" t="s">
        <v>1310</v>
      </c>
    </row>
    <row r="2230" spans="1:3" x14ac:dyDescent="0.25">
      <c r="A2230" s="417">
        <v>41540</v>
      </c>
      <c r="B2230" s="418">
        <v>0.89328703703703705</v>
      </c>
      <c r="C2230" s="421" t="s">
        <v>1311</v>
      </c>
    </row>
    <row r="2231" spans="1:3" x14ac:dyDescent="0.25">
      <c r="A2231" s="417">
        <v>41540</v>
      </c>
      <c r="B2231" s="418">
        <v>0.89328703703703705</v>
      </c>
      <c r="C2231" s="421" t="s">
        <v>1312</v>
      </c>
    </row>
    <row r="2232" spans="1:3" x14ac:dyDescent="0.25">
      <c r="A2232" s="417">
        <v>41540</v>
      </c>
      <c r="B2232" s="418">
        <v>0.89328703703703705</v>
      </c>
      <c r="C2232" s="421" t="s">
        <v>1313</v>
      </c>
    </row>
    <row r="2233" spans="1:3" x14ac:dyDescent="0.25">
      <c r="A2233" s="417">
        <v>41540</v>
      </c>
      <c r="B2233" s="418">
        <v>0.89328703703703705</v>
      </c>
      <c r="C2233" s="421" t="s">
        <v>1310</v>
      </c>
    </row>
    <row r="2234" spans="1:3" x14ac:dyDescent="0.25">
      <c r="A2234" s="417">
        <v>41540</v>
      </c>
      <c r="B2234" s="418">
        <v>0.89328703703703705</v>
      </c>
      <c r="C2234" s="421" t="s">
        <v>1314</v>
      </c>
    </row>
    <row r="2235" spans="1:3" x14ac:dyDescent="0.25">
      <c r="A2235" s="417">
        <v>41540</v>
      </c>
      <c r="B2235" s="418">
        <v>0.89328703703703705</v>
      </c>
      <c r="C2235" s="421" t="s">
        <v>1315</v>
      </c>
    </row>
    <row r="2236" spans="1:3" x14ac:dyDescent="0.25">
      <c r="A2236" s="417">
        <v>41540</v>
      </c>
      <c r="B2236" s="418">
        <v>0.89328703703703705</v>
      </c>
      <c r="C2236" s="421" t="s">
        <v>1460</v>
      </c>
    </row>
    <row r="2237" spans="1:3" x14ac:dyDescent="0.25">
      <c r="A2237" s="417">
        <v>41540</v>
      </c>
      <c r="B2237" s="418">
        <v>0.89328703703703705</v>
      </c>
      <c r="C2237" s="421" t="s">
        <v>1461</v>
      </c>
    </row>
    <row r="2238" spans="1:3" x14ac:dyDescent="0.25">
      <c r="A2238" s="417">
        <v>41540</v>
      </c>
      <c r="B2238" s="418">
        <v>0.89328703703703705</v>
      </c>
      <c r="C2238" s="421" t="s">
        <v>1310</v>
      </c>
    </row>
    <row r="2239" spans="1:3" x14ac:dyDescent="0.25">
      <c r="A2239" s="417">
        <v>41540</v>
      </c>
      <c r="B2239" s="418">
        <v>0.89328703703703705</v>
      </c>
      <c r="C2239" s="421" t="s">
        <v>1238</v>
      </c>
    </row>
    <row r="2240" spans="1:3" x14ac:dyDescent="0.25">
      <c r="A2240" s="417">
        <v>41540</v>
      </c>
      <c r="B2240" s="418">
        <v>0.89328703703703705</v>
      </c>
      <c r="C2240" s="421" t="s">
        <v>1462</v>
      </c>
    </row>
    <row r="2241" spans="1:3" x14ac:dyDescent="0.25">
      <c r="A2241" s="417">
        <v>41540</v>
      </c>
      <c r="B2241" s="418">
        <v>0.89328703703703705</v>
      </c>
      <c r="C2241" s="421" t="s">
        <v>1316</v>
      </c>
    </row>
    <row r="2242" spans="1:3" x14ac:dyDescent="0.25">
      <c r="A2242" s="417">
        <v>41540</v>
      </c>
      <c r="B2242" s="418">
        <v>0.89328703703703705</v>
      </c>
      <c r="C2242" s="421" t="s">
        <v>1316</v>
      </c>
    </row>
    <row r="2243" spans="1:3" x14ac:dyDescent="0.25">
      <c r="A2243" s="417">
        <v>41540</v>
      </c>
      <c r="B2243" s="418">
        <v>0.89328703703703705</v>
      </c>
      <c r="C2243" s="421" t="s">
        <v>1317</v>
      </c>
    </row>
    <row r="2244" spans="1:3" x14ac:dyDescent="0.25">
      <c r="A2244" s="417">
        <v>41540</v>
      </c>
      <c r="B2244" s="418">
        <v>0.89328703703703705</v>
      </c>
      <c r="C2244" s="421" t="s">
        <v>1309</v>
      </c>
    </row>
    <row r="2245" spans="1:3" x14ac:dyDescent="0.25">
      <c r="A2245" s="417">
        <v>41540</v>
      </c>
      <c r="B2245" s="418">
        <v>0.89328703703703705</v>
      </c>
      <c r="C2245" s="421" t="s">
        <v>1318</v>
      </c>
    </row>
    <row r="2246" spans="1:3" x14ac:dyDescent="0.25">
      <c r="A2246" s="417">
        <v>41540</v>
      </c>
      <c r="B2246" s="418">
        <v>0.90363425925925922</v>
      </c>
      <c r="C2246" s="421" t="s">
        <v>1535</v>
      </c>
    </row>
    <row r="2247" spans="1:3" x14ac:dyDescent="0.25">
      <c r="A2247" s="417">
        <v>41540</v>
      </c>
      <c r="B2247" s="418">
        <v>0.90363425925925922</v>
      </c>
      <c r="C2247" s="421" t="s">
        <v>1346</v>
      </c>
    </row>
    <row r="2248" spans="1:3" x14ac:dyDescent="0.25">
      <c r="A2248" s="417">
        <v>41540</v>
      </c>
      <c r="B2248" s="418">
        <v>0.90363425925925922</v>
      </c>
      <c r="C2248" s="421" t="s">
        <v>1238</v>
      </c>
    </row>
    <row r="2249" spans="1:3" x14ac:dyDescent="0.25">
      <c r="A2249" s="417">
        <v>41540</v>
      </c>
      <c r="B2249" s="418">
        <v>0.90363425925925922</v>
      </c>
      <c r="C2249" s="421" t="s">
        <v>1307</v>
      </c>
    </row>
    <row r="2250" spans="1:3" x14ac:dyDescent="0.25">
      <c r="A2250" s="417">
        <v>41540</v>
      </c>
      <c r="B2250" s="418">
        <v>0.90363425925925922</v>
      </c>
      <c r="C2250" s="421" t="s">
        <v>1308</v>
      </c>
    </row>
    <row r="2251" spans="1:3" x14ac:dyDescent="0.25">
      <c r="A2251" s="417">
        <v>41540</v>
      </c>
      <c r="B2251" s="418">
        <v>0.90363425925925922</v>
      </c>
      <c r="C2251" s="421" t="s">
        <v>1309</v>
      </c>
    </row>
    <row r="2252" spans="1:3" x14ac:dyDescent="0.25">
      <c r="A2252" s="417">
        <v>41540</v>
      </c>
      <c r="B2252" s="418">
        <v>0.90363425925925922</v>
      </c>
      <c r="C2252" s="421" t="s">
        <v>1310</v>
      </c>
    </row>
    <row r="2253" spans="1:3" x14ac:dyDescent="0.25">
      <c r="A2253" s="417">
        <v>41540</v>
      </c>
      <c r="B2253" s="418">
        <v>0.90363425925925922</v>
      </c>
      <c r="C2253" s="421" t="s">
        <v>1311</v>
      </c>
    </row>
    <row r="2254" spans="1:3" x14ac:dyDescent="0.25">
      <c r="A2254" s="417">
        <v>41540</v>
      </c>
      <c r="B2254" s="418">
        <v>0.90363425925925922</v>
      </c>
      <c r="C2254" s="421" t="s">
        <v>1312</v>
      </c>
    </row>
    <row r="2255" spans="1:3" x14ac:dyDescent="0.25">
      <c r="A2255" s="417">
        <v>41540</v>
      </c>
      <c r="B2255" s="418">
        <v>0.90363425925925922</v>
      </c>
      <c r="C2255" s="421" t="s">
        <v>1313</v>
      </c>
    </row>
    <row r="2256" spans="1:3" x14ac:dyDescent="0.25">
      <c r="A2256" s="417">
        <v>41540</v>
      </c>
      <c r="B2256" s="418">
        <v>0.90363425925925922</v>
      </c>
      <c r="C2256" s="421" t="s">
        <v>1310</v>
      </c>
    </row>
    <row r="2257" spans="1:3" x14ac:dyDescent="0.25">
      <c r="A2257" s="417">
        <v>41540</v>
      </c>
      <c r="B2257" s="418">
        <v>0.90363425925925922</v>
      </c>
      <c r="C2257" s="421" t="s">
        <v>1314</v>
      </c>
    </row>
    <row r="2258" spans="1:3" x14ac:dyDescent="0.25">
      <c r="A2258" s="417">
        <v>41540</v>
      </c>
      <c r="B2258" s="418">
        <v>0.90363425925925922</v>
      </c>
      <c r="C2258" s="421" t="s">
        <v>1315</v>
      </c>
    </row>
    <row r="2259" spans="1:3" x14ac:dyDescent="0.25">
      <c r="A2259" s="417">
        <v>41540</v>
      </c>
      <c r="B2259" s="418">
        <v>0.90363425925925922</v>
      </c>
      <c r="C2259" s="421" t="s">
        <v>1460</v>
      </c>
    </row>
    <row r="2260" spans="1:3" x14ac:dyDescent="0.25">
      <c r="A2260" s="417">
        <v>41540</v>
      </c>
      <c r="B2260" s="418">
        <v>0.90363425925925922</v>
      </c>
      <c r="C2260" s="421" t="s">
        <v>1461</v>
      </c>
    </row>
    <row r="2261" spans="1:3" x14ac:dyDescent="0.25">
      <c r="A2261" s="417">
        <v>41540</v>
      </c>
      <c r="B2261" s="418">
        <v>0.90363425925925922</v>
      </c>
      <c r="C2261" s="421" t="s">
        <v>1310</v>
      </c>
    </row>
    <row r="2262" spans="1:3" x14ac:dyDescent="0.25">
      <c r="A2262" s="417">
        <v>41540</v>
      </c>
      <c r="B2262" s="418">
        <v>0.90363425925925922</v>
      </c>
      <c r="C2262" s="421" t="s">
        <v>1238</v>
      </c>
    </row>
    <row r="2263" spans="1:3" x14ac:dyDescent="0.25">
      <c r="A2263" s="417">
        <v>41540</v>
      </c>
      <c r="B2263" s="418">
        <v>0.90363425925925922</v>
      </c>
      <c r="C2263" s="421" t="s">
        <v>1462</v>
      </c>
    </row>
    <row r="2264" spans="1:3" x14ac:dyDescent="0.25">
      <c r="A2264" s="417">
        <v>41540</v>
      </c>
      <c r="B2264" s="418">
        <v>0.90363425925925922</v>
      </c>
      <c r="C2264" s="421" t="s">
        <v>1316</v>
      </c>
    </row>
    <row r="2265" spans="1:3" x14ac:dyDescent="0.25">
      <c r="A2265" s="417">
        <v>41540</v>
      </c>
      <c r="B2265" s="418">
        <v>0.90363425925925922</v>
      </c>
      <c r="C2265" s="421" t="s">
        <v>1316</v>
      </c>
    </row>
    <row r="2266" spans="1:3" x14ac:dyDescent="0.25">
      <c r="A2266" s="417">
        <v>41540</v>
      </c>
      <c r="B2266" s="418">
        <v>0.90363425925925922</v>
      </c>
      <c r="C2266" s="421" t="s">
        <v>1317</v>
      </c>
    </row>
    <row r="2267" spans="1:3" x14ac:dyDescent="0.25">
      <c r="A2267" s="417">
        <v>41540</v>
      </c>
      <c r="B2267" s="418">
        <v>0.90363425925925922</v>
      </c>
      <c r="C2267" s="421" t="s">
        <v>1309</v>
      </c>
    </row>
    <row r="2268" spans="1:3" x14ac:dyDescent="0.25">
      <c r="A2268" s="417">
        <v>41540</v>
      </c>
      <c r="B2268" s="418">
        <v>0.90363425925925922</v>
      </c>
      <c r="C2268" s="421" t="s">
        <v>1318</v>
      </c>
    </row>
    <row r="2269" spans="1:3" ht="45" x14ac:dyDescent="0.25">
      <c r="A2269" s="417">
        <v>41540</v>
      </c>
      <c r="B2269" s="418">
        <v>0.91060185185185183</v>
      </c>
      <c r="C2269" s="946" t="s">
        <v>1574</v>
      </c>
    </row>
    <row r="2270" spans="1:3" ht="45" x14ac:dyDescent="0.25">
      <c r="A2270" s="417">
        <v>41540</v>
      </c>
      <c r="B2270" s="418">
        <v>0.91075231481481478</v>
      </c>
      <c r="C2270" s="946" t="s">
        <v>1575</v>
      </c>
    </row>
    <row r="2271" spans="1:3" x14ac:dyDescent="0.25">
      <c r="A2271" s="417">
        <v>41540</v>
      </c>
      <c r="B2271" s="418">
        <v>0.91208333333333336</v>
      </c>
      <c r="C2271" s="421" t="s">
        <v>1265</v>
      </c>
    </row>
    <row r="2272" spans="1:3" ht="45" x14ac:dyDescent="0.25">
      <c r="A2272" s="417">
        <v>41540</v>
      </c>
      <c r="B2272" s="418">
        <v>0.9170949074074074</v>
      </c>
      <c r="C2272" s="946" t="s">
        <v>1574</v>
      </c>
    </row>
    <row r="2273" spans="1:3" x14ac:dyDescent="0.25">
      <c r="A2273" s="417">
        <v>41540</v>
      </c>
      <c r="B2273" s="418">
        <v>0.92060185185185184</v>
      </c>
      <c r="C2273" s="421" t="s">
        <v>1535</v>
      </c>
    </row>
    <row r="2274" spans="1:3" x14ac:dyDescent="0.25">
      <c r="A2274" s="417">
        <v>41540</v>
      </c>
      <c r="B2274" s="418">
        <v>0.92060185185185184</v>
      </c>
      <c r="C2274" s="421" t="s">
        <v>1346</v>
      </c>
    </row>
    <row r="2275" spans="1:3" x14ac:dyDescent="0.25">
      <c r="A2275" s="417">
        <v>41540</v>
      </c>
      <c r="B2275" s="418">
        <v>0.92060185185185184</v>
      </c>
      <c r="C2275" s="421" t="s">
        <v>1238</v>
      </c>
    </row>
    <row r="2276" spans="1:3" x14ac:dyDescent="0.25">
      <c r="A2276" s="417">
        <v>41540</v>
      </c>
      <c r="B2276" s="418">
        <v>0.92060185185185184</v>
      </c>
      <c r="C2276" s="421" t="s">
        <v>1307</v>
      </c>
    </row>
    <row r="2277" spans="1:3" x14ac:dyDescent="0.25">
      <c r="A2277" s="417">
        <v>41540</v>
      </c>
      <c r="B2277" s="418">
        <v>0.92060185185185184</v>
      </c>
      <c r="C2277" s="421" t="s">
        <v>1308</v>
      </c>
    </row>
    <row r="2278" spans="1:3" x14ac:dyDescent="0.25">
      <c r="A2278" s="417">
        <v>41540</v>
      </c>
      <c r="B2278" s="418">
        <v>0.92060185185185184</v>
      </c>
      <c r="C2278" s="421" t="s">
        <v>1309</v>
      </c>
    </row>
    <row r="2279" spans="1:3" x14ac:dyDescent="0.25">
      <c r="A2279" s="417">
        <v>41540</v>
      </c>
      <c r="B2279" s="418">
        <v>0.92060185185185184</v>
      </c>
      <c r="C2279" s="421" t="s">
        <v>1310</v>
      </c>
    </row>
    <row r="2280" spans="1:3" x14ac:dyDescent="0.25">
      <c r="A2280" s="417">
        <v>41540</v>
      </c>
      <c r="B2280" s="418">
        <v>0.92060185185185184</v>
      </c>
      <c r="C2280" s="421" t="s">
        <v>1311</v>
      </c>
    </row>
    <row r="2281" spans="1:3" x14ac:dyDescent="0.25">
      <c r="A2281" s="417">
        <v>41540</v>
      </c>
      <c r="B2281" s="418">
        <v>0.92060185185185184</v>
      </c>
      <c r="C2281" s="421" t="s">
        <v>1312</v>
      </c>
    </row>
    <row r="2282" spans="1:3" x14ac:dyDescent="0.25">
      <c r="A2282" s="417">
        <v>41540</v>
      </c>
      <c r="B2282" s="418">
        <v>0.92060185185185184</v>
      </c>
      <c r="C2282" s="421" t="s">
        <v>1313</v>
      </c>
    </row>
    <row r="2283" spans="1:3" x14ac:dyDescent="0.25">
      <c r="A2283" s="417">
        <v>41540</v>
      </c>
      <c r="B2283" s="418">
        <v>0.92060185185185184</v>
      </c>
      <c r="C2283" s="421" t="s">
        <v>1310</v>
      </c>
    </row>
    <row r="2284" spans="1:3" x14ac:dyDescent="0.25">
      <c r="A2284" s="417">
        <v>41540</v>
      </c>
      <c r="B2284" s="418">
        <v>0.92060185185185184</v>
      </c>
      <c r="C2284" s="421" t="s">
        <v>1314</v>
      </c>
    </row>
    <row r="2285" spans="1:3" x14ac:dyDescent="0.25">
      <c r="A2285" s="417">
        <v>41540</v>
      </c>
      <c r="B2285" s="418">
        <v>0.92060185185185184</v>
      </c>
      <c r="C2285" s="421" t="s">
        <v>1315</v>
      </c>
    </row>
    <row r="2286" spans="1:3" x14ac:dyDescent="0.25">
      <c r="A2286" s="417">
        <v>41540</v>
      </c>
      <c r="B2286" s="418">
        <v>0.92060185185185184</v>
      </c>
      <c r="C2286" s="421" t="s">
        <v>1460</v>
      </c>
    </row>
    <row r="2287" spans="1:3" x14ac:dyDescent="0.25">
      <c r="A2287" s="417">
        <v>41540</v>
      </c>
      <c r="B2287" s="418">
        <v>0.92060185185185184</v>
      </c>
      <c r="C2287" s="421" t="s">
        <v>1461</v>
      </c>
    </row>
    <row r="2288" spans="1:3" x14ac:dyDescent="0.25">
      <c r="A2288" s="417">
        <v>41540</v>
      </c>
      <c r="B2288" s="418">
        <v>0.92060185185185184</v>
      </c>
      <c r="C2288" s="421" t="s">
        <v>1310</v>
      </c>
    </row>
    <row r="2289" spans="1:3" x14ac:dyDescent="0.25">
      <c r="A2289" s="417">
        <v>41540</v>
      </c>
      <c r="B2289" s="418">
        <v>0.92060185185185184</v>
      </c>
      <c r="C2289" s="421" t="s">
        <v>1238</v>
      </c>
    </row>
    <row r="2290" spans="1:3" x14ac:dyDescent="0.25">
      <c r="A2290" s="417">
        <v>41540</v>
      </c>
      <c r="B2290" s="418">
        <v>0.92060185185185184</v>
      </c>
      <c r="C2290" s="421" t="s">
        <v>1462</v>
      </c>
    </row>
    <row r="2291" spans="1:3" x14ac:dyDescent="0.25">
      <c r="A2291" s="417">
        <v>41540</v>
      </c>
      <c r="B2291" s="418">
        <v>0.92060185185185184</v>
      </c>
      <c r="C2291" s="421" t="s">
        <v>1316</v>
      </c>
    </row>
    <row r="2292" spans="1:3" x14ac:dyDescent="0.25">
      <c r="A2292" s="417">
        <v>41540</v>
      </c>
      <c r="B2292" s="418">
        <v>0.92060185185185184</v>
      </c>
      <c r="C2292" s="421" t="s">
        <v>1316</v>
      </c>
    </row>
    <row r="2293" spans="1:3" x14ac:dyDescent="0.25">
      <c r="A2293" s="417">
        <v>41540</v>
      </c>
      <c r="B2293" s="418">
        <v>0.92060185185185184</v>
      </c>
      <c r="C2293" s="421" t="s">
        <v>1317</v>
      </c>
    </row>
    <row r="2294" spans="1:3" x14ac:dyDescent="0.25">
      <c r="A2294" s="417">
        <v>41540</v>
      </c>
      <c r="B2294" s="418">
        <v>0.92060185185185184</v>
      </c>
      <c r="C2294" s="421" t="s">
        <v>1309</v>
      </c>
    </row>
    <row r="2295" spans="1:3" x14ac:dyDescent="0.25">
      <c r="A2295" s="417">
        <v>41540</v>
      </c>
      <c r="B2295" s="418">
        <v>0.92060185185185184</v>
      </c>
      <c r="C2295" s="421" t="s">
        <v>1318</v>
      </c>
    </row>
    <row r="2296" spans="1:3" x14ac:dyDescent="0.25">
      <c r="A2296" s="417">
        <v>41540</v>
      </c>
      <c r="B2296" s="418">
        <v>0.92564814814814822</v>
      </c>
      <c r="C2296" s="421" t="s">
        <v>1535</v>
      </c>
    </row>
    <row r="2297" spans="1:3" x14ac:dyDescent="0.25">
      <c r="A2297" s="417">
        <v>41540</v>
      </c>
      <c r="B2297" s="418">
        <v>0.92564814814814822</v>
      </c>
      <c r="C2297" s="421" t="s">
        <v>1346</v>
      </c>
    </row>
    <row r="2298" spans="1:3" x14ac:dyDescent="0.25">
      <c r="A2298" s="417">
        <v>41540</v>
      </c>
      <c r="B2298" s="418">
        <v>0.92564814814814822</v>
      </c>
      <c r="C2298" s="421" t="s">
        <v>1238</v>
      </c>
    </row>
    <row r="2299" spans="1:3" x14ac:dyDescent="0.25">
      <c r="A2299" s="417">
        <v>41540</v>
      </c>
      <c r="B2299" s="418">
        <v>0.92565972222222215</v>
      </c>
      <c r="C2299" s="421" t="s">
        <v>1307</v>
      </c>
    </row>
    <row r="2300" spans="1:3" x14ac:dyDescent="0.25">
      <c r="A2300" s="417">
        <v>41540</v>
      </c>
      <c r="B2300" s="418">
        <v>0.92565972222222215</v>
      </c>
      <c r="C2300" s="421" t="s">
        <v>1308</v>
      </c>
    </row>
    <row r="2301" spans="1:3" x14ac:dyDescent="0.25">
      <c r="A2301" s="417">
        <v>41540</v>
      </c>
      <c r="B2301" s="418">
        <v>0.92565972222222215</v>
      </c>
      <c r="C2301" s="421" t="s">
        <v>1309</v>
      </c>
    </row>
    <row r="2302" spans="1:3" x14ac:dyDescent="0.25">
      <c r="A2302" s="417">
        <v>41540</v>
      </c>
      <c r="B2302" s="418">
        <v>0.92565972222222215</v>
      </c>
      <c r="C2302" s="421" t="s">
        <v>1310</v>
      </c>
    </row>
    <row r="2303" spans="1:3" x14ac:dyDescent="0.25">
      <c r="A2303" s="417">
        <v>41540</v>
      </c>
      <c r="B2303" s="418">
        <v>0.92565972222222215</v>
      </c>
      <c r="C2303" s="421" t="s">
        <v>1311</v>
      </c>
    </row>
    <row r="2304" spans="1:3" x14ac:dyDescent="0.25">
      <c r="A2304" s="417">
        <v>41540</v>
      </c>
      <c r="B2304" s="418">
        <v>0.92565972222222215</v>
      </c>
      <c r="C2304" s="421" t="s">
        <v>1312</v>
      </c>
    </row>
    <row r="2305" spans="1:3" x14ac:dyDescent="0.25">
      <c r="A2305" s="417">
        <v>41540</v>
      </c>
      <c r="B2305" s="418">
        <v>0.92565972222222215</v>
      </c>
      <c r="C2305" s="421" t="s">
        <v>1313</v>
      </c>
    </row>
    <row r="2306" spans="1:3" x14ac:dyDescent="0.25">
      <c r="A2306" s="417">
        <v>41540</v>
      </c>
      <c r="B2306" s="418">
        <v>0.92565972222222215</v>
      </c>
      <c r="C2306" s="421" t="s">
        <v>1310</v>
      </c>
    </row>
    <row r="2307" spans="1:3" x14ac:dyDescent="0.25">
      <c r="A2307" s="417">
        <v>41540</v>
      </c>
      <c r="B2307" s="418">
        <v>0.92565972222222215</v>
      </c>
      <c r="C2307" s="421" t="s">
        <v>1314</v>
      </c>
    </row>
    <row r="2308" spans="1:3" x14ac:dyDescent="0.25">
      <c r="A2308" s="417">
        <v>41540</v>
      </c>
      <c r="B2308" s="418">
        <v>0.92565972222222215</v>
      </c>
      <c r="C2308" s="421" t="s">
        <v>1315</v>
      </c>
    </row>
    <row r="2309" spans="1:3" x14ac:dyDescent="0.25">
      <c r="A2309" s="417">
        <v>41540</v>
      </c>
      <c r="B2309" s="418">
        <v>0.92565972222222215</v>
      </c>
      <c r="C2309" s="421" t="s">
        <v>1460</v>
      </c>
    </row>
    <row r="2310" spans="1:3" x14ac:dyDescent="0.25">
      <c r="A2310" s="417">
        <v>41540</v>
      </c>
      <c r="B2310" s="418">
        <v>0.92565972222222215</v>
      </c>
      <c r="C2310" s="421" t="s">
        <v>1461</v>
      </c>
    </row>
    <row r="2311" spans="1:3" x14ac:dyDescent="0.25">
      <c r="A2311" s="417">
        <v>41540</v>
      </c>
      <c r="B2311" s="418">
        <v>0.92565972222222215</v>
      </c>
      <c r="C2311" s="421" t="s">
        <v>1310</v>
      </c>
    </row>
    <row r="2312" spans="1:3" x14ac:dyDescent="0.25">
      <c r="A2312" s="417">
        <v>41540</v>
      </c>
      <c r="B2312" s="418">
        <v>0.92565972222222215</v>
      </c>
      <c r="C2312" s="421" t="s">
        <v>1238</v>
      </c>
    </row>
    <row r="2313" spans="1:3" x14ac:dyDescent="0.25">
      <c r="A2313" s="417">
        <v>41540</v>
      </c>
      <c r="B2313" s="418">
        <v>0.92565972222222215</v>
      </c>
      <c r="C2313" s="421" t="s">
        <v>1462</v>
      </c>
    </row>
    <row r="2314" spans="1:3" x14ac:dyDescent="0.25">
      <c r="A2314" s="417">
        <v>41540</v>
      </c>
      <c r="B2314" s="418">
        <v>0.92565972222222215</v>
      </c>
      <c r="C2314" s="421" t="s">
        <v>1316</v>
      </c>
    </row>
    <row r="2315" spans="1:3" x14ac:dyDescent="0.25">
      <c r="A2315" s="417">
        <v>41540</v>
      </c>
      <c r="B2315" s="418">
        <v>0.92565972222222215</v>
      </c>
      <c r="C2315" s="421" t="s">
        <v>1316</v>
      </c>
    </row>
    <row r="2316" spans="1:3" x14ac:dyDescent="0.25">
      <c r="A2316" s="417">
        <v>41540</v>
      </c>
      <c r="B2316" s="418">
        <v>0.92565972222222215</v>
      </c>
      <c r="C2316" s="421" t="s">
        <v>1317</v>
      </c>
    </row>
    <row r="2317" spans="1:3" x14ac:dyDescent="0.25">
      <c r="A2317" s="417">
        <v>41540</v>
      </c>
      <c r="B2317" s="418">
        <v>0.92565972222222215</v>
      </c>
      <c r="C2317" s="421" t="s">
        <v>1309</v>
      </c>
    </row>
    <row r="2318" spans="1:3" x14ac:dyDescent="0.25">
      <c r="A2318" s="417">
        <v>41540</v>
      </c>
      <c r="B2318" s="418">
        <v>0.92565972222222215</v>
      </c>
      <c r="C2318" s="421" t="s">
        <v>1318</v>
      </c>
    </row>
    <row r="2319" spans="1:3" x14ac:dyDescent="0.25">
      <c r="A2319" s="417">
        <v>41540</v>
      </c>
      <c r="B2319" s="418">
        <v>0.92586805555555562</v>
      </c>
      <c r="C2319" s="421" t="s">
        <v>1576</v>
      </c>
    </row>
    <row r="2320" spans="1:3" ht="60" x14ac:dyDescent="0.25">
      <c r="A2320" s="417">
        <v>41540</v>
      </c>
      <c r="B2320" s="418">
        <v>0.92586805555555562</v>
      </c>
      <c r="C2320" s="946" t="s">
        <v>1577</v>
      </c>
    </row>
    <row r="2321" spans="1:3" x14ac:dyDescent="0.25">
      <c r="A2321" s="417">
        <v>41540</v>
      </c>
      <c r="B2321" s="418">
        <v>0.92607638888888888</v>
      </c>
      <c r="C2321" s="421" t="s">
        <v>1319</v>
      </c>
    </row>
    <row r="2322" spans="1:3" x14ac:dyDescent="0.25">
      <c r="A2322" s="417">
        <v>41540</v>
      </c>
      <c r="B2322" s="418">
        <v>0.92607638888888888</v>
      </c>
      <c r="C2322" s="421" t="s">
        <v>1320</v>
      </c>
    </row>
    <row r="2323" spans="1:3" x14ac:dyDescent="0.25">
      <c r="A2323" s="417">
        <v>41540</v>
      </c>
      <c r="B2323" s="418">
        <v>0.92607638888888888</v>
      </c>
      <c r="C2323" s="421" t="s">
        <v>1318</v>
      </c>
    </row>
    <row r="2324" spans="1:3" x14ac:dyDescent="0.25">
      <c r="A2324" s="417">
        <v>41540</v>
      </c>
      <c r="B2324" s="418">
        <v>0.92608796296296303</v>
      </c>
      <c r="C2324" s="421" t="s">
        <v>1576</v>
      </c>
    </row>
    <row r="2325" spans="1:3" ht="60" x14ac:dyDescent="0.25">
      <c r="A2325" s="417">
        <v>41540</v>
      </c>
      <c r="B2325" s="418">
        <v>0.92608796296296303</v>
      </c>
      <c r="C2325" s="946" t="s">
        <v>1578</v>
      </c>
    </row>
    <row r="2326" spans="1:3" x14ac:dyDescent="0.25">
      <c r="A2326" s="417">
        <v>41541</v>
      </c>
      <c r="B2326" s="418">
        <v>1.5717592592592592E-2</v>
      </c>
      <c r="C2326" s="421" t="s">
        <v>1535</v>
      </c>
    </row>
    <row r="2327" spans="1:3" x14ac:dyDescent="0.25">
      <c r="A2327" s="417">
        <v>41541</v>
      </c>
      <c r="B2327" s="418">
        <v>1.5729166666666666E-2</v>
      </c>
      <c r="C2327" s="421" t="s">
        <v>1346</v>
      </c>
    </row>
    <row r="2328" spans="1:3" x14ac:dyDescent="0.25">
      <c r="A2328" s="417">
        <v>41541</v>
      </c>
      <c r="B2328" s="418">
        <v>1.5729166666666666E-2</v>
      </c>
      <c r="C2328" s="421" t="s">
        <v>1238</v>
      </c>
    </row>
    <row r="2329" spans="1:3" x14ac:dyDescent="0.25">
      <c r="A2329" s="417">
        <v>41541</v>
      </c>
      <c r="B2329" s="418">
        <v>1.5729166666666666E-2</v>
      </c>
      <c r="C2329" s="421" t="s">
        <v>1307</v>
      </c>
    </row>
    <row r="2330" spans="1:3" x14ac:dyDescent="0.25">
      <c r="A2330" s="417">
        <v>41541</v>
      </c>
      <c r="B2330" s="418">
        <v>1.5729166666666666E-2</v>
      </c>
      <c r="C2330" s="421" t="s">
        <v>1308</v>
      </c>
    </row>
    <row r="2331" spans="1:3" x14ac:dyDescent="0.25">
      <c r="A2331" s="417">
        <v>41541</v>
      </c>
      <c r="B2331" s="418">
        <v>1.5729166666666666E-2</v>
      </c>
      <c r="C2331" s="421" t="s">
        <v>1309</v>
      </c>
    </row>
    <row r="2332" spans="1:3" x14ac:dyDescent="0.25">
      <c r="A2332" s="417">
        <v>41541</v>
      </c>
      <c r="B2332" s="418">
        <v>1.5729166666666666E-2</v>
      </c>
      <c r="C2332" s="421" t="s">
        <v>1310</v>
      </c>
    </row>
    <row r="2333" spans="1:3" x14ac:dyDescent="0.25">
      <c r="A2333" s="417">
        <v>41541</v>
      </c>
      <c r="B2333" s="418">
        <v>1.5729166666666666E-2</v>
      </c>
      <c r="C2333" s="421" t="s">
        <v>1311</v>
      </c>
    </row>
    <row r="2334" spans="1:3" x14ac:dyDescent="0.25">
      <c r="A2334" s="417">
        <v>41541</v>
      </c>
      <c r="B2334" s="418">
        <v>1.5729166666666666E-2</v>
      </c>
      <c r="C2334" s="421" t="s">
        <v>1312</v>
      </c>
    </row>
    <row r="2335" spans="1:3" x14ac:dyDescent="0.25">
      <c r="A2335" s="417">
        <v>41541</v>
      </c>
      <c r="B2335" s="418">
        <v>1.5729166666666666E-2</v>
      </c>
      <c r="C2335" s="421" t="s">
        <v>1313</v>
      </c>
    </row>
    <row r="2336" spans="1:3" x14ac:dyDescent="0.25">
      <c r="A2336" s="417">
        <v>41541</v>
      </c>
      <c r="B2336" s="418">
        <v>1.5729166666666666E-2</v>
      </c>
      <c r="C2336" s="421" t="s">
        <v>1310</v>
      </c>
    </row>
    <row r="2337" spans="1:3" x14ac:dyDescent="0.25">
      <c r="A2337" s="417">
        <v>41541</v>
      </c>
      <c r="B2337" s="418">
        <v>1.5729166666666666E-2</v>
      </c>
      <c r="C2337" s="421" t="s">
        <v>1314</v>
      </c>
    </row>
    <row r="2338" spans="1:3" x14ac:dyDescent="0.25">
      <c r="A2338" s="417">
        <v>41541</v>
      </c>
      <c r="B2338" s="418">
        <v>1.5729166666666666E-2</v>
      </c>
      <c r="C2338" s="421" t="s">
        <v>1315</v>
      </c>
    </row>
    <row r="2339" spans="1:3" x14ac:dyDescent="0.25">
      <c r="A2339" s="417">
        <v>41541</v>
      </c>
      <c r="B2339" s="418">
        <v>1.5729166666666666E-2</v>
      </c>
      <c r="C2339" s="421" t="s">
        <v>1460</v>
      </c>
    </row>
    <row r="2340" spans="1:3" x14ac:dyDescent="0.25">
      <c r="A2340" s="417">
        <v>41541</v>
      </c>
      <c r="B2340" s="418">
        <v>1.5729166666666666E-2</v>
      </c>
      <c r="C2340" s="421" t="s">
        <v>1461</v>
      </c>
    </row>
    <row r="2341" spans="1:3" x14ac:dyDescent="0.25">
      <c r="A2341" s="417">
        <v>41541</v>
      </c>
      <c r="B2341" s="418">
        <v>1.5729166666666666E-2</v>
      </c>
      <c r="C2341" s="421" t="s">
        <v>1310</v>
      </c>
    </row>
    <row r="2342" spans="1:3" x14ac:dyDescent="0.25">
      <c r="A2342" s="417">
        <v>41541</v>
      </c>
      <c r="B2342" s="418">
        <v>1.5729166666666666E-2</v>
      </c>
      <c r="C2342" s="421" t="s">
        <v>1238</v>
      </c>
    </row>
    <row r="2343" spans="1:3" x14ac:dyDescent="0.25">
      <c r="A2343" s="417">
        <v>41541</v>
      </c>
      <c r="B2343" s="418">
        <v>1.5729166666666666E-2</v>
      </c>
      <c r="C2343" s="421" t="s">
        <v>1462</v>
      </c>
    </row>
    <row r="2344" spans="1:3" x14ac:dyDescent="0.25">
      <c r="A2344" s="417">
        <v>41541</v>
      </c>
      <c r="B2344" s="418">
        <v>1.5729166666666666E-2</v>
      </c>
      <c r="C2344" s="421" t="s">
        <v>1316</v>
      </c>
    </row>
    <row r="2345" spans="1:3" x14ac:dyDescent="0.25">
      <c r="A2345" s="417">
        <v>41541</v>
      </c>
      <c r="B2345" s="418">
        <v>1.5729166666666666E-2</v>
      </c>
      <c r="C2345" s="421" t="s">
        <v>1316</v>
      </c>
    </row>
    <row r="2346" spans="1:3" x14ac:dyDescent="0.25">
      <c r="A2346" s="417">
        <v>41541</v>
      </c>
      <c r="B2346" s="418">
        <v>1.5729166666666666E-2</v>
      </c>
      <c r="C2346" s="421" t="s">
        <v>1317</v>
      </c>
    </row>
    <row r="2347" spans="1:3" x14ac:dyDescent="0.25">
      <c r="A2347" s="417">
        <v>41541</v>
      </c>
      <c r="B2347" s="418">
        <v>1.5729166666666666E-2</v>
      </c>
      <c r="C2347" s="421" t="s">
        <v>1309</v>
      </c>
    </row>
    <row r="2348" spans="1:3" x14ac:dyDescent="0.25">
      <c r="A2348" s="417">
        <v>41541</v>
      </c>
      <c r="B2348" s="418">
        <v>1.5729166666666666E-2</v>
      </c>
      <c r="C2348" s="421" t="s">
        <v>1318</v>
      </c>
    </row>
    <row r="2349" spans="1:3" x14ac:dyDescent="0.25">
      <c r="A2349" s="417">
        <v>41541</v>
      </c>
      <c r="B2349" s="418">
        <v>1.8969907407407408E-2</v>
      </c>
      <c r="C2349" s="421" t="s">
        <v>1576</v>
      </c>
    </row>
    <row r="2350" spans="1:3" ht="60" x14ac:dyDescent="0.25">
      <c r="A2350" s="417">
        <v>41541</v>
      </c>
      <c r="B2350" s="418">
        <v>1.8969907407407408E-2</v>
      </c>
      <c r="C2350" s="946" t="s">
        <v>1577</v>
      </c>
    </row>
    <row r="2351" spans="1:3" x14ac:dyDescent="0.25">
      <c r="A2351" s="417">
        <v>41541</v>
      </c>
      <c r="B2351" s="418">
        <v>1.9745370370370371E-2</v>
      </c>
      <c r="C2351" s="421" t="s">
        <v>1319</v>
      </c>
    </row>
    <row r="2352" spans="1:3" x14ac:dyDescent="0.25">
      <c r="A2352" s="417">
        <v>41541</v>
      </c>
      <c r="B2352" s="418">
        <v>1.9745370370370371E-2</v>
      </c>
      <c r="C2352" s="421" t="s">
        <v>1320</v>
      </c>
    </row>
    <row r="2353" spans="1:3" x14ac:dyDescent="0.25">
      <c r="A2353" s="417">
        <v>41541</v>
      </c>
      <c r="B2353" s="418">
        <v>1.9745370370370371E-2</v>
      </c>
      <c r="C2353" s="421" t="s">
        <v>1318</v>
      </c>
    </row>
    <row r="2354" spans="1:3" x14ac:dyDescent="0.25">
      <c r="A2354" s="417">
        <v>41541</v>
      </c>
      <c r="B2354" s="418">
        <v>3.3564814814814818E-2</v>
      </c>
      <c r="C2354" s="421" t="s">
        <v>1576</v>
      </c>
    </row>
    <row r="2355" spans="1:3" ht="45" x14ac:dyDescent="0.25">
      <c r="A2355" s="417">
        <v>41541</v>
      </c>
      <c r="B2355" s="418">
        <v>0.94777777777777772</v>
      </c>
      <c r="C2355" s="946" t="s">
        <v>1579</v>
      </c>
    </row>
    <row r="2356" spans="1:3" ht="30" x14ac:dyDescent="0.25">
      <c r="A2356" s="417">
        <v>41541</v>
      </c>
      <c r="B2356" s="418">
        <v>0.95306712962962958</v>
      </c>
      <c r="C2356" s="946" t="s">
        <v>1582</v>
      </c>
    </row>
    <row r="2357" spans="1:3" x14ac:dyDescent="0.25">
      <c r="A2357" s="417">
        <v>41542</v>
      </c>
      <c r="B2357" s="418">
        <v>4.387731481481482E-2</v>
      </c>
      <c r="C2357" s="421" t="s">
        <v>1535</v>
      </c>
    </row>
    <row r="2358" spans="1:3" x14ac:dyDescent="0.25">
      <c r="A2358" s="417">
        <v>41542</v>
      </c>
      <c r="B2358" s="418">
        <v>4.3888888888888887E-2</v>
      </c>
      <c r="C2358" s="421" t="s">
        <v>1346</v>
      </c>
    </row>
    <row r="2359" spans="1:3" x14ac:dyDescent="0.25">
      <c r="A2359" s="417">
        <v>41542</v>
      </c>
      <c r="B2359" s="418">
        <v>4.3888888888888887E-2</v>
      </c>
      <c r="C2359" s="421" t="s">
        <v>1238</v>
      </c>
    </row>
    <row r="2360" spans="1:3" x14ac:dyDescent="0.25">
      <c r="A2360" s="417">
        <v>41542</v>
      </c>
      <c r="B2360" s="418">
        <v>4.3888888888888887E-2</v>
      </c>
      <c r="C2360" s="421" t="s">
        <v>1307</v>
      </c>
    </row>
    <row r="2361" spans="1:3" x14ac:dyDescent="0.25">
      <c r="A2361" s="417">
        <v>41542</v>
      </c>
      <c r="B2361" s="418">
        <v>4.3888888888888887E-2</v>
      </c>
      <c r="C2361" s="421" t="s">
        <v>1308</v>
      </c>
    </row>
    <row r="2362" spans="1:3" x14ac:dyDescent="0.25">
      <c r="A2362" s="417">
        <v>41542</v>
      </c>
      <c r="B2362" s="418">
        <v>4.3888888888888887E-2</v>
      </c>
      <c r="C2362" s="421" t="s">
        <v>1309</v>
      </c>
    </row>
    <row r="2363" spans="1:3" x14ac:dyDescent="0.25">
      <c r="A2363" s="417">
        <v>41542</v>
      </c>
      <c r="B2363" s="418">
        <v>4.3888888888888887E-2</v>
      </c>
      <c r="C2363" s="421" t="s">
        <v>1310</v>
      </c>
    </row>
    <row r="2364" spans="1:3" x14ac:dyDescent="0.25">
      <c r="A2364" s="417">
        <v>41542</v>
      </c>
      <c r="B2364" s="418">
        <v>4.3888888888888887E-2</v>
      </c>
      <c r="C2364" s="421" t="s">
        <v>1311</v>
      </c>
    </row>
    <row r="2365" spans="1:3" x14ac:dyDescent="0.25">
      <c r="A2365" s="417">
        <v>41542</v>
      </c>
      <c r="B2365" s="418">
        <v>4.3888888888888887E-2</v>
      </c>
      <c r="C2365" s="421" t="s">
        <v>1312</v>
      </c>
    </row>
    <row r="2366" spans="1:3" x14ac:dyDescent="0.25">
      <c r="A2366" s="417">
        <v>41542</v>
      </c>
      <c r="B2366" s="418">
        <v>4.3888888888888887E-2</v>
      </c>
      <c r="C2366" s="421" t="s">
        <v>1313</v>
      </c>
    </row>
    <row r="2367" spans="1:3" x14ac:dyDescent="0.25">
      <c r="A2367" s="417">
        <v>41542</v>
      </c>
      <c r="B2367" s="418">
        <v>4.3888888888888887E-2</v>
      </c>
      <c r="C2367" s="421" t="s">
        <v>1310</v>
      </c>
    </row>
    <row r="2368" spans="1:3" x14ac:dyDescent="0.25">
      <c r="A2368" s="417">
        <v>41542</v>
      </c>
      <c r="B2368" s="418">
        <v>4.3900462962962961E-2</v>
      </c>
      <c r="C2368" s="421" t="s">
        <v>1314</v>
      </c>
    </row>
    <row r="2369" spans="1:3" x14ac:dyDescent="0.25">
      <c r="A2369" s="417">
        <v>41542</v>
      </c>
      <c r="B2369" s="418">
        <v>4.3900462962962961E-2</v>
      </c>
      <c r="C2369" s="421" t="s">
        <v>1315</v>
      </c>
    </row>
    <row r="2370" spans="1:3" x14ac:dyDescent="0.25">
      <c r="A2370" s="417">
        <v>41542</v>
      </c>
      <c r="B2370" s="418">
        <v>4.3900462962962961E-2</v>
      </c>
      <c r="C2370" s="421" t="s">
        <v>1460</v>
      </c>
    </row>
    <row r="2371" spans="1:3" x14ac:dyDescent="0.25">
      <c r="A2371" s="417">
        <v>41542</v>
      </c>
      <c r="B2371" s="418">
        <v>4.3900462962962961E-2</v>
      </c>
      <c r="C2371" s="421" t="s">
        <v>1461</v>
      </c>
    </row>
    <row r="2372" spans="1:3" x14ac:dyDescent="0.25">
      <c r="A2372" s="417">
        <v>41542</v>
      </c>
      <c r="B2372" s="418">
        <v>4.3900462962962961E-2</v>
      </c>
      <c r="C2372" s="421" t="s">
        <v>1310</v>
      </c>
    </row>
    <row r="2373" spans="1:3" x14ac:dyDescent="0.25">
      <c r="A2373" s="417">
        <v>41542</v>
      </c>
      <c r="B2373" s="418">
        <v>4.3900462962962961E-2</v>
      </c>
      <c r="C2373" s="421" t="s">
        <v>1238</v>
      </c>
    </row>
    <row r="2374" spans="1:3" x14ac:dyDescent="0.25">
      <c r="A2374" s="417">
        <v>41542</v>
      </c>
      <c r="B2374" s="418">
        <v>4.3900462962962961E-2</v>
      </c>
      <c r="C2374" s="421" t="s">
        <v>1462</v>
      </c>
    </row>
    <row r="2375" spans="1:3" x14ac:dyDescent="0.25">
      <c r="A2375" s="417">
        <v>41542</v>
      </c>
      <c r="B2375" s="418">
        <v>4.3900462962962961E-2</v>
      </c>
      <c r="C2375" s="421" t="s">
        <v>1316</v>
      </c>
    </row>
    <row r="2376" spans="1:3" x14ac:dyDescent="0.25">
      <c r="A2376" s="417">
        <v>41542</v>
      </c>
      <c r="B2376" s="418">
        <v>4.3900462962962961E-2</v>
      </c>
      <c r="C2376" s="421" t="s">
        <v>1316</v>
      </c>
    </row>
    <row r="2377" spans="1:3" x14ac:dyDescent="0.25">
      <c r="A2377" s="417">
        <v>41542</v>
      </c>
      <c r="B2377" s="418">
        <v>4.3900462962962961E-2</v>
      </c>
      <c r="C2377" s="421" t="s">
        <v>1317</v>
      </c>
    </row>
    <row r="2378" spans="1:3" x14ac:dyDescent="0.25">
      <c r="A2378" s="417">
        <v>41542</v>
      </c>
      <c r="B2378" s="418">
        <v>4.3900462962962961E-2</v>
      </c>
      <c r="C2378" s="421" t="s">
        <v>1309</v>
      </c>
    </row>
    <row r="2379" spans="1:3" x14ac:dyDescent="0.25">
      <c r="A2379" s="417">
        <v>41542</v>
      </c>
      <c r="B2379" s="418">
        <v>4.3900462962962961E-2</v>
      </c>
      <c r="C2379" s="421" t="s">
        <v>1318</v>
      </c>
    </row>
    <row r="2380" spans="1:3" x14ac:dyDescent="0.25">
      <c r="A2380" s="417">
        <v>41542</v>
      </c>
      <c r="B2380" s="418">
        <v>4.6990740740740743E-2</v>
      </c>
      <c r="C2380" s="421" t="s">
        <v>1535</v>
      </c>
    </row>
    <row r="2381" spans="1:3" x14ac:dyDescent="0.25">
      <c r="A2381" s="417">
        <v>41542</v>
      </c>
      <c r="B2381" s="418">
        <v>5.3831018518518514E-2</v>
      </c>
      <c r="C2381" s="421" t="s">
        <v>1535</v>
      </c>
    </row>
    <row r="2382" spans="1:3" ht="45" x14ac:dyDescent="0.25">
      <c r="A2382" s="417">
        <v>41542</v>
      </c>
      <c r="B2382" s="418">
        <v>5.7141203703703708E-2</v>
      </c>
      <c r="C2382" s="946" t="s">
        <v>1532</v>
      </c>
    </row>
    <row r="2383" spans="1:3" ht="30" x14ac:dyDescent="0.25">
      <c r="A2383" s="417">
        <v>41542</v>
      </c>
      <c r="B2383" s="418">
        <v>5.724537037037037E-2</v>
      </c>
      <c r="C2383" s="946" t="s">
        <v>1583</v>
      </c>
    </row>
    <row r="2384" spans="1:3" ht="45" x14ac:dyDescent="0.25">
      <c r="A2384" s="417">
        <v>41542</v>
      </c>
      <c r="B2384" s="418">
        <v>5.7349537037037039E-2</v>
      </c>
      <c r="C2384" s="946" t="s">
        <v>1584</v>
      </c>
    </row>
    <row r="2385" spans="1:3" x14ac:dyDescent="0.25">
      <c r="A2385" s="417">
        <v>41542</v>
      </c>
      <c r="B2385" s="418">
        <v>6.2349537037037044E-2</v>
      </c>
      <c r="C2385" s="421" t="s">
        <v>1346</v>
      </c>
    </row>
    <row r="2386" spans="1:3" x14ac:dyDescent="0.25">
      <c r="A2386" s="417">
        <v>41542</v>
      </c>
      <c r="B2386" s="418">
        <v>6.2349537037037044E-2</v>
      </c>
      <c r="C2386" s="421" t="s">
        <v>1238</v>
      </c>
    </row>
    <row r="2387" spans="1:3" x14ac:dyDescent="0.25">
      <c r="A2387" s="417">
        <v>41542</v>
      </c>
      <c r="B2387" s="418">
        <v>6.2349537037037044E-2</v>
      </c>
      <c r="C2387" s="421" t="s">
        <v>1307</v>
      </c>
    </row>
    <row r="2388" spans="1:3" x14ac:dyDescent="0.25">
      <c r="A2388" s="417">
        <v>41542</v>
      </c>
      <c r="B2388" s="418">
        <v>6.2349537037037044E-2</v>
      </c>
      <c r="C2388" s="421" t="s">
        <v>1308</v>
      </c>
    </row>
    <row r="2389" spans="1:3" x14ac:dyDescent="0.25">
      <c r="A2389" s="417">
        <v>41542</v>
      </c>
      <c r="B2389" s="418">
        <v>6.2349537037037044E-2</v>
      </c>
      <c r="C2389" s="421" t="s">
        <v>1309</v>
      </c>
    </row>
    <row r="2390" spans="1:3" x14ac:dyDescent="0.25">
      <c r="A2390" s="417">
        <v>41542</v>
      </c>
      <c r="B2390" s="418">
        <v>6.2349537037037044E-2</v>
      </c>
      <c r="C2390" s="421" t="s">
        <v>1310</v>
      </c>
    </row>
    <row r="2391" spans="1:3" x14ac:dyDescent="0.25">
      <c r="A2391" s="417">
        <v>41542</v>
      </c>
      <c r="B2391" s="418">
        <v>6.2349537037037044E-2</v>
      </c>
      <c r="C2391" s="421" t="s">
        <v>1311</v>
      </c>
    </row>
    <row r="2392" spans="1:3" x14ac:dyDescent="0.25">
      <c r="A2392" s="417">
        <v>41542</v>
      </c>
      <c r="B2392" s="418">
        <v>6.2349537037037044E-2</v>
      </c>
      <c r="C2392" s="421" t="s">
        <v>1312</v>
      </c>
    </row>
    <row r="2393" spans="1:3" x14ac:dyDescent="0.25">
      <c r="A2393" s="417">
        <v>41542</v>
      </c>
      <c r="B2393" s="418">
        <v>6.2349537037037044E-2</v>
      </c>
      <c r="C2393" s="421" t="s">
        <v>1313</v>
      </c>
    </row>
    <row r="2394" spans="1:3" x14ac:dyDescent="0.25">
      <c r="A2394" s="417">
        <v>41542</v>
      </c>
      <c r="B2394" s="418">
        <v>6.2349537037037044E-2</v>
      </c>
      <c r="C2394" s="421" t="s">
        <v>1310</v>
      </c>
    </row>
    <row r="2395" spans="1:3" x14ac:dyDescent="0.25">
      <c r="A2395" s="417">
        <v>41542</v>
      </c>
      <c r="B2395" s="418">
        <v>6.2349537037037044E-2</v>
      </c>
      <c r="C2395" s="421" t="s">
        <v>1314</v>
      </c>
    </row>
    <row r="2396" spans="1:3" x14ac:dyDescent="0.25">
      <c r="A2396" s="417">
        <v>41542</v>
      </c>
      <c r="B2396" s="418">
        <v>6.2349537037037044E-2</v>
      </c>
      <c r="C2396" s="421" t="s">
        <v>1315</v>
      </c>
    </row>
    <row r="2397" spans="1:3" x14ac:dyDescent="0.25">
      <c r="A2397" s="417">
        <v>41542</v>
      </c>
      <c r="B2397" s="418">
        <v>6.2349537037037044E-2</v>
      </c>
      <c r="C2397" s="421" t="s">
        <v>1460</v>
      </c>
    </row>
    <row r="2398" spans="1:3" x14ac:dyDescent="0.25">
      <c r="A2398" s="417">
        <v>41542</v>
      </c>
      <c r="B2398" s="418">
        <v>6.2349537037037044E-2</v>
      </c>
      <c r="C2398" s="421" t="s">
        <v>1461</v>
      </c>
    </row>
    <row r="2399" spans="1:3" x14ac:dyDescent="0.25">
      <c r="A2399" s="417">
        <v>41542</v>
      </c>
      <c r="B2399" s="418">
        <v>6.2349537037037044E-2</v>
      </c>
      <c r="C2399" s="421" t="s">
        <v>1310</v>
      </c>
    </row>
    <row r="2400" spans="1:3" x14ac:dyDescent="0.25">
      <c r="A2400" s="417">
        <v>41542</v>
      </c>
      <c r="B2400" s="418">
        <v>6.2349537037037044E-2</v>
      </c>
      <c r="C2400" s="421" t="s">
        <v>1238</v>
      </c>
    </row>
    <row r="2401" spans="1:3" x14ac:dyDescent="0.25">
      <c r="A2401" s="417">
        <v>41542</v>
      </c>
      <c r="B2401" s="418">
        <v>6.2349537037037044E-2</v>
      </c>
      <c r="C2401" s="421" t="s">
        <v>1462</v>
      </c>
    </row>
    <row r="2402" spans="1:3" x14ac:dyDescent="0.25">
      <c r="A2402" s="417">
        <v>41542</v>
      </c>
      <c r="B2402" s="418">
        <v>6.2349537037037044E-2</v>
      </c>
      <c r="C2402" s="421" t="s">
        <v>1316</v>
      </c>
    </row>
    <row r="2403" spans="1:3" x14ac:dyDescent="0.25">
      <c r="A2403" s="417">
        <v>41542</v>
      </c>
      <c r="B2403" s="418">
        <v>6.2349537037037044E-2</v>
      </c>
      <c r="C2403" s="421" t="s">
        <v>1316</v>
      </c>
    </row>
    <row r="2404" spans="1:3" x14ac:dyDescent="0.25">
      <c r="A2404" s="417">
        <v>41542</v>
      </c>
      <c r="B2404" s="418">
        <v>6.2349537037037044E-2</v>
      </c>
      <c r="C2404" s="421" t="s">
        <v>1317</v>
      </c>
    </row>
    <row r="2405" spans="1:3" x14ac:dyDescent="0.25">
      <c r="A2405" s="417">
        <v>41542</v>
      </c>
      <c r="B2405" s="418">
        <v>6.2349537037037044E-2</v>
      </c>
      <c r="C2405" s="421" t="s">
        <v>1309</v>
      </c>
    </row>
    <row r="2406" spans="1:3" x14ac:dyDescent="0.25">
      <c r="A2406" s="417">
        <v>41542</v>
      </c>
      <c r="B2406" s="418">
        <v>6.2349537037037044E-2</v>
      </c>
      <c r="C2406" s="421" t="s">
        <v>1318</v>
      </c>
    </row>
    <row r="2407" spans="1:3" x14ac:dyDescent="0.25">
      <c r="A2407" s="417">
        <v>41542</v>
      </c>
      <c r="B2407" s="418">
        <v>6.2476851851851846E-2</v>
      </c>
      <c r="C2407" s="421" t="s">
        <v>1576</v>
      </c>
    </row>
    <row r="2408" spans="1:3" ht="60" x14ac:dyDescent="0.25">
      <c r="A2408" s="417">
        <v>41542</v>
      </c>
      <c r="B2408" s="418">
        <v>6.2476851851851846E-2</v>
      </c>
      <c r="C2408" s="946" t="s">
        <v>1577</v>
      </c>
    </row>
    <row r="2409" spans="1:3" x14ac:dyDescent="0.25">
      <c r="A2409" s="417">
        <v>41542</v>
      </c>
      <c r="B2409" s="418">
        <v>6.2546296296296294E-2</v>
      </c>
      <c r="C2409" s="421" t="s">
        <v>1319</v>
      </c>
    </row>
    <row r="2410" spans="1:3" x14ac:dyDescent="0.25">
      <c r="A2410" s="417">
        <v>41542</v>
      </c>
      <c r="B2410" s="418">
        <v>6.2546296296296294E-2</v>
      </c>
      <c r="C2410" s="421" t="s">
        <v>1320</v>
      </c>
    </row>
    <row r="2411" spans="1:3" x14ac:dyDescent="0.25">
      <c r="A2411" s="417">
        <v>41542</v>
      </c>
      <c r="B2411" s="418">
        <v>6.2546296296296294E-2</v>
      </c>
      <c r="C2411" s="421" t="s">
        <v>1318</v>
      </c>
    </row>
    <row r="2412" spans="1:3" x14ac:dyDescent="0.25">
      <c r="A2412" s="417">
        <v>41542</v>
      </c>
      <c r="B2412" s="418">
        <v>6.2615740740740736E-2</v>
      </c>
      <c r="C2412" s="421" t="s">
        <v>1576</v>
      </c>
    </row>
    <row r="2413" spans="1:3" ht="60" x14ac:dyDescent="0.25">
      <c r="A2413" s="417">
        <v>41542</v>
      </c>
      <c r="B2413" s="418">
        <v>6.2615740740740736E-2</v>
      </c>
      <c r="C2413" s="946" t="s">
        <v>1578</v>
      </c>
    </row>
    <row r="2414" spans="1:3" x14ac:dyDescent="0.25">
      <c r="A2414" s="417">
        <v>41542</v>
      </c>
      <c r="B2414" s="418">
        <v>6.2650462962962963E-2</v>
      </c>
      <c r="C2414" s="421" t="s">
        <v>1307</v>
      </c>
    </row>
    <row r="2415" spans="1:3" x14ac:dyDescent="0.25">
      <c r="A2415" s="417">
        <v>41542</v>
      </c>
      <c r="B2415" s="418">
        <v>6.2650462962962963E-2</v>
      </c>
      <c r="C2415" s="421" t="s">
        <v>1321</v>
      </c>
    </row>
    <row r="2416" spans="1:3" x14ac:dyDescent="0.25">
      <c r="A2416" s="417">
        <v>41542</v>
      </c>
      <c r="B2416" s="418">
        <v>6.2650462962962963E-2</v>
      </c>
      <c r="C2416" s="421" t="s">
        <v>1322</v>
      </c>
    </row>
    <row r="2417" spans="1:3" x14ac:dyDescent="0.25">
      <c r="A2417" s="417">
        <v>41542</v>
      </c>
      <c r="B2417" s="418">
        <v>6.2650462962962963E-2</v>
      </c>
      <c r="C2417" s="421" t="s">
        <v>1322</v>
      </c>
    </row>
    <row r="2418" spans="1:3" x14ac:dyDescent="0.25">
      <c r="A2418" s="417">
        <v>41542</v>
      </c>
      <c r="B2418" s="418">
        <v>6.2650462962962963E-2</v>
      </c>
      <c r="C2418" s="421" t="s">
        <v>1323</v>
      </c>
    </row>
    <row r="2419" spans="1:3" x14ac:dyDescent="0.25">
      <c r="A2419" s="417">
        <v>41542</v>
      </c>
      <c r="B2419" s="418">
        <v>6.2650462962962963E-2</v>
      </c>
      <c r="C2419" s="421" t="s">
        <v>1324</v>
      </c>
    </row>
    <row r="2420" spans="1:3" x14ac:dyDescent="0.25">
      <c r="A2420" s="417">
        <v>41542</v>
      </c>
      <c r="B2420" s="418">
        <v>6.2650462962962963E-2</v>
      </c>
      <c r="C2420" s="421" t="s">
        <v>1310</v>
      </c>
    </row>
    <row r="2421" spans="1:3" x14ac:dyDescent="0.25">
      <c r="A2421" s="417">
        <v>41542</v>
      </c>
      <c r="B2421" s="418">
        <v>6.2650462962962963E-2</v>
      </c>
      <c r="C2421" s="421" t="s">
        <v>1325</v>
      </c>
    </row>
    <row r="2422" spans="1:3" x14ac:dyDescent="0.25">
      <c r="A2422" s="417">
        <v>41542</v>
      </c>
      <c r="B2422" s="418">
        <v>6.2650462962962963E-2</v>
      </c>
      <c r="C2422" s="421" t="s">
        <v>1326</v>
      </c>
    </row>
    <row r="2423" spans="1:3" x14ac:dyDescent="0.25">
      <c r="A2423" s="417">
        <v>41542</v>
      </c>
      <c r="B2423" s="418">
        <v>6.2650462962962963E-2</v>
      </c>
      <c r="C2423" s="421" t="s">
        <v>1327</v>
      </c>
    </row>
    <row r="2424" spans="1:3" x14ac:dyDescent="0.25">
      <c r="A2424" s="417">
        <v>41542</v>
      </c>
      <c r="B2424" s="418">
        <v>6.2650462962962963E-2</v>
      </c>
      <c r="C2424" s="421" t="s">
        <v>1328</v>
      </c>
    </row>
    <row r="2425" spans="1:3" ht="60" x14ac:dyDescent="0.25">
      <c r="A2425" s="417">
        <v>41542</v>
      </c>
      <c r="B2425" s="418">
        <v>6.2650462962962963E-2</v>
      </c>
      <c r="C2425" s="946" t="s">
        <v>1536</v>
      </c>
    </row>
    <row r="2426" spans="1:3" x14ac:dyDescent="0.25">
      <c r="A2426" s="417">
        <v>41542</v>
      </c>
      <c r="B2426" s="418">
        <v>6.2662037037037044E-2</v>
      </c>
      <c r="C2426" s="421" t="s">
        <v>1323</v>
      </c>
    </row>
    <row r="2427" spans="1:3" x14ac:dyDescent="0.25">
      <c r="A2427" s="417">
        <v>41542</v>
      </c>
      <c r="B2427" s="418">
        <v>6.2662037037037044E-2</v>
      </c>
      <c r="C2427" s="421" t="s">
        <v>1342</v>
      </c>
    </row>
    <row r="2428" spans="1:3" x14ac:dyDescent="0.25">
      <c r="A2428" s="417">
        <v>41542</v>
      </c>
      <c r="B2428" s="418">
        <v>6.2662037037037044E-2</v>
      </c>
      <c r="C2428" s="421" t="s">
        <v>1343</v>
      </c>
    </row>
    <row r="2429" spans="1:3" x14ac:dyDescent="0.25">
      <c r="A2429" s="417">
        <v>41542</v>
      </c>
      <c r="B2429" s="418">
        <v>6.2708333333333324E-2</v>
      </c>
      <c r="C2429" s="421" t="s">
        <v>1576</v>
      </c>
    </row>
    <row r="2430" spans="1:3" ht="60" x14ac:dyDescent="0.25">
      <c r="A2430" s="417">
        <v>41542</v>
      </c>
      <c r="B2430" s="418">
        <v>6.2708333333333324E-2</v>
      </c>
      <c r="C2430" s="946" t="s">
        <v>1585</v>
      </c>
    </row>
    <row r="2431" spans="1:3" x14ac:dyDescent="0.25">
      <c r="A2431" s="417">
        <v>41542</v>
      </c>
      <c r="B2431" s="418">
        <v>6.2731481481481485E-2</v>
      </c>
      <c r="C2431" s="421" t="s">
        <v>1344</v>
      </c>
    </row>
    <row r="2432" spans="1:3" x14ac:dyDescent="0.25">
      <c r="A2432" s="417">
        <v>41542</v>
      </c>
      <c r="B2432" s="418">
        <v>6.2731481481481485E-2</v>
      </c>
      <c r="C2432" s="421" t="s">
        <v>1344</v>
      </c>
    </row>
    <row r="2433" spans="1:3" x14ac:dyDescent="0.25">
      <c r="A2433" s="417">
        <v>41542</v>
      </c>
      <c r="B2433" s="418">
        <v>6.2731481481481485E-2</v>
      </c>
      <c r="C2433" s="421" t="s">
        <v>1310</v>
      </c>
    </row>
    <row r="2434" spans="1:3" x14ac:dyDescent="0.25">
      <c r="A2434" s="417">
        <v>41542</v>
      </c>
      <c r="B2434" s="418">
        <v>6.2731481481481485E-2</v>
      </c>
      <c r="C2434" s="421" t="s">
        <v>1345</v>
      </c>
    </row>
    <row r="2435" spans="1:3" x14ac:dyDescent="0.25">
      <c r="A2435" s="417">
        <v>41542</v>
      </c>
      <c r="B2435" s="418">
        <v>6.2731481481481485E-2</v>
      </c>
      <c r="C2435" s="421" t="s">
        <v>1346</v>
      </c>
    </row>
    <row r="2436" spans="1:3" x14ac:dyDescent="0.25">
      <c r="A2436" s="417">
        <v>41542</v>
      </c>
      <c r="B2436" s="418">
        <v>6.2731481481481485E-2</v>
      </c>
      <c r="C2436" s="421" t="s">
        <v>1347</v>
      </c>
    </row>
    <row r="2437" spans="1:3" x14ac:dyDescent="0.25">
      <c r="A2437" s="417">
        <v>41542</v>
      </c>
      <c r="B2437" s="418">
        <v>6.2731481481481485E-2</v>
      </c>
      <c r="C2437" s="421" t="s">
        <v>1348</v>
      </c>
    </row>
    <row r="2438" spans="1:3" x14ac:dyDescent="0.25">
      <c r="A2438" s="417">
        <v>41542</v>
      </c>
      <c r="B2438" s="418">
        <v>6.2731481481481485E-2</v>
      </c>
      <c r="C2438" s="421" t="s">
        <v>1349</v>
      </c>
    </row>
    <row r="2439" spans="1:3" x14ac:dyDescent="0.25">
      <c r="A2439" s="417">
        <v>41542</v>
      </c>
      <c r="B2439" s="418">
        <v>6.2731481481481485E-2</v>
      </c>
      <c r="C2439" s="421" t="s">
        <v>1349</v>
      </c>
    </row>
    <row r="2440" spans="1:3" x14ac:dyDescent="0.25">
      <c r="A2440" s="417">
        <v>41542</v>
      </c>
      <c r="B2440" s="418">
        <v>6.2731481481481485E-2</v>
      </c>
      <c r="C2440" s="421" t="s">
        <v>1348</v>
      </c>
    </row>
    <row r="2441" spans="1:3" x14ac:dyDescent="0.25">
      <c r="A2441" s="417">
        <v>41542</v>
      </c>
      <c r="B2441" s="418">
        <v>6.2731481481481485E-2</v>
      </c>
      <c r="C2441" s="421" t="s">
        <v>1350</v>
      </c>
    </row>
    <row r="2442" spans="1:3" x14ac:dyDescent="0.25">
      <c r="A2442" s="417">
        <v>41542</v>
      </c>
      <c r="B2442" s="418">
        <v>6.2731481481481485E-2</v>
      </c>
      <c r="C2442" s="421" t="s">
        <v>1351</v>
      </c>
    </row>
    <row r="2443" spans="1:3" x14ac:dyDescent="0.25">
      <c r="A2443" s="417">
        <v>41542</v>
      </c>
      <c r="B2443" s="418">
        <v>6.2731481481481485E-2</v>
      </c>
      <c r="C2443" s="421" t="s">
        <v>1352</v>
      </c>
    </row>
    <row r="2444" spans="1:3" x14ac:dyDescent="0.25">
      <c r="A2444" s="417">
        <v>41542</v>
      </c>
      <c r="B2444" s="418">
        <v>6.2731481481481485E-2</v>
      </c>
      <c r="C2444" s="421" t="s">
        <v>1287</v>
      </c>
    </row>
    <row r="2445" spans="1:3" ht="60" x14ac:dyDescent="0.25">
      <c r="A2445" s="417">
        <v>41542</v>
      </c>
      <c r="B2445" s="418">
        <v>6.2731481481481485E-2</v>
      </c>
      <c r="C2445" s="946" t="s">
        <v>1288</v>
      </c>
    </row>
    <row r="2446" spans="1:3" x14ac:dyDescent="0.25">
      <c r="A2446" s="417">
        <v>41542</v>
      </c>
      <c r="B2446" s="418">
        <v>6.2858796296296301E-2</v>
      </c>
      <c r="C2446" s="421" t="s">
        <v>1576</v>
      </c>
    </row>
    <row r="2447" spans="1:3" ht="60" x14ac:dyDescent="0.25">
      <c r="A2447" s="417">
        <v>41542</v>
      </c>
      <c r="B2447" s="418">
        <v>6.2858796296296301E-2</v>
      </c>
      <c r="C2447" s="946" t="s">
        <v>1586</v>
      </c>
    </row>
    <row r="2448" spans="1:3" x14ac:dyDescent="0.25">
      <c r="A2448" s="417">
        <v>41542</v>
      </c>
      <c r="B2448" s="418">
        <v>6.2870370370370368E-2</v>
      </c>
      <c r="C2448" s="421" t="s">
        <v>1353</v>
      </c>
    </row>
    <row r="2449" spans="1:3" x14ac:dyDescent="0.25">
      <c r="A2449" s="417">
        <v>41542</v>
      </c>
      <c r="B2449" s="418">
        <v>6.2870370370370368E-2</v>
      </c>
      <c r="C2449" s="421" t="s">
        <v>1576</v>
      </c>
    </row>
    <row r="2450" spans="1:3" ht="60" x14ac:dyDescent="0.25">
      <c r="A2450" s="417">
        <v>41542</v>
      </c>
      <c r="B2450" s="418">
        <v>6.2870370370370368E-2</v>
      </c>
      <c r="C2450" s="946" t="s">
        <v>1587</v>
      </c>
    </row>
    <row r="2451" spans="1:3" x14ac:dyDescent="0.25">
      <c r="A2451" s="417">
        <v>41542</v>
      </c>
      <c r="B2451" s="418">
        <v>6.2893518518518529E-2</v>
      </c>
      <c r="C2451" s="421" t="s">
        <v>1354</v>
      </c>
    </row>
    <row r="2452" spans="1:3" x14ac:dyDescent="0.25">
      <c r="A2452" s="417">
        <v>41542</v>
      </c>
      <c r="B2452" s="418">
        <v>6.2893518518518529E-2</v>
      </c>
      <c r="C2452" s="421" t="s">
        <v>1355</v>
      </c>
    </row>
    <row r="2453" spans="1:3" x14ac:dyDescent="0.25">
      <c r="A2453" s="417">
        <v>41542</v>
      </c>
      <c r="B2453" s="418">
        <v>6.2893518518518529E-2</v>
      </c>
      <c r="C2453" s="421" t="s">
        <v>1357</v>
      </c>
    </row>
    <row r="2454" spans="1:3" x14ac:dyDescent="0.25">
      <c r="A2454" s="417">
        <v>41542</v>
      </c>
      <c r="B2454" s="418">
        <v>6.2893518518518529E-2</v>
      </c>
      <c r="C2454" s="421" t="s">
        <v>1358</v>
      </c>
    </row>
    <row r="2455" spans="1:3" x14ac:dyDescent="0.25">
      <c r="A2455" s="417">
        <v>41542</v>
      </c>
      <c r="B2455" s="418">
        <v>6.2893518518518529E-2</v>
      </c>
      <c r="C2455" s="421" t="s">
        <v>1576</v>
      </c>
    </row>
    <row r="2456" spans="1:3" ht="60" x14ac:dyDescent="0.25">
      <c r="A2456" s="417">
        <v>41542</v>
      </c>
      <c r="B2456" s="418">
        <v>6.2893518518518529E-2</v>
      </c>
      <c r="C2456" s="946" t="s">
        <v>1588</v>
      </c>
    </row>
    <row r="2457" spans="1:3" x14ac:dyDescent="0.25">
      <c r="A2457" s="417">
        <v>41542</v>
      </c>
      <c r="B2457" s="418">
        <v>6.2916666666666662E-2</v>
      </c>
      <c r="C2457" s="421" t="s">
        <v>1359</v>
      </c>
    </row>
    <row r="2458" spans="1:3" x14ac:dyDescent="0.25">
      <c r="A2458" s="417">
        <v>41542</v>
      </c>
      <c r="B2458" s="418">
        <v>6.2916666666666662E-2</v>
      </c>
      <c r="C2458" s="421" t="s">
        <v>1576</v>
      </c>
    </row>
    <row r="2459" spans="1:3" ht="60" x14ac:dyDescent="0.25">
      <c r="A2459" s="417">
        <v>41542</v>
      </c>
      <c r="B2459" s="418">
        <v>6.2916666666666662E-2</v>
      </c>
      <c r="C2459" s="946" t="s">
        <v>1589</v>
      </c>
    </row>
    <row r="2460" spans="1:3" x14ac:dyDescent="0.25">
      <c r="A2460" s="417">
        <v>41542</v>
      </c>
      <c r="B2460" s="418">
        <v>6.2928240740740743E-2</v>
      </c>
      <c r="C2460" s="421" t="s">
        <v>1360</v>
      </c>
    </row>
    <row r="2461" spans="1:3" x14ac:dyDescent="0.25">
      <c r="A2461" s="417">
        <v>41542</v>
      </c>
      <c r="B2461" s="418">
        <v>6.2928240740740743E-2</v>
      </c>
      <c r="C2461" s="421" t="s">
        <v>1361</v>
      </c>
    </row>
    <row r="2462" spans="1:3" x14ac:dyDescent="0.25">
      <c r="A2462" s="417">
        <v>41542</v>
      </c>
      <c r="B2462" s="418">
        <v>6.2928240740740743E-2</v>
      </c>
      <c r="C2462" s="421" t="s">
        <v>1317</v>
      </c>
    </row>
    <row r="2463" spans="1:3" x14ac:dyDescent="0.25">
      <c r="A2463" s="417">
        <v>41542</v>
      </c>
      <c r="B2463" s="418">
        <v>6.2928240740740743E-2</v>
      </c>
      <c r="C2463" s="421" t="s">
        <v>1537</v>
      </c>
    </row>
    <row r="2464" spans="1:3" x14ac:dyDescent="0.25">
      <c r="A2464" s="417">
        <v>41542</v>
      </c>
      <c r="B2464" s="418">
        <v>6.2928240740740743E-2</v>
      </c>
      <c r="C2464" s="421" t="s">
        <v>1576</v>
      </c>
    </row>
    <row r="2465" spans="1:3" ht="60" x14ac:dyDescent="0.25">
      <c r="A2465" s="417">
        <v>41542</v>
      </c>
      <c r="B2465" s="418">
        <v>6.2928240740740743E-2</v>
      </c>
      <c r="C2465" s="946" t="s">
        <v>1590</v>
      </c>
    </row>
    <row r="2466" spans="1:3" x14ac:dyDescent="0.25">
      <c r="A2466" s="417">
        <v>41542</v>
      </c>
      <c r="B2466" s="418">
        <v>6.293981481481481E-2</v>
      </c>
      <c r="C2466" s="421" t="s">
        <v>1576</v>
      </c>
    </row>
    <row r="2467" spans="1:3" ht="60" x14ac:dyDescent="0.25">
      <c r="A2467" s="417">
        <v>41542</v>
      </c>
      <c r="B2467" s="418">
        <v>6.293981481481481E-2</v>
      </c>
      <c r="C2467" s="946" t="s">
        <v>1591</v>
      </c>
    </row>
    <row r="2468" spans="1:3" x14ac:dyDescent="0.25">
      <c r="A2468" s="417">
        <v>41542</v>
      </c>
      <c r="B2468" s="418">
        <v>6.3206018518518522E-2</v>
      </c>
      <c r="C2468" s="421" t="s">
        <v>1576</v>
      </c>
    </row>
    <row r="2469" spans="1:3" ht="60" x14ac:dyDescent="0.25">
      <c r="A2469" s="417">
        <v>41542</v>
      </c>
      <c r="B2469" s="418">
        <v>6.3206018518518522E-2</v>
      </c>
      <c r="C2469" s="946" t="s">
        <v>1592</v>
      </c>
    </row>
    <row r="2470" spans="1:3" x14ac:dyDescent="0.25">
      <c r="A2470" s="417">
        <v>41542</v>
      </c>
      <c r="B2470" s="418">
        <v>6.3217592592592589E-2</v>
      </c>
      <c r="C2470" s="421" t="s">
        <v>1362</v>
      </c>
    </row>
    <row r="2471" spans="1:3" x14ac:dyDescent="0.25">
      <c r="A2471" s="417">
        <v>41542</v>
      </c>
      <c r="B2471" s="418">
        <v>6.3217592592592589E-2</v>
      </c>
      <c r="C2471" s="421" t="s">
        <v>1355</v>
      </c>
    </row>
    <row r="2472" spans="1:3" x14ac:dyDescent="0.25">
      <c r="A2472" s="417">
        <v>41542</v>
      </c>
      <c r="B2472" s="418">
        <v>6.3217592592592589E-2</v>
      </c>
      <c r="C2472" s="421" t="s">
        <v>1363</v>
      </c>
    </row>
    <row r="2473" spans="1:3" x14ac:dyDescent="0.25">
      <c r="A2473" s="417">
        <v>41542</v>
      </c>
      <c r="B2473" s="418">
        <v>6.3217592592592589E-2</v>
      </c>
      <c r="C2473" s="421" t="s">
        <v>1364</v>
      </c>
    </row>
    <row r="2474" spans="1:3" x14ac:dyDescent="0.25">
      <c r="A2474" s="417">
        <v>41542</v>
      </c>
      <c r="B2474" s="418">
        <v>6.3217592592592589E-2</v>
      </c>
      <c r="C2474" s="421" t="s">
        <v>1365</v>
      </c>
    </row>
    <row r="2475" spans="1:3" x14ac:dyDescent="0.25">
      <c r="A2475" s="417">
        <v>41542</v>
      </c>
      <c r="B2475" s="418">
        <v>6.3217592592592589E-2</v>
      </c>
      <c r="C2475" s="421" t="s">
        <v>1365</v>
      </c>
    </row>
    <row r="2476" spans="1:3" x14ac:dyDescent="0.25">
      <c r="A2476" s="417">
        <v>41542</v>
      </c>
      <c r="B2476" s="418">
        <v>6.3217592592592589E-2</v>
      </c>
      <c r="C2476" s="421" t="s">
        <v>1576</v>
      </c>
    </row>
    <row r="2477" spans="1:3" ht="60" x14ac:dyDescent="0.25">
      <c r="A2477" s="417">
        <v>41542</v>
      </c>
      <c r="B2477" s="418">
        <v>6.3217592592592589E-2</v>
      </c>
      <c r="C2477" s="946" t="s">
        <v>1593</v>
      </c>
    </row>
    <row r="2478" spans="1:3" x14ac:dyDescent="0.25">
      <c r="A2478" s="417">
        <v>41542</v>
      </c>
      <c r="B2478" s="418">
        <v>6.324074074074075E-2</v>
      </c>
      <c r="C2478" s="421" t="s">
        <v>1366</v>
      </c>
    </row>
    <row r="2479" spans="1:3" x14ac:dyDescent="0.25">
      <c r="A2479" s="417">
        <v>41542</v>
      </c>
      <c r="B2479" s="418">
        <v>6.324074074074075E-2</v>
      </c>
      <c r="C2479" s="421" t="s">
        <v>1320</v>
      </c>
    </row>
    <row r="2480" spans="1:3" x14ac:dyDescent="0.25">
      <c r="A2480" s="417">
        <v>41542</v>
      </c>
      <c r="B2480" s="418">
        <v>6.324074074074075E-2</v>
      </c>
      <c r="C2480" s="421" t="s">
        <v>1367</v>
      </c>
    </row>
    <row r="2481" spans="1:3" x14ac:dyDescent="0.25">
      <c r="A2481" s="417">
        <v>41542</v>
      </c>
      <c r="B2481" s="418">
        <v>6.324074074074075E-2</v>
      </c>
      <c r="C2481" s="421" t="s">
        <v>1344</v>
      </c>
    </row>
    <row r="2482" spans="1:3" x14ac:dyDescent="0.25">
      <c r="A2482" s="417">
        <v>41542</v>
      </c>
      <c r="B2482" s="418">
        <v>6.324074074074075E-2</v>
      </c>
      <c r="C2482" s="421" t="s">
        <v>1368</v>
      </c>
    </row>
    <row r="2483" spans="1:3" x14ac:dyDescent="0.25">
      <c r="A2483" s="417">
        <v>41542</v>
      </c>
      <c r="B2483" s="418">
        <v>6.3252314814814817E-2</v>
      </c>
      <c r="C2483" s="421" t="s">
        <v>1369</v>
      </c>
    </row>
    <row r="2484" spans="1:3" x14ac:dyDescent="0.25">
      <c r="A2484" s="417">
        <v>41542</v>
      </c>
      <c r="B2484" s="418">
        <v>6.3252314814814817E-2</v>
      </c>
      <c r="C2484" s="421" t="s">
        <v>1307</v>
      </c>
    </row>
    <row r="2485" spans="1:3" x14ac:dyDescent="0.25">
      <c r="A2485" s="417">
        <v>41542</v>
      </c>
      <c r="B2485" s="418">
        <v>6.3252314814814817E-2</v>
      </c>
      <c r="C2485" s="421" t="s">
        <v>1370</v>
      </c>
    </row>
    <row r="2486" spans="1:3" x14ac:dyDescent="0.25">
      <c r="A2486" s="417">
        <v>41542</v>
      </c>
      <c r="B2486" s="418">
        <v>6.3252314814814817E-2</v>
      </c>
      <c r="C2486" s="421" t="s">
        <v>1371</v>
      </c>
    </row>
    <row r="2487" spans="1:3" x14ac:dyDescent="0.25">
      <c r="A2487" s="417">
        <v>41542</v>
      </c>
      <c r="B2487" s="418">
        <v>6.3252314814814817E-2</v>
      </c>
      <c r="C2487" s="421" t="s">
        <v>1344</v>
      </c>
    </row>
    <row r="2488" spans="1:3" x14ac:dyDescent="0.25">
      <c r="A2488" s="417">
        <v>41542</v>
      </c>
      <c r="B2488" s="418">
        <v>6.3252314814814817E-2</v>
      </c>
      <c r="C2488" s="421" t="s">
        <v>1317</v>
      </c>
    </row>
    <row r="2489" spans="1:3" x14ac:dyDescent="0.25">
      <c r="A2489" s="417">
        <v>41542</v>
      </c>
      <c r="B2489" s="418">
        <v>6.3252314814814817E-2</v>
      </c>
      <c r="C2489" s="421" t="s">
        <v>1463</v>
      </c>
    </row>
    <row r="2490" spans="1:3" x14ac:dyDescent="0.25">
      <c r="A2490" s="417">
        <v>41542</v>
      </c>
      <c r="B2490" s="418">
        <v>6.3252314814814817E-2</v>
      </c>
      <c r="C2490" s="421" t="s">
        <v>1378</v>
      </c>
    </row>
    <row r="2491" spans="1:3" ht="60" x14ac:dyDescent="0.25">
      <c r="A2491" s="417">
        <v>41542</v>
      </c>
      <c r="B2491" s="418">
        <v>6.3252314814814817E-2</v>
      </c>
      <c r="C2491" s="946" t="s">
        <v>1538</v>
      </c>
    </row>
    <row r="2492" spans="1:3" x14ac:dyDescent="0.25">
      <c r="A2492" s="417">
        <v>41542</v>
      </c>
      <c r="B2492" s="418">
        <v>6.3263888888888883E-2</v>
      </c>
      <c r="C2492" s="421" t="s">
        <v>1594</v>
      </c>
    </row>
    <row r="2493" spans="1:3" ht="60" x14ac:dyDescent="0.25">
      <c r="A2493" s="417">
        <v>41542</v>
      </c>
      <c r="B2493" s="418">
        <v>6.3263888888888883E-2</v>
      </c>
      <c r="C2493" s="946" t="s">
        <v>1595</v>
      </c>
    </row>
    <row r="2494" spans="1:3" x14ac:dyDescent="0.25">
      <c r="A2494" s="417">
        <v>41542</v>
      </c>
      <c r="B2494" s="418">
        <v>6.3310185185185178E-2</v>
      </c>
      <c r="C2494" s="421" t="s">
        <v>1373</v>
      </c>
    </row>
    <row r="2495" spans="1:3" x14ac:dyDescent="0.25">
      <c r="A2495" s="417">
        <v>41542</v>
      </c>
      <c r="B2495" s="418">
        <v>6.3310185185185178E-2</v>
      </c>
      <c r="C2495" s="421" t="s">
        <v>1576</v>
      </c>
    </row>
    <row r="2496" spans="1:3" ht="60" x14ac:dyDescent="0.25">
      <c r="A2496" s="417">
        <v>41542</v>
      </c>
      <c r="B2496" s="418">
        <v>6.3310185185185178E-2</v>
      </c>
      <c r="C2496" s="946" t="s">
        <v>1596</v>
      </c>
    </row>
    <row r="2497" spans="1:3" x14ac:dyDescent="0.25">
      <c r="A2497" s="417">
        <v>41542</v>
      </c>
      <c r="B2497" s="418">
        <v>6.3321759259259258E-2</v>
      </c>
      <c r="C2497" s="421" t="s">
        <v>1308</v>
      </c>
    </row>
    <row r="2498" spans="1:3" x14ac:dyDescent="0.25">
      <c r="A2498" s="417">
        <v>41542</v>
      </c>
      <c r="B2498" s="418">
        <v>6.3333333333333339E-2</v>
      </c>
      <c r="C2498" s="421" t="s">
        <v>1374</v>
      </c>
    </row>
    <row r="2499" spans="1:3" x14ac:dyDescent="0.25">
      <c r="A2499" s="417">
        <v>41542</v>
      </c>
      <c r="B2499" s="418">
        <v>6.3333333333333339E-2</v>
      </c>
      <c r="C2499" s="421" t="s">
        <v>1576</v>
      </c>
    </row>
    <row r="2500" spans="1:3" ht="60" x14ac:dyDescent="0.25">
      <c r="A2500" s="417">
        <v>41542</v>
      </c>
      <c r="B2500" s="418">
        <v>6.3333333333333339E-2</v>
      </c>
      <c r="C2500" s="946" t="s">
        <v>1597</v>
      </c>
    </row>
    <row r="2501" spans="1:3" x14ac:dyDescent="0.25">
      <c r="A2501" s="417">
        <v>41542</v>
      </c>
      <c r="B2501" s="418">
        <v>6.3344907407407405E-2</v>
      </c>
      <c r="C2501" s="421" t="s">
        <v>1375</v>
      </c>
    </row>
    <row r="2502" spans="1:3" x14ac:dyDescent="0.25">
      <c r="A2502" s="417">
        <v>41542</v>
      </c>
      <c r="B2502" s="418">
        <v>6.3344907407407405E-2</v>
      </c>
      <c r="C2502" s="421" t="s">
        <v>1376</v>
      </c>
    </row>
    <row r="2503" spans="1:3" x14ac:dyDescent="0.25">
      <c r="A2503" s="417">
        <v>41542</v>
      </c>
      <c r="B2503" s="418">
        <v>6.3344907407407405E-2</v>
      </c>
      <c r="C2503" s="421" t="s">
        <v>1377</v>
      </c>
    </row>
    <row r="2504" spans="1:3" x14ac:dyDescent="0.25">
      <c r="A2504" s="417">
        <v>41542</v>
      </c>
      <c r="B2504" s="418">
        <v>6.3344907407407405E-2</v>
      </c>
      <c r="C2504" s="421" t="s">
        <v>1326</v>
      </c>
    </row>
    <row r="2505" spans="1:3" x14ac:dyDescent="0.25">
      <c r="A2505" s="417">
        <v>41542</v>
      </c>
      <c r="B2505" s="418">
        <v>6.3344907407407405E-2</v>
      </c>
      <c r="C2505" s="421" t="s">
        <v>1378</v>
      </c>
    </row>
    <row r="2506" spans="1:3" ht="60" x14ac:dyDescent="0.25">
      <c r="A2506" s="417">
        <v>41542</v>
      </c>
      <c r="B2506" s="418">
        <v>6.3344907407407405E-2</v>
      </c>
      <c r="C2506" s="946" t="s">
        <v>1539</v>
      </c>
    </row>
    <row r="2507" spans="1:3" x14ac:dyDescent="0.25">
      <c r="A2507" s="417">
        <v>41542</v>
      </c>
      <c r="B2507" s="418">
        <v>6.4791666666666664E-2</v>
      </c>
      <c r="C2507" s="421" t="s">
        <v>1346</v>
      </c>
    </row>
    <row r="2508" spans="1:3" x14ac:dyDescent="0.25">
      <c r="A2508" s="417">
        <v>41542</v>
      </c>
      <c r="B2508" s="418">
        <v>6.4791666666666664E-2</v>
      </c>
      <c r="C2508" s="421" t="s">
        <v>1238</v>
      </c>
    </row>
    <row r="2509" spans="1:3" x14ac:dyDescent="0.25">
      <c r="A2509" s="417">
        <v>41542</v>
      </c>
      <c r="B2509" s="418">
        <v>6.4791666666666664E-2</v>
      </c>
      <c r="C2509" s="421" t="s">
        <v>1307</v>
      </c>
    </row>
    <row r="2510" spans="1:3" x14ac:dyDescent="0.25">
      <c r="A2510" s="417">
        <v>41542</v>
      </c>
      <c r="B2510" s="418">
        <v>6.4791666666666664E-2</v>
      </c>
      <c r="C2510" s="421" t="s">
        <v>1308</v>
      </c>
    </row>
    <row r="2511" spans="1:3" x14ac:dyDescent="0.25">
      <c r="A2511" s="417">
        <v>41542</v>
      </c>
      <c r="B2511" s="418">
        <v>6.4791666666666664E-2</v>
      </c>
      <c r="C2511" s="421" t="s">
        <v>1309</v>
      </c>
    </row>
    <row r="2512" spans="1:3" x14ac:dyDescent="0.25">
      <c r="A2512" s="417">
        <v>41542</v>
      </c>
      <c r="B2512" s="418">
        <v>6.4791666666666664E-2</v>
      </c>
      <c r="C2512" s="421" t="s">
        <v>1310</v>
      </c>
    </row>
    <row r="2513" spans="1:3" x14ac:dyDescent="0.25">
      <c r="A2513" s="417">
        <v>41542</v>
      </c>
      <c r="B2513" s="418">
        <v>6.4791666666666664E-2</v>
      </c>
      <c r="C2513" s="421" t="s">
        <v>1311</v>
      </c>
    </row>
    <row r="2514" spans="1:3" x14ac:dyDescent="0.25">
      <c r="A2514" s="417">
        <v>41542</v>
      </c>
      <c r="B2514" s="418">
        <v>6.4791666666666664E-2</v>
      </c>
      <c r="C2514" s="421" t="s">
        <v>1312</v>
      </c>
    </row>
    <row r="2515" spans="1:3" x14ac:dyDescent="0.25">
      <c r="A2515" s="417">
        <v>41542</v>
      </c>
      <c r="B2515" s="418">
        <v>6.4791666666666664E-2</v>
      </c>
      <c r="C2515" s="421" t="s">
        <v>1313</v>
      </c>
    </row>
    <row r="2516" spans="1:3" x14ac:dyDescent="0.25">
      <c r="A2516" s="417">
        <v>41542</v>
      </c>
      <c r="B2516" s="418">
        <v>6.4791666666666664E-2</v>
      </c>
      <c r="C2516" s="421" t="s">
        <v>1310</v>
      </c>
    </row>
    <row r="2517" spans="1:3" x14ac:dyDescent="0.25">
      <c r="A2517" s="417">
        <v>41542</v>
      </c>
      <c r="B2517" s="418">
        <v>6.4791666666666664E-2</v>
      </c>
      <c r="C2517" s="421" t="s">
        <v>1314</v>
      </c>
    </row>
    <row r="2518" spans="1:3" x14ac:dyDescent="0.25">
      <c r="A2518" s="417">
        <v>41542</v>
      </c>
      <c r="B2518" s="418">
        <v>6.4791666666666664E-2</v>
      </c>
      <c r="C2518" s="421" t="s">
        <v>1315</v>
      </c>
    </row>
    <row r="2519" spans="1:3" x14ac:dyDescent="0.25">
      <c r="A2519" s="417">
        <v>41542</v>
      </c>
      <c r="B2519" s="418">
        <v>6.4791666666666664E-2</v>
      </c>
      <c r="C2519" s="421" t="s">
        <v>1460</v>
      </c>
    </row>
    <row r="2520" spans="1:3" x14ac:dyDescent="0.25">
      <c r="A2520" s="417">
        <v>41542</v>
      </c>
      <c r="B2520" s="418">
        <v>6.4791666666666664E-2</v>
      </c>
      <c r="C2520" s="421" t="s">
        <v>1461</v>
      </c>
    </row>
    <row r="2521" spans="1:3" x14ac:dyDescent="0.25">
      <c r="A2521" s="417">
        <v>41542</v>
      </c>
      <c r="B2521" s="418">
        <v>6.4791666666666664E-2</v>
      </c>
      <c r="C2521" s="421" t="s">
        <v>1310</v>
      </c>
    </row>
    <row r="2522" spans="1:3" x14ac:dyDescent="0.25">
      <c r="A2522" s="417">
        <v>41542</v>
      </c>
      <c r="B2522" s="418">
        <v>6.4791666666666664E-2</v>
      </c>
      <c r="C2522" s="421" t="s">
        <v>1238</v>
      </c>
    </row>
    <row r="2523" spans="1:3" x14ac:dyDescent="0.25">
      <c r="A2523" s="417">
        <v>41542</v>
      </c>
      <c r="B2523" s="418">
        <v>6.4791666666666664E-2</v>
      </c>
      <c r="C2523" s="421" t="s">
        <v>1462</v>
      </c>
    </row>
    <row r="2524" spans="1:3" x14ac:dyDescent="0.25">
      <c r="A2524" s="417">
        <v>41542</v>
      </c>
      <c r="B2524" s="418">
        <v>6.4791666666666664E-2</v>
      </c>
      <c r="C2524" s="421" t="s">
        <v>1316</v>
      </c>
    </row>
    <row r="2525" spans="1:3" x14ac:dyDescent="0.25">
      <c r="A2525" s="417">
        <v>41542</v>
      </c>
      <c r="B2525" s="418">
        <v>6.4791666666666664E-2</v>
      </c>
      <c r="C2525" s="421" t="s">
        <v>1316</v>
      </c>
    </row>
    <row r="2526" spans="1:3" x14ac:dyDescent="0.25">
      <c r="A2526" s="417">
        <v>41542</v>
      </c>
      <c r="B2526" s="418">
        <v>6.4791666666666664E-2</v>
      </c>
      <c r="C2526" s="421" t="s">
        <v>1317</v>
      </c>
    </row>
    <row r="2527" spans="1:3" x14ac:dyDescent="0.25">
      <c r="A2527" s="417">
        <v>41542</v>
      </c>
      <c r="B2527" s="418">
        <v>6.4791666666666664E-2</v>
      </c>
      <c r="C2527" s="421" t="s">
        <v>1309</v>
      </c>
    </row>
    <row r="2528" spans="1:3" x14ac:dyDescent="0.25">
      <c r="A2528" s="417">
        <v>41542</v>
      </c>
      <c r="B2528" s="418">
        <v>6.4791666666666664E-2</v>
      </c>
      <c r="C2528" s="421" t="s">
        <v>1318</v>
      </c>
    </row>
    <row r="2529" spans="1:3" x14ac:dyDescent="0.25">
      <c r="A2529" s="417">
        <v>41542</v>
      </c>
      <c r="B2529" s="418">
        <v>6.4791666666666664E-2</v>
      </c>
      <c r="C2529" s="421" t="s">
        <v>1319</v>
      </c>
    </row>
    <row r="2530" spans="1:3" x14ac:dyDescent="0.25">
      <c r="A2530" s="417">
        <v>41542</v>
      </c>
      <c r="B2530" s="418">
        <v>6.4791666666666664E-2</v>
      </c>
      <c r="C2530" s="421" t="s">
        <v>1320</v>
      </c>
    </row>
    <row r="2531" spans="1:3" x14ac:dyDescent="0.25">
      <c r="A2531" s="417">
        <v>41542</v>
      </c>
      <c r="B2531" s="418">
        <v>6.4791666666666664E-2</v>
      </c>
      <c r="C2531" s="421" t="s">
        <v>1318</v>
      </c>
    </row>
    <row r="2532" spans="1:3" x14ac:dyDescent="0.25">
      <c r="A2532" s="417">
        <v>41542</v>
      </c>
      <c r="B2532" s="418">
        <v>6.4791666666666664E-2</v>
      </c>
      <c r="C2532" s="421" t="s">
        <v>1307</v>
      </c>
    </row>
    <row r="2533" spans="1:3" x14ac:dyDescent="0.25">
      <c r="A2533" s="417">
        <v>41542</v>
      </c>
      <c r="B2533" s="418">
        <v>6.4791666666666664E-2</v>
      </c>
      <c r="C2533" s="421" t="s">
        <v>1321</v>
      </c>
    </row>
    <row r="2534" spans="1:3" x14ac:dyDescent="0.25">
      <c r="A2534" s="417">
        <v>41542</v>
      </c>
      <c r="B2534" s="418">
        <v>6.4791666666666664E-2</v>
      </c>
      <c r="C2534" s="421" t="s">
        <v>1322</v>
      </c>
    </row>
    <row r="2535" spans="1:3" x14ac:dyDescent="0.25">
      <c r="A2535" s="417">
        <v>41542</v>
      </c>
      <c r="B2535" s="418">
        <v>6.4791666666666664E-2</v>
      </c>
      <c r="C2535" s="421" t="s">
        <v>1322</v>
      </c>
    </row>
    <row r="2536" spans="1:3" x14ac:dyDescent="0.25">
      <c r="A2536" s="417">
        <v>41542</v>
      </c>
      <c r="B2536" s="418">
        <v>6.4791666666666664E-2</v>
      </c>
      <c r="C2536" s="421" t="s">
        <v>1323</v>
      </c>
    </row>
    <row r="2537" spans="1:3" x14ac:dyDescent="0.25">
      <c r="A2537" s="417">
        <v>41542</v>
      </c>
      <c r="B2537" s="418">
        <v>6.4791666666666664E-2</v>
      </c>
      <c r="C2537" s="421" t="s">
        <v>1324</v>
      </c>
    </row>
    <row r="2538" spans="1:3" x14ac:dyDescent="0.25">
      <c r="A2538" s="417">
        <v>41542</v>
      </c>
      <c r="B2538" s="418">
        <v>6.4791666666666664E-2</v>
      </c>
      <c r="C2538" s="421" t="s">
        <v>1310</v>
      </c>
    </row>
    <row r="2539" spans="1:3" x14ac:dyDescent="0.25">
      <c r="A2539" s="417">
        <v>41542</v>
      </c>
      <c r="B2539" s="418">
        <v>6.4791666666666664E-2</v>
      </c>
      <c r="C2539" s="421" t="s">
        <v>1325</v>
      </c>
    </row>
    <row r="2540" spans="1:3" x14ac:dyDescent="0.25">
      <c r="A2540" s="417">
        <v>41542</v>
      </c>
      <c r="B2540" s="418">
        <v>6.4791666666666664E-2</v>
      </c>
      <c r="C2540" s="421" t="s">
        <v>1326</v>
      </c>
    </row>
    <row r="2541" spans="1:3" x14ac:dyDescent="0.25">
      <c r="A2541" s="417">
        <v>41542</v>
      </c>
      <c r="B2541" s="418">
        <v>6.4791666666666664E-2</v>
      </c>
      <c r="C2541" s="421" t="s">
        <v>1327</v>
      </c>
    </row>
    <row r="2542" spans="1:3" x14ac:dyDescent="0.25">
      <c r="A2542" s="417">
        <v>41542</v>
      </c>
      <c r="B2542" s="418">
        <v>6.4791666666666664E-2</v>
      </c>
      <c r="C2542" s="421" t="s">
        <v>1328</v>
      </c>
    </row>
    <row r="2543" spans="1:3" ht="60" x14ac:dyDescent="0.25">
      <c r="A2543" s="417">
        <v>41542</v>
      </c>
      <c r="B2543" s="418">
        <v>6.4791666666666664E-2</v>
      </c>
      <c r="C2543" s="946" t="s">
        <v>1536</v>
      </c>
    </row>
    <row r="2544" spans="1:3" x14ac:dyDescent="0.25">
      <c r="A2544" s="417">
        <v>41542</v>
      </c>
      <c r="B2544" s="418">
        <v>6.4849537037037039E-2</v>
      </c>
      <c r="C2544" s="421" t="s">
        <v>1323</v>
      </c>
    </row>
    <row r="2545" spans="1:3" x14ac:dyDescent="0.25">
      <c r="A2545" s="417">
        <v>41542</v>
      </c>
      <c r="B2545" s="418">
        <v>6.4849537037037039E-2</v>
      </c>
      <c r="C2545" s="421" t="s">
        <v>1342</v>
      </c>
    </row>
    <row r="2546" spans="1:3" x14ac:dyDescent="0.25">
      <c r="A2546" s="417">
        <v>41542</v>
      </c>
      <c r="B2546" s="418">
        <v>6.4849537037037039E-2</v>
      </c>
      <c r="C2546" s="421" t="s">
        <v>1343</v>
      </c>
    </row>
    <row r="2547" spans="1:3" x14ac:dyDescent="0.25">
      <c r="A2547" s="417">
        <v>41542</v>
      </c>
      <c r="B2547" s="418">
        <v>6.4849537037037039E-2</v>
      </c>
      <c r="C2547" s="421" t="s">
        <v>1344</v>
      </c>
    </row>
    <row r="2548" spans="1:3" x14ac:dyDescent="0.25">
      <c r="A2548" s="417">
        <v>41542</v>
      </c>
      <c r="B2548" s="418">
        <v>6.4849537037037039E-2</v>
      </c>
      <c r="C2548" s="421" t="s">
        <v>1344</v>
      </c>
    </row>
    <row r="2549" spans="1:3" x14ac:dyDescent="0.25">
      <c r="A2549" s="417">
        <v>41542</v>
      </c>
      <c r="B2549" s="418">
        <v>6.4849537037037039E-2</v>
      </c>
      <c r="C2549" s="421" t="s">
        <v>1310</v>
      </c>
    </row>
    <row r="2550" spans="1:3" x14ac:dyDescent="0.25">
      <c r="A2550" s="417">
        <v>41542</v>
      </c>
      <c r="B2550" s="418">
        <v>6.4849537037037039E-2</v>
      </c>
      <c r="C2550" s="421" t="s">
        <v>1345</v>
      </c>
    </row>
    <row r="2551" spans="1:3" x14ac:dyDescent="0.25">
      <c r="A2551" s="417">
        <v>41542</v>
      </c>
      <c r="B2551" s="418">
        <v>6.4849537037037039E-2</v>
      </c>
      <c r="C2551" s="421" t="s">
        <v>1346</v>
      </c>
    </row>
    <row r="2552" spans="1:3" x14ac:dyDescent="0.25">
      <c r="A2552" s="417">
        <v>41542</v>
      </c>
      <c r="B2552" s="418">
        <v>6.4849537037037039E-2</v>
      </c>
      <c r="C2552" s="421" t="s">
        <v>1347</v>
      </c>
    </row>
    <row r="2553" spans="1:3" x14ac:dyDescent="0.25">
      <c r="A2553" s="417">
        <v>41542</v>
      </c>
      <c r="B2553" s="418">
        <v>6.4849537037037039E-2</v>
      </c>
      <c r="C2553" s="421" t="s">
        <v>1348</v>
      </c>
    </row>
    <row r="2554" spans="1:3" x14ac:dyDescent="0.25">
      <c r="A2554" s="417">
        <v>41542</v>
      </c>
      <c r="B2554" s="418">
        <v>6.4849537037037039E-2</v>
      </c>
      <c r="C2554" s="421" t="s">
        <v>1349</v>
      </c>
    </row>
    <row r="2555" spans="1:3" x14ac:dyDescent="0.25">
      <c r="A2555" s="417">
        <v>41542</v>
      </c>
      <c r="B2555" s="418">
        <v>6.4849537037037039E-2</v>
      </c>
      <c r="C2555" s="421" t="s">
        <v>1349</v>
      </c>
    </row>
    <row r="2556" spans="1:3" x14ac:dyDescent="0.25">
      <c r="A2556" s="417">
        <v>41542</v>
      </c>
      <c r="B2556" s="418">
        <v>6.4849537037037039E-2</v>
      </c>
      <c r="C2556" s="421" t="s">
        <v>1348</v>
      </c>
    </row>
    <row r="2557" spans="1:3" x14ac:dyDescent="0.25">
      <c r="A2557" s="417">
        <v>41542</v>
      </c>
      <c r="B2557" s="418">
        <v>6.4849537037037039E-2</v>
      </c>
      <c r="C2557" s="421" t="s">
        <v>1350</v>
      </c>
    </row>
    <row r="2558" spans="1:3" x14ac:dyDescent="0.25">
      <c r="A2558" s="417">
        <v>41542</v>
      </c>
      <c r="B2558" s="418">
        <v>6.4849537037037039E-2</v>
      </c>
      <c r="C2558" s="421" t="s">
        <v>1351</v>
      </c>
    </row>
    <row r="2559" spans="1:3" x14ac:dyDescent="0.25">
      <c r="A2559" s="417">
        <v>41542</v>
      </c>
      <c r="B2559" s="418">
        <v>6.4849537037037039E-2</v>
      </c>
      <c r="C2559" s="421" t="s">
        <v>1352</v>
      </c>
    </row>
    <row r="2560" spans="1:3" x14ac:dyDescent="0.25">
      <c r="A2560" s="417">
        <v>41542</v>
      </c>
      <c r="B2560" s="418">
        <v>6.4849537037037039E-2</v>
      </c>
      <c r="C2560" s="421" t="s">
        <v>1287</v>
      </c>
    </row>
    <row r="2561" spans="1:3" ht="60" x14ac:dyDescent="0.25">
      <c r="A2561" s="417">
        <v>41542</v>
      </c>
      <c r="B2561" s="418">
        <v>6.4849537037037039E-2</v>
      </c>
      <c r="C2561" s="946" t="s">
        <v>1288</v>
      </c>
    </row>
    <row r="2562" spans="1:3" x14ac:dyDescent="0.25">
      <c r="A2562" s="417">
        <v>41542</v>
      </c>
      <c r="B2562" s="418">
        <v>6.4861111111111105E-2</v>
      </c>
      <c r="C2562" s="421" t="s">
        <v>1353</v>
      </c>
    </row>
    <row r="2563" spans="1:3" x14ac:dyDescent="0.25">
      <c r="A2563" s="417">
        <v>41542</v>
      </c>
      <c r="B2563" s="418">
        <v>6.4861111111111105E-2</v>
      </c>
      <c r="C2563" s="421" t="s">
        <v>1354</v>
      </c>
    </row>
    <row r="2564" spans="1:3" x14ac:dyDescent="0.25">
      <c r="A2564" s="417">
        <v>41542</v>
      </c>
      <c r="B2564" s="418">
        <v>6.4861111111111105E-2</v>
      </c>
      <c r="C2564" s="421" t="s">
        <v>1355</v>
      </c>
    </row>
    <row r="2565" spans="1:3" x14ac:dyDescent="0.25">
      <c r="A2565" s="417">
        <v>41542</v>
      </c>
      <c r="B2565" s="418">
        <v>6.4861111111111105E-2</v>
      </c>
      <c r="C2565" s="421" t="s">
        <v>1357</v>
      </c>
    </row>
    <row r="2566" spans="1:3" x14ac:dyDescent="0.25">
      <c r="A2566" s="417">
        <v>41542</v>
      </c>
      <c r="B2566" s="418">
        <v>6.4861111111111105E-2</v>
      </c>
      <c r="C2566" s="421" t="s">
        <v>1358</v>
      </c>
    </row>
    <row r="2567" spans="1:3" x14ac:dyDescent="0.25">
      <c r="A2567" s="417">
        <v>41542</v>
      </c>
      <c r="B2567" s="418">
        <v>6.4861111111111105E-2</v>
      </c>
      <c r="C2567" s="421" t="s">
        <v>1359</v>
      </c>
    </row>
    <row r="2568" spans="1:3" x14ac:dyDescent="0.25">
      <c r="A2568" s="417">
        <v>41542</v>
      </c>
      <c r="B2568" s="418">
        <v>6.4861111111111105E-2</v>
      </c>
      <c r="C2568" s="421" t="s">
        <v>1360</v>
      </c>
    </row>
    <row r="2569" spans="1:3" x14ac:dyDescent="0.25">
      <c r="A2569" s="417">
        <v>41542</v>
      </c>
      <c r="B2569" s="418">
        <v>6.4861111111111105E-2</v>
      </c>
      <c r="C2569" s="421" t="s">
        <v>1361</v>
      </c>
    </row>
    <row r="2570" spans="1:3" x14ac:dyDescent="0.25">
      <c r="A2570" s="417">
        <v>41542</v>
      </c>
      <c r="B2570" s="418">
        <v>6.4861111111111105E-2</v>
      </c>
      <c r="C2570" s="421" t="s">
        <v>1317</v>
      </c>
    </row>
    <row r="2571" spans="1:3" x14ac:dyDescent="0.25">
      <c r="A2571" s="417">
        <v>41542</v>
      </c>
      <c r="B2571" s="418">
        <v>6.4861111111111105E-2</v>
      </c>
      <c r="C2571" s="421" t="s">
        <v>1537</v>
      </c>
    </row>
    <row r="2572" spans="1:3" x14ac:dyDescent="0.25">
      <c r="A2572" s="417">
        <v>41542</v>
      </c>
      <c r="B2572" s="418">
        <v>6.4861111111111105E-2</v>
      </c>
      <c r="C2572" s="421" t="s">
        <v>1362</v>
      </c>
    </row>
    <row r="2573" spans="1:3" x14ac:dyDescent="0.25">
      <c r="A2573" s="417">
        <v>41542</v>
      </c>
      <c r="B2573" s="418">
        <v>6.4861111111111105E-2</v>
      </c>
      <c r="C2573" s="421" t="s">
        <v>1355</v>
      </c>
    </row>
    <row r="2574" spans="1:3" x14ac:dyDescent="0.25">
      <c r="A2574" s="417">
        <v>41542</v>
      </c>
      <c r="B2574" s="418">
        <v>6.4861111111111105E-2</v>
      </c>
      <c r="C2574" s="421" t="s">
        <v>1363</v>
      </c>
    </row>
    <row r="2575" spans="1:3" x14ac:dyDescent="0.25">
      <c r="A2575" s="417">
        <v>41542</v>
      </c>
      <c r="B2575" s="418">
        <v>6.4861111111111105E-2</v>
      </c>
      <c r="C2575" s="421" t="s">
        <v>1364</v>
      </c>
    </row>
    <row r="2576" spans="1:3" x14ac:dyDescent="0.25">
      <c r="A2576" s="417">
        <v>41542</v>
      </c>
      <c r="B2576" s="418">
        <v>6.4861111111111105E-2</v>
      </c>
      <c r="C2576" s="421" t="s">
        <v>1365</v>
      </c>
    </row>
    <row r="2577" spans="1:3" x14ac:dyDescent="0.25">
      <c r="A2577" s="417">
        <v>41542</v>
      </c>
      <c r="B2577" s="418">
        <v>6.4861111111111105E-2</v>
      </c>
      <c r="C2577" s="421" t="s">
        <v>1365</v>
      </c>
    </row>
    <row r="2578" spans="1:3" x14ac:dyDescent="0.25">
      <c r="A2578" s="417">
        <v>41542</v>
      </c>
      <c r="B2578" s="418">
        <v>6.4861111111111105E-2</v>
      </c>
      <c r="C2578" s="421" t="s">
        <v>1366</v>
      </c>
    </row>
    <row r="2579" spans="1:3" x14ac:dyDescent="0.25">
      <c r="A2579" s="417">
        <v>41542</v>
      </c>
      <c r="B2579" s="418">
        <v>6.4861111111111105E-2</v>
      </c>
      <c r="C2579" s="421" t="s">
        <v>1320</v>
      </c>
    </row>
    <row r="2580" spans="1:3" x14ac:dyDescent="0.25">
      <c r="A2580" s="417">
        <v>41542</v>
      </c>
      <c r="B2580" s="418">
        <v>6.4861111111111105E-2</v>
      </c>
      <c r="C2580" s="421" t="s">
        <v>1367</v>
      </c>
    </row>
    <row r="2581" spans="1:3" x14ac:dyDescent="0.25">
      <c r="A2581" s="417">
        <v>41542</v>
      </c>
      <c r="B2581" s="418">
        <v>6.4861111111111105E-2</v>
      </c>
      <c r="C2581" s="421" t="s">
        <v>1344</v>
      </c>
    </row>
    <row r="2582" spans="1:3" x14ac:dyDescent="0.25">
      <c r="A2582" s="417">
        <v>41542</v>
      </c>
      <c r="B2582" s="418">
        <v>6.4861111111111105E-2</v>
      </c>
      <c r="C2582" s="421" t="s">
        <v>1368</v>
      </c>
    </row>
    <row r="2583" spans="1:3" x14ac:dyDescent="0.25">
      <c r="A2583" s="417">
        <v>41542</v>
      </c>
      <c r="B2583" s="418">
        <v>6.4861111111111105E-2</v>
      </c>
      <c r="C2583" s="421" t="s">
        <v>1369</v>
      </c>
    </row>
    <row r="2584" spans="1:3" x14ac:dyDescent="0.25">
      <c r="A2584" s="417">
        <v>41542</v>
      </c>
      <c r="B2584" s="418">
        <v>6.4861111111111105E-2</v>
      </c>
      <c r="C2584" s="421" t="s">
        <v>1307</v>
      </c>
    </row>
    <row r="2585" spans="1:3" x14ac:dyDescent="0.25">
      <c r="A2585" s="417">
        <v>41542</v>
      </c>
      <c r="B2585" s="418">
        <v>6.4861111111111105E-2</v>
      </c>
      <c r="C2585" s="421" t="s">
        <v>1370</v>
      </c>
    </row>
    <row r="2586" spans="1:3" x14ac:dyDescent="0.25">
      <c r="A2586" s="417">
        <v>41542</v>
      </c>
      <c r="B2586" s="418">
        <v>6.4861111111111105E-2</v>
      </c>
      <c r="C2586" s="421" t="s">
        <v>1371</v>
      </c>
    </row>
    <row r="2587" spans="1:3" x14ac:dyDescent="0.25">
      <c r="A2587" s="417">
        <v>41542</v>
      </c>
      <c r="B2587" s="418">
        <v>6.4861111111111105E-2</v>
      </c>
      <c r="C2587" s="421" t="s">
        <v>1344</v>
      </c>
    </row>
    <row r="2588" spans="1:3" x14ac:dyDescent="0.25">
      <c r="A2588" s="417">
        <v>41542</v>
      </c>
      <c r="B2588" s="418">
        <v>6.4861111111111105E-2</v>
      </c>
      <c r="C2588" s="421" t="s">
        <v>1317</v>
      </c>
    </row>
    <row r="2589" spans="1:3" x14ac:dyDescent="0.25">
      <c r="A2589" s="417">
        <v>41542</v>
      </c>
      <c r="B2589" s="418">
        <v>6.4861111111111105E-2</v>
      </c>
      <c r="C2589" s="421" t="s">
        <v>1463</v>
      </c>
    </row>
    <row r="2590" spans="1:3" x14ac:dyDescent="0.25">
      <c r="A2590" s="417">
        <v>41542</v>
      </c>
      <c r="B2590" s="418">
        <v>6.4861111111111105E-2</v>
      </c>
      <c r="C2590" s="421" t="s">
        <v>1378</v>
      </c>
    </row>
    <row r="2591" spans="1:3" ht="60" x14ac:dyDescent="0.25">
      <c r="A2591" s="417">
        <v>41542</v>
      </c>
      <c r="B2591" s="418">
        <v>6.4861111111111105E-2</v>
      </c>
      <c r="C2591" s="946" t="s">
        <v>1538</v>
      </c>
    </row>
    <row r="2592" spans="1:3" x14ac:dyDescent="0.25">
      <c r="A2592" s="417">
        <v>41542</v>
      </c>
      <c r="B2592" s="418">
        <v>6.4872685185185186E-2</v>
      </c>
      <c r="C2592" s="421" t="s">
        <v>1373</v>
      </c>
    </row>
    <row r="2593" spans="1:3" x14ac:dyDescent="0.25">
      <c r="A2593" s="417">
        <v>41542</v>
      </c>
      <c r="B2593" s="418">
        <v>6.4872685185185186E-2</v>
      </c>
      <c r="C2593" s="421" t="s">
        <v>1308</v>
      </c>
    </row>
    <row r="2594" spans="1:3" x14ac:dyDescent="0.25">
      <c r="A2594" s="417">
        <v>41542</v>
      </c>
      <c r="B2594" s="418">
        <v>6.4884259259259267E-2</v>
      </c>
      <c r="C2594" s="421" t="s">
        <v>1374</v>
      </c>
    </row>
    <row r="2595" spans="1:3" x14ac:dyDescent="0.25">
      <c r="A2595" s="417">
        <v>41542</v>
      </c>
      <c r="B2595" s="418">
        <v>6.4884259259259267E-2</v>
      </c>
      <c r="C2595" s="421" t="s">
        <v>1375</v>
      </c>
    </row>
    <row r="2596" spans="1:3" x14ac:dyDescent="0.25">
      <c r="A2596" s="417">
        <v>41542</v>
      </c>
      <c r="B2596" s="418">
        <v>6.4884259259259267E-2</v>
      </c>
      <c r="C2596" s="421" t="s">
        <v>1376</v>
      </c>
    </row>
    <row r="2597" spans="1:3" x14ac:dyDescent="0.25">
      <c r="A2597" s="417">
        <v>41542</v>
      </c>
      <c r="B2597" s="418">
        <v>6.4884259259259267E-2</v>
      </c>
      <c r="C2597" s="421" t="s">
        <v>1377</v>
      </c>
    </row>
    <row r="2598" spans="1:3" x14ac:dyDescent="0.25">
      <c r="A2598" s="417">
        <v>41542</v>
      </c>
      <c r="B2598" s="418">
        <v>6.4884259259259267E-2</v>
      </c>
      <c r="C2598" s="421" t="s">
        <v>1326</v>
      </c>
    </row>
    <row r="2599" spans="1:3" x14ac:dyDescent="0.25">
      <c r="A2599" s="417">
        <v>41542</v>
      </c>
      <c r="B2599" s="418">
        <v>6.4884259259259267E-2</v>
      </c>
      <c r="C2599" s="421" t="s">
        <v>1378</v>
      </c>
    </row>
    <row r="2600" spans="1:3" ht="60" x14ac:dyDescent="0.25">
      <c r="A2600" s="417">
        <v>41542</v>
      </c>
      <c r="B2600" s="418">
        <v>6.4884259259259267E-2</v>
      </c>
      <c r="C2600" s="946" t="s">
        <v>1539</v>
      </c>
    </row>
    <row r="2601" spans="1:3" x14ac:dyDescent="0.25">
      <c r="A2601" s="417">
        <v>41542</v>
      </c>
      <c r="B2601" s="418">
        <v>6.4884259259259267E-2</v>
      </c>
      <c r="C2601" s="421" t="s">
        <v>1380</v>
      </c>
    </row>
    <row r="2602" spans="1:3" x14ac:dyDescent="0.25">
      <c r="A2602" s="417">
        <v>41542</v>
      </c>
      <c r="B2602" s="418">
        <v>6.4884259259259267E-2</v>
      </c>
      <c r="C2602" s="421" t="s">
        <v>1381</v>
      </c>
    </row>
    <row r="2603" spans="1:3" x14ac:dyDescent="0.25">
      <c r="A2603" s="417">
        <v>41542</v>
      </c>
      <c r="B2603" s="418">
        <v>6.4884259259259267E-2</v>
      </c>
      <c r="C2603" s="421" t="s">
        <v>1382</v>
      </c>
    </row>
    <row r="2604" spans="1:3" x14ac:dyDescent="0.25">
      <c r="A2604" s="417">
        <v>41542</v>
      </c>
      <c r="B2604" s="418">
        <v>6.4884259259259267E-2</v>
      </c>
      <c r="C2604" s="421" t="s">
        <v>1383</v>
      </c>
    </row>
    <row r="2605" spans="1:3" x14ac:dyDescent="0.25">
      <c r="A2605" s="417">
        <v>41542</v>
      </c>
      <c r="B2605" s="418">
        <v>6.4884259259259267E-2</v>
      </c>
      <c r="C2605" s="421" t="s">
        <v>1352</v>
      </c>
    </row>
    <row r="2606" spans="1:3" x14ac:dyDescent="0.25">
      <c r="A2606" s="417">
        <v>41542</v>
      </c>
      <c r="B2606" s="418">
        <v>6.4884259259259267E-2</v>
      </c>
      <c r="C2606" s="421" t="s">
        <v>1384</v>
      </c>
    </row>
    <row r="2607" spans="1:3" x14ac:dyDescent="0.25">
      <c r="A2607" s="417">
        <v>41542</v>
      </c>
      <c r="B2607" s="418">
        <v>6.4884259259259267E-2</v>
      </c>
      <c r="C2607" s="421" t="s">
        <v>1385</v>
      </c>
    </row>
    <row r="2608" spans="1:3" x14ac:dyDescent="0.25">
      <c r="A2608" s="417">
        <v>41542</v>
      </c>
      <c r="B2608" s="418">
        <v>6.4884259259259267E-2</v>
      </c>
      <c r="C2608" s="421" t="s">
        <v>1385</v>
      </c>
    </row>
    <row r="2609" spans="1:3" x14ac:dyDescent="0.25">
      <c r="A2609" s="417">
        <v>41542</v>
      </c>
      <c r="B2609" s="418">
        <v>6.4884259259259267E-2</v>
      </c>
      <c r="C2609" s="421" t="s">
        <v>1386</v>
      </c>
    </row>
    <row r="2610" spans="1:3" x14ac:dyDescent="0.25">
      <c r="A2610" s="417">
        <v>41542</v>
      </c>
      <c r="B2610" s="418">
        <v>6.4884259259259267E-2</v>
      </c>
      <c r="C2610" s="421" t="s">
        <v>1387</v>
      </c>
    </row>
    <row r="2611" spans="1:3" x14ac:dyDescent="0.25">
      <c r="A2611" s="417">
        <v>41542</v>
      </c>
      <c r="B2611" s="418">
        <v>6.4895833333333333E-2</v>
      </c>
      <c r="C2611" s="421" t="s">
        <v>1387</v>
      </c>
    </row>
    <row r="2612" spans="1:3" x14ac:dyDescent="0.25">
      <c r="A2612" s="417">
        <v>41542</v>
      </c>
      <c r="B2612" s="418">
        <v>6.4895833333333333E-2</v>
      </c>
      <c r="C2612" s="421" t="s">
        <v>1318</v>
      </c>
    </row>
    <row r="2613" spans="1:3" x14ac:dyDescent="0.25">
      <c r="A2613" s="417">
        <v>41542</v>
      </c>
      <c r="B2613" s="418">
        <v>6.4895833333333333E-2</v>
      </c>
      <c r="C2613" s="421" t="s">
        <v>1388</v>
      </c>
    </row>
    <row r="2614" spans="1:3" x14ac:dyDescent="0.25">
      <c r="A2614" s="417">
        <v>41542</v>
      </c>
      <c r="B2614" s="418">
        <v>6.4895833333333333E-2</v>
      </c>
      <c r="C2614" s="421" t="s">
        <v>1390</v>
      </c>
    </row>
    <row r="2615" spans="1:3" x14ac:dyDescent="0.25">
      <c r="A2615" s="417">
        <v>41542</v>
      </c>
      <c r="B2615" s="418">
        <v>6.4895833333333333E-2</v>
      </c>
      <c r="C2615" s="421" t="s">
        <v>1391</v>
      </c>
    </row>
    <row r="2616" spans="1:3" x14ac:dyDescent="0.25">
      <c r="A2616" s="417">
        <v>41542</v>
      </c>
      <c r="B2616" s="418">
        <v>6.4895833333333333E-2</v>
      </c>
      <c r="C2616" s="421" t="s">
        <v>1392</v>
      </c>
    </row>
    <row r="2617" spans="1:3" x14ac:dyDescent="0.25">
      <c r="A2617" s="417">
        <v>41542</v>
      </c>
      <c r="B2617" s="418">
        <v>6.4895833333333333E-2</v>
      </c>
      <c r="C2617" s="421" t="s">
        <v>1294</v>
      </c>
    </row>
    <row r="2618" spans="1:3" ht="60" x14ac:dyDescent="0.25">
      <c r="A2618" s="417">
        <v>41542</v>
      </c>
      <c r="B2618" s="418">
        <v>6.4895833333333333E-2</v>
      </c>
      <c r="C2618" s="946" t="s">
        <v>1295</v>
      </c>
    </row>
    <row r="2619" spans="1:3" x14ac:dyDescent="0.25">
      <c r="A2619" s="417">
        <v>41542</v>
      </c>
      <c r="B2619" s="418">
        <v>6.4907407407407414E-2</v>
      </c>
      <c r="C2619" s="421" t="s">
        <v>1393</v>
      </c>
    </row>
    <row r="2620" spans="1:3" x14ac:dyDescent="0.25">
      <c r="A2620" s="417">
        <v>41542</v>
      </c>
      <c r="B2620" s="418">
        <v>6.4907407407407414E-2</v>
      </c>
      <c r="C2620" s="421" t="s">
        <v>1394</v>
      </c>
    </row>
    <row r="2621" spans="1:3" x14ac:dyDescent="0.25">
      <c r="A2621" s="417">
        <v>41542</v>
      </c>
      <c r="B2621" s="418">
        <v>6.4907407407407414E-2</v>
      </c>
      <c r="C2621" s="421" t="s">
        <v>1392</v>
      </c>
    </row>
    <row r="2622" spans="1:3" x14ac:dyDescent="0.25">
      <c r="A2622" s="417">
        <v>41542</v>
      </c>
      <c r="B2622" s="418">
        <v>6.4907407407407414E-2</v>
      </c>
      <c r="C2622" s="421" t="s">
        <v>1395</v>
      </c>
    </row>
    <row r="2623" spans="1:3" x14ac:dyDescent="0.25">
      <c r="A2623" s="417">
        <v>41542</v>
      </c>
      <c r="B2623" s="418">
        <v>6.4907407407407414E-2</v>
      </c>
      <c r="C2623" s="421" t="s">
        <v>1396</v>
      </c>
    </row>
    <row r="2624" spans="1:3" x14ac:dyDescent="0.25">
      <c r="A2624" s="417">
        <v>41542</v>
      </c>
      <c r="B2624" s="418">
        <v>6.4907407407407414E-2</v>
      </c>
      <c r="C2624" s="421" t="s">
        <v>1363</v>
      </c>
    </row>
    <row r="2625" spans="1:3" x14ac:dyDescent="0.25">
      <c r="A2625" s="417">
        <v>41542</v>
      </c>
      <c r="B2625" s="418">
        <v>6.4907407407407414E-2</v>
      </c>
      <c r="C2625" s="421" t="s">
        <v>1362</v>
      </c>
    </row>
    <row r="2626" spans="1:3" x14ac:dyDescent="0.25">
      <c r="A2626" s="417">
        <v>41542</v>
      </c>
      <c r="B2626" s="418">
        <v>6.4907407407407414E-2</v>
      </c>
      <c r="C2626" s="421" t="s">
        <v>1397</v>
      </c>
    </row>
    <row r="2627" spans="1:3" x14ac:dyDescent="0.25">
      <c r="A2627" s="417">
        <v>41542</v>
      </c>
      <c r="B2627" s="418">
        <v>6.4907407407407414E-2</v>
      </c>
      <c r="C2627" s="421" t="s">
        <v>1381</v>
      </c>
    </row>
    <row r="2628" spans="1:3" x14ac:dyDescent="0.25">
      <c r="A2628" s="417">
        <v>41542</v>
      </c>
      <c r="B2628" s="418">
        <v>6.4907407407407414E-2</v>
      </c>
      <c r="C2628" s="421" t="s">
        <v>1398</v>
      </c>
    </row>
    <row r="2629" spans="1:3" x14ac:dyDescent="0.25">
      <c r="A2629" s="417">
        <v>41542</v>
      </c>
      <c r="B2629" s="418">
        <v>6.4907407407407414E-2</v>
      </c>
      <c r="C2629" s="421" t="s">
        <v>1399</v>
      </c>
    </row>
    <row r="2630" spans="1:3" x14ac:dyDescent="0.25">
      <c r="A2630" s="417">
        <v>41542</v>
      </c>
      <c r="B2630" s="418">
        <v>6.4907407407407414E-2</v>
      </c>
      <c r="C2630" s="421" t="s">
        <v>1400</v>
      </c>
    </row>
    <row r="2631" spans="1:3" x14ac:dyDescent="0.25">
      <c r="A2631" s="417">
        <v>41542</v>
      </c>
      <c r="B2631" s="418">
        <v>6.4907407407407414E-2</v>
      </c>
      <c r="C2631" s="421" t="s">
        <v>1400</v>
      </c>
    </row>
    <row r="2632" spans="1:3" x14ac:dyDescent="0.25">
      <c r="A2632" s="417">
        <v>41542</v>
      </c>
      <c r="B2632" s="418">
        <v>6.4907407407407414E-2</v>
      </c>
      <c r="C2632" s="421" t="s">
        <v>1373</v>
      </c>
    </row>
    <row r="2633" spans="1:3" x14ac:dyDescent="0.25">
      <c r="A2633" s="417">
        <v>41542</v>
      </c>
      <c r="B2633" s="418">
        <v>6.4907407407407414E-2</v>
      </c>
      <c r="C2633" s="421" t="s">
        <v>1353</v>
      </c>
    </row>
    <row r="2634" spans="1:3" x14ac:dyDescent="0.25">
      <c r="A2634" s="417">
        <v>41542</v>
      </c>
      <c r="B2634" s="418">
        <v>6.4907407407407414E-2</v>
      </c>
      <c r="C2634" s="421" t="s">
        <v>1353</v>
      </c>
    </row>
    <row r="2635" spans="1:3" x14ac:dyDescent="0.25">
      <c r="A2635" s="417">
        <v>41542</v>
      </c>
      <c r="B2635" s="418">
        <v>6.491898148148148E-2</v>
      </c>
      <c r="C2635" s="421" t="s">
        <v>1401</v>
      </c>
    </row>
    <row r="2636" spans="1:3" x14ac:dyDescent="0.25">
      <c r="A2636" s="417">
        <v>41542</v>
      </c>
      <c r="B2636" s="418">
        <v>6.491898148148148E-2</v>
      </c>
      <c r="C2636" s="421" t="s">
        <v>1392</v>
      </c>
    </row>
    <row r="2637" spans="1:3" x14ac:dyDescent="0.25">
      <c r="A2637" s="417">
        <v>41542</v>
      </c>
      <c r="B2637" s="418">
        <v>6.491898148148148E-2</v>
      </c>
      <c r="C2637" s="421" t="s">
        <v>1403</v>
      </c>
    </row>
    <row r="2638" spans="1:3" x14ac:dyDescent="0.25">
      <c r="A2638" s="417">
        <v>41542</v>
      </c>
      <c r="B2638" s="418">
        <v>6.491898148148148E-2</v>
      </c>
      <c r="C2638" s="421" t="s">
        <v>1403</v>
      </c>
    </row>
    <row r="2639" spans="1:3" x14ac:dyDescent="0.25">
      <c r="A2639" s="417">
        <v>41542</v>
      </c>
      <c r="B2639" s="418">
        <v>6.491898148148148E-2</v>
      </c>
      <c r="C2639" s="421" t="s">
        <v>1403</v>
      </c>
    </row>
    <row r="2640" spans="1:3" x14ac:dyDescent="0.25">
      <c r="A2640" s="417">
        <v>41542</v>
      </c>
      <c r="B2640" s="418">
        <v>6.491898148148148E-2</v>
      </c>
      <c r="C2640" s="421" t="s">
        <v>1362</v>
      </c>
    </row>
    <row r="2641" spans="1:3" x14ac:dyDescent="0.25">
      <c r="A2641" s="417">
        <v>41542</v>
      </c>
      <c r="B2641" s="418">
        <v>6.491898148148148E-2</v>
      </c>
      <c r="C2641" s="421" t="s">
        <v>1364</v>
      </c>
    </row>
    <row r="2642" spans="1:3" x14ac:dyDescent="0.25">
      <c r="A2642" s="417">
        <v>41542</v>
      </c>
      <c r="B2642" s="418">
        <v>6.491898148148148E-2</v>
      </c>
      <c r="C2642" s="421" t="s">
        <v>1364</v>
      </c>
    </row>
    <row r="2643" spans="1:3" x14ac:dyDescent="0.25">
      <c r="A2643" s="417">
        <v>41542</v>
      </c>
      <c r="B2643" s="418">
        <v>6.491898148148148E-2</v>
      </c>
      <c r="C2643" s="421" t="s">
        <v>1381</v>
      </c>
    </row>
    <row r="2644" spans="1:3" x14ac:dyDescent="0.25">
      <c r="A2644" s="417">
        <v>41542</v>
      </c>
      <c r="B2644" s="418">
        <v>6.491898148148148E-2</v>
      </c>
      <c r="C2644" s="421" t="s">
        <v>1364</v>
      </c>
    </row>
    <row r="2645" spans="1:3" x14ac:dyDescent="0.25">
      <c r="A2645" s="417">
        <v>41542</v>
      </c>
      <c r="B2645" s="418">
        <v>6.491898148148148E-2</v>
      </c>
      <c r="C2645" s="421" t="s">
        <v>1480</v>
      </c>
    </row>
    <row r="2646" spans="1:3" x14ac:dyDescent="0.25">
      <c r="A2646" s="417">
        <v>41542</v>
      </c>
      <c r="B2646" s="418">
        <v>6.491898148148148E-2</v>
      </c>
      <c r="C2646" s="421" t="s">
        <v>1480</v>
      </c>
    </row>
    <row r="2647" spans="1:3" x14ac:dyDescent="0.25">
      <c r="A2647" s="417">
        <v>41542</v>
      </c>
      <c r="B2647" s="418">
        <v>6.491898148148148E-2</v>
      </c>
      <c r="C2647" s="421" t="s">
        <v>1480</v>
      </c>
    </row>
    <row r="2648" spans="1:3" x14ac:dyDescent="0.25">
      <c r="A2648" s="417">
        <v>41542</v>
      </c>
      <c r="B2648" s="418">
        <v>6.491898148148148E-2</v>
      </c>
      <c r="C2648" s="421" t="s">
        <v>1540</v>
      </c>
    </row>
    <row r="2649" spans="1:3" x14ac:dyDescent="0.25">
      <c r="A2649" s="417">
        <v>41542</v>
      </c>
      <c r="B2649" s="418">
        <v>6.491898148148148E-2</v>
      </c>
      <c r="C2649" s="421" t="s">
        <v>1541</v>
      </c>
    </row>
    <row r="2650" spans="1:3" x14ac:dyDescent="0.25">
      <c r="A2650" s="417">
        <v>41542</v>
      </c>
      <c r="B2650" s="418">
        <v>6.491898148148148E-2</v>
      </c>
      <c r="C2650" s="421" t="s">
        <v>1346</v>
      </c>
    </row>
    <row r="2651" spans="1:3" x14ac:dyDescent="0.25">
      <c r="A2651" s="417">
        <v>41542</v>
      </c>
      <c r="B2651" s="418">
        <v>6.491898148148148E-2</v>
      </c>
      <c r="C2651" s="421" t="s">
        <v>1405</v>
      </c>
    </row>
    <row r="2652" spans="1:3" x14ac:dyDescent="0.25">
      <c r="A2652" s="417">
        <v>41542</v>
      </c>
      <c r="B2652" s="418">
        <v>6.491898148148148E-2</v>
      </c>
      <c r="C2652" s="421" t="s">
        <v>1406</v>
      </c>
    </row>
    <row r="2653" spans="1:3" x14ac:dyDescent="0.25">
      <c r="A2653" s="417">
        <v>41542</v>
      </c>
      <c r="B2653" s="418">
        <v>6.491898148148148E-2</v>
      </c>
      <c r="C2653" s="421" t="s">
        <v>1362</v>
      </c>
    </row>
    <row r="2654" spans="1:3" x14ac:dyDescent="0.25">
      <c r="A2654" s="417">
        <v>41542</v>
      </c>
      <c r="B2654" s="418">
        <v>6.491898148148148E-2</v>
      </c>
      <c r="C2654" s="421" t="s">
        <v>1542</v>
      </c>
    </row>
    <row r="2655" spans="1:3" x14ac:dyDescent="0.25">
      <c r="A2655" s="417">
        <v>41542</v>
      </c>
      <c r="B2655" s="418">
        <v>6.4930555555555561E-2</v>
      </c>
      <c r="C2655" s="421" t="s">
        <v>1318</v>
      </c>
    </row>
    <row r="2656" spans="1:3" x14ac:dyDescent="0.25">
      <c r="A2656" s="417">
        <v>41542</v>
      </c>
      <c r="B2656" s="418">
        <v>6.4930555555555561E-2</v>
      </c>
      <c r="C2656" s="421" t="s">
        <v>1368</v>
      </c>
    </row>
    <row r="2657" spans="1:3" x14ac:dyDescent="0.25">
      <c r="A2657" s="417">
        <v>41542</v>
      </c>
      <c r="B2657" s="418">
        <v>6.4930555555555561E-2</v>
      </c>
      <c r="C2657" s="421" t="s">
        <v>1368</v>
      </c>
    </row>
    <row r="2658" spans="1:3" x14ac:dyDescent="0.25">
      <c r="A2658" s="417">
        <v>41542</v>
      </c>
      <c r="B2658" s="418">
        <v>6.4930555555555561E-2</v>
      </c>
      <c r="C2658" s="421" t="s">
        <v>1368</v>
      </c>
    </row>
    <row r="2659" spans="1:3" x14ac:dyDescent="0.25">
      <c r="A2659" s="417">
        <v>41542</v>
      </c>
      <c r="B2659" s="418">
        <v>6.4930555555555561E-2</v>
      </c>
      <c r="C2659" s="421" t="s">
        <v>1368</v>
      </c>
    </row>
    <row r="2660" spans="1:3" x14ac:dyDescent="0.25">
      <c r="A2660" s="417">
        <v>41542</v>
      </c>
      <c r="B2660" s="418">
        <v>6.4930555555555561E-2</v>
      </c>
      <c r="C2660" s="421" t="s">
        <v>1368</v>
      </c>
    </row>
    <row r="2661" spans="1:3" x14ac:dyDescent="0.25">
      <c r="A2661" s="417">
        <v>41542</v>
      </c>
      <c r="B2661" s="418">
        <v>6.4930555555555561E-2</v>
      </c>
      <c r="C2661" s="421" t="s">
        <v>1409</v>
      </c>
    </row>
    <row r="2662" spans="1:3" x14ac:dyDescent="0.25">
      <c r="A2662" s="417">
        <v>41542</v>
      </c>
      <c r="B2662" s="418">
        <v>6.4930555555555561E-2</v>
      </c>
      <c r="C2662" s="421" t="s">
        <v>1308</v>
      </c>
    </row>
    <row r="2663" spans="1:3" x14ac:dyDescent="0.25">
      <c r="A2663" s="417">
        <v>41542</v>
      </c>
      <c r="B2663" s="418">
        <v>6.4930555555555561E-2</v>
      </c>
      <c r="C2663" s="421" t="s">
        <v>1410</v>
      </c>
    </row>
    <row r="2664" spans="1:3" x14ac:dyDescent="0.25">
      <c r="A2664" s="417">
        <v>41542</v>
      </c>
      <c r="B2664" s="418">
        <v>6.4930555555555561E-2</v>
      </c>
      <c r="C2664" s="421" t="s">
        <v>1410</v>
      </c>
    </row>
    <row r="2665" spans="1:3" x14ac:dyDescent="0.25">
      <c r="A2665" s="417">
        <v>41542</v>
      </c>
      <c r="B2665" s="418">
        <v>6.4930555555555561E-2</v>
      </c>
      <c r="C2665" s="421" t="s">
        <v>1411</v>
      </c>
    </row>
    <row r="2666" spans="1:3" x14ac:dyDescent="0.25">
      <c r="A2666" s="417">
        <v>41542</v>
      </c>
      <c r="B2666" s="418">
        <v>6.4930555555555561E-2</v>
      </c>
      <c r="C2666" s="421" t="s">
        <v>1543</v>
      </c>
    </row>
    <row r="2667" spans="1:3" x14ac:dyDescent="0.25">
      <c r="A2667" s="417">
        <v>41542</v>
      </c>
      <c r="B2667" s="418">
        <v>6.4930555555555561E-2</v>
      </c>
      <c r="C2667" s="421" t="s">
        <v>1413</v>
      </c>
    </row>
    <row r="2668" spans="1:3" x14ac:dyDescent="0.25">
      <c r="A2668" s="417">
        <v>41542</v>
      </c>
      <c r="B2668" s="418">
        <v>6.4930555555555561E-2</v>
      </c>
      <c r="C2668" s="421" t="s">
        <v>1414</v>
      </c>
    </row>
    <row r="2669" spans="1:3" x14ac:dyDescent="0.25">
      <c r="A2669" s="417">
        <v>41542</v>
      </c>
      <c r="B2669" s="418">
        <v>6.4930555555555561E-2</v>
      </c>
      <c r="C2669" s="421" t="s">
        <v>1373</v>
      </c>
    </row>
    <row r="2670" spans="1:3" x14ac:dyDescent="0.25">
      <c r="A2670" s="417">
        <v>41542</v>
      </c>
      <c r="B2670" s="418">
        <v>6.4930555555555561E-2</v>
      </c>
      <c r="C2670" s="421" t="s">
        <v>1544</v>
      </c>
    </row>
    <row r="2671" spans="1:3" x14ac:dyDescent="0.25">
      <c r="A2671" s="417">
        <v>41542</v>
      </c>
      <c r="B2671" s="418">
        <v>6.4942129629629627E-2</v>
      </c>
      <c r="C2671" s="421" t="s">
        <v>1409</v>
      </c>
    </row>
    <row r="2672" spans="1:3" x14ac:dyDescent="0.25">
      <c r="A2672" s="417">
        <v>41542</v>
      </c>
      <c r="B2672" s="418">
        <v>6.4942129629629627E-2</v>
      </c>
      <c r="C2672" s="421" t="s">
        <v>1416</v>
      </c>
    </row>
    <row r="2673" spans="1:3" x14ac:dyDescent="0.25">
      <c r="A2673" s="417">
        <v>41542</v>
      </c>
      <c r="B2673" s="418">
        <v>6.4942129629629627E-2</v>
      </c>
      <c r="C2673" s="421" t="s">
        <v>1545</v>
      </c>
    </row>
    <row r="2674" spans="1:3" x14ac:dyDescent="0.25">
      <c r="A2674" s="417">
        <v>41542</v>
      </c>
      <c r="B2674" s="418">
        <v>6.4942129629629627E-2</v>
      </c>
      <c r="C2674" s="421" t="s">
        <v>1348</v>
      </c>
    </row>
    <row r="2675" spans="1:3" x14ac:dyDescent="0.25">
      <c r="A2675" s="417">
        <v>41542</v>
      </c>
      <c r="B2675" s="418">
        <v>6.4942129629629627E-2</v>
      </c>
      <c r="C2675" s="421" t="s">
        <v>1419</v>
      </c>
    </row>
    <row r="2676" spans="1:3" x14ac:dyDescent="0.25">
      <c r="A2676" s="417">
        <v>41542</v>
      </c>
      <c r="B2676" s="418">
        <v>6.4942129629629627E-2</v>
      </c>
      <c r="C2676" s="421" t="s">
        <v>1419</v>
      </c>
    </row>
    <row r="2677" spans="1:3" x14ac:dyDescent="0.25">
      <c r="A2677" s="417">
        <v>41542</v>
      </c>
      <c r="B2677" s="418">
        <v>6.4942129629629627E-2</v>
      </c>
      <c r="C2677" s="421" t="s">
        <v>1420</v>
      </c>
    </row>
    <row r="2678" spans="1:3" x14ac:dyDescent="0.25">
      <c r="A2678" s="417">
        <v>41542</v>
      </c>
      <c r="B2678" s="418">
        <v>6.4953703703703694E-2</v>
      </c>
      <c r="C2678" s="421" t="s">
        <v>1546</v>
      </c>
    </row>
    <row r="2679" spans="1:3" x14ac:dyDescent="0.25">
      <c r="A2679" s="417">
        <v>41542</v>
      </c>
      <c r="B2679" s="418">
        <v>6.4953703703703694E-2</v>
      </c>
      <c r="C2679" s="421" t="s">
        <v>1547</v>
      </c>
    </row>
    <row r="2680" spans="1:3" x14ac:dyDescent="0.25">
      <c r="A2680" s="417">
        <v>41542</v>
      </c>
      <c r="B2680" s="418">
        <v>6.4953703703703694E-2</v>
      </c>
      <c r="C2680" s="421" t="s">
        <v>1548</v>
      </c>
    </row>
    <row r="2681" spans="1:3" x14ac:dyDescent="0.25">
      <c r="A2681" s="417">
        <v>41542</v>
      </c>
      <c r="B2681" s="418">
        <v>6.4953703703703694E-2</v>
      </c>
      <c r="C2681" s="421" t="s">
        <v>1549</v>
      </c>
    </row>
    <row r="2682" spans="1:3" x14ac:dyDescent="0.25">
      <c r="A2682" s="417">
        <v>41542</v>
      </c>
      <c r="B2682" s="418">
        <v>6.4953703703703694E-2</v>
      </c>
      <c r="C2682" s="421" t="s">
        <v>1550</v>
      </c>
    </row>
    <row r="2683" spans="1:3" x14ac:dyDescent="0.25">
      <c r="A2683" s="417">
        <v>41542</v>
      </c>
      <c r="B2683" s="418">
        <v>6.4953703703703694E-2</v>
      </c>
      <c r="C2683" s="421" t="s">
        <v>1551</v>
      </c>
    </row>
    <row r="2684" spans="1:3" x14ac:dyDescent="0.25">
      <c r="A2684" s="417">
        <v>41542</v>
      </c>
      <c r="B2684" s="418">
        <v>6.4953703703703694E-2</v>
      </c>
      <c r="C2684" s="421" t="s">
        <v>1552</v>
      </c>
    </row>
    <row r="2685" spans="1:3" x14ac:dyDescent="0.25">
      <c r="A2685" s="417">
        <v>41542</v>
      </c>
      <c r="B2685" s="418">
        <v>6.4953703703703694E-2</v>
      </c>
      <c r="C2685" s="421" t="s">
        <v>1553</v>
      </c>
    </row>
    <row r="2686" spans="1:3" x14ac:dyDescent="0.25">
      <c r="A2686" s="417">
        <v>41542</v>
      </c>
      <c r="B2686" s="418">
        <v>6.4953703703703694E-2</v>
      </c>
      <c r="C2686" s="421" t="s">
        <v>1320</v>
      </c>
    </row>
    <row r="2687" spans="1:3" x14ac:dyDescent="0.25">
      <c r="A2687" s="417">
        <v>41542</v>
      </c>
      <c r="B2687" s="418">
        <v>6.4953703703703694E-2</v>
      </c>
      <c r="C2687" s="421" t="s">
        <v>1429</v>
      </c>
    </row>
    <row r="2688" spans="1:3" x14ac:dyDescent="0.25">
      <c r="A2688" s="417">
        <v>41542</v>
      </c>
      <c r="B2688" s="418">
        <v>6.4953703703703694E-2</v>
      </c>
      <c r="C2688" s="421" t="s">
        <v>1430</v>
      </c>
    </row>
    <row r="2689" spans="1:3" x14ac:dyDescent="0.25">
      <c r="A2689" s="417">
        <v>41542</v>
      </c>
      <c r="B2689" s="418">
        <v>6.4953703703703694E-2</v>
      </c>
      <c r="C2689" s="421" t="s">
        <v>1554</v>
      </c>
    </row>
    <row r="2690" spans="1:3" x14ac:dyDescent="0.25">
      <c r="A2690" s="417">
        <v>41542</v>
      </c>
      <c r="B2690" s="418">
        <v>6.4953703703703694E-2</v>
      </c>
      <c r="C2690" s="421" t="s">
        <v>1308</v>
      </c>
    </row>
    <row r="2691" spans="1:3" x14ac:dyDescent="0.25">
      <c r="A2691" s="417">
        <v>41542</v>
      </c>
      <c r="B2691" s="418">
        <v>6.4953703703703694E-2</v>
      </c>
      <c r="C2691" s="421" t="s">
        <v>1360</v>
      </c>
    </row>
    <row r="2692" spans="1:3" x14ac:dyDescent="0.25">
      <c r="A2692" s="417">
        <v>41542</v>
      </c>
      <c r="B2692" s="418">
        <v>6.4953703703703694E-2</v>
      </c>
      <c r="C2692" s="421" t="s">
        <v>1432</v>
      </c>
    </row>
    <row r="2693" spans="1:3" x14ac:dyDescent="0.25">
      <c r="A2693" s="417">
        <v>41542</v>
      </c>
      <c r="B2693" s="418">
        <v>6.4953703703703694E-2</v>
      </c>
      <c r="C2693" s="421" t="s">
        <v>1432</v>
      </c>
    </row>
    <row r="2694" spans="1:3" x14ac:dyDescent="0.25">
      <c r="A2694" s="417">
        <v>41542</v>
      </c>
      <c r="B2694" s="418">
        <v>6.4953703703703694E-2</v>
      </c>
      <c r="C2694" s="421" t="s">
        <v>1432</v>
      </c>
    </row>
    <row r="2695" spans="1:3" x14ac:dyDescent="0.25">
      <c r="A2695" s="417">
        <v>41542</v>
      </c>
      <c r="B2695" s="418">
        <v>6.4953703703703694E-2</v>
      </c>
      <c r="C2695" s="421" t="s">
        <v>1281</v>
      </c>
    </row>
    <row r="2696" spans="1:3" ht="60" x14ac:dyDescent="0.25">
      <c r="A2696" s="417">
        <v>41542</v>
      </c>
      <c r="B2696" s="418">
        <v>6.4953703703703694E-2</v>
      </c>
      <c r="C2696" s="946" t="s">
        <v>1282</v>
      </c>
    </row>
    <row r="2697" spans="1:3" x14ac:dyDescent="0.25">
      <c r="A2697" s="417">
        <v>41542</v>
      </c>
      <c r="B2697" s="418">
        <v>6.4965277777777775E-2</v>
      </c>
      <c r="C2697" s="421" t="s">
        <v>1413</v>
      </c>
    </row>
    <row r="2698" spans="1:3" x14ac:dyDescent="0.25">
      <c r="A2698" s="417">
        <v>41542</v>
      </c>
      <c r="B2698" s="418">
        <v>6.4965277777777775E-2</v>
      </c>
      <c r="C2698" s="421" t="s">
        <v>1499</v>
      </c>
    </row>
    <row r="2699" spans="1:3" x14ac:dyDescent="0.25">
      <c r="A2699" s="417">
        <v>41542</v>
      </c>
      <c r="B2699" s="418">
        <v>6.4965277777777775E-2</v>
      </c>
      <c r="C2699" s="421" t="s">
        <v>1555</v>
      </c>
    </row>
    <row r="2700" spans="1:3" x14ac:dyDescent="0.25">
      <c r="A2700" s="417">
        <v>41542</v>
      </c>
      <c r="B2700" s="418">
        <v>6.4965277777777775E-2</v>
      </c>
      <c r="C2700" s="421" t="s">
        <v>1556</v>
      </c>
    </row>
    <row r="2701" spans="1:3" x14ac:dyDescent="0.25">
      <c r="A2701" s="417">
        <v>41542</v>
      </c>
      <c r="B2701" s="418">
        <v>6.4965277777777775E-2</v>
      </c>
      <c r="C2701" s="421" t="s">
        <v>1557</v>
      </c>
    </row>
    <row r="2702" spans="1:3" x14ac:dyDescent="0.25">
      <c r="A2702" s="417">
        <v>41542</v>
      </c>
      <c r="B2702" s="418">
        <v>6.4965277777777775E-2</v>
      </c>
      <c r="C2702" s="421" t="s">
        <v>1558</v>
      </c>
    </row>
    <row r="2703" spans="1:3" x14ac:dyDescent="0.25">
      <c r="A2703" s="417">
        <v>41542</v>
      </c>
      <c r="B2703" s="418">
        <v>6.4965277777777775E-2</v>
      </c>
      <c r="C2703" s="421" t="s">
        <v>1559</v>
      </c>
    </row>
    <row r="2704" spans="1:3" x14ac:dyDescent="0.25">
      <c r="A2704" s="417">
        <v>41542</v>
      </c>
      <c r="B2704" s="418">
        <v>6.4965277777777775E-2</v>
      </c>
      <c r="C2704" s="421" t="s">
        <v>1560</v>
      </c>
    </row>
    <row r="2705" spans="1:3" x14ac:dyDescent="0.25">
      <c r="A2705" s="417">
        <v>41542</v>
      </c>
      <c r="B2705" s="418">
        <v>6.4965277777777775E-2</v>
      </c>
      <c r="C2705" s="421" t="s">
        <v>1561</v>
      </c>
    </row>
    <row r="2706" spans="1:3" x14ac:dyDescent="0.25">
      <c r="A2706" s="417">
        <v>41542</v>
      </c>
      <c r="B2706" s="418">
        <v>6.4965277777777775E-2</v>
      </c>
      <c r="C2706" s="421" t="s">
        <v>1562</v>
      </c>
    </row>
    <row r="2707" spans="1:3" x14ac:dyDescent="0.25">
      <c r="A2707" s="417">
        <v>41542</v>
      </c>
      <c r="B2707" s="418">
        <v>6.4965277777777775E-2</v>
      </c>
      <c r="C2707" s="421" t="s">
        <v>1320</v>
      </c>
    </row>
    <row r="2708" spans="1:3" x14ac:dyDescent="0.25">
      <c r="A2708" s="417">
        <v>41542</v>
      </c>
      <c r="B2708" s="418">
        <v>6.4965277777777775E-2</v>
      </c>
      <c r="C2708" s="421" t="s">
        <v>1563</v>
      </c>
    </row>
    <row r="2709" spans="1:3" x14ac:dyDescent="0.25">
      <c r="A2709" s="417">
        <v>41542</v>
      </c>
      <c r="B2709" s="418">
        <v>6.4965277777777775E-2</v>
      </c>
      <c r="C2709" s="421" t="s">
        <v>1564</v>
      </c>
    </row>
    <row r="2710" spans="1:3" x14ac:dyDescent="0.25">
      <c r="A2710" s="417">
        <v>41542</v>
      </c>
      <c r="B2710" s="418">
        <v>6.4965277777777775E-2</v>
      </c>
      <c r="C2710" s="421" t="s">
        <v>1565</v>
      </c>
    </row>
    <row r="2711" spans="1:3" x14ac:dyDescent="0.25">
      <c r="A2711" s="417">
        <v>41542</v>
      </c>
      <c r="B2711" s="418">
        <v>6.4965277777777775E-2</v>
      </c>
      <c r="C2711" s="421" t="s">
        <v>1566</v>
      </c>
    </row>
    <row r="2712" spans="1:3" x14ac:dyDescent="0.25">
      <c r="A2712" s="417">
        <v>41542</v>
      </c>
      <c r="B2712" s="418">
        <v>6.4965277777777775E-2</v>
      </c>
      <c r="C2712" s="421" t="s">
        <v>1446</v>
      </c>
    </row>
    <row r="2713" spans="1:3" x14ac:dyDescent="0.25">
      <c r="A2713" s="417">
        <v>41542</v>
      </c>
      <c r="B2713" s="418">
        <v>6.4965277777777775E-2</v>
      </c>
      <c r="C2713" s="421" t="s">
        <v>1238</v>
      </c>
    </row>
    <row r="2714" spans="1:3" x14ac:dyDescent="0.25">
      <c r="A2714" s="417">
        <v>41542</v>
      </c>
      <c r="B2714" s="418">
        <v>6.4965277777777775E-2</v>
      </c>
      <c r="C2714" s="421" t="s">
        <v>1567</v>
      </c>
    </row>
    <row r="2715" spans="1:3" x14ac:dyDescent="0.25">
      <c r="A2715" s="417">
        <v>41542</v>
      </c>
      <c r="B2715" s="418">
        <v>6.4965277777777775E-2</v>
      </c>
      <c r="C2715" s="421" t="s">
        <v>1389</v>
      </c>
    </row>
    <row r="2716" spans="1:3" x14ac:dyDescent="0.25">
      <c r="A2716" s="417">
        <v>41542</v>
      </c>
      <c r="B2716" s="418">
        <v>6.4965277777777775E-2</v>
      </c>
      <c r="C2716" s="421" t="s">
        <v>1448</v>
      </c>
    </row>
    <row r="2717" spans="1:3" x14ac:dyDescent="0.25">
      <c r="A2717" s="417">
        <v>41542</v>
      </c>
      <c r="B2717" s="418">
        <v>6.4965277777777775E-2</v>
      </c>
      <c r="C2717" s="421" t="s">
        <v>1450</v>
      </c>
    </row>
    <row r="2718" spans="1:3" x14ac:dyDescent="0.25">
      <c r="A2718" s="417">
        <v>41542</v>
      </c>
      <c r="B2718" s="418">
        <v>6.4965277777777775E-2</v>
      </c>
      <c r="C2718" s="421" t="s">
        <v>1450</v>
      </c>
    </row>
    <row r="2719" spans="1:3" x14ac:dyDescent="0.25">
      <c r="A2719" s="417">
        <v>41542</v>
      </c>
      <c r="B2719" s="418">
        <v>6.4965277777777775E-2</v>
      </c>
      <c r="C2719" s="421" t="s">
        <v>1450</v>
      </c>
    </row>
    <row r="2720" spans="1:3" x14ac:dyDescent="0.25">
      <c r="A2720" s="417">
        <v>41542</v>
      </c>
      <c r="B2720" s="418">
        <v>6.4965277777777775E-2</v>
      </c>
      <c r="C2720" s="421" t="s">
        <v>1450</v>
      </c>
    </row>
    <row r="2721" spans="1:3" x14ac:dyDescent="0.25">
      <c r="A2721" s="417">
        <v>41542</v>
      </c>
      <c r="B2721" s="418">
        <v>6.4965277777777775E-2</v>
      </c>
      <c r="C2721" s="421" t="s">
        <v>1450</v>
      </c>
    </row>
    <row r="2722" spans="1:3" x14ac:dyDescent="0.25">
      <c r="A2722" s="417">
        <v>41542</v>
      </c>
      <c r="B2722" s="418">
        <v>6.4965277777777775E-2</v>
      </c>
      <c r="C2722" s="421" t="s">
        <v>1450</v>
      </c>
    </row>
    <row r="2723" spans="1:3" x14ac:dyDescent="0.25">
      <c r="A2723" s="417">
        <v>41542</v>
      </c>
      <c r="B2723" s="418">
        <v>6.4965277777777775E-2</v>
      </c>
      <c r="C2723" s="421" t="s">
        <v>1450</v>
      </c>
    </row>
    <row r="2724" spans="1:3" x14ac:dyDescent="0.25">
      <c r="A2724" s="417">
        <v>41542</v>
      </c>
      <c r="B2724" s="418">
        <v>6.4965277777777775E-2</v>
      </c>
      <c r="C2724" s="421" t="s">
        <v>1448</v>
      </c>
    </row>
    <row r="2725" spans="1:3" x14ac:dyDescent="0.25">
      <c r="A2725" s="417">
        <v>41542</v>
      </c>
      <c r="B2725" s="418">
        <v>6.4965277777777775E-2</v>
      </c>
      <c r="C2725" s="421" t="s">
        <v>1399</v>
      </c>
    </row>
    <row r="2726" spans="1:3" x14ac:dyDescent="0.25">
      <c r="A2726" s="417">
        <v>41542</v>
      </c>
      <c r="B2726" s="418">
        <v>6.4965277777777775E-2</v>
      </c>
      <c r="C2726" s="421" t="s">
        <v>1309</v>
      </c>
    </row>
    <row r="2727" spans="1:3" x14ac:dyDescent="0.25">
      <c r="A2727" s="417">
        <v>41542</v>
      </c>
      <c r="B2727" s="418">
        <v>6.4976851851851855E-2</v>
      </c>
      <c r="C2727" s="421" t="s">
        <v>1568</v>
      </c>
    </row>
    <row r="2728" spans="1:3" x14ac:dyDescent="0.25">
      <c r="A2728" s="417">
        <v>41542</v>
      </c>
      <c r="B2728" s="418">
        <v>6.4976851851851855E-2</v>
      </c>
      <c r="C2728" s="421" t="s">
        <v>1569</v>
      </c>
    </row>
    <row r="2729" spans="1:3" x14ac:dyDescent="0.25">
      <c r="A2729" s="417">
        <v>41542</v>
      </c>
      <c r="B2729" s="418">
        <v>6.4976851851851855E-2</v>
      </c>
      <c r="C2729" s="421" t="s">
        <v>1535</v>
      </c>
    </row>
    <row r="2730" spans="1:3" x14ac:dyDescent="0.25">
      <c r="A2730" s="417">
        <v>41542</v>
      </c>
      <c r="B2730" s="418">
        <v>6.6643518518518519E-2</v>
      </c>
      <c r="C2730" s="421" t="s">
        <v>1598</v>
      </c>
    </row>
    <row r="2731" spans="1:3" ht="30" x14ac:dyDescent="0.25">
      <c r="A2731" s="417">
        <v>41542</v>
      </c>
      <c r="B2731" s="418">
        <v>7.0381944444444441E-2</v>
      </c>
      <c r="C2731" s="946" t="s">
        <v>1599</v>
      </c>
    </row>
    <row r="2732" spans="1:3" ht="45" x14ac:dyDescent="0.25">
      <c r="A2732" s="417">
        <v>41542</v>
      </c>
      <c r="B2732" s="418">
        <v>7.1157407407407405E-2</v>
      </c>
      <c r="C2732" s="946" t="s">
        <v>1600</v>
      </c>
    </row>
    <row r="2733" spans="1:3" ht="30" x14ac:dyDescent="0.25">
      <c r="A2733" s="417">
        <v>41542</v>
      </c>
      <c r="B2733" s="418">
        <v>7.1550925925925921E-2</v>
      </c>
      <c r="C2733" s="946" t="s">
        <v>1601</v>
      </c>
    </row>
    <row r="2734" spans="1:3" ht="45" x14ac:dyDescent="0.25">
      <c r="A2734" s="417">
        <v>41542</v>
      </c>
      <c r="B2734" s="418">
        <v>0.75708333333333344</v>
      </c>
      <c r="C2734" s="946" t="s">
        <v>1602</v>
      </c>
    </row>
    <row r="2735" spans="1:3" ht="45" x14ac:dyDescent="0.25">
      <c r="A2735" s="417">
        <v>41542</v>
      </c>
      <c r="B2735" s="418">
        <v>0.75710648148148152</v>
      </c>
      <c r="C2735" s="946" t="s">
        <v>1603</v>
      </c>
    </row>
    <row r="2736" spans="1:3" ht="45" x14ac:dyDescent="0.25">
      <c r="A2736" s="417">
        <v>41542</v>
      </c>
      <c r="B2736" s="418">
        <v>0.75765046296296301</v>
      </c>
      <c r="C2736" s="946" t="s">
        <v>1604</v>
      </c>
    </row>
    <row r="2737" spans="1:3" ht="45" x14ac:dyDescent="0.25">
      <c r="A2737" s="417">
        <v>41542</v>
      </c>
      <c r="B2737" s="418">
        <v>0.75766203703703694</v>
      </c>
      <c r="C2737" s="946" t="s">
        <v>1605</v>
      </c>
    </row>
    <row r="2738" spans="1:3" ht="45" x14ac:dyDescent="0.25">
      <c r="A2738" s="417">
        <v>41542</v>
      </c>
      <c r="B2738" s="418">
        <v>0.77177083333333341</v>
      </c>
      <c r="C2738" s="946" t="s">
        <v>1606</v>
      </c>
    </row>
    <row r="2739" spans="1:3" ht="45" x14ac:dyDescent="0.25">
      <c r="A2739" s="417">
        <v>41542</v>
      </c>
      <c r="B2739" s="418">
        <v>0.77393518518518523</v>
      </c>
      <c r="C2739" s="946" t="s">
        <v>1607</v>
      </c>
    </row>
    <row r="2740" spans="1:3" ht="45" x14ac:dyDescent="0.25">
      <c r="A2740" s="417">
        <v>41542</v>
      </c>
      <c r="B2740" s="418">
        <v>0.775324074074074</v>
      </c>
      <c r="C2740" s="946" t="s">
        <v>1608</v>
      </c>
    </row>
    <row r="2741" spans="1:3" ht="45" x14ac:dyDescent="0.25">
      <c r="A2741" s="417">
        <v>41542</v>
      </c>
      <c r="B2741" s="418">
        <v>0.7758449074074073</v>
      </c>
      <c r="C2741" s="946" t="s">
        <v>1609</v>
      </c>
    </row>
    <row r="2742" spans="1:3" ht="30" x14ac:dyDescent="0.25">
      <c r="A2742" s="417">
        <v>41542</v>
      </c>
      <c r="B2742" s="418">
        <v>0.77613425925925927</v>
      </c>
      <c r="C2742" s="946" t="s">
        <v>1610</v>
      </c>
    </row>
    <row r="2743" spans="1:3" ht="45" x14ac:dyDescent="0.25">
      <c r="A2743" s="417">
        <v>41542</v>
      </c>
      <c r="B2743" s="418">
        <v>0.77694444444444455</v>
      </c>
      <c r="C2743" s="946" t="s">
        <v>1532</v>
      </c>
    </row>
    <row r="2744" spans="1:3" ht="30" x14ac:dyDescent="0.25">
      <c r="A2744" s="417">
        <v>41542</v>
      </c>
      <c r="B2744" s="418">
        <v>0.77712962962962961</v>
      </c>
      <c r="C2744" s="946" t="s">
        <v>1611</v>
      </c>
    </row>
    <row r="2745" spans="1:3" ht="45" x14ac:dyDescent="0.25">
      <c r="A2745" s="417">
        <v>41542</v>
      </c>
      <c r="B2745" s="418">
        <v>0.77733796296296298</v>
      </c>
      <c r="C2745" s="946" t="s">
        <v>1612</v>
      </c>
    </row>
    <row r="2746" spans="1:3" ht="45" x14ac:dyDescent="0.25">
      <c r="A2746" s="417">
        <v>41542</v>
      </c>
      <c r="B2746" s="418">
        <v>0.77840277777777767</v>
      </c>
      <c r="C2746" s="946" t="s">
        <v>1613</v>
      </c>
    </row>
    <row r="2747" spans="1:3" ht="30" x14ac:dyDescent="0.25">
      <c r="A2747" s="417">
        <v>41542</v>
      </c>
      <c r="B2747" s="418">
        <v>0.78011574074074075</v>
      </c>
      <c r="C2747" s="946" t="s">
        <v>1614</v>
      </c>
    </row>
    <row r="2748" spans="1:3" ht="45" x14ac:dyDescent="0.25">
      <c r="A2748" s="417">
        <v>41542</v>
      </c>
      <c r="B2748" s="418">
        <v>0.78158564814814813</v>
      </c>
      <c r="C2748" s="946" t="s">
        <v>1615</v>
      </c>
    </row>
    <row r="2749" spans="1:3" ht="30" x14ac:dyDescent="0.25">
      <c r="A2749" s="417">
        <v>41542</v>
      </c>
      <c r="B2749" s="418">
        <v>0.78270833333333334</v>
      </c>
      <c r="C2749" s="946" t="s">
        <v>1616</v>
      </c>
    </row>
    <row r="2750" spans="1:3" x14ac:dyDescent="0.25">
      <c r="A2750" s="417">
        <v>41542</v>
      </c>
      <c r="B2750" s="418">
        <v>0.78590277777777784</v>
      </c>
      <c r="C2750" s="421" t="s">
        <v>1617</v>
      </c>
    </row>
    <row r="2751" spans="1:3" x14ac:dyDescent="0.25">
      <c r="A2751" s="417">
        <v>41542</v>
      </c>
      <c r="B2751" s="418">
        <v>0.78590277777777784</v>
      </c>
      <c r="C2751" s="421" t="s">
        <v>1238</v>
      </c>
    </row>
    <row r="2752" spans="1:3" x14ac:dyDescent="0.25">
      <c r="A2752" s="417">
        <v>41542</v>
      </c>
      <c r="B2752" s="418">
        <v>0.78590277777777784</v>
      </c>
      <c r="C2752" s="421" t="s">
        <v>1307</v>
      </c>
    </row>
    <row r="2753" spans="1:3" x14ac:dyDescent="0.25">
      <c r="A2753" s="417">
        <v>41542</v>
      </c>
      <c r="B2753" s="418">
        <v>0.78590277777777784</v>
      </c>
      <c r="C2753" s="421" t="s">
        <v>1308</v>
      </c>
    </row>
    <row r="2754" spans="1:3" x14ac:dyDescent="0.25">
      <c r="A2754" s="417">
        <v>41542</v>
      </c>
      <c r="B2754" s="418">
        <v>0.78590277777777784</v>
      </c>
      <c r="C2754" s="421" t="s">
        <v>1309</v>
      </c>
    </row>
    <row r="2755" spans="1:3" x14ac:dyDescent="0.25">
      <c r="A2755" s="417">
        <v>41542</v>
      </c>
      <c r="B2755" s="418">
        <v>0.78590277777777784</v>
      </c>
      <c r="C2755" s="421" t="s">
        <v>1310</v>
      </c>
    </row>
    <row r="2756" spans="1:3" x14ac:dyDescent="0.25">
      <c r="A2756" s="417">
        <v>41542</v>
      </c>
      <c r="B2756" s="418">
        <v>0.78590277777777784</v>
      </c>
      <c r="C2756" s="421" t="s">
        <v>1311</v>
      </c>
    </row>
    <row r="2757" spans="1:3" x14ac:dyDescent="0.25">
      <c r="A2757" s="417">
        <v>41542</v>
      </c>
      <c r="B2757" s="418">
        <v>0.78590277777777784</v>
      </c>
      <c r="C2757" s="421" t="s">
        <v>1312</v>
      </c>
    </row>
    <row r="2758" spans="1:3" x14ac:dyDescent="0.25">
      <c r="A2758" s="417">
        <v>41542</v>
      </c>
      <c r="B2758" s="418">
        <v>0.78591435185185177</v>
      </c>
      <c r="C2758" s="421" t="s">
        <v>1313</v>
      </c>
    </row>
    <row r="2759" spans="1:3" x14ac:dyDescent="0.25">
      <c r="A2759" s="417">
        <v>41542</v>
      </c>
      <c r="B2759" s="418">
        <v>0.78591435185185177</v>
      </c>
      <c r="C2759" s="421" t="s">
        <v>1310</v>
      </c>
    </row>
    <row r="2760" spans="1:3" x14ac:dyDescent="0.25">
      <c r="A2760" s="417">
        <v>41542</v>
      </c>
      <c r="B2760" s="418">
        <v>0.78591435185185177</v>
      </c>
      <c r="C2760" s="421" t="s">
        <v>1314</v>
      </c>
    </row>
    <row r="2761" spans="1:3" x14ac:dyDescent="0.25">
      <c r="A2761" s="417">
        <v>41542</v>
      </c>
      <c r="B2761" s="418">
        <v>0.78591435185185177</v>
      </c>
      <c r="C2761" s="421" t="s">
        <v>1315</v>
      </c>
    </row>
    <row r="2762" spans="1:3" x14ac:dyDescent="0.25">
      <c r="A2762" s="417">
        <v>41542</v>
      </c>
      <c r="B2762" s="418">
        <v>0.78591435185185177</v>
      </c>
      <c r="C2762" s="421" t="s">
        <v>1460</v>
      </c>
    </row>
    <row r="2763" spans="1:3" x14ac:dyDescent="0.25">
      <c r="A2763" s="417">
        <v>41542</v>
      </c>
      <c r="B2763" s="418">
        <v>0.78591435185185177</v>
      </c>
      <c r="C2763" s="421" t="s">
        <v>1461</v>
      </c>
    </row>
    <row r="2764" spans="1:3" x14ac:dyDescent="0.25">
      <c r="A2764" s="417">
        <v>41542</v>
      </c>
      <c r="B2764" s="418">
        <v>0.78591435185185177</v>
      </c>
      <c r="C2764" s="421" t="s">
        <v>1310</v>
      </c>
    </row>
    <row r="2765" spans="1:3" x14ac:dyDescent="0.25">
      <c r="A2765" s="417">
        <v>41542</v>
      </c>
      <c r="B2765" s="418">
        <v>0.78591435185185177</v>
      </c>
      <c r="C2765" s="421" t="s">
        <v>1238</v>
      </c>
    </row>
    <row r="2766" spans="1:3" x14ac:dyDescent="0.25">
      <c r="A2766" s="417">
        <v>41542</v>
      </c>
      <c r="B2766" s="418">
        <v>0.78591435185185177</v>
      </c>
      <c r="C2766" s="421" t="s">
        <v>1462</v>
      </c>
    </row>
    <row r="2767" spans="1:3" x14ac:dyDescent="0.25">
      <c r="A2767" s="417">
        <v>41542</v>
      </c>
      <c r="B2767" s="418">
        <v>0.78591435185185177</v>
      </c>
      <c r="C2767" s="421" t="s">
        <v>1316</v>
      </c>
    </row>
    <row r="2768" spans="1:3" x14ac:dyDescent="0.25">
      <c r="A2768" s="417">
        <v>41542</v>
      </c>
      <c r="B2768" s="418">
        <v>0.78591435185185177</v>
      </c>
      <c r="C2768" s="421" t="s">
        <v>1316</v>
      </c>
    </row>
    <row r="2769" spans="1:3" x14ac:dyDescent="0.25">
      <c r="A2769" s="417">
        <v>41542</v>
      </c>
      <c r="B2769" s="418">
        <v>0.78591435185185177</v>
      </c>
      <c r="C2769" s="421" t="s">
        <v>1317</v>
      </c>
    </row>
    <row r="2770" spans="1:3" x14ac:dyDescent="0.25">
      <c r="A2770" s="417">
        <v>41542</v>
      </c>
      <c r="B2770" s="418">
        <v>0.78591435185185177</v>
      </c>
      <c r="C2770" s="421" t="s">
        <v>1309</v>
      </c>
    </row>
    <row r="2771" spans="1:3" x14ac:dyDescent="0.25">
      <c r="A2771" s="417">
        <v>41542</v>
      </c>
      <c r="B2771" s="418">
        <v>0.78591435185185177</v>
      </c>
      <c r="C2771" s="421" t="s">
        <v>1318</v>
      </c>
    </row>
    <row r="2772" spans="1:3" x14ac:dyDescent="0.25">
      <c r="A2772" s="417">
        <v>41542</v>
      </c>
      <c r="B2772" s="418">
        <v>0.78591435185185177</v>
      </c>
      <c r="C2772" s="421" t="s">
        <v>1319</v>
      </c>
    </row>
    <row r="2773" spans="1:3" x14ac:dyDescent="0.25">
      <c r="A2773" s="417">
        <v>41542</v>
      </c>
      <c r="B2773" s="418">
        <v>0.78591435185185177</v>
      </c>
      <c r="C2773" s="421" t="s">
        <v>1320</v>
      </c>
    </row>
    <row r="2774" spans="1:3" x14ac:dyDescent="0.25">
      <c r="A2774" s="417">
        <v>41542</v>
      </c>
      <c r="B2774" s="418">
        <v>0.78591435185185177</v>
      </c>
      <c r="C2774" s="421" t="s">
        <v>1318</v>
      </c>
    </row>
    <row r="2775" spans="1:3" x14ac:dyDescent="0.25">
      <c r="A2775" s="417">
        <v>41542</v>
      </c>
      <c r="B2775" s="418">
        <v>0.78591435185185177</v>
      </c>
      <c r="C2775" s="421" t="s">
        <v>1307</v>
      </c>
    </row>
    <row r="2776" spans="1:3" x14ac:dyDescent="0.25">
      <c r="A2776" s="417">
        <v>41542</v>
      </c>
      <c r="B2776" s="418">
        <v>0.78591435185185177</v>
      </c>
      <c r="C2776" s="421" t="s">
        <v>1321</v>
      </c>
    </row>
    <row r="2777" spans="1:3" x14ac:dyDescent="0.25">
      <c r="A2777" s="417">
        <v>41542</v>
      </c>
      <c r="B2777" s="418">
        <v>0.78591435185185177</v>
      </c>
      <c r="C2777" s="421" t="s">
        <v>1322</v>
      </c>
    </row>
    <row r="2778" spans="1:3" x14ac:dyDescent="0.25">
      <c r="A2778" s="417">
        <v>41542</v>
      </c>
      <c r="B2778" s="418">
        <v>0.78591435185185177</v>
      </c>
      <c r="C2778" s="421" t="s">
        <v>1322</v>
      </c>
    </row>
    <row r="2779" spans="1:3" x14ac:dyDescent="0.25">
      <c r="A2779" s="417">
        <v>41542</v>
      </c>
      <c r="B2779" s="418">
        <v>0.78591435185185177</v>
      </c>
      <c r="C2779" s="421" t="s">
        <v>1323</v>
      </c>
    </row>
    <row r="2780" spans="1:3" x14ac:dyDescent="0.25">
      <c r="A2780" s="417">
        <v>41542</v>
      </c>
      <c r="B2780" s="418">
        <v>0.78591435185185177</v>
      </c>
      <c r="C2780" s="421" t="s">
        <v>1324</v>
      </c>
    </row>
    <row r="2781" spans="1:3" x14ac:dyDescent="0.25">
      <c r="A2781" s="417">
        <v>41542</v>
      </c>
      <c r="B2781" s="418">
        <v>0.78591435185185177</v>
      </c>
      <c r="C2781" s="421" t="s">
        <v>1310</v>
      </c>
    </row>
    <row r="2782" spans="1:3" x14ac:dyDescent="0.25">
      <c r="A2782" s="417">
        <v>41542</v>
      </c>
      <c r="B2782" s="418">
        <v>0.78591435185185177</v>
      </c>
      <c r="C2782" s="421" t="s">
        <v>1325</v>
      </c>
    </row>
    <row r="2783" spans="1:3" x14ac:dyDescent="0.25">
      <c r="A2783" s="417">
        <v>41542</v>
      </c>
      <c r="B2783" s="418">
        <v>0.78591435185185177</v>
      </c>
      <c r="C2783" s="421" t="s">
        <v>1326</v>
      </c>
    </row>
    <row r="2784" spans="1:3" x14ac:dyDescent="0.25">
      <c r="A2784" s="417">
        <v>41542</v>
      </c>
      <c r="B2784" s="418">
        <v>0.78591435185185177</v>
      </c>
      <c r="C2784" s="421" t="s">
        <v>1327</v>
      </c>
    </row>
    <row r="2785" spans="1:3" x14ac:dyDescent="0.25">
      <c r="A2785" s="417">
        <v>41542</v>
      </c>
      <c r="B2785" s="418">
        <v>0.78591435185185177</v>
      </c>
      <c r="C2785" s="421" t="s">
        <v>1328</v>
      </c>
    </row>
    <row r="2786" spans="1:3" ht="60" x14ac:dyDescent="0.25">
      <c r="A2786" s="417">
        <v>41542</v>
      </c>
      <c r="B2786" s="418">
        <v>0.78591435185185177</v>
      </c>
      <c r="C2786" s="946" t="s">
        <v>1618</v>
      </c>
    </row>
    <row r="2787" spans="1:3" x14ac:dyDescent="0.25">
      <c r="A2787" s="417">
        <v>41542</v>
      </c>
      <c r="B2787" s="418">
        <v>0.78608796296296291</v>
      </c>
      <c r="C2787" s="421" t="s">
        <v>1323</v>
      </c>
    </row>
    <row r="2788" spans="1:3" x14ac:dyDescent="0.25">
      <c r="A2788" s="417">
        <v>41542</v>
      </c>
      <c r="B2788" s="418">
        <v>0.78608796296296291</v>
      </c>
      <c r="C2788" s="421" t="s">
        <v>1342</v>
      </c>
    </row>
    <row r="2789" spans="1:3" x14ac:dyDescent="0.25">
      <c r="A2789" s="417">
        <v>41542</v>
      </c>
      <c r="B2789" s="418">
        <v>0.78608796296296291</v>
      </c>
      <c r="C2789" s="421" t="s">
        <v>1343</v>
      </c>
    </row>
    <row r="2790" spans="1:3" x14ac:dyDescent="0.25">
      <c r="A2790" s="417">
        <v>41542</v>
      </c>
      <c r="B2790" s="418">
        <v>0.78608796296296291</v>
      </c>
      <c r="C2790" s="421" t="s">
        <v>1344</v>
      </c>
    </row>
    <row r="2791" spans="1:3" x14ac:dyDescent="0.25">
      <c r="A2791" s="417">
        <v>41542</v>
      </c>
      <c r="B2791" s="418">
        <v>0.78608796296296291</v>
      </c>
      <c r="C2791" s="421" t="s">
        <v>1344</v>
      </c>
    </row>
    <row r="2792" spans="1:3" x14ac:dyDescent="0.25">
      <c r="A2792" s="417">
        <v>41542</v>
      </c>
      <c r="B2792" s="418">
        <v>0.78608796296296291</v>
      </c>
      <c r="C2792" s="421" t="s">
        <v>1310</v>
      </c>
    </row>
    <row r="2793" spans="1:3" x14ac:dyDescent="0.25">
      <c r="A2793" s="417">
        <v>41542</v>
      </c>
      <c r="B2793" s="418">
        <v>0.78608796296296291</v>
      </c>
      <c r="C2793" s="421" t="s">
        <v>1345</v>
      </c>
    </row>
    <row r="2794" spans="1:3" x14ac:dyDescent="0.25">
      <c r="A2794" s="417">
        <v>41542</v>
      </c>
      <c r="B2794" s="418">
        <v>0.78608796296296291</v>
      </c>
      <c r="C2794" s="421" t="s">
        <v>1346</v>
      </c>
    </row>
    <row r="2795" spans="1:3" x14ac:dyDescent="0.25">
      <c r="A2795" s="417">
        <v>41542</v>
      </c>
      <c r="B2795" s="418">
        <v>0.78608796296296291</v>
      </c>
      <c r="C2795" s="421" t="s">
        <v>1347</v>
      </c>
    </row>
    <row r="2796" spans="1:3" x14ac:dyDescent="0.25">
      <c r="A2796" s="417">
        <v>41542</v>
      </c>
      <c r="B2796" s="418">
        <v>0.78608796296296291</v>
      </c>
      <c r="C2796" s="421" t="s">
        <v>1348</v>
      </c>
    </row>
    <row r="2797" spans="1:3" x14ac:dyDescent="0.25">
      <c r="A2797" s="417">
        <v>41542</v>
      </c>
      <c r="B2797" s="418">
        <v>0.78608796296296291</v>
      </c>
      <c r="C2797" s="421" t="s">
        <v>1349</v>
      </c>
    </row>
    <row r="2798" spans="1:3" x14ac:dyDescent="0.25">
      <c r="A2798" s="417">
        <v>41542</v>
      </c>
      <c r="B2798" s="418">
        <v>0.78608796296296291</v>
      </c>
      <c r="C2798" s="421" t="s">
        <v>1349</v>
      </c>
    </row>
    <row r="2799" spans="1:3" x14ac:dyDescent="0.25">
      <c r="A2799" s="417">
        <v>41542</v>
      </c>
      <c r="B2799" s="418">
        <v>0.78608796296296291</v>
      </c>
      <c r="C2799" s="421" t="s">
        <v>1348</v>
      </c>
    </row>
    <row r="2800" spans="1:3" x14ac:dyDescent="0.25">
      <c r="A2800" s="417">
        <v>41542</v>
      </c>
      <c r="B2800" s="418">
        <v>0.78608796296296291</v>
      </c>
      <c r="C2800" s="421" t="s">
        <v>1350</v>
      </c>
    </row>
    <row r="2801" spans="1:3" x14ac:dyDescent="0.25">
      <c r="A2801" s="417">
        <v>41542</v>
      </c>
      <c r="B2801" s="418">
        <v>0.78608796296296291</v>
      </c>
      <c r="C2801" s="421" t="s">
        <v>1351</v>
      </c>
    </row>
    <row r="2802" spans="1:3" x14ac:dyDescent="0.25">
      <c r="A2802" s="417">
        <v>41542</v>
      </c>
      <c r="B2802" s="418">
        <v>0.78608796296296291</v>
      </c>
      <c r="C2802" s="421" t="s">
        <v>1352</v>
      </c>
    </row>
    <row r="2803" spans="1:3" x14ac:dyDescent="0.25">
      <c r="A2803" s="417">
        <v>41542</v>
      </c>
      <c r="B2803" s="418">
        <v>0.78608796296296291</v>
      </c>
      <c r="C2803" s="421" t="s">
        <v>1287</v>
      </c>
    </row>
    <row r="2804" spans="1:3" ht="60" x14ac:dyDescent="0.25">
      <c r="A2804" s="417">
        <v>41542</v>
      </c>
      <c r="B2804" s="418">
        <v>0.78608796296296291</v>
      </c>
      <c r="C2804" s="946" t="s">
        <v>1288</v>
      </c>
    </row>
    <row r="2805" spans="1:3" x14ac:dyDescent="0.25">
      <c r="A2805" s="417">
        <v>41542</v>
      </c>
      <c r="B2805" s="418">
        <v>0.78611111111111109</v>
      </c>
      <c r="C2805" s="421" t="s">
        <v>1353</v>
      </c>
    </row>
    <row r="2806" spans="1:3" x14ac:dyDescent="0.25">
      <c r="A2806" s="417">
        <v>41542</v>
      </c>
      <c r="B2806" s="418">
        <v>0.78611111111111109</v>
      </c>
      <c r="C2806" s="421" t="s">
        <v>1354</v>
      </c>
    </row>
    <row r="2807" spans="1:3" x14ac:dyDescent="0.25">
      <c r="A2807" s="417">
        <v>41542</v>
      </c>
      <c r="B2807" s="418">
        <v>0.78611111111111109</v>
      </c>
      <c r="C2807" s="421" t="s">
        <v>1355</v>
      </c>
    </row>
    <row r="2808" spans="1:3" x14ac:dyDescent="0.25">
      <c r="A2808" s="417">
        <v>41542</v>
      </c>
      <c r="B2808" s="418">
        <v>0.78611111111111109</v>
      </c>
      <c r="C2808" s="421" t="s">
        <v>1357</v>
      </c>
    </row>
    <row r="2809" spans="1:3" x14ac:dyDescent="0.25">
      <c r="A2809" s="417">
        <v>41542</v>
      </c>
      <c r="B2809" s="418">
        <v>0.78611111111111109</v>
      </c>
      <c r="C2809" s="421" t="s">
        <v>1358</v>
      </c>
    </row>
    <row r="2810" spans="1:3" x14ac:dyDescent="0.25">
      <c r="A2810" s="417">
        <v>41542</v>
      </c>
      <c r="B2810" s="418">
        <v>0.78611111111111109</v>
      </c>
      <c r="C2810" s="421" t="s">
        <v>1359</v>
      </c>
    </row>
    <row r="2811" spans="1:3" x14ac:dyDescent="0.25">
      <c r="A2811" s="417">
        <v>41542</v>
      </c>
      <c r="B2811" s="418">
        <v>0.78611111111111109</v>
      </c>
      <c r="C2811" s="421" t="s">
        <v>1360</v>
      </c>
    </row>
    <row r="2812" spans="1:3" x14ac:dyDescent="0.25">
      <c r="A2812" s="417">
        <v>41542</v>
      </c>
      <c r="B2812" s="418">
        <v>0.78611111111111109</v>
      </c>
      <c r="C2812" s="421" t="s">
        <v>1361</v>
      </c>
    </row>
    <row r="2813" spans="1:3" x14ac:dyDescent="0.25">
      <c r="A2813" s="417">
        <v>41542</v>
      </c>
      <c r="B2813" s="418">
        <v>0.78611111111111109</v>
      </c>
      <c r="C2813" s="421" t="s">
        <v>1317</v>
      </c>
    </row>
    <row r="2814" spans="1:3" x14ac:dyDescent="0.25">
      <c r="A2814" s="417">
        <v>41542</v>
      </c>
      <c r="B2814" s="418">
        <v>0.78611111111111109</v>
      </c>
      <c r="C2814" s="421" t="s">
        <v>1537</v>
      </c>
    </row>
    <row r="2815" spans="1:3" x14ac:dyDescent="0.25">
      <c r="A2815" s="417">
        <v>41542</v>
      </c>
      <c r="B2815" s="418">
        <v>0.78611111111111109</v>
      </c>
      <c r="C2815" s="421" t="s">
        <v>1362</v>
      </c>
    </row>
    <row r="2816" spans="1:3" x14ac:dyDescent="0.25">
      <c r="A2816" s="417">
        <v>41542</v>
      </c>
      <c r="B2816" s="418">
        <v>0.78611111111111109</v>
      </c>
      <c r="C2816" s="421" t="s">
        <v>1355</v>
      </c>
    </row>
    <row r="2817" spans="1:3" x14ac:dyDescent="0.25">
      <c r="A2817" s="417">
        <v>41542</v>
      </c>
      <c r="B2817" s="418">
        <v>0.78611111111111109</v>
      </c>
      <c r="C2817" s="421" t="s">
        <v>1363</v>
      </c>
    </row>
    <row r="2818" spans="1:3" x14ac:dyDescent="0.25">
      <c r="A2818" s="417">
        <v>41542</v>
      </c>
      <c r="B2818" s="418">
        <v>0.78611111111111109</v>
      </c>
      <c r="C2818" s="421" t="s">
        <v>1364</v>
      </c>
    </row>
    <row r="2819" spans="1:3" x14ac:dyDescent="0.25">
      <c r="A2819" s="417">
        <v>41542</v>
      </c>
      <c r="B2819" s="418">
        <v>0.78611111111111109</v>
      </c>
      <c r="C2819" s="421" t="s">
        <v>1365</v>
      </c>
    </row>
    <row r="2820" spans="1:3" x14ac:dyDescent="0.25">
      <c r="A2820" s="417">
        <v>41542</v>
      </c>
      <c r="B2820" s="418">
        <v>0.78611111111111109</v>
      </c>
      <c r="C2820" s="421" t="s">
        <v>1365</v>
      </c>
    </row>
    <row r="2821" spans="1:3" x14ac:dyDescent="0.25">
      <c r="A2821" s="417">
        <v>41542</v>
      </c>
      <c r="B2821" s="418">
        <v>0.78611111111111109</v>
      </c>
      <c r="C2821" s="421" t="s">
        <v>1366</v>
      </c>
    </row>
    <row r="2822" spans="1:3" x14ac:dyDescent="0.25">
      <c r="A2822" s="417">
        <v>41542</v>
      </c>
      <c r="B2822" s="418">
        <v>0.78611111111111109</v>
      </c>
      <c r="C2822" s="421" t="s">
        <v>1320</v>
      </c>
    </row>
    <row r="2823" spans="1:3" x14ac:dyDescent="0.25">
      <c r="A2823" s="417">
        <v>41542</v>
      </c>
      <c r="B2823" s="418">
        <v>0.78611111111111109</v>
      </c>
      <c r="C2823" s="421" t="s">
        <v>1367</v>
      </c>
    </row>
    <row r="2824" spans="1:3" x14ac:dyDescent="0.25">
      <c r="A2824" s="417">
        <v>41542</v>
      </c>
      <c r="B2824" s="418">
        <v>0.78611111111111109</v>
      </c>
      <c r="C2824" s="421" t="s">
        <v>1344</v>
      </c>
    </row>
    <row r="2825" spans="1:3" x14ac:dyDescent="0.25">
      <c r="A2825" s="417">
        <v>41542</v>
      </c>
      <c r="B2825" s="418">
        <v>0.78611111111111109</v>
      </c>
      <c r="C2825" s="421" t="s">
        <v>1368</v>
      </c>
    </row>
    <row r="2826" spans="1:3" x14ac:dyDescent="0.25">
      <c r="A2826" s="417">
        <v>41542</v>
      </c>
      <c r="B2826" s="418">
        <v>0.78611111111111109</v>
      </c>
      <c r="C2826" s="421" t="s">
        <v>1369</v>
      </c>
    </row>
    <row r="2827" spans="1:3" x14ac:dyDescent="0.25">
      <c r="A2827" s="417">
        <v>41542</v>
      </c>
      <c r="B2827" s="418">
        <v>0.78611111111111109</v>
      </c>
      <c r="C2827" s="421" t="s">
        <v>1307</v>
      </c>
    </row>
    <row r="2828" spans="1:3" x14ac:dyDescent="0.25">
      <c r="A2828" s="417">
        <v>41542</v>
      </c>
      <c r="B2828" s="418">
        <v>0.78611111111111109</v>
      </c>
      <c r="C2828" s="421" t="s">
        <v>1370</v>
      </c>
    </row>
    <row r="2829" spans="1:3" x14ac:dyDescent="0.25">
      <c r="A2829" s="417">
        <v>41542</v>
      </c>
      <c r="B2829" s="418">
        <v>0.78611111111111109</v>
      </c>
      <c r="C2829" s="421" t="s">
        <v>1371</v>
      </c>
    </row>
    <row r="2830" spans="1:3" x14ac:dyDescent="0.25">
      <c r="A2830" s="417">
        <v>41542</v>
      </c>
      <c r="B2830" s="418">
        <v>0.78611111111111109</v>
      </c>
      <c r="C2830" s="421" t="s">
        <v>1344</v>
      </c>
    </row>
    <row r="2831" spans="1:3" x14ac:dyDescent="0.25">
      <c r="A2831" s="417">
        <v>41542</v>
      </c>
      <c r="B2831" s="418">
        <v>0.78611111111111109</v>
      </c>
      <c r="C2831" s="421" t="s">
        <v>1317</v>
      </c>
    </row>
    <row r="2832" spans="1:3" x14ac:dyDescent="0.25">
      <c r="A2832" s="417">
        <v>41542</v>
      </c>
      <c r="B2832" s="418">
        <v>0.78611111111111109</v>
      </c>
      <c r="C2832" s="421" t="s">
        <v>1463</v>
      </c>
    </row>
    <row r="2833" spans="1:3" x14ac:dyDescent="0.25">
      <c r="A2833" s="417">
        <v>41542</v>
      </c>
      <c r="B2833" s="418">
        <v>0.78611111111111109</v>
      </c>
      <c r="C2833" s="421" t="s">
        <v>1378</v>
      </c>
    </row>
    <row r="2834" spans="1:3" ht="60" x14ac:dyDescent="0.25">
      <c r="A2834" s="417">
        <v>41542</v>
      </c>
      <c r="B2834" s="418">
        <v>0.78611111111111109</v>
      </c>
      <c r="C2834" s="946" t="s">
        <v>1619</v>
      </c>
    </row>
    <row r="2835" spans="1:3" x14ac:dyDescent="0.25">
      <c r="A2835" s="417">
        <v>41542</v>
      </c>
      <c r="B2835" s="418">
        <v>0.78612268518518524</v>
      </c>
      <c r="C2835" s="421" t="s">
        <v>1373</v>
      </c>
    </row>
    <row r="2836" spans="1:3" x14ac:dyDescent="0.25">
      <c r="A2836" s="417">
        <v>41542</v>
      </c>
      <c r="B2836" s="418">
        <v>0.78612268518518524</v>
      </c>
      <c r="C2836" s="421" t="s">
        <v>1308</v>
      </c>
    </row>
    <row r="2837" spans="1:3" x14ac:dyDescent="0.25">
      <c r="A2837" s="417">
        <v>41542</v>
      </c>
      <c r="B2837" s="418">
        <v>0.78612268518518524</v>
      </c>
      <c r="C2837" s="421" t="s">
        <v>1374</v>
      </c>
    </row>
    <row r="2838" spans="1:3" x14ac:dyDescent="0.25">
      <c r="A2838" s="417">
        <v>41542</v>
      </c>
      <c r="B2838" s="418">
        <v>0.78612268518518524</v>
      </c>
      <c r="C2838" s="421" t="s">
        <v>1375</v>
      </c>
    </row>
    <row r="2839" spans="1:3" x14ac:dyDescent="0.25">
      <c r="A2839" s="417">
        <v>41542</v>
      </c>
      <c r="B2839" s="418">
        <v>0.78612268518518524</v>
      </c>
      <c r="C2839" s="421" t="s">
        <v>1376</v>
      </c>
    </row>
    <row r="2840" spans="1:3" x14ac:dyDescent="0.25">
      <c r="A2840" s="417">
        <v>41542</v>
      </c>
      <c r="B2840" s="418">
        <v>0.78612268518518524</v>
      </c>
      <c r="C2840" s="421" t="s">
        <v>1377</v>
      </c>
    </row>
    <row r="2841" spans="1:3" x14ac:dyDescent="0.25">
      <c r="A2841" s="417">
        <v>41542</v>
      </c>
      <c r="B2841" s="418">
        <v>0.78612268518518524</v>
      </c>
      <c r="C2841" s="421" t="s">
        <v>1326</v>
      </c>
    </row>
    <row r="2842" spans="1:3" x14ac:dyDescent="0.25">
      <c r="A2842" s="417">
        <v>41542</v>
      </c>
      <c r="B2842" s="418">
        <v>0.78612268518518524</v>
      </c>
      <c r="C2842" s="421" t="s">
        <v>1378</v>
      </c>
    </row>
    <row r="2843" spans="1:3" ht="60" x14ac:dyDescent="0.25">
      <c r="A2843" s="417">
        <v>41542</v>
      </c>
      <c r="B2843" s="418">
        <v>0.78612268518518524</v>
      </c>
      <c r="C2843" s="946" t="s">
        <v>1620</v>
      </c>
    </row>
    <row r="2844" spans="1:3" x14ac:dyDescent="0.25">
      <c r="A2844" s="417">
        <v>41542</v>
      </c>
      <c r="B2844" s="418">
        <v>0.78613425925925917</v>
      </c>
      <c r="C2844" s="421" t="s">
        <v>1380</v>
      </c>
    </row>
    <row r="2845" spans="1:3" x14ac:dyDescent="0.25">
      <c r="A2845" s="417">
        <v>41542</v>
      </c>
      <c r="B2845" s="418">
        <v>0.78613425925925917</v>
      </c>
      <c r="C2845" s="421" t="s">
        <v>1381</v>
      </c>
    </row>
    <row r="2846" spans="1:3" x14ac:dyDescent="0.25">
      <c r="A2846" s="417">
        <v>41542</v>
      </c>
      <c r="B2846" s="418">
        <v>0.78613425925925917</v>
      </c>
      <c r="C2846" s="421" t="s">
        <v>1382</v>
      </c>
    </row>
    <row r="2847" spans="1:3" x14ac:dyDescent="0.25">
      <c r="A2847" s="417">
        <v>41542</v>
      </c>
      <c r="B2847" s="418">
        <v>0.78613425925925917</v>
      </c>
      <c r="C2847" s="421" t="s">
        <v>1383</v>
      </c>
    </row>
    <row r="2848" spans="1:3" x14ac:dyDescent="0.25">
      <c r="A2848" s="417">
        <v>41542</v>
      </c>
      <c r="B2848" s="418">
        <v>0.78613425925925917</v>
      </c>
      <c r="C2848" s="421" t="s">
        <v>1352</v>
      </c>
    </row>
    <row r="2849" spans="1:3" x14ac:dyDescent="0.25">
      <c r="A2849" s="417">
        <v>41542</v>
      </c>
      <c r="B2849" s="418">
        <v>0.78613425925925917</v>
      </c>
      <c r="C2849" s="421" t="s">
        <v>1384</v>
      </c>
    </row>
    <row r="2850" spans="1:3" x14ac:dyDescent="0.25">
      <c r="A2850" s="417">
        <v>41542</v>
      </c>
      <c r="B2850" s="418">
        <v>0.78613425925925917</v>
      </c>
      <c r="C2850" s="421" t="s">
        <v>1385</v>
      </c>
    </row>
    <row r="2851" spans="1:3" x14ac:dyDescent="0.25">
      <c r="A2851" s="417">
        <v>41542</v>
      </c>
      <c r="B2851" s="418">
        <v>0.78613425925925917</v>
      </c>
      <c r="C2851" s="421" t="s">
        <v>1385</v>
      </c>
    </row>
    <row r="2852" spans="1:3" x14ac:dyDescent="0.25">
      <c r="A2852" s="417">
        <v>41542</v>
      </c>
      <c r="B2852" s="418">
        <v>0.78613425925925917</v>
      </c>
      <c r="C2852" s="421" t="s">
        <v>1386</v>
      </c>
    </row>
    <row r="2853" spans="1:3" x14ac:dyDescent="0.25">
      <c r="A2853" s="417">
        <v>41542</v>
      </c>
      <c r="B2853" s="418">
        <v>0.78613425925925917</v>
      </c>
      <c r="C2853" s="421" t="s">
        <v>1387</v>
      </c>
    </row>
    <row r="2854" spans="1:3" x14ac:dyDescent="0.25">
      <c r="A2854" s="417">
        <v>41542</v>
      </c>
      <c r="B2854" s="418">
        <v>0.78613425925925917</v>
      </c>
      <c r="C2854" s="421" t="s">
        <v>1387</v>
      </c>
    </row>
    <row r="2855" spans="1:3" x14ac:dyDescent="0.25">
      <c r="A2855" s="417">
        <v>41542</v>
      </c>
      <c r="B2855" s="418">
        <v>0.78613425925925917</v>
      </c>
      <c r="C2855" s="421" t="s">
        <v>1318</v>
      </c>
    </row>
    <row r="2856" spans="1:3" x14ac:dyDescent="0.25">
      <c r="A2856" s="417">
        <v>41542</v>
      </c>
      <c r="B2856" s="418">
        <v>0.78613425925925917</v>
      </c>
      <c r="C2856" s="421" t="s">
        <v>1388</v>
      </c>
    </row>
    <row r="2857" spans="1:3" x14ac:dyDescent="0.25">
      <c r="A2857" s="417">
        <v>41542</v>
      </c>
      <c r="B2857" s="418">
        <v>0.78613425925925917</v>
      </c>
      <c r="C2857" s="421" t="s">
        <v>1390</v>
      </c>
    </row>
    <row r="2858" spans="1:3" x14ac:dyDescent="0.25">
      <c r="A2858" s="417">
        <v>41542</v>
      </c>
      <c r="B2858" s="418">
        <v>0.78613425925925917</v>
      </c>
      <c r="C2858" s="421" t="s">
        <v>1391</v>
      </c>
    </row>
    <row r="2859" spans="1:3" x14ac:dyDescent="0.25">
      <c r="A2859" s="417">
        <v>41542</v>
      </c>
      <c r="B2859" s="418">
        <v>0.78613425925925917</v>
      </c>
      <c r="C2859" s="421" t="s">
        <v>1392</v>
      </c>
    </row>
    <row r="2860" spans="1:3" x14ac:dyDescent="0.25">
      <c r="A2860" s="417">
        <v>41542</v>
      </c>
      <c r="B2860" s="418">
        <v>0.78613425925925917</v>
      </c>
      <c r="C2860" s="421" t="s">
        <v>1294</v>
      </c>
    </row>
    <row r="2861" spans="1:3" ht="60" x14ac:dyDescent="0.25">
      <c r="A2861" s="417">
        <v>41542</v>
      </c>
      <c r="B2861" s="418">
        <v>0.78613425925925917</v>
      </c>
      <c r="C2861" s="946" t="s">
        <v>1295</v>
      </c>
    </row>
    <row r="2862" spans="1:3" x14ac:dyDescent="0.25">
      <c r="A2862" s="417">
        <v>41542</v>
      </c>
      <c r="B2862" s="418">
        <v>0.78615740740740747</v>
      </c>
      <c r="C2862" s="421" t="s">
        <v>1393</v>
      </c>
    </row>
    <row r="2863" spans="1:3" x14ac:dyDescent="0.25">
      <c r="A2863" s="417">
        <v>41542</v>
      </c>
      <c r="B2863" s="418">
        <v>0.78615740740740747</v>
      </c>
      <c r="C2863" s="421" t="s">
        <v>1394</v>
      </c>
    </row>
    <row r="2864" spans="1:3" x14ac:dyDescent="0.25">
      <c r="A2864" s="417">
        <v>41542</v>
      </c>
      <c r="B2864" s="418">
        <v>0.78615740740740747</v>
      </c>
      <c r="C2864" s="421" t="s">
        <v>1392</v>
      </c>
    </row>
    <row r="2865" spans="1:3" x14ac:dyDescent="0.25">
      <c r="A2865" s="417">
        <v>41542</v>
      </c>
      <c r="B2865" s="418">
        <v>0.78615740740740747</v>
      </c>
      <c r="C2865" s="421" t="s">
        <v>1395</v>
      </c>
    </row>
    <row r="2866" spans="1:3" x14ac:dyDescent="0.25">
      <c r="A2866" s="417">
        <v>41542</v>
      </c>
      <c r="B2866" s="418">
        <v>0.78615740740740747</v>
      </c>
      <c r="C2866" s="421" t="s">
        <v>1396</v>
      </c>
    </row>
    <row r="2867" spans="1:3" x14ac:dyDescent="0.25">
      <c r="A2867" s="417">
        <v>41542</v>
      </c>
      <c r="B2867" s="418">
        <v>0.78615740740740747</v>
      </c>
      <c r="C2867" s="421" t="s">
        <v>1363</v>
      </c>
    </row>
    <row r="2868" spans="1:3" x14ac:dyDescent="0.25">
      <c r="A2868" s="417">
        <v>41542</v>
      </c>
      <c r="B2868" s="418">
        <v>0.78615740740740747</v>
      </c>
      <c r="C2868" s="421" t="s">
        <v>1362</v>
      </c>
    </row>
    <row r="2869" spans="1:3" x14ac:dyDescent="0.25">
      <c r="A2869" s="417">
        <v>41542</v>
      </c>
      <c r="B2869" s="418">
        <v>0.78615740740740747</v>
      </c>
      <c r="C2869" s="421" t="s">
        <v>1397</v>
      </c>
    </row>
    <row r="2870" spans="1:3" x14ac:dyDescent="0.25">
      <c r="A2870" s="417">
        <v>41542</v>
      </c>
      <c r="B2870" s="418">
        <v>0.78615740740740747</v>
      </c>
      <c r="C2870" s="421" t="s">
        <v>1381</v>
      </c>
    </row>
    <row r="2871" spans="1:3" x14ac:dyDescent="0.25">
      <c r="A2871" s="417">
        <v>41542</v>
      </c>
      <c r="B2871" s="418">
        <v>0.78615740740740747</v>
      </c>
      <c r="C2871" s="421" t="s">
        <v>1398</v>
      </c>
    </row>
    <row r="2872" spans="1:3" x14ac:dyDescent="0.25">
      <c r="A2872" s="417">
        <v>41542</v>
      </c>
      <c r="B2872" s="418">
        <v>0.78615740740740747</v>
      </c>
      <c r="C2872" s="421" t="s">
        <v>1399</v>
      </c>
    </row>
    <row r="2873" spans="1:3" x14ac:dyDescent="0.25">
      <c r="A2873" s="417">
        <v>41542</v>
      </c>
      <c r="B2873" s="418">
        <v>0.78615740740740747</v>
      </c>
      <c r="C2873" s="421" t="s">
        <v>1400</v>
      </c>
    </row>
    <row r="2874" spans="1:3" x14ac:dyDescent="0.25">
      <c r="A2874" s="417">
        <v>41542</v>
      </c>
      <c r="B2874" s="418">
        <v>0.78615740740740747</v>
      </c>
      <c r="C2874" s="421" t="s">
        <v>1400</v>
      </c>
    </row>
    <row r="2875" spans="1:3" x14ac:dyDescent="0.25">
      <c r="A2875" s="417">
        <v>41542</v>
      </c>
      <c r="B2875" s="418">
        <v>0.78615740740740747</v>
      </c>
      <c r="C2875" s="421" t="s">
        <v>1373</v>
      </c>
    </row>
    <row r="2876" spans="1:3" x14ac:dyDescent="0.25">
      <c r="A2876" s="417">
        <v>41542</v>
      </c>
      <c r="B2876" s="418">
        <v>0.78615740740740747</v>
      </c>
      <c r="C2876" s="421" t="s">
        <v>1353</v>
      </c>
    </row>
    <row r="2877" spans="1:3" x14ac:dyDescent="0.25">
      <c r="A2877" s="417">
        <v>41542</v>
      </c>
      <c r="B2877" s="418">
        <v>0.78615740740740747</v>
      </c>
      <c r="C2877" s="421" t="s">
        <v>1353</v>
      </c>
    </row>
    <row r="2878" spans="1:3" x14ac:dyDescent="0.25">
      <c r="A2878" s="417">
        <v>41542</v>
      </c>
      <c r="B2878" s="418">
        <v>0.78615740740740747</v>
      </c>
      <c r="C2878" s="421" t="s">
        <v>1401</v>
      </c>
    </row>
    <row r="2879" spans="1:3" x14ac:dyDescent="0.25">
      <c r="A2879" s="417">
        <v>41542</v>
      </c>
      <c r="B2879" s="418">
        <v>0.78615740740740747</v>
      </c>
      <c r="C2879" s="421" t="s">
        <v>1392</v>
      </c>
    </row>
    <row r="2880" spans="1:3" x14ac:dyDescent="0.25">
      <c r="A2880" s="417">
        <v>41542</v>
      </c>
      <c r="B2880" s="418">
        <v>0.78615740740740747</v>
      </c>
      <c r="C2880" s="421" t="s">
        <v>1403</v>
      </c>
    </row>
    <row r="2881" spans="1:3" x14ac:dyDescent="0.25">
      <c r="A2881" s="417">
        <v>41542</v>
      </c>
      <c r="B2881" s="418">
        <v>0.78616898148148151</v>
      </c>
      <c r="C2881" s="421" t="s">
        <v>1403</v>
      </c>
    </row>
    <row r="2882" spans="1:3" x14ac:dyDescent="0.25">
      <c r="A2882" s="417">
        <v>41542</v>
      </c>
      <c r="B2882" s="418">
        <v>0.78616898148148151</v>
      </c>
      <c r="C2882" s="421" t="s">
        <v>1403</v>
      </c>
    </row>
    <row r="2883" spans="1:3" x14ac:dyDescent="0.25">
      <c r="A2883" s="417">
        <v>41542</v>
      </c>
      <c r="B2883" s="418">
        <v>0.78616898148148151</v>
      </c>
      <c r="C2883" s="421" t="s">
        <v>1362</v>
      </c>
    </row>
    <row r="2884" spans="1:3" x14ac:dyDescent="0.25">
      <c r="A2884" s="417">
        <v>41542</v>
      </c>
      <c r="B2884" s="418">
        <v>0.78616898148148151</v>
      </c>
      <c r="C2884" s="421" t="s">
        <v>1364</v>
      </c>
    </row>
    <row r="2885" spans="1:3" x14ac:dyDescent="0.25">
      <c r="A2885" s="417">
        <v>41542</v>
      </c>
      <c r="B2885" s="418">
        <v>0.78616898148148151</v>
      </c>
      <c r="C2885" s="421" t="s">
        <v>1364</v>
      </c>
    </row>
    <row r="2886" spans="1:3" x14ac:dyDescent="0.25">
      <c r="A2886" s="417">
        <v>41542</v>
      </c>
      <c r="B2886" s="418">
        <v>0.78616898148148151</v>
      </c>
      <c r="C2886" s="421" t="s">
        <v>1381</v>
      </c>
    </row>
    <row r="2887" spans="1:3" x14ac:dyDescent="0.25">
      <c r="A2887" s="417">
        <v>41542</v>
      </c>
      <c r="B2887" s="418">
        <v>0.78616898148148151</v>
      </c>
      <c r="C2887" s="421" t="s">
        <v>1364</v>
      </c>
    </row>
    <row r="2888" spans="1:3" x14ac:dyDescent="0.25">
      <c r="A2888" s="417">
        <v>41542</v>
      </c>
      <c r="B2888" s="418">
        <v>0.78616898148148151</v>
      </c>
      <c r="C2888" s="421" t="s">
        <v>1480</v>
      </c>
    </row>
    <row r="2889" spans="1:3" x14ac:dyDescent="0.25">
      <c r="A2889" s="417">
        <v>41542</v>
      </c>
      <c r="B2889" s="418">
        <v>0.78616898148148151</v>
      </c>
      <c r="C2889" s="421" t="s">
        <v>1480</v>
      </c>
    </row>
    <row r="2890" spans="1:3" x14ac:dyDescent="0.25">
      <c r="A2890" s="417">
        <v>41542</v>
      </c>
      <c r="B2890" s="418">
        <v>0.78616898148148151</v>
      </c>
      <c r="C2890" s="421" t="s">
        <v>1480</v>
      </c>
    </row>
    <row r="2891" spans="1:3" x14ac:dyDescent="0.25">
      <c r="A2891" s="417">
        <v>41542</v>
      </c>
      <c r="B2891" s="418">
        <v>0.78616898148148151</v>
      </c>
      <c r="C2891" s="421" t="s">
        <v>1621</v>
      </c>
    </row>
    <row r="2892" spans="1:3" x14ac:dyDescent="0.25">
      <c r="A2892" s="417">
        <v>41542</v>
      </c>
      <c r="B2892" s="418">
        <v>0.78616898148148151</v>
      </c>
      <c r="C2892" s="421" t="s">
        <v>1541</v>
      </c>
    </row>
    <row r="2893" spans="1:3" x14ac:dyDescent="0.25">
      <c r="A2893" s="417">
        <v>41542</v>
      </c>
      <c r="B2893" s="418">
        <v>0.78616898148148151</v>
      </c>
      <c r="C2893" s="421" t="s">
        <v>1346</v>
      </c>
    </row>
    <row r="2894" spans="1:3" x14ac:dyDescent="0.25">
      <c r="A2894" s="417">
        <v>41542</v>
      </c>
      <c r="B2894" s="418">
        <v>0.78616898148148151</v>
      </c>
      <c r="C2894" s="421" t="s">
        <v>1405</v>
      </c>
    </row>
    <row r="2895" spans="1:3" x14ac:dyDescent="0.25">
      <c r="A2895" s="417">
        <v>41542</v>
      </c>
      <c r="B2895" s="418">
        <v>0.78616898148148151</v>
      </c>
      <c r="C2895" s="421" t="s">
        <v>1406</v>
      </c>
    </row>
    <row r="2896" spans="1:3" x14ac:dyDescent="0.25">
      <c r="A2896" s="417">
        <v>41542</v>
      </c>
      <c r="B2896" s="418">
        <v>0.78616898148148151</v>
      </c>
      <c r="C2896" s="421" t="s">
        <v>1362</v>
      </c>
    </row>
    <row r="2897" spans="1:3" x14ac:dyDescent="0.25">
      <c r="A2897" s="417">
        <v>41542</v>
      </c>
      <c r="B2897" s="418">
        <v>0.78616898148148151</v>
      </c>
      <c r="C2897" s="421" t="s">
        <v>1622</v>
      </c>
    </row>
    <row r="2898" spans="1:3" x14ac:dyDescent="0.25">
      <c r="A2898" s="417">
        <v>41542</v>
      </c>
      <c r="B2898" s="418">
        <v>0.78616898148148151</v>
      </c>
      <c r="C2898" s="421" t="s">
        <v>1318</v>
      </c>
    </row>
    <row r="2899" spans="1:3" x14ac:dyDescent="0.25">
      <c r="A2899" s="417">
        <v>41542</v>
      </c>
      <c r="B2899" s="418">
        <v>0.78616898148148151</v>
      </c>
      <c r="C2899" s="421" t="s">
        <v>1368</v>
      </c>
    </row>
    <row r="2900" spans="1:3" x14ac:dyDescent="0.25">
      <c r="A2900" s="417">
        <v>41542</v>
      </c>
      <c r="B2900" s="418">
        <v>0.78616898148148151</v>
      </c>
      <c r="C2900" s="421" t="s">
        <v>1368</v>
      </c>
    </row>
    <row r="2901" spans="1:3" x14ac:dyDescent="0.25">
      <c r="A2901" s="417">
        <v>41542</v>
      </c>
      <c r="B2901" s="418">
        <v>0.78616898148148151</v>
      </c>
      <c r="C2901" s="421" t="s">
        <v>1368</v>
      </c>
    </row>
    <row r="2902" spans="1:3" x14ac:dyDescent="0.25">
      <c r="A2902" s="417">
        <v>41542</v>
      </c>
      <c r="B2902" s="418">
        <v>0.78616898148148151</v>
      </c>
      <c r="C2902" s="421" t="s">
        <v>1368</v>
      </c>
    </row>
    <row r="2903" spans="1:3" x14ac:dyDescent="0.25">
      <c r="A2903" s="417">
        <v>41542</v>
      </c>
      <c r="B2903" s="418">
        <v>0.78616898148148151</v>
      </c>
      <c r="C2903" s="421" t="s">
        <v>1368</v>
      </c>
    </row>
    <row r="2904" spans="1:3" x14ac:dyDescent="0.25">
      <c r="A2904" s="417">
        <v>41542</v>
      </c>
      <c r="B2904" s="418">
        <v>0.78616898148148151</v>
      </c>
      <c r="C2904" s="421" t="s">
        <v>1409</v>
      </c>
    </row>
    <row r="2905" spans="1:3" x14ac:dyDescent="0.25">
      <c r="A2905" s="417">
        <v>41542</v>
      </c>
      <c r="B2905" s="418">
        <v>0.78616898148148151</v>
      </c>
      <c r="C2905" s="421" t="s">
        <v>1308</v>
      </c>
    </row>
    <row r="2906" spans="1:3" x14ac:dyDescent="0.25">
      <c r="A2906" s="417">
        <v>41542</v>
      </c>
      <c r="B2906" s="418">
        <v>0.78616898148148151</v>
      </c>
      <c r="C2906" s="421" t="s">
        <v>1410</v>
      </c>
    </row>
    <row r="2907" spans="1:3" x14ac:dyDescent="0.25">
      <c r="A2907" s="417">
        <v>41542</v>
      </c>
      <c r="B2907" s="418">
        <v>0.78616898148148151</v>
      </c>
      <c r="C2907" s="421" t="s">
        <v>1410</v>
      </c>
    </row>
    <row r="2908" spans="1:3" x14ac:dyDescent="0.25">
      <c r="A2908" s="417">
        <v>41542</v>
      </c>
      <c r="B2908" s="418">
        <v>0.78616898148148151</v>
      </c>
      <c r="C2908" s="421" t="s">
        <v>1411</v>
      </c>
    </row>
    <row r="2909" spans="1:3" x14ac:dyDescent="0.25">
      <c r="A2909" s="417">
        <v>41542</v>
      </c>
      <c r="B2909" s="418">
        <v>0.78616898148148151</v>
      </c>
      <c r="C2909" s="421" t="s">
        <v>1623</v>
      </c>
    </row>
    <row r="2910" spans="1:3" x14ac:dyDescent="0.25">
      <c r="A2910" s="417">
        <v>41542</v>
      </c>
      <c r="B2910" s="418">
        <v>0.78616898148148151</v>
      </c>
      <c r="C2910" s="421" t="s">
        <v>1413</v>
      </c>
    </row>
    <row r="2911" spans="1:3" x14ac:dyDescent="0.25">
      <c r="A2911" s="417">
        <v>41542</v>
      </c>
      <c r="B2911" s="418">
        <v>0.78616898148148151</v>
      </c>
      <c r="C2911" s="421" t="s">
        <v>1414</v>
      </c>
    </row>
    <row r="2912" spans="1:3" x14ac:dyDescent="0.25">
      <c r="A2912" s="417">
        <v>41542</v>
      </c>
      <c r="B2912" s="418">
        <v>0.78616898148148151</v>
      </c>
      <c r="C2912" s="421" t="s">
        <v>1373</v>
      </c>
    </row>
    <row r="2913" spans="1:3" x14ac:dyDescent="0.25">
      <c r="A2913" s="417">
        <v>41542</v>
      </c>
      <c r="B2913" s="418">
        <v>0.78616898148148151</v>
      </c>
      <c r="C2913" s="421" t="s">
        <v>1624</v>
      </c>
    </row>
    <row r="2914" spans="1:3" x14ac:dyDescent="0.25">
      <c r="A2914" s="417">
        <v>41542</v>
      </c>
      <c r="B2914" s="418">
        <v>0.78619212962962959</v>
      </c>
      <c r="C2914" s="421" t="s">
        <v>1409</v>
      </c>
    </row>
    <row r="2915" spans="1:3" x14ac:dyDescent="0.25">
      <c r="A2915" s="417">
        <v>41542</v>
      </c>
      <c r="B2915" s="418">
        <v>0.78619212962962959</v>
      </c>
      <c r="C2915" s="421" t="s">
        <v>1416</v>
      </c>
    </row>
    <row r="2916" spans="1:3" x14ac:dyDescent="0.25">
      <c r="A2916" s="417">
        <v>41542</v>
      </c>
      <c r="B2916" s="418">
        <v>0.78619212962962959</v>
      </c>
      <c r="C2916" s="421" t="s">
        <v>1625</v>
      </c>
    </row>
    <row r="2917" spans="1:3" x14ac:dyDescent="0.25">
      <c r="A2917" s="417">
        <v>41542</v>
      </c>
      <c r="B2917" s="418">
        <v>0.78619212962962959</v>
      </c>
      <c r="C2917" s="421" t="s">
        <v>1348</v>
      </c>
    </row>
    <row r="2918" spans="1:3" x14ac:dyDescent="0.25">
      <c r="A2918" s="417">
        <v>41542</v>
      </c>
      <c r="B2918" s="418">
        <v>0.78619212962962959</v>
      </c>
      <c r="C2918" s="421" t="s">
        <v>1419</v>
      </c>
    </row>
    <row r="2919" spans="1:3" x14ac:dyDescent="0.25">
      <c r="A2919" s="417">
        <v>41542</v>
      </c>
      <c r="B2919" s="418">
        <v>0.78619212962962959</v>
      </c>
      <c r="C2919" s="421" t="s">
        <v>1419</v>
      </c>
    </row>
    <row r="2920" spans="1:3" x14ac:dyDescent="0.25">
      <c r="A2920" s="417">
        <v>41542</v>
      </c>
      <c r="B2920" s="418">
        <v>0.78619212962962959</v>
      </c>
      <c r="C2920" s="421" t="s">
        <v>1420</v>
      </c>
    </row>
    <row r="2921" spans="1:3" x14ac:dyDescent="0.25">
      <c r="A2921" s="417">
        <v>41542</v>
      </c>
      <c r="B2921" s="418">
        <v>0.78619212962962959</v>
      </c>
      <c r="C2921" s="421" t="s">
        <v>1626</v>
      </c>
    </row>
    <row r="2922" spans="1:3" x14ac:dyDescent="0.25">
      <c r="A2922" s="417">
        <v>41542</v>
      </c>
      <c r="B2922" s="418">
        <v>0.78619212962962959</v>
      </c>
      <c r="C2922" s="421" t="s">
        <v>1485</v>
      </c>
    </row>
    <row r="2923" spans="1:3" x14ac:dyDescent="0.25">
      <c r="A2923" s="417">
        <v>41542</v>
      </c>
      <c r="B2923" s="418">
        <v>0.78619212962962959</v>
      </c>
      <c r="C2923" s="421" t="s">
        <v>1486</v>
      </c>
    </row>
    <row r="2924" spans="1:3" x14ac:dyDescent="0.25">
      <c r="A2924" s="417">
        <v>41542</v>
      </c>
      <c r="B2924" s="418">
        <v>0.78619212962962959</v>
      </c>
      <c r="C2924" s="421" t="s">
        <v>1488</v>
      </c>
    </row>
    <row r="2925" spans="1:3" x14ac:dyDescent="0.25">
      <c r="A2925" s="417">
        <v>41542</v>
      </c>
      <c r="B2925" s="418">
        <v>0.78619212962962959</v>
      </c>
      <c r="C2925" s="421" t="s">
        <v>1489</v>
      </c>
    </row>
    <row r="2926" spans="1:3" x14ac:dyDescent="0.25">
      <c r="A2926" s="417">
        <v>41542</v>
      </c>
      <c r="B2926" s="418">
        <v>0.78619212962962959</v>
      </c>
      <c r="C2926" s="421" t="s">
        <v>1490</v>
      </c>
    </row>
    <row r="2927" spans="1:3" x14ac:dyDescent="0.25">
      <c r="A2927" s="417">
        <v>41542</v>
      </c>
      <c r="B2927" s="418">
        <v>0.78619212962962959</v>
      </c>
      <c r="C2927" s="421" t="s">
        <v>1491</v>
      </c>
    </row>
    <row r="2928" spans="1:3" x14ac:dyDescent="0.25">
      <c r="A2928" s="417">
        <v>41542</v>
      </c>
      <c r="B2928" s="418">
        <v>0.78619212962962959</v>
      </c>
      <c r="C2928" s="421" t="s">
        <v>1492</v>
      </c>
    </row>
    <row r="2929" spans="1:3" x14ac:dyDescent="0.25">
      <c r="A2929" s="417">
        <v>41542</v>
      </c>
      <c r="B2929" s="418">
        <v>0.78619212962962959</v>
      </c>
      <c r="C2929" s="421" t="s">
        <v>1320</v>
      </c>
    </row>
    <row r="2930" spans="1:3" x14ac:dyDescent="0.25">
      <c r="A2930" s="417">
        <v>41542</v>
      </c>
      <c r="B2930" s="418">
        <v>0.78619212962962959</v>
      </c>
      <c r="C2930" s="421" t="s">
        <v>1429</v>
      </c>
    </row>
    <row r="2931" spans="1:3" x14ac:dyDescent="0.25">
      <c r="A2931" s="417">
        <v>41542</v>
      </c>
      <c r="B2931" s="418">
        <v>0.78619212962962959</v>
      </c>
      <c r="C2931" s="421" t="s">
        <v>1430</v>
      </c>
    </row>
    <row r="2932" spans="1:3" x14ac:dyDescent="0.25">
      <c r="A2932" s="417">
        <v>41542</v>
      </c>
      <c r="B2932" s="418">
        <v>0.78619212962962959</v>
      </c>
      <c r="C2932" s="421" t="s">
        <v>1493</v>
      </c>
    </row>
    <row r="2933" spans="1:3" x14ac:dyDescent="0.25">
      <c r="A2933" s="417">
        <v>41542</v>
      </c>
      <c r="B2933" s="418">
        <v>0.78619212962962959</v>
      </c>
      <c r="C2933" s="421" t="s">
        <v>1308</v>
      </c>
    </row>
    <row r="2934" spans="1:3" x14ac:dyDescent="0.25">
      <c r="A2934" s="417">
        <v>41542</v>
      </c>
      <c r="B2934" s="418">
        <v>0.78619212962962959</v>
      </c>
      <c r="C2934" s="421" t="s">
        <v>1360</v>
      </c>
    </row>
    <row r="2935" spans="1:3" x14ac:dyDescent="0.25">
      <c r="A2935" s="417">
        <v>41542</v>
      </c>
      <c r="B2935" s="418">
        <v>0.78619212962962959</v>
      </c>
      <c r="C2935" s="421" t="s">
        <v>1432</v>
      </c>
    </row>
    <row r="2936" spans="1:3" x14ac:dyDescent="0.25">
      <c r="A2936" s="417">
        <v>41542</v>
      </c>
      <c r="B2936" s="418">
        <v>0.78619212962962959</v>
      </c>
      <c r="C2936" s="421" t="s">
        <v>1432</v>
      </c>
    </row>
    <row r="2937" spans="1:3" x14ac:dyDescent="0.25">
      <c r="A2937" s="417">
        <v>41542</v>
      </c>
      <c r="B2937" s="418">
        <v>0.78619212962962959</v>
      </c>
      <c r="C2937" s="421" t="s">
        <v>1432</v>
      </c>
    </row>
    <row r="2938" spans="1:3" x14ac:dyDescent="0.25">
      <c r="A2938" s="417">
        <v>41542</v>
      </c>
      <c r="B2938" s="418">
        <v>0.78619212962962959</v>
      </c>
      <c r="C2938" s="421" t="s">
        <v>1281</v>
      </c>
    </row>
    <row r="2939" spans="1:3" ht="60" x14ac:dyDescent="0.25">
      <c r="A2939" s="417">
        <v>41542</v>
      </c>
      <c r="B2939" s="418">
        <v>0.78619212962962959</v>
      </c>
      <c r="C2939" s="946" t="s">
        <v>1282</v>
      </c>
    </row>
    <row r="2940" spans="1:3" x14ac:dyDescent="0.25">
      <c r="A2940" s="417">
        <v>41542</v>
      </c>
      <c r="B2940" s="418">
        <v>0.78627314814814808</v>
      </c>
      <c r="C2940" s="421" t="s">
        <v>1413</v>
      </c>
    </row>
    <row r="2941" spans="1:3" x14ac:dyDescent="0.25">
      <c r="A2941" s="417">
        <v>41542</v>
      </c>
      <c r="B2941" s="418">
        <v>0.78627314814814808</v>
      </c>
      <c r="C2941" s="421" t="s">
        <v>1494</v>
      </c>
    </row>
    <row r="2942" spans="1:3" x14ac:dyDescent="0.25">
      <c r="A2942" s="417">
        <v>41542</v>
      </c>
      <c r="B2942" s="418">
        <v>0.78627314814814808</v>
      </c>
      <c r="C2942" s="421" t="s">
        <v>1495</v>
      </c>
    </row>
    <row r="2943" spans="1:3" x14ac:dyDescent="0.25">
      <c r="A2943" s="417">
        <v>41542</v>
      </c>
      <c r="B2943" s="418">
        <v>0.78627314814814808</v>
      </c>
      <c r="C2943" s="421" t="s">
        <v>1496</v>
      </c>
    </row>
    <row r="2944" spans="1:3" x14ac:dyDescent="0.25">
      <c r="A2944" s="417">
        <v>41542</v>
      </c>
      <c r="B2944" s="418">
        <v>0.78627314814814808</v>
      </c>
      <c r="C2944" s="421" t="s">
        <v>1497</v>
      </c>
    </row>
    <row r="2945" spans="1:3" x14ac:dyDescent="0.25">
      <c r="A2945" s="417">
        <v>41542</v>
      </c>
      <c r="B2945" s="418">
        <v>0.78627314814814808</v>
      </c>
      <c r="C2945" s="421" t="s">
        <v>1498</v>
      </c>
    </row>
    <row r="2946" spans="1:3" x14ac:dyDescent="0.25">
      <c r="A2946" s="417">
        <v>41542</v>
      </c>
      <c r="B2946" s="418">
        <v>0.78627314814814808</v>
      </c>
      <c r="C2946" s="421" t="s">
        <v>1499</v>
      </c>
    </row>
    <row r="2947" spans="1:3" x14ac:dyDescent="0.25">
      <c r="A2947" s="417">
        <v>41542</v>
      </c>
      <c r="B2947" s="418">
        <v>0.78627314814814808</v>
      </c>
      <c r="C2947" s="421" t="s">
        <v>1500</v>
      </c>
    </row>
    <row r="2948" spans="1:3" x14ac:dyDescent="0.25">
      <c r="A2948" s="417">
        <v>41542</v>
      </c>
      <c r="B2948" s="418">
        <v>0.78627314814814808</v>
      </c>
      <c r="C2948" s="421" t="s">
        <v>1627</v>
      </c>
    </row>
    <row r="2949" spans="1:3" x14ac:dyDescent="0.25">
      <c r="A2949" s="417">
        <v>41542</v>
      </c>
      <c r="B2949" s="418">
        <v>0.78627314814814808</v>
      </c>
      <c r="C2949" s="421" t="s">
        <v>1439</v>
      </c>
    </row>
    <row r="2950" spans="1:3" x14ac:dyDescent="0.25">
      <c r="A2950" s="417">
        <v>41542</v>
      </c>
      <c r="B2950" s="418">
        <v>0.78627314814814808</v>
      </c>
      <c r="C2950" s="421" t="s">
        <v>1320</v>
      </c>
    </row>
    <row r="2951" spans="1:3" x14ac:dyDescent="0.25">
      <c r="A2951" s="417">
        <v>41542</v>
      </c>
      <c r="B2951" s="418">
        <v>0.78627314814814808</v>
      </c>
      <c r="C2951" s="421" t="s">
        <v>1503</v>
      </c>
    </row>
    <row r="2952" spans="1:3" x14ac:dyDescent="0.25">
      <c r="A2952" s="417">
        <v>41542</v>
      </c>
      <c r="B2952" s="418">
        <v>0.78627314814814808</v>
      </c>
      <c r="C2952" s="421" t="s">
        <v>1504</v>
      </c>
    </row>
    <row r="2953" spans="1:3" x14ac:dyDescent="0.25">
      <c r="A2953" s="417">
        <v>41542</v>
      </c>
      <c r="B2953" s="418">
        <v>0.78627314814814808</v>
      </c>
      <c r="C2953" s="421" t="s">
        <v>1505</v>
      </c>
    </row>
    <row r="2954" spans="1:3" x14ac:dyDescent="0.25">
      <c r="A2954" s="417">
        <v>41542</v>
      </c>
      <c r="B2954" s="418">
        <v>0.78627314814814808</v>
      </c>
      <c r="C2954" s="421" t="s">
        <v>1628</v>
      </c>
    </row>
    <row r="2955" spans="1:3" x14ac:dyDescent="0.25">
      <c r="A2955" s="417">
        <v>41542</v>
      </c>
      <c r="B2955" s="418">
        <v>0.78627314814814808</v>
      </c>
      <c r="C2955" s="421" t="s">
        <v>1446</v>
      </c>
    </row>
    <row r="2956" spans="1:3" x14ac:dyDescent="0.25">
      <c r="A2956" s="417">
        <v>41542</v>
      </c>
      <c r="B2956" s="418">
        <v>0.78627314814814808</v>
      </c>
      <c r="C2956" s="421" t="s">
        <v>1238</v>
      </c>
    </row>
    <row r="2957" spans="1:3" x14ac:dyDescent="0.25">
      <c r="A2957" s="417">
        <v>41542</v>
      </c>
      <c r="B2957" s="418">
        <v>0.78627314814814808</v>
      </c>
      <c r="C2957" s="421" t="s">
        <v>1629</v>
      </c>
    </row>
    <row r="2958" spans="1:3" x14ac:dyDescent="0.25">
      <c r="A2958" s="417">
        <v>41542</v>
      </c>
      <c r="B2958" s="418">
        <v>0.78627314814814808</v>
      </c>
      <c r="C2958" s="421" t="s">
        <v>1389</v>
      </c>
    </row>
    <row r="2959" spans="1:3" x14ac:dyDescent="0.25">
      <c r="A2959" s="417">
        <v>41542</v>
      </c>
      <c r="B2959" s="418">
        <v>0.78627314814814808</v>
      </c>
      <c r="C2959" s="421" t="s">
        <v>1448</v>
      </c>
    </row>
    <row r="2960" spans="1:3" x14ac:dyDescent="0.25">
      <c r="A2960" s="417">
        <v>41542</v>
      </c>
      <c r="B2960" s="418">
        <v>0.78627314814814808</v>
      </c>
      <c r="C2960" s="421" t="s">
        <v>1450</v>
      </c>
    </row>
    <row r="2961" spans="1:3" x14ac:dyDescent="0.25">
      <c r="A2961" s="417">
        <v>41542</v>
      </c>
      <c r="B2961" s="418">
        <v>0.78627314814814808</v>
      </c>
      <c r="C2961" s="421" t="s">
        <v>1450</v>
      </c>
    </row>
    <row r="2962" spans="1:3" x14ac:dyDescent="0.25">
      <c r="A2962" s="417">
        <v>41542</v>
      </c>
      <c r="B2962" s="418">
        <v>0.78627314814814808</v>
      </c>
      <c r="C2962" s="421" t="s">
        <v>1450</v>
      </c>
    </row>
    <row r="2963" spans="1:3" x14ac:dyDescent="0.25">
      <c r="A2963" s="417">
        <v>41542</v>
      </c>
      <c r="B2963" s="418">
        <v>0.78627314814814808</v>
      </c>
      <c r="C2963" s="421" t="s">
        <v>1450</v>
      </c>
    </row>
    <row r="2964" spans="1:3" x14ac:dyDescent="0.25">
      <c r="A2964" s="417">
        <v>41542</v>
      </c>
      <c r="B2964" s="418">
        <v>0.78627314814814808</v>
      </c>
      <c r="C2964" s="421" t="s">
        <v>1450</v>
      </c>
    </row>
    <row r="2965" spans="1:3" x14ac:dyDescent="0.25">
      <c r="A2965" s="417">
        <v>41542</v>
      </c>
      <c r="B2965" s="418">
        <v>0.78627314814814808</v>
      </c>
      <c r="C2965" s="421" t="s">
        <v>1450</v>
      </c>
    </row>
    <row r="2966" spans="1:3" x14ac:dyDescent="0.25">
      <c r="A2966" s="417">
        <v>41542</v>
      </c>
      <c r="B2966" s="418">
        <v>0.78627314814814808</v>
      </c>
      <c r="C2966" s="421" t="s">
        <v>1450</v>
      </c>
    </row>
    <row r="2967" spans="1:3" x14ac:dyDescent="0.25">
      <c r="A2967" s="417">
        <v>41542</v>
      </c>
      <c r="B2967" s="418">
        <v>0.78627314814814808</v>
      </c>
      <c r="C2967" s="421" t="s">
        <v>1448</v>
      </c>
    </row>
    <row r="2968" spans="1:3" x14ac:dyDescent="0.25">
      <c r="A2968" s="417">
        <v>41542</v>
      </c>
      <c r="B2968" s="418">
        <v>0.78628472222222223</v>
      </c>
      <c r="C2968" s="421" t="s">
        <v>1399</v>
      </c>
    </row>
    <row r="2969" spans="1:3" x14ac:dyDescent="0.25">
      <c r="A2969" s="417">
        <v>41542</v>
      </c>
      <c r="B2969" s="418">
        <v>0.78628472222222223</v>
      </c>
      <c r="C2969" s="421" t="s">
        <v>1309</v>
      </c>
    </row>
    <row r="2970" spans="1:3" x14ac:dyDescent="0.25">
      <c r="A2970" s="417">
        <v>41542</v>
      </c>
      <c r="B2970" s="418">
        <v>0.78628472222222223</v>
      </c>
      <c r="C2970" s="421" t="s">
        <v>1630</v>
      </c>
    </row>
    <row r="2971" spans="1:3" x14ac:dyDescent="0.25">
      <c r="A2971" s="417">
        <v>41542</v>
      </c>
      <c r="B2971" s="418">
        <v>0.78628472222222223</v>
      </c>
      <c r="C2971" s="421" t="s">
        <v>1631</v>
      </c>
    </row>
    <row r="2972" spans="1:3" x14ac:dyDescent="0.25">
      <c r="A2972" s="417">
        <v>41542</v>
      </c>
      <c r="B2972" s="418">
        <v>0.78628472222222223</v>
      </c>
      <c r="C2972" s="421" t="s">
        <v>1632</v>
      </c>
    </row>
    <row r="2973" spans="1:3" x14ac:dyDescent="0.25">
      <c r="A2973" s="417">
        <v>41542</v>
      </c>
      <c r="B2973" s="418">
        <v>0.78628472222222223</v>
      </c>
      <c r="C2973" s="421" t="s">
        <v>1617</v>
      </c>
    </row>
    <row r="2974" spans="1:3" x14ac:dyDescent="0.25">
      <c r="A2974" s="417">
        <v>41542</v>
      </c>
      <c r="B2974" s="418">
        <v>0.78628472222222223</v>
      </c>
      <c r="C2974" s="421" t="s">
        <v>1633</v>
      </c>
    </row>
    <row r="2975" spans="1:3" x14ac:dyDescent="0.25">
      <c r="A2975" s="417">
        <v>41542</v>
      </c>
      <c r="B2975" s="418">
        <v>0.78628472222222223</v>
      </c>
      <c r="C2975" s="421" t="s">
        <v>1634</v>
      </c>
    </row>
    <row r="2976" spans="1:3" x14ac:dyDescent="0.25">
      <c r="A2976" s="417">
        <v>41542</v>
      </c>
      <c r="B2976" s="418">
        <v>0.78628472222222223</v>
      </c>
      <c r="C2976" s="421" t="s">
        <v>1633</v>
      </c>
    </row>
    <row r="2977" spans="1:3" x14ac:dyDescent="0.25">
      <c r="A2977" s="417">
        <v>41542</v>
      </c>
      <c r="B2977" s="418">
        <v>0.78628472222222223</v>
      </c>
      <c r="C2977" s="421" t="s">
        <v>1634</v>
      </c>
    </row>
    <row r="2978" spans="1:3" x14ac:dyDescent="0.25">
      <c r="A2978" s="417">
        <v>41542</v>
      </c>
      <c r="B2978" s="418">
        <v>0.78641203703703699</v>
      </c>
      <c r="C2978" s="421" t="s">
        <v>1635</v>
      </c>
    </row>
    <row r="2979" spans="1:3" x14ac:dyDescent="0.25">
      <c r="A2979" s="417">
        <v>41542</v>
      </c>
      <c r="B2979" s="418">
        <v>0.78642361111111114</v>
      </c>
      <c r="C2979" s="421" t="s">
        <v>1636</v>
      </c>
    </row>
    <row r="2980" spans="1:3" ht="45" x14ac:dyDescent="0.25">
      <c r="A2980" s="417">
        <v>41542</v>
      </c>
      <c r="B2980" s="418">
        <v>0.91321759259259261</v>
      </c>
      <c r="C2980" s="946" t="s">
        <v>1638</v>
      </c>
    </row>
    <row r="2981" spans="1:3" x14ac:dyDescent="0.25">
      <c r="A2981" s="417">
        <v>41542</v>
      </c>
      <c r="B2981" s="418">
        <v>0.91434027777777782</v>
      </c>
      <c r="C2981" s="421" t="s">
        <v>1617</v>
      </c>
    </row>
    <row r="2982" spans="1:3" x14ac:dyDescent="0.25">
      <c r="A2982" s="417">
        <v>41542</v>
      </c>
      <c r="B2982" s="418">
        <v>0.91435185185185175</v>
      </c>
      <c r="C2982" s="421" t="s">
        <v>1238</v>
      </c>
    </row>
    <row r="2983" spans="1:3" x14ac:dyDescent="0.25">
      <c r="A2983" s="417">
        <v>41542</v>
      </c>
      <c r="B2983" s="418">
        <v>0.91435185185185175</v>
      </c>
      <c r="C2983" s="421" t="s">
        <v>1307</v>
      </c>
    </row>
    <row r="2984" spans="1:3" x14ac:dyDescent="0.25">
      <c r="A2984" s="417">
        <v>41542</v>
      </c>
      <c r="B2984" s="418">
        <v>0.91435185185185175</v>
      </c>
      <c r="C2984" s="421" t="s">
        <v>1308</v>
      </c>
    </row>
    <row r="2985" spans="1:3" x14ac:dyDescent="0.25">
      <c r="A2985" s="417">
        <v>41542</v>
      </c>
      <c r="B2985" s="418">
        <v>0.91435185185185175</v>
      </c>
      <c r="C2985" s="421" t="s">
        <v>1309</v>
      </c>
    </row>
    <row r="2986" spans="1:3" x14ac:dyDescent="0.25">
      <c r="A2986" s="417">
        <v>41542</v>
      </c>
      <c r="B2986" s="418">
        <v>0.91435185185185175</v>
      </c>
      <c r="C2986" s="421" t="s">
        <v>1310</v>
      </c>
    </row>
    <row r="2987" spans="1:3" x14ac:dyDescent="0.25">
      <c r="A2987" s="417">
        <v>41542</v>
      </c>
      <c r="B2987" s="418">
        <v>0.91435185185185175</v>
      </c>
      <c r="C2987" s="421" t="s">
        <v>1311</v>
      </c>
    </row>
    <row r="2988" spans="1:3" x14ac:dyDescent="0.25">
      <c r="A2988" s="417">
        <v>41542</v>
      </c>
      <c r="B2988" s="418">
        <v>0.91435185185185175</v>
      </c>
      <c r="C2988" s="421" t="s">
        <v>1312</v>
      </c>
    </row>
    <row r="2989" spans="1:3" x14ac:dyDescent="0.25">
      <c r="A2989" s="417">
        <v>41542</v>
      </c>
      <c r="B2989" s="418">
        <v>0.91435185185185175</v>
      </c>
      <c r="C2989" s="421" t="s">
        <v>1313</v>
      </c>
    </row>
    <row r="2990" spans="1:3" x14ac:dyDescent="0.25">
      <c r="A2990" s="417">
        <v>41542</v>
      </c>
      <c r="B2990" s="418">
        <v>0.91435185185185175</v>
      </c>
      <c r="C2990" s="421" t="s">
        <v>1310</v>
      </c>
    </row>
    <row r="2991" spans="1:3" x14ac:dyDescent="0.25">
      <c r="A2991" s="417">
        <v>41542</v>
      </c>
      <c r="B2991" s="418">
        <v>0.91435185185185175</v>
      </c>
      <c r="C2991" s="421" t="s">
        <v>1314</v>
      </c>
    </row>
    <row r="2992" spans="1:3" x14ac:dyDescent="0.25">
      <c r="A2992" s="417">
        <v>41542</v>
      </c>
      <c r="B2992" s="418">
        <v>0.91435185185185175</v>
      </c>
      <c r="C2992" s="421" t="s">
        <v>1315</v>
      </c>
    </row>
    <row r="2993" spans="1:3" x14ac:dyDescent="0.25">
      <c r="A2993" s="417">
        <v>41542</v>
      </c>
      <c r="B2993" s="418">
        <v>0.91435185185185175</v>
      </c>
      <c r="C2993" s="421" t="s">
        <v>1460</v>
      </c>
    </row>
    <row r="2994" spans="1:3" x14ac:dyDescent="0.25">
      <c r="A2994" s="417">
        <v>41542</v>
      </c>
      <c r="B2994" s="418">
        <v>0.91435185185185175</v>
      </c>
      <c r="C2994" s="421" t="s">
        <v>1461</v>
      </c>
    </row>
    <row r="2995" spans="1:3" x14ac:dyDescent="0.25">
      <c r="A2995" s="417">
        <v>41542</v>
      </c>
      <c r="B2995" s="418">
        <v>0.91435185185185175</v>
      </c>
      <c r="C2995" s="421" t="s">
        <v>1310</v>
      </c>
    </row>
    <row r="2996" spans="1:3" x14ac:dyDescent="0.25">
      <c r="A2996" s="417">
        <v>41542</v>
      </c>
      <c r="B2996" s="418">
        <v>0.91435185185185175</v>
      </c>
      <c r="C2996" s="421" t="s">
        <v>1238</v>
      </c>
    </row>
    <row r="2997" spans="1:3" x14ac:dyDescent="0.25">
      <c r="A2997" s="417">
        <v>41542</v>
      </c>
      <c r="B2997" s="418">
        <v>0.91435185185185175</v>
      </c>
      <c r="C2997" s="421" t="s">
        <v>1462</v>
      </c>
    </row>
    <row r="2998" spans="1:3" x14ac:dyDescent="0.25">
      <c r="A2998" s="417">
        <v>41542</v>
      </c>
      <c r="B2998" s="418">
        <v>0.91435185185185175</v>
      </c>
      <c r="C2998" s="421" t="s">
        <v>1316</v>
      </c>
    </row>
    <row r="2999" spans="1:3" x14ac:dyDescent="0.25">
      <c r="A2999" s="417">
        <v>41542</v>
      </c>
      <c r="B2999" s="418">
        <v>0.91435185185185175</v>
      </c>
      <c r="C2999" s="421" t="s">
        <v>1316</v>
      </c>
    </row>
    <row r="3000" spans="1:3" x14ac:dyDescent="0.25">
      <c r="A3000" s="417">
        <v>41542</v>
      </c>
      <c r="B3000" s="418">
        <v>0.91435185185185175</v>
      </c>
      <c r="C3000" s="421" t="s">
        <v>1317</v>
      </c>
    </row>
    <row r="3001" spans="1:3" x14ac:dyDescent="0.25">
      <c r="A3001" s="417">
        <v>41542</v>
      </c>
      <c r="B3001" s="418">
        <v>0.91435185185185175</v>
      </c>
      <c r="C3001" s="421" t="s">
        <v>1309</v>
      </c>
    </row>
    <row r="3002" spans="1:3" x14ac:dyDescent="0.25">
      <c r="A3002" s="417">
        <v>41542</v>
      </c>
      <c r="B3002" s="418">
        <v>0.91435185185185175</v>
      </c>
      <c r="C3002" s="421" t="s">
        <v>1318</v>
      </c>
    </row>
    <row r="3003" spans="1:3" x14ac:dyDescent="0.25">
      <c r="A3003" s="417">
        <v>41542</v>
      </c>
      <c r="B3003" s="418">
        <v>0.91435185185185175</v>
      </c>
      <c r="C3003" s="421" t="s">
        <v>1319</v>
      </c>
    </row>
    <row r="3004" spans="1:3" x14ac:dyDescent="0.25">
      <c r="A3004" s="417">
        <v>41542</v>
      </c>
      <c r="B3004" s="418">
        <v>0.91435185185185175</v>
      </c>
      <c r="C3004" s="421" t="s">
        <v>1320</v>
      </c>
    </row>
    <row r="3005" spans="1:3" x14ac:dyDescent="0.25">
      <c r="A3005" s="417">
        <v>41542</v>
      </c>
      <c r="B3005" s="418">
        <v>0.91435185185185175</v>
      </c>
      <c r="C3005" s="421" t="s">
        <v>1318</v>
      </c>
    </row>
    <row r="3006" spans="1:3" x14ac:dyDescent="0.25">
      <c r="A3006" s="417">
        <v>41542</v>
      </c>
      <c r="B3006" s="418">
        <v>0.91435185185185175</v>
      </c>
      <c r="C3006" s="421" t="s">
        <v>1307</v>
      </c>
    </row>
    <row r="3007" spans="1:3" x14ac:dyDescent="0.25">
      <c r="A3007" s="417">
        <v>41542</v>
      </c>
      <c r="B3007" s="418">
        <v>0.91435185185185175</v>
      </c>
      <c r="C3007" s="421" t="s">
        <v>1321</v>
      </c>
    </row>
    <row r="3008" spans="1:3" x14ac:dyDescent="0.25">
      <c r="A3008" s="417">
        <v>41542</v>
      </c>
      <c r="B3008" s="418">
        <v>0.91435185185185175</v>
      </c>
      <c r="C3008" s="421" t="s">
        <v>1322</v>
      </c>
    </row>
    <row r="3009" spans="1:3" x14ac:dyDescent="0.25">
      <c r="A3009" s="417">
        <v>41542</v>
      </c>
      <c r="B3009" s="418">
        <v>0.91435185185185175</v>
      </c>
      <c r="C3009" s="421" t="s">
        <v>1322</v>
      </c>
    </row>
    <row r="3010" spans="1:3" x14ac:dyDescent="0.25">
      <c r="A3010" s="417">
        <v>41542</v>
      </c>
      <c r="B3010" s="418">
        <v>0.91435185185185175</v>
      </c>
      <c r="C3010" s="421" t="s">
        <v>1323</v>
      </c>
    </row>
    <row r="3011" spans="1:3" x14ac:dyDescent="0.25">
      <c r="A3011" s="417">
        <v>41542</v>
      </c>
      <c r="B3011" s="418">
        <v>0.91435185185185175</v>
      </c>
      <c r="C3011" s="421" t="s">
        <v>1324</v>
      </c>
    </row>
    <row r="3012" spans="1:3" x14ac:dyDescent="0.25">
      <c r="A3012" s="417">
        <v>41542</v>
      </c>
      <c r="B3012" s="418">
        <v>0.91435185185185175</v>
      </c>
      <c r="C3012" s="421" t="s">
        <v>1310</v>
      </c>
    </row>
    <row r="3013" spans="1:3" x14ac:dyDescent="0.25">
      <c r="A3013" s="417">
        <v>41542</v>
      </c>
      <c r="B3013" s="418">
        <v>0.91435185185185175</v>
      </c>
      <c r="C3013" s="421" t="s">
        <v>1325</v>
      </c>
    </row>
    <row r="3014" spans="1:3" x14ac:dyDescent="0.25">
      <c r="A3014" s="417">
        <v>41542</v>
      </c>
      <c r="B3014" s="418">
        <v>0.91435185185185175</v>
      </c>
      <c r="C3014" s="421" t="s">
        <v>1326</v>
      </c>
    </row>
    <row r="3015" spans="1:3" x14ac:dyDescent="0.25">
      <c r="A3015" s="417">
        <v>41542</v>
      </c>
      <c r="B3015" s="418">
        <v>0.91435185185185175</v>
      </c>
      <c r="C3015" s="421" t="s">
        <v>1327</v>
      </c>
    </row>
    <row r="3016" spans="1:3" x14ac:dyDescent="0.25">
      <c r="A3016" s="417">
        <v>41542</v>
      </c>
      <c r="B3016" s="418">
        <v>0.91435185185185175</v>
      </c>
      <c r="C3016" s="421" t="s">
        <v>1328</v>
      </c>
    </row>
    <row r="3017" spans="1:3" ht="60" x14ac:dyDescent="0.25">
      <c r="A3017" s="417">
        <v>41542</v>
      </c>
      <c r="B3017" s="418">
        <v>0.91435185185185175</v>
      </c>
      <c r="C3017" s="946" t="s">
        <v>1618</v>
      </c>
    </row>
    <row r="3018" spans="1:3" x14ac:dyDescent="0.25">
      <c r="A3018" s="417">
        <v>41542</v>
      </c>
      <c r="B3018" s="418">
        <v>0.91447916666666673</v>
      </c>
      <c r="C3018" s="421" t="s">
        <v>1323</v>
      </c>
    </row>
    <row r="3019" spans="1:3" x14ac:dyDescent="0.25">
      <c r="A3019" s="417">
        <v>41542</v>
      </c>
      <c r="B3019" s="418">
        <v>0.91447916666666673</v>
      </c>
      <c r="C3019" s="421" t="s">
        <v>1342</v>
      </c>
    </row>
    <row r="3020" spans="1:3" x14ac:dyDescent="0.25">
      <c r="A3020" s="417">
        <v>41542</v>
      </c>
      <c r="B3020" s="418">
        <v>0.91447916666666673</v>
      </c>
      <c r="C3020" s="421" t="s">
        <v>1343</v>
      </c>
    </row>
    <row r="3021" spans="1:3" x14ac:dyDescent="0.25">
      <c r="A3021" s="417">
        <v>41542</v>
      </c>
      <c r="B3021" s="418">
        <v>0.91447916666666673</v>
      </c>
      <c r="C3021" s="421" t="s">
        <v>1344</v>
      </c>
    </row>
    <row r="3022" spans="1:3" x14ac:dyDescent="0.25">
      <c r="A3022" s="417">
        <v>41542</v>
      </c>
      <c r="B3022" s="418">
        <v>0.91447916666666673</v>
      </c>
      <c r="C3022" s="421" t="s">
        <v>1344</v>
      </c>
    </row>
    <row r="3023" spans="1:3" x14ac:dyDescent="0.25">
      <c r="A3023" s="417">
        <v>41542</v>
      </c>
      <c r="B3023" s="418">
        <v>0.91447916666666673</v>
      </c>
      <c r="C3023" s="421" t="s">
        <v>1310</v>
      </c>
    </row>
    <row r="3024" spans="1:3" x14ac:dyDescent="0.25">
      <c r="A3024" s="417">
        <v>41542</v>
      </c>
      <c r="B3024" s="418">
        <v>0.91447916666666673</v>
      </c>
      <c r="C3024" s="421" t="s">
        <v>1345</v>
      </c>
    </row>
    <row r="3025" spans="1:3" x14ac:dyDescent="0.25">
      <c r="A3025" s="417">
        <v>41542</v>
      </c>
      <c r="B3025" s="418">
        <v>0.91447916666666673</v>
      </c>
      <c r="C3025" s="421" t="s">
        <v>1346</v>
      </c>
    </row>
    <row r="3026" spans="1:3" x14ac:dyDescent="0.25">
      <c r="A3026" s="417">
        <v>41542</v>
      </c>
      <c r="B3026" s="418">
        <v>0.91447916666666673</v>
      </c>
      <c r="C3026" s="421" t="s">
        <v>1347</v>
      </c>
    </row>
    <row r="3027" spans="1:3" x14ac:dyDescent="0.25">
      <c r="A3027" s="417">
        <v>41542</v>
      </c>
      <c r="B3027" s="418">
        <v>0.91447916666666673</v>
      </c>
      <c r="C3027" s="421" t="s">
        <v>1348</v>
      </c>
    </row>
    <row r="3028" spans="1:3" x14ac:dyDescent="0.25">
      <c r="A3028" s="417">
        <v>41542</v>
      </c>
      <c r="B3028" s="418">
        <v>0.91447916666666673</v>
      </c>
      <c r="C3028" s="421" t="s">
        <v>1349</v>
      </c>
    </row>
    <row r="3029" spans="1:3" x14ac:dyDescent="0.25">
      <c r="A3029" s="417">
        <v>41542</v>
      </c>
      <c r="B3029" s="418">
        <v>0.91447916666666673</v>
      </c>
      <c r="C3029" s="421" t="s">
        <v>1349</v>
      </c>
    </row>
    <row r="3030" spans="1:3" x14ac:dyDescent="0.25">
      <c r="A3030" s="417">
        <v>41542</v>
      </c>
      <c r="B3030" s="418">
        <v>0.91447916666666673</v>
      </c>
      <c r="C3030" s="421" t="s">
        <v>1348</v>
      </c>
    </row>
    <row r="3031" spans="1:3" x14ac:dyDescent="0.25">
      <c r="A3031" s="417">
        <v>41542</v>
      </c>
      <c r="B3031" s="418">
        <v>0.91447916666666673</v>
      </c>
      <c r="C3031" s="421" t="s">
        <v>1350</v>
      </c>
    </row>
    <row r="3032" spans="1:3" x14ac:dyDescent="0.25">
      <c r="A3032" s="417">
        <v>41542</v>
      </c>
      <c r="B3032" s="418">
        <v>0.91447916666666673</v>
      </c>
      <c r="C3032" s="421" t="s">
        <v>1351</v>
      </c>
    </row>
    <row r="3033" spans="1:3" x14ac:dyDescent="0.25">
      <c r="A3033" s="417">
        <v>41542</v>
      </c>
      <c r="B3033" s="418">
        <v>0.91447916666666673</v>
      </c>
      <c r="C3033" s="421" t="s">
        <v>1352</v>
      </c>
    </row>
    <row r="3034" spans="1:3" x14ac:dyDescent="0.25">
      <c r="A3034" s="417">
        <v>41542</v>
      </c>
      <c r="B3034" s="418">
        <v>0.91447916666666673</v>
      </c>
      <c r="C3034" s="421" t="s">
        <v>1287</v>
      </c>
    </row>
    <row r="3035" spans="1:3" ht="60" x14ac:dyDescent="0.25">
      <c r="A3035" s="417">
        <v>41542</v>
      </c>
      <c r="B3035" s="418">
        <v>0.91447916666666673</v>
      </c>
      <c r="C3035" s="946" t="s">
        <v>1288</v>
      </c>
    </row>
    <row r="3036" spans="1:3" x14ac:dyDescent="0.25">
      <c r="A3036" s="417">
        <v>41542</v>
      </c>
      <c r="B3036" s="418">
        <v>0.91450231481481481</v>
      </c>
      <c r="C3036" s="421" t="s">
        <v>1353</v>
      </c>
    </row>
    <row r="3037" spans="1:3" x14ac:dyDescent="0.25">
      <c r="A3037" s="417">
        <v>41542</v>
      </c>
      <c r="B3037" s="418">
        <v>0.91450231481481481</v>
      </c>
      <c r="C3037" s="421" t="s">
        <v>1354</v>
      </c>
    </row>
    <row r="3038" spans="1:3" x14ac:dyDescent="0.25">
      <c r="A3038" s="417">
        <v>41542</v>
      </c>
      <c r="B3038" s="418">
        <v>0.91450231481481481</v>
      </c>
      <c r="C3038" s="421" t="s">
        <v>1355</v>
      </c>
    </row>
    <row r="3039" spans="1:3" x14ac:dyDescent="0.25">
      <c r="A3039" s="417">
        <v>41542</v>
      </c>
      <c r="B3039" s="418">
        <v>0.91450231481481481</v>
      </c>
      <c r="C3039" s="421" t="s">
        <v>1357</v>
      </c>
    </row>
    <row r="3040" spans="1:3" x14ac:dyDescent="0.25">
      <c r="A3040" s="417">
        <v>41542</v>
      </c>
      <c r="B3040" s="418">
        <v>0.91450231481481481</v>
      </c>
      <c r="C3040" s="421" t="s">
        <v>1358</v>
      </c>
    </row>
    <row r="3041" spans="1:3" x14ac:dyDescent="0.25">
      <c r="A3041" s="417">
        <v>41542</v>
      </c>
      <c r="B3041" s="418">
        <v>0.91450231481481481</v>
      </c>
      <c r="C3041" s="421" t="s">
        <v>1359</v>
      </c>
    </row>
    <row r="3042" spans="1:3" x14ac:dyDescent="0.25">
      <c r="A3042" s="417">
        <v>41542</v>
      </c>
      <c r="B3042" s="418">
        <v>0.91450231481481481</v>
      </c>
      <c r="C3042" s="421" t="s">
        <v>1360</v>
      </c>
    </row>
    <row r="3043" spans="1:3" x14ac:dyDescent="0.25">
      <c r="A3043" s="417">
        <v>41542</v>
      </c>
      <c r="B3043" s="418">
        <v>0.91450231481481481</v>
      </c>
      <c r="C3043" s="421" t="s">
        <v>1361</v>
      </c>
    </row>
    <row r="3044" spans="1:3" x14ac:dyDescent="0.25">
      <c r="A3044" s="417">
        <v>41542</v>
      </c>
      <c r="B3044" s="418">
        <v>0.91450231481481481</v>
      </c>
      <c r="C3044" s="421" t="s">
        <v>1317</v>
      </c>
    </row>
    <row r="3045" spans="1:3" x14ac:dyDescent="0.25">
      <c r="A3045" s="417">
        <v>41542</v>
      </c>
      <c r="B3045" s="418">
        <v>0.91450231481481481</v>
      </c>
      <c r="C3045" s="421" t="s">
        <v>1537</v>
      </c>
    </row>
    <row r="3046" spans="1:3" x14ac:dyDescent="0.25">
      <c r="A3046" s="417">
        <v>41542</v>
      </c>
      <c r="B3046" s="418">
        <v>0.91450231481481481</v>
      </c>
      <c r="C3046" s="421" t="s">
        <v>1362</v>
      </c>
    </row>
    <row r="3047" spans="1:3" x14ac:dyDescent="0.25">
      <c r="A3047" s="417">
        <v>41542</v>
      </c>
      <c r="B3047" s="418">
        <v>0.91450231481481481</v>
      </c>
      <c r="C3047" s="421" t="s">
        <v>1355</v>
      </c>
    </row>
    <row r="3048" spans="1:3" x14ac:dyDescent="0.25">
      <c r="A3048" s="417">
        <v>41542</v>
      </c>
      <c r="B3048" s="418">
        <v>0.91450231481481481</v>
      </c>
      <c r="C3048" s="421" t="s">
        <v>1363</v>
      </c>
    </row>
    <row r="3049" spans="1:3" x14ac:dyDescent="0.25">
      <c r="A3049" s="417">
        <v>41542</v>
      </c>
      <c r="B3049" s="418">
        <v>0.91450231481481481</v>
      </c>
      <c r="C3049" s="421" t="s">
        <v>1364</v>
      </c>
    </row>
    <row r="3050" spans="1:3" x14ac:dyDescent="0.25">
      <c r="A3050" s="417">
        <v>41542</v>
      </c>
      <c r="B3050" s="418">
        <v>0.91450231481481481</v>
      </c>
      <c r="C3050" s="421" t="s">
        <v>1365</v>
      </c>
    </row>
    <row r="3051" spans="1:3" x14ac:dyDescent="0.25">
      <c r="A3051" s="417">
        <v>41542</v>
      </c>
      <c r="B3051" s="418">
        <v>0.91450231481481481</v>
      </c>
      <c r="C3051" s="421" t="s">
        <v>1365</v>
      </c>
    </row>
    <row r="3052" spans="1:3" x14ac:dyDescent="0.25">
      <c r="A3052" s="417">
        <v>41542</v>
      </c>
      <c r="B3052" s="418">
        <v>0.91450231481481481</v>
      </c>
      <c r="C3052" s="421" t="s">
        <v>1366</v>
      </c>
    </row>
    <row r="3053" spans="1:3" x14ac:dyDescent="0.25">
      <c r="A3053" s="417">
        <v>41542</v>
      </c>
      <c r="B3053" s="418">
        <v>0.91450231481481481</v>
      </c>
      <c r="C3053" s="421" t="s">
        <v>1320</v>
      </c>
    </row>
    <row r="3054" spans="1:3" x14ac:dyDescent="0.25">
      <c r="A3054" s="417">
        <v>41542</v>
      </c>
      <c r="B3054" s="418">
        <v>0.91450231481481481</v>
      </c>
      <c r="C3054" s="421" t="s">
        <v>1367</v>
      </c>
    </row>
    <row r="3055" spans="1:3" x14ac:dyDescent="0.25">
      <c r="A3055" s="417">
        <v>41542</v>
      </c>
      <c r="B3055" s="418">
        <v>0.91450231481481481</v>
      </c>
      <c r="C3055" s="421" t="s">
        <v>1344</v>
      </c>
    </row>
    <row r="3056" spans="1:3" x14ac:dyDescent="0.25">
      <c r="A3056" s="417">
        <v>41542</v>
      </c>
      <c r="B3056" s="418">
        <v>0.91450231481481481</v>
      </c>
      <c r="C3056" s="421" t="s">
        <v>1368</v>
      </c>
    </row>
    <row r="3057" spans="1:3" x14ac:dyDescent="0.25">
      <c r="A3057" s="417">
        <v>41542</v>
      </c>
      <c r="B3057" s="418">
        <v>0.91450231481481481</v>
      </c>
      <c r="C3057" s="421" t="s">
        <v>1369</v>
      </c>
    </row>
    <row r="3058" spans="1:3" x14ac:dyDescent="0.25">
      <c r="A3058" s="417">
        <v>41542</v>
      </c>
      <c r="B3058" s="418">
        <v>0.91450231481481481</v>
      </c>
      <c r="C3058" s="421" t="s">
        <v>1307</v>
      </c>
    </row>
    <row r="3059" spans="1:3" x14ac:dyDescent="0.25">
      <c r="A3059" s="417">
        <v>41542</v>
      </c>
      <c r="B3059" s="418">
        <v>0.91450231481481481</v>
      </c>
      <c r="C3059" s="421" t="s">
        <v>1370</v>
      </c>
    </row>
    <row r="3060" spans="1:3" x14ac:dyDescent="0.25">
      <c r="A3060" s="417">
        <v>41542</v>
      </c>
      <c r="B3060" s="418">
        <v>0.91450231481481481</v>
      </c>
      <c r="C3060" s="421" t="s">
        <v>1371</v>
      </c>
    </row>
    <row r="3061" spans="1:3" x14ac:dyDescent="0.25">
      <c r="A3061" s="417">
        <v>41542</v>
      </c>
      <c r="B3061" s="418">
        <v>0.91450231481481481</v>
      </c>
      <c r="C3061" s="421" t="s">
        <v>1344</v>
      </c>
    </row>
    <row r="3062" spans="1:3" x14ac:dyDescent="0.25">
      <c r="A3062" s="417">
        <v>41542</v>
      </c>
      <c r="B3062" s="418">
        <v>0.91450231481481481</v>
      </c>
      <c r="C3062" s="421" t="s">
        <v>1317</v>
      </c>
    </row>
    <row r="3063" spans="1:3" x14ac:dyDescent="0.25">
      <c r="A3063" s="417">
        <v>41542</v>
      </c>
      <c r="B3063" s="418">
        <v>0.91450231481481481</v>
      </c>
      <c r="C3063" s="421" t="s">
        <v>1463</v>
      </c>
    </row>
    <row r="3064" spans="1:3" x14ac:dyDescent="0.25">
      <c r="A3064" s="417">
        <v>41542</v>
      </c>
      <c r="B3064" s="418">
        <v>0.91450231481481481</v>
      </c>
      <c r="C3064" s="421" t="s">
        <v>1378</v>
      </c>
    </row>
    <row r="3065" spans="1:3" ht="60" x14ac:dyDescent="0.25">
      <c r="A3065" s="417">
        <v>41542</v>
      </c>
      <c r="B3065" s="418">
        <v>0.91450231481481481</v>
      </c>
      <c r="C3065" s="946" t="s">
        <v>1619</v>
      </c>
    </row>
    <row r="3066" spans="1:3" x14ac:dyDescent="0.25">
      <c r="A3066" s="417">
        <v>41542</v>
      </c>
      <c r="B3066" s="418">
        <v>0.91451388888888896</v>
      </c>
      <c r="C3066" s="421" t="s">
        <v>1373</v>
      </c>
    </row>
    <row r="3067" spans="1:3" x14ac:dyDescent="0.25">
      <c r="A3067" s="417">
        <v>41542</v>
      </c>
      <c r="B3067" s="418">
        <v>0.91451388888888896</v>
      </c>
      <c r="C3067" s="421" t="s">
        <v>1308</v>
      </c>
    </row>
    <row r="3068" spans="1:3" x14ac:dyDescent="0.25">
      <c r="A3068" s="417">
        <v>41542</v>
      </c>
      <c r="B3068" s="418">
        <v>0.91451388888888896</v>
      </c>
      <c r="C3068" s="421" t="s">
        <v>1374</v>
      </c>
    </row>
    <row r="3069" spans="1:3" x14ac:dyDescent="0.25">
      <c r="A3069" s="417">
        <v>41542</v>
      </c>
      <c r="B3069" s="418">
        <v>0.91451388888888896</v>
      </c>
      <c r="C3069" s="421" t="s">
        <v>1375</v>
      </c>
    </row>
    <row r="3070" spans="1:3" x14ac:dyDescent="0.25">
      <c r="A3070" s="417">
        <v>41542</v>
      </c>
      <c r="B3070" s="418">
        <v>0.91451388888888896</v>
      </c>
      <c r="C3070" s="421" t="s">
        <v>1376</v>
      </c>
    </row>
    <row r="3071" spans="1:3" x14ac:dyDescent="0.25">
      <c r="A3071" s="417">
        <v>41542</v>
      </c>
      <c r="B3071" s="418">
        <v>0.91451388888888896</v>
      </c>
      <c r="C3071" s="421" t="s">
        <v>1377</v>
      </c>
    </row>
    <row r="3072" spans="1:3" x14ac:dyDescent="0.25">
      <c r="A3072" s="417">
        <v>41542</v>
      </c>
      <c r="B3072" s="418">
        <v>0.91451388888888896</v>
      </c>
      <c r="C3072" s="421" t="s">
        <v>1326</v>
      </c>
    </row>
    <row r="3073" spans="1:3" x14ac:dyDescent="0.25">
      <c r="A3073" s="417">
        <v>41542</v>
      </c>
      <c r="B3073" s="418">
        <v>0.91451388888888896</v>
      </c>
      <c r="C3073" s="421" t="s">
        <v>1378</v>
      </c>
    </row>
    <row r="3074" spans="1:3" ht="60" x14ac:dyDescent="0.25">
      <c r="A3074" s="417">
        <v>41542</v>
      </c>
      <c r="B3074" s="418">
        <v>0.91451388888888896</v>
      </c>
      <c r="C3074" s="946" t="s">
        <v>1620</v>
      </c>
    </row>
    <row r="3075" spans="1:3" x14ac:dyDescent="0.25">
      <c r="A3075" s="417">
        <v>41542</v>
      </c>
      <c r="B3075" s="418">
        <v>0.914525462962963</v>
      </c>
      <c r="C3075" s="421" t="s">
        <v>1380</v>
      </c>
    </row>
    <row r="3076" spans="1:3" x14ac:dyDescent="0.25">
      <c r="A3076" s="417">
        <v>41542</v>
      </c>
      <c r="B3076" s="418">
        <v>0.914525462962963</v>
      </c>
      <c r="C3076" s="421" t="s">
        <v>1381</v>
      </c>
    </row>
    <row r="3077" spans="1:3" x14ac:dyDescent="0.25">
      <c r="A3077" s="417">
        <v>41542</v>
      </c>
      <c r="B3077" s="418">
        <v>0.914525462962963</v>
      </c>
      <c r="C3077" s="421" t="s">
        <v>1382</v>
      </c>
    </row>
    <row r="3078" spans="1:3" x14ac:dyDescent="0.25">
      <c r="A3078" s="417">
        <v>41542</v>
      </c>
      <c r="B3078" s="418">
        <v>0.914525462962963</v>
      </c>
      <c r="C3078" s="421" t="s">
        <v>1383</v>
      </c>
    </row>
    <row r="3079" spans="1:3" x14ac:dyDescent="0.25">
      <c r="A3079" s="417">
        <v>41542</v>
      </c>
      <c r="B3079" s="418">
        <v>0.914525462962963</v>
      </c>
      <c r="C3079" s="421" t="s">
        <v>1352</v>
      </c>
    </row>
    <row r="3080" spans="1:3" x14ac:dyDescent="0.25">
      <c r="A3080" s="417">
        <v>41542</v>
      </c>
      <c r="B3080" s="418">
        <v>0.914525462962963</v>
      </c>
      <c r="C3080" s="421" t="s">
        <v>1384</v>
      </c>
    </row>
    <row r="3081" spans="1:3" x14ac:dyDescent="0.25">
      <c r="A3081" s="417">
        <v>41542</v>
      </c>
      <c r="B3081" s="418">
        <v>0.914525462962963</v>
      </c>
      <c r="C3081" s="421" t="s">
        <v>1385</v>
      </c>
    </row>
    <row r="3082" spans="1:3" x14ac:dyDescent="0.25">
      <c r="A3082" s="417">
        <v>41542</v>
      </c>
      <c r="B3082" s="418">
        <v>0.914525462962963</v>
      </c>
      <c r="C3082" s="421" t="s">
        <v>1385</v>
      </c>
    </row>
    <row r="3083" spans="1:3" x14ac:dyDescent="0.25">
      <c r="A3083" s="417">
        <v>41542</v>
      </c>
      <c r="B3083" s="418">
        <v>0.914525462962963</v>
      </c>
      <c r="C3083" s="421" t="s">
        <v>1386</v>
      </c>
    </row>
    <row r="3084" spans="1:3" x14ac:dyDescent="0.25">
      <c r="A3084" s="417">
        <v>41542</v>
      </c>
      <c r="B3084" s="418">
        <v>0.914525462962963</v>
      </c>
      <c r="C3084" s="421" t="s">
        <v>1387</v>
      </c>
    </row>
    <row r="3085" spans="1:3" x14ac:dyDescent="0.25">
      <c r="A3085" s="417">
        <v>41542</v>
      </c>
      <c r="B3085" s="418">
        <v>0.914525462962963</v>
      </c>
      <c r="C3085" s="421" t="s">
        <v>1387</v>
      </c>
    </row>
    <row r="3086" spans="1:3" x14ac:dyDescent="0.25">
      <c r="A3086" s="417">
        <v>41542</v>
      </c>
      <c r="B3086" s="418">
        <v>0.914525462962963</v>
      </c>
      <c r="C3086" s="421" t="s">
        <v>1318</v>
      </c>
    </row>
    <row r="3087" spans="1:3" x14ac:dyDescent="0.25">
      <c r="A3087" s="417">
        <v>41542</v>
      </c>
      <c r="B3087" s="418">
        <v>0.914525462962963</v>
      </c>
      <c r="C3087" s="421" t="s">
        <v>1388</v>
      </c>
    </row>
    <row r="3088" spans="1:3" x14ac:dyDescent="0.25">
      <c r="A3088" s="417">
        <v>41542</v>
      </c>
      <c r="B3088" s="418">
        <v>0.914525462962963</v>
      </c>
      <c r="C3088" s="421" t="s">
        <v>1390</v>
      </c>
    </row>
    <row r="3089" spans="1:3" x14ac:dyDescent="0.25">
      <c r="A3089" s="417">
        <v>41542</v>
      </c>
      <c r="B3089" s="418">
        <v>0.914525462962963</v>
      </c>
      <c r="C3089" s="421" t="s">
        <v>1391</v>
      </c>
    </row>
    <row r="3090" spans="1:3" x14ac:dyDescent="0.25">
      <c r="A3090" s="417">
        <v>41542</v>
      </c>
      <c r="B3090" s="418">
        <v>0.914525462962963</v>
      </c>
      <c r="C3090" s="421" t="s">
        <v>1392</v>
      </c>
    </row>
    <row r="3091" spans="1:3" x14ac:dyDescent="0.25">
      <c r="A3091" s="417">
        <v>41542</v>
      </c>
      <c r="B3091" s="418">
        <v>0.914525462962963</v>
      </c>
      <c r="C3091" s="421" t="s">
        <v>1294</v>
      </c>
    </row>
    <row r="3092" spans="1:3" ht="60" x14ac:dyDescent="0.25">
      <c r="A3092" s="417">
        <v>41542</v>
      </c>
      <c r="B3092" s="418">
        <v>0.914525462962963</v>
      </c>
      <c r="C3092" s="946" t="s">
        <v>1295</v>
      </c>
    </row>
    <row r="3093" spans="1:3" x14ac:dyDescent="0.25">
      <c r="A3093" s="417">
        <v>41542</v>
      </c>
      <c r="B3093" s="418">
        <v>0.91453703703703704</v>
      </c>
      <c r="C3093" s="421" t="s">
        <v>1393</v>
      </c>
    </row>
    <row r="3094" spans="1:3" x14ac:dyDescent="0.25">
      <c r="A3094" s="417">
        <v>41542</v>
      </c>
      <c r="B3094" s="418">
        <v>0.91453703703703704</v>
      </c>
      <c r="C3094" s="421" t="s">
        <v>1394</v>
      </c>
    </row>
    <row r="3095" spans="1:3" x14ac:dyDescent="0.25">
      <c r="A3095" s="417">
        <v>41542</v>
      </c>
      <c r="B3095" s="418">
        <v>0.91453703703703704</v>
      </c>
      <c r="C3095" s="421" t="s">
        <v>1392</v>
      </c>
    </row>
    <row r="3096" spans="1:3" x14ac:dyDescent="0.25">
      <c r="A3096" s="417">
        <v>41542</v>
      </c>
      <c r="B3096" s="418">
        <v>0.91453703703703704</v>
      </c>
      <c r="C3096" s="421" t="s">
        <v>1395</v>
      </c>
    </row>
    <row r="3097" spans="1:3" x14ac:dyDescent="0.25">
      <c r="A3097" s="417">
        <v>41542</v>
      </c>
      <c r="B3097" s="418">
        <v>0.91453703703703704</v>
      </c>
      <c r="C3097" s="421" t="s">
        <v>1396</v>
      </c>
    </row>
    <row r="3098" spans="1:3" x14ac:dyDescent="0.25">
      <c r="A3098" s="417">
        <v>41542</v>
      </c>
      <c r="B3098" s="418">
        <v>0.91453703703703704</v>
      </c>
      <c r="C3098" s="421" t="s">
        <v>1363</v>
      </c>
    </row>
    <row r="3099" spans="1:3" x14ac:dyDescent="0.25">
      <c r="A3099" s="417">
        <v>41542</v>
      </c>
      <c r="B3099" s="418">
        <v>0.91453703703703704</v>
      </c>
      <c r="C3099" s="421" t="s">
        <v>1362</v>
      </c>
    </row>
    <row r="3100" spans="1:3" x14ac:dyDescent="0.25">
      <c r="A3100" s="417">
        <v>41542</v>
      </c>
      <c r="B3100" s="418">
        <v>0.91453703703703704</v>
      </c>
      <c r="C3100" s="421" t="s">
        <v>1397</v>
      </c>
    </row>
    <row r="3101" spans="1:3" x14ac:dyDescent="0.25">
      <c r="A3101" s="417">
        <v>41542</v>
      </c>
      <c r="B3101" s="418">
        <v>0.91453703703703704</v>
      </c>
      <c r="C3101" s="421" t="s">
        <v>1381</v>
      </c>
    </row>
    <row r="3102" spans="1:3" x14ac:dyDescent="0.25">
      <c r="A3102" s="417">
        <v>41542</v>
      </c>
      <c r="B3102" s="418">
        <v>0.91453703703703704</v>
      </c>
      <c r="C3102" s="421" t="s">
        <v>1398</v>
      </c>
    </row>
    <row r="3103" spans="1:3" x14ac:dyDescent="0.25">
      <c r="A3103" s="417">
        <v>41542</v>
      </c>
      <c r="B3103" s="418">
        <v>0.91453703703703704</v>
      </c>
      <c r="C3103" s="421" t="s">
        <v>1399</v>
      </c>
    </row>
    <row r="3104" spans="1:3" x14ac:dyDescent="0.25">
      <c r="A3104" s="417">
        <v>41542</v>
      </c>
      <c r="B3104" s="418">
        <v>0.91453703703703704</v>
      </c>
      <c r="C3104" s="421" t="s">
        <v>1400</v>
      </c>
    </row>
    <row r="3105" spans="1:3" x14ac:dyDescent="0.25">
      <c r="A3105" s="417">
        <v>41542</v>
      </c>
      <c r="B3105" s="418">
        <v>0.91453703703703704</v>
      </c>
      <c r="C3105" s="421" t="s">
        <v>1400</v>
      </c>
    </row>
    <row r="3106" spans="1:3" x14ac:dyDescent="0.25">
      <c r="A3106" s="417">
        <v>41542</v>
      </c>
      <c r="B3106" s="418">
        <v>0.91453703703703704</v>
      </c>
      <c r="C3106" s="421" t="s">
        <v>1373</v>
      </c>
    </row>
    <row r="3107" spans="1:3" x14ac:dyDescent="0.25">
      <c r="A3107" s="417">
        <v>41542</v>
      </c>
      <c r="B3107" s="418">
        <v>0.91453703703703704</v>
      </c>
      <c r="C3107" s="421" t="s">
        <v>1353</v>
      </c>
    </row>
    <row r="3108" spans="1:3" x14ac:dyDescent="0.25">
      <c r="A3108" s="417">
        <v>41542</v>
      </c>
      <c r="B3108" s="418">
        <v>0.91453703703703704</v>
      </c>
      <c r="C3108" s="421" t="s">
        <v>1353</v>
      </c>
    </row>
    <row r="3109" spans="1:3" x14ac:dyDescent="0.25">
      <c r="A3109" s="417">
        <v>41542</v>
      </c>
      <c r="B3109" s="418">
        <v>0.91453703703703704</v>
      </c>
      <c r="C3109" s="421" t="s">
        <v>1401</v>
      </c>
    </row>
    <row r="3110" spans="1:3" x14ac:dyDescent="0.25">
      <c r="A3110" s="417">
        <v>41542</v>
      </c>
      <c r="B3110" s="418">
        <v>0.91453703703703704</v>
      </c>
      <c r="C3110" s="421" t="s">
        <v>1392</v>
      </c>
    </row>
    <row r="3111" spans="1:3" x14ac:dyDescent="0.25">
      <c r="A3111" s="417">
        <v>41542</v>
      </c>
      <c r="B3111" s="418">
        <v>0.91453703703703704</v>
      </c>
      <c r="C3111" s="421" t="s">
        <v>1403</v>
      </c>
    </row>
    <row r="3112" spans="1:3" x14ac:dyDescent="0.25">
      <c r="A3112" s="417">
        <v>41542</v>
      </c>
      <c r="B3112" s="418">
        <v>0.91453703703703704</v>
      </c>
      <c r="C3112" s="421" t="s">
        <v>1403</v>
      </c>
    </row>
    <row r="3113" spans="1:3" x14ac:dyDescent="0.25">
      <c r="A3113" s="417">
        <v>41542</v>
      </c>
      <c r="B3113" s="418">
        <v>0.91453703703703704</v>
      </c>
      <c r="C3113" s="421" t="s">
        <v>1403</v>
      </c>
    </row>
    <row r="3114" spans="1:3" x14ac:dyDescent="0.25">
      <c r="A3114" s="417">
        <v>41542</v>
      </c>
      <c r="B3114" s="418">
        <v>0.91453703703703704</v>
      </c>
      <c r="C3114" s="421" t="s">
        <v>1362</v>
      </c>
    </row>
    <row r="3115" spans="1:3" x14ac:dyDescent="0.25">
      <c r="A3115" s="417">
        <v>41542</v>
      </c>
      <c r="B3115" s="418">
        <v>0.91453703703703704</v>
      </c>
      <c r="C3115" s="421" t="s">
        <v>1364</v>
      </c>
    </row>
    <row r="3116" spans="1:3" x14ac:dyDescent="0.25">
      <c r="A3116" s="417">
        <v>41542</v>
      </c>
      <c r="B3116" s="418">
        <v>0.91453703703703704</v>
      </c>
      <c r="C3116" s="421" t="s">
        <v>1364</v>
      </c>
    </row>
    <row r="3117" spans="1:3" x14ac:dyDescent="0.25">
      <c r="A3117" s="417">
        <v>41542</v>
      </c>
      <c r="B3117" s="418">
        <v>0.91453703703703704</v>
      </c>
      <c r="C3117" s="421" t="s">
        <v>1381</v>
      </c>
    </row>
    <row r="3118" spans="1:3" x14ac:dyDescent="0.25">
      <c r="A3118" s="417">
        <v>41542</v>
      </c>
      <c r="B3118" s="418">
        <v>0.91453703703703704</v>
      </c>
      <c r="C3118" s="421" t="s">
        <v>1364</v>
      </c>
    </row>
    <row r="3119" spans="1:3" x14ac:dyDescent="0.25">
      <c r="A3119" s="417">
        <v>41542</v>
      </c>
      <c r="B3119" s="418">
        <v>0.91453703703703704</v>
      </c>
      <c r="C3119" s="421" t="s">
        <v>1480</v>
      </c>
    </row>
    <row r="3120" spans="1:3" x14ac:dyDescent="0.25">
      <c r="A3120" s="417">
        <v>41542</v>
      </c>
      <c r="B3120" s="418">
        <v>0.91453703703703704</v>
      </c>
      <c r="C3120" s="421" t="s">
        <v>1480</v>
      </c>
    </row>
    <row r="3121" spans="1:3" x14ac:dyDescent="0.25">
      <c r="A3121" s="417">
        <v>41542</v>
      </c>
      <c r="B3121" s="418">
        <v>0.91453703703703704</v>
      </c>
      <c r="C3121" s="421" t="s">
        <v>1480</v>
      </c>
    </row>
    <row r="3122" spans="1:3" x14ac:dyDescent="0.25">
      <c r="A3122" s="417">
        <v>41542</v>
      </c>
      <c r="B3122" s="418">
        <v>0.91453703703703704</v>
      </c>
      <c r="C3122" s="421" t="s">
        <v>1621</v>
      </c>
    </row>
    <row r="3123" spans="1:3" x14ac:dyDescent="0.25">
      <c r="A3123" s="417">
        <v>41542</v>
      </c>
      <c r="B3123" s="418">
        <v>0.91453703703703704</v>
      </c>
      <c r="C3123" s="421" t="s">
        <v>1541</v>
      </c>
    </row>
    <row r="3124" spans="1:3" x14ac:dyDescent="0.25">
      <c r="A3124" s="417">
        <v>41542</v>
      </c>
      <c r="B3124" s="418">
        <v>0.91453703703703704</v>
      </c>
      <c r="C3124" s="421" t="s">
        <v>1346</v>
      </c>
    </row>
    <row r="3125" spans="1:3" x14ac:dyDescent="0.25">
      <c r="A3125" s="417">
        <v>41542</v>
      </c>
      <c r="B3125" s="418">
        <v>0.91453703703703704</v>
      </c>
      <c r="C3125" s="421" t="s">
        <v>1405</v>
      </c>
    </row>
    <row r="3126" spans="1:3" x14ac:dyDescent="0.25">
      <c r="A3126" s="417">
        <v>41542</v>
      </c>
      <c r="B3126" s="418">
        <v>0.91453703703703704</v>
      </c>
      <c r="C3126" s="421" t="s">
        <v>1406</v>
      </c>
    </row>
    <row r="3127" spans="1:3" x14ac:dyDescent="0.25">
      <c r="A3127" s="417">
        <v>41542</v>
      </c>
      <c r="B3127" s="418">
        <v>0.91453703703703704</v>
      </c>
      <c r="C3127" s="421" t="s">
        <v>1362</v>
      </c>
    </row>
    <row r="3128" spans="1:3" x14ac:dyDescent="0.25">
      <c r="A3128" s="417">
        <v>41542</v>
      </c>
      <c r="B3128" s="418">
        <v>0.91453703703703704</v>
      </c>
      <c r="C3128" s="421" t="s">
        <v>1622</v>
      </c>
    </row>
    <row r="3129" spans="1:3" x14ac:dyDescent="0.25">
      <c r="A3129" s="417">
        <v>41542</v>
      </c>
      <c r="B3129" s="418">
        <v>0.91454861111111108</v>
      </c>
      <c r="C3129" s="421" t="s">
        <v>1318</v>
      </c>
    </row>
    <row r="3130" spans="1:3" x14ac:dyDescent="0.25">
      <c r="A3130" s="417">
        <v>41542</v>
      </c>
      <c r="B3130" s="418">
        <v>0.91454861111111108</v>
      </c>
      <c r="C3130" s="421" t="s">
        <v>1368</v>
      </c>
    </row>
    <row r="3131" spans="1:3" x14ac:dyDescent="0.25">
      <c r="A3131" s="417">
        <v>41542</v>
      </c>
      <c r="B3131" s="418">
        <v>0.91454861111111108</v>
      </c>
      <c r="C3131" s="421" t="s">
        <v>1368</v>
      </c>
    </row>
    <row r="3132" spans="1:3" x14ac:dyDescent="0.25">
      <c r="A3132" s="417">
        <v>41542</v>
      </c>
      <c r="B3132" s="418">
        <v>0.91454861111111108</v>
      </c>
      <c r="C3132" s="421" t="s">
        <v>1368</v>
      </c>
    </row>
    <row r="3133" spans="1:3" x14ac:dyDescent="0.25">
      <c r="A3133" s="417">
        <v>41542</v>
      </c>
      <c r="B3133" s="418">
        <v>0.91454861111111108</v>
      </c>
      <c r="C3133" s="421" t="s">
        <v>1368</v>
      </c>
    </row>
    <row r="3134" spans="1:3" x14ac:dyDescent="0.25">
      <c r="A3134" s="417">
        <v>41542</v>
      </c>
      <c r="B3134" s="418">
        <v>0.91454861111111108</v>
      </c>
      <c r="C3134" s="421" t="s">
        <v>1368</v>
      </c>
    </row>
    <row r="3135" spans="1:3" x14ac:dyDescent="0.25">
      <c r="A3135" s="417">
        <v>41542</v>
      </c>
      <c r="B3135" s="418">
        <v>0.91454861111111108</v>
      </c>
      <c r="C3135" s="421" t="s">
        <v>1409</v>
      </c>
    </row>
    <row r="3136" spans="1:3" x14ac:dyDescent="0.25">
      <c r="A3136" s="417">
        <v>41542</v>
      </c>
      <c r="B3136" s="418">
        <v>0.91454861111111108</v>
      </c>
      <c r="C3136" s="421" t="s">
        <v>1308</v>
      </c>
    </row>
    <row r="3137" spans="1:3" x14ac:dyDescent="0.25">
      <c r="A3137" s="417">
        <v>41542</v>
      </c>
      <c r="B3137" s="418">
        <v>0.91454861111111108</v>
      </c>
      <c r="C3137" s="421" t="s">
        <v>1410</v>
      </c>
    </row>
    <row r="3138" spans="1:3" x14ac:dyDescent="0.25">
      <c r="A3138" s="417">
        <v>41542</v>
      </c>
      <c r="B3138" s="418">
        <v>0.91454861111111108</v>
      </c>
      <c r="C3138" s="421" t="s">
        <v>1410</v>
      </c>
    </row>
    <row r="3139" spans="1:3" x14ac:dyDescent="0.25">
      <c r="A3139" s="417">
        <v>41542</v>
      </c>
      <c r="B3139" s="418">
        <v>0.91454861111111108</v>
      </c>
      <c r="C3139" s="421" t="s">
        <v>1411</v>
      </c>
    </row>
    <row r="3140" spans="1:3" x14ac:dyDescent="0.25">
      <c r="A3140" s="417">
        <v>41542</v>
      </c>
      <c r="B3140" s="418">
        <v>0.91454861111111108</v>
      </c>
      <c r="C3140" s="421" t="s">
        <v>1623</v>
      </c>
    </row>
    <row r="3141" spans="1:3" x14ac:dyDescent="0.25">
      <c r="A3141" s="417">
        <v>41542</v>
      </c>
      <c r="B3141" s="418">
        <v>0.91454861111111108</v>
      </c>
      <c r="C3141" s="421" t="s">
        <v>1413</v>
      </c>
    </row>
    <row r="3142" spans="1:3" x14ac:dyDescent="0.25">
      <c r="A3142" s="417">
        <v>41542</v>
      </c>
      <c r="B3142" s="418">
        <v>0.91454861111111108</v>
      </c>
      <c r="C3142" s="421" t="s">
        <v>1414</v>
      </c>
    </row>
    <row r="3143" spans="1:3" x14ac:dyDescent="0.25">
      <c r="A3143" s="417">
        <v>41542</v>
      </c>
      <c r="B3143" s="418">
        <v>0.91454861111111108</v>
      </c>
      <c r="C3143" s="421" t="s">
        <v>1373</v>
      </c>
    </row>
    <row r="3144" spans="1:3" x14ac:dyDescent="0.25">
      <c r="A3144" s="417">
        <v>41542</v>
      </c>
      <c r="B3144" s="418">
        <v>0.91454861111111108</v>
      </c>
      <c r="C3144" s="421" t="s">
        <v>1624</v>
      </c>
    </row>
    <row r="3145" spans="1:3" x14ac:dyDescent="0.25">
      <c r="A3145" s="417">
        <v>41542</v>
      </c>
      <c r="B3145" s="418">
        <v>0.91456018518518523</v>
      </c>
      <c r="C3145" s="421" t="s">
        <v>1409</v>
      </c>
    </row>
    <row r="3146" spans="1:3" x14ac:dyDescent="0.25">
      <c r="A3146" s="417">
        <v>41542</v>
      </c>
      <c r="B3146" s="418">
        <v>0.91456018518518523</v>
      </c>
      <c r="C3146" s="421" t="s">
        <v>1416</v>
      </c>
    </row>
    <row r="3147" spans="1:3" x14ac:dyDescent="0.25">
      <c r="A3147" s="417">
        <v>41542</v>
      </c>
      <c r="B3147" s="418">
        <v>0.91456018518518523</v>
      </c>
      <c r="C3147" s="421" t="s">
        <v>1625</v>
      </c>
    </row>
    <row r="3148" spans="1:3" x14ac:dyDescent="0.25">
      <c r="A3148" s="417">
        <v>41542</v>
      </c>
      <c r="B3148" s="418">
        <v>0.91456018518518523</v>
      </c>
      <c r="C3148" s="421" t="s">
        <v>1348</v>
      </c>
    </row>
    <row r="3149" spans="1:3" x14ac:dyDescent="0.25">
      <c r="A3149" s="417">
        <v>41542</v>
      </c>
      <c r="B3149" s="418">
        <v>0.91456018518518523</v>
      </c>
      <c r="C3149" s="421" t="s">
        <v>1419</v>
      </c>
    </row>
    <row r="3150" spans="1:3" x14ac:dyDescent="0.25">
      <c r="A3150" s="417">
        <v>41542</v>
      </c>
      <c r="B3150" s="418">
        <v>0.91456018518518523</v>
      </c>
      <c r="C3150" s="421" t="s">
        <v>1419</v>
      </c>
    </row>
    <row r="3151" spans="1:3" x14ac:dyDescent="0.25">
      <c r="A3151" s="417">
        <v>41542</v>
      </c>
      <c r="B3151" s="418">
        <v>0.91456018518518523</v>
      </c>
      <c r="C3151" s="421" t="s">
        <v>1420</v>
      </c>
    </row>
    <row r="3152" spans="1:3" x14ac:dyDescent="0.25">
      <c r="A3152" s="417">
        <v>41542</v>
      </c>
      <c r="B3152" s="418">
        <v>0.91456018518518523</v>
      </c>
      <c r="C3152" s="421" t="s">
        <v>1626</v>
      </c>
    </row>
    <row r="3153" spans="1:3" x14ac:dyDescent="0.25">
      <c r="A3153" s="417">
        <v>41542</v>
      </c>
      <c r="B3153" s="418">
        <v>0.91456018518518523</v>
      </c>
      <c r="C3153" s="421" t="s">
        <v>1485</v>
      </c>
    </row>
    <row r="3154" spans="1:3" x14ac:dyDescent="0.25">
      <c r="A3154" s="417">
        <v>41542</v>
      </c>
      <c r="B3154" s="418">
        <v>0.91456018518518523</v>
      </c>
      <c r="C3154" s="421" t="s">
        <v>1486</v>
      </c>
    </row>
    <row r="3155" spans="1:3" x14ac:dyDescent="0.25">
      <c r="A3155" s="417">
        <v>41542</v>
      </c>
      <c r="B3155" s="418">
        <v>0.91456018518518523</v>
      </c>
      <c r="C3155" s="421" t="s">
        <v>1488</v>
      </c>
    </row>
    <row r="3156" spans="1:3" x14ac:dyDescent="0.25">
      <c r="A3156" s="417">
        <v>41542</v>
      </c>
      <c r="B3156" s="418">
        <v>0.91456018518518523</v>
      </c>
      <c r="C3156" s="421" t="s">
        <v>1489</v>
      </c>
    </row>
    <row r="3157" spans="1:3" x14ac:dyDescent="0.25">
      <c r="A3157" s="417">
        <v>41542</v>
      </c>
      <c r="B3157" s="418">
        <v>0.91456018518518523</v>
      </c>
      <c r="C3157" s="421" t="s">
        <v>1490</v>
      </c>
    </row>
    <row r="3158" spans="1:3" x14ac:dyDescent="0.25">
      <c r="A3158" s="417">
        <v>41542</v>
      </c>
      <c r="B3158" s="418">
        <v>0.91456018518518523</v>
      </c>
      <c r="C3158" s="421" t="s">
        <v>1491</v>
      </c>
    </row>
    <row r="3159" spans="1:3" x14ac:dyDescent="0.25">
      <c r="A3159" s="417">
        <v>41542</v>
      </c>
      <c r="B3159" s="418">
        <v>0.91456018518518523</v>
      </c>
      <c r="C3159" s="421" t="s">
        <v>1492</v>
      </c>
    </row>
    <row r="3160" spans="1:3" x14ac:dyDescent="0.25">
      <c r="A3160" s="417">
        <v>41542</v>
      </c>
      <c r="B3160" s="418">
        <v>0.91456018518518523</v>
      </c>
      <c r="C3160" s="421" t="s">
        <v>1320</v>
      </c>
    </row>
    <row r="3161" spans="1:3" x14ac:dyDescent="0.25">
      <c r="A3161" s="417">
        <v>41542</v>
      </c>
      <c r="B3161" s="418">
        <v>0.91456018518518523</v>
      </c>
      <c r="C3161" s="421" t="s">
        <v>1429</v>
      </c>
    </row>
    <row r="3162" spans="1:3" x14ac:dyDescent="0.25">
      <c r="A3162" s="417">
        <v>41542</v>
      </c>
      <c r="B3162" s="418">
        <v>0.91456018518518523</v>
      </c>
      <c r="C3162" s="421" t="s">
        <v>1430</v>
      </c>
    </row>
    <row r="3163" spans="1:3" x14ac:dyDescent="0.25">
      <c r="A3163" s="417">
        <v>41542</v>
      </c>
      <c r="B3163" s="418">
        <v>0.91456018518518523</v>
      </c>
      <c r="C3163" s="421" t="s">
        <v>1493</v>
      </c>
    </row>
    <row r="3164" spans="1:3" x14ac:dyDescent="0.25">
      <c r="A3164" s="417">
        <v>41542</v>
      </c>
      <c r="B3164" s="418">
        <v>0.91456018518518523</v>
      </c>
      <c r="C3164" s="421" t="s">
        <v>1308</v>
      </c>
    </row>
    <row r="3165" spans="1:3" x14ac:dyDescent="0.25">
      <c r="A3165" s="417">
        <v>41542</v>
      </c>
      <c r="B3165" s="418">
        <v>0.91456018518518523</v>
      </c>
      <c r="C3165" s="421" t="s">
        <v>1360</v>
      </c>
    </row>
    <row r="3166" spans="1:3" x14ac:dyDescent="0.25">
      <c r="A3166" s="417">
        <v>41542</v>
      </c>
      <c r="B3166" s="418">
        <v>0.91456018518518523</v>
      </c>
      <c r="C3166" s="421" t="s">
        <v>1432</v>
      </c>
    </row>
    <row r="3167" spans="1:3" x14ac:dyDescent="0.25">
      <c r="A3167" s="417">
        <v>41542</v>
      </c>
      <c r="B3167" s="418">
        <v>0.91456018518518523</v>
      </c>
      <c r="C3167" s="421" t="s">
        <v>1432</v>
      </c>
    </row>
    <row r="3168" spans="1:3" x14ac:dyDescent="0.25">
      <c r="A3168" s="417">
        <v>41542</v>
      </c>
      <c r="B3168" s="418">
        <v>0.91456018518518523</v>
      </c>
      <c r="C3168" s="421" t="s">
        <v>1432</v>
      </c>
    </row>
    <row r="3169" spans="1:3" x14ac:dyDescent="0.25">
      <c r="A3169" s="417">
        <v>41542</v>
      </c>
      <c r="B3169" s="418">
        <v>0.91456018518518523</v>
      </c>
      <c r="C3169" s="421" t="s">
        <v>1281</v>
      </c>
    </row>
    <row r="3170" spans="1:3" ht="60" x14ac:dyDescent="0.25">
      <c r="A3170" s="417">
        <v>41542</v>
      </c>
      <c r="B3170" s="418">
        <v>0.91456018518518523</v>
      </c>
      <c r="C3170" s="946" t="s">
        <v>1282</v>
      </c>
    </row>
    <row r="3171" spans="1:3" x14ac:dyDescent="0.25">
      <c r="A3171" s="417">
        <v>41542</v>
      </c>
      <c r="B3171" s="418">
        <v>0.9145833333333333</v>
      </c>
      <c r="C3171" s="421" t="s">
        <v>1413</v>
      </c>
    </row>
    <row r="3172" spans="1:3" x14ac:dyDescent="0.25">
      <c r="A3172" s="417">
        <v>41542</v>
      </c>
      <c r="B3172" s="418">
        <v>0.9145833333333333</v>
      </c>
      <c r="C3172" s="421" t="s">
        <v>1494</v>
      </c>
    </row>
    <row r="3173" spans="1:3" x14ac:dyDescent="0.25">
      <c r="A3173" s="417">
        <v>41542</v>
      </c>
      <c r="B3173" s="418">
        <v>0.9145833333333333</v>
      </c>
      <c r="C3173" s="421" t="s">
        <v>1495</v>
      </c>
    </row>
    <row r="3174" spans="1:3" x14ac:dyDescent="0.25">
      <c r="A3174" s="417">
        <v>41542</v>
      </c>
      <c r="B3174" s="418">
        <v>0.9145833333333333</v>
      </c>
      <c r="C3174" s="421" t="s">
        <v>1496</v>
      </c>
    </row>
    <row r="3175" spans="1:3" x14ac:dyDescent="0.25">
      <c r="A3175" s="417">
        <v>41542</v>
      </c>
      <c r="B3175" s="418">
        <v>0.9145833333333333</v>
      </c>
      <c r="C3175" s="421" t="s">
        <v>1497</v>
      </c>
    </row>
    <row r="3176" spans="1:3" x14ac:dyDescent="0.25">
      <c r="A3176" s="417">
        <v>41542</v>
      </c>
      <c r="B3176" s="418">
        <v>0.9145833333333333</v>
      </c>
      <c r="C3176" s="421" t="s">
        <v>1498</v>
      </c>
    </row>
    <row r="3177" spans="1:3" x14ac:dyDescent="0.25">
      <c r="A3177" s="417">
        <v>41542</v>
      </c>
      <c r="B3177" s="418">
        <v>0.9145833333333333</v>
      </c>
      <c r="C3177" s="421" t="s">
        <v>1499</v>
      </c>
    </row>
    <row r="3178" spans="1:3" x14ac:dyDescent="0.25">
      <c r="A3178" s="417">
        <v>41542</v>
      </c>
      <c r="B3178" s="418">
        <v>0.9145833333333333</v>
      </c>
      <c r="C3178" s="421" t="s">
        <v>1500</v>
      </c>
    </row>
    <row r="3179" spans="1:3" x14ac:dyDescent="0.25">
      <c r="A3179" s="417">
        <v>41542</v>
      </c>
      <c r="B3179" s="418">
        <v>0.9145833333333333</v>
      </c>
      <c r="C3179" s="421" t="s">
        <v>1627</v>
      </c>
    </row>
    <row r="3180" spans="1:3" x14ac:dyDescent="0.25">
      <c r="A3180" s="417">
        <v>41542</v>
      </c>
      <c r="B3180" s="418">
        <v>0.9145833333333333</v>
      </c>
      <c r="C3180" s="421" t="s">
        <v>1439</v>
      </c>
    </row>
    <row r="3181" spans="1:3" x14ac:dyDescent="0.25">
      <c r="A3181" s="417">
        <v>41542</v>
      </c>
      <c r="B3181" s="418">
        <v>0.9145833333333333</v>
      </c>
      <c r="C3181" s="421" t="s">
        <v>1320</v>
      </c>
    </row>
    <row r="3182" spans="1:3" x14ac:dyDescent="0.25">
      <c r="A3182" s="417">
        <v>41542</v>
      </c>
      <c r="B3182" s="418">
        <v>0.9145833333333333</v>
      </c>
      <c r="C3182" s="421" t="s">
        <v>1503</v>
      </c>
    </row>
    <row r="3183" spans="1:3" x14ac:dyDescent="0.25">
      <c r="A3183" s="417">
        <v>41542</v>
      </c>
      <c r="B3183" s="418">
        <v>0.9145833333333333</v>
      </c>
      <c r="C3183" s="421" t="s">
        <v>1504</v>
      </c>
    </row>
    <row r="3184" spans="1:3" x14ac:dyDescent="0.25">
      <c r="A3184" s="417">
        <v>41542</v>
      </c>
      <c r="B3184" s="418">
        <v>0.9145833333333333</v>
      </c>
      <c r="C3184" s="421" t="s">
        <v>1505</v>
      </c>
    </row>
    <row r="3185" spans="1:3" x14ac:dyDescent="0.25">
      <c r="A3185" s="417">
        <v>41542</v>
      </c>
      <c r="B3185" s="418">
        <v>0.9145833333333333</v>
      </c>
      <c r="C3185" s="421" t="s">
        <v>1628</v>
      </c>
    </row>
    <row r="3186" spans="1:3" x14ac:dyDescent="0.25">
      <c r="A3186" s="417">
        <v>41542</v>
      </c>
      <c r="B3186" s="418">
        <v>0.9145833333333333</v>
      </c>
      <c r="C3186" s="421" t="s">
        <v>1446</v>
      </c>
    </row>
    <row r="3187" spans="1:3" x14ac:dyDescent="0.25">
      <c r="A3187" s="417">
        <v>41542</v>
      </c>
      <c r="B3187" s="418">
        <v>0.9145833333333333</v>
      </c>
      <c r="C3187" s="421" t="s">
        <v>1238</v>
      </c>
    </row>
    <row r="3188" spans="1:3" x14ac:dyDescent="0.25">
      <c r="A3188" s="417">
        <v>41542</v>
      </c>
      <c r="B3188" s="418">
        <v>0.9145833333333333</v>
      </c>
      <c r="C3188" s="421" t="s">
        <v>1629</v>
      </c>
    </row>
    <row r="3189" spans="1:3" x14ac:dyDescent="0.25">
      <c r="A3189" s="417">
        <v>41542</v>
      </c>
      <c r="B3189" s="418">
        <v>0.9145833333333333</v>
      </c>
      <c r="C3189" s="421" t="s">
        <v>1389</v>
      </c>
    </row>
    <row r="3190" spans="1:3" x14ac:dyDescent="0.25">
      <c r="A3190" s="417">
        <v>41542</v>
      </c>
      <c r="B3190" s="418">
        <v>0.9145833333333333</v>
      </c>
      <c r="C3190" s="421" t="s">
        <v>1448</v>
      </c>
    </row>
    <row r="3191" spans="1:3" x14ac:dyDescent="0.25">
      <c r="A3191" s="417">
        <v>41542</v>
      </c>
      <c r="B3191" s="418">
        <v>0.9145833333333333</v>
      </c>
      <c r="C3191" s="421" t="s">
        <v>1450</v>
      </c>
    </row>
    <row r="3192" spans="1:3" x14ac:dyDescent="0.25">
      <c r="A3192" s="417">
        <v>41542</v>
      </c>
      <c r="B3192" s="418">
        <v>0.9145833333333333</v>
      </c>
      <c r="C3192" s="421" t="s">
        <v>1450</v>
      </c>
    </row>
    <row r="3193" spans="1:3" x14ac:dyDescent="0.25">
      <c r="A3193" s="417">
        <v>41542</v>
      </c>
      <c r="B3193" s="418">
        <v>0.9145833333333333</v>
      </c>
      <c r="C3193" s="421" t="s">
        <v>1450</v>
      </c>
    </row>
    <row r="3194" spans="1:3" x14ac:dyDescent="0.25">
      <c r="A3194" s="417">
        <v>41542</v>
      </c>
      <c r="B3194" s="418">
        <v>0.9145833333333333</v>
      </c>
      <c r="C3194" s="421" t="s">
        <v>1450</v>
      </c>
    </row>
    <row r="3195" spans="1:3" x14ac:dyDescent="0.25">
      <c r="A3195" s="417">
        <v>41542</v>
      </c>
      <c r="B3195" s="418">
        <v>0.9145833333333333</v>
      </c>
      <c r="C3195" s="421" t="s">
        <v>1450</v>
      </c>
    </row>
    <row r="3196" spans="1:3" x14ac:dyDescent="0.25">
      <c r="A3196" s="417">
        <v>41542</v>
      </c>
      <c r="B3196" s="418">
        <v>0.9145833333333333</v>
      </c>
      <c r="C3196" s="421" t="s">
        <v>1450</v>
      </c>
    </row>
    <row r="3197" spans="1:3" x14ac:dyDescent="0.25">
      <c r="A3197" s="417">
        <v>41542</v>
      </c>
      <c r="B3197" s="418">
        <v>0.9145833333333333</v>
      </c>
      <c r="C3197" s="421" t="s">
        <v>1450</v>
      </c>
    </row>
    <row r="3198" spans="1:3" x14ac:dyDescent="0.25">
      <c r="A3198" s="417">
        <v>41542</v>
      </c>
      <c r="B3198" s="418">
        <v>0.9145833333333333</v>
      </c>
      <c r="C3198" s="421" t="s">
        <v>1448</v>
      </c>
    </row>
    <row r="3199" spans="1:3" x14ac:dyDescent="0.25">
      <c r="A3199" s="417">
        <v>41542</v>
      </c>
      <c r="B3199" s="418">
        <v>0.9145833333333333</v>
      </c>
      <c r="C3199" s="421" t="s">
        <v>1399</v>
      </c>
    </row>
    <row r="3200" spans="1:3" x14ac:dyDescent="0.25">
      <c r="A3200" s="417">
        <v>41542</v>
      </c>
      <c r="B3200" s="418">
        <v>0.9145833333333333</v>
      </c>
      <c r="C3200" s="421" t="s">
        <v>1309</v>
      </c>
    </row>
    <row r="3201" spans="1:3" x14ac:dyDescent="0.25">
      <c r="A3201" s="417">
        <v>41542</v>
      </c>
      <c r="B3201" s="418">
        <v>0.91459490740740745</v>
      </c>
      <c r="C3201" s="421" t="s">
        <v>1630</v>
      </c>
    </row>
    <row r="3202" spans="1:3" x14ac:dyDescent="0.25">
      <c r="A3202" s="417">
        <v>41542</v>
      </c>
      <c r="B3202" s="418">
        <v>0.91459490740740745</v>
      </c>
      <c r="C3202" s="421" t="s">
        <v>1631</v>
      </c>
    </row>
    <row r="3203" spans="1:3" x14ac:dyDescent="0.25">
      <c r="A3203" s="417">
        <v>41542</v>
      </c>
      <c r="B3203" s="418">
        <v>0.91459490740740745</v>
      </c>
      <c r="C3203" s="421" t="s">
        <v>1632</v>
      </c>
    </row>
    <row r="3204" spans="1:3" x14ac:dyDescent="0.25">
      <c r="A3204" s="417">
        <v>41542</v>
      </c>
      <c r="B3204" s="418">
        <v>0.91459490740740745</v>
      </c>
      <c r="C3204" s="421" t="s">
        <v>1617</v>
      </c>
    </row>
    <row r="3205" spans="1:3" x14ac:dyDescent="0.25">
      <c r="A3205" s="417">
        <v>41542</v>
      </c>
      <c r="B3205" s="418">
        <v>0.91459490740740745</v>
      </c>
      <c r="C3205" s="421" t="s">
        <v>1633</v>
      </c>
    </row>
    <row r="3206" spans="1:3" x14ac:dyDescent="0.25">
      <c r="A3206" s="417">
        <v>41542</v>
      </c>
      <c r="B3206" s="418">
        <v>0.91459490740740745</v>
      </c>
      <c r="C3206" s="421" t="s">
        <v>1634</v>
      </c>
    </row>
    <row r="3207" spans="1:3" x14ac:dyDescent="0.25">
      <c r="A3207" s="417">
        <v>41542</v>
      </c>
      <c r="B3207" s="418">
        <v>0.91459490740740745</v>
      </c>
      <c r="C3207" s="421" t="s">
        <v>1633</v>
      </c>
    </row>
    <row r="3208" spans="1:3" x14ac:dyDescent="0.25">
      <c r="A3208" s="417">
        <v>41542</v>
      </c>
      <c r="B3208" s="418">
        <v>0.91459490740740745</v>
      </c>
      <c r="C3208" s="421" t="s">
        <v>1634</v>
      </c>
    </row>
    <row r="3209" spans="1:3" x14ac:dyDescent="0.25">
      <c r="A3209" s="417">
        <v>41542</v>
      </c>
      <c r="B3209" s="418">
        <v>0.91465277777777787</v>
      </c>
      <c r="C3209" s="421" t="s">
        <v>1635</v>
      </c>
    </row>
    <row r="3210" spans="1:3" x14ac:dyDescent="0.25">
      <c r="A3210" s="417">
        <v>41542</v>
      </c>
      <c r="B3210" s="418">
        <v>0.9146643518518518</v>
      </c>
      <c r="C3210" s="421" t="s">
        <v>1636</v>
      </c>
    </row>
    <row r="3211" spans="1:3" ht="45" x14ac:dyDescent="0.25">
      <c r="A3211" s="417">
        <v>41542</v>
      </c>
      <c r="B3211" s="418">
        <v>0.91806712962962955</v>
      </c>
      <c r="C3211" s="946" t="s">
        <v>1639</v>
      </c>
    </row>
    <row r="3212" spans="1:3" ht="30" x14ac:dyDescent="0.25">
      <c r="A3212" s="417">
        <v>41542</v>
      </c>
      <c r="B3212" s="418">
        <v>0.91818287037037039</v>
      </c>
      <c r="C3212" s="946" t="s">
        <v>1640</v>
      </c>
    </row>
    <row r="3213" spans="1:3" ht="45" x14ac:dyDescent="0.25">
      <c r="A3213" s="417">
        <v>41542</v>
      </c>
      <c r="B3213" s="418">
        <v>0.91828703703703696</v>
      </c>
      <c r="C3213" s="946" t="s">
        <v>1641</v>
      </c>
    </row>
    <row r="3214" spans="1:3" ht="30" x14ac:dyDescent="0.25">
      <c r="A3214" s="417">
        <v>41542</v>
      </c>
      <c r="B3214" s="418">
        <v>0.92001157407407408</v>
      </c>
      <c r="C3214" s="946" t="s">
        <v>1642</v>
      </c>
    </row>
    <row r="3215" spans="1:3" ht="45" x14ac:dyDescent="0.25">
      <c r="A3215" s="417">
        <v>41542</v>
      </c>
      <c r="B3215" s="418">
        <v>0.92084490740740732</v>
      </c>
      <c r="C3215" s="946" t="s">
        <v>1643</v>
      </c>
    </row>
    <row r="3216" spans="1:3" ht="30" x14ac:dyDescent="0.25">
      <c r="A3216" s="417">
        <v>41542</v>
      </c>
      <c r="B3216" s="418">
        <v>0.92122685185185194</v>
      </c>
      <c r="C3216" s="946" t="s">
        <v>1644</v>
      </c>
    </row>
    <row r="3217" spans="1:3" x14ac:dyDescent="0.25">
      <c r="A3217" s="417">
        <v>41542</v>
      </c>
      <c r="B3217" s="418">
        <v>0.92232638888888896</v>
      </c>
      <c r="C3217" s="421" t="s">
        <v>1617</v>
      </c>
    </row>
    <row r="3218" spans="1:3" x14ac:dyDescent="0.25">
      <c r="A3218" s="417">
        <v>41542</v>
      </c>
      <c r="B3218" s="418">
        <v>0.92232638888888896</v>
      </c>
      <c r="C3218" s="421" t="s">
        <v>1238</v>
      </c>
    </row>
    <row r="3219" spans="1:3" x14ac:dyDescent="0.25">
      <c r="A3219" s="417">
        <v>41542</v>
      </c>
      <c r="B3219" s="418">
        <v>0.92232638888888896</v>
      </c>
      <c r="C3219" s="421" t="s">
        <v>1307</v>
      </c>
    </row>
    <row r="3220" spans="1:3" x14ac:dyDescent="0.25">
      <c r="A3220" s="417">
        <v>41542</v>
      </c>
      <c r="B3220" s="418">
        <v>0.92232638888888896</v>
      </c>
      <c r="C3220" s="421" t="s">
        <v>1308</v>
      </c>
    </row>
    <row r="3221" spans="1:3" x14ac:dyDescent="0.25">
      <c r="A3221" s="417">
        <v>41542</v>
      </c>
      <c r="B3221" s="418">
        <v>0.92232638888888896</v>
      </c>
      <c r="C3221" s="421" t="s">
        <v>1309</v>
      </c>
    </row>
    <row r="3222" spans="1:3" x14ac:dyDescent="0.25">
      <c r="A3222" s="417">
        <v>41542</v>
      </c>
      <c r="B3222" s="418">
        <v>0.92232638888888896</v>
      </c>
      <c r="C3222" s="421" t="s">
        <v>1310</v>
      </c>
    </row>
    <row r="3223" spans="1:3" x14ac:dyDescent="0.25">
      <c r="A3223" s="417">
        <v>41542</v>
      </c>
      <c r="B3223" s="418">
        <v>0.92232638888888896</v>
      </c>
      <c r="C3223" s="421" t="s">
        <v>1311</v>
      </c>
    </row>
    <row r="3224" spans="1:3" x14ac:dyDescent="0.25">
      <c r="A3224" s="417">
        <v>41542</v>
      </c>
      <c r="B3224" s="418">
        <v>0.92232638888888896</v>
      </c>
      <c r="C3224" s="421" t="s">
        <v>1312</v>
      </c>
    </row>
    <row r="3225" spans="1:3" x14ac:dyDescent="0.25">
      <c r="A3225" s="417">
        <v>41542</v>
      </c>
      <c r="B3225" s="418">
        <v>0.92232638888888896</v>
      </c>
      <c r="C3225" s="421" t="s">
        <v>1313</v>
      </c>
    </row>
    <row r="3226" spans="1:3" x14ac:dyDescent="0.25">
      <c r="A3226" s="417">
        <v>41542</v>
      </c>
      <c r="B3226" s="418">
        <v>0.92232638888888896</v>
      </c>
      <c r="C3226" s="421" t="s">
        <v>1310</v>
      </c>
    </row>
    <row r="3227" spans="1:3" x14ac:dyDescent="0.25">
      <c r="A3227" s="417">
        <v>41542</v>
      </c>
      <c r="B3227" s="418">
        <v>0.92232638888888896</v>
      </c>
      <c r="C3227" s="421" t="s">
        <v>1314</v>
      </c>
    </row>
    <row r="3228" spans="1:3" x14ac:dyDescent="0.25">
      <c r="A3228" s="417">
        <v>41542</v>
      </c>
      <c r="B3228" s="418">
        <v>0.92232638888888896</v>
      </c>
      <c r="C3228" s="421" t="s">
        <v>1315</v>
      </c>
    </row>
    <row r="3229" spans="1:3" x14ac:dyDescent="0.25">
      <c r="A3229" s="417">
        <v>41542</v>
      </c>
      <c r="B3229" s="418">
        <v>0.92232638888888896</v>
      </c>
      <c r="C3229" s="421" t="s">
        <v>1460</v>
      </c>
    </row>
    <row r="3230" spans="1:3" x14ac:dyDescent="0.25">
      <c r="A3230" s="417">
        <v>41542</v>
      </c>
      <c r="B3230" s="418">
        <v>0.92232638888888896</v>
      </c>
      <c r="C3230" s="421" t="s">
        <v>1461</v>
      </c>
    </row>
    <row r="3231" spans="1:3" x14ac:dyDescent="0.25">
      <c r="A3231" s="417">
        <v>41542</v>
      </c>
      <c r="B3231" s="418">
        <v>0.92232638888888896</v>
      </c>
      <c r="C3231" s="421" t="s">
        <v>1310</v>
      </c>
    </row>
    <row r="3232" spans="1:3" x14ac:dyDescent="0.25">
      <c r="A3232" s="417">
        <v>41542</v>
      </c>
      <c r="B3232" s="418">
        <v>0.92232638888888896</v>
      </c>
      <c r="C3232" s="421" t="s">
        <v>1238</v>
      </c>
    </row>
    <row r="3233" spans="1:3" x14ac:dyDescent="0.25">
      <c r="A3233" s="417">
        <v>41542</v>
      </c>
      <c r="B3233" s="418">
        <v>0.922337962962963</v>
      </c>
      <c r="C3233" s="421" t="s">
        <v>1462</v>
      </c>
    </row>
    <row r="3234" spans="1:3" x14ac:dyDescent="0.25">
      <c r="A3234" s="417">
        <v>41542</v>
      </c>
      <c r="B3234" s="418">
        <v>0.922337962962963</v>
      </c>
      <c r="C3234" s="421" t="s">
        <v>1316</v>
      </c>
    </row>
    <row r="3235" spans="1:3" x14ac:dyDescent="0.25">
      <c r="A3235" s="417">
        <v>41542</v>
      </c>
      <c r="B3235" s="418">
        <v>0.922337962962963</v>
      </c>
      <c r="C3235" s="421" t="s">
        <v>1316</v>
      </c>
    </row>
    <row r="3236" spans="1:3" x14ac:dyDescent="0.25">
      <c r="A3236" s="417">
        <v>41542</v>
      </c>
      <c r="B3236" s="418">
        <v>0.922337962962963</v>
      </c>
      <c r="C3236" s="421" t="s">
        <v>1317</v>
      </c>
    </row>
    <row r="3237" spans="1:3" x14ac:dyDescent="0.25">
      <c r="A3237" s="417">
        <v>41542</v>
      </c>
      <c r="B3237" s="418">
        <v>0.922337962962963</v>
      </c>
      <c r="C3237" s="421" t="s">
        <v>1309</v>
      </c>
    </row>
    <row r="3238" spans="1:3" x14ac:dyDescent="0.25">
      <c r="A3238" s="417">
        <v>41542</v>
      </c>
      <c r="B3238" s="418">
        <v>0.922337962962963</v>
      </c>
      <c r="C3238" s="421" t="s">
        <v>1318</v>
      </c>
    </row>
    <row r="3239" spans="1:3" x14ac:dyDescent="0.25">
      <c r="A3239" s="417">
        <v>41542</v>
      </c>
      <c r="B3239" s="418">
        <v>0.922337962962963</v>
      </c>
      <c r="C3239" s="421" t="s">
        <v>1319</v>
      </c>
    </row>
    <row r="3240" spans="1:3" x14ac:dyDescent="0.25">
      <c r="A3240" s="417">
        <v>41542</v>
      </c>
      <c r="B3240" s="418">
        <v>0.922337962962963</v>
      </c>
      <c r="C3240" s="421" t="s">
        <v>1320</v>
      </c>
    </row>
    <row r="3241" spans="1:3" x14ac:dyDescent="0.25">
      <c r="A3241" s="417">
        <v>41542</v>
      </c>
      <c r="B3241" s="418">
        <v>0.922337962962963</v>
      </c>
      <c r="C3241" s="421" t="s">
        <v>1318</v>
      </c>
    </row>
    <row r="3242" spans="1:3" x14ac:dyDescent="0.25">
      <c r="A3242" s="417">
        <v>41542</v>
      </c>
      <c r="B3242" s="418">
        <v>0.922337962962963</v>
      </c>
      <c r="C3242" s="421" t="s">
        <v>1307</v>
      </c>
    </row>
    <row r="3243" spans="1:3" x14ac:dyDescent="0.25">
      <c r="A3243" s="417">
        <v>41542</v>
      </c>
      <c r="B3243" s="418">
        <v>0.922337962962963</v>
      </c>
      <c r="C3243" s="421" t="s">
        <v>1321</v>
      </c>
    </row>
    <row r="3244" spans="1:3" x14ac:dyDescent="0.25">
      <c r="A3244" s="417">
        <v>41542</v>
      </c>
      <c r="B3244" s="418">
        <v>0.922337962962963</v>
      </c>
      <c r="C3244" s="421" t="s">
        <v>1322</v>
      </c>
    </row>
    <row r="3245" spans="1:3" x14ac:dyDescent="0.25">
      <c r="A3245" s="417">
        <v>41542</v>
      </c>
      <c r="B3245" s="418">
        <v>0.922337962962963</v>
      </c>
      <c r="C3245" s="421" t="s">
        <v>1322</v>
      </c>
    </row>
    <row r="3246" spans="1:3" x14ac:dyDescent="0.25">
      <c r="A3246" s="417">
        <v>41542</v>
      </c>
      <c r="B3246" s="418">
        <v>0.922337962962963</v>
      </c>
      <c r="C3246" s="421" t="s">
        <v>1323</v>
      </c>
    </row>
    <row r="3247" spans="1:3" x14ac:dyDescent="0.25">
      <c r="A3247" s="417">
        <v>41542</v>
      </c>
      <c r="B3247" s="418">
        <v>0.922337962962963</v>
      </c>
      <c r="C3247" s="421" t="s">
        <v>1324</v>
      </c>
    </row>
    <row r="3248" spans="1:3" x14ac:dyDescent="0.25">
      <c r="A3248" s="417">
        <v>41542</v>
      </c>
      <c r="B3248" s="418">
        <v>0.922337962962963</v>
      </c>
      <c r="C3248" s="421" t="s">
        <v>1310</v>
      </c>
    </row>
    <row r="3249" spans="1:3" x14ac:dyDescent="0.25">
      <c r="A3249" s="417">
        <v>41542</v>
      </c>
      <c r="B3249" s="418">
        <v>0.922337962962963</v>
      </c>
      <c r="C3249" s="421" t="s">
        <v>1325</v>
      </c>
    </row>
    <row r="3250" spans="1:3" x14ac:dyDescent="0.25">
      <c r="A3250" s="417">
        <v>41542</v>
      </c>
      <c r="B3250" s="418">
        <v>0.922337962962963</v>
      </c>
      <c r="C3250" s="421" t="s">
        <v>1326</v>
      </c>
    </row>
    <row r="3251" spans="1:3" x14ac:dyDescent="0.25">
      <c r="A3251" s="417">
        <v>41542</v>
      </c>
      <c r="B3251" s="418">
        <v>0.922337962962963</v>
      </c>
      <c r="C3251" s="421" t="s">
        <v>1238</v>
      </c>
    </row>
    <row r="3252" spans="1:3" x14ac:dyDescent="0.25">
      <c r="A3252" s="417">
        <v>41542</v>
      </c>
      <c r="B3252" s="418">
        <v>0.922337962962963</v>
      </c>
      <c r="C3252" s="421" t="s">
        <v>1327</v>
      </c>
    </row>
    <row r="3253" spans="1:3" x14ac:dyDescent="0.25">
      <c r="A3253" s="417">
        <v>41542</v>
      </c>
      <c r="B3253" s="418">
        <v>0.922337962962963</v>
      </c>
      <c r="C3253" s="421" t="s">
        <v>1328</v>
      </c>
    </row>
    <row r="3254" spans="1:3" ht="60" x14ac:dyDescent="0.25">
      <c r="A3254" s="417">
        <v>41542</v>
      </c>
      <c r="B3254" s="418">
        <v>0.922337962962963</v>
      </c>
      <c r="C3254" s="946" t="s">
        <v>1645</v>
      </c>
    </row>
    <row r="3255" spans="1:3" x14ac:dyDescent="0.25">
      <c r="A3255" s="417">
        <v>41542</v>
      </c>
      <c r="B3255" s="418">
        <v>0.92251157407407414</v>
      </c>
      <c r="C3255" s="421" t="s">
        <v>1323</v>
      </c>
    </row>
    <row r="3256" spans="1:3" x14ac:dyDescent="0.25">
      <c r="A3256" s="417">
        <v>41542</v>
      </c>
      <c r="B3256" s="418">
        <v>0.92251157407407414</v>
      </c>
      <c r="C3256" s="421" t="s">
        <v>1342</v>
      </c>
    </row>
    <row r="3257" spans="1:3" x14ac:dyDescent="0.25">
      <c r="A3257" s="417">
        <v>41542</v>
      </c>
      <c r="B3257" s="418">
        <v>0.92251157407407414</v>
      </c>
      <c r="C3257" s="421" t="s">
        <v>1343</v>
      </c>
    </row>
    <row r="3258" spans="1:3" x14ac:dyDescent="0.25">
      <c r="A3258" s="417">
        <v>41542</v>
      </c>
      <c r="B3258" s="418">
        <v>0.92251157407407414</v>
      </c>
      <c r="C3258" s="421" t="s">
        <v>1344</v>
      </c>
    </row>
    <row r="3259" spans="1:3" x14ac:dyDescent="0.25">
      <c r="A3259" s="417">
        <v>41542</v>
      </c>
      <c r="B3259" s="418">
        <v>0.92251157407407414</v>
      </c>
      <c r="C3259" s="421" t="s">
        <v>1344</v>
      </c>
    </row>
    <row r="3260" spans="1:3" x14ac:dyDescent="0.25">
      <c r="A3260" s="417">
        <v>41542</v>
      </c>
      <c r="B3260" s="418">
        <v>0.92251157407407414</v>
      </c>
      <c r="C3260" s="421" t="s">
        <v>1310</v>
      </c>
    </row>
    <row r="3261" spans="1:3" x14ac:dyDescent="0.25">
      <c r="A3261" s="417">
        <v>41542</v>
      </c>
      <c r="B3261" s="418">
        <v>0.92251157407407414</v>
      </c>
      <c r="C3261" s="421" t="s">
        <v>1345</v>
      </c>
    </row>
    <row r="3262" spans="1:3" x14ac:dyDescent="0.25">
      <c r="A3262" s="417">
        <v>41542</v>
      </c>
      <c r="B3262" s="418">
        <v>0.92251157407407414</v>
      </c>
      <c r="C3262" s="421" t="s">
        <v>1346</v>
      </c>
    </row>
    <row r="3263" spans="1:3" x14ac:dyDescent="0.25">
      <c r="A3263" s="417">
        <v>41542</v>
      </c>
      <c r="B3263" s="418">
        <v>0.92251157407407414</v>
      </c>
      <c r="C3263" s="421" t="s">
        <v>1347</v>
      </c>
    </row>
    <row r="3264" spans="1:3" x14ac:dyDescent="0.25">
      <c r="A3264" s="417">
        <v>41542</v>
      </c>
      <c r="B3264" s="418">
        <v>0.92251157407407414</v>
      </c>
      <c r="C3264" s="421" t="s">
        <v>1348</v>
      </c>
    </row>
    <row r="3265" spans="1:3" x14ac:dyDescent="0.25">
      <c r="A3265" s="417">
        <v>41542</v>
      </c>
      <c r="B3265" s="418">
        <v>0.92251157407407414</v>
      </c>
      <c r="C3265" s="421" t="s">
        <v>1349</v>
      </c>
    </row>
    <row r="3266" spans="1:3" x14ac:dyDescent="0.25">
      <c r="A3266" s="417">
        <v>41542</v>
      </c>
      <c r="B3266" s="418">
        <v>0.92251157407407414</v>
      </c>
      <c r="C3266" s="421" t="s">
        <v>1349</v>
      </c>
    </row>
    <row r="3267" spans="1:3" x14ac:dyDescent="0.25">
      <c r="A3267" s="417">
        <v>41542</v>
      </c>
      <c r="B3267" s="418">
        <v>0.92251157407407414</v>
      </c>
      <c r="C3267" s="421" t="s">
        <v>1348</v>
      </c>
    </row>
    <row r="3268" spans="1:3" x14ac:dyDescent="0.25">
      <c r="A3268" s="417">
        <v>41542</v>
      </c>
      <c r="B3268" s="418">
        <v>0.92251157407407414</v>
      </c>
      <c r="C3268" s="421" t="s">
        <v>1350</v>
      </c>
    </row>
    <row r="3269" spans="1:3" x14ac:dyDescent="0.25">
      <c r="A3269" s="417">
        <v>41542</v>
      </c>
      <c r="B3269" s="418">
        <v>0.92251157407407414</v>
      </c>
      <c r="C3269" s="421" t="s">
        <v>1351</v>
      </c>
    </row>
    <row r="3270" spans="1:3" x14ac:dyDescent="0.25">
      <c r="A3270" s="417">
        <v>41542</v>
      </c>
      <c r="B3270" s="418">
        <v>0.92251157407407414</v>
      </c>
      <c r="C3270" s="421" t="s">
        <v>1352</v>
      </c>
    </row>
    <row r="3271" spans="1:3" x14ac:dyDescent="0.25">
      <c r="A3271" s="417">
        <v>41542</v>
      </c>
      <c r="B3271" s="418">
        <v>0.92251157407407414</v>
      </c>
      <c r="C3271" s="421" t="s">
        <v>1287</v>
      </c>
    </row>
    <row r="3272" spans="1:3" ht="60" x14ac:dyDescent="0.25">
      <c r="A3272" s="417">
        <v>41542</v>
      </c>
      <c r="B3272" s="418">
        <v>0.92251157407407414</v>
      </c>
      <c r="C3272" s="946" t="s">
        <v>1288</v>
      </c>
    </row>
    <row r="3273" spans="1:3" x14ac:dyDescent="0.25">
      <c r="A3273" s="417">
        <v>41542</v>
      </c>
      <c r="B3273" s="418">
        <v>0.92252314814814806</v>
      </c>
      <c r="C3273" s="421" t="s">
        <v>1646</v>
      </c>
    </row>
    <row r="3274" spans="1:3" x14ac:dyDescent="0.25">
      <c r="A3274" s="417">
        <v>41542</v>
      </c>
      <c r="B3274" s="418">
        <v>0.92253472222222221</v>
      </c>
      <c r="C3274" s="421" t="s">
        <v>1353</v>
      </c>
    </row>
    <row r="3275" spans="1:3" x14ac:dyDescent="0.25">
      <c r="A3275" s="417">
        <v>41542</v>
      </c>
      <c r="B3275" s="418">
        <v>0.92253472222222221</v>
      </c>
      <c r="C3275" s="421" t="s">
        <v>1354</v>
      </c>
    </row>
    <row r="3276" spans="1:3" x14ac:dyDescent="0.25">
      <c r="A3276" s="417">
        <v>41542</v>
      </c>
      <c r="B3276" s="418">
        <v>0.92253472222222221</v>
      </c>
      <c r="C3276" s="421" t="s">
        <v>1355</v>
      </c>
    </row>
    <row r="3277" spans="1:3" x14ac:dyDescent="0.25">
      <c r="A3277" s="417">
        <v>41542</v>
      </c>
      <c r="B3277" s="418">
        <v>0.92253472222222221</v>
      </c>
      <c r="C3277" s="421" t="s">
        <v>1357</v>
      </c>
    </row>
    <row r="3278" spans="1:3" x14ac:dyDescent="0.25">
      <c r="A3278" s="417">
        <v>41542</v>
      </c>
      <c r="B3278" s="418">
        <v>0.92253472222222221</v>
      </c>
      <c r="C3278" s="421" t="s">
        <v>1358</v>
      </c>
    </row>
    <row r="3279" spans="1:3" x14ac:dyDescent="0.25">
      <c r="A3279" s="417">
        <v>41542</v>
      </c>
      <c r="B3279" s="418">
        <v>0.92253472222222221</v>
      </c>
      <c r="C3279" s="421" t="s">
        <v>1359</v>
      </c>
    </row>
    <row r="3280" spans="1:3" x14ac:dyDescent="0.25">
      <c r="A3280" s="417">
        <v>41542</v>
      </c>
      <c r="B3280" s="418">
        <v>0.92253472222222221</v>
      </c>
      <c r="C3280" s="421" t="s">
        <v>1360</v>
      </c>
    </row>
    <row r="3281" spans="1:3" x14ac:dyDescent="0.25">
      <c r="A3281" s="417">
        <v>41542</v>
      </c>
      <c r="B3281" s="418">
        <v>0.92253472222222221</v>
      </c>
      <c r="C3281" s="421" t="s">
        <v>1361</v>
      </c>
    </row>
    <row r="3282" spans="1:3" x14ac:dyDescent="0.25">
      <c r="A3282" s="417">
        <v>41542</v>
      </c>
      <c r="B3282" s="418">
        <v>0.92253472222222221</v>
      </c>
      <c r="C3282" s="421" t="s">
        <v>1317</v>
      </c>
    </row>
    <row r="3283" spans="1:3" x14ac:dyDescent="0.25">
      <c r="A3283" s="417">
        <v>41542</v>
      </c>
      <c r="B3283" s="418">
        <v>0.92253472222222221</v>
      </c>
      <c r="C3283" s="421" t="s">
        <v>1537</v>
      </c>
    </row>
    <row r="3284" spans="1:3" x14ac:dyDescent="0.25">
      <c r="A3284" s="417">
        <v>41542</v>
      </c>
      <c r="B3284" s="418">
        <v>0.92253472222222221</v>
      </c>
      <c r="C3284" s="421" t="s">
        <v>1362</v>
      </c>
    </row>
    <row r="3285" spans="1:3" x14ac:dyDescent="0.25">
      <c r="A3285" s="417">
        <v>41542</v>
      </c>
      <c r="B3285" s="418">
        <v>0.92253472222222221</v>
      </c>
      <c r="C3285" s="421" t="s">
        <v>1355</v>
      </c>
    </row>
    <row r="3286" spans="1:3" x14ac:dyDescent="0.25">
      <c r="A3286" s="417">
        <v>41542</v>
      </c>
      <c r="B3286" s="418">
        <v>0.92253472222222221</v>
      </c>
      <c r="C3286" s="421" t="s">
        <v>1363</v>
      </c>
    </row>
    <row r="3287" spans="1:3" x14ac:dyDescent="0.25">
      <c r="A3287" s="417">
        <v>41542</v>
      </c>
      <c r="B3287" s="418">
        <v>0.92253472222222221</v>
      </c>
      <c r="C3287" s="421" t="s">
        <v>1364</v>
      </c>
    </row>
    <row r="3288" spans="1:3" x14ac:dyDescent="0.25">
      <c r="A3288" s="417">
        <v>41542</v>
      </c>
      <c r="B3288" s="418">
        <v>0.92253472222222221</v>
      </c>
      <c r="C3288" s="421" t="s">
        <v>1365</v>
      </c>
    </row>
    <row r="3289" spans="1:3" x14ac:dyDescent="0.25">
      <c r="A3289" s="417">
        <v>41542</v>
      </c>
      <c r="B3289" s="418">
        <v>0.92253472222222221</v>
      </c>
      <c r="C3289" s="421" t="s">
        <v>1365</v>
      </c>
    </row>
    <row r="3290" spans="1:3" x14ac:dyDescent="0.25">
      <c r="A3290" s="417">
        <v>41542</v>
      </c>
      <c r="B3290" s="418">
        <v>0.92253472222222221</v>
      </c>
      <c r="C3290" s="421" t="s">
        <v>1366</v>
      </c>
    </row>
    <row r="3291" spans="1:3" x14ac:dyDescent="0.25">
      <c r="A3291" s="417">
        <v>41542</v>
      </c>
      <c r="B3291" s="418">
        <v>0.92253472222222221</v>
      </c>
      <c r="C3291" s="421" t="s">
        <v>1320</v>
      </c>
    </row>
    <row r="3292" spans="1:3" x14ac:dyDescent="0.25">
      <c r="A3292" s="417">
        <v>41542</v>
      </c>
      <c r="B3292" s="418">
        <v>0.92253472222222221</v>
      </c>
      <c r="C3292" s="421" t="s">
        <v>1367</v>
      </c>
    </row>
    <row r="3293" spans="1:3" x14ac:dyDescent="0.25">
      <c r="A3293" s="417">
        <v>41542</v>
      </c>
      <c r="B3293" s="418">
        <v>0.92253472222222221</v>
      </c>
      <c r="C3293" s="421" t="s">
        <v>1344</v>
      </c>
    </row>
    <row r="3294" spans="1:3" x14ac:dyDescent="0.25">
      <c r="A3294" s="417">
        <v>41542</v>
      </c>
      <c r="B3294" s="418">
        <v>0.92253472222222221</v>
      </c>
      <c r="C3294" s="421" t="s">
        <v>1368</v>
      </c>
    </row>
    <row r="3295" spans="1:3" x14ac:dyDescent="0.25">
      <c r="A3295" s="417">
        <v>41542</v>
      </c>
      <c r="B3295" s="418">
        <v>0.92253472222222221</v>
      </c>
      <c r="C3295" s="421" t="s">
        <v>1369</v>
      </c>
    </row>
    <row r="3296" spans="1:3" x14ac:dyDescent="0.25">
      <c r="A3296" s="417">
        <v>41542</v>
      </c>
      <c r="B3296" s="418">
        <v>0.92253472222222221</v>
      </c>
      <c r="C3296" s="421" t="s">
        <v>1307</v>
      </c>
    </row>
    <row r="3297" spans="1:3" x14ac:dyDescent="0.25">
      <c r="A3297" s="417">
        <v>41542</v>
      </c>
      <c r="B3297" s="418">
        <v>0.92253472222222221</v>
      </c>
      <c r="C3297" s="421" t="s">
        <v>1370</v>
      </c>
    </row>
    <row r="3298" spans="1:3" x14ac:dyDescent="0.25">
      <c r="A3298" s="417">
        <v>41542</v>
      </c>
      <c r="B3298" s="418">
        <v>0.92253472222222221</v>
      </c>
      <c r="C3298" s="421" t="s">
        <v>1371</v>
      </c>
    </row>
    <row r="3299" spans="1:3" x14ac:dyDescent="0.25">
      <c r="A3299" s="417">
        <v>41542</v>
      </c>
      <c r="B3299" s="418">
        <v>0.92253472222222221</v>
      </c>
      <c r="C3299" s="421" t="s">
        <v>1344</v>
      </c>
    </row>
    <row r="3300" spans="1:3" x14ac:dyDescent="0.25">
      <c r="A3300" s="417">
        <v>41542</v>
      </c>
      <c r="B3300" s="418">
        <v>0.92253472222222221</v>
      </c>
      <c r="C3300" s="421" t="s">
        <v>1317</v>
      </c>
    </row>
    <row r="3301" spans="1:3" x14ac:dyDescent="0.25">
      <c r="A3301" s="417">
        <v>41542</v>
      </c>
      <c r="B3301" s="418">
        <v>0.92253472222222221</v>
      </c>
      <c r="C3301" s="421" t="s">
        <v>1463</v>
      </c>
    </row>
    <row r="3302" spans="1:3" x14ac:dyDescent="0.25">
      <c r="A3302" s="417">
        <v>41542</v>
      </c>
      <c r="B3302" s="418">
        <v>0.92253472222222221</v>
      </c>
      <c r="C3302" s="421" t="s">
        <v>1378</v>
      </c>
    </row>
    <row r="3303" spans="1:3" ht="60" x14ac:dyDescent="0.25">
      <c r="A3303" s="417">
        <v>41542</v>
      </c>
      <c r="B3303" s="418">
        <v>0.92253472222222221</v>
      </c>
      <c r="C3303" s="946" t="s">
        <v>1647</v>
      </c>
    </row>
    <row r="3304" spans="1:3" x14ac:dyDescent="0.25">
      <c r="A3304" s="417">
        <v>41542</v>
      </c>
      <c r="B3304" s="418">
        <v>0.92256944444444444</v>
      </c>
      <c r="C3304" s="421" t="s">
        <v>1373</v>
      </c>
    </row>
    <row r="3305" spans="1:3" x14ac:dyDescent="0.25">
      <c r="A3305" s="417">
        <v>41542</v>
      </c>
      <c r="B3305" s="418">
        <v>0.92256944444444444</v>
      </c>
      <c r="C3305" s="421" t="s">
        <v>1308</v>
      </c>
    </row>
    <row r="3306" spans="1:3" x14ac:dyDescent="0.25">
      <c r="A3306" s="417">
        <v>41542</v>
      </c>
      <c r="B3306" s="418">
        <v>0.92256944444444444</v>
      </c>
      <c r="C3306" s="421" t="s">
        <v>1374</v>
      </c>
    </row>
    <row r="3307" spans="1:3" x14ac:dyDescent="0.25">
      <c r="A3307" s="417">
        <v>41542</v>
      </c>
      <c r="B3307" s="418">
        <v>0.92256944444444444</v>
      </c>
      <c r="C3307" s="421" t="s">
        <v>1375</v>
      </c>
    </row>
    <row r="3308" spans="1:3" x14ac:dyDescent="0.25">
      <c r="A3308" s="417">
        <v>41542</v>
      </c>
      <c r="B3308" s="418">
        <v>0.92256944444444444</v>
      </c>
      <c r="C3308" s="421" t="s">
        <v>1376</v>
      </c>
    </row>
    <row r="3309" spans="1:3" x14ac:dyDescent="0.25">
      <c r="A3309" s="417">
        <v>41542</v>
      </c>
      <c r="B3309" s="418">
        <v>0.92256944444444444</v>
      </c>
      <c r="C3309" s="421" t="s">
        <v>1377</v>
      </c>
    </row>
    <row r="3310" spans="1:3" x14ac:dyDescent="0.25">
      <c r="A3310" s="417">
        <v>41542</v>
      </c>
      <c r="B3310" s="418">
        <v>0.92256944444444444</v>
      </c>
      <c r="C3310" s="421" t="s">
        <v>1326</v>
      </c>
    </row>
    <row r="3311" spans="1:3" x14ac:dyDescent="0.25">
      <c r="A3311" s="417">
        <v>41542</v>
      </c>
      <c r="B3311" s="418">
        <v>0.92256944444444444</v>
      </c>
      <c r="C3311" s="421" t="s">
        <v>1378</v>
      </c>
    </row>
    <row r="3312" spans="1:3" ht="60" x14ac:dyDescent="0.25">
      <c r="A3312" s="417">
        <v>41542</v>
      </c>
      <c r="B3312" s="418">
        <v>0.92256944444444444</v>
      </c>
      <c r="C3312" s="946" t="s">
        <v>1648</v>
      </c>
    </row>
    <row r="3313" spans="1:3" x14ac:dyDescent="0.25">
      <c r="A3313" s="417">
        <v>41542</v>
      </c>
      <c r="B3313" s="418">
        <v>0.92259259259259263</v>
      </c>
      <c r="C3313" s="421" t="s">
        <v>1380</v>
      </c>
    </row>
    <row r="3314" spans="1:3" x14ac:dyDescent="0.25">
      <c r="A3314" s="417">
        <v>41542</v>
      </c>
      <c r="B3314" s="418">
        <v>0.92259259259259263</v>
      </c>
      <c r="C3314" s="421" t="s">
        <v>1381</v>
      </c>
    </row>
    <row r="3315" spans="1:3" x14ac:dyDescent="0.25">
      <c r="A3315" s="417">
        <v>41542</v>
      </c>
      <c r="B3315" s="418">
        <v>0.92259259259259263</v>
      </c>
      <c r="C3315" s="421" t="s">
        <v>1382</v>
      </c>
    </row>
    <row r="3316" spans="1:3" x14ac:dyDescent="0.25">
      <c r="A3316" s="417">
        <v>41542</v>
      </c>
      <c r="B3316" s="418">
        <v>0.92259259259259263</v>
      </c>
      <c r="C3316" s="421" t="s">
        <v>1383</v>
      </c>
    </row>
    <row r="3317" spans="1:3" x14ac:dyDescent="0.25">
      <c r="A3317" s="417">
        <v>41542</v>
      </c>
      <c r="B3317" s="418">
        <v>0.92259259259259263</v>
      </c>
      <c r="C3317" s="421" t="s">
        <v>1352</v>
      </c>
    </row>
    <row r="3318" spans="1:3" x14ac:dyDescent="0.25">
      <c r="A3318" s="417">
        <v>41542</v>
      </c>
      <c r="B3318" s="418">
        <v>0.92259259259259263</v>
      </c>
      <c r="C3318" s="421" t="s">
        <v>1384</v>
      </c>
    </row>
    <row r="3319" spans="1:3" x14ac:dyDescent="0.25">
      <c r="A3319" s="417">
        <v>41542</v>
      </c>
      <c r="B3319" s="418">
        <v>0.92259259259259263</v>
      </c>
      <c r="C3319" s="421" t="s">
        <v>1385</v>
      </c>
    </row>
    <row r="3320" spans="1:3" x14ac:dyDescent="0.25">
      <c r="A3320" s="417">
        <v>41542</v>
      </c>
      <c r="B3320" s="418">
        <v>0.92259259259259263</v>
      </c>
      <c r="C3320" s="421" t="s">
        <v>1385</v>
      </c>
    </row>
    <row r="3321" spans="1:3" x14ac:dyDescent="0.25">
      <c r="A3321" s="417">
        <v>41542</v>
      </c>
      <c r="B3321" s="418">
        <v>0.92259259259259263</v>
      </c>
      <c r="C3321" s="421" t="s">
        <v>1386</v>
      </c>
    </row>
    <row r="3322" spans="1:3" x14ac:dyDescent="0.25">
      <c r="A3322" s="417">
        <v>41542</v>
      </c>
      <c r="B3322" s="418">
        <v>0.92259259259259263</v>
      </c>
      <c r="C3322" s="421" t="s">
        <v>1387</v>
      </c>
    </row>
    <row r="3323" spans="1:3" x14ac:dyDescent="0.25">
      <c r="A3323" s="417">
        <v>41542</v>
      </c>
      <c r="B3323" s="418">
        <v>0.92259259259259263</v>
      </c>
      <c r="C3323" s="421" t="s">
        <v>1387</v>
      </c>
    </row>
    <row r="3324" spans="1:3" x14ac:dyDescent="0.25">
      <c r="A3324" s="417">
        <v>41542</v>
      </c>
      <c r="B3324" s="418">
        <v>0.92259259259259263</v>
      </c>
      <c r="C3324" s="421" t="s">
        <v>1318</v>
      </c>
    </row>
    <row r="3325" spans="1:3" x14ac:dyDescent="0.25">
      <c r="A3325" s="417">
        <v>41542</v>
      </c>
      <c r="B3325" s="418">
        <v>0.92259259259259263</v>
      </c>
      <c r="C3325" s="421" t="s">
        <v>1388</v>
      </c>
    </row>
    <row r="3326" spans="1:3" x14ac:dyDescent="0.25">
      <c r="A3326" s="417">
        <v>41542</v>
      </c>
      <c r="B3326" s="418">
        <v>0.92259259259259263</v>
      </c>
      <c r="C3326" s="421" t="s">
        <v>1390</v>
      </c>
    </row>
    <row r="3327" spans="1:3" x14ac:dyDescent="0.25">
      <c r="A3327" s="417">
        <v>41542</v>
      </c>
      <c r="B3327" s="418">
        <v>0.92259259259259263</v>
      </c>
      <c r="C3327" s="421" t="s">
        <v>1391</v>
      </c>
    </row>
    <row r="3328" spans="1:3" x14ac:dyDescent="0.25">
      <c r="A3328" s="417">
        <v>41542</v>
      </c>
      <c r="B3328" s="418">
        <v>0.92259259259259263</v>
      </c>
      <c r="C3328" s="421" t="s">
        <v>1392</v>
      </c>
    </row>
    <row r="3329" spans="1:3" x14ac:dyDescent="0.25">
      <c r="A3329" s="417">
        <v>41542</v>
      </c>
      <c r="B3329" s="418">
        <v>0.92259259259259263</v>
      </c>
      <c r="C3329" s="421" t="s">
        <v>1294</v>
      </c>
    </row>
    <row r="3330" spans="1:3" ht="60" x14ac:dyDescent="0.25">
      <c r="A3330" s="417">
        <v>41542</v>
      </c>
      <c r="B3330" s="418">
        <v>0.92259259259259263</v>
      </c>
      <c r="C3330" s="946" t="s">
        <v>1295</v>
      </c>
    </row>
    <row r="3331" spans="1:3" x14ac:dyDescent="0.25">
      <c r="A3331" s="417">
        <v>41542</v>
      </c>
      <c r="B3331" s="418">
        <v>0.92260416666666656</v>
      </c>
      <c r="C3331" s="421" t="s">
        <v>1393</v>
      </c>
    </row>
    <row r="3332" spans="1:3" x14ac:dyDescent="0.25">
      <c r="A3332" s="417">
        <v>41542</v>
      </c>
      <c r="B3332" s="418">
        <v>0.92260416666666656</v>
      </c>
      <c r="C3332" s="421" t="s">
        <v>1394</v>
      </c>
    </row>
    <row r="3333" spans="1:3" x14ac:dyDescent="0.25">
      <c r="A3333" s="417">
        <v>41542</v>
      </c>
      <c r="B3333" s="418">
        <v>0.92260416666666656</v>
      </c>
      <c r="C3333" s="421" t="s">
        <v>1392</v>
      </c>
    </row>
    <row r="3334" spans="1:3" x14ac:dyDescent="0.25">
      <c r="A3334" s="417">
        <v>41542</v>
      </c>
      <c r="B3334" s="418">
        <v>0.92260416666666656</v>
      </c>
      <c r="C3334" s="421" t="s">
        <v>1395</v>
      </c>
    </row>
    <row r="3335" spans="1:3" x14ac:dyDescent="0.25">
      <c r="A3335" s="417">
        <v>41542</v>
      </c>
      <c r="B3335" s="418">
        <v>0.92260416666666656</v>
      </c>
      <c r="C3335" s="421" t="s">
        <v>1396</v>
      </c>
    </row>
    <row r="3336" spans="1:3" x14ac:dyDescent="0.25">
      <c r="A3336" s="417">
        <v>41542</v>
      </c>
      <c r="B3336" s="418">
        <v>0.92260416666666656</v>
      </c>
      <c r="C3336" s="421" t="s">
        <v>1363</v>
      </c>
    </row>
    <row r="3337" spans="1:3" x14ac:dyDescent="0.25">
      <c r="A3337" s="417">
        <v>41542</v>
      </c>
      <c r="B3337" s="418">
        <v>0.92260416666666656</v>
      </c>
      <c r="C3337" s="421" t="s">
        <v>1362</v>
      </c>
    </row>
    <row r="3338" spans="1:3" x14ac:dyDescent="0.25">
      <c r="A3338" s="417">
        <v>41542</v>
      </c>
      <c r="B3338" s="418">
        <v>0.92260416666666656</v>
      </c>
      <c r="C3338" s="421" t="s">
        <v>1397</v>
      </c>
    </row>
    <row r="3339" spans="1:3" x14ac:dyDescent="0.25">
      <c r="A3339" s="417">
        <v>41542</v>
      </c>
      <c r="B3339" s="418">
        <v>0.92260416666666656</v>
      </c>
      <c r="C3339" s="421" t="s">
        <v>1381</v>
      </c>
    </row>
    <row r="3340" spans="1:3" x14ac:dyDescent="0.25">
      <c r="A3340" s="417">
        <v>41542</v>
      </c>
      <c r="B3340" s="418">
        <v>0.92260416666666656</v>
      </c>
      <c r="C3340" s="421" t="s">
        <v>1398</v>
      </c>
    </row>
    <row r="3341" spans="1:3" x14ac:dyDescent="0.25">
      <c r="A3341" s="417">
        <v>41542</v>
      </c>
      <c r="B3341" s="418">
        <v>0.92260416666666656</v>
      </c>
      <c r="C3341" s="421" t="s">
        <v>1399</v>
      </c>
    </row>
    <row r="3342" spans="1:3" x14ac:dyDescent="0.25">
      <c r="A3342" s="417">
        <v>41542</v>
      </c>
      <c r="B3342" s="418">
        <v>0.92260416666666656</v>
      </c>
      <c r="C3342" s="421" t="s">
        <v>1400</v>
      </c>
    </row>
    <row r="3343" spans="1:3" x14ac:dyDescent="0.25">
      <c r="A3343" s="417">
        <v>41542</v>
      </c>
      <c r="B3343" s="418">
        <v>0.92260416666666656</v>
      </c>
      <c r="C3343" s="421" t="s">
        <v>1400</v>
      </c>
    </row>
    <row r="3344" spans="1:3" x14ac:dyDescent="0.25">
      <c r="A3344" s="417">
        <v>41542</v>
      </c>
      <c r="B3344" s="418">
        <v>0.92260416666666656</v>
      </c>
      <c r="C3344" s="421" t="s">
        <v>1373</v>
      </c>
    </row>
    <row r="3345" spans="1:3" x14ac:dyDescent="0.25">
      <c r="A3345" s="417">
        <v>41542</v>
      </c>
      <c r="B3345" s="418">
        <v>0.92260416666666656</v>
      </c>
      <c r="C3345" s="421" t="s">
        <v>1353</v>
      </c>
    </row>
    <row r="3346" spans="1:3" x14ac:dyDescent="0.25">
      <c r="A3346" s="417">
        <v>41542</v>
      </c>
      <c r="B3346" s="418">
        <v>0.92260416666666656</v>
      </c>
      <c r="C3346" s="421" t="s">
        <v>1353</v>
      </c>
    </row>
    <row r="3347" spans="1:3" x14ac:dyDescent="0.25">
      <c r="A3347" s="417">
        <v>41542</v>
      </c>
      <c r="B3347" s="418">
        <v>0.92260416666666656</v>
      </c>
      <c r="C3347" s="421" t="s">
        <v>1401</v>
      </c>
    </row>
    <row r="3348" spans="1:3" x14ac:dyDescent="0.25">
      <c r="A3348" s="417">
        <v>41542</v>
      </c>
      <c r="B3348" s="418">
        <v>0.92260416666666656</v>
      </c>
      <c r="C3348" s="421" t="s">
        <v>1392</v>
      </c>
    </row>
    <row r="3349" spans="1:3" x14ac:dyDescent="0.25">
      <c r="A3349" s="417">
        <v>41542</v>
      </c>
      <c r="B3349" s="418">
        <v>0.92260416666666656</v>
      </c>
      <c r="C3349" s="421" t="s">
        <v>1403</v>
      </c>
    </row>
    <row r="3350" spans="1:3" x14ac:dyDescent="0.25">
      <c r="A3350" s="417">
        <v>41542</v>
      </c>
      <c r="B3350" s="418">
        <v>0.92260416666666656</v>
      </c>
      <c r="C3350" s="421" t="s">
        <v>1403</v>
      </c>
    </row>
    <row r="3351" spans="1:3" x14ac:dyDescent="0.25">
      <c r="A3351" s="417">
        <v>41542</v>
      </c>
      <c r="B3351" s="418">
        <v>0.92260416666666656</v>
      </c>
      <c r="C3351" s="421" t="s">
        <v>1403</v>
      </c>
    </row>
    <row r="3352" spans="1:3" x14ac:dyDescent="0.25">
      <c r="A3352" s="417">
        <v>41542</v>
      </c>
      <c r="B3352" s="418">
        <v>0.92260416666666656</v>
      </c>
      <c r="C3352" s="421" t="s">
        <v>1362</v>
      </c>
    </row>
    <row r="3353" spans="1:3" x14ac:dyDescent="0.25">
      <c r="A3353" s="417">
        <v>41542</v>
      </c>
      <c r="B3353" s="418">
        <v>0.92260416666666656</v>
      </c>
      <c r="C3353" s="421" t="s">
        <v>1364</v>
      </c>
    </row>
    <row r="3354" spans="1:3" x14ac:dyDescent="0.25">
      <c r="A3354" s="417">
        <v>41542</v>
      </c>
      <c r="B3354" s="418">
        <v>0.92260416666666656</v>
      </c>
      <c r="C3354" s="421" t="s">
        <v>1364</v>
      </c>
    </row>
    <row r="3355" spans="1:3" x14ac:dyDescent="0.25">
      <c r="A3355" s="417">
        <v>41542</v>
      </c>
      <c r="B3355" s="418">
        <v>0.92260416666666656</v>
      </c>
      <c r="C3355" s="421" t="s">
        <v>1381</v>
      </c>
    </row>
    <row r="3356" spans="1:3" x14ac:dyDescent="0.25">
      <c r="A3356" s="417">
        <v>41542</v>
      </c>
      <c r="B3356" s="418">
        <v>0.92260416666666656</v>
      </c>
      <c r="C3356" s="421" t="s">
        <v>1364</v>
      </c>
    </row>
    <row r="3357" spans="1:3" x14ac:dyDescent="0.25">
      <c r="A3357" s="417">
        <v>41542</v>
      </c>
      <c r="B3357" s="418">
        <v>0.92260416666666656</v>
      </c>
      <c r="C3357" s="421" t="s">
        <v>1480</v>
      </c>
    </row>
    <row r="3358" spans="1:3" x14ac:dyDescent="0.25">
      <c r="A3358" s="417">
        <v>41542</v>
      </c>
      <c r="B3358" s="418">
        <v>0.92260416666666656</v>
      </c>
      <c r="C3358" s="421" t="s">
        <v>1480</v>
      </c>
    </row>
    <row r="3359" spans="1:3" x14ac:dyDescent="0.25">
      <c r="A3359" s="417">
        <v>41542</v>
      </c>
      <c r="B3359" s="418">
        <v>0.92260416666666656</v>
      </c>
      <c r="C3359" s="421" t="s">
        <v>1480</v>
      </c>
    </row>
    <row r="3360" spans="1:3" x14ac:dyDescent="0.25">
      <c r="A3360" s="417">
        <v>41542</v>
      </c>
      <c r="B3360" s="418">
        <v>0.92260416666666656</v>
      </c>
      <c r="C3360" s="421" t="s">
        <v>1481</v>
      </c>
    </row>
    <row r="3361" spans="1:3" x14ac:dyDescent="0.25">
      <c r="A3361" s="417">
        <v>41542</v>
      </c>
      <c r="B3361" s="418">
        <v>0.92260416666666656</v>
      </c>
      <c r="C3361" s="421" t="s">
        <v>1541</v>
      </c>
    </row>
    <row r="3362" spans="1:3" x14ac:dyDescent="0.25">
      <c r="A3362" s="417">
        <v>41542</v>
      </c>
      <c r="B3362" s="418">
        <v>0.92260416666666656</v>
      </c>
      <c r="C3362" s="421" t="s">
        <v>1346</v>
      </c>
    </row>
    <row r="3363" spans="1:3" x14ac:dyDescent="0.25">
      <c r="A3363" s="417">
        <v>41542</v>
      </c>
      <c r="B3363" s="418">
        <v>0.92260416666666656</v>
      </c>
      <c r="C3363" s="421" t="s">
        <v>1405</v>
      </c>
    </row>
    <row r="3364" spans="1:3" x14ac:dyDescent="0.25">
      <c r="A3364" s="417">
        <v>41542</v>
      </c>
      <c r="B3364" s="418">
        <v>0.92260416666666656</v>
      </c>
      <c r="C3364" s="421" t="s">
        <v>1406</v>
      </c>
    </row>
    <row r="3365" spans="1:3" x14ac:dyDescent="0.25">
      <c r="A3365" s="417">
        <v>41542</v>
      </c>
      <c r="B3365" s="418">
        <v>0.92260416666666656</v>
      </c>
      <c r="C3365" s="421" t="s">
        <v>1362</v>
      </c>
    </row>
    <row r="3366" spans="1:3" x14ac:dyDescent="0.25">
      <c r="A3366" s="417">
        <v>41542</v>
      </c>
      <c r="B3366" s="418">
        <v>0.92260416666666656</v>
      </c>
      <c r="C3366" s="421" t="s">
        <v>1482</v>
      </c>
    </row>
    <row r="3367" spans="1:3" x14ac:dyDescent="0.25">
      <c r="A3367" s="417">
        <v>41542</v>
      </c>
      <c r="B3367" s="418">
        <v>0.92261574074074071</v>
      </c>
      <c r="C3367" s="421" t="s">
        <v>1318</v>
      </c>
    </row>
    <row r="3368" spans="1:3" x14ac:dyDescent="0.25">
      <c r="A3368" s="417">
        <v>41542</v>
      </c>
      <c r="B3368" s="418">
        <v>0.92261574074074071</v>
      </c>
      <c r="C3368" s="421" t="s">
        <v>1368</v>
      </c>
    </row>
    <row r="3369" spans="1:3" x14ac:dyDescent="0.25">
      <c r="A3369" s="417">
        <v>41542</v>
      </c>
      <c r="B3369" s="418">
        <v>0.92261574074074071</v>
      </c>
      <c r="C3369" s="421" t="s">
        <v>1368</v>
      </c>
    </row>
    <row r="3370" spans="1:3" x14ac:dyDescent="0.25">
      <c r="A3370" s="417">
        <v>41542</v>
      </c>
      <c r="B3370" s="418">
        <v>0.92261574074074071</v>
      </c>
      <c r="C3370" s="421" t="s">
        <v>1368</v>
      </c>
    </row>
    <row r="3371" spans="1:3" x14ac:dyDescent="0.25">
      <c r="A3371" s="417">
        <v>41542</v>
      </c>
      <c r="B3371" s="418">
        <v>0.92261574074074071</v>
      </c>
      <c r="C3371" s="421" t="s">
        <v>1368</v>
      </c>
    </row>
    <row r="3372" spans="1:3" x14ac:dyDescent="0.25">
      <c r="A3372" s="417">
        <v>41542</v>
      </c>
      <c r="B3372" s="418">
        <v>0.92261574074074071</v>
      </c>
      <c r="C3372" s="421" t="s">
        <v>1368</v>
      </c>
    </row>
    <row r="3373" spans="1:3" x14ac:dyDescent="0.25">
      <c r="A3373" s="417">
        <v>41542</v>
      </c>
      <c r="B3373" s="418">
        <v>0.92261574074074071</v>
      </c>
      <c r="C3373" s="421" t="s">
        <v>1409</v>
      </c>
    </row>
    <row r="3374" spans="1:3" x14ac:dyDescent="0.25">
      <c r="A3374" s="417">
        <v>41542</v>
      </c>
      <c r="B3374" s="418">
        <v>0.92261574074074071</v>
      </c>
      <c r="C3374" s="421" t="s">
        <v>1308</v>
      </c>
    </row>
    <row r="3375" spans="1:3" x14ac:dyDescent="0.25">
      <c r="A3375" s="417">
        <v>41542</v>
      </c>
      <c r="B3375" s="418">
        <v>0.92261574074074071</v>
      </c>
      <c r="C3375" s="421" t="s">
        <v>1410</v>
      </c>
    </row>
    <row r="3376" spans="1:3" x14ac:dyDescent="0.25">
      <c r="A3376" s="417">
        <v>41542</v>
      </c>
      <c r="B3376" s="418">
        <v>0.92261574074074071</v>
      </c>
      <c r="C3376" s="421" t="s">
        <v>1410</v>
      </c>
    </row>
    <row r="3377" spans="1:3" x14ac:dyDescent="0.25">
      <c r="A3377" s="417">
        <v>41542</v>
      </c>
      <c r="B3377" s="418">
        <v>0.92261574074074071</v>
      </c>
      <c r="C3377" s="421" t="s">
        <v>1411</v>
      </c>
    </row>
    <row r="3378" spans="1:3" x14ac:dyDescent="0.25">
      <c r="A3378" s="417">
        <v>41542</v>
      </c>
      <c r="B3378" s="418">
        <v>0.92261574074074071</v>
      </c>
      <c r="C3378" s="421" t="s">
        <v>1483</v>
      </c>
    </row>
    <row r="3379" spans="1:3" x14ac:dyDescent="0.25">
      <c r="A3379" s="417">
        <v>41542</v>
      </c>
      <c r="B3379" s="418">
        <v>0.92261574074074071</v>
      </c>
      <c r="C3379" s="421" t="s">
        <v>1413</v>
      </c>
    </row>
    <row r="3380" spans="1:3" x14ac:dyDescent="0.25">
      <c r="A3380" s="417">
        <v>41542</v>
      </c>
      <c r="B3380" s="418">
        <v>0.92261574074074071</v>
      </c>
      <c r="C3380" s="421" t="s">
        <v>1414</v>
      </c>
    </row>
    <row r="3381" spans="1:3" x14ac:dyDescent="0.25">
      <c r="A3381" s="417">
        <v>41542</v>
      </c>
      <c r="B3381" s="418">
        <v>0.92261574074074071</v>
      </c>
      <c r="C3381" s="421" t="s">
        <v>1373</v>
      </c>
    </row>
    <row r="3382" spans="1:3" x14ac:dyDescent="0.25">
      <c r="A3382" s="417">
        <v>41542</v>
      </c>
      <c r="B3382" s="418">
        <v>0.92261574074074071</v>
      </c>
      <c r="C3382" s="421" t="s">
        <v>1484</v>
      </c>
    </row>
    <row r="3383" spans="1:3" x14ac:dyDescent="0.25">
      <c r="A3383" s="417">
        <v>41542</v>
      </c>
      <c r="B3383" s="418">
        <v>0.92262731481481486</v>
      </c>
      <c r="C3383" s="421" t="s">
        <v>1409</v>
      </c>
    </row>
    <row r="3384" spans="1:3" x14ac:dyDescent="0.25">
      <c r="A3384" s="417">
        <v>41542</v>
      </c>
      <c r="B3384" s="418">
        <v>0.92262731481481486</v>
      </c>
      <c r="C3384" s="421" t="s">
        <v>1416</v>
      </c>
    </row>
    <row r="3385" spans="1:3" x14ac:dyDescent="0.25">
      <c r="A3385" s="417">
        <v>41542</v>
      </c>
      <c r="B3385" s="418">
        <v>0.92262731481481486</v>
      </c>
      <c r="C3385" s="421" t="s">
        <v>1649</v>
      </c>
    </row>
    <row r="3386" spans="1:3" x14ac:dyDescent="0.25">
      <c r="A3386" s="417">
        <v>41542</v>
      </c>
      <c r="B3386" s="418">
        <v>0.92262731481481486</v>
      </c>
      <c r="C3386" s="421" t="s">
        <v>1348</v>
      </c>
    </row>
    <row r="3387" spans="1:3" x14ac:dyDescent="0.25">
      <c r="A3387" s="417">
        <v>41542</v>
      </c>
      <c r="B3387" s="418">
        <v>0.92262731481481486</v>
      </c>
      <c r="C3387" s="421" t="s">
        <v>1419</v>
      </c>
    </row>
    <row r="3388" spans="1:3" x14ac:dyDescent="0.25">
      <c r="A3388" s="417">
        <v>41542</v>
      </c>
      <c r="B3388" s="418">
        <v>0.92262731481481486</v>
      </c>
      <c r="C3388" s="421" t="s">
        <v>1419</v>
      </c>
    </row>
    <row r="3389" spans="1:3" x14ac:dyDescent="0.25">
      <c r="A3389" s="417">
        <v>41542</v>
      </c>
      <c r="B3389" s="418">
        <v>0.92262731481481486</v>
      </c>
      <c r="C3389" s="421" t="s">
        <v>1420</v>
      </c>
    </row>
    <row r="3390" spans="1:3" x14ac:dyDescent="0.25">
      <c r="A3390" s="417">
        <v>41542</v>
      </c>
      <c r="B3390" s="418">
        <v>0.92262731481481486</v>
      </c>
      <c r="C3390" s="421" t="s">
        <v>1650</v>
      </c>
    </row>
    <row r="3391" spans="1:3" x14ac:dyDescent="0.25">
      <c r="A3391" s="417">
        <v>41542</v>
      </c>
      <c r="B3391" s="418">
        <v>0.92262731481481486</v>
      </c>
      <c r="C3391" s="421" t="s">
        <v>1626</v>
      </c>
    </row>
    <row r="3392" spans="1:3" x14ac:dyDescent="0.25">
      <c r="A3392" s="417">
        <v>41542</v>
      </c>
      <c r="B3392" s="418">
        <v>0.92262731481481486</v>
      </c>
      <c r="C3392" s="421" t="s">
        <v>1485</v>
      </c>
    </row>
    <row r="3393" spans="1:3" x14ac:dyDescent="0.25">
      <c r="A3393" s="417">
        <v>41542</v>
      </c>
      <c r="B3393" s="418">
        <v>0.92262731481481486</v>
      </c>
      <c r="C3393" s="421" t="s">
        <v>1651</v>
      </c>
    </row>
    <row r="3394" spans="1:3" x14ac:dyDescent="0.25">
      <c r="A3394" s="417">
        <v>41542</v>
      </c>
      <c r="B3394" s="418">
        <v>0.92262731481481486</v>
      </c>
      <c r="C3394" s="421" t="s">
        <v>1652</v>
      </c>
    </row>
    <row r="3395" spans="1:3" x14ac:dyDescent="0.25">
      <c r="A3395" s="417">
        <v>41542</v>
      </c>
      <c r="B3395" s="418">
        <v>0.92262731481481486</v>
      </c>
      <c r="C3395" s="421" t="s">
        <v>1653</v>
      </c>
    </row>
    <row r="3396" spans="1:3" x14ac:dyDescent="0.25">
      <c r="A3396" s="417">
        <v>41542</v>
      </c>
      <c r="B3396" s="418">
        <v>0.92262731481481486</v>
      </c>
      <c r="C3396" s="421" t="s">
        <v>1654</v>
      </c>
    </row>
    <row r="3397" spans="1:3" x14ac:dyDescent="0.25">
      <c r="A3397" s="417">
        <v>41542</v>
      </c>
      <c r="B3397" s="418">
        <v>0.92262731481481486</v>
      </c>
      <c r="C3397" s="421" t="s">
        <v>1491</v>
      </c>
    </row>
    <row r="3398" spans="1:3" x14ac:dyDescent="0.25">
      <c r="A3398" s="417">
        <v>41542</v>
      </c>
      <c r="B3398" s="418">
        <v>0.92262731481481486</v>
      </c>
      <c r="C3398" s="421" t="s">
        <v>1320</v>
      </c>
    </row>
    <row r="3399" spans="1:3" x14ac:dyDescent="0.25">
      <c r="A3399" s="417">
        <v>41542</v>
      </c>
      <c r="B3399" s="418">
        <v>0.92262731481481486</v>
      </c>
      <c r="C3399" s="421" t="s">
        <v>1429</v>
      </c>
    </row>
    <row r="3400" spans="1:3" x14ac:dyDescent="0.25">
      <c r="A3400" s="417">
        <v>41542</v>
      </c>
      <c r="B3400" s="418">
        <v>0.92262731481481486</v>
      </c>
      <c r="C3400" s="421" t="s">
        <v>1430</v>
      </c>
    </row>
    <row r="3401" spans="1:3" x14ac:dyDescent="0.25">
      <c r="A3401" s="417">
        <v>41542</v>
      </c>
      <c r="B3401" s="418">
        <v>0.92262731481481486</v>
      </c>
      <c r="C3401" s="421" t="s">
        <v>1655</v>
      </c>
    </row>
    <row r="3402" spans="1:3" x14ac:dyDescent="0.25">
      <c r="A3402" s="417">
        <v>41542</v>
      </c>
      <c r="B3402" s="418">
        <v>0.92262731481481486</v>
      </c>
      <c r="C3402" s="421" t="s">
        <v>1308</v>
      </c>
    </row>
    <row r="3403" spans="1:3" x14ac:dyDescent="0.25">
      <c r="A3403" s="417">
        <v>41542</v>
      </c>
      <c r="B3403" s="418">
        <v>0.92262731481481486</v>
      </c>
      <c r="C3403" s="421" t="s">
        <v>1360</v>
      </c>
    </row>
    <row r="3404" spans="1:3" x14ac:dyDescent="0.25">
      <c r="A3404" s="417">
        <v>41542</v>
      </c>
      <c r="B3404" s="418">
        <v>0.92262731481481486</v>
      </c>
      <c r="C3404" s="421" t="s">
        <v>1432</v>
      </c>
    </row>
    <row r="3405" spans="1:3" x14ac:dyDescent="0.25">
      <c r="A3405" s="417">
        <v>41542</v>
      </c>
      <c r="B3405" s="418">
        <v>0.92262731481481486</v>
      </c>
      <c r="C3405" s="421" t="s">
        <v>1432</v>
      </c>
    </row>
    <row r="3406" spans="1:3" x14ac:dyDescent="0.25">
      <c r="A3406" s="417">
        <v>41542</v>
      </c>
      <c r="B3406" s="418">
        <v>0.92262731481481486</v>
      </c>
      <c r="C3406" s="421" t="s">
        <v>1432</v>
      </c>
    </row>
    <row r="3407" spans="1:3" x14ac:dyDescent="0.25">
      <c r="A3407" s="417">
        <v>41542</v>
      </c>
      <c r="B3407" s="418">
        <v>0.92262731481481486</v>
      </c>
      <c r="C3407" s="421" t="s">
        <v>1281</v>
      </c>
    </row>
    <row r="3408" spans="1:3" ht="60" x14ac:dyDescent="0.25">
      <c r="A3408" s="417">
        <v>41542</v>
      </c>
      <c r="B3408" s="418">
        <v>0.92262731481481486</v>
      </c>
      <c r="C3408" s="946" t="s">
        <v>1282</v>
      </c>
    </row>
    <row r="3409" spans="1:3" x14ac:dyDescent="0.25">
      <c r="A3409" s="417">
        <v>41542</v>
      </c>
      <c r="B3409" s="418">
        <v>0.92267361111111112</v>
      </c>
      <c r="C3409" s="421" t="s">
        <v>1413</v>
      </c>
    </row>
    <row r="3410" spans="1:3" x14ac:dyDescent="0.25">
      <c r="A3410" s="417">
        <v>41542</v>
      </c>
      <c r="B3410" s="418">
        <v>0.92267361111111112</v>
      </c>
      <c r="C3410" s="421" t="s">
        <v>1656</v>
      </c>
    </row>
    <row r="3411" spans="1:3" x14ac:dyDescent="0.25">
      <c r="A3411" s="417">
        <v>41542</v>
      </c>
      <c r="B3411" s="418">
        <v>0.92268518518518527</v>
      </c>
      <c r="C3411" s="421" t="s">
        <v>1657</v>
      </c>
    </row>
    <row r="3412" spans="1:3" x14ac:dyDescent="0.25">
      <c r="A3412" s="417">
        <v>41542</v>
      </c>
      <c r="B3412" s="418">
        <v>0.92268518518518527</v>
      </c>
      <c r="C3412" s="421" t="s">
        <v>1495</v>
      </c>
    </row>
    <row r="3413" spans="1:3" x14ac:dyDescent="0.25">
      <c r="A3413" s="417">
        <v>41542</v>
      </c>
      <c r="B3413" s="418">
        <v>0.92268518518518527</v>
      </c>
      <c r="C3413" s="421" t="s">
        <v>1496</v>
      </c>
    </row>
    <row r="3414" spans="1:3" x14ac:dyDescent="0.25">
      <c r="A3414" s="417">
        <v>41542</v>
      </c>
      <c r="B3414" s="418">
        <v>0.92268518518518527</v>
      </c>
      <c r="C3414" s="421" t="s">
        <v>1497</v>
      </c>
    </row>
    <row r="3415" spans="1:3" x14ac:dyDescent="0.25">
      <c r="A3415" s="417">
        <v>41542</v>
      </c>
      <c r="B3415" s="418">
        <v>0.92268518518518527</v>
      </c>
      <c r="C3415" s="421" t="s">
        <v>1658</v>
      </c>
    </row>
    <row r="3416" spans="1:3" x14ac:dyDescent="0.25">
      <c r="A3416" s="417">
        <v>41542</v>
      </c>
      <c r="B3416" s="418">
        <v>0.92268518518518527</v>
      </c>
      <c r="C3416" s="421" t="s">
        <v>1659</v>
      </c>
    </row>
    <row r="3417" spans="1:3" x14ac:dyDescent="0.25">
      <c r="A3417" s="417">
        <v>41542</v>
      </c>
      <c r="B3417" s="418">
        <v>0.92268518518518527</v>
      </c>
      <c r="C3417" s="421" t="s">
        <v>1660</v>
      </c>
    </row>
    <row r="3418" spans="1:3" x14ac:dyDescent="0.25">
      <c r="A3418" s="417">
        <v>41542</v>
      </c>
      <c r="B3418" s="418">
        <v>0.92268518518518527</v>
      </c>
      <c r="C3418" s="421" t="s">
        <v>1661</v>
      </c>
    </row>
    <row r="3419" spans="1:3" x14ac:dyDescent="0.25">
      <c r="A3419" s="417">
        <v>41542</v>
      </c>
      <c r="B3419" s="418">
        <v>0.92268518518518527</v>
      </c>
      <c r="C3419" s="421" t="s">
        <v>1320</v>
      </c>
    </row>
    <row r="3420" spans="1:3" x14ac:dyDescent="0.25">
      <c r="A3420" s="417">
        <v>41542</v>
      </c>
      <c r="B3420" s="418">
        <v>0.92268518518518527</v>
      </c>
      <c r="C3420" s="421" t="s">
        <v>1502</v>
      </c>
    </row>
    <row r="3421" spans="1:3" x14ac:dyDescent="0.25">
      <c r="A3421" s="417">
        <v>41542</v>
      </c>
      <c r="B3421" s="418">
        <v>0.92268518518518527</v>
      </c>
      <c r="C3421" s="421" t="s">
        <v>1503</v>
      </c>
    </row>
    <row r="3422" spans="1:3" x14ac:dyDescent="0.25">
      <c r="A3422" s="417">
        <v>41542</v>
      </c>
      <c r="B3422" s="418">
        <v>0.92268518518518527</v>
      </c>
      <c r="C3422" s="421" t="s">
        <v>1504</v>
      </c>
    </row>
    <row r="3423" spans="1:3" x14ac:dyDescent="0.25">
      <c r="A3423" s="417">
        <v>41542</v>
      </c>
      <c r="B3423" s="418">
        <v>0.92268518518518527</v>
      </c>
      <c r="C3423" s="421" t="s">
        <v>1505</v>
      </c>
    </row>
    <row r="3424" spans="1:3" x14ac:dyDescent="0.25">
      <c r="A3424" s="417">
        <v>41542</v>
      </c>
      <c r="B3424" s="418">
        <v>0.92268518518518527</v>
      </c>
      <c r="C3424" s="421" t="s">
        <v>1446</v>
      </c>
    </row>
    <row r="3425" spans="1:3" x14ac:dyDescent="0.25">
      <c r="A3425" s="417">
        <v>41542</v>
      </c>
      <c r="B3425" s="418">
        <v>0.92268518518518527</v>
      </c>
      <c r="C3425" s="421" t="s">
        <v>1238</v>
      </c>
    </row>
    <row r="3426" spans="1:3" x14ac:dyDescent="0.25">
      <c r="A3426" s="417">
        <v>41542</v>
      </c>
      <c r="B3426" s="418">
        <v>0.92268518518518527</v>
      </c>
      <c r="C3426" s="421" t="s">
        <v>1662</v>
      </c>
    </row>
    <row r="3427" spans="1:3" x14ac:dyDescent="0.25">
      <c r="A3427" s="417">
        <v>41542</v>
      </c>
      <c r="B3427" s="418">
        <v>0.92268518518518527</v>
      </c>
      <c r="C3427" s="421" t="s">
        <v>1389</v>
      </c>
    </row>
    <row r="3428" spans="1:3" x14ac:dyDescent="0.25">
      <c r="A3428" s="417">
        <v>41542</v>
      </c>
      <c r="B3428" s="418">
        <v>0.92268518518518527</v>
      </c>
      <c r="C3428" s="421" t="s">
        <v>1448</v>
      </c>
    </row>
    <row r="3429" spans="1:3" x14ac:dyDescent="0.25">
      <c r="A3429" s="417">
        <v>41542</v>
      </c>
      <c r="B3429" s="418">
        <v>0.92268518518518527</v>
      </c>
      <c r="C3429" s="421" t="s">
        <v>1450</v>
      </c>
    </row>
    <row r="3430" spans="1:3" x14ac:dyDescent="0.25">
      <c r="A3430" s="417">
        <v>41542</v>
      </c>
      <c r="B3430" s="418">
        <v>0.92268518518518527</v>
      </c>
      <c r="C3430" s="421" t="s">
        <v>1450</v>
      </c>
    </row>
    <row r="3431" spans="1:3" x14ac:dyDescent="0.25">
      <c r="A3431" s="417">
        <v>41542</v>
      </c>
      <c r="B3431" s="418">
        <v>0.92268518518518527</v>
      </c>
      <c r="C3431" s="421" t="s">
        <v>1450</v>
      </c>
    </row>
    <row r="3432" spans="1:3" x14ac:dyDescent="0.25">
      <c r="A3432" s="417">
        <v>41542</v>
      </c>
      <c r="B3432" s="418">
        <v>0.92268518518518527</v>
      </c>
      <c r="C3432" s="421" t="s">
        <v>1450</v>
      </c>
    </row>
    <row r="3433" spans="1:3" x14ac:dyDescent="0.25">
      <c r="A3433" s="417">
        <v>41542</v>
      </c>
      <c r="B3433" s="418">
        <v>0.92268518518518527</v>
      </c>
      <c r="C3433" s="421" t="s">
        <v>1450</v>
      </c>
    </row>
    <row r="3434" spans="1:3" x14ac:dyDescent="0.25">
      <c r="A3434" s="417">
        <v>41542</v>
      </c>
      <c r="B3434" s="418">
        <v>0.92268518518518527</v>
      </c>
      <c r="C3434" s="421" t="s">
        <v>1450</v>
      </c>
    </row>
    <row r="3435" spans="1:3" x14ac:dyDescent="0.25">
      <c r="A3435" s="417">
        <v>41542</v>
      </c>
      <c r="B3435" s="418">
        <v>0.92268518518518527</v>
      </c>
      <c r="C3435" s="421" t="s">
        <v>1450</v>
      </c>
    </row>
    <row r="3436" spans="1:3" x14ac:dyDescent="0.25">
      <c r="A3436" s="417">
        <v>41542</v>
      </c>
      <c r="B3436" s="418">
        <v>0.92268518518518527</v>
      </c>
      <c r="C3436" s="421" t="s">
        <v>1448</v>
      </c>
    </row>
    <row r="3437" spans="1:3" x14ac:dyDescent="0.25">
      <c r="A3437" s="417">
        <v>41542</v>
      </c>
      <c r="B3437" s="418">
        <v>0.92268518518518527</v>
      </c>
      <c r="C3437" s="421" t="s">
        <v>1399</v>
      </c>
    </row>
    <row r="3438" spans="1:3" x14ac:dyDescent="0.25">
      <c r="A3438" s="417">
        <v>41542</v>
      </c>
      <c r="B3438" s="418">
        <v>0.92268518518518527</v>
      </c>
      <c r="C3438" s="421" t="s">
        <v>1309</v>
      </c>
    </row>
    <row r="3439" spans="1:3" x14ac:dyDescent="0.25">
      <c r="A3439" s="417">
        <v>41542</v>
      </c>
      <c r="B3439" s="418">
        <v>0.92268518518518527</v>
      </c>
      <c r="C3439" s="421" t="s">
        <v>1630</v>
      </c>
    </row>
    <row r="3440" spans="1:3" x14ac:dyDescent="0.25">
      <c r="A3440" s="417">
        <v>41542</v>
      </c>
      <c r="B3440" s="418">
        <v>0.92268518518518527</v>
      </c>
      <c r="C3440" s="421" t="s">
        <v>1631</v>
      </c>
    </row>
    <row r="3441" spans="1:3" x14ac:dyDescent="0.25">
      <c r="A3441" s="417">
        <v>41542</v>
      </c>
      <c r="B3441" s="418">
        <v>0.92268518518518527</v>
      </c>
      <c r="C3441" s="421" t="s">
        <v>1632</v>
      </c>
    </row>
    <row r="3442" spans="1:3" x14ac:dyDescent="0.25">
      <c r="A3442" s="417">
        <v>41542</v>
      </c>
      <c r="B3442" s="418">
        <v>0.92268518518518527</v>
      </c>
      <c r="C3442" s="421" t="s">
        <v>1617</v>
      </c>
    </row>
    <row r="3443" spans="1:3" x14ac:dyDescent="0.25">
      <c r="A3443" s="417">
        <v>41542</v>
      </c>
      <c r="B3443" s="418">
        <v>0.92268518518518527</v>
      </c>
      <c r="C3443" s="421" t="s">
        <v>1633</v>
      </c>
    </row>
    <row r="3444" spans="1:3" x14ac:dyDescent="0.25">
      <c r="A3444" s="417">
        <v>41542</v>
      </c>
      <c r="B3444" s="418">
        <v>0.92268518518518527</v>
      </c>
      <c r="C3444" s="421" t="s">
        <v>1634</v>
      </c>
    </row>
    <row r="3445" spans="1:3" x14ac:dyDescent="0.25">
      <c r="A3445" s="417">
        <v>41542</v>
      </c>
      <c r="B3445" s="418">
        <v>0.92268518518518527</v>
      </c>
      <c r="C3445" s="421" t="s">
        <v>1633</v>
      </c>
    </row>
    <row r="3446" spans="1:3" x14ac:dyDescent="0.25">
      <c r="A3446" s="417">
        <v>41542</v>
      </c>
      <c r="B3446" s="418">
        <v>0.92268518518518527</v>
      </c>
      <c r="C3446" s="421" t="s">
        <v>1634</v>
      </c>
    </row>
    <row r="3447" spans="1:3" ht="45" x14ac:dyDescent="0.25">
      <c r="A3447" s="417">
        <v>41542</v>
      </c>
      <c r="B3447" s="418">
        <v>0.93483796296296295</v>
      </c>
      <c r="C3447" s="946" t="s">
        <v>1663</v>
      </c>
    </row>
    <row r="3448" spans="1:3" ht="45" x14ac:dyDescent="0.25">
      <c r="A3448" s="417">
        <v>41542</v>
      </c>
      <c r="B3448" s="418">
        <v>0.94094907407407413</v>
      </c>
      <c r="C3448" s="946" t="s">
        <v>1664</v>
      </c>
    </row>
    <row r="3449" spans="1:3" ht="30" x14ac:dyDescent="0.25">
      <c r="A3449" s="417">
        <v>41542</v>
      </c>
      <c r="B3449" s="418">
        <v>0.94106481481481474</v>
      </c>
      <c r="C3449" s="946" t="s">
        <v>1665</v>
      </c>
    </row>
    <row r="3450" spans="1:3" ht="45" x14ac:dyDescent="0.25">
      <c r="A3450" s="417">
        <v>41542</v>
      </c>
      <c r="B3450" s="418">
        <v>0.94116898148148154</v>
      </c>
      <c r="C3450" s="946" t="s">
        <v>1666</v>
      </c>
    </row>
    <row r="3451" spans="1:3" x14ac:dyDescent="0.25">
      <c r="A3451" s="417">
        <v>41542</v>
      </c>
      <c r="B3451" s="418">
        <v>0.94848379629629631</v>
      </c>
      <c r="C3451" s="421" t="s">
        <v>1238</v>
      </c>
    </row>
    <row r="3452" spans="1:3" x14ac:dyDescent="0.25">
      <c r="A3452" s="417">
        <v>41542</v>
      </c>
      <c r="B3452" s="418">
        <v>0.95486111111111116</v>
      </c>
      <c r="C3452" s="421" t="s">
        <v>1307</v>
      </c>
    </row>
    <row r="3453" spans="1:3" x14ac:dyDescent="0.25">
      <c r="A3453" s="417">
        <v>41542</v>
      </c>
      <c r="B3453" s="418">
        <v>0.95494212962962965</v>
      </c>
      <c r="C3453" s="421" t="s">
        <v>1308</v>
      </c>
    </row>
    <row r="3454" spans="1:3" x14ac:dyDescent="0.25">
      <c r="A3454" s="417">
        <v>41542</v>
      </c>
      <c r="B3454" s="418">
        <v>0.95494212962962965</v>
      </c>
      <c r="C3454" s="421" t="s">
        <v>1309</v>
      </c>
    </row>
    <row r="3455" spans="1:3" x14ac:dyDescent="0.25">
      <c r="A3455" s="417">
        <v>41542</v>
      </c>
      <c r="B3455" s="418">
        <v>0.9549537037037038</v>
      </c>
      <c r="C3455" s="421" t="s">
        <v>1310</v>
      </c>
    </row>
    <row r="3456" spans="1:3" x14ac:dyDescent="0.25">
      <c r="A3456" s="417">
        <v>41542</v>
      </c>
      <c r="B3456" s="418">
        <v>0.95516203703703706</v>
      </c>
      <c r="C3456" s="421" t="s">
        <v>1311</v>
      </c>
    </row>
    <row r="3457" spans="1:3" x14ac:dyDescent="0.25">
      <c r="A3457" s="417">
        <v>41542</v>
      </c>
      <c r="B3457" s="418">
        <v>0.95516203703703706</v>
      </c>
      <c r="C3457" s="421" t="s">
        <v>1312</v>
      </c>
    </row>
    <row r="3458" spans="1:3" x14ac:dyDescent="0.25">
      <c r="A3458" s="417">
        <v>41542</v>
      </c>
      <c r="B3458" s="418">
        <v>0.95516203703703706</v>
      </c>
      <c r="C3458" s="421" t="s">
        <v>1313</v>
      </c>
    </row>
    <row r="3459" spans="1:3" x14ac:dyDescent="0.25">
      <c r="A3459" s="417">
        <v>41542</v>
      </c>
      <c r="B3459" s="418">
        <v>0.95516203703703706</v>
      </c>
      <c r="C3459" s="421" t="s">
        <v>1310</v>
      </c>
    </row>
    <row r="3460" spans="1:3" x14ac:dyDescent="0.25">
      <c r="A3460" s="417">
        <v>41542</v>
      </c>
      <c r="B3460" s="418">
        <v>0.95516203703703706</v>
      </c>
      <c r="C3460" s="421" t="s">
        <v>1314</v>
      </c>
    </row>
    <row r="3461" spans="1:3" x14ac:dyDescent="0.25">
      <c r="A3461" s="417">
        <v>41542</v>
      </c>
      <c r="B3461" s="418">
        <v>0.95516203703703706</v>
      </c>
      <c r="C3461" s="421" t="s">
        <v>1315</v>
      </c>
    </row>
    <row r="3462" spans="1:3" x14ac:dyDescent="0.25">
      <c r="A3462" s="417">
        <v>41542</v>
      </c>
      <c r="B3462" s="418">
        <v>0.95516203703703706</v>
      </c>
      <c r="C3462" s="421" t="s">
        <v>1460</v>
      </c>
    </row>
    <row r="3463" spans="1:3" x14ac:dyDescent="0.25">
      <c r="A3463" s="417">
        <v>41542</v>
      </c>
      <c r="B3463" s="418">
        <v>0.95516203703703706</v>
      </c>
      <c r="C3463" s="421" t="s">
        <v>1461</v>
      </c>
    </row>
    <row r="3464" spans="1:3" x14ac:dyDescent="0.25">
      <c r="A3464" s="417">
        <v>41542</v>
      </c>
      <c r="B3464" s="418">
        <v>0.95516203703703706</v>
      </c>
      <c r="C3464" s="421" t="s">
        <v>1310</v>
      </c>
    </row>
    <row r="3465" spans="1:3" x14ac:dyDescent="0.25">
      <c r="A3465" s="417">
        <v>41542</v>
      </c>
      <c r="B3465" s="418">
        <v>0.95516203703703706</v>
      </c>
      <c r="C3465" s="421" t="s">
        <v>1238</v>
      </c>
    </row>
    <row r="3466" spans="1:3" x14ac:dyDescent="0.25">
      <c r="A3466" s="417">
        <v>41542</v>
      </c>
      <c r="B3466" s="418">
        <v>0.95516203703703706</v>
      </c>
      <c r="C3466" s="421" t="s">
        <v>1462</v>
      </c>
    </row>
    <row r="3467" spans="1:3" x14ac:dyDescent="0.25">
      <c r="A3467" s="417">
        <v>41542</v>
      </c>
      <c r="B3467" s="418">
        <v>0.95516203703703706</v>
      </c>
      <c r="C3467" s="421" t="s">
        <v>1316</v>
      </c>
    </row>
    <row r="3468" spans="1:3" x14ac:dyDescent="0.25">
      <c r="A3468" s="417">
        <v>41542</v>
      </c>
      <c r="B3468" s="418">
        <v>0.95516203703703706</v>
      </c>
      <c r="C3468" s="421" t="s">
        <v>1316</v>
      </c>
    </row>
    <row r="3469" spans="1:3" x14ac:dyDescent="0.25">
      <c r="A3469" s="417">
        <v>41542</v>
      </c>
      <c r="B3469" s="418">
        <v>0.95516203703703706</v>
      </c>
      <c r="C3469" s="421" t="s">
        <v>1317</v>
      </c>
    </row>
    <row r="3470" spans="1:3" x14ac:dyDescent="0.25">
      <c r="A3470" s="417">
        <v>41542</v>
      </c>
      <c r="B3470" s="418">
        <v>0.95516203703703706</v>
      </c>
      <c r="C3470" s="421" t="s">
        <v>1309</v>
      </c>
    </row>
    <row r="3471" spans="1:3" x14ac:dyDescent="0.25">
      <c r="A3471" s="417">
        <v>41542</v>
      </c>
      <c r="B3471" s="418">
        <v>0.95516203703703706</v>
      </c>
      <c r="C3471" s="421" t="s">
        <v>1318</v>
      </c>
    </row>
    <row r="3472" spans="1:3" x14ac:dyDescent="0.25">
      <c r="A3472" s="417">
        <v>41542</v>
      </c>
      <c r="B3472" s="418">
        <v>0.95849537037037036</v>
      </c>
      <c r="C3472" s="421" t="s">
        <v>1667</v>
      </c>
    </row>
    <row r="3473" spans="1:3" ht="60" x14ac:dyDescent="0.25">
      <c r="A3473" s="417">
        <v>41542</v>
      </c>
      <c r="B3473" s="418">
        <v>0.95849537037037036</v>
      </c>
      <c r="C3473" s="946" t="s">
        <v>1668</v>
      </c>
    </row>
    <row r="3474" spans="1:3" x14ac:dyDescent="0.25">
      <c r="A3474" s="417">
        <v>41542</v>
      </c>
      <c r="B3474" s="418">
        <v>0.96534722222222225</v>
      </c>
      <c r="C3474" s="871" t="s">
        <v>1667</v>
      </c>
    </row>
    <row r="3475" spans="1:3" ht="60" x14ac:dyDescent="0.25">
      <c r="A3475" s="417">
        <v>41542</v>
      </c>
      <c r="B3475" s="418">
        <v>0.96863425925925928</v>
      </c>
      <c r="C3475" s="946" t="s">
        <v>1668</v>
      </c>
    </row>
    <row r="3476" spans="1:3" x14ac:dyDescent="0.25">
      <c r="A3476" s="417">
        <v>41543</v>
      </c>
      <c r="B3476" s="418">
        <v>6.7592592592592591E-3</v>
      </c>
      <c r="C3476" s="421" t="s">
        <v>1238</v>
      </c>
    </row>
    <row r="3477" spans="1:3" x14ac:dyDescent="0.25">
      <c r="A3477" s="417">
        <v>41543</v>
      </c>
      <c r="B3477" s="418">
        <v>6.7592592592592591E-3</v>
      </c>
      <c r="C3477" s="421" t="s">
        <v>1307</v>
      </c>
    </row>
    <row r="3478" spans="1:3" x14ac:dyDescent="0.25">
      <c r="A3478" s="417">
        <v>41543</v>
      </c>
      <c r="B3478" s="418">
        <v>6.7592592592592591E-3</v>
      </c>
      <c r="C3478" s="421" t="s">
        <v>1308</v>
      </c>
    </row>
    <row r="3479" spans="1:3" x14ac:dyDescent="0.25">
      <c r="A3479" s="417">
        <v>41543</v>
      </c>
      <c r="B3479" s="418">
        <v>6.7592592592592591E-3</v>
      </c>
      <c r="C3479" s="421" t="s">
        <v>1309</v>
      </c>
    </row>
    <row r="3480" spans="1:3" x14ac:dyDescent="0.25">
      <c r="A3480" s="417">
        <v>41543</v>
      </c>
      <c r="B3480" s="418">
        <v>6.7592592592592591E-3</v>
      </c>
      <c r="C3480" s="421" t="s">
        <v>1310</v>
      </c>
    </row>
    <row r="3481" spans="1:3" x14ac:dyDescent="0.25">
      <c r="A3481" s="417">
        <v>41543</v>
      </c>
      <c r="B3481" s="418">
        <v>6.7592592592592591E-3</v>
      </c>
      <c r="C3481" s="421" t="s">
        <v>1311</v>
      </c>
    </row>
    <row r="3482" spans="1:3" x14ac:dyDescent="0.25">
      <c r="A3482" s="417">
        <v>41543</v>
      </c>
      <c r="B3482" s="418">
        <v>6.7592592592592591E-3</v>
      </c>
      <c r="C3482" s="421" t="s">
        <v>1312</v>
      </c>
    </row>
    <row r="3483" spans="1:3" x14ac:dyDescent="0.25">
      <c r="A3483" s="417">
        <v>41543</v>
      </c>
      <c r="B3483" s="418">
        <v>6.7592592592592591E-3</v>
      </c>
      <c r="C3483" s="421" t="s">
        <v>1313</v>
      </c>
    </row>
    <row r="3484" spans="1:3" x14ac:dyDescent="0.25">
      <c r="A3484" s="417">
        <v>41543</v>
      </c>
      <c r="B3484" s="418">
        <v>6.7592592592592591E-3</v>
      </c>
      <c r="C3484" s="421" t="s">
        <v>1310</v>
      </c>
    </row>
    <row r="3485" spans="1:3" x14ac:dyDescent="0.25">
      <c r="A3485" s="417">
        <v>41543</v>
      </c>
      <c r="B3485" s="418">
        <v>6.7592592592592591E-3</v>
      </c>
      <c r="C3485" s="421" t="s">
        <v>1314</v>
      </c>
    </row>
    <row r="3486" spans="1:3" x14ac:dyDescent="0.25">
      <c r="A3486" s="417">
        <v>41543</v>
      </c>
      <c r="B3486" s="418">
        <v>6.7592592592592591E-3</v>
      </c>
      <c r="C3486" s="421" t="s">
        <v>1315</v>
      </c>
    </row>
    <row r="3487" spans="1:3" x14ac:dyDescent="0.25">
      <c r="A3487" s="417">
        <v>41543</v>
      </c>
      <c r="B3487" s="418">
        <v>6.7592592592592591E-3</v>
      </c>
      <c r="C3487" s="421" t="s">
        <v>1460</v>
      </c>
    </row>
    <row r="3488" spans="1:3" x14ac:dyDescent="0.25">
      <c r="A3488" s="417">
        <v>41543</v>
      </c>
      <c r="B3488" s="418">
        <v>6.7592592592592591E-3</v>
      </c>
      <c r="C3488" s="421" t="s">
        <v>1461</v>
      </c>
    </row>
    <row r="3489" spans="1:3" x14ac:dyDescent="0.25">
      <c r="A3489" s="417">
        <v>41543</v>
      </c>
      <c r="B3489" s="418">
        <v>6.7592592592592591E-3</v>
      </c>
      <c r="C3489" s="421" t="s">
        <v>1310</v>
      </c>
    </row>
    <row r="3490" spans="1:3" x14ac:dyDescent="0.25">
      <c r="A3490" s="417">
        <v>41543</v>
      </c>
      <c r="B3490" s="418">
        <v>6.7592592592592591E-3</v>
      </c>
      <c r="C3490" s="421" t="s">
        <v>1238</v>
      </c>
    </row>
    <row r="3491" spans="1:3" x14ac:dyDescent="0.25">
      <c r="A3491" s="417">
        <v>41543</v>
      </c>
      <c r="B3491" s="418">
        <v>6.7592592592592591E-3</v>
      </c>
      <c r="C3491" s="421" t="s">
        <v>1462</v>
      </c>
    </row>
    <row r="3492" spans="1:3" x14ac:dyDescent="0.25">
      <c r="A3492" s="417">
        <v>41543</v>
      </c>
      <c r="B3492" s="418">
        <v>6.7592592592592591E-3</v>
      </c>
      <c r="C3492" s="421" t="s">
        <v>1316</v>
      </c>
    </row>
    <row r="3493" spans="1:3" x14ac:dyDescent="0.25">
      <c r="A3493" s="417">
        <v>41543</v>
      </c>
      <c r="B3493" s="418">
        <v>6.7592592592592591E-3</v>
      </c>
      <c r="C3493" s="421" t="s">
        <v>1316</v>
      </c>
    </row>
    <row r="3494" spans="1:3" x14ac:dyDescent="0.25">
      <c r="A3494" s="417">
        <v>41543</v>
      </c>
      <c r="B3494" s="418">
        <v>6.7592592592592591E-3</v>
      </c>
      <c r="C3494" s="421" t="s">
        <v>1317</v>
      </c>
    </row>
    <row r="3495" spans="1:3" x14ac:dyDescent="0.25">
      <c r="A3495" s="417">
        <v>41543</v>
      </c>
      <c r="B3495" s="418">
        <v>6.7592592592592591E-3</v>
      </c>
      <c r="C3495" s="421" t="s">
        <v>1309</v>
      </c>
    </row>
    <row r="3496" spans="1:3" x14ac:dyDescent="0.25">
      <c r="A3496" s="417">
        <v>41543</v>
      </c>
      <c r="B3496" s="418">
        <v>6.7592592592592591E-3</v>
      </c>
      <c r="C3496" s="421" t="s">
        <v>1318</v>
      </c>
    </row>
    <row r="3497" spans="1:3" x14ac:dyDescent="0.25">
      <c r="A3497" s="417">
        <v>41543</v>
      </c>
      <c r="B3497" s="418">
        <v>6.8981481481481489E-3</v>
      </c>
      <c r="C3497" s="421" t="s">
        <v>1319</v>
      </c>
    </row>
    <row r="3498" spans="1:3" x14ac:dyDescent="0.25">
      <c r="A3498" s="417">
        <v>41543</v>
      </c>
      <c r="B3498" s="418">
        <v>6.8981481481481489E-3</v>
      </c>
      <c r="C3498" s="421" t="s">
        <v>1320</v>
      </c>
    </row>
    <row r="3499" spans="1:3" x14ac:dyDescent="0.25">
      <c r="A3499" s="417">
        <v>41543</v>
      </c>
      <c r="B3499" s="418">
        <v>6.8981481481481489E-3</v>
      </c>
      <c r="C3499" s="421" t="s">
        <v>1318</v>
      </c>
    </row>
    <row r="3500" spans="1:3" x14ac:dyDescent="0.25">
      <c r="A3500" s="417">
        <v>41543</v>
      </c>
      <c r="B3500" s="418">
        <v>7.0023148148148154E-3</v>
      </c>
      <c r="C3500" s="421" t="s">
        <v>1307</v>
      </c>
    </row>
    <row r="3501" spans="1:3" x14ac:dyDescent="0.25">
      <c r="A3501" s="417">
        <v>41543</v>
      </c>
      <c r="B3501" s="418">
        <v>7.0023148148148154E-3</v>
      </c>
      <c r="C3501" s="421" t="s">
        <v>1321</v>
      </c>
    </row>
    <row r="3502" spans="1:3" x14ac:dyDescent="0.25">
      <c r="A3502" s="417">
        <v>41543</v>
      </c>
      <c r="B3502" s="418">
        <v>7.0023148148148154E-3</v>
      </c>
      <c r="C3502" s="421" t="s">
        <v>1322</v>
      </c>
    </row>
    <row r="3503" spans="1:3" x14ac:dyDescent="0.25">
      <c r="A3503" s="417">
        <v>41543</v>
      </c>
      <c r="B3503" s="418">
        <v>7.0023148148148154E-3</v>
      </c>
      <c r="C3503" s="421" t="s">
        <v>1322</v>
      </c>
    </row>
    <row r="3504" spans="1:3" x14ac:dyDescent="0.25">
      <c r="A3504" s="417">
        <v>41543</v>
      </c>
      <c r="B3504" s="418">
        <v>7.0023148148148154E-3</v>
      </c>
      <c r="C3504" s="421" t="s">
        <v>1323</v>
      </c>
    </row>
    <row r="3505" spans="1:3" x14ac:dyDescent="0.25">
      <c r="A3505" s="417">
        <v>41543</v>
      </c>
      <c r="B3505" s="418">
        <v>7.0023148148148154E-3</v>
      </c>
      <c r="C3505" s="421" t="s">
        <v>1324</v>
      </c>
    </row>
    <row r="3506" spans="1:3" x14ac:dyDescent="0.25">
      <c r="A3506" s="417">
        <v>41543</v>
      </c>
      <c r="B3506" s="418">
        <v>7.0023148148148154E-3</v>
      </c>
      <c r="C3506" s="421" t="s">
        <v>1310</v>
      </c>
    </row>
    <row r="3507" spans="1:3" x14ac:dyDescent="0.25">
      <c r="A3507" s="417">
        <v>41543</v>
      </c>
      <c r="B3507" s="418">
        <v>7.0023148148148154E-3</v>
      </c>
      <c r="C3507" s="421" t="s">
        <v>1325</v>
      </c>
    </row>
    <row r="3508" spans="1:3" x14ac:dyDescent="0.25">
      <c r="A3508" s="417">
        <v>41543</v>
      </c>
      <c r="B3508" s="418">
        <v>7.0023148148148154E-3</v>
      </c>
      <c r="C3508" s="421" t="s">
        <v>1326</v>
      </c>
    </row>
    <row r="3509" spans="1:3" x14ac:dyDescent="0.25">
      <c r="A3509" s="417">
        <v>41543</v>
      </c>
      <c r="B3509" s="418">
        <v>7.0023148148148154E-3</v>
      </c>
      <c r="C3509" s="421" t="s">
        <v>1238</v>
      </c>
    </row>
    <row r="3510" spans="1:3" x14ac:dyDescent="0.25">
      <c r="A3510" s="417">
        <v>41543</v>
      </c>
      <c r="B3510" s="418">
        <v>7.0023148148148154E-3</v>
      </c>
      <c r="C3510" s="421" t="s">
        <v>1327</v>
      </c>
    </row>
    <row r="3511" spans="1:3" x14ac:dyDescent="0.25">
      <c r="A3511" s="417">
        <v>41543</v>
      </c>
      <c r="B3511" s="418">
        <v>7.0023148148148154E-3</v>
      </c>
      <c r="C3511" s="421" t="s">
        <v>1328</v>
      </c>
    </row>
    <row r="3512" spans="1:3" ht="60" x14ac:dyDescent="0.25">
      <c r="A3512" s="417">
        <v>41543</v>
      </c>
      <c r="B3512" s="418">
        <v>7.0023148148148154E-3</v>
      </c>
      <c r="C3512" s="946" t="s">
        <v>1645</v>
      </c>
    </row>
    <row r="3513" spans="1:3" x14ac:dyDescent="0.25">
      <c r="A3513" s="417">
        <v>41543</v>
      </c>
      <c r="B3513" s="418">
        <v>7.083333333333333E-3</v>
      </c>
      <c r="C3513" s="421" t="s">
        <v>1323</v>
      </c>
    </row>
    <row r="3514" spans="1:3" x14ac:dyDescent="0.25">
      <c r="A3514" s="417">
        <v>41543</v>
      </c>
      <c r="B3514" s="418">
        <v>7.083333333333333E-3</v>
      </c>
      <c r="C3514" s="421" t="s">
        <v>1342</v>
      </c>
    </row>
    <row r="3515" spans="1:3" x14ac:dyDescent="0.25">
      <c r="A3515" s="417">
        <v>41543</v>
      </c>
      <c r="B3515" s="418">
        <v>7.083333333333333E-3</v>
      </c>
      <c r="C3515" s="421" t="s">
        <v>1343</v>
      </c>
    </row>
    <row r="3516" spans="1:3" x14ac:dyDescent="0.25">
      <c r="A3516" s="417">
        <v>41543</v>
      </c>
      <c r="B3516" s="418">
        <v>7.083333333333333E-3</v>
      </c>
      <c r="C3516" s="421" t="s">
        <v>1344</v>
      </c>
    </row>
    <row r="3517" spans="1:3" x14ac:dyDescent="0.25">
      <c r="A3517" s="417">
        <v>41543</v>
      </c>
      <c r="B3517" s="418">
        <v>7.083333333333333E-3</v>
      </c>
      <c r="C3517" s="421" t="s">
        <v>1344</v>
      </c>
    </row>
    <row r="3518" spans="1:3" x14ac:dyDescent="0.25">
      <c r="A3518" s="417">
        <v>41543</v>
      </c>
      <c r="B3518" s="418">
        <v>7.083333333333333E-3</v>
      </c>
      <c r="C3518" s="421" t="s">
        <v>1310</v>
      </c>
    </row>
    <row r="3519" spans="1:3" x14ac:dyDescent="0.25">
      <c r="A3519" s="417">
        <v>41543</v>
      </c>
      <c r="B3519" s="418">
        <v>7.083333333333333E-3</v>
      </c>
      <c r="C3519" s="421" t="s">
        <v>1345</v>
      </c>
    </row>
    <row r="3520" spans="1:3" x14ac:dyDescent="0.25">
      <c r="A3520" s="417">
        <v>41543</v>
      </c>
      <c r="B3520" s="418">
        <v>7.083333333333333E-3</v>
      </c>
      <c r="C3520" s="421" t="s">
        <v>1346</v>
      </c>
    </row>
    <row r="3521" spans="1:3" x14ac:dyDescent="0.25">
      <c r="A3521" s="417">
        <v>41543</v>
      </c>
      <c r="B3521" s="418">
        <v>7.083333333333333E-3</v>
      </c>
      <c r="C3521" s="421" t="s">
        <v>1347</v>
      </c>
    </row>
    <row r="3522" spans="1:3" x14ac:dyDescent="0.25">
      <c r="A3522" s="417">
        <v>41543</v>
      </c>
      <c r="B3522" s="418">
        <v>7.083333333333333E-3</v>
      </c>
      <c r="C3522" s="421" t="s">
        <v>1348</v>
      </c>
    </row>
    <row r="3523" spans="1:3" x14ac:dyDescent="0.25">
      <c r="A3523" s="417">
        <v>41543</v>
      </c>
      <c r="B3523" s="418">
        <v>7.083333333333333E-3</v>
      </c>
      <c r="C3523" s="421" t="s">
        <v>1349</v>
      </c>
    </row>
    <row r="3524" spans="1:3" x14ac:dyDescent="0.25">
      <c r="A3524" s="417">
        <v>41543</v>
      </c>
      <c r="B3524" s="418">
        <v>7.083333333333333E-3</v>
      </c>
      <c r="C3524" s="421" t="s">
        <v>1349</v>
      </c>
    </row>
    <row r="3525" spans="1:3" x14ac:dyDescent="0.25">
      <c r="A3525" s="417">
        <v>41543</v>
      </c>
      <c r="B3525" s="418">
        <v>7.083333333333333E-3</v>
      </c>
      <c r="C3525" s="421" t="s">
        <v>1348</v>
      </c>
    </row>
    <row r="3526" spans="1:3" x14ac:dyDescent="0.25">
      <c r="A3526" s="417">
        <v>41543</v>
      </c>
      <c r="B3526" s="418">
        <v>7.083333333333333E-3</v>
      </c>
      <c r="C3526" s="421" t="s">
        <v>1350</v>
      </c>
    </row>
    <row r="3527" spans="1:3" x14ac:dyDescent="0.25">
      <c r="A3527" s="417">
        <v>41543</v>
      </c>
      <c r="B3527" s="418">
        <v>7.083333333333333E-3</v>
      </c>
      <c r="C3527" s="421" t="s">
        <v>1351</v>
      </c>
    </row>
    <row r="3528" spans="1:3" x14ac:dyDescent="0.25">
      <c r="A3528" s="417">
        <v>41543</v>
      </c>
      <c r="B3528" s="418">
        <v>7.083333333333333E-3</v>
      </c>
      <c r="C3528" s="421" t="s">
        <v>1352</v>
      </c>
    </row>
    <row r="3529" spans="1:3" x14ac:dyDescent="0.25">
      <c r="A3529" s="417">
        <v>41543</v>
      </c>
      <c r="B3529" s="418">
        <v>7.083333333333333E-3</v>
      </c>
      <c r="C3529" s="421" t="s">
        <v>1287</v>
      </c>
    </row>
    <row r="3530" spans="1:3" ht="60" x14ac:dyDescent="0.25">
      <c r="A3530" s="417">
        <v>41543</v>
      </c>
      <c r="B3530" s="418">
        <v>7.083333333333333E-3</v>
      </c>
      <c r="C3530" s="946" t="s">
        <v>1288</v>
      </c>
    </row>
    <row r="3531" spans="1:3" x14ac:dyDescent="0.25">
      <c r="A3531" s="417">
        <v>41543</v>
      </c>
      <c r="B3531" s="418">
        <v>7.0949074074074074E-3</v>
      </c>
      <c r="C3531" s="421" t="s">
        <v>1646</v>
      </c>
    </row>
    <row r="3532" spans="1:3" x14ac:dyDescent="0.25">
      <c r="A3532" s="417">
        <v>41543</v>
      </c>
      <c r="B3532" s="418">
        <v>7.106481481481481E-3</v>
      </c>
      <c r="C3532" s="421" t="s">
        <v>1353</v>
      </c>
    </row>
    <row r="3533" spans="1:3" x14ac:dyDescent="0.25">
      <c r="A3533" s="417">
        <v>41543</v>
      </c>
      <c r="B3533" s="418">
        <v>7.106481481481481E-3</v>
      </c>
      <c r="C3533" s="421" t="s">
        <v>1354</v>
      </c>
    </row>
    <row r="3534" spans="1:3" x14ac:dyDescent="0.25">
      <c r="A3534" s="417">
        <v>41543</v>
      </c>
      <c r="B3534" s="418">
        <v>7.106481481481481E-3</v>
      </c>
      <c r="C3534" s="421" t="s">
        <v>1355</v>
      </c>
    </row>
    <row r="3535" spans="1:3" x14ac:dyDescent="0.25">
      <c r="A3535" s="417">
        <v>41543</v>
      </c>
      <c r="B3535" s="418">
        <v>7.106481481481481E-3</v>
      </c>
      <c r="C3535" s="421" t="s">
        <v>1357</v>
      </c>
    </row>
    <row r="3536" spans="1:3" x14ac:dyDescent="0.25">
      <c r="A3536" s="417">
        <v>41543</v>
      </c>
      <c r="B3536" s="418">
        <v>7.106481481481481E-3</v>
      </c>
      <c r="C3536" s="421" t="s">
        <v>1358</v>
      </c>
    </row>
    <row r="3537" spans="1:3" x14ac:dyDescent="0.25">
      <c r="A3537" s="417">
        <v>41543</v>
      </c>
      <c r="B3537" s="418">
        <v>7.106481481481481E-3</v>
      </c>
      <c r="C3537" s="421" t="s">
        <v>1359</v>
      </c>
    </row>
    <row r="3538" spans="1:3" x14ac:dyDescent="0.25">
      <c r="A3538" s="417">
        <v>41543</v>
      </c>
      <c r="B3538" s="418">
        <v>7.106481481481481E-3</v>
      </c>
      <c r="C3538" s="421" t="s">
        <v>1360</v>
      </c>
    </row>
    <row r="3539" spans="1:3" x14ac:dyDescent="0.25">
      <c r="A3539" s="417">
        <v>41543</v>
      </c>
      <c r="B3539" s="418">
        <v>7.1180555555555554E-3</v>
      </c>
      <c r="C3539" s="421" t="s">
        <v>1361</v>
      </c>
    </row>
    <row r="3540" spans="1:3" x14ac:dyDescent="0.25">
      <c r="A3540" s="417">
        <v>41543</v>
      </c>
      <c r="B3540" s="418">
        <v>7.1180555555555554E-3</v>
      </c>
      <c r="C3540" s="421" t="s">
        <v>1317</v>
      </c>
    </row>
    <row r="3541" spans="1:3" x14ac:dyDescent="0.25">
      <c r="A3541" s="417">
        <v>41543</v>
      </c>
      <c r="B3541" s="418">
        <v>7.1180555555555554E-3</v>
      </c>
      <c r="C3541" s="421" t="s">
        <v>1537</v>
      </c>
    </row>
    <row r="3542" spans="1:3" x14ac:dyDescent="0.25">
      <c r="A3542" s="417">
        <v>41543</v>
      </c>
      <c r="B3542" s="418">
        <v>7.1180555555555554E-3</v>
      </c>
      <c r="C3542" s="421" t="s">
        <v>1362</v>
      </c>
    </row>
    <row r="3543" spans="1:3" x14ac:dyDescent="0.25">
      <c r="A3543" s="417">
        <v>41543</v>
      </c>
      <c r="B3543" s="418">
        <v>7.1180555555555554E-3</v>
      </c>
      <c r="C3543" s="421" t="s">
        <v>1355</v>
      </c>
    </row>
    <row r="3544" spans="1:3" x14ac:dyDescent="0.25">
      <c r="A3544" s="417">
        <v>41543</v>
      </c>
      <c r="B3544" s="418">
        <v>7.1180555555555554E-3</v>
      </c>
      <c r="C3544" s="421" t="s">
        <v>1363</v>
      </c>
    </row>
    <row r="3545" spans="1:3" x14ac:dyDescent="0.25">
      <c r="A3545" s="417">
        <v>41543</v>
      </c>
      <c r="B3545" s="418">
        <v>7.1180555555555554E-3</v>
      </c>
      <c r="C3545" s="421" t="s">
        <v>1364</v>
      </c>
    </row>
    <row r="3546" spans="1:3" x14ac:dyDescent="0.25">
      <c r="A3546" s="417">
        <v>41543</v>
      </c>
      <c r="B3546" s="418">
        <v>7.1180555555555554E-3</v>
      </c>
      <c r="C3546" s="421" t="s">
        <v>1365</v>
      </c>
    </row>
    <row r="3547" spans="1:3" x14ac:dyDescent="0.25">
      <c r="A3547" s="417">
        <v>41543</v>
      </c>
      <c r="B3547" s="418">
        <v>7.1180555555555554E-3</v>
      </c>
      <c r="C3547" s="421" t="s">
        <v>1365</v>
      </c>
    </row>
    <row r="3548" spans="1:3" x14ac:dyDescent="0.25">
      <c r="A3548" s="417">
        <v>41543</v>
      </c>
      <c r="B3548" s="418">
        <v>7.1296296296296307E-3</v>
      </c>
      <c r="C3548" s="421" t="s">
        <v>1366</v>
      </c>
    </row>
    <row r="3549" spans="1:3" x14ac:dyDescent="0.25">
      <c r="A3549" s="417">
        <v>41543</v>
      </c>
      <c r="B3549" s="418">
        <v>7.1296296296296307E-3</v>
      </c>
      <c r="C3549" s="421" t="s">
        <v>1320</v>
      </c>
    </row>
    <row r="3550" spans="1:3" x14ac:dyDescent="0.25">
      <c r="A3550" s="417">
        <v>41543</v>
      </c>
      <c r="B3550" s="418">
        <v>7.1296296296296307E-3</v>
      </c>
      <c r="C3550" s="421" t="s">
        <v>1367</v>
      </c>
    </row>
    <row r="3551" spans="1:3" x14ac:dyDescent="0.25">
      <c r="A3551" s="417">
        <v>41543</v>
      </c>
      <c r="B3551" s="418">
        <v>7.1296296296296307E-3</v>
      </c>
      <c r="C3551" s="421" t="s">
        <v>1344</v>
      </c>
    </row>
    <row r="3552" spans="1:3" x14ac:dyDescent="0.25">
      <c r="A3552" s="417">
        <v>41543</v>
      </c>
      <c r="B3552" s="418">
        <v>7.1296296296296307E-3</v>
      </c>
      <c r="C3552" s="421" t="s">
        <v>1368</v>
      </c>
    </row>
    <row r="3553" spans="1:3" x14ac:dyDescent="0.25">
      <c r="A3553" s="417">
        <v>41543</v>
      </c>
      <c r="B3553" s="418">
        <v>7.1296296296296307E-3</v>
      </c>
      <c r="C3553" s="421" t="s">
        <v>1369</v>
      </c>
    </row>
    <row r="3554" spans="1:3" x14ac:dyDescent="0.25">
      <c r="A3554" s="417">
        <v>41543</v>
      </c>
      <c r="B3554" s="418">
        <v>7.1296296296296307E-3</v>
      </c>
      <c r="C3554" s="421" t="s">
        <v>1307</v>
      </c>
    </row>
    <row r="3555" spans="1:3" x14ac:dyDescent="0.25">
      <c r="A3555" s="417">
        <v>41543</v>
      </c>
      <c r="B3555" s="418">
        <v>7.1296296296296307E-3</v>
      </c>
      <c r="C3555" s="421" t="s">
        <v>1370</v>
      </c>
    </row>
    <row r="3556" spans="1:3" x14ac:dyDescent="0.25">
      <c r="A3556" s="417">
        <v>41543</v>
      </c>
      <c r="B3556" s="418">
        <v>7.1296296296296307E-3</v>
      </c>
      <c r="C3556" s="421" t="s">
        <v>1371</v>
      </c>
    </row>
    <row r="3557" spans="1:3" x14ac:dyDescent="0.25">
      <c r="A3557" s="417">
        <v>41543</v>
      </c>
      <c r="B3557" s="418">
        <v>7.1296296296296307E-3</v>
      </c>
      <c r="C3557" s="421" t="s">
        <v>1344</v>
      </c>
    </row>
    <row r="3558" spans="1:3" x14ac:dyDescent="0.25">
      <c r="A3558" s="417">
        <v>41543</v>
      </c>
      <c r="B3558" s="418">
        <v>7.1296296296296307E-3</v>
      </c>
      <c r="C3558" s="421" t="s">
        <v>1317</v>
      </c>
    </row>
    <row r="3559" spans="1:3" x14ac:dyDescent="0.25">
      <c r="A3559" s="417">
        <v>41543</v>
      </c>
      <c r="B3559" s="418">
        <v>7.1296296296296307E-3</v>
      </c>
      <c r="C3559" s="421" t="s">
        <v>1463</v>
      </c>
    </row>
    <row r="3560" spans="1:3" x14ac:dyDescent="0.25">
      <c r="A3560" s="417">
        <v>41543</v>
      </c>
      <c r="B3560" s="418">
        <v>7.1296296296296307E-3</v>
      </c>
      <c r="C3560" s="421" t="s">
        <v>1378</v>
      </c>
    </row>
    <row r="3561" spans="1:3" ht="60" x14ac:dyDescent="0.25">
      <c r="A3561" s="417">
        <v>41543</v>
      </c>
      <c r="B3561" s="418">
        <v>7.1296296296296307E-3</v>
      </c>
      <c r="C3561" s="946" t="s">
        <v>1647</v>
      </c>
    </row>
    <row r="3562" spans="1:3" x14ac:dyDescent="0.25">
      <c r="A3562" s="417">
        <v>41543</v>
      </c>
      <c r="B3562" s="418">
        <v>7.1527777777777787E-3</v>
      </c>
      <c r="C3562" s="421" t="s">
        <v>1373</v>
      </c>
    </row>
    <row r="3563" spans="1:3" x14ac:dyDescent="0.25">
      <c r="A3563" s="417">
        <v>41543</v>
      </c>
      <c r="B3563" s="418">
        <v>7.1527777777777787E-3</v>
      </c>
      <c r="C3563" s="421" t="s">
        <v>1308</v>
      </c>
    </row>
    <row r="3564" spans="1:3" x14ac:dyDescent="0.25">
      <c r="A3564" s="417">
        <v>41543</v>
      </c>
      <c r="B3564" s="418">
        <v>7.1527777777777787E-3</v>
      </c>
      <c r="C3564" s="421" t="s">
        <v>1374</v>
      </c>
    </row>
    <row r="3565" spans="1:3" x14ac:dyDescent="0.25">
      <c r="A3565" s="417">
        <v>41543</v>
      </c>
      <c r="B3565" s="418">
        <v>7.1527777777777787E-3</v>
      </c>
      <c r="C3565" s="421" t="s">
        <v>1375</v>
      </c>
    </row>
    <row r="3566" spans="1:3" x14ac:dyDescent="0.25">
      <c r="A3566" s="417">
        <v>41543</v>
      </c>
      <c r="B3566" s="418">
        <v>7.1527777777777787E-3</v>
      </c>
      <c r="C3566" s="421" t="s">
        <v>1376</v>
      </c>
    </row>
    <row r="3567" spans="1:3" x14ac:dyDescent="0.25">
      <c r="A3567" s="417">
        <v>41543</v>
      </c>
      <c r="B3567" s="418">
        <v>7.1527777777777787E-3</v>
      </c>
      <c r="C3567" s="421" t="s">
        <v>1377</v>
      </c>
    </row>
    <row r="3568" spans="1:3" x14ac:dyDescent="0.25">
      <c r="A3568" s="417">
        <v>41543</v>
      </c>
      <c r="B3568" s="418">
        <v>7.1527777777777787E-3</v>
      </c>
      <c r="C3568" s="421" t="s">
        <v>1326</v>
      </c>
    </row>
    <row r="3569" spans="1:3" x14ac:dyDescent="0.25">
      <c r="A3569" s="417">
        <v>41543</v>
      </c>
      <c r="B3569" s="418">
        <v>7.1527777777777787E-3</v>
      </c>
      <c r="C3569" s="421" t="s">
        <v>1378</v>
      </c>
    </row>
    <row r="3570" spans="1:3" ht="60" x14ac:dyDescent="0.25">
      <c r="A3570" s="417">
        <v>41543</v>
      </c>
      <c r="B3570" s="418">
        <v>7.1527777777777787E-3</v>
      </c>
      <c r="C3570" s="946" t="s">
        <v>1648</v>
      </c>
    </row>
    <row r="3571" spans="1:3" x14ac:dyDescent="0.25">
      <c r="A3571" s="417">
        <v>41543</v>
      </c>
      <c r="B3571" s="418">
        <v>7.1759259259259259E-3</v>
      </c>
      <c r="C3571" s="421" t="s">
        <v>1380</v>
      </c>
    </row>
    <row r="3572" spans="1:3" x14ac:dyDescent="0.25">
      <c r="A3572" s="417">
        <v>41543</v>
      </c>
      <c r="B3572" s="418">
        <v>7.1874999999999994E-3</v>
      </c>
      <c r="C3572" s="421" t="s">
        <v>1381</v>
      </c>
    </row>
    <row r="3573" spans="1:3" x14ac:dyDescent="0.25">
      <c r="A3573" s="417">
        <v>41543</v>
      </c>
      <c r="B3573" s="418">
        <v>7.1874999999999994E-3</v>
      </c>
      <c r="C3573" s="421" t="s">
        <v>1382</v>
      </c>
    </row>
    <row r="3574" spans="1:3" x14ac:dyDescent="0.25">
      <c r="A3574" s="417">
        <v>41543</v>
      </c>
      <c r="B3574" s="418">
        <v>7.1874999999999994E-3</v>
      </c>
      <c r="C3574" s="421" t="s">
        <v>1383</v>
      </c>
    </row>
    <row r="3575" spans="1:3" x14ac:dyDescent="0.25">
      <c r="A3575" s="417">
        <v>41543</v>
      </c>
      <c r="B3575" s="418">
        <v>7.1874999999999994E-3</v>
      </c>
      <c r="C3575" s="421" t="s">
        <v>1352</v>
      </c>
    </row>
    <row r="3576" spans="1:3" x14ac:dyDescent="0.25">
      <c r="A3576" s="417">
        <v>41543</v>
      </c>
      <c r="B3576" s="418">
        <v>7.1874999999999994E-3</v>
      </c>
      <c r="C3576" s="421" t="s">
        <v>1384</v>
      </c>
    </row>
    <row r="3577" spans="1:3" x14ac:dyDescent="0.25">
      <c r="A3577" s="417">
        <v>41543</v>
      </c>
      <c r="B3577" s="418">
        <v>7.1874999999999994E-3</v>
      </c>
      <c r="C3577" s="421" t="s">
        <v>1385</v>
      </c>
    </row>
    <row r="3578" spans="1:3" x14ac:dyDescent="0.25">
      <c r="A3578" s="417">
        <v>41543</v>
      </c>
      <c r="B3578" s="418">
        <v>7.1874999999999994E-3</v>
      </c>
      <c r="C3578" s="421" t="s">
        <v>1385</v>
      </c>
    </row>
    <row r="3579" spans="1:3" x14ac:dyDescent="0.25">
      <c r="A3579" s="417">
        <v>41543</v>
      </c>
      <c r="B3579" s="418">
        <v>7.1990740740740739E-3</v>
      </c>
      <c r="C3579" s="421" t="s">
        <v>1386</v>
      </c>
    </row>
    <row r="3580" spans="1:3" x14ac:dyDescent="0.25">
      <c r="A3580" s="417">
        <v>41543</v>
      </c>
      <c r="B3580" s="418">
        <v>7.1990740740740739E-3</v>
      </c>
      <c r="C3580" s="421" t="s">
        <v>1387</v>
      </c>
    </row>
    <row r="3581" spans="1:3" x14ac:dyDescent="0.25">
      <c r="A3581" s="417">
        <v>41543</v>
      </c>
      <c r="B3581" s="418">
        <v>7.1990740740740739E-3</v>
      </c>
      <c r="C3581" s="421" t="s">
        <v>1387</v>
      </c>
    </row>
    <row r="3582" spans="1:3" x14ac:dyDescent="0.25">
      <c r="A3582" s="417">
        <v>41543</v>
      </c>
      <c r="B3582" s="418">
        <v>7.1990740740740739E-3</v>
      </c>
      <c r="C3582" s="421" t="s">
        <v>1318</v>
      </c>
    </row>
    <row r="3583" spans="1:3" x14ac:dyDescent="0.25">
      <c r="A3583" s="417">
        <v>41543</v>
      </c>
      <c r="B3583" s="418">
        <v>7.2106481481481475E-3</v>
      </c>
      <c r="C3583" s="421" t="s">
        <v>1388</v>
      </c>
    </row>
    <row r="3584" spans="1:3" x14ac:dyDescent="0.25">
      <c r="A3584" s="417">
        <v>41543</v>
      </c>
      <c r="B3584" s="418">
        <v>7.2222222222222228E-3</v>
      </c>
      <c r="C3584" s="421" t="s">
        <v>1390</v>
      </c>
    </row>
    <row r="3585" spans="1:3" x14ac:dyDescent="0.25">
      <c r="A3585" s="417">
        <v>41543</v>
      </c>
      <c r="B3585" s="418">
        <v>7.2337962962962963E-3</v>
      </c>
      <c r="C3585" s="421" t="s">
        <v>1391</v>
      </c>
    </row>
    <row r="3586" spans="1:3" x14ac:dyDescent="0.25">
      <c r="A3586" s="417">
        <v>41543</v>
      </c>
      <c r="B3586" s="418">
        <v>7.2337962962962963E-3</v>
      </c>
      <c r="C3586" s="421" t="s">
        <v>1392</v>
      </c>
    </row>
    <row r="3587" spans="1:3" x14ac:dyDescent="0.25">
      <c r="A3587" s="417">
        <v>41543</v>
      </c>
      <c r="B3587" s="418">
        <v>7.2337962962962963E-3</v>
      </c>
      <c r="C3587" s="421" t="s">
        <v>1294</v>
      </c>
    </row>
    <row r="3588" spans="1:3" ht="60" x14ac:dyDescent="0.25">
      <c r="A3588" s="417">
        <v>41543</v>
      </c>
      <c r="B3588" s="418">
        <v>7.2337962962962963E-3</v>
      </c>
      <c r="C3588" s="946" t="s">
        <v>1295</v>
      </c>
    </row>
    <row r="3589" spans="1:3" x14ac:dyDescent="0.25">
      <c r="A3589" s="417">
        <v>41543</v>
      </c>
      <c r="B3589" s="418">
        <v>7.3032407407407412E-3</v>
      </c>
      <c r="C3589" s="421" t="s">
        <v>1393</v>
      </c>
    </row>
    <row r="3590" spans="1:3" x14ac:dyDescent="0.25">
      <c r="A3590" s="417">
        <v>41543</v>
      </c>
      <c r="B3590" s="418">
        <v>7.3032407407407412E-3</v>
      </c>
      <c r="C3590" s="421" t="s">
        <v>1394</v>
      </c>
    </row>
    <row r="3591" spans="1:3" x14ac:dyDescent="0.25">
      <c r="A3591" s="417">
        <v>41543</v>
      </c>
      <c r="B3591" s="418">
        <v>7.3032407407407412E-3</v>
      </c>
      <c r="C3591" s="421" t="s">
        <v>1392</v>
      </c>
    </row>
    <row r="3592" spans="1:3" x14ac:dyDescent="0.25">
      <c r="A3592" s="417">
        <v>41543</v>
      </c>
      <c r="B3592" s="418">
        <v>7.3032407407407412E-3</v>
      </c>
      <c r="C3592" s="421" t="s">
        <v>1395</v>
      </c>
    </row>
    <row r="3593" spans="1:3" x14ac:dyDescent="0.25">
      <c r="A3593" s="417">
        <v>41543</v>
      </c>
      <c r="B3593" s="418">
        <v>7.3032407407407412E-3</v>
      </c>
      <c r="C3593" s="421" t="s">
        <v>1396</v>
      </c>
    </row>
    <row r="3594" spans="1:3" x14ac:dyDescent="0.25">
      <c r="A3594" s="417">
        <v>41543</v>
      </c>
      <c r="B3594" s="418">
        <v>7.3032407407407412E-3</v>
      </c>
      <c r="C3594" s="421" t="s">
        <v>1363</v>
      </c>
    </row>
    <row r="3595" spans="1:3" x14ac:dyDescent="0.25">
      <c r="A3595" s="417">
        <v>41543</v>
      </c>
      <c r="B3595" s="418">
        <v>7.3148148148148148E-3</v>
      </c>
      <c r="C3595" s="421" t="s">
        <v>1362</v>
      </c>
    </row>
    <row r="3596" spans="1:3" x14ac:dyDescent="0.25">
      <c r="A3596" s="417">
        <v>41543</v>
      </c>
      <c r="B3596" s="418">
        <v>7.3148148148148148E-3</v>
      </c>
      <c r="C3596" s="421" t="s">
        <v>1397</v>
      </c>
    </row>
    <row r="3597" spans="1:3" x14ac:dyDescent="0.25">
      <c r="A3597" s="417">
        <v>41543</v>
      </c>
      <c r="B3597" s="418">
        <v>7.3148148148148148E-3</v>
      </c>
      <c r="C3597" s="421" t="s">
        <v>1381</v>
      </c>
    </row>
    <row r="3598" spans="1:3" x14ac:dyDescent="0.25">
      <c r="A3598" s="417">
        <v>41543</v>
      </c>
      <c r="B3598" s="418">
        <v>7.3379629629629628E-3</v>
      </c>
      <c r="C3598" s="421" t="s">
        <v>1398</v>
      </c>
    </row>
    <row r="3599" spans="1:3" x14ac:dyDescent="0.25">
      <c r="A3599" s="417">
        <v>41543</v>
      </c>
      <c r="B3599" s="418">
        <v>7.3379629629629628E-3</v>
      </c>
      <c r="C3599" s="421" t="s">
        <v>1399</v>
      </c>
    </row>
    <row r="3600" spans="1:3" x14ac:dyDescent="0.25">
      <c r="A3600" s="417">
        <v>41543</v>
      </c>
      <c r="B3600" s="418">
        <v>7.3379629629629628E-3</v>
      </c>
      <c r="C3600" s="421" t="s">
        <v>1400</v>
      </c>
    </row>
    <row r="3601" spans="1:3" x14ac:dyDescent="0.25">
      <c r="A3601" s="417">
        <v>41543</v>
      </c>
      <c r="B3601" s="418">
        <v>7.3379629629629628E-3</v>
      </c>
      <c r="C3601" s="421" t="s">
        <v>1400</v>
      </c>
    </row>
    <row r="3602" spans="1:3" x14ac:dyDescent="0.25">
      <c r="A3602" s="417">
        <v>41543</v>
      </c>
      <c r="B3602" s="418">
        <v>7.3495370370370372E-3</v>
      </c>
      <c r="C3602" s="421" t="s">
        <v>1373</v>
      </c>
    </row>
    <row r="3603" spans="1:3" x14ac:dyDescent="0.25">
      <c r="A3603" s="417">
        <v>41543</v>
      </c>
      <c r="B3603" s="418">
        <v>7.3611111111111108E-3</v>
      </c>
      <c r="C3603" s="421" t="s">
        <v>1353</v>
      </c>
    </row>
    <row r="3604" spans="1:3" x14ac:dyDescent="0.25">
      <c r="A3604" s="417">
        <v>41543</v>
      </c>
      <c r="B3604" s="418">
        <v>7.3611111111111108E-3</v>
      </c>
      <c r="C3604" s="421" t="s">
        <v>1353</v>
      </c>
    </row>
    <row r="3605" spans="1:3" x14ac:dyDescent="0.25">
      <c r="A3605" s="417">
        <v>41543</v>
      </c>
      <c r="B3605" s="418">
        <v>7.3726851851851861E-3</v>
      </c>
      <c r="C3605" s="421" t="s">
        <v>1401</v>
      </c>
    </row>
    <row r="3606" spans="1:3" x14ac:dyDescent="0.25">
      <c r="A3606" s="417">
        <v>41543</v>
      </c>
      <c r="B3606" s="418">
        <v>7.3842592592592597E-3</v>
      </c>
      <c r="C3606" s="421" t="s">
        <v>1392</v>
      </c>
    </row>
    <row r="3607" spans="1:3" x14ac:dyDescent="0.25">
      <c r="A3607" s="417">
        <v>41543</v>
      </c>
      <c r="B3607" s="418">
        <v>7.3958333333333341E-3</v>
      </c>
      <c r="C3607" s="421" t="s">
        <v>1403</v>
      </c>
    </row>
    <row r="3608" spans="1:3" x14ac:dyDescent="0.25">
      <c r="A3608" s="417">
        <v>41543</v>
      </c>
      <c r="B3608" s="418">
        <v>7.3958333333333341E-3</v>
      </c>
      <c r="C3608" s="421" t="s">
        <v>1403</v>
      </c>
    </row>
    <row r="3609" spans="1:3" x14ac:dyDescent="0.25">
      <c r="A3609" s="417">
        <v>41543</v>
      </c>
      <c r="B3609" s="418">
        <v>7.3958333333333341E-3</v>
      </c>
      <c r="C3609" s="421" t="s">
        <v>1403</v>
      </c>
    </row>
    <row r="3610" spans="1:3" x14ac:dyDescent="0.25">
      <c r="A3610" s="417">
        <v>41543</v>
      </c>
      <c r="B3610" s="418">
        <v>7.4189814814814813E-3</v>
      </c>
      <c r="C3610" s="421" t="s">
        <v>1362</v>
      </c>
    </row>
    <row r="3611" spans="1:3" x14ac:dyDescent="0.25">
      <c r="A3611" s="417">
        <v>41543</v>
      </c>
      <c r="B3611" s="418">
        <v>7.4189814814814813E-3</v>
      </c>
      <c r="C3611" s="421" t="s">
        <v>1364</v>
      </c>
    </row>
    <row r="3612" spans="1:3" x14ac:dyDescent="0.25">
      <c r="A3612" s="417">
        <v>41543</v>
      </c>
      <c r="B3612" s="418">
        <v>7.4189814814814813E-3</v>
      </c>
      <c r="C3612" s="421" t="s">
        <v>1364</v>
      </c>
    </row>
    <row r="3613" spans="1:3" x14ac:dyDescent="0.25">
      <c r="A3613" s="417">
        <v>41543</v>
      </c>
      <c r="B3613" s="418">
        <v>7.4305555555555548E-3</v>
      </c>
      <c r="C3613" s="421" t="s">
        <v>1381</v>
      </c>
    </row>
    <row r="3614" spans="1:3" x14ac:dyDescent="0.25">
      <c r="A3614" s="417">
        <v>41543</v>
      </c>
      <c r="B3614" s="418">
        <v>7.4421296296296293E-3</v>
      </c>
      <c r="C3614" s="421" t="s">
        <v>1364</v>
      </c>
    </row>
    <row r="3615" spans="1:3" x14ac:dyDescent="0.25">
      <c r="A3615" s="417">
        <v>41543</v>
      </c>
      <c r="B3615" s="418">
        <v>7.4537037037037028E-3</v>
      </c>
      <c r="C3615" s="421" t="s">
        <v>1480</v>
      </c>
    </row>
    <row r="3616" spans="1:3" x14ac:dyDescent="0.25">
      <c r="A3616" s="417">
        <v>41543</v>
      </c>
      <c r="B3616" s="418">
        <v>7.4537037037037028E-3</v>
      </c>
      <c r="C3616" s="421" t="s">
        <v>1480</v>
      </c>
    </row>
    <row r="3617" spans="1:3" x14ac:dyDescent="0.25">
      <c r="A3617" s="417">
        <v>41543</v>
      </c>
      <c r="B3617" s="418">
        <v>7.4537037037037028E-3</v>
      </c>
      <c r="C3617" s="421" t="s">
        <v>1480</v>
      </c>
    </row>
    <row r="3618" spans="1:3" x14ac:dyDescent="0.25">
      <c r="A3618" s="417">
        <v>41543</v>
      </c>
      <c r="B3618" s="418">
        <v>7.4537037037037028E-3</v>
      </c>
      <c r="C3618" s="421" t="s">
        <v>1481</v>
      </c>
    </row>
    <row r="3619" spans="1:3" x14ac:dyDescent="0.25">
      <c r="A3619" s="417">
        <v>41543</v>
      </c>
      <c r="B3619" s="418">
        <v>7.4537037037037028E-3</v>
      </c>
      <c r="C3619" s="421" t="s">
        <v>1541</v>
      </c>
    </row>
    <row r="3620" spans="1:3" x14ac:dyDescent="0.25">
      <c r="A3620" s="417">
        <v>41543</v>
      </c>
      <c r="B3620" s="418">
        <v>7.4652777777777781E-3</v>
      </c>
      <c r="C3620" s="421" t="s">
        <v>1346</v>
      </c>
    </row>
    <row r="3621" spans="1:3" x14ac:dyDescent="0.25">
      <c r="A3621" s="417">
        <v>41543</v>
      </c>
      <c r="B3621" s="418">
        <v>7.4652777777777781E-3</v>
      </c>
      <c r="C3621" s="421" t="s">
        <v>1405</v>
      </c>
    </row>
    <row r="3622" spans="1:3" x14ac:dyDescent="0.25">
      <c r="A3622" s="417">
        <v>41543</v>
      </c>
      <c r="B3622" s="418">
        <v>7.4652777777777781E-3</v>
      </c>
      <c r="C3622" s="421" t="s">
        <v>1406</v>
      </c>
    </row>
    <row r="3623" spans="1:3" x14ac:dyDescent="0.25">
      <c r="A3623" s="417">
        <v>41543</v>
      </c>
      <c r="B3623" s="418">
        <v>7.4768518518518526E-3</v>
      </c>
      <c r="C3623" s="421" t="s">
        <v>1362</v>
      </c>
    </row>
    <row r="3624" spans="1:3" x14ac:dyDescent="0.25">
      <c r="A3624" s="417">
        <v>41543</v>
      </c>
      <c r="B3624" s="418">
        <v>7.5115740740740742E-3</v>
      </c>
      <c r="C3624" s="421" t="s">
        <v>1482</v>
      </c>
    </row>
    <row r="3625" spans="1:3" x14ac:dyDescent="0.25">
      <c r="A3625" s="417">
        <v>41543</v>
      </c>
      <c r="B3625" s="418">
        <v>7.5115740740740742E-3</v>
      </c>
      <c r="C3625" s="421" t="s">
        <v>1318</v>
      </c>
    </row>
    <row r="3626" spans="1:3" x14ac:dyDescent="0.25">
      <c r="A3626" s="417">
        <v>41543</v>
      </c>
      <c r="B3626" s="418">
        <v>7.5462962962962966E-3</v>
      </c>
      <c r="C3626" s="421" t="s">
        <v>1368</v>
      </c>
    </row>
    <row r="3627" spans="1:3" x14ac:dyDescent="0.25">
      <c r="A3627" s="417">
        <v>41543</v>
      </c>
      <c r="B3627" s="418">
        <v>7.5462962962962966E-3</v>
      </c>
      <c r="C3627" s="421" t="s">
        <v>1368</v>
      </c>
    </row>
    <row r="3628" spans="1:3" x14ac:dyDescent="0.25">
      <c r="A3628" s="417">
        <v>41543</v>
      </c>
      <c r="B3628" s="418">
        <v>7.5462962962962966E-3</v>
      </c>
      <c r="C3628" s="421" t="s">
        <v>1368</v>
      </c>
    </row>
    <row r="3629" spans="1:3" x14ac:dyDescent="0.25">
      <c r="A3629" s="417">
        <v>41543</v>
      </c>
      <c r="B3629" s="418">
        <v>7.5462962962962966E-3</v>
      </c>
      <c r="C3629" s="421" t="s">
        <v>1368</v>
      </c>
    </row>
    <row r="3630" spans="1:3" x14ac:dyDescent="0.25">
      <c r="A3630" s="417">
        <v>41543</v>
      </c>
      <c r="B3630" s="418">
        <v>7.5462962962962966E-3</v>
      </c>
      <c r="C3630" s="421" t="s">
        <v>1368</v>
      </c>
    </row>
    <row r="3631" spans="1:3" x14ac:dyDescent="0.25">
      <c r="A3631" s="417">
        <v>41543</v>
      </c>
      <c r="B3631" s="418">
        <v>7.5462962962962966E-3</v>
      </c>
      <c r="C3631" s="421" t="s">
        <v>1409</v>
      </c>
    </row>
    <row r="3632" spans="1:3" x14ac:dyDescent="0.25">
      <c r="A3632" s="417">
        <v>41543</v>
      </c>
      <c r="B3632" s="418">
        <v>7.5462962962962966E-3</v>
      </c>
      <c r="C3632" s="421" t="s">
        <v>1308</v>
      </c>
    </row>
    <row r="3633" spans="1:3" x14ac:dyDescent="0.25">
      <c r="A3633" s="417">
        <v>41543</v>
      </c>
      <c r="B3633" s="418">
        <v>7.5694444444444446E-3</v>
      </c>
      <c r="C3633" s="421" t="s">
        <v>1410</v>
      </c>
    </row>
    <row r="3634" spans="1:3" x14ac:dyDescent="0.25">
      <c r="A3634" s="417">
        <v>41543</v>
      </c>
      <c r="B3634" s="418">
        <v>7.5694444444444446E-3</v>
      </c>
      <c r="C3634" s="421" t="s">
        <v>1410</v>
      </c>
    </row>
    <row r="3635" spans="1:3" x14ac:dyDescent="0.25">
      <c r="A3635" s="417">
        <v>41543</v>
      </c>
      <c r="B3635" s="418">
        <v>7.5694444444444446E-3</v>
      </c>
      <c r="C3635" s="421" t="s">
        <v>1411</v>
      </c>
    </row>
    <row r="3636" spans="1:3" x14ac:dyDescent="0.25">
      <c r="A3636" s="417">
        <v>41543</v>
      </c>
      <c r="B3636" s="418">
        <v>7.5925925925925926E-3</v>
      </c>
      <c r="C3636" s="421" t="s">
        <v>1483</v>
      </c>
    </row>
    <row r="3637" spans="1:3" x14ac:dyDescent="0.25">
      <c r="A3637" s="417">
        <v>41543</v>
      </c>
      <c r="B3637" s="418">
        <v>7.6041666666666662E-3</v>
      </c>
      <c r="C3637" s="421" t="s">
        <v>1413</v>
      </c>
    </row>
    <row r="3638" spans="1:3" x14ac:dyDescent="0.25">
      <c r="A3638" s="417">
        <v>41543</v>
      </c>
      <c r="B3638" s="418">
        <v>7.6041666666666662E-3</v>
      </c>
      <c r="C3638" s="421" t="s">
        <v>1414</v>
      </c>
    </row>
    <row r="3639" spans="1:3" x14ac:dyDescent="0.25">
      <c r="A3639" s="417">
        <v>41543</v>
      </c>
      <c r="B3639" s="418">
        <v>7.6273148148148151E-3</v>
      </c>
      <c r="C3639" s="421" t="s">
        <v>1373</v>
      </c>
    </row>
    <row r="3640" spans="1:3" x14ac:dyDescent="0.25">
      <c r="A3640" s="417">
        <v>41543</v>
      </c>
      <c r="B3640" s="418">
        <v>7.6388888888888886E-3</v>
      </c>
      <c r="C3640" s="421" t="s">
        <v>1484</v>
      </c>
    </row>
    <row r="3641" spans="1:3" x14ac:dyDescent="0.25">
      <c r="A3641" s="417">
        <v>41543</v>
      </c>
      <c r="B3641" s="418">
        <v>7.69675925925926E-3</v>
      </c>
      <c r="C3641" s="421" t="s">
        <v>1409</v>
      </c>
    </row>
    <row r="3642" spans="1:3" x14ac:dyDescent="0.25">
      <c r="A3642" s="417">
        <v>41543</v>
      </c>
      <c r="B3642" s="418">
        <v>7.7083333333333335E-3</v>
      </c>
      <c r="C3642" s="421" t="s">
        <v>1416</v>
      </c>
    </row>
    <row r="3643" spans="1:3" x14ac:dyDescent="0.25">
      <c r="A3643" s="417">
        <v>41543</v>
      </c>
      <c r="B3643" s="418">
        <v>7.7083333333333335E-3</v>
      </c>
      <c r="C3643" s="421" t="s">
        <v>1649</v>
      </c>
    </row>
    <row r="3644" spans="1:3" x14ac:dyDescent="0.25">
      <c r="A3644" s="417">
        <v>41543</v>
      </c>
      <c r="B3644" s="418">
        <v>7.719907407407408E-3</v>
      </c>
      <c r="C3644" s="421" t="s">
        <v>1348</v>
      </c>
    </row>
    <row r="3645" spans="1:3" x14ac:dyDescent="0.25">
      <c r="A3645" s="417">
        <v>41543</v>
      </c>
      <c r="B3645" s="418">
        <v>7.719907407407408E-3</v>
      </c>
      <c r="C3645" s="421" t="s">
        <v>1419</v>
      </c>
    </row>
    <row r="3646" spans="1:3" x14ac:dyDescent="0.25">
      <c r="A3646" s="417">
        <v>41543</v>
      </c>
      <c r="B3646" s="418">
        <v>7.719907407407408E-3</v>
      </c>
      <c r="C3646" s="421" t="s">
        <v>1419</v>
      </c>
    </row>
    <row r="3647" spans="1:3" x14ac:dyDescent="0.25">
      <c r="A3647" s="417">
        <v>41543</v>
      </c>
      <c r="B3647" s="418">
        <v>7.719907407407408E-3</v>
      </c>
      <c r="C3647" s="421" t="s">
        <v>1420</v>
      </c>
    </row>
    <row r="3648" spans="1:3" x14ac:dyDescent="0.25">
      <c r="A3648" s="417">
        <v>41543</v>
      </c>
      <c r="B3648" s="418">
        <v>7.7546296296296287E-3</v>
      </c>
      <c r="C3648" s="421" t="s">
        <v>1650</v>
      </c>
    </row>
    <row r="3649" spans="1:3" x14ac:dyDescent="0.25">
      <c r="A3649" s="417">
        <v>41543</v>
      </c>
      <c r="B3649" s="418">
        <v>7.7546296296296287E-3</v>
      </c>
      <c r="C3649" s="421" t="s">
        <v>1626</v>
      </c>
    </row>
    <row r="3650" spans="1:3" x14ac:dyDescent="0.25">
      <c r="A3650" s="417">
        <v>41543</v>
      </c>
      <c r="B3650" s="418">
        <v>7.7546296296296287E-3</v>
      </c>
      <c r="C3650" s="421" t="s">
        <v>1485</v>
      </c>
    </row>
    <row r="3651" spans="1:3" x14ac:dyDescent="0.25">
      <c r="A3651" s="417">
        <v>41543</v>
      </c>
      <c r="B3651" s="418">
        <v>7.7662037037037031E-3</v>
      </c>
      <c r="C3651" s="421" t="s">
        <v>1651</v>
      </c>
    </row>
    <row r="3652" spans="1:3" x14ac:dyDescent="0.25">
      <c r="A3652" s="417">
        <v>41543</v>
      </c>
      <c r="B3652" s="418">
        <v>7.7777777777777767E-3</v>
      </c>
      <c r="C3652" s="421" t="s">
        <v>1652</v>
      </c>
    </row>
    <row r="3653" spans="1:3" x14ac:dyDescent="0.25">
      <c r="A3653" s="417">
        <v>41543</v>
      </c>
      <c r="B3653" s="418">
        <v>7.7777777777777767E-3</v>
      </c>
      <c r="C3653" s="421" t="s">
        <v>1653</v>
      </c>
    </row>
    <row r="3654" spans="1:3" x14ac:dyDescent="0.25">
      <c r="A3654" s="417">
        <v>41543</v>
      </c>
      <c r="B3654" s="418">
        <v>7.7777777777777767E-3</v>
      </c>
      <c r="C3654" s="421" t="s">
        <v>1654</v>
      </c>
    </row>
    <row r="3655" spans="1:3" x14ac:dyDescent="0.25">
      <c r="A3655" s="417">
        <v>41543</v>
      </c>
      <c r="B3655" s="418">
        <v>7.7777777777777767E-3</v>
      </c>
      <c r="C3655" s="421" t="s">
        <v>1491</v>
      </c>
    </row>
    <row r="3656" spans="1:3" x14ac:dyDescent="0.25">
      <c r="A3656" s="417">
        <v>41543</v>
      </c>
      <c r="B3656" s="418">
        <v>7.789351851851852E-3</v>
      </c>
      <c r="C3656" s="421" t="s">
        <v>1320</v>
      </c>
    </row>
    <row r="3657" spans="1:3" x14ac:dyDescent="0.25">
      <c r="A3657" s="417">
        <v>41543</v>
      </c>
      <c r="B3657" s="418">
        <v>7.8009259259259256E-3</v>
      </c>
      <c r="C3657" s="421" t="s">
        <v>1429</v>
      </c>
    </row>
    <row r="3658" spans="1:3" x14ac:dyDescent="0.25">
      <c r="A3658" s="417">
        <v>41543</v>
      </c>
      <c r="B3658" s="418">
        <v>7.8125E-3</v>
      </c>
      <c r="C3658" s="421" t="s">
        <v>1430</v>
      </c>
    </row>
    <row r="3659" spans="1:3" x14ac:dyDescent="0.25">
      <c r="A3659" s="417">
        <v>41543</v>
      </c>
      <c r="B3659" s="418">
        <v>7.8240740740740753E-3</v>
      </c>
      <c r="C3659" s="421" t="s">
        <v>1655</v>
      </c>
    </row>
    <row r="3660" spans="1:3" x14ac:dyDescent="0.25">
      <c r="A3660" s="417">
        <v>41543</v>
      </c>
      <c r="B3660" s="418">
        <v>7.8819444444444432E-3</v>
      </c>
      <c r="C3660" s="421" t="s">
        <v>1308</v>
      </c>
    </row>
    <row r="3661" spans="1:3" x14ac:dyDescent="0.25">
      <c r="A3661" s="417">
        <v>41543</v>
      </c>
      <c r="B3661" s="418">
        <v>7.8819444444444432E-3</v>
      </c>
      <c r="C3661" s="421" t="s">
        <v>1360</v>
      </c>
    </row>
    <row r="3662" spans="1:3" x14ac:dyDescent="0.25">
      <c r="A3662" s="417">
        <v>41543</v>
      </c>
      <c r="B3662" s="418">
        <v>7.8935185185185185E-3</v>
      </c>
      <c r="C3662" s="421" t="s">
        <v>1432</v>
      </c>
    </row>
    <row r="3663" spans="1:3" x14ac:dyDescent="0.25">
      <c r="A3663" s="417">
        <v>41543</v>
      </c>
      <c r="B3663" s="418">
        <v>7.8935185185185185E-3</v>
      </c>
      <c r="C3663" s="421" t="s">
        <v>1432</v>
      </c>
    </row>
    <row r="3664" spans="1:3" x14ac:dyDescent="0.25">
      <c r="A3664" s="417">
        <v>41543</v>
      </c>
      <c r="B3664" s="418">
        <v>7.8935185185185185E-3</v>
      </c>
      <c r="C3664" s="421" t="s">
        <v>1432</v>
      </c>
    </row>
    <row r="3665" spans="1:3" x14ac:dyDescent="0.25">
      <c r="A3665" s="417">
        <v>41543</v>
      </c>
      <c r="B3665" s="418">
        <v>7.8935185185185185E-3</v>
      </c>
      <c r="C3665" s="421" t="s">
        <v>1281</v>
      </c>
    </row>
    <row r="3666" spans="1:3" ht="60" x14ac:dyDescent="0.25">
      <c r="A3666" s="417">
        <v>41543</v>
      </c>
      <c r="B3666" s="418">
        <v>7.8935185185185185E-3</v>
      </c>
      <c r="C3666" s="946" t="s">
        <v>1282</v>
      </c>
    </row>
    <row r="3667" spans="1:3" x14ac:dyDescent="0.25">
      <c r="A3667" s="417">
        <v>41543</v>
      </c>
      <c r="B3667" s="418">
        <v>7.9629629629629634E-3</v>
      </c>
      <c r="C3667" s="421" t="s">
        <v>1413</v>
      </c>
    </row>
    <row r="3668" spans="1:3" x14ac:dyDescent="0.25">
      <c r="A3668" s="417">
        <v>41543</v>
      </c>
      <c r="B3668" s="418">
        <v>7.9745370370370369E-3</v>
      </c>
      <c r="C3668" s="421" t="s">
        <v>1656</v>
      </c>
    </row>
    <row r="3669" spans="1:3" x14ac:dyDescent="0.25">
      <c r="A3669" s="417">
        <v>41543</v>
      </c>
      <c r="B3669" s="418">
        <v>7.9745370370370369E-3</v>
      </c>
      <c r="C3669" s="421" t="s">
        <v>1657</v>
      </c>
    </row>
    <row r="3670" spans="1:3" x14ac:dyDescent="0.25">
      <c r="A3670" s="417">
        <v>41543</v>
      </c>
      <c r="B3670" s="418">
        <v>7.9745370370370369E-3</v>
      </c>
      <c r="C3670" s="421" t="s">
        <v>1495</v>
      </c>
    </row>
    <row r="3671" spans="1:3" x14ac:dyDescent="0.25">
      <c r="A3671" s="417">
        <v>41543</v>
      </c>
      <c r="B3671" s="418">
        <v>7.9745370370370369E-3</v>
      </c>
      <c r="C3671" s="421" t="s">
        <v>1496</v>
      </c>
    </row>
    <row r="3672" spans="1:3" x14ac:dyDescent="0.25">
      <c r="A3672" s="417">
        <v>41543</v>
      </c>
      <c r="B3672" s="418">
        <v>7.9745370370370369E-3</v>
      </c>
      <c r="C3672" s="421" t="s">
        <v>1497</v>
      </c>
    </row>
    <row r="3673" spans="1:3" x14ac:dyDescent="0.25">
      <c r="A3673" s="417">
        <v>41543</v>
      </c>
      <c r="B3673" s="418">
        <v>7.9745370370370369E-3</v>
      </c>
      <c r="C3673" s="421" t="s">
        <v>1658</v>
      </c>
    </row>
    <row r="3674" spans="1:3" x14ac:dyDescent="0.25">
      <c r="A3674" s="417">
        <v>41543</v>
      </c>
      <c r="B3674" s="418">
        <v>7.9976851851851858E-3</v>
      </c>
      <c r="C3674" s="421" t="s">
        <v>1659</v>
      </c>
    </row>
    <row r="3675" spans="1:3" x14ac:dyDescent="0.25">
      <c r="A3675" s="417">
        <v>41543</v>
      </c>
      <c r="B3675" s="418">
        <v>8.0208333333333329E-3</v>
      </c>
      <c r="C3675" s="421" t="s">
        <v>1660</v>
      </c>
    </row>
    <row r="3676" spans="1:3" x14ac:dyDescent="0.25">
      <c r="A3676" s="417">
        <v>41543</v>
      </c>
      <c r="B3676" s="418">
        <v>8.0787037037037043E-3</v>
      </c>
      <c r="C3676" s="421" t="s">
        <v>1661</v>
      </c>
    </row>
    <row r="3677" spans="1:3" x14ac:dyDescent="0.25">
      <c r="A3677" s="417">
        <v>41543</v>
      </c>
      <c r="B3677" s="418">
        <v>8.1018518518518514E-3</v>
      </c>
      <c r="C3677" s="421" t="s">
        <v>1320</v>
      </c>
    </row>
    <row r="3678" spans="1:3" x14ac:dyDescent="0.25">
      <c r="A3678" s="417">
        <v>41543</v>
      </c>
      <c r="B3678" s="418">
        <v>8.1944444444444452E-3</v>
      </c>
      <c r="C3678" s="421" t="s">
        <v>1502</v>
      </c>
    </row>
    <row r="3679" spans="1:3" x14ac:dyDescent="0.25">
      <c r="A3679" s="417">
        <v>41543</v>
      </c>
      <c r="B3679" s="418">
        <v>8.1944444444444452E-3</v>
      </c>
      <c r="C3679" s="421" t="s">
        <v>1503</v>
      </c>
    </row>
    <row r="3680" spans="1:3" x14ac:dyDescent="0.25">
      <c r="A3680" s="417">
        <v>41543</v>
      </c>
      <c r="B3680" s="418">
        <v>8.1944444444444452E-3</v>
      </c>
      <c r="C3680" s="421" t="s">
        <v>1504</v>
      </c>
    </row>
    <row r="3681" spans="1:3" x14ac:dyDescent="0.25">
      <c r="A3681" s="417">
        <v>41543</v>
      </c>
      <c r="B3681" s="418">
        <v>8.1944444444444452E-3</v>
      </c>
      <c r="C3681" s="421" t="s">
        <v>1505</v>
      </c>
    </row>
    <row r="3682" spans="1:3" x14ac:dyDescent="0.25">
      <c r="A3682" s="417">
        <v>41543</v>
      </c>
      <c r="B3682" s="418">
        <v>8.217592592592594E-3</v>
      </c>
      <c r="C3682" s="421" t="s">
        <v>1446</v>
      </c>
    </row>
    <row r="3683" spans="1:3" x14ac:dyDescent="0.25">
      <c r="A3683" s="417">
        <v>41543</v>
      </c>
      <c r="B3683" s="418">
        <v>8.2291666666666659E-3</v>
      </c>
      <c r="C3683" s="421" t="s">
        <v>1238</v>
      </c>
    </row>
    <row r="3684" spans="1:3" x14ac:dyDescent="0.25">
      <c r="A3684" s="417">
        <v>41543</v>
      </c>
      <c r="B3684" s="418">
        <v>8.3449074074074085E-3</v>
      </c>
      <c r="C3684" s="421" t="s">
        <v>1662</v>
      </c>
    </row>
    <row r="3685" spans="1:3" x14ac:dyDescent="0.25">
      <c r="A3685" s="417">
        <v>41543</v>
      </c>
      <c r="B3685" s="418">
        <v>8.3564814814814804E-3</v>
      </c>
      <c r="C3685" s="421" t="s">
        <v>1389</v>
      </c>
    </row>
    <row r="3686" spans="1:3" x14ac:dyDescent="0.25">
      <c r="A3686" s="417">
        <v>41543</v>
      </c>
      <c r="B3686" s="418">
        <v>8.3680555555555557E-3</v>
      </c>
      <c r="C3686" s="421" t="s">
        <v>1448</v>
      </c>
    </row>
    <row r="3687" spans="1:3" x14ac:dyDescent="0.25">
      <c r="A3687" s="417">
        <v>41543</v>
      </c>
      <c r="B3687" s="418">
        <v>8.3796296296296292E-3</v>
      </c>
      <c r="C3687" s="421" t="s">
        <v>1450</v>
      </c>
    </row>
    <row r="3688" spans="1:3" x14ac:dyDescent="0.25">
      <c r="A3688" s="417">
        <v>41543</v>
      </c>
      <c r="B3688" s="418">
        <v>8.3796296296296292E-3</v>
      </c>
      <c r="C3688" s="421" t="s">
        <v>1450</v>
      </c>
    </row>
    <row r="3689" spans="1:3" x14ac:dyDescent="0.25">
      <c r="A3689" s="417">
        <v>41543</v>
      </c>
      <c r="B3689" s="418">
        <v>8.3796296296296292E-3</v>
      </c>
      <c r="C3689" s="421" t="s">
        <v>1450</v>
      </c>
    </row>
    <row r="3690" spans="1:3" x14ac:dyDescent="0.25">
      <c r="A3690" s="417">
        <v>41543</v>
      </c>
      <c r="B3690" s="418">
        <v>8.3796296296296292E-3</v>
      </c>
      <c r="C3690" s="421" t="s">
        <v>1450</v>
      </c>
    </row>
    <row r="3691" spans="1:3" x14ac:dyDescent="0.25">
      <c r="A3691" s="417">
        <v>41543</v>
      </c>
      <c r="B3691" s="418">
        <v>8.3796296296296292E-3</v>
      </c>
      <c r="C3691" s="421" t="s">
        <v>1450</v>
      </c>
    </row>
    <row r="3692" spans="1:3" x14ac:dyDescent="0.25">
      <c r="A3692" s="417">
        <v>41543</v>
      </c>
      <c r="B3692" s="418">
        <v>8.3796296296296292E-3</v>
      </c>
      <c r="C3692" s="421" t="s">
        <v>1450</v>
      </c>
    </row>
    <row r="3693" spans="1:3" x14ac:dyDescent="0.25">
      <c r="A3693" s="417">
        <v>41543</v>
      </c>
      <c r="B3693" s="418">
        <v>8.3796296296296292E-3</v>
      </c>
      <c r="C3693" s="421" t="s">
        <v>1450</v>
      </c>
    </row>
    <row r="3694" spans="1:3" x14ac:dyDescent="0.25">
      <c r="A3694" s="417">
        <v>41543</v>
      </c>
      <c r="B3694" s="418">
        <v>9.2245370370370363E-3</v>
      </c>
      <c r="C3694" s="421" t="s">
        <v>1448</v>
      </c>
    </row>
    <row r="3695" spans="1:3" x14ac:dyDescent="0.25">
      <c r="A3695" s="417">
        <v>41543</v>
      </c>
      <c r="B3695" s="418">
        <v>9.2708333333333341E-3</v>
      </c>
      <c r="C3695" s="421" t="s">
        <v>1399</v>
      </c>
    </row>
    <row r="3696" spans="1:3" x14ac:dyDescent="0.25">
      <c r="A3696" s="417">
        <v>41543</v>
      </c>
      <c r="B3696" s="418">
        <v>9.3055555555555548E-3</v>
      </c>
      <c r="C3696" s="421" t="s">
        <v>1309</v>
      </c>
    </row>
    <row r="3697" spans="1:3" x14ac:dyDescent="0.25">
      <c r="A3697" s="417">
        <v>41543</v>
      </c>
      <c r="B3697" s="418">
        <v>9.3055555555555548E-3</v>
      </c>
      <c r="C3697" s="421" t="s">
        <v>1630</v>
      </c>
    </row>
    <row r="3698" spans="1:3" x14ac:dyDescent="0.25">
      <c r="A3698" s="417">
        <v>41543</v>
      </c>
      <c r="B3698" s="418">
        <v>9.3055555555555548E-3</v>
      </c>
      <c r="C3698" s="421" t="s">
        <v>1631</v>
      </c>
    </row>
    <row r="3699" spans="1:3" x14ac:dyDescent="0.25">
      <c r="A3699" s="417">
        <v>41543</v>
      </c>
      <c r="B3699" s="418">
        <v>9.3055555555555548E-3</v>
      </c>
      <c r="C3699" s="421" t="s">
        <v>1632</v>
      </c>
    </row>
    <row r="3700" spans="1:3" x14ac:dyDescent="0.25">
      <c r="A3700" s="417">
        <v>41543</v>
      </c>
      <c r="B3700" s="418">
        <v>9.3055555555555548E-3</v>
      </c>
      <c r="C3700" s="421" t="s">
        <v>1617</v>
      </c>
    </row>
    <row r="3701" spans="1:3" x14ac:dyDescent="0.25">
      <c r="A3701" s="417">
        <v>41543</v>
      </c>
      <c r="B3701" s="418">
        <v>9.7337962962962977E-3</v>
      </c>
      <c r="C3701" s="421" t="s">
        <v>1669</v>
      </c>
    </row>
    <row r="3702" spans="1:3" x14ac:dyDescent="0.25">
      <c r="A3702" s="417">
        <v>41543</v>
      </c>
      <c r="B3702" s="418">
        <v>9.7337962962962977E-3</v>
      </c>
      <c r="C3702" s="421" t="s">
        <v>1670</v>
      </c>
    </row>
    <row r="3703" spans="1:3" x14ac:dyDescent="0.25">
      <c r="A3703" s="417">
        <v>41543</v>
      </c>
      <c r="B3703" s="418">
        <v>9.7453703703703713E-3</v>
      </c>
      <c r="C3703" s="421" t="s">
        <v>1671</v>
      </c>
    </row>
    <row r="3704" spans="1:3" ht="30" x14ac:dyDescent="0.25">
      <c r="A3704" s="417">
        <v>41543</v>
      </c>
      <c r="B3704" s="418">
        <v>1.4953703703703705E-2</v>
      </c>
      <c r="C3704" s="946" t="s">
        <v>1672</v>
      </c>
    </row>
    <row r="3705" spans="1:3" ht="45" x14ac:dyDescent="0.25">
      <c r="A3705" s="417">
        <v>41543</v>
      </c>
      <c r="B3705" s="418">
        <v>1.5717592592592592E-2</v>
      </c>
      <c r="C3705" s="946" t="s">
        <v>1673</v>
      </c>
    </row>
    <row r="3706" spans="1:3" ht="30" x14ac:dyDescent="0.25">
      <c r="A3706" s="417">
        <v>41543</v>
      </c>
      <c r="B3706" s="418">
        <v>1.6180555555555556E-2</v>
      </c>
      <c r="C3706" s="946" t="s">
        <v>1674</v>
      </c>
    </row>
    <row r="3707" spans="1:3" ht="45" x14ac:dyDescent="0.25">
      <c r="A3707" s="417">
        <v>41543</v>
      </c>
      <c r="B3707" s="418">
        <v>1.7141203703703704E-2</v>
      </c>
      <c r="C3707" s="946" t="s">
        <v>1664</v>
      </c>
    </row>
    <row r="3708" spans="1:3" ht="30" x14ac:dyDescent="0.25">
      <c r="A3708" s="417">
        <v>41543</v>
      </c>
      <c r="B3708" s="418">
        <v>1.7233796296296296E-2</v>
      </c>
      <c r="C3708" s="946" t="s">
        <v>1675</v>
      </c>
    </row>
    <row r="3709" spans="1:3" ht="45" x14ac:dyDescent="0.25">
      <c r="A3709" s="417">
        <v>41543</v>
      </c>
      <c r="B3709" s="418">
        <v>1.7337962962962961E-2</v>
      </c>
      <c r="C3709" s="946" t="s">
        <v>1676</v>
      </c>
    </row>
    <row r="3710" spans="1:3" ht="45" x14ac:dyDescent="0.25">
      <c r="A3710" s="417">
        <v>41543</v>
      </c>
      <c r="B3710" s="418">
        <v>2.7106481481481481E-2</v>
      </c>
      <c r="C3710" s="946" t="s">
        <v>1677</v>
      </c>
    </row>
    <row r="3711" spans="1:3" x14ac:dyDescent="0.25">
      <c r="A3711" s="417">
        <v>41543</v>
      </c>
      <c r="B3711" s="418">
        <v>2.7592592592592596E-2</v>
      </c>
      <c r="C3711" s="421" t="s">
        <v>1238</v>
      </c>
    </row>
    <row r="3712" spans="1:3" x14ac:dyDescent="0.25">
      <c r="A3712" s="417">
        <v>41543</v>
      </c>
      <c r="B3712" s="418">
        <v>2.7592592592592596E-2</v>
      </c>
      <c r="C3712" s="421" t="s">
        <v>1307</v>
      </c>
    </row>
    <row r="3713" spans="1:3" x14ac:dyDescent="0.25">
      <c r="A3713" s="417">
        <v>41543</v>
      </c>
      <c r="B3713" s="418">
        <v>2.7592592592592596E-2</v>
      </c>
      <c r="C3713" s="421" t="s">
        <v>1308</v>
      </c>
    </row>
    <row r="3714" spans="1:3" x14ac:dyDescent="0.25">
      <c r="A3714" s="417">
        <v>41543</v>
      </c>
      <c r="B3714" s="418">
        <v>2.7592592592592596E-2</v>
      </c>
      <c r="C3714" s="421" t="s">
        <v>1309</v>
      </c>
    </row>
    <row r="3715" spans="1:3" x14ac:dyDescent="0.25">
      <c r="A3715" s="417">
        <v>41543</v>
      </c>
      <c r="B3715" s="418">
        <v>2.7592592592592596E-2</v>
      </c>
      <c r="C3715" s="421" t="s">
        <v>1310</v>
      </c>
    </row>
    <row r="3716" spans="1:3" x14ac:dyDescent="0.25">
      <c r="A3716" s="417">
        <v>41543</v>
      </c>
      <c r="B3716" s="418">
        <v>2.7592592592592596E-2</v>
      </c>
      <c r="C3716" s="421" t="s">
        <v>1311</v>
      </c>
    </row>
    <row r="3717" spans="1:3" x14ac:dyDescent="0.25">
      <c r="A3717" s="417">
        <v>41543</v>
      </c>
      <c r="B3717" s="418">
        <v>2.7592592592592596E-2</v>
      </c>
      <c r="C3717" s="421" t="s">
        <v>1312</v>
      </c>
    </row>
    <row r="3718" spans="1:3" x14ac:dyDescent="0.25">
      <c r="A3718" s="417">
        <v>41543</v>
      </c>
      <c r="B3718" s="418">
        <v>2.7592592592592596E-2</v>
      </c>
      <c r="C3718" s="421" t="s">
        <v>1313</v>
      </c>
    </row>
    <row r="3719" spans="1:3" x14ac:dyDescent="0.25">
      <c r="A3719" s="417">
        <v>41543</v>
      </c>
      <c r="B3719" s="418">
        <v>2.7592592592592596E-2</v>
      </c>
      <c r="C3719" s="421" t="s">
        <v>1310</v>
      </c>
    </row>
    <row r="3720" spans="1:3" x14ac:dyDescent="0.25">
      <c r="A3720" s="417">
        <v>41543</v>
      </c>
      <c r="B3720" s="418">
        <v>2.7592592592592596E-2</v>
      </c>
      <c r="C3720" s="421" t="s">
        <v>1314</v>
      </c>
    </row>
    <row r="3721" spans="1:3" x14ac:dyDescent="0.25">
      <c r="A3721" s="417">
        <v>41543</v>
      </c>
      <c r="B3721" s="418">
        <v>2.7592592592592596E-2</v>
      </c>
      <c r="C3721" s="421" t="s">
        <v>1315</v>
      </c>
    </row>
    <row r="3722" spans="1:3" x14ac:dyDescent="0.25">
      <c r="A3722" s="417">
        <v>41543</v>
      </c>
      <c r="B3722" s="418">
        <v>2.7592592592592596E-2</v>
      </c>
      <c r="C3722" s="421" t="s">
        <v>1460</v>
      </c>
    </row>
    <row r="3723" spans="1:3" x14ac:dyDescent="0.25">
      <c r="A3723" s="417">
        <v>41543</v>
      </c>
      <c r="B3723" s="418">
        <v>2.7592592592592596E-2</v>
      </c>
      <c r="C3723" s="421" t="s">
        <v>1461</v>
      </c>
    </row>
    <row r="3724" spans="1:3" x14ac:dyDescent="0.25">
      <c r="A3724" s="417">
        <v>41543</v>
      </c>
      <c r="B3724" s="418">
        <v>2.7592592592592596E-2</v>
      </c>
      <c r="C3724" s="421" t="s">
        <v>1310</v>
      </c>
    </row>
    <row r="3725" spans="1:3" x14ac:dyDescent="0.25">
      <c r="A3725" s="417">
        <v>41543</v>
      </c>
      <c r="B3725" s="418">
        <v>2.7592592592592596E-2</v>
      </c>
      <c r="C3725" s="421" t="s">
        <v>1238</v>
      </c>
    </row>
    <row r="3726" spans="1:3" x14ac:dyDescent="0.25">
      <c r="A3726" s="417">
        <v>41543</v>
      </c>
      <c r="B3726" s="418">
        <v>2.7592592592592596E-2</v>
      </c>
      <c r="C3726" s="421" t="s">
        <v>1462</v>
      </c>
    </row>
    <row r="3727" spans="1:3" x14ac:dyDescent="0.25">
      <c r="A3727" s="417">
        <v>41543</v>
      </c>
      <c r="B3727" s="418">
        <v>2.7592592592592596E-2</v>
      </c>
      <c r="C3727" s="421" t="s">
        <v>1316</v>
      </c>
    </row>
    <row r="3728" spans="1:3" x14ac:dyDescent="0.25">
      <c r="A3728" s="417">
        <v>41543</v>
      </c>
      <c r="B3728" s="418">
        <v>2.7592592592592596E-2</v>
      </c>
      <c r="C3728" s="421" t="s">
        <v>1316</v>
      </c>
    </row>
    <row r="3729" spans="1:3" x14ac:dyDescent="0.25">
      <c r="A3729" s="417">
        <v>41543</v>
      </c>
      <c r="B3729" s="418">
        <v>2.7592592592592596E-2</v>
      </c>
      <c r="C3729" s="421" t="s">
        <v>1317</v>
      </c>
    </row>
    <row r="3730" spans="1:3" x14ac:dyDescent="0.25">
      <c r="A3730" s="417">
        <v>41543</v>
      </c>
      <c r="B3730" s="418">
        <v>2.7592592592592596E-2</v>
      </c>
      <c r="C3730" s="421" t="s">
        <v>1309</v>
      </c>
    </row>
    <row r="3731" spans="1:3" x14ac:dyDescent="0.25">
      <c r="A3731" s="417">
        <v>41543</v>
      </c>
      <c r="B3731" s="418">
        <v>2.7592592592592596E-2</v>
      </c>
      <c r="C3731" s="421" t="s">
        <v>1318</v>
      </c>
    </row>
    <row r="3732" spans="1:3" x14ac:dyDescent="0.25">
      <c r="A3732" s="417">
        <v>41543</v>
      </c>
      <c r="B3732" s="418">
        <v>2.7592592592592596E-2</v>
      </c>
      <c r="C3732" s="421" t="s">
        <v>1319</v>
      </c>
    </row>
    <row r="3733" spans="1:3" x14ac:dyDescent="0.25">
      <c r="A3733" s="417">
        <v>41543</v>
      </c>
      <c r="B3733" s="418">
        <v>2.7592592592592596E-2</v>
      </c>
      <c r="C3733" s="421" t="s">
        <v>1320</v>
      </c>
    </row>
    <row r="3734" spans="1:3" x14ac:dyDescent="0.25">
      <c r="A3734" s="417">
        <v>41543</v>
      </c>
      <c r="B3734" s="418">
        <v>2.7592592592592596E-2</v>
      </c>
      <c r="C3734" s="421" t="s">
        <v>1318</v>
      </c>
    </row>
    <row r="3735" spans="1:3" x14ac:dyDescent="0.25">
      <c r="A3735" s="417">
        <v>41543</v>
      </c>
      <c r="B3735" s="418">
        <v>2.7592592592592596E-2</v>
      </c>
      <c r="C3735" s="421" t="s">
        <v>1307</v>
      </c>
    </row>
    <row r="3736" spans="1:3" x14ac:dyDescent="0.25">
      <c r="A3736" s="417">
        <v>41543</v>
      </c>
      <c r="B3736" s="418">
        <v>2.7592592592592596E-2</v>
      </c>
      <c r="C3736" s="421" t="s">
        <v>1321</v>
      </c>
    </row>
    <row r="3737" spans="1:3" x14ac:dyDescent="0.25">
      <c r="A3737" s="417">
        <v>41543</v>
      </c>
      <c r="B3737" s="418">
        <v>2.7592592592592596E-2</v>
      </c>
      <c r="C3737" s="421" t="s">
        <v>1322</v>
      </c>
    </row>
    <row r="3738" spans="1:3" x14ac:dyDescent="0.25">
      <c r="A3738" s="417">
        <v>41543</v>
      </c>
      <c r="B3738" s="418">
        <v>2.7592592592592596E-2</v>
      </c>
      <c r="C3738" s="421" t="s">
        <v>1322</v>
      </c>
    </row>
    <row r="3739" spans="1:3" x14ac:dyDescent="0.25">
      <c r="A3739" s="417">
        <v>41543</v>
      </c>
      <c r="B3739" s="418">
        <v>2.7592592592592596E-2</v>
      </c>
      <c r="C3739" s="421" t="s">
        <v>1323</v>
      </c>
    </row>
    <row r="3740" spans="1:3" x14ac:dyDescent="0.25">
      <c r="A3740" s="417">
        <v>41543</v>
      </c>
      <c r="B3740" s="418">
        <v>2.7592592592592596E-2</v>
      </c>
      <c r="C3740" s="421" t="s">
        <v>1324</v>
      </c>
    </row>
    <row r="3741" spans="1:3" x14ac:dyDescent="0.25">
      <c r="A3741" s="417">
        <v>41543</v>
      </c>
      <c r="B3741" s="418">
        <v>2.7592592592592596E-2</v>
      </c>
      <c r="C3741" s="421" t="s">
        <v>1310</v>
      </c>
    </row>
    <row r="3742" spans="1:3" x14ac:dyDescent="0.25">
      <c r="A3742" s="417">
        <v>41543</v>
      </c>
      <c r="B3742" s="418">
        <v>2.7592592592592596E-2</v>
      </c>
      <c r="C3742" s="421" t="s">
        <v>1325</v>
      </c>
    </row>
    <row r="3743" spans="1:3" x14ac:dyDescent="0.25">
      <c r="A3743" s="417">
        <v>41543</v>
      </c>
      <c r="B3743" s="418">
        <v>2.7592592592592596E-2</v>
      </c>
      <c r="C3743" s="421" t="s">
        <v>1326</v>
      </c>
    </row>
    <row r="3744" spans="1:3" x14ac:dyDescent="0.25">
      <c r="A3744" s="417">
        <v>41543</v>
      </c>
      <c r="B3744" s="418">
        <v>2.7592592592592596E-2</v>
      </c>
      <c r="C3744" s="421" t="s">
        <v>1238</v>
      </c>
    </row>
    <row r="3745" spans="1:3" x14ac:dyDescent="0.25">
      <c r="A3745" s="417">
        <v>41543</v>
      </c>
      <c r="B3745" s="418">
        <v>2.7592592592592596E-2</v>
      </c>
      <c r="C3745" s="421" t="s">
        <v>1327</v>
      </c>
    </row>
    <row r="3746" spans="1:3" x14ac:dyDescent="0.25">
      <c r="A3746" s="417">
        <v>41543</v>
      </c>
      <c r="B3746" s="418">
        <v>2.7592592592592596E-2</v>
      </c>
      <c r="C3746" s="421" t="s">
        <v>1328</v>
      </c>
    </row>
    <row r="3747" spans="1:3" ht="60" x14ac:dyDescent="0.25">
      <c r="A3747" s="417">
        <v>41543</v>
      </c>
      <c r="B3747" s="418">
        <v>2.7592592592592596E-2</v>
      </c>
      <c r="C3747" s="946" t="s">
        <v>1678</v>
      </c>
    </row>
    <row r="3748" spans="1:3" x14ac:dyDescent="0.25">
      <c r="A3748" s="417">
        <v>41543</v>
      </c>
      <c r="B3748" s="418">
        <v>2.7893518518518515E-2</v>
      </c>
      <c r="C3748" s="421" t="s">
        <v>1238</v>
      </c>
    </row>
    <row r="3749" spans="1:3" x14ac:dyDescent="0.25">
      <c r="A3749" s="417">
        <v>41543</v>
      </c>
      <c r="B3749" s="418">
        <v>2.7893518518518515E-2</v>
      </c>
      <c r="C3749" s="421" t="s">
        <v>1307</v>
      </c>
    </row>
    <row r="3750" spans="1:3" x14ac:dyDescent="0.25">
      <c r="A3750" s="417">
        <v>41543</v>
      </c>
      <c r="B3750" s="418">
        <v>2.7893518518518515E-2</v>
      </c>
      <c r="C3750" s="421" t="s">
        <v>1308</v>
      </c>
    </row>
    <row r="3751" spans="1:3" x14ac:dyDescent="0.25">
      <c r="A3751" s="417">
        <v>41543</v>
      </c>
      <c r="B3751" s="418">
        <v>2.7893518518518515E-2</v>
      </c>
      <c r="C3751" s="421" t="s">
        <v>1309</v>
      </c>
    </row>
    <row r="3752" spans="1:3" x14ac:dyDescent="0.25">
      <c r="A3752" s="417">
        <v>41543</v>
      </c>
      <c r="B3752" s="418">
        <v>2.7893518518518515E-2</v>
      </c>
      <c r="C3752" s="421" t="s">
        <v>1310</v>
      </c>
    </row>
    <row r="3753" spans="1:3" x14ac:dyDescent="0.25">
      <c r="A3753" s="417">
        <v>41543</v>
      </c>
      <c r="B3753" s="418">
        <v>2.7893518518518515E-2</v>
      </c>
      <c r="C3753" s="421" t="s">
        <v>1311</v>
      </c>
    </row>
    <row r="3754" spans="1:3" x14ac:dyDescent="0.25">
      <c r="A3754" s="417">
        <v>41543</v>
      </c>
      <c r="B3754" s="418">
        <v>2.7893518518518515E-2</v>
      </c>
      <c r="C3754" s="421" t="s">
        <v>1312</v>
      </c>
    </row>
    <row r="3755" spans="1:3" x14ac:dyDescent="0.25">
      <c r="A3755" s="417">
        <v>41543</v>
      </c>
      <c r="B3755" s="418">
        <v>2.7893518518518515E-2</v>
      </c>
      <c r="C3755" s="421" t="s">
        <v>1313</v>
      </c>
    </row>
    <row r="3756" spans="1:3" x14ac:dyDescent="0.25">
      <c r="A3756" s="417">
        <v>41543</v>
      </c>
      <c r="B3756" s="418">
        <v>2.7893518518518515E-2</v>
      </c>
      <c r="C3756" s="421" t="s">
        <v>1310</v>
      </c>
    </row>
    <row r="3757" spans="1:3" x14ac:dyDescent="0.25">
      <c r="A3757" s="417">
        <v>41543</v>
      </c>
      <c r="B3757" s="418">
        <v>2.7893518518518515E-2</v>
      </c>
      <c r="C3757" s="421" t="s">
        <v>1314</v>
      </c>
    </row>
    <row r="3758" spans="1:3" x14ac:dyDescent="0.25">
      <c r="A3758" s="417">
        <v>41543</v>
      </c>
      <c r="B3758" s="418">
        <v>2.7893518518518515E-2</v>
      </c>
      <c r="C3758" s="421" t="s">
        <v>1315</v>
      </c>
    </row>
    <row r="3759" spans="1:3" x14ac:dyDescent="0.25">
      <c r="A3759" s="417">
        <v>41543</v>
      </c>
      <c r="B3759" s="418">
        <v>2.7893518518518515E-2</v>
      </c>
      <c r="C3759" s="421" t="s">
        <v>1460</v>
      </c>
    </row>
    <row r="3760" spans="1:3" x14ac:dyDescent="0.25">
      <c r="A3760" s="417">
        <v>41543</v>
      </c>
      <c r="B3760" s="418">
        <v>2.7893518518518515E-2</v>
      </c>
      <c r="C3760" s="421" t="s">
        <v>1461</v>
      </c>
    </row>
    <row r="3761" spans="1:3" x14ac:dyDescent="0.25">
      <c r="A3761" s="417">
        <v>41543</v>
      </c>
      <c r="B3761" s="418">
        <v>2.7893518518518515E-2</v>
      </c>
      <c r="C3761" s="421" t="s">
        <v>1310</v>
      </c>
    </row>
    <row r="3762" spans="1:3" x14ac:dyDescent="0.25">
      <c r="A3762" s="417">
        <v>41543</v>
      </c>
      <c r="B3762" s="418">
        <v>2.7893518518518515E-2</v>
      </c>
      <c r="C3762" s="421" t="s">
        <v>1238</v>
      </c>
    </row>
    <row r="3763" spans="1:3" x14ac:dyDescent="0.25">
      <c r="A3763" s="417">
        <v>41543</v>
      </c>
      <c r="B3763" s="418">
        <v>2.7893518518518515E-2</v>
      </c>
      <c r="C3763" s="421" t="s">
        <v>1462</v>
      </c>
    </row>
    <row r="3764" spans="1:3" x14ac:dyDescent="0.25">
      <c r="A3764" s="417">
        <v>41543</v>
      </c>
      <c r="B3764" s="418">
        <v>2.7893518518518515E-2</v>
      </c>
      <c r="C3764" s="421" t="s">
        <v>1316</v>
      </c>
    </row>
    <row r="3765" spans="1:3" x14ac:dyDescent="0.25">
      <c r="A3765" s="417">
        <v>41543</v>
      </c>
      <c r="B3765" s="418">
        <v>2.7893518518518515E-2</v>
      </c>
      <c r="C3765" s="421" t="s">
        <v>1316</v>
      </c>
    </row>
    <row r="3766" spans="1:3" x14ac:dyDescent="0.25">
      <c r="A3766" s="417">
        <v>41543</v>
      </c>
      <c r="B3766" s="418">
        <v>2.7893518518518515E-2</v>
      </c>
      <c r="C3766" s="421" t="s">
        <v>1317</v>
      </c>
    </row>
    <row r="3767" spans="1:3" x14ac:dyDescent="0.25">
      <c r="A3767" s="417">
        <v>41543</v>
      </c>
      <c r="B3767" s="418">
        <v>2.7893518518518515E-2</v>
      </c>
      <c r="C3767" s="421" t="s">
        <v>1309</v>
      </c>
    </row>
    <row r="3768" spans="1:3" x14ac:dyDescent="0.25">
      <c r="A3768" s="417">
        <v>41543</v>
      </c>
      <c r="B3768" s="418">
        <v>2.7893518518518515E-2</v>
      </c>
      <c r="C3768" s="421" t="s">
        <v>1318</v>
      </c>
    </row>
    <row r="3769" spans="1:3" x14ac:dyDescent="0.25">
      <c r="A3769" s="417">
        <v>41543</v>
      </c>
      <c r="B3769" s="418">
        <v>2.7893518518518515E-2</v>
      </c>
      <c r="C3769" s="421" t="s">
        <v>1319</v>
      </c>
    </row>
    <row r="3770" spans="1:3" x14ac:dyDescent="0.25">
      <c r="A3770" s="417">
        <v>41543</v>
      </c>
      <c r="B3770" s="418">
        <v>2.7893518518518515E-2</v>
      </c>
      <c r="C3770" s="421" t="s">
        <v>1320</v>
      </c>
    </row>
    <row r="3771" spans="1:3" x14ac:dyDescent="0.25">
      <c r="A3771" s="417">
        <v>41543</v>
      </c>
      <c r="B3771" s="418">
        <v>2.7893518518518515E-2</v>
      </c>
      <c r="C3771" s="421" t="s">
        <v>1318</v>
      </c>
    </row>
    <row r="3772" spans="1:3" x14ac:dyDescent="0.25">
      <c r="A3772" s="417">
        <v>41543</v>
      </c>
      <c r="B3772" s="418">
        <v>2.7893518518518515E-2</v>
      </c>
      <c r="C3772" s="421" t="s">
        <v>1307</v>
      </c>
    </row>
    <row r="3773" spans="1:3" x14ac:dyDescent="0.25">
      <c r="A3773" s="417">
        <v>41543</v>
      </c>
      <c r="B3773" s="418">
        <v>2.7893518518518515E-2</v>
      </c>
      <c r="C3773" s="421" t="s">
        <v>1321</v>
      </c>
    </row>
    <row r="3774" spans="1:3" x14ac:dyDescent="0.25">
      <c r="A3774" s="417">
        <v>41543</v>
      </c>
      <c r="B3774" s="418">
        <v>2.7893518518518515E-2</v>
      </c>
      <c r="C3774" s="421" t="s">
        <v>1322</v>
      </c>
    </row>
    <row r="3775" spans="1:3" x14ac:dyDescent="0.25">
      <c r="A3775" s="417">
        <v>41543</v>
      </c>
      <c r="B3775" s="418">
        <v>2.7893518518518515E-2</v>
      </c>
      <c r="C3775" s="421" t="s">
        <v>1322</v>
      </c>
    </row>
    <row r="3776" spans="1:3" x14ac:dyDescent="0.25">
      <c r="A3776" s="417">
        <v>41543</v>
      </c>
      <c r="B3776" s="418">
        <v>2.7893518518518515E-2</v>
      </c>
      <c r="C3776" s="421" t="s">
        <v>1323</v>
      </c>
    </row>
    <row r="3777" spans="1:3" x14ac:dyDescent="0.25">
      <c r="A3777" s="417">
        <v>41543</v>
      </c>
      <c r="B3777" s="418">
        <v>2.7893518518518515E-2</v>
      </c>
      <c r="C3777" s="421" t="s">
        <v>1324</v>
      </c>
    </row>
    <row r="3778" spans="1:3" x14ac:dyDescent="0.25">
      <c r="A3778" s="417">
        <v>41543</v>
      </c>
      <c r="B3778" s="418">
        <v>2.7893518518518515E-2</v>
      </c>
      <c r="C3778" s="421" t="s">
        <v>1310</v>
      </c>
    </row>
    <row r="3779" spans="1:3" x14ac:dyDescent="0.25">
      <c r="A3779" s="417">
        <v>41543</v>
      </c>
      <c r="B3779" s="418">
        <v>2.7893518518518515E-2</v>
      </c>
      <c r="C3779" s="421" t="s">
        <v>1325</v>
      </c>
    </row>
    <row r="3780" spans="1:3" x14ac:dyDescent="0.25">
      <c r="A3780" s="417">
        <v>41543</v>
      </c>
      <c r="B3780" s="418">
        <v>2.7893518518518515E-2</v>
      </c>
      <c r="C3780" s="421" t="s">
        <v>1326</v>
      </c>
    </row>
    <row r="3781" spans="1:3" x14ac:dyDescent="0.25">
      <c r="A3781" s="417">
        <v>41543</v>
      </c>
      <c r="B3781" s="418">
        <v>2.7893518518518515E-2</v>
      </c>
      <c r="C3781" s="421" t="s">
        <v>1238</v>
      </c>
    </row>
    <row r="3782" spans="1:3" x14ac:dyDescent="0.25">
      <c r="A3782" s="417">
        <v>41543</v>
      </c>
      <c r="B3782" s="418">
        <v>2.7893518518518515E-2</v>
      </c>
      <c r="C3782" s="421" t="s">
        <v>1327</v>
      </c>
    </row>
    <row r="3783" spans="1:3" x14ac:dyDescent="0.25">
      <c r="A3783" s="417">
        <v>41543</v>
      </c>
      <c r="B3783" s="418">
        <v>2.7893518518518515E-2</v>
      </c>
      <c r="C3783" s="421" t="s">
        <v>1328</v>
      </c>
    </row>
    <row r="3784" spans="1:3" ht="60" x14ac:dyDescent="0.25">
      <c r="A3784" s="417">
        <v>41543</v>
      </c>
      <c r="B3784" s="418">
        <v>2.7893518518518515E-2</v>
      </c>
      <c r="C3784" s="946" t="s">
        <v>1678</v>
      </c>
    </row>
    <row r="3785" spans="1:3" x14ac:dyDescent="0.25">
      <c r="A3785" s="417">
        <v>41543</v>
      </c>
      <c r="B3785" s="418">
        <v>2.7928240740740743E-2</v>
      </c>
      <c r="C3785" s="421" t="s">
        <v>1323</v>
      </c>
    </row>
    <row r="3786" spans="1:3" x14ac:dyDescent="0.25">
      <c r="A3786" s="417">
        <v>41543</v>
      </c>
      <c r="B3786" s="418">
        <v>2.7928240740740743E-2</v>
      </c>
      <c r="C3786" s="421" t="s">
        <v>1342</v>
      </c>
    </row>
    <row r="3787" spans="1:3" x14ac:dyDescent="0.25">
      <c r="A3787" s="417">
        <v>41543</v>
      </c>
      <c r="B3787" s="418">
        <v>2.7928240740740743E-2</v>
      </c>
      <c r="C3787" s="421" t="s">
        <v>1343</v>
      </c>
    </row>
    <row r="3788" spans="1:3" x14ac:dyDescent="0.25">
      <c r="A3788" s="417">
        <v>41543</v>
      </c>
      <c r="B3788" s="418">
        <v>2.7928240740740743E-2</v>
      </c>
      <c r="C3788" s="421" t="s">
        <v>1344</v>
      </c>
    </row>
    <row r="3789" spans="1:3" x14ac:dyDescent="0.25">
      <c r="A3789" s="417">
        <v>41543</v>
      </c>
      <c r="B3789" s="418">
        <v>2.7928240740740743E-2</v>
      </c>
      <c r="C3789" s="421" t="s">
        <v>1344</v>
      </c>
    </row>
    <row r="3790" spans="1:3" x14ac:dyDescent="0.25">
      <c r="A3790" s="417">
        <v>41543</v>
      </c>
      <c r="B3790" s="418">
        <v>2.7928240740740743E-2</v>
      </c>
      <c r="C3790" s="421" t="s">
        <v>1310</v>
      </c>
    </row>
    <row r="3791" spans="1:3" x14ac:dyDescent="0.25">
      <c r="A3791" s="417">
        <v>41543</v>
      </c>
      <c r="B3791" s="418">
        <v>2.7928240740740743E-2</v>
      </c>
      <c r="C3791" s="421" t="s">
        <v>1345</v>
      </c>
    </row>
    <row r="3792" spans="1:3" x14ac:dyDescent="0.25">
      <c r="A3792" s="417">
        <v>41543</v>
      </c>
      <c r="B3792" s="418">
        <v>2.7928240740740743E-2</v>
      </c>
      <c r="C3792" s="421" t="s">
        <v>1346</v>
      </c>
    </row>
    <row r="3793" spans="1:3" x14ac:dyDescent="0.25">
      <c r="A3793" s="417">
        <v>41543</v>
      </c>
      <c r="B3793" s="418">
        <v>2.7928240740740743E-2</v>
      </c>
      <c r="C3793" s="421" t="s">
        <v>1347</v>
      </c>
    </row>
    <row r="3794" spans="1:3" x14ac:dyDescent="0.25">
      <c r="A3794" s="417">
        <v>41543</v>
      </c>
      <c r="B3794" s="418">
        <v>2.7928240740740743E-2</v>
      </c>
      <c r="C3794" s="421" t="s">
        <v>1348</v>
      </c>
    </row>
    <row r="3795" spans="1:3" x14ac:dyDescent="0.25">
      <c r="A3795" s="417">
        <v>41543</v>
      </c>
      <c r="B3795" s="418">
        <v>2.7928240740740743E-2</v>
      </c>
      <c r="C3795" s="421" t="s">
        <v>1349</v>
      </c>
    </row>
    <row r="3796" spans="1:3" x14ac:dyDescent="0.25">
      <c r="A3796" s="417">
        <v>41543</v>
      </c>
      <c r="B3796" s="418">
        <v>2.7928240740740743E-2</v>
      </c>
      <c r="C3796" s="421" t="s">
        <v>1349</v>
      </c>
    </row>
    <row r="3797" spans="1:3" x14ac:dyDescent="0.25">
      <c r="A3797" s="417">
        <v>41543</v>
      </c>
      <c r="B3797" s="418">
        <v>2.7928240740740743E-2</v>
      </c>
      <c r="C3797" s="421" t="s">
        <v>1348</v>
      </c>
    </row>
    <row r="3798" spans="1:3" x14ac:dyDescent="0.25">
      <c r="A3798" s="417">
        <v>41543</v>
      </c>
      <c r="B3798" s="418">
        <v>2.7928240740740743E-2</v>
      </c>
      <c r="C3798" s="421" t="s">
        <v>1350</v>
      </c>
    </row>
    <row r="3799" spans="1:3" x14ac:dyDescent="0.25">
      <c r="A3799" s="417">
        <v>41543</v>
      </c>
      <c r="B3799" s="418">
        <v>2.7928240740740743E-2</v>
      </c>
      <c r="C3799" s="421" t="s">
        <v>1351</v>
      </c>
    </row>
    <row r="3800" spans="1:3" x14ac:dyDescent="0.25">
      <c r="A3800" s="417">
        <v>41543</v>
      </c>
      <c r="B3800" s="418">
        <v>2.7928240740740743E-2</v>
      </c>
      <c r="C3800" s="421" t="s">
        <v>1352</v>
      </c>
    </row>
    <row r="3801" spans="1:3" x14ac:dyDescent="0.25">
      <c r="A3801" s="417">
        <v>41543</v>
      </c>
      <c r="B3801" s="418">
        <v>2.7928240740740743E-2</v>
      </c>
      <c r="C3801" s="421" t="s">
        <v>1287</v>
      </c>
    </row>
    <row r="3802" spans="1:3" ht="60" x14ac:dyDescent="0.25">
      <c r="A3802" s="417">
        <v>41543</v>
      </c>
      <c r="B3802" s="418">
        <v>2.7928240740740743E-2</v>
      </c>
      <c r="C3802" s="946" t="s">
        <v>1288</v>
      </c>
    </row>
    <row r="3803" spans="1:3" x14ac:dyDescent="0.25">
      <c r="A3803" s="417">
        <v>41543</v>
      </c>
      <c r="B3803" s="418">
        <v>2.7951388888888887E-2</v>
      </c>
      <c r="C3803" s="421" t="s">
        <v>1646</v>
      </c>
    </row>
    <row r="3804" spans="1:3" x14ac:dyDescent="0.25">
      <c r="A3804" s="417">
        <v>41543</v>
      </c>
      <c r="B3804" s="418">
        <v>2.7951388888888887E-2</v>
      </c>
      <c r="C3804" s="421" t="s">
        <v>1353</v>
      </c>
    </row>
    <row r="3805" spans="1:3" x14ac:dyDescent="0.25">
      <c r="A3805" s="417">
        <v>41543</v>
      </c>
      <c r="B3805" s="418">
        <v>2.7951388888888887E-2</v>
      </c>
      <c r="C3805" s="421" t="s">
        <v>1354</v>
      </c>
    </row>
    <row r="3806" spans="1:3" x14ac:dyDescent="0.25">
      <c r="A3806" s="417">
        <v>41543</v>
      </c>
      <c r="B3806" s="418">
        <v>2.7951388888888887E-2</v>
      </c>
      <c r="C3806" s="421" t="s">
        <v>1355</v>
      </c>
    </row>
    <row r="3807" spans="1:3" x14ac:dyDescent="0.25">
      <c r="A3807" s="417">
        <v>41543</v>
      </c>
      <c r="B3807" s="418">
        <v>2.7962962962962964E-2</v>
      </c>
      <c r="C3807" s="421" t="s">
        <v>1357</v>
      </c>
    </row>
    <row r="3808" spans="1:3" x14ac:dyDescent="0.25">
      <c r="A3808" s="417">
        <v>41543</v>
      </c>
      <c r="B3808" s="418">
        <v>2.7962962962962964E-2</v>
      </c>
      <c r="C3808" s="421" t="s">
        <v>1358</v>
      </c>
    </row>
    <row r="3809" spans="1:3" x14ac:dyDescent="0.25">
      <c r="A3809" s="417">
        <v>41543</v>
      </c>
      <c r="B3809" s="418">
        <v>2.7962962962962964E-2</v>
      </c>
      <c r="C3809" s="421" t="s">
        <v>1359</v>
      </c>
    </row>
    <row r="3810" spans="1:3" x14ac:dyDescent="0.25">
      <c r="A3810" s="417">
        <v>41543</v>
      </c>
      <c r="B3810" s="418">
        <v>2.7962962962962964E-2</v>
      </c>
      <c r="C3810" s="421" t="s">
        <v>1360</v>
      </c>
    </row>
    <row r="3811" spans="1:3" x14ac:dyDescent="0.25">
      <c r="A3811" s="417">
        <v>41543</v>
      </c>
      <c r="B3811" s="418">
        <v>2.7962962962962964E-2</v>
      </c>
      <c r="C3811" s="421" t="s">
        <v>1361</v>
      </c>
    </row>
    <row r="3812" spans="1:3" x14ac:dyDescent="0.25">
      <c r="A3812" s="417">
        <v>41543</v>
      </c>
      <c r="B3812" s="418">
        <v>2.7962962962962964E-2</v>
      </c>
      <c r="C3812" s="421" t="s">
        <v>1317</v>
      </c>
    </row>
    <row r="3813" spans="1:3" x14ac:dyDescent="0.25">
      <c r="A3813" s="417">
        <v>41543</v>
      </c>
      <c r="B3813" s="418">
        <v>2.7962962962962964E-2</v>
      </c>
      <c r="C3813" s="421" t="s">
        <v>1537</v>
      </c>
    </row>
    <row r="3814" spans="1:3" x14ac:dyDescent="0.25">
      <c r="A3814" s="417">
        <v>41543</v>
      </c>
      <c r="B3814" s="418">
        <v>2.7962962962962964E-2</v>
      </c>
      <c r="C3814" s="421" t="s">
        <v>1362</v>
      </c>
    </row>
    <row r="3815" spans="1:3" x14ac:dyDescent="0.25">
      <c r="A3815" s="417">
        <v>41543</v>
      </c>
      <c r="B3815" s="418">
        <v>2.7962962962962964E-2</v>
      </c>
      <c r="C3815" s="421" t="s">
        <v>1355</v>
      </c>
    </row>
    <row r="3816" spans="1:3" x14ac:dyDescent="0.25">
      <c r="A3816" s="417">
        <v>41543</v>
      </c>
      <c r="B3816" s="418">
        <v>2.7962962962962964E-2</v>
      </c>
      <c r="C3816" s="421" t="s">
        <v>1363</v>
      </c>
    </row>
    <row r="3817" spans="1:3" x14ac:dyDescent="0.25">
      <c r="A3817" s="417">
        <v>41543</v>
      </c>
      <c r="B3817" s="418">
        <v>2.7962962962962964E-2</v>
      </c>
      <c r="C3817" s="421" t="s">
        <v>1364</v>
      </c>
    </row>
    <row r="3818" spans="1:3" x14ac:dyDescent="0.25">
      <c r="A3818" s="417">
        <v>41543</v>
      </c>
      <c r="B3818" s="418">
        <v>2.7962962962962964E-2</v>
      </c>
      <c r="C3818" s="421" t="s">
        <v>1365</v>
      </c>
    </row>
    <row r="3819" spans="1:3" x14ac:dyDescent="0.25">
      <c r="A3819" s="417">
        <v>41543</v>
      </c>
      <c r="B3819" s="418">
        <v>2.7962962962962964E-2</v>
      </c>
      <c r="C3819" s="421" t="s">
        <v>1365</v>
      </c>
    </row>
    <row r="3820" spans="1:3" x14ac:dyDescent="0.25">
      <c r="A3820" s="417">
        <v>41543</v>
      </c>
      <c r="B3820" s="418">
        <v>2.7962962962962964E-2</v>
      </c>
      <c r="C3820" s="421" t="s">
        <v>1366</v>
      </c>
    </row>
    <row r="3821" spans="1:3" x14ac:dyDescent="0.25">
      <c r="A3821" s="417">
        <v>41543</v>
      </c>
      <c r="B3821" s="418">
        <v>2.7962962962962964E-2</v>
      </c>
      <c r="C3821" s="421" t="s">
        <v>1320</v>
      </c>
    </row>
    <row r="3822" spans="1:3" x14ac:dyDescent="0.25">
      <c r="A3822" s="417">
        <v>41543</v>
      </c>
      <c r="B3822" s="418">
        <v>2.7962962962962964E-2</v>
      </c>
      <c r="C3822" s="421" t="s">
        <v>1367</v>
      </c>
    </row>
    <row r="3823" spans="1:3" x14ac:dyDescent="0.25">
      <c r="A3823" s="417">
        <v>41543</v>
      </c>
      <c r="B3823" s="418">
        <v>2.7962962962962964E-2</v>
      </c>
      <c r="C3823" s="421" t="s">
        <v>1344</v>
      </c>
    </row>
    <row r="3824" spans="1:3" x14ac:dyDescent="0.25">
      <c r="A3824" s="417">
        <v>41543</v>
      </c>
      <c r="B3824" s="418">
        <v>2.7962962962962964E-2</v>
      </c>
      <c r="C3824" s="421" t="s">
        <v>1368</v>
      </c>
    </row>
    <row r="3825" spans="1:3" x14ac:dyDescent="0.25">
      <c r="A3825" s="417">
        <v>41543</v>
      </c>
      <c r="B3825" s="418">
        <v>2.7962962962962964E-2</v>
      </c>
      <c r="C3825" s="421" t="s">
        <v>1369</v>
      </c>
    </row>
    <row r="3826" spans="1:3" x14ac:dyDescent="0.25">
      <c r="A3826" s="417">
        <v>41543</v>
      </c>
      <c r="B3826" s="418">
        <v>2.7974537037037034E-2</v>
      </c>
      <c r="C3826" s="421" t="s">
        <v>1307</v>
      </c>
    </row>
    <row r="3827" spans="1:3" x14ac:dyDescent="0.25">
      <c r="A3827" s="417">
        <v>41543</v>
      </c>
      <c r="B3827" s="418">
        <v>2.7974537037037034E-2</v>
      </c>
      <c r="C3827" s="421" t="s">
        <v>1370</v>
      </c>
    </row>
    <row r="3828" spans="1:3" x14ac:dyDescent="0.25">
      <c r="A3828" s="417">
        <v>41543</v>
      </c>
      <c r="B3828" s="418">
        <v>2.7974537037037034E-2</v>
      </c>
      <c r="C3828" s="421" t="s">
        <v>1371</v>
      </c>
    </row>
    <row r="3829" spans="1:3" x14ac:dyDescent="0.25">
      <c r="A3829" s="417">
        <v>41543</v>
      </c>
      <c r="B3829" s="418">
        <v>2.7974537037037034E-2</v>
      </c>
      <c r="C3829" s="421" t="s">
        <v>1344</v>
      </c>
    </row>
    <row r="3830" spans="1:3" x14ac:dyDescent="0.25">
      <c r="A3830" s="417">
        <v>41543</v>
      </c>
      <c r="B3830" s="418">
        <v>2.7974537037037034E-2</v>
      </c>
      <c r="C3830" s="421" t="s">
        <v>1317</v>
      </c>
    </row>
    <row r="3831" spans="1:3" x14ac:dyDescent="0.25">
      <c r="A3831" s="417">
        <v>41543</v>
      </c>
      <c r="B3831" s="418">
        <v>2.7974537037037034E-2</v>
      </c>
      <c r="C3831" s="421" t="s">
        <v>1463</v>
      </c>
    </row>
    <row r="3832" spans="1:3" x14ac:dyDescent="0.25">
      <c r="A3832" s="417">
        <v>41543</v>
      </c>
      <c r="B3832" s="418">
        <v>2.7974537037037034E-2</v>
      </c>
      <c r="C3832" s="421" t="s">
        <v>1378</v>
      </c>
    </row>
    <row r="3833" spans="1:3" ht="60" x14ac:dyDescent="0.25">
      <c r="A3833" s="417">
        <v>41543</v>
      </c>
      <c r="B3833" s="418">
        <v>2.7974537037037034E-2</v>
      </c>
      <c r="C3833" s="946" t="s">
        <v>1679</v>
      </c>
    </row>
    <row r="3834" spans="1:3" x14ac:dyDescent="0.25">
      <c r="A3834" s="417">
        <v>41543</v>
      </c>
      <c r="B3834" s="418">
        <v>2.8020833333333332E-2</v>
      </c>
      <c r="C3834" s="421" t="s">
        <v>1373</v>
      </c>
    </row>
    <row r="3835" spans="1:3" x14ac:dyDescent="0.25">
      <c r="A3835" s="417">
        <v>41543</v>
      </c>
      <c r="B3835" s="418">
        <v>2.8020833333333332E-2</v>
      </c>
      <c r="C3835" s="421" t="s">
        <v>1308</v>
      </c>
    </row>
    <row r="3836" spans="1:3" x14ac:dyDescent="0.25">
      <c r="A3836" s="417">
        <v>41543</v>
      </c>
      <c r="B3836" s="418">
        <v>2.8020833333333332E-2</v>
      </c>
      <c r="C3836" s="421" t="s">
        <v>1374</v>
      </c>
    </row>
    <row r="3837" spans="1:3" x14ac:dyDescent="0.25">
      <c r="A3837" s="417">
        <v>41543</v>
      </c>
      <c r="B3837" s="418">
        <v>2.8020833333333332E-2</v>
      </c>
      <c r="C3837" s="421" t="s">
        <v>1375</v>
      </c>
    </row>
    <row r="3838" spans="1:3" x14ac:dyDescent="0.25">
      <c r="A3838" s="417">
        <v>41543</v>
      </c>
      <c r="B3838" s="418">
        <v>2.8020833333333332E-2</v>
      </c>
      <c r="C3838" s="421" t="s">
        <v>1376</v>
      </c>
    </row>
    <row r="3839" spans="1:3" x14ac:dyDescent="0.25">
      <c r="A3839" s="417">
        <v>41543</v>
      </c>
      <c r="B3839" s="418">
        <v>2.8020833333333332E-2</v>
      </c>
      <c r="C3839" s="421" t="s">
        <v>1377</v>
      </c>
    </row>
    <row r="3840" spans="1:3" x14ac:dyDescent="0.25">
      <c r="A3840" s="417">
        <v>41543</v>
      </c>
      <c r="B3840" s="418">
        <v>2.8020833333333332E-2</v>
      </c>
      <c r="C3840" s="421" t="s">
        <v>1326</v>
      </c>
    </row>
    <row r="3841" spans="1:3" x14ac:dyDescent="0.25">
      <c r="A3841" s="417">
        <v>41543</v>
      </c>
      <c r="B3841" s="418">
        <v>2.8020833333333332E-2</v>
      </c>
      <c r="C3841" s="421" t="s">
        <v>1378</v>
      </c>
    </row>
    <row r="3842" spans="1:3" ht="60" x14ac:dyDescent="0.25">
      <c r="A3842" s="417">
        <v>41543</v>
      </c>
      <c r="B3842" s="418">
        <v>2.8020833333333332E-2</v>
      </c>
      <c r="C3842" s="946" t="s">
        <v>1680</v>
      </c>
    </row>
    <row r="3843" spans="1:3" x14ac:dyDescent="0.25">
      <c r="A3843" s="417">
        <v>41543</v>
      </c>
      <c r="B3843" s="418">
        <v>2.8032407407407409E-2</v>
      </c>
      <c r="C3843" s="421" t="s">
        <v>1380</v>
      </c>
    </row>
    <row r="3844" spans="1:3" x14ac:dyDescent="0.25">
      <c r="A3844" s="417">
        <v>41543</v>
      </c>
      <c r="B3844" s="418">
        <v>2.8043981481481479E-2</v>
      </c>
      <c r="C3844" s="421" t="s">
        <v>1381</v>
      </c>
    </row>
    <row r="3845" spans="1:3" x14ac:dyDescent="0.25">
      <c r="A3845" s="417">
        <v>41543</v>
      </c>
      <c r="B3845" s="418">
        <v>2.8043981481481479E-2</v>
      </c>
      <c r="C3845" s="421" t="s">
        <v>1382</v>
      </c>
    </row>
    <row r="3846" spans="1:3" x14ac:dyDescent="0.25">
      <c r="A3846" s="417">
        <v>41543</v>
      </c>
      <c r="B3846" s="418">
        <v>2.8043981481481479E-2</v>
      </c>
      <c r="C3846" s="421" t="s">
        <v>1383</v>
      </c>
    </row>
    <row r="3847" spans="1:3" x14ac:dyDescent="0.25">
      <c r="A3847" s="417">
        <v>41543</v>
      </c>
      <c r="B3847" s="418">
        <v>2.8043981481481479E-2</v>
      </c>
      <c r="C3847" s="421" t="s">
        <v>1352</v>
      </c>
    </row>
    <row r="3848" spans="1:3" x14ac:dyDescent="0.25">
      <c r="A3848" s="417">
        <v>41543</v>
      </c>
      <c r="B3848" s="418">
        <v>2.8043981481481479E-2</v>
      </c>
      <c r="C3848" s="421" t="s">
        <v>1384</v>
      </c>
    </row>
    <row r="3849" spans="1:3" x14ac:dyDescent="0.25">
      <c r="A3849" s="417">
        <v>41543</v>
      </c>
      <c r="B3849" s="418">
        <v>2.8043981481481479E-2</v>
      </c>
      <c r="C3849" s="421" t="s">
        <v>1385</v>
      </c>
    </row>
    <row r="3850" spans="1:3" x14ac:dyDescent="0.25">
      <c r="A3850" s="417">
        <v>41543</v>
      </c>
      <c r="B3850" s="418">
        <v>2.8043981481481479E-2</v>
      </c>
      <c r="C3850" s="421" t="s">
        <v>1385</v>
      </c>
    </row>
    <row r="3851" spans="1:3" x14ac:dyDescent="0.25">
      <c r="A3851" s="417">
        <v>41543</v>
      </c>
      <c r="B3851" s="418">
        <v>2.8055555555555556E-2</v>
      </c>
      <c r="C3851" s="421" t="s">
        <v>1386</v>
      </c>
    </row>
    <row r="3852" spans="1:3" x14ac:dyDescent="0.25">
      <c r="A3852" s="417">
        <v>41543</v>
      </c>
      <c r="B3852" s="418">
        <v>2.8055555555555556E-2</v>
      </c>
      <c r="C3852" s="421" t="s">
        <v>1387</v>
      </c>
    </row>
    <row r="3853" spans="1:3" x14ac:dyDescent="0.25">
      <c r="A3853" s="417">
        <v>41543</v>
      </c>
      <c r="B3853" s="418">
        <v>2.8055555555555556E-2</v>
      </c>
      <c r="C3853" s="421" t="s">
        <v>1387</v>
      </c>
    </row>
    <row r="3854" spans="1:3" x14ac:dyDescent="0.25">
      <c r="A3854" s="417">
        <v>41543</v>
      </c>
      <c r="B3854" s="418">
        <v>2.8055555555555556E-2</v>
      </c>
      <c r="C3854" s="421" t="s">
        <v>1318</v>
      </c>
    </row>
    <row r="3855" spans="1:3" x14ac:dyDescent="0.25">
      <c r="A3855" s="417">
        <v>41543</v>
      </c>
      <c r="B3855" s="418">
        <v>2.8067129629629626E-2</v>
      </c>
      <c r="C3855" s="421" t="s">
        <v>1388</v>
      </c>
    </row>
    <row r="3856" spans="1:3" x14ac:dyDescent="0.25">
      <c r="A3856" s="417">
        <v>41543</v>
      </c>
      <c r="B3856" s="418">
        <v>2.8078703703703703E-2</v>
      </c>
      <c r="C3856" s="421" t="s">
        <v>1390</v>
      </c>
    </row>
    <row r="3857" spans="1:3" x14ac:dyDescent="0.25">
      <c r="A3857" s="417">
        <v>41543</v>
      </c>
      <c r="B3857" s="418">
        <v>2.809027777777778E-2</v>
      </c>
      <c r="C3857" s="421" t="s">
        <v>1391</v>
      </c>
    </row>
    <row r="3858" spans="1:3" x14ac:dyDescent="0.25">
      <c r="A3858" s="417">
        <v>41543</v>
      </c>
      <c r="B3858" s="418">
        <v>2.809027777777778E-2</v>
      </c>
      <c r="C3858" s="421" t="s">
        <v>1392</v>
      </c>
    </row>
    <row r="3859" spans="1:3" x14ac:dyDescent="0.25">
      <c r="A3859" s="417">
        <v>41543</v>
      </c>
      <c r="B3859" s="418">
        <v>2.809027777777778E-2</v>
      </c>
      <c r="C3859" s="421" t="s">
        <v>1294</v>
      </c>
    </row>
    <row r="3860" spans="1:3" ht="60" x14ac:dyDescent="0.25">
      <c r="A3860" s="417">
        <v>41543</v>
      </c>
      <c r="B3860" s="418">
        <v>2.809027777777778E-2</v>
      </c>
      <c r="C3860" s="946" t="s">
        <v>1295</v>
      </c>
    </row>
    <row r="3861" spans="1:3" x14ac:dyDescent="0.25">
      <c r="A3861" s="417">
        <v>41543</v>
      </c>
      <c r="B3861" s="418">
        <v>2.8136574074074074E-2</v>
      </c>
      <c r="C3861" s="421" t="s">
        <v>1393</v>
      </c>
    </row>
    <row r="3862" spans="1:3" x14ac:dyDescent="0.25">
      <c r="A3862" s="417">
        <v>41543</v>
      </c>
      <c r="B3862" s="418">
        <v>2.8136574074074074E-2</v>
      </c>
      <c r="C3862" s="421" t="s">
        <v>1394</v>
      </c>
    </row>
    <row r="3863" spans="1:3" x14ac:dyDescent="0.25">
      <c r="A3863" s="417">
        <v>41543</v>
      </c>
      <c r="B3863" s="418">
        <v>2.8148148148148148E-2</v>
      </c>
      <c r="C3863" s="421" t="s">
        <v>1392</v>
      </c>
    </row>
    <row r="3864" spans="1:3" x14ac:dyDescent="0.25">
      <c r="A3864" s="417">
        <v>41543</v>
      </c>
      <c r="B3864" s="418">
        <v>2.8148148148148148E-2</v>
      </c>
      <c r="C3864" s="421" t="s">
        <v>1395</v>
      </c>
    </row>
    <row r="3865" spans="1:3" x14ac:dyDescent="0.25">
      <c r="A3865" s="417">
        <v>41543</v>
      </c>
      <c r="B3865" s="418">
        <v>2.8148148148148148E-2</v>
      </c>
      <c r="C3865" s="421" t="s">
        <v>1396</v>
      </c>
    </row>
    <row r="3866" spans="1:3" x14ac:dyDescent="0.25">
      <c r="A3866" s="417">
        <v>41543</v>
      </c>
      <c r="B3866" s="418">
        <v>2.8148148148148148E-2</v>
      </c>
      <c r="C3866" s="421" t="s">
        <v>1363</v>
      </c>
    </row>
    <row r="3867" spans="1:3" x14ac:dyDescent="0.25">
      <c r="A3867" s="417">
        <v>41543</v>
      </c>
      <c r="B3867" s="418">
        <v>2.8171296296296302E-2</v>
      </c>
      <c r="C3867" s="421" t="s">
        <v>1362</v>
      </c>
    </row>
    <row r="3868" spans="1:3" x14ac:dyDescent="0.25">
      <c r="A3868" s="417">
        <v>41543</v>
      </c>
      <c r="B3868" s="418">
        <v>2.8171296296296302E-2</v>
      </c>
      <c r="C3868" s="421" t="s">
        <v>1397</v>
      </c>
    </row>
    <row r="3869" spans="1:3" x14ac:dyDescent="0.25">
      <c r="A3869" s="417">
        <v>41543</v>
      </c>
      <c r="B3869" s="418">
        <v>2.8171296296296302E-2</v>
      </c>
      <c r="C3869" s="421" t="s">
        <v>1381</v>
      </c>
    </row>
    <row r="3870" spans="1:3" x14ac:dyDescent="0.25">
      <c r="A3870" s="417">
        <v>41543</v>
      </c>
      <c r="B3870" s="418">
        <v>2.8182870370370372E-2</v>
      </c>
      <c r="C3870" s="421" t="s">
        <v>1398</v>
      </c>
    </row>
    <row r="3871" spans="1:3" x14ac:dyDescent="0.25">
      <c r="A3871" s="417">
        <v>41543</v>
      </c>
      <c r="B3871" s="418">
        <v>2.8182870370370372E-2</v>
      </c>
      <c r="C3871" s="421" t="s">
        <v>1399</v>
      </c>
    </row>
    <row r="3872" spans="1:3" x14ac:dyDescent="0.25">
      <c r="A3872" s="417">
        <v>41543</v>
      </c>
      <c r="B3872" s="418">
        <v>2.8194444444444442E-2</v>
      </c>
      <c r="C3872" s="421" t="s">
        <v>1400</v>
      </c>
    </row>
    <row r="3873" spans="1:3" x14ac:dyDescent="0.25">
      <c r="A3873" s="417">
        <v>41543</v>
      </c>
      <c r="B3873" s="418">
        <v>2.8194444444444442E-2</v>
      </c>
      <c r="C3873" s="421" t="s">
        <v>1400</v>
      </c>
    </row>
    <row r="3874" spans="1:3" x14ac:dyDescent="0.25">
      <c r="A3874" s="417">
        <v>41543</v>
      </c>
      <c r="B3874" s="418">
        <v>2.8194444444444442E-2</v>
      </c>
      <c r="C3874" s="421" t="s">
        <v>1373</v>
      </c>
    </row>
    <row r="3875" spans="1:3" x14ac:dyDescent="0.25">
      <c r="A3875" s="417">
        <v>41543</v>
      </c>
      <c r="B3875" s="418">
        <v>2.8229166666666666E-2</v>
      </c>
      <c r="C3875" s="421" t="s">
        <v>1353</v>
      </c>
    </row>
    <row r="3876" spans="1:3" x14ac:dyDescent="0.25">
      <c r="A3876" s="417">
        <v>41543</v>
      </c>
      <c r="B3876" s="418">
        <v>2.8229166666666666E-2</v>
      </c>
      <c r="C3876" s="421" t="s">
        <v>1353</v>
      </c>
    </row>
    <row r="3877" spans="1:3" x14ac:dyDescent="0.25">
      <c r="A3877" s="417">
        <v>41543</v>
      </c>
      <c r="B3877" s="418">
        <v>2.8240740740740736E-2</v>
      </c>
      <c r="C3877" s="421" t="s">
        <v>1401</v>
      </c>
    </row>
    <row r="3878" spans="1:3" x14ac:dyDescent="0.25">
      <c r="A3878" s="417">
        <v>41543</v>
      </c>
      <c r="B3878" s="418">
        <v>2.826388888888889E-2</v>
      </c>
      <c r="C3878" s="421" t="s">
        <v>1392</v>
      </c>
    </row>
    <row r="3879" spans="1:3" x14ac:dyDescent="0.25">
      <c r="A3879" s="417">
        <v>41543</v>
      </c>
      <c r="B3879" s="418">
        <v>2.8287037037037038E-2</v>
      </c>
      <c r="C3879" s="421" t="s">
        <v>1403</v>
      </c>
    </row>
    <row r="3880" spans="1:3" x14ac:dyDescent="0.25">
      <c r="A3880" s="417">
        <v>41543</v>
      </c>
      <c r="B3880" s="418">
        <v>2.8287037037037038E-2</v>
      </c>
      <c r="C3880" s="421" t="s">
        <v>1403</v>
      </c>
    </row>
    <row r="3881" spans="1:3" x14ac:dyDescent="0.25">
      <c r="A3881" s="417">
        <v>41543</v>
      </c>
      <c r="B3881" s="418">
        <v>2.8287037037037038E-2</v>
      </c>
      <c r="C3881" s="421" t="s">
        <v>1403</v>
      </c>
    </row>
    <row r="3882" spans="1:3" x14ac:dyDescent="0.25">
      <c r="A3882" s="417">
        <v>41543</v>
      </c>
      <c r="B3882" s="418">
        <v>2.8333333333333332E-2</v>
      </c>
      <c r="C3882" s="421" t="s">
        <v>1362</v>
      </c>
    </row>
    <row r="3883" spans="1:3" x14ac:dyDescent="0.25">
      <c r="A3883" s="417">
        <v>41543</v>
      </c>
      <c r="B3883" s="418">
        <v>2.8333333333333332E-2</v>
      </c>
      <c r="C3883" s="421" t="s">
        <v>1364</v>
      </c>
    </row>
    <row r="3884" spans="1:3" x14ac:dyDescent="0.25">
      <c r="A3884" s="417">
        <v>41543</v>
      </c>
      <c r="B3884" s="418">
        <v>2.8333333333333332E-2</v>
      </c>
      <c r="C3884" s="421" t="s">
        <v>1364</v>
      </c>
    </row>
    <row r="3885" spans="1:3" x14ac:dyDescent="0.25">
      <c r="A3885" s="417">
        <v>41543</v>
      </c>
      <c r="B3885" s="418">
        <v>2.8356481481481483E-2</v>
      </c>
      <c r="C3885" s="421" t="s">
        <v>1381</v>
      </c>
    </row>
    <row r="3886" spans="1:3" x14ac:dyDescent="0.25">
      <c r="A3886" s="417">
        <v>41543</v>
      </c>
      <c r="B3886" s="418">
        <v>2.836805555555556E-2</v>
      </c>
      <c r="C3886" s="421" t="s">
        <v>1364</v>
      </c>
    </row>
    <row r="3887" spans="1:3" x14ac:dyDescent="0.25">
      <c r="A3887" s="417">
        <v>41543</v>
      </c>
      <c r="B3887" s="418">
        <v>2.837962962962963E-2</v>
      </c>
      <c r="C3887" s="421" t="s">
        <v>1480</v>
      </c>
    </row>
    <row r="3888" spans="1:3" x14ac:dyDescent="0.25">
      <c r="A3888" s="417">
        <v>41543</v>
      </c>
      <c r="B3888" s="418">
        <v>2.837962962962963E-2</v>
      </c>
      <c r="C3888" s="421" t="s">
        <v>1480</v>
      </c>
    </row>
    <row r="3889" spans="1:3" x14ac:dyDescent="0.25">
      <c r="A3889" s="417">
        <v>41543</v>
      </c>
      <c r="B3889" s="418">
        <v>2.837962962962963E-2</v>
      </c>
      <c r="C3889" s="421" t="s">
        <v>1480</v>
      </c>
    </row>
    <row r="3890" spans="1:3" x14ac:dyDescent="0.25">
      <c r="A3890" s="417">
        <v>41543</v>
      </c>
      <c r="B3890" s="418">
        <v>2.837962962962963E-2</v>
      </c>
      <c r="C3890" s="421" t="s">
        <v>1681</v>
      </c>
    </row>
    <row r="3891" spans="1:3" x14ac:dyDescent="0.25">
      <c r="A3891" s="417">
        <v>41543</v>
      </c>
      <c r="B3891" s="418">
        <v>2.837962962962963E-2</v>
      </c>
      <c r="C3891" s="421" t="s">
        <v>1541</v>
      </c>
    </row>
    <row r="3892" spans="1:3" x14ac:dyDescent="0.25">
      <c r="A3892" s="417">
        <v>41543</v>
      </c>
      <c r="B3892" s="418">
        <v>2.8391203703703707E-2</v>
      </c>
      <c r="C3892" s="421" t="s">
        <v>1346</v>
      </c>
    </row>
    <row r="3893" spans="1:3" x14ac:dyDescent="0.25">
      <c r="A3893" s="417">
        <v>41543</v>
      </c>
      <c r="B3893" s="418">
        <v>2.8391203703703707E-2</v>
      </c>
      <c r="C3893" s="421" t="s">
        <v>1405</v>
      </c>
    </row>
    <row r="3894" spans="1:3" x14ac:dyDescent="0.25">
      <c r="A3894" s="417">
        <v>41543</v>
      </c>
      <c r="B3894" s="418">
        <v>2.8391203703703707E-2</v>
      </c>
      <c r="C3894" s="421" t="s">
        <v>1406</v>
      </c>
    </row>
    <row r="3895" spans="1:3" x14ac:dyDescent="0.25">
      <c r="A3895" s="417">
        <v>41543</v>
      </c>
      <c r="B3895" s="418">
        <v>2.8425925925925924E-2</v>
      </c>
      <c r="C3895" s="421" t="s">
        <v>1362</v>
      </c>
    </row>
    <row r="3896" spans="1:3" x14ac:dyDescent="0.25">
      <c r="A3896" s="417">
        <v>41543</v>
      </c>
      <c r="B3896" s="418">
        <v>2.8483796296296295E-2</v>
      </c>
      <c r="C3896" s="421" t="s">
        <v>1682</v>
      </c>
    </row>
    <row r="3897" spans="1:3" x14ac:dyDescent="0.25">
      <c r="A3897" s="417">
        <v>41543</v>
      </c>
      <c r="B3897" s="418">
        <v>2.8495370370370369E-2</v>
      </c>
      <c r="C3897" s="421" t="s">
        <v>1318</v>
      </c>
    </row>
    <row r="3898" spans="1:3" x14ac:dyDescent="0.25">
      <c r="A3898" s="417">
        <v>41543</v>
      </c>
      <c r="B3898" s="418">
        <v>2.854166666666667E-2</v>
      </c>
      <c r="C3898" s="421" t="s">
        <v>1368</v>
      </c>
    </row>
    <row r="3899" spans="1:3" x14ac:dyDescent="0.25">
      <c r="A3899" s="417">
        <v>41543</v>
      </c>
      <c r="B3899" s="418">
        <v>2.854166666666667E-2</v>
      </c>
      <c r="C3899" s="421" t="s">
        <v>1368</v>
      </c>
    </row>
    <row r="3900" spans="1:3" x14ac:dyDescent="0.25">
      <c r="A3900" s="417">
        <v>41543</v>
      </c>
      <c r="B3900" s="418">
        <v>2.854166666666667E-2</v>
      </c>
      <c r="C3900" s="421" t="s">
        <v>1368</v>
      </c>
    </row>
    <row r="3901" spans="1:3" x14ac:dyDescent="0.25">
      <c r="A3901" s="417">
        <v>41543</v>
      </c>
      <c r="B3901" s="418">
        <v>2.854166666666667E-2</v>
      </c>
      <c r="C3901" s="421" t="s">
        <v>1368</v>
      </c>
    </row>
    <row r="3902" spans="1:3" x14ac:dyDescent="0.25">
      <c r="A3902" s="417">
        <v>41543</v>
      </c>
      <c r="B3902" s="418">
        <v>2.854166666666667E-2</v>
      </c>
      <c r="C3902" s="421" t="s">
        <v>1368</v>
      </c>
    </row>
    <row r="3903" spans="1:3" x14ac:dyDescent="0.25">
      <c r="A3903" s="417">
        <v>41543</v>
      </c>
      <c r="B3903" s="418">
        <v>2.854166666666667E-2</v>
      </c>
      <c r="C3903" s="421" t="s">
        <v>1409</v>
      </c>
    </row>
    <row r="3904" spans="1:3" x14ac:dyDescent="0.25">
      <c r="A3904" s="417">
        <v>41543</v>
      </c>
      <c r="B3904" s="418">
        <v>2.855324074074074E-2</v>
      </c>
      <c r="C3904" s="421" t="s">
        <v>1308</v>
      </c>
    </row>
    <row r="3905" spans="1:3" x14ac:dyDescent="0.25">
      <c r="A3905" s="417">
        <v>41543</v>
      </c>
      <c r="B3905" s="418">
        <v>2.8599537037037034E-2</v>
      </c>
      <c r="C3905" s="421" t="s">
        <v>1410</v>
      </c>
    </row>
    <row r="3906" spans="1:3" x14ac:dyDescent="0.25">
      <c r="A3906" s="417">
        <v>41543</v>
      </c>
      <c r="B3906" s="418">
        <v>2.8599537037037034E-2</v>
      </c>
      <c r="C3906" s="421" t="s">
        <v>1410</v>
      </c>
    </row>
    <row r="3907" spans="1:3" x14ac:dyDescent="0.25">
      <c r="A3907" s="417">
        <v>41543</v>
      </c>
      <c r="B3907" s="418">
        <v>2.8622685185185185E-2</v>
      </c>
      <c r="C3907" s="421" t="s">
        <v>1411</v>
      </c>
    </row>
    <row r="3908" spans="1:3" x14ac:dyDescent="0.25">
      <c r="A3908" s="417">
        <v>41543</v>
      </c>
      <c r="B3908" s="418">
        <v>2.8645833333333332E-2</v>
      </c>
      <c r="C3908" s="421" t="s">
        <v>1683</v>
      </c>
    </row>
    <row r="3909" spans="1:3" x14ac:dyDescent="0.25">
      <c r="A3909" s="417">
        <v>41543</v>
      </c>
      <c r="B3909" s="418">
        <v>2.8680555555555553E-2</v>
      </c>
      <c r="C3909" s="421" t="s">
        <v>1413</v>
      </c>
    </row>
    <row r="3910" spans="1:3" x14ac:dyDescent="0.25">
      <c r="A3910" s="417">
        <v>41543</v>
      </c>
      <c r="B3910" s="418">
        <v>2.8680555555555553E-2</v>
      </c>
      <c r="C3910" s="421" t="s">
        <v>1414</v>
      </c>
    </row>
    <row r="3911" spans="1:3" x14ac:dyDescent="0.25">
      <c r="A3911" s="417">
        <v>41543</v>
      </c>
      <c r="B3911" s="418">
        <v>2.8715277777777781E-2</v>
      </c>
      <c r="C3911" s="421" t="s">
        <v>1373</v>
      </c>
    </row>
    <row r="3912" spans="1:3" x14ac:dyDescent="0.25">
      <c r="A3912" s="417">
        <v>41543</v>
      </c>
      <c r="B3912" s="418">
        <v>2.8715277777777781E-2</v>
      </c>
      <c r="C3912" s="421" t="s">
        <v>1684</v>
      </c>
    </row>
    <row r="3913" spans="1:3" x14ac:dyDescent="0.25">
      <c r="A3913" s="417">
        <v>41543</v>
      </c>
      <c r="B3913" s="418">
        <v>2.8854166666666667E-2</v>
      </c>
      <c r="C3913" s="421" t="s">
        <v>1409</v>
      </c>
    </row>
    <row r="3914" spans="1:3" x14ac:dyDescent="0.25">
      <c r="A3914" s="417">
        <v>41543</v>
      </c>
      <c r="B3914" s="418">
        <v>2.8877314814814817E-2</v>
      </c>
      <c r="C3914" s="421" t="s">
        <v>1416</v>
      </c>
    </row>
    <row r="3915" spans="1:3" x14ac:dyDescent="0.25">
      <c r="A3915" s="417">
        <v>41543</v>
      </c>
      <c r="B3915" s="418">
        <v>2.8877314814814817E-2</v>
      </c>
      <c r="C3915" s="421" t="s">
        <v>1685</v>
      </c>
    </row>
    <row r="3916" spans="1:3" x14ac:dyDescent="0.25">
      <c r="A3916" s="417">
        <v>41543</v>
      </c>
      <c r="B3916" s="418">
        <v>2.8900462962962961E-2</v>
      </c>
      <c r="C3916" s="421" t="s">
        <v>1348</v>
      </c>
    </row>
    <row r="3917" spans="1:3" x14ac:dyDescent="0.25">
      <c r="A3917" s="417">
        <v>41543</v>
      </c>
      <c r="B3917" s="418">
        <v>2.8900462962962961E-2</v>
      </c>
      <c r="C3917" s="421" t="s">
        <v>1419</v>
      </c>
    </row>
    <row r="3918" spans="1:3" x14ac:dyDescent="0.25">
      <c r="A3918" s="417">
        <v>41543</v>
      </c>
      <c r="B3918" s="418">
        <v>2.8900462962962961E-2</v>
      </c>
      <c r="C3918" s="421" t="s">
        <v>1419</v>
      </c>
    </row>
    <row r="3919" spans="1:3" x14ac:dyDescent="0.25">
      <c r="A3919" s="417">
        <v>41543</v>
      </c>
      <c r="B3919" s="418">
        <v>2.8900462962962961E-2</v>
      </c>
      <c r="C3919" s="421" t="s">
        <v>1420</v>
      </c>
    </row>
    <row r="3920" spans="1:3" x14ac:dyDescent="0.25">
      <c r="A3920" s="417">
        <v>41543</v>
      </c>
      <c r="B3920" s="418">
        <v>2.8958333333333336E-2</v>
      </c>
      <c r="C3920" s="421" t="s">
        <v>1686</v>
      </c>
    </row>
    <row r="3921" spans="1:3" x14ac:dyDescent="0.25">
      <c r="A3921" s="417">
        <v>41543</v>
      </c>
      <c r="B3921" s="418">
        <v>2.8958333333333336E-2</v>
      </c>
      <c r="C3921" s="421" t="s">
        <v>1687</v>
      </c>
    </row>
    <row r="3922" spans="1:3" x14ac:dyDescent="0.25">
      <c r="A3922" s="417">
        <v>41543</v>
      </c>
      <c r="B3922" s="418">
        <v>2.8958333333333336E-2</v>
      </c>
      <c r="C3922" s="421" t="s">
        <v>1688</v>
      </c>
    </row>
    <row r="3923" spans="1:3" x14ac:dyDescent="0.25">
      <c r="A3923" s="417">
        <v>41543</v>
      </c>
      <c r="B3923" s="418">
        <v>2.8981481481481483E-2</v>
      </c>
      <c r="C3923" s="421" t="s">
        <v>1689</v>
      </c>
    </row>
    <row r="3924" spans="1:3" x14ac:dyDescent="0.25">
      <c r="A3924" s="417">
        <v>41543</v>
      </c>
      <c r="B3924" s="418">
        <v>2.8993055555555553E-2</v>
      </c>
      <c r="C3924" s="421" t="s">
        <v>1690</v>
      </c>
    </row>
    <row r="3925" spans="1:3" x14ac:dyDescent="0.25">
      <c r="A3925" s="417">
        <v>41543</v>
      </c>
      <c r="B3925" s="418">
        <v>2.900462962962963E-2</v>
      </c>
      <c r="C3925" s="421" t="s">
        <v>1691</v>
      </c>
    </row>
    <row r="3926" spans="1:3" x14ac:dyDescent="0.25">
      <c r="A3926" s="417">
        <v>41543</v>
      </c>
      <c r="B3926" s="418">
        <v>2.900462962962963E-2</v>
      </c>
      <c r="C3926" s="421" t="s">
        <v>1692</v>
      </c>
    </row>
    <row r="3927" spans="1:3" x14ac:dyDescent="0.25">
      <c r="A3927" s="417">
        <v>41543</v>
      </c>
      <c r="B3927" s="418">
        <v>2.900462962962963E-2</v>
      </c>
      <c r="C3927" s="421" t="s">
        <v>1693</v>
      </c>
    </row>
    <row r="3928" spans="1:3" x14ac:dyDescent="0.25">
      <c r="A3928" s="417">
        <v>41543</v>
      </c>
      <c r="B3928" s="418">
        <v>2.900462962962963E-2</v>
      </c>
      <c r="C3928" s="421" t="s">
        <v>1320</v>
      </c>
    </row>
    <row r="3929" spans="1:3" x14ac:dyDescent="0.25">
      <c r="A3929" s="417">
        <v>41543</v>
      </c>
      <c r="B3929" s="418">
        <v>2.9027777777777777E-2</v>
      </c>
      <c r="C3929" s="421" t="s">
        <v>1429</v>
      </c>
    </row>
    <row r="3930" spans="1:3" x14ac:dyDescent="0.25">
      <c r="A3930" s="417">
        <v>41543</v>
      </c>
      <c r="B3930" s="418">
        <v>2.9062500000000002E-2</v>
      </c>
      <c r="C3930" s="421" t="s">
        <v>1430</v>
      </c>
    </row>
    <row r="3931" spans="1:3" x14ac:dyDescent="0.25">
      <c r="A3931" s="417">
        <v>41543</v>
      </c>
      <c r="B3931" s="418">
        <v>2.9074074074074075E-2</v>
      </c>
      <c r="C3931" s="421" t="s">
        <v>1694</v>
      </c>
    </row>
    <row r="3932" spans="1:3" x14ac:dyDescent="0.25">
      <c r="A3932" s="417">
        <v>41543</v>
      </c>
      <c r="B3932" s="418">
        <v>2.9189814814814811E-2</v>
      </c>
      <c r="C3932" s="421" t="s">
        <v>1308</v>
      </c>
    </row>
    <row r="3933" spans="1:3" x14ac:dyDescent="0.25">
      <c r="A3933" s="417">
        <v>41543</v>
      </c>
      <c r="B3933" s="418">
        <v>2.9189814814814811E-2</v>
      </c>
      <c r="C3933" s="421" t="s">
        <v>1360</v>
      </c>
    </row>
    <row r="3934" spans="1:3" x14ac:dyDescent="0.25">
      <c r="A3934" s="417">
        <v>41543</v>
      </c>
      <c r="B3934" s="418">
        <v>2.9201388888888888E-2</v>
      </c>
      <c r="C3934" s="421" t="s">
        <v>1432</v>
      </c>
    </row>
    <row r="3935" spans="1:3" x14ac:dyDescent="0.25">
      <c r="A3935" s="417">
        <v>41543</v>
      </c>
      <c r="B3935" s="418">
        <v>2.9201388888888888E-2</v>
      </c>
      <c r="C3935" s="421" t="s">
        <v>1432</v>
      </c>
    </row>
    <row r="3936" spans="1:3" x14ac:dyDescent="0.25">
      <c r="A3936" s="417">
        <v>41543</v>
      </c>
      <c r="B3936" s="418">
        <v>2.9201388888888888E-2</v>
      </c>
      <c r="C3936" s="421" t="s">
        <v>1432</v>
      </c>
    </row>
    <row r="3937" spans="1:3" x14ac:dyDescent="0.25">
      <c r="A3937" s="417">
        <v>41543</v>
      </c>
      <c r="B3937" s="418">
        <v>2.9201388888888888E-2</v>
      </c>
      <c r="C3937" s="421" t="s">
        <v>1281</v>
      </c>
    </row>
    <row r="3938" spans="1:3" ht="60" x14ac:dyDescent="0.25">
      <c r="A3938" s="417">
        <v>41543</v>
      </c>
      <c r="B3938" s="418">
        <v>2.9201388888888888E-2</v>
      </c>
      <c r="C3938" s="946" t="s">
        <v>1282</v>
      </c>
    </row>
    <row r="3939" spans="1:3" x14ac:dyDescent="0.25">
      <c r="A3939" s="417">
        <v>41543</v>
      </c>
      <c r="B3939" s="418">
        <v>2.9571759259259259E-2</v>
      </c>
      <c r="C3939" s="421" t="s">
        <v>1413</v>
      </c>
    </row>
    <row r="3940" spans="1:3" x14ac:dyDescent="0.25">
      <c r="A3940" s="417">
        <v>41543</v>
      </c>
      <c r="B3940" s="418">
        <v>2.960648148148148E-2</v>
      </c>
      <c r="C3940" s="421" t="s">
        <v>1695</v>
      </c>
    </row>
    <row r="3941" spans="1:3" x14ac:dyDescent="0.25">
      <c r="A3941" s="417">
        <v>41543</v>
      </c>
      <c r="B3941" s="418">
        <v>2.9618055555555554E-2</v>
      </c>
      <c r="C3941" s="421" t="s">
        <v>1696</v>
      </c>
    </row>
    <row r="3942" spans="1:3" x14ac:dyDescent="0.25">
      <c r="A3942" s="417">
        <v>41543</v>
      </c>
      <c r="B3942" s="418">
        <v>2.9618055555555554E-2</v>
      </c>
      <c r="C3942" s="421" t="s">
        <v>1697</v>
      </c>
    </row>
    <row r="3943" spans="1:3" x14ac:dyDescent="0.25">
      <c r="A3943" s="417">
        <v>41543</v>
      </c>
      <c r="B3943" s="418">
        <v>2.9618055555555554E-2</v>
      </c>
      <c r="C3943" s="421" t="s">
        <v>1698</v>
      </c>
    </row>
    <row r="3944" spans="1:3" x14ac:dyDescent="0.25">
      <c r="A3944" s="417">
        <v>41543</v>
      </c>
      <c r="B3944" s="418">
        <v>2.9618055555555554E-2</v>
      </c>
      <c r="C3944" s="421" t="s">
        <v>1699</v>
      </c>
    </row>
    <row r="3945" spans="1:3" x14ac:dyDescent="0.25">
      <c r="A3945" s="417">
        <v>41543</v>
      </c>
      <c r="B3945" s="418">
        <v>2.9618055555555554E-2</v>
      </c>
      <c r="C3945" s="421" t="s">
        <v>1700</v>
      </c>
    </row>
    <row r="3946" spans="1:3" x14ac:dyDescent="0.25">
      <c r="A3946" s="417">
        <v>41543</v>
      </c>
      <c r="B3946" s="418">
        <v>2.9652777777777778E-2</v>
      </c>
      <c r="C3946" s="421" t="s">
        <v>1701</v>
      </c>
    </row>
    <row r="3947" spans="1:3" x14ac:dyDescent="0.25">
      <c r="A3947" s="417">
        <v>41543</v>
      </c>
      <c r="B3947" s="418">
        <v>2.9710648148148149E-2</v>
      </c>
      <c r="C3947" s="421" t="s">
        <v>1702</v>
      </c>
    </row>
    <row r="3948" spans="1:3" x14ac:dyDescent="0.25">
      <c r="A3948" s="417">
        <v>41543</v>
      </c>
      <c r="B3948" s="418">
        <v>2.9826388888888892E-2</v>
      </c>
      <c r="C3948" s="421" t="s">
        <v>1703</v>
      </c>
    </row>
    <row r="3949" spans="1:3" x14ac:dyDescent="0.25">
      <c r="A3949" s="417">
        <v>41543</v>
      </c>
      <c r="B3949" s="418">
        <v>2.9861111111111113E-2</v>
      </c>
      <c r="C3949" s="421" t="s">
        <v>1320</v>
      </c>
    </row>
    <row r="3950" spans="1:3" x14ac:dyDescent="0.25">
      <c r="A3950" s="417">
        <v>41543</v>
      </c>
      <c r="B3950" s="418">
        <v>3.0023148148148149E-2</v>
      </c>
      <c r="C3950" s="421" t="s">
        <v>1704</v>
      </c>
    </row>
    <row r="3951" spans="1:3" x14ac:dyDescent="0.25">
      <c r="A3951" s="417">
        <v>41543</v>
      </c>
      <c r="B3951" s="418">
        <v>3.0023148148148149E-2</v>
      </c>
      <c r="C3951" s="421" t="s">
        <v>1705</v>
      </c>
    </row>
    <row r="3952" spans="1:3" x14ac:dyDescent="0.25">
      <c r="A3952" s="417">
        <v>41543</v>
      </c>
      <c r="B3952" s="418">
        <v>3.0023148148148149E-2</v>
      </c>
      <c r="C3952" s="421" t="s">
        <v>1706</v>
      </c>
    </row>
    <row r="3953" spans="1:3" x14ac:dyDescent="0.25">
      <c r="A3953" s="417">
        <v>41543</v>
      </c>
      <c r="B3953" s="418">
        <v>3.0023148148148149E-2</v>
      </c>
      <c r="C3953" s="421" t="s">
        <v>1707</v>
      </c>
    </row>
    <row r="3954" spans="1:3" x14ac:dyDescent="0.25">
      <c r="A3954" s="417">
        <v>41543</v>
      </c>
      <c r="B3954" s="418">
        <v>3.005787037037037E-2</v>
      </c>
      <c r="C3954" s="421" t="s">
        <v>1446</v>
      </c>
    </row>
    <row r="3955" spans="1:3" x14ac:dyDescent="0.25">
      <c r="A3955" s="417">
        <v>41543</v>
      </c>
      <c r="B3955" s="418">
        <v>3.0092592592592591E-2</v>
      </c>
      <c r="C3955" s="421" t="s">
        <v>1238</v>
      </c>
    </row>
    <row r="3956" spans="1:3" x14ac:dyDescent="0.25">
      <c r="A3956" s="417">
        <v>41543</v>
      </c>
      <c r="B3956" s="418">
        <v>3.0231481481481481E-2</v>
      </c>
      <c r="C3956" s="421" t="s">
        <v>1708</v>
      </c>
    </row>
    <row r="3957" spans="1:3" x14ac:dyDescent="0.25">
      <c r="A3957" s="417">
        <v>41543</v>
      </c>
      <c r="B3957" s="418">
        <v>3.0243055555555554E-2</v>
      </c>
      <c r="C3957" s="421" t="s">
        <v>1389</v>
      </c>
    </row>
    <row r="3958" spans="1:3" x14ac:dyDescent="0.25">
      <c r="A3958" s="417">
        <v>41543</v>
      </c>
      <c r="B3958" s="418">
        <v>3.0243055555555554E-2</v>
      </c>
      <c r="C3958" s="421" t="s">
        <v>1448</v>
      </c>
    </row>
    <row r="3959" spans="1:3" x14ac:dyDescent="0.25">
      <c r="A3959" s="417">
        <v>41543</v>
      </c>
      <c r="B3959" s="418">
        <v>3.0254629629629631E-2</v>
      </c>
      <c r="C3959" s="421" t="s">
        <v>1450</v>
      </c>
    </row>
    <row r="3960" spans="1:3" x14ac:dyDescent="0.25">
      <c r="A3960" s="417">
        <v>41543</v>
      </c>
      <c r="B3960" s="418">
        <v>3.0254629629629631E-2</v>
      </c>
      <c r="C3960" s="421" t="s">
        <v>1450</v>
      </c>
    </row>
    <row r="3961" spans="1:3" x14ac:dyDescent="0.25">
      <c r="A3961" s="417">
        <v>41543</v>
      </c>
      <c r="B3961" s="418">
        <v>3.0254629629629631E-2</v>
      </c>
      <c r="C3961" s="421" t="s">
        <v>1450</v>
      </c>
    </row>
    <row r="3962" spans="1:3" x14ac:dyDescent="0.25">
      <c r="A3962" s="417">
        <v>41543</v>
      </c>
      <c r="B3962" s="418">
        <v>3.0254629629629631E-2</v>
      </c>
      <c r="C3962" s="421" t="s">
        <v>1450</v>
      </c>
    </row>
    <row r="3963" spans="1:3" x14ac:dyDescent="0.25">
      <c r="A3963" s="417">
        <v>41543</v>
      </c>
      <c r="B3963" s="418">
        <v>3.0254629629629631E-2</v>
      </c>
      <c r="C3963" s="421" t="s">
        <v>1450</v>
      </c>
    </row>
    <row r="3964" spans="1:3" x14ac:dyDescent="0.25">
      <c r="A3964" s="417">
        <v>41543</v>
      </c>
      <c r="B3964" s="418">
        <v>3.0254629629629631E-2</v>
      </c>
      <c r="C3964" s="421" t="s">
        <v>1450</v>
      </c>
    </row>
    <row r="3965" spans="1:3" x14ac:dyDescent="0.25">
      <c r="A3965" s="417">
        <v>41543</v>
      </c>
      <c r="B3965" s="418">
        <v>3.0254629629629631E-2</v>
      </c>
      <c r="C3965" s="421" t="s">
        <v>1450</v>
      </c>
    </row>
    <row r="3966" spans="1:3" x14ac:dyDescent="0.25">
      <c r="A3966" s="417">
        <v>41543</v>
      </c>
      <c r="B3966" s="418">
        <v>3.0439814814814819E-2</v>
      </c>
      <c r="C3966" s="421" t="s">
        <v>1448</v>
      </c>
    </row>
    <row r="3967" spans="1:3" x14ac:dyDescent="0.25">
      <c r="A3967" s="417">
        <v>41543</v>
      </c>
      <c r="B3967" s="418">
        <v>3.0474537037037036E-2</v>
      </c>
      <c r="C3967" s="421" t="s">
        <v>1399</v>
      </c>
    </row>
    <row r="3968" spans="1:3" x14ac:dyDescent="0.25">
      <c r="A3968" s="417">
        <v>41543</v>
      </c>
      <c r="B3968" s="418">
        <v>3.050925925925926E-2</v>
      </c>
      <c r="C3968" s="421" t="s">
        <v>1309</v>
      </c>
    </row>
    <row r="3969" spans="1:3" x14ac:dyDescent="0.25">
      <c r="A3969" s="417">
        <v>41543</v>
      </c>
      <c r="B3969" s="418">
        <v>3.050925925925926E-2</v>
      </c>
      <c r="C3969" s="421" t="s">
        <v>1236</v>
      </c>
    </row>
    <row r="3970" spans="1:3" x14ac:dyDescent="0.25">
      <c r="A3970" s="417">
        <v>41543</v>
      </c>
      <c r="B3970" s="418">
        <v>3.050925925925926E-2</v>
      </c>
      <c r="C3970" s="421" t="s">
        <v>1237</v>
      </c>
    </row>
    <row r="3971" spans="1:3" x14ac:dyDescent="0.25">
      <c r="A3971" s="417">
        <v>41543</v>
      </c>
      <c r="B3971" s="418">
        <v>3.050925925925926E-2</v>
      </c>
      <c r="C3971" s="421" t="s">
        <v>1238</v>
      </c>
    </row>
    <row r="3972" spans="1:3" x14ac:dyDescent="0.25">
      <c r="A3972" s="417">
        <v>41543</v>
      </c>
      <c r="B3972" s="418">
        <v>3.0682870370370371E-2</v>
      </c>
      <c r="C3972" s="421" t="s">
        <v>1709</v>
      </c>
    </row>
    <row r="3973" spans="1:3" x14ac:dyDescent="0.25">
      <c r="A3973" s="417">
        <v>41543</v>
      </c>
      <c r="B3973" s="418">
        <v>3.0682870370370371E-2</v>
      </c>
      <c r="C3973" s="421" t="s">
        <v>1710</v>
      </c>
    </row>
    <row r="3974" spans="1:3" x14ac:dyDescent="0.25">
      <c r="A3974" s="417">
        <v>41543</v>
      </c>
      <c r="B3974" s="418">
        <v>3.0694444444444444E-2</v>
      </c>
      <c r="C3974" s="421" t="s">
        <v>1671</v>
      </c>
    </row>
    <row r="3975" spans="1:3" ht="30" x14ac:dyDescent="0.25">
      <c r="A3975" s="417">
        <v>41543</v>
      </c>
      <c r="B3975" s="418">
        <v>3.3368055555555554E-2</v>
      </c>
      <c r="C3975" s="946" t="s">
        <v>1711</v>
      </c>
    </row>
    <row r="3976" spans="1:3" ht="45" x14ac:dyDescent="0.25">
      <c r="A3976" s="417">
        <v>41543</v>
      </c>
      <c r="B3976" s="418">
        <v>3.4143518518518517E-2</v>
      </c>
      <c r="C3976" s="946" t="s">
        <v>1712</v>
      </c>
    </row>
    <row r="3977" spans="1:3" ht="30" x14ac:dyDescent="0.25">
      <c r="A3977" s="417">
        <v>41543</v>
      </c>
      <c r="B3977" s="418">
        <v>3.4594907407407408E-2</v>
      </c>
      <c r="C3977" s="946" t="s">
        <v>1713</v>
      </c>
    </row>
    <row r="3978" spans="1:3" x14ac:dyDescent="0.25">
      <c r="A3978" s="417">
        <v>41543</v>
      </c>
      <c r="B3978" s="418">
        <v>5.395833333333333E-2</v>
      </c>
      <c r="C3978" s="421" t="s">
        <v>1238</v>
      </c>
    </row>
    <row r="3979" spans="1:3" x14ac:dyDescent="0.25">
      <c r="A3979" s="417">
        <v>41543</v>
      </c>
      <c r="B3979" s="418">
        <v>5.395833333333333E-2</v>
      </c>
      <c r="C3979" s="421" t="s">
        <v>1307</v>
      </c>
    </row>
    <row r="3980" spans="1:3" x14ac:dyDescent="0.25">
      <c r="A3980" s="417">
        <v>41543</v>
      </c>
      <c r="B3980" s="418">
        <v>5.395833333333333E-2</v>
      </c>
      <c r="C3980" s="421" t="s">
        <v>1308</v>
      </c>
    </row>
    <row r="3981" spans="1:3" x14ac:dyDescent="0.25">
      <c r="A3981" s="417">
        <v>41543</v>
      </c>
      <c r="B3981" s="418">
        <v>5.395833333333333E-2</v>
      </c>
      <c r="C3981" s="421" t="s">
        <v>1309</v>
      </c>
    </row>
    <row r="3982" spans="1:3" x14ac:dyDescent="0.25">
      <c r="A3982" s="417">
        <v>41543</v>
      </c>
      <c r="B3982" s="418">
        <v>5.395833333333333E-2</v>
      </c>
      <c r="C3982" s="421" t="s">
        <v>1310</v>
      </c>
    </row>
    <row r="3983" spans="1:3" x14ac:dyDescent="0.25">
      <c r="A3983" s="417">
        <v>41543</v>
      </c>
      <c r="B3983" s="418">
        <v>5.395833333333333E-2</v>
      </c>
      <c r="C3983" s="421" t="s">
        <v>1311</v>
      </c>
    </row>
    <row r="3984" spans="1:3" x14ac:dyDescent="0.25">
      <c r="A3984" s="417">
        <v>41543</v>
      </c>
      <c r="B3984" s="418">
        <v>5.395833333333333E-2</v>
      </c>
      <c r="C3984" s="421" t="s">
        <v>1312</v>
      </c>
    </row>
    <row r="3985" spans="1:3" x14ac:dyDescent="0.25">
      <c r="A3985" s="417">
        <v>41543</v>
      </c>
      <c r="B3985" s="418">
        <v>5.395833333333333E-2</v>
      </c>
      <c r="C3985" s="421" t="s">
        <v>1313</v>
      </c>
    </row>
    <row r="3986" spans="1:3" x14ac:dyDescent="0.25">
      <c r="A3986" s="417">
        <v>41543</v>
      </c>
      <c r="B3986" s="418">
        <v>5.395833333333333E-2</v>
      </c>
      <c r="C3986" s="421" t="s">
        <v>1310</v>
      </c>
    </row>
    <row r="3987" spans="1:3" x14ac:dyDescent="0.25">
      <c r="A3987" s="417">
        <v>41543</v>
      </c>
      <c r="B3987" s="418">
        <v>5.395833333333333E-2</v>
      </c>
      <c r="C3987" s="421" t="s">
        <v>1314</v>
      </c>
    </row>
    <row r="3988" spans="1:3" x14ac:dyDescent="0.25">
      <c r="A3988" s="417">
        <v>41543</v>
      </c>
      <c r="B3988" s="418">
        <v>5.395833333333333E-2</v>
      </c>
      <c r="C3988" s="421" t="s">
        <v>1315</v>
      </c>
    </row>
    <row r="3989" spans="1:3" x14ac:dyDescent="0.25">
      <c r="A3989" s="417">
        <v>41543</v>
      </c>
      <c r="B3989" s="418">
        <v>5.395833333333333E-2</v>
      </c>
      <c r="C3989" s="421" t="s">
        <v>1460</v>
      </c>
    </row>
    <row r="3990" spans="1:3" x14ac:dyDescent="0.25">
      <c r="A3990" s="417">
        <v>41543</v>
      </c>
      <c r="B3990" s="418">
        <v>5.395833333333333E-2</v>
      </c>
      <c r="C3990" s="421" t="s">
        <v>1461</v>
      </c>
    </row>
    <row r="3991" spans="1:3" x14ac:dyDescent="0.25">
      <c r="A3991" s="417">
        <v>41543</v>
      </c>
      <c r="B3991" s="418">
        <v>5.395833333333333E-2</v>
      </c>
      <c r="C3991" s="421" t="s">
        <v>1310</v>
      </c>
    </row>
    <row r="3992" spans="1:3" x14ac:dyDescent="0.25">
      <c r="A3992" s="417">
        <v>41543</v>
      </c>
      <c r="B3992" s="418">
        <v>5.395833333333333E-2</v>
      </c>
      <c r="C3992" s="421" t="s">
        <v>1238</v>
      </c>
    </row>
    <row r="3993" spans="1:3" x14ac:dyDescent="0.25">
      <c r="A3993" s="417">
        <v>41543</v>
      </c>
      <c r="B3993" s="418">
        <v>5.395833333333333E-2</v>
      </c>
      <c r="C3993" s="421" t="s">
        <v>1462</v>
      </c>
    </row>
    <row r="3994" spans="1:3" x14ac:dyDescent="0.25">
      <c r="A3994" s="417">
        <v>41543</v>
      </c>
      <c r="B3994" s="418">
        <v>5.395833333333333E-2</v>
      </c>
      <c r="C3994" s="421" t="s">
        <v>1316</v>
      </c>
    </row>
    <row r="3995" spans="1:3" x14ac:dyDescent="0.25">
      <c r="A3995" s="417">
        <v>41543</v>
      </c>
      <c r="B3995" s="418">
        <v>5.395833333333333E-2</v>
      </c>
      <c r="C3995" s="421" t="s">
        <v>1316</v>
      </c>
    </row>
    <row r="3996" spans="1:3" x14ac:dyDescent="0.25">
      <c r="A3996" s="417">
        <v>41543</v>
      </c>
      <c r="B3996" s="418">
        <v>5.395833333333333E-2</v>
      </c>
      <c r="C3996" s="421" t="s">
        <v>1317</v>
      </c>
    </row>
    <row r="3997" spans="1:3" x14ac:dyDescent="0.25">
      <c r="A3997" s="417">
        <v>41543</v>
      </c>
      <c r="B3997" s="418">
        <v>5.395833333333333E-2</v>
      </c>
      <c r="C3997" s="421" t="s">
        <v>1309</v>
      </c>
    </row>
    <row r="3998" spans="1:3" x14ac:dyDescent="0.25">
      <c r="A3998" s="417">
        <v>41543</v>
      </c>
      <c r="B3998" s="418">
        <v>5.395833333333333E-2</v>
      </c>
      <c r="C3998" s="421" t="s">
        <v>1318</v>
      </c>
    </row>
    <row r="3999" spans="1:3" x14ac:dyDescent="0.25">
      <c r="A3999" s="417">
        <v>41543</v>
      </c>
      <c r="B3999" s="418">
        <v>5.395833333333333E-2</v>
      </c>
      <c r="C3999" s="421" t="s">
        <v>1319</v>
      </c>
    </row>
    <row r="4000" spans="1:3" x14ac:dyDescent="0.25">
      <c r="A4000" s="417">
        <v>41543</v>
      </c>
      <c r="B4000" s="418">
        <v>5.395833333333333E-2</v>
      </c>
      <c r="C4000" s="421" t="s">
        <v>1320</v>
      </c>
    </row>
    <row r="4001" spans="1:3" x14ac:dyDescent="0.25">
      <c r="A4001" s="417">
        <v>41543</v>
      </c>
      <c r="B4001" s="418">
        <v>5.395833333333333E-2</v>
      </c>
      <c r="C4001" s="421" t="s">
        <v>1318</v>
      </c>
    </row>
    <row r="4002" spans="1:3" x14ac:dyDescent="0.25">
      <c r="A4002" s="417">
        <v>41543</v>
      </c>
      <c r="B4002" s="418">
        <v>5.395833333333333E-2</v>
      </c>
      <c r="C4002" s="421" t="s">
        <v>1307</v>
      </c>
    </row>
    <row r="4003" spans="1:3" x14ac:dyDescent="0.25">
      <c r="A4003" s="417">
        <v>41543</v>
      </c>
      <c r="B4003" s="418">
        <v>5.395833333333333E-2</v>
      </c>
      <c r="C4003" s="421" t="s">
        <v>1321</v>
      </c>
    </row>
    <row r="4004" spans="1:3" x14ac:dyDescent="0.25">
      <c r="A4004" s="417">
        <v>41543</v>
      </c>
      <c r="B4004" s="418">
        <v>5.395833333333333E-2</v>
      </c>
      <c r="C4004" s="421" t="s">
        <v>1322</v>
      </c>
    </row>
    <row r="4005" spans="1:3" x14ac:dyDescent="0.25">
      <c r="A4005" s="417">
        <v>41543</v>
      </c>
      <c r="B4005" s="418">
        <v>5.395833333333333E-2</v>
      </c>
      <c r="C4005" s="421" t="s">
        <v>1322</v>
      </c>
    </row>
    <row r="4006" spans="1:3" x14ac:dyDescent="0.25">
      <c r="A4006" s="417">
        <v>41543</v>
      </c>
      <c r="B4006" s="418">
        <v>5.395833333333333E-2</v>
      </c>
      <c r="C4006" s="421" t="s">
        <v>1323</v>
      </c>
    </row>
    <row r="4007" spans="1:3" x14ac:dyDescent="0.25">
      <c r="A4007" s="417">
        <v>41543</v>
      </c>
      <c r="B4007" s="418">
        <v>5.395833333333333E-2</v>
      </c>
      <c r="C4007" s="421" t="s">
        <v>1324</v>
      </c>
    </row>
    <row r="4008" spans="1:3" x14ac:dyDescent="0.25">
      <c r="A4008" s="417">
        <v>41543</v>
      </c>
      <c r="B4008" s="418">
        <v>5.395833333333333E-2</v>
      </c>
      <c r="C4008" s="421" t="s">
        <v>1310</v>
      </c>
    </row>
    <row r="4009" spans="1:3" x14ac:dyDescent="0.25">
      <c r="A4009" s="417">
        <v>41543</v>
      </c>
      <c r="B4009" s="418">
        <v>5.395833333333333E-2</v>
      </c>
      <c r="C4009" s="421" t="s">
        <v>1325</v>
      </c>
    </row>
    <row r="4010" spans="1:3" x14ac:dyDescent="0.25">
      <c r="A4010" s="417">
        <v>41543</v>
      </c>
      <c r="B4010" s="418">
        <v>5.395833333333333E-2</v>
      </c>
      <c r="C4010" s="421" t="s">
        <v>1326</v>
      </c>
    </row>
    <row r="4011" spans="1:3" x14ac:dyDescent="0.25">
      <c r="A4011" s="417">
        <v>41543</v>
      </c>
      <c r="B4011" s="418">
        <v>5.395833333333333E-2</v>
      </c>
      <c r="C4011" s="421" t="s">
        <v>1238</v>
      </c>
    </row>
    <row r="4012" spans="1:3" x14ac:dyDescent="0.25">
      <c r="A4012" s="417">
        <v>41543</v>
      </c>
      <c r="B4012" s="418">
        <v>5.395833333333333E-2</v>
      </c>
      <c r="C4012" s="421" t="s">
        <v>1327</v>
      </c>
    </row>
    <row r="4013" spans="1:3" x14ac:dyDescent="0.25">
      <c r="A4013" s="417">
        <v>41543</v>
      </c>
      <c r="B4013" s="418">
        <v>5.395833333333333E-2</v>
      </c>
      <c r="C4013" s="421" t="s">
        <v>1328</v>
      </c>
    </row>
    <row r="4014" spans="1:3" ht="60" x14ac:dyDescent="0.25">
      <c r="A4014" s="417">
        <v>41543</v>
      </c>
      <c r="B4014" s="418">
        <v>5.395833333333333E-2</v>
      </c>
      <c r="C4014" s="946" t="s">
        <v>1678</v>
      </c>
    </row>
    <row r="4015" spans="1:3" x14ac:dyDescent="0.25">
      <c r="A4015" s="417">
        <v>41543</v>
      </c>
      <c r="B4015" s="418">
        <v>5.4143518518518514E-2</v>
      </c>
      <c r="C4015" s="421" t="s">
        <v>1323</v>
      </c>
    </row>
    <row r="4016" spans="1:3" x14ac:dyDescent="0.25">
      <c r="A4016" s="417">
        <v>41543</v>
      </c>
      <c r="B4016" s="418">
        <v>5.4143518518518514E-2</v>
      </c>
      <c r="C4016" s="421" t="s">
        <v>1342</v>
      </c>
    </row>
    <row r="4017" spans="1:3" x14ac:dyDescent="0.25">
      <c r="A4017" s="417">
        <v>41543</v>
      </c>
      <c r="B4017" s="418">
        <v>5.4143518518518514E-2</v>
      </c>
      <c r="C4017" s="421" t="s">
        <v>1343</v>
      </c>
    </row>
    <row r="4018" spans="1:3" x14ac:dyDescent="0.25">
      <c r="A4018" s="417">
        <v>41543</v>
      </c>
      <c r="B4018" s="418">
        <v>5.4143518518518514E-2</v>
      </c>
      <c r="C4018" s="421" t="s">
        <v>1344</v>
      </c>
    </row>
    <row r="4019" spans="1:3" x14ac:dyDescent="0.25">
      <c r="A4019" s="417">
        <v>41543</v>
      </c>
      <c r="B4019" s="418">
        <v>5.4143518518518514E-2</v>
      </c>
      <c r="C4019" s="421" t="s">
        <v>1344</v>
      </c>
    </row>
    <row r="4020" spans="1:3" x14ac:dyDescent="0.25">
      <c r="A4020" s="417">
        <v>41543</v>
      </c>
      <c r="B4020" s="418">
        <v>5.4143518518518514E-2</v>
      </c>
      <c r="C4020" s="421" t="s">
        <v>1310</v>
      </c>
    </row>
    <row r="4021" spans="1:3" x14ac:dyDescent="0.25">
      <c r="A4021" s="417">
        <v>41543</v>
      </c>
      <c r="B4021" s="418">
        <v>5.4143518518518514E-2</v>
      </c>
      <c r="C4021" s="421" t="s">
        <v>1345</v>
      </c>
    </row>
    <row r="4022" spans="1:3" x14ac:dyDescent="0.25">
      <c r="A4022" s="417">
        <v>41543</v>
      </c>
      <c r="B4022" s="418">
        <v>5.4143518518518514E-2</v>
      </c>
      <c r="C4022" s="421" t="s">
        <v>1346</v>
      </c>
    </row>
    <row r="4023" spans="1:3" x14ac:dyDescent="0.25">
      <c r="A4023" s="417">
        <v>41543</v>
      </c>
      <c r="B4023" s="418">
        <v>5.4143518518518514E-2</v>
      </c>
      <c r="C4023" s="421" t="s">
        <v>1347</v>
      </c>
    </row>
    <row r="4024" spans="1:3" x14ac:dyDescent="0.25">
      <c r="A4024" s="417">
        <v>41543</v>
      </c>
      <c r="B4024" s="418">
        <v>5.4143518518518514E-2</v>
      </c>
      <c r="C4024" s="421" t="s">
        <v>1348</v>
      </c>
    </row>
    <row r="4025" spans="1:3" x14ac:dyDescent="0.25">
      <c r="A4025" s="417">
        <v>41543</v>
      </c>
      <c r="B4025" s="418">
        <v>5.4143518518518514E-2</v>
      </c>
      <c r="C4025" s="421" t="s">
        <v>1349</v>
      </c>
    </row>
    <row r="4026" spans="1:3" x14ac:dyDescent="0.25">
      <c r="A4026" s="417">
        <v>41543</v>
      </c>
      <c r="B4026" s="418">
        <v>5.4143518518518514E-2</v>
      </c>
      <c r="C4026" s="421" t="s">
        <v>1349</v>
      </c>
    </row>
    <row r="4027" spans="1:3" x14ac:dyDescent="0.25">
      <c r="A4027" s="417">
        <v>41543</v>
      </c>
      <c r="B4027" s="418">
        <v>5.4143518518518514E-2</v>
      </c>
      <c r="C4027" s="421" t="s">
        <v>1348</v>
      </c>
    </row>
    <row r="4028" spans="1:3" x14ac:dyDescent="0.25">
      <c r="A4028" s="417">
        <v>41543</v>
      </c>
      <c r="B4028" s="418">
        <v>5.4143518518518514E-2</v>
      </c>
      <c r="C4028" s="421" t="s">
        <v>1350</v>
      </c>
    </row>
    <row r="4029" spans="1:3" x14ac:dyDescent="0.25">
      <c r="A4029" s="417">
        <v>41543</v>
      </c>
      <c r="B4029" s="418">
        <v>5.4143518518518514E-2</v>
      </c>
      <c r="C4029" s="421" t="s">
        <v>1351</v>
      </c>
    </row>
    <row r="4030" spans="1:3" x14ac:dyDescent="0.25">
      <c r="A4030" s="417">
        <v>41543</v>
      </c>
      <c r="B4030" s="418">
        <v>5.4143518518518514E-2</v>
      </c>
      <c r="C4030" s="421" t="s">
        <v>1352</v>
      </c>
    </row>
    <row r="4031" spans="1:3" x14ac:dyDescent="0.25">
      <c r="A4031" s="417">
        <v>41543</v>
      </c>
      <c r="B4031" s="418">
        <v>5.4143518518518514E-2</v>
      </c>
      <c r="C4031" s="421" t="s">
        <v>1287</v>
      </c>
    </row>
    <row r="4032" spans="1:3" ht="60" x14ac:dyDescent="0.25">
      <c r="A4032" s="417">
        <v>41543</v>
      </c>
      <c r="B4032" s="418">
        <v>5.4143518518518514E-2</v>
      </c>
      <c r="C4032" s="946" t="s">
        <v>1288</v>
      </c>
    </row>
    <row r="4033" spans="1:3" x14ac:dyDescent="0.25">
      <c r="A4033" s="417">
        <v>41543</v>
      </c>
      <c r="B4033" s="418">
        <v>5.4155092592592595E-2</v>
      </c>
      <c r="C4033" s="421" t="s">
        <v>1646</v>
      </c>
    </row>
    <row r="4034" spans="1:3" x14ac:dyDescent="0.25">
      <c r="A4034" s="417">
        <v>41543</v>
      </c>
      <c r="B4034" s="418">
        <v>5.4166666666666669E-2</v>
      </c>
      <c r="C4034" s="421" t="s">
        <v>1353</v>
      </c>
    </row>
    <row r="4035" spans="1:3" x14ac:dyDescent="0.25">
      <c r="A4035" s="417">
        <v>41543</v>
      </c>
      <c r="B4035" s="418">
        <v>5.4166666666666669E-2</v>
      </c>
      <c r="C4035" s="421" t="s">
        <v>1354</v>
      </c>
    </row>
    <row r="4036" spans="1:3" x14ac:dyDescent="0.25">
      <c r="A4036" s="417">
        <v>41543</v>
      </c>
      <c r="B4036" s="418">
        <v>5.4166666666666669E-2</v>
      </c>
      <c r="C4036" s="421" t="s">
        <v>1355</v>
      </c>
    </row>
    <row r="4037" spans="1:3" x14ac:dyDescent="0.25">
      <c r="A4037" s="417">
        <v>41543</v>
      </c>
      <c r="B4037" s="418">
        <v>5.4166666666666669E-2</v>
      </c>
      <c r="C4037" s="421" t="s">
        <v>1357</v>
      </c>
    </row>
    <row r="4038" spans="1:3" x14ac:dyDescent="0.25">
      <c r="A4038" s="417">
        <v>41543</v>
      </c>
      <c r="B4038" s="418">
        <v>5.4166666666666669E-2</v>
      </c>
      <c r="C4038" s="421" t="s">
        <v>1358</v>
      </c>
    </row>
    <row r="4039" spans="1:3" x14ac:dyDescent="0.25">
      <c r="A4039" s="417">
        <v>41543</v>
      </c>
      <c r="B4039" s="418">
        <v>5.4166666666666669E-2</v>
      </c>
      <c r="C4039" s="421" t="s">
        <v>1359</v>
      </c>
    </row>
    <row r="4040" spans="1:3" x14ac:dyDescent="0.25">
      <c r="A4040" s="417">
        <v>41543</v>
      </c>
      <c r="B4040" s="418">
        <v>5.4166666666666669E-2</v>
      </c>
      <c r="C4040" s="421" t="s">
        <v>1360</v>
      </c>
    </row>
    <row r="4041" spans="1:3" x14ac:dyDescent="0.25">
      <c r="A4041" s="417">
        <v>41543</v>
      </c>
      <c r="B4041" s="418">
        <v>5.4166666666666669E-2</v>
      </c>
      <c r="C4041" s="421" t="s">
        <v>1361</v>
      </c>
    </row>
    <row r="4042" spans="1:3" x14ac:dyDescent="0.25">
      <c r="A4042" s="417">
        <v>41543</v>
      </c>
      <c r="B4042" s="418">
        <v>5.4166666666666669E-2</v>
      </c>
      <c r="C4042" s="421" t="s">
        <v>1317</v>
      </c>
    </row>
    <row r="4043" spans="1:3" x14ac:dyDescent="0.25">
      <c r="A4043" s="417">
        <v>41543</v>
      </c>
      <c r="B4043" s="418">
        <v>5.4166666666666669E-2</v>
      </c>
      <c r="C4043" s="421" t="s">
        <v>1537</v>
      </c>
    </row>
    <row r="4044" spans="1:3" x14ac:dyDescent="0.25">
      <c r="A4044" s="417">
        <v>41543</v>
      </c>
      <c r="B4044" s="418">
        <v>5.4166666666666669E-2</v>
      </c>
      <c r="C4044" s="421" t="s">
        <v>1362</v>
      </c>
    </row>
    <row r="4045" spans="1:3" x14ac:dyDescent="0.25">
      <c r="A4045" s="417">
        <v>41543</v>
      </c>
      <c r="B4045" s="418">
        <v>5.4166666666666669E-2</v>
      </c>
      <c r="C4045" s="421" t="s">
        <v>1355</v>
      </c>
    </row>
    <row r="4046" spans="1:3" x14ac:dyDescent="0.25">
      <c r="A4046" s="417">
        <v>41543</v>
      </c>
      <c r="B4046" s="418">
        <v>5.4166666666666669E-2</v>
      </c>
      <c r="C4046" s="421" t="s">
        <v>1363</v>
      </c>
    </row>
    <row r="4047" spans="1:3" x14ac:dyDescent="0.25">
      <c r="A4047" s="417">
        <v>41543</v>
      </c>
      <c r="B4047" s="418">
        <v>5.4166666666666669E-2</v>
      </c>
      <c r="C4047" s="421" t="s">
        <v>1364</v>
      </c>
    </row>
    <row r="4048" spans="1:3" x14ac:dyDescent="0.25">
      <c r="A4048" s="417">
        <v>41543</v>
      </c>
      <c r="B4048" s="418">
        <v>5.4166666666666669E-2</v>
      </c>
      <c r="C4048" s="421" t="s">
        <v>1365</v>
      </c>
    </row>
    <row r="4049" spans="1:3" x14ac:dyDescent="0.25">
      <c r="A4049" s="417">
        <v>41543</v>
      </c>
      <c r="B4049" s="418">
        <v>5.4166666666666669E-2</v>
      </c>
      <c r="C4049" s="421" t="s">
        <v>1365</v>
      </c>
    </row>
    <row r="4050" spans="1:3" x14ac:dyDescent="0.25">
      <c r="A4050" s="417">
        <v>41543</v>
      </c>
      <c r="B4050" s="418">
        <v>5.4166666666666669E-2</v>
      </c>
      <c r="C4050" s="421" t="s">
        <v>1366</v>
      </c>
    </row>
    <row r="4051" spans="1:3" x14ac:dyDescent="0.25">
      <c r="A4051" s="417">
        <v>41543</v>
      </c>
      <c r="B4051" s="418">
        <v>5.4166666666666669E-2</v>
      </c>
      <c r="C4051" s="421" t="s">
        <v>1320</v>
      </c>
    </row>
    <row r="4052" spans="1:3" x14ac:dyDescent="0.25">
      <c r="A4052" s="417">
        <v>41543</v>
      </c>
      <c r="B4052" s="418">
        <v>5.4166666666666669E-2</v>
      </c>
      <c r="C4052" s="421" t="s">
        <v>1367</v>
      </c>
    </row>
    <row r="4053" spans="1:3" x14ac:dyDescent="0.25">
      <c r="A4053" s="417">
        <v>41543</v>
      </c>
      <c r="B4053" s="418">
        <v>5.4166666666666669E-2</v>
      </c>
      <c r="C4053" s="421" t="s">
        <v>1344</v>
      </c>
    </row>
    <row r="4054" spans="1:3" x14ac:dyDescent="0.25">
      <c r="A4054" s="417">
        <v>41543</v>
      </c>
      <c r="B4054" s="418">
        <v>5.4166666666666669E-2</v>
      </c>
      <c r="C4054" s="421" t="s">
        <v>1368</v>
      </c>
    </row>
    <row r="4055" spans="1:3" x14ac:dyDescent="0.25">
      <c r="A4055" s="417">
        <v>41543</v>
      </c>
      <c r="B4055" s="418">
        <v>5.4166666666666669E-2</v>
      </c>
      <c r="C4055" s="421" t="s">
        <v>1369</v>
      </c>
    </row>
    <row r="4056" spans="1:3" x14ac:dyDescent="0.25">
      <c r="A4056" s="417">
        <v>41543</v>
      </c>
      <c r="B4056" s="418">
        <v>5.4166666666666669E-2</v>
      </c>
      <c r="C4056" s="421" t="s">
        <v>1307</v>
      </c>
    </row>
    <row r="4057" spans="1:3" x14ac:dyDescent="0.25">
      <c r="A4057" s="417">
        <v>41543</v>
      </c>
      <c r="B4057" s="418">
        <v>5.4166666666666669E-2</v>
      </c>
      <c r="C4057" s="421" t="s">
        <v>1370</v>
      </c>
    </row>
    <row r="4058" spans="1:3" x14ac:dyDescent="0.25">
      <c r="A4058" s="417">
        <v>41543</v>
      </c>
      <c r="B4058" s="418">
        <v>5.4166666666666669E-2</v>
      </c>
      <c r="C4058" s="421" t="s">
        <v>1371</v>
      </c>
    </row>
    <row r="4059" spans="1:3" x14ac:dyDescent="0.25">
      <c r="A4059" s="417">
        <v>41543</v>
      </c>
      <c r="B4059" s="418">
        <v>5.4166666666666669E-2</v>
      </c>
      <c r="C4059" s="421" t="s">
        <v>1344</v>
      </c>
    </row>
    <row r="4060" spans="1:3" x14ac:dyDescent="0.25">
      <c r="A4060" s="417">
        <v>41543</v>
      </c>
      <c r="B4060" s="418">
        <v>5.4166666666666669E-2</v>
      </c>
      <c r="C4060" s="421" t="s">
        <v>1317</v>
      </c>
    </row>
    <row r="4061" spans="1:3" x14ac:dyDescent="0.25">
      <c r="A4061" s="417">
        <v>41543</v>
      </c>
      <c r="B4061" s="418">
        <v>5.4166666666666669E-2</v>
      </c>
      <c r="C4061" s="421" t="s">
        <v>1463</v>
      </c>
    </row>
    <row r="4062" spans="1:3" x14ac:dyDescent="0.25">
      <c r="A4062" s="417">
        <v>41543</v>
      </c>
      <c r="B4062" s="418">
        <v>5.4166666666666669E-2</v>
      </c>
      <c r="C4062" s="421" t="s">
        <v>1378</v>
      </c>
    </row>
    <row r="4063" spans="1:3" ht="60" x14ac:dyDescent="0.25">
      <c r="A4063" s="417">
        <v>41543</v>
      </c>
      <c r="B4063" s="418">
        <v>5.4166666666666669E-2</v>
      </c>
      <c r="C4063" s="946" t="s">
        <v>1714</v>
      </c>
    </row>
    <row r="4064" spans="1:3" x14ac:dyDescent="0.25">
      <c r="A4064" s="417">
        <v>41543</v>
      </c>
      <c r="B4064" s="418">
        <v>5.4282407407407411E-2</v>
      </c>
      <c r="C4064" s="421" t="s">
        <v>1373</v>
      </c>
    </row>
    <row r="4065" spans="1:3" x14ac:dyDescent="0.25">
      <c r="A4065" s="417">
        <v>41543</v>
      </c>
      <c r="B4065" s="418">
        <v>5.4282407407407411E-2</v>
      </c>
      <c r="C4065" s="421" t="s">
        <v>1308</v>
      </c>
    </row>
    <row r="4066" spans="1:3" x14ac:dyDescent="0.25">
      <c r="A4066" s="417">
        <v>41543</v>
      </c>
      <c r="B4066" s="418">
        <v>5.4282407407407411E-2</v>
      </c>
      <c r="C4066" s="421" t="s">
        <v>1374</v>
      </c>
    </row>
    <row r="4067" spans="1:3" x14ac:dyDescent="0.25">
      <c r="A4067" s="417">
        <v>41543</v>
      </c>
      <c r="B4067" s="418">
        <v>5.4282407407407411E-2</v>
      </c>
      <c r="C4067" s="421" t="s">
        <v>1375</v>
      </c>
    </row>
    <row r="4068" spans="1:3" x14ac:dyDescent="0.25">
      <c r="A4068" s="417">
        <v>41543</v>
      </c>
      <c r="B4068" s="418">
        <v>5.4282407407407411E-2</v>
      </c>
      <c r="C4068" s="421" t="s">
        <v>1376</v>
      </c>
    </row>
    <row r="4069" spans="1:3" x14ac:dyDescent="0.25">
      <c r="A4069" s="417">
        <v>41543</v>
      </c>
      <c r="B4069" s="418">
        <v>5.4282407407407411E-2</v>
      </c>
      <c r="C4069" s="421" t="s">
        <v>1377</v>
      </c>
    </row>
    <row r="4070" spans="1:3" x14ac:dyDescent="0.25">
      <c r="A4070" s="417">
        <v>41543</v>
      </c>
      <c r="B4070" s="418">
        <v>5.4282407407407411E-2</v>
      </c>
      <c r="C4070" s="421" t="s">
        <v>1326</v>
      </c>
    </row>
    <row r="4071" spans="1:3" x14ac:dyDescent="0.25">
      <c r="A4071" s="417">
        <v>41543</v>
      </c>
      <c r="B4071" s="418">
        <v>5.4282407407407411E-2</v>
      </c>
      <c r="C4071" s="421" t="s">
        <v>1378</v>
      </c>
    </row>
    <row r="4072" spans="1:3" ht="60" x14ac:dyDescent="0.25">
      <c r="A4072" s="417">
        <v>41543</v>
      </c>
      <c r="B4072" s="418">
        <v>5.4282407407407411E-2</v>
      </c>
      <c r="C4072" s="946" t="s">
        <v>1715</v>
      </c>
    </row>
    <row r="4073" spans="1:3" x14ac:dyDescent="0.25">
      <c r="A4073" s="417">
        <v>41543</v>
      </c>
      <c r="B4073" s="418">
        <v>5.4293981481481485E-2</v>
      </c>
      <c r="C4073" s="421" t="s">
        <v>1380</v>
      </c>
    </row>
    <row r="4074" spans="1:3" x14ac:dyDescent="0.25">
      <c r="A4074" s="417">
        <v>41543</v>
      </c>
      <c r="B4074" s="418">
        <v>5.4293981481481485E-2</v>
      </c>
      <c r="C4074" s="421" t="s">
        <v>1381</v>
      </c>
    </row>
    <row r="4075" spans="1:3" x14ac:dyDescent="0.25">
      <c r="A4075" s="417">
        <v>41543</v>
      </c>
      <c r="B4075" s="418">
        <v>5.4293981481481485E-2</v>
      </c>
      <c r="C4075" s="421" t="s">
        <v>1382</v>
      </c>
    </row>
    <row r="4076" spans="1:3" x14ac:dyDescent="0.25">
      <c r="A4076" s="417">
        <v>41543</v>
      </c>
      <c r="B4076" s="418">
        <v>5.4293981481481485E-2</v>
      </c>
      <c r="C4076" s="421" t="s">
        <v>1383</v>
      </c>
    </row>
    <row r="4077" spans="1:3" x14ac:dyDescent="0.25">
      <c r="A4077" s="417">
        <v>41543</v>
      </c>
      <c r="B4077" s="418">
        <v>5.4293981481481485E-2</v>
      </c>
      <c r="C4077" s="421" t="s">
        <v>1352</v>
      </c>
    </row>
    <row r="4078" spans="1:3" x14ac:dyDescent="0.25">
      <c r="A4078" s="417">
        <v>41543</v>
      </c>
      <c r="B4078" s="418">
        <v>5.4293981481481485E-2</v>
      </c>
      <c r="C4078" s="421" t="s">
        <v>1384</v>
      </c>
    </row>
    <row r="4079" spans="1:3" x14ac:dyDescent="0.25">
      <c r="A4079" s="417">
        <v>41543</v>
      </c>
      <c r="B4079" s="418">
        <v>5.4293981481481485E-2</v>
      </c>
      <c r="C4079" s="421" t="s">
        <v>1385</v>
      </c>
    </row>
    <row r="4080" spans="1:3" x14ac:dyDescent="0.25">
      <c r="A4080" s="417">
        <v>41543</v>
      </c>
      <c r="B4080" s="418">
        <v>5.4293981481481485E-2</v>
      </c>
      <c r="C4080" s="421" t="s">
        <v>1385</v>
      </c>
    </row>
    <row r="4081" spans="1:3" x14ac:dyDescent="0.25">
      <c r="A4081" s="417">
        <v>41543</v>
      </c>
      <c r="B4081" s="418">
        <v>5.4293981481481485E-2</v>
      </c>
      <c r="C4081" s="421" t="s">
        <v>1386</v>
      </c>
    </row>
    <row r="4082" spans="1:3" x14ac:dyDescent="0.25">
      <c r="A4082" s="417">
        <v>41543</v>
      </c>
      <c r="B4082" s="418">
        <v>5.4293981481481485E-2</v>
      </c>
      <c r="C4082" s="421" t="s">
        <v>1387</v>
      </c>
    </row>
    <row r="4083" spans="1:3" x14ac:dyDescent="0.25">
      <c r="A4083" s="417">
        <v>41543</v>
      </c>
      <c r="B4083" s="418">
        <v>5.4293981481481485E-2</v>
      </c>
      <c r="C4083" s="421" t="s">
        <v>1387</v>
      </c>
    </row>
    <row r="4084" spans="1:3" x14ac:dyDescent="0.25">
      <c r="A4084" s="417">
        <v>41543</v>
      </c>
      <c r="B4084" s="418">
        <v>5.4293981481481485E-2</v>
      </c>
      <c r="C4084" s="421" t="s">
        <v>1318</v>
      </c>
    </row>
    <row r="4085" spans="1:3" x14ac:dyDescent="0.25">
      <c r="A4085" s="417">
        <v>41543</v>
      </c>
      <c r="B4085" s="418">
        <v>5.4293981481481485E-2</v>
      </c>
      <c r="C4085" s="421" t="s">
        <v>1388</v>
      </c>
    </row>
    <row r="4086" spans="1:3" x14ac:dyDescent="0.25">
      <c r="A4086" s="417">
        <v>41543</v>
      </c>
      <c r="B4086" s="418">
        <v>5.4305555555555551E-2</v>
      </c>
      <c r="C4086" s="421" t="s">
        <v>1390</v>
      </c>
    </row>
    <row r="4087" spans="1:3" x14ac:dyDescent="0.25">
      <c r="A4087" s="417">
        <v>41543</v>
      </c>
      <c r="B4087" s="418">
        <v>5.4317129629629625E-2</v>
      </c>
      <c r="C4087" s="421" t="s">
        <v>1391</v>
      </c>
    </row>
    <row r="4088" spans="1:3" x14ac:dyDescent="0.25">
      <c r="A4088" s="417">
        <v>41543</v>
      </c>
      <c r="B4088" s="418">
        <v>5.4317129629629625E-2</v>
      </c>
      <c r="C4088" s="421" t="s">
        <v>1392</v>
      </c>
    </row>
    <row r="4089" spans="1:3" x14ac:dyDescent="0.25">
      <c r="A4089" s="417">
        <v>41543</v>
      </c>
      <c r="B4089" s="418">
        <v>5.4317129629629625E-2</v>
      </c>
      <c r="C4089" s="421" t="s">
        <v>1294</v>
      </c>
    </row>
    <row r="4090" spans="1:3" ht="60" x14ac:dyDescent="0.25">
      <c r="A4090" s="417">
        <v>41543</v>
      </c>
      <c r="B4090" s="418">
        <v>5.4317129629629625E-2</v>
      </c>
      <c r="C4090" s="946" t="s">
        <v>1295</v>
      </c>
    </row>
    <row r="4091" spans="1:3" x14ac:dyDescent="0.25">
      <c r="A4091" s="417">
        <v>41543</v>
      </c>
      <c r="B4091" s="418">
        <v>5.4340277777777779E-2</v>
      </c>
      <c r="C4091" s="421" t="s">
        <v>1393</v>
      </c>
    </row>
    <row r="4092" spans="1:3" x14ac:dyDescent="0.25">
      <c r="A4092" s="417">
        <v>41543</v>
      </c>
      <c r="B4092" s="418">
        <v>5.4340277777777779E-2</v>
      </c>
      <c r="C4092" s="421" t="s">
        <v>1394</v>
      </c>
    </row>
    <row r="4093" spans="1:3" x14ac:dyDescent="0.25">
      <c r="A4093" s="417">
        <v>41543</v>
      </c>
      <c r="B4093" s="418">
        <v>5.4340277777777779E-2</v>
      </c>
      <c r="C4093" s="421" t="s">
        <v>1392</v>
      </c>
    </row>
    <row r="4094" spans="1:3" x14ac:dyDescent="0.25">
      <c r="A4094" s="417">
        <v>41543</v>
      </c>
      <c r="B4094" s="418">
        <v>5.4351851851851853E-2</v>
      </c>
      <c r="C4094" s="421" t="s">
        <v>1395</v>
      </c>
    </row>
    <row r="4095" spans="1:3" x14ac:dyDescent="0.25">
      <c r="A4095" s="417">
        <v>41543</v>
      </c>
      <c r="B4095" s="418">
        <v>5.4351851851851853E-2</v>
      </c>
      <c r="C4095" s="421" t="s">
        <v>1396</v>
      </c>
    </row>
    <row r="4096" spans="1:3" x14ac:dyDescent="0.25">
      <c r="A4096" s="417">
        <v>41543</v>
      </c>
      <c r="B4096" s="418">
        <v>5.4351851851851853E-2</v>
      </c>
      <c r="C4096" s="421" t="s">
        <v>1363</v>
      </c>
    </row>
    <row r="4097" spans="1:3" x14ac:dyDescent="0.25">
      <c r="A4097" s="417">
        <v>41543</v>
      </c>
      <c r="B4097" s="418">
        <v>5.4351851851851853E-2</v>
      </c>
      <c r="C4097" s="421" t="s">
        <v>1362</v>
      </c>
    </row>
    <row r="4098" spans="1:3" x14ac:dyDescent="0.25">
      <c r="A4098" s="417">
        <v>41543</v>
      </c>
      <c r="B4098" s="418">
        <v>5.4351851851851853E-2</v>
      </c>
      <c r="C4098" s="421" t="s">
        <v>1397</v>
      </c>
    </row>
    <row r="4099" spans="1:3" x14ac:dyDescent="0.25">
      <c r="A4099" s="417">
        <v>41543</v>
      </c>
      <c r="B4099" s="418">
        <v>5.4363425925925933E-2</v>
      </c>
      <c r="C4099" s="421" t="s">
        <v>1381</v>
      </c>
    </row>
    <row r="4100" spans="1:3" x14ac:dyDescent="0.25">
      <c r="A4100" s="417">
        <v>41543</v>
      </c>
      <c r="B4100" s="418">
        <v>5.4363425925925933E-2</v>
      </c>
      <c r="C4100" s="421" t="s">
        <v>1398</v>
      </c>
    </row>
    <row r="4101" spans="1:3" x14ac:dyDescent="0.25">
      <c r="A4101" s="417">
        <v>41543</v>
      </c>
      <c r="B4101" s="418">
        <v>5.4363425925925933E-2</v>
      </c>
      <c r="C4101" s="421" t="s">
        <v>1399</v>
      </c>
    </row>
    <row r="4102" spans="1:3" x14ac:dyDescent="0.25">
      <c r="A4102" s="417">
        <v>41543</v>
      </c>
      <c r="B4102" s="418">
        <v>5.4375E-2</v>
      </c>
      <c r="C4102" s="421" t="s">
        <v>1400</v>
      </c>
    </row>
    <row r="4103" spans="1:3" x14ac:dyDescent="0.25">
      <c r="A4103" s="417">
        <v>41543</v>
      </c>
      <c r="B4103" s="418">
        <v>5.4375E-2</v>
      </c>
      <c r="C4103" s="421" t="s">
        <v>1400</v>
      </c>
    </row>
    <row r="4104" spans="1:3" x14ac:dyDescent="0.25">
      <c r="A4104" s="417">
        <v>41543</v>
      </c>
      <c r="B4104" s="418">
        <v>5.4375E-2</v>
      </c>
      <c r="C4104" s="421" t="s">
        <v>1373</v>
      </c>
    </row>
    <row r="4105" spans="1:3" x14ac:dyDescent="0.25">
      <c r="A4105" s="417">
        <v>41543</v>
      </c>
      <c r="B4105" s="418">
        <v>5.4386574074074073E-2</v>
      </c>
      <c r="C4105" s="421" t="s">
        <v>1353</v>
      </c>
    </row>
    <row r="4106" spans="1:3" x14ac:dyDescent="0.25">
      <c r="A4106" s="417">
        <v>41543</v>
      </c>
      <c r="B4106" s="418">
        <v>5.4386574074074073E-2</v>
      </c>
      <c r="C4106" s="421" t="s">
        <v>1353</v>
      </c>
    </row>
    <row r="4107" spans="1:3" x14ac:dyDescent="0.25">
      <c r="A4107" s="417">
        <v>41543</v>
      </c>
      <c r="B4107" s="418">
        <v>5.4386574074074073E-2</v>
      </c>
      <c r="C4107" s="421" t="s">
        <v>1401</v>
      </c>
    </row>
    <row r="4108" spans="1:3" x14ac:dyDescent="0.25">
      <c r="A4108" s="417">
        <v>41543</v>
      </c>
      <c r="B4108" s="418">
        <v>5.4398148148148147E-2</v>
      </c>
      <c r="C4108" s="421" t="s">
        <v>1392</v>
      </c>
    </row>
    <row r="4109" spans="1:3" x14ac:dyDescent="0.25">
      <c r="A4109" s="417">
        <v>41543</v>
      </c>
      <c r="B4109" s="418">
        <v>5.4409722222222227E-2</v>
      </c>
      <c r="C4109" s="421" t="s">
        <v>1403</v>
      </c>
    </row>
    <row r="4110" spans="1:3" x14ac:dyDescent="0.25">
      <c r="A4110" s="417">
        <v>41543</v>
      </c>
      <c r="B4110" s="418">
        <v>5.4409722222222227E-2</v>
      </c>
      <c r="C4110" s="421" t="s">
        <v>1403</v>
      </c>
    </row>
    <row r="4111" spans="1:3" x14ac:dyDescent="0.25">
      <c r="A4111" s="417">
        <v>41543</v>
      </c>
      <c r="B4111" s="418">
        <v>5.4409722222222227E-2</v>
      </c>
      <c r="C4111" s="421" t="s">
        <v>1403</v>
      </c>
    </row>
    <row r="4112" spans="1:3" x14ac:dyDescent="0.25">
      <c r="A4112" s="417">
        <v>41543</v>
      </c>
      <c r="B4112" s="418">
        <v>5.4432870370370368E-2</v>
      </c>
      <c r="C4112" s="421" t="s">
        <v>1362</v>
      </c>
    </row>
    <row r="4113" spans="1:3" x14ac:dyDescent="0.25">
      <c r="A4113" s="417">
        <v>41543</v>
      </c>
      <c r="B4113" s="418">
        <v>5.4432870370370368E-2</v>
      </c>
      <c r="C4113" s="421" t="s">
        <v>1364</v>
      </c>
    </row>
    <row r="4114" spans="1:3" x14ac:dyDescent="0.25">
      <c r="A4114" s="417">
        <v>41543</v>
      </c>
      <c r="B4114" s="418">
        <v>5.4432870370370368E-2</v>
      </c>
      <c r="C4114" s="421" t="s">
        <v>1364</v>
      </c>
    </row>
    <row r="4115" spans="1:3" x14ac:dyDescent="0.25">
      <c r="A4115" s="417">
        <v>41543</v>
      </c>
      <c r="B4115" s="418">
        <v>5.4444444444444441E-2</v>
      </c>
      <c r="C4115" s="421" t="s">
        <v>1381</v>
      </c>
    </row>
    <row r="4116" spans="1:3" x14ac:dyDescent="0.25">
      <c r="A4116" s="417">
        <v>41543</v>
      </c>
      <c r="B4116" s="418">
        <v>5.4456018518518522E-2</v>
      </c>
      <c r="C4116" s="421" t="s">
        <v>1364</v>
      </c>
    </row>
    <row r="4117" spans="1:3" x14ac:dyDescent="0.25">
      <c r="A4117" s="417">
        <v>41543</v>
      </c>
      <c r="B4117" s="418">
        <v>5.4456018518518522E-2</v>
      </c>
      <c r="C4117" s="421" t="s">
        <v>1480</v>
      </c>
    </row>
    <row r="4118" spans="1:3" x14ac:dyDescent="0.25">
      <c r="A4118" s="417">
        <v>41543</v>
      </c>
      <c r="B4118" s="418">
        <v>5.4456018518518522E-2</v>
      </c>
      <c r="C4118" s="421" t="s">
        <v>1480</v>
      </c>
    </row>
    <row r="4119" spans="1:3" x14ac:dyDescent="0.25">
      <c r="A4119" s="417">
        <v>41543</v>
      </c>
      <c r="B4119" s="418">
        <v>5.4456018518518522E-2</v>
      </c>
      <c r="C4119" s="421" t="s">
        <v>1480</v>
      </c>
    </row>
    <row r="4120" spans="1:3" x14ac:dyDescent="0.25">
      <c r="A4120" s="417">
        <v>41543</v>
      </c>
      <c r="B4120" s="418">
        <v>5.4456018518518522E-2</v>
      </c>
      <c r="C4120" s="421" t="s">
        <v>1716</v>
      </c>
    </row>
    <row r="4121" spans="1:3" x14ac:dyDescent="0.25">
      <c r="A4121" s="417">
        <v>41543</v>
      </c>
      <c r="B4121" s="418">
        <v>5.4456018518518522E-2</v>
      </c>
      <c r="C4121" s="421" t="s">
        <v>1541</v>
      </c>
    </row>
    <row r="4122" spans="1:3" x14ac:dyDescent="0.25">
      <c r="A4122" s="417">
        <v>41543</v>
      </c>
      <c r="B4122" s="418">
        <v>5.4467592592592595E-2</v>
      </c>
      <c r="C4122" s="421" t="s">
        <v>1346</v>
      </c>
    </row>
    <row r="4123" spans="1:3" x14ac:dyDescent="0.25">
      <c r="A4123" s="417">
        <v>41543</v>
      </c>
      <c r="B4123" s="418">
        <v>5.4467592592592595E-2</v>
      </c>
      <c r="C4123" s="421" t="s">
        <v>1405</v>
      </c>
    </row>
    <row r="4124" spans="1:3" x14ac:dyDescent="0.25">
      <c r="A4124" s="417">
        <v>41543</v>
      </c>
      <c r="B4124" s="418">
        <v>5.4467592592592595E-2</v>
      </c>
      <c r="C4124" s="421" t="s">
        <v>1406</v>
      </c>
    </row>
    <row r="4125" spans="1:3" x14ac:dyDescent="0.25">
      <c r="A4125" s="417">
        <v>41543</v>
      </c>
      <c r="B4125" s="418">
        <v>5.4479166666666669E-2</v>
      </c>
      <c r="C4125" s="421" t="s">
        <v>1362</v>
      </c>
    </row>
    <row r="4126" spans="1:3" x14ac:dyDescent="0.25">
      <c r="A4126" s="417">
        <v>41543</v>
      </c>
      <c r="B4126" s="418">
        <v>5.451388888888889E-2</v>
      </c>
      <c r="C4126" s="421" t="s">
        <v>1717</v>
      </c>
    </row>
    <row r="4127" spans="1:3" x14ac:dyDescent="0.25">
      <c r="A4127" s="417">
        <v>41543</v>
      </c>
      <c r="B4127" s="418">
        <v>5.451388888888889E-2</v>
      </c>
      <c r="C4127" s="421" t="s">
        <v>1318</v>
      </c>
    </row>
    <row r="4128" spans="1:3" x14ac:dyDescent="0.25">
      <c r="A4128" s="417">
        <v>41543</v>
      </c>
      <c r="B4128" s="418">
        <v>5.4537037037037044E-2</v>
      </c>
      <c r="C4128" s="421" t="s">
        <v>1368</v>
      </c>
    </row>
    <row r="4129" spans="1:3" x14ac:dyDescent="0.25">
      <c r="A4129" s="417">
        <v>41543</v>
      </c>
      <c r="B4129" s="418">
        <v>5.4537037037037044E-2</v>
      </c>
      <c r="C4129" s="421" t="s">
        <v>1368</v>
      </c>
    </row>
    <row r="4130" spans="1:3" x14ac:dyDescent="0.25">
      <c r="A4130" s="417">
        <v>41543</v>
      </c>
      <c r="B4130" s="418">
        <v>5.4537037037037044E-2</v>
      </c>
      <c r="C4130" s="421" t="s">
        <v>1368</v>
      </c>
    </row>
    <row r="4131" spans="1:3" x14ac:dyDescent="0.25">
      <c r="A4131" s="417">
        <v>41543</v>
      </c>
      <c r="B4131" s="418">
        <v>5.4537037037037044E-2</v>
      </c>
      <c r="C4131" s="421" t="s">
        <v>1368</v>
      </c>
    </row>
    <row r="4132" spans="1:3" x14ac:dyDescent="0.25">
      <c r="A4132" s="417">
        <v>41543</v>
      </c>
      <c r="B4132" s="418">
        <v>5.4537037037037044E-2</v>
      </c>
      <c r="C4132" s="421" t="s">
        <v>1368</v>
      </c>
    </row>
    <row r="4133" spans="1:3" x14ac:dyDescent="0.25">
      <c r="A4133" s="417">
        <v>41543</v>
      </c>
      <c r="B4133" s="418">
        <v>5.4537037037037044E-2</v>
      </c>
      <c r="C4133" s="421" t="s">
        <v>1409</v>
      </c>
    </row>
    <row r="4134" spans="1:3" x14ac:dyDescent="0.25">
      <c r="A4134" s="417">
        <v>41543</v>
      </c>
      <c r="B4134" s="418">
        <v>5.454861111111111E-2</v>
      </c>
      <c r="C4134" s="421" t="s">
        <v>1308</v>
      </c>
    </row>
    <row r="4135" spans="1:3" x14ac:dyDescent="0.25">
      <c r="A4135" s="417">
        <v>41543</v>
      </c>
      <c r="B4135" s="418">
        <v>5.4571759259259257E-2</v>
      </c>
      <c r="C4135" s="421" t="s">
        <v>1410</v>
      </c>
    </row>
    <row r="4136" spans="1:3" x14ac:dyDescent="0.25">
      <c r="A4136" s="417">
        <v>41543</v>
      </c>
      <c r="B4136" s="418">
        <v>5.4571759259259257E-2</v>
      </c>
      <c r="C4136" s="421" t="s">
        <v>1410</v>
      </c>
    </row>
    <row r="4137" spans="1:3" x14ac:dyDescent="0.25">
      <c r="A4137" s="417">
        <v>41543</v>
      </c>
      <c r="B4137" s="418">
        <v>5.4583333333333338E-2</v>
      </c>
      <c r="C4137" s="421" t="s">
        <v>1411</v>
      </c>
    </row>
    <row r="4138" spans="1:3" x14ac:dyDescent="0.25">
      <c r="A4138" s="417">
        <v>41543</v>
      </c>
      <c r="B4138" s="418">
        <v>5.4594907407407411E-2</v>
      </c>
      <c r="C4138" s="421" t="s">
        <v>1718</v>
      </c>
    </row>
    <row r="4139" spans="1:3" x14ac:dyDescent="0.25">
      <c r="A4139" s="417">
        <v>41543</v>
      </c>
      <c r="B4139" s="418">
        <v>5.4606481481481478E-2</v>
      </c>
      <c r="C4139" s="421" t="s">
        <v>1413</v>
      </c>
    </row>
    <row r="4140" spans="1:3" x14ac:dyDescent="0.25">
      <c r="A4140" s="417">
        <v>41543</v>
      </c>
      <c r="B4140" s="418">
        <v>5.4606481481481478E-2</v>
      </c>
      <c r="C4140" s="421" t="s">
        <v>1414</v>
      </c>
    </row>
    <row r="4141" spans="1:3" x14ac:dyDescent="0.25">
      <c r="A4141" s="417">
        <v>41543</v>
      </c>
      <c r="B4141" s="418">
        <v>5.4618055555555552E-2</v>
      </c>
      <c r="C4141" s="421" t="s">
        <v>1373</v>
      </c>
    </row>
    <row r="4142" spans="1:3" x14ac:dyDescent="0.25">
      <c r="A4142" s="417">
        <v>41543</v>
      </c>
      <c r="B4142" s="418">
        <v>5.4618055555555552E-2</v>
      </c>
      <c r="C4142" s="421" t="s">
        <v>1719</v>
      </c>
    </row>
    <row r="4143" spans="1:3" x14ac:dyDescent="0.25">
      <c r="A4143" s="417">
        <v>41543</v>
      </c>
      <c r="B4143" s="418">
        <v>5.4699074074074074E-2</v>
      </c>
      <c r="C4143" s="421" t="s">
        <v>1409</v>
      </c>
    </row>
    <row r="4144" spans="1:3" x14ac:dyDescent="0.25">
      <c r="A4144" s="417">
        <v>41543</v>
      </c>
      <c r="B4144" s="418">
        <v>5.4710648148148154E-2</v>
      </c>
      <c r="C4144" s="421" t="s">
        <v>1416</v>
      </c>
    </row>
    <row r="4145" spans="1:3" x14ac:dyDescent="0.25">
      <c r="A4145" s="417">
        <v>41543</v>
      </c>
      <c r="B4145" s="418">
        <v>5.4710648148148154E-2</v>
      </c>
      <c r="C4145" s="421" t="s">
        <v>1720</v>
      </c>
    </row>
    <row r="4146" spans="1:3" x14ac:dyDescent="0.25">
      <c r="A4146" s="417">
        <v>41543</v>
      </c>
      <c r="B4146" s="418">
        <v>5.4722222222222228E-2</v>
      </c>
      <c r="C4146" s="421" t="s">
        <v>1348</v>
      </c>
    </row>
    <row r="4147" spans="1:3" x14ac:dyDescent="0.25">
      <c r="A4147" s="417">
        <v>41543</v>
      </c>
      <c r="B4147" s="418">
        <v>5.4722222222222228E-2</v>
      </c>
      <c r="C4147" s="421" t="s">
        <v>1419</v>
      </c>
    </row>
    <row r="4148" spans="1:3" x14ac:dyDescent="0.25">
      <c r="A4148" s="417">
        <v>41543</v>
      </c>
      <c r="B4148" s="418">
        <v>5.4722222222222228E-2</v>
      </c>
      <c r="C4148" s="421" t="s">
        <v>1419</v>
      </c>
    </row>
    <row r="4149" spans="1:3" x14ac:dyDescent="0.25">
      <c r="A4149" s="417">
        <v>41543</v>
      </c>
      <c r="B4149" s="418">
        <v>5.4722222222222228E-2</v>
      </c>
      <c r="C4149" s="421" t="s">
        <v>1420</v>
      </c>
    </row>
    <row r="4150" spans="1:3" x14ac:dyDescent="0.25">
      <c r="A4150" s="417">
        <v>41543</v>
      </c>
      <c r="B4150" s="418">
        <v>5.4756944444444448E-2</v>
      </c>
      <c r="C4150" s="421" t="s">
        <v>1721</v>
      </c>
    </row>
    <row r="4151" spans="1:3" x14ac:dyDescent="0.25">
      <c r="A4151" s="417">
        <v>41543</v>
      </c>
      <c r="B4151" s="418">
        <v>5.4756944444444448E-2</v>
      </c>
      <c r="C4151" s="421" t="s">
        <v>1722</v>
      </c>
    </row>
    <row r="4152" spans="1:3" x14ac:dyDescent="0.25">
      <c r="A4152" s="417">
        <v>41543</v>
      </c>
      <c r="B4152" s="418">
        <v>5.4756944444444448E-2</v>
      </c>
      <c r="C4152" s="421" t="s">
        <v>1723</v>
      </c>
    </row>
    <row r="4153" spans="1:3" x14ac:dyDescent="0.25">
      <c r="A4153" s="417">
        <v>41543</v>
      </c>
      <c r="B4153" s="418">
        <v>5.4768518518518522E-2</v>
      </c>
      <c r="C4153" s="421" t="s">
        <v>1484</v>
      </c>
    </row>
    <row r="4154" spans="1:3" x14ac:dyDescent="0.25">
      <c r="A4154" s="417">
        <v>41543</v>
      </c>
      <c r="B4154" s="418">
        <v>5.4768518518518522E-2</v>
      </c>
      <c r="C4154" s="421" t="s">
        <v>1724</v>
      </c>
    </row>
    <row r="4155" spans="1:3" x14ac:dyDescent="0.25">
      <c r="A4155" s="417">
        <v>41543</v>
      </c>
      <c r="B4155" s="418">
        <v>5.4768518518518522E-2</v>
      </c>
      <c r="C4155" s="421" t="s">
        <v>1725</v>
      </c>
    </row>
    <row r="4156" spans="1:3" x14ac:dyDescent="0.25">
      <c r="A4156" s="417">
        <v>41543</v>
      </c>
      <c r="B4156" s="418">
        <v>5.4768518518518522E-2</v>
      </c>
      <c r="C4156" s="421" t="s">
        <v>1726</v>
      </c>
    </row>
    <row r="4157" spans="1:3" x14ac:dyDescent="0.25">
      <c r="A4157" s="417">
        <v>41543</v>
      </c>
      <c r="B4157" s="418">
        <v>5.4768518518518522E-2</v>
      </c>
      <c r="C4157" s="421" t="s">
        <v>1727</v>
      </c>
    </row>
    <row r="4158" spans="1:3" x14ac:dyDescent="0.25">
      <c r="A4158" s="417">
        <v>41543</v>
      </c>
      <c r="B4158" s="418">
        <v>5.4780092592592589E-2</v>
      </c>
      <c r="C4158" s="421" t="s">
        <v>1320</v>
      </c>
    </row>
    <row r="4159" spans="1:3" x14ac:dyDescent="0.25">
      <c r="A4159" s="417">
        <v>41543</v>
      </c>
      <c r="B4159" s="418">
        <v>5.4791666666666662E-2</v>
      </c>
      <c r="C4159" s="421" t="s">
        <v>1429</v>
      </c>
    </row>
    <row r="4160" spans="1:3" x14ac:dyDescent="0.25">
      <c r="A4160" s="417">
        <v>41543</v>
      </c>
      <c r="B4160" s="418">
        <v>5.4803240740740743E-2</v>
      </c>
      <c r="C4160" s="421" t="s">
        <v>1430</v>
      </c>
    </row>
    <row r="4161" spans="1:3" x14ac:dyDescent="0.25">
      <c r="A4161" s="417">
        <v>41543</v>
      </c>
      <c r="B4161" s="418">
        <v>5.4803240740740743E-2</v>
      </c>
      <c r="C4161" s="421" t="s">
        <v>1728</v>
      </c>
    </row>
    <row r="4162" spans="1:3" x14ac:dyDescent="0.25">
      <c r="A4162" s="417">
        <v>41543</v>
      </c>
      <c r="B4162" s="418">
        <v>5.4872685185185184E-2</v>
      </c>
      <c r="C4162" s="421" t="s">
        <v>1308</v>
      </c>
    </row>
    <row r="4163" spans="1:3" x14ac:dyDescent="0.25">
      <c r="A4163" s="417">
        <v>41543</v>
      </c>
      <c r="B4163" s="418">
        <v>5.4872685185185184E-2</v>
      </c>
      <c r="C4163" s="421" t="s">
        <v>1360</v>
      </c>
    </row>
    <row r="4164" spans="1:3" x14ac:dyDescent="0.25">
      <c r="A4164" s="417">
        <v>41543</v>
      </c>
      <c r="B4164" s="418">
        <v>5.4872685185185184E-2</v>
      </c>
      <c r="C4164" s="421" t="s">
        <v>1432</v>
      </c>
    </row>
    <row r="4165" spans="1:3" x14ac:dyDescent="0.25">
      <c r="A4165" s="417">
        <v>41543</v>
      </c>
      <c r="B4165" s="418">
        <v>5.4872685185185184E-2</v>
      </c>
      <c r="C4165" s="421" t="s">
        <v>1432</v>
      </c>
    </row>
    <row r="4166" spans="1:3" x14ac:dyDescent="0.25">
      <c r="A4166" s="417">
        <v>41543</v>
      </c>
      <c r="B4166" s="418">
        <v>5.4872685185185184E-2</v>
      </c>
      <c r="C4166" s="421" t="s">
        <v>1432</v>
      </c>
    </row>
    <row r="4167" spans="1:3" x14ac:dyDescent="0.25">
      <c r="A4167" s="417">
        <v>41543</v>
      </c>
      <c r="B4167" s="418">
        <v>5.4872685185185184E-2</v>
      </c>
      <c r="C4167" s="421" t="s">
        <v>1281</v>
      </c>
    </row>
    <row r="4168" spans="1:3" ht="60" x14ac:dyDescent="0.25">
      <c r="A4168" s="417">
        <v>41543</v>
      </c>
      <c r="B4168" s="418">
        <v>5.4872685185185184E-2</v>
      </c>
      <c r="C4168" s="946" t="s">
        <v>1282</v>
      </c>
    </row>
    <row r="4169" spans="1:3" x14ac:dyDescent="0.25">
      <c r="A4169" s="417">
        <v>41543</v>
      </c>
      <c r="B4169" s="418">
        <v>5.4942129629629632E-2</v>
      </c>
      <c r="C4169" s="421" t="s">
        <v>1413</v>
      </c>
    </row>
    <row r="4170" spans="1:3" x14ac:dyDescent="0.25">
      <c r="A4170" s="417">
        <v>41543</v>
      </c>
      <c r="B4170" s="418">
        <v>5.4953703703703706E-2</v>
      </c>
      <c r="C4170" s="421" t="s">
        <v>1729</v>
      </c>
    </row>
    <row r="4171" spans="1:3" x14ac:dyDescent="0.25">
      <c r="A4171" s="417">
        <v>41543</v>
      </c>
      <c r="B4171" s="418">
        <v>5.4965277777777773E-2</v>
      </c>
      <c r="C4171" s="421" t="s">
        <v>1730</v>
      </c>
    </row>
    <row r="4172" spans="1:3" x14ac:dyDescent="0.25">
      <c r="A4172" s="417">
        <v>41543</v>
      </c>
      <c r="B4172" s="418">
        <v>5.4965277777777773E-2</v>
      </c>
      <c r="C4172" s="421" t="s">
        <v>1731</v>
      </c>
    </row>
    <row r="4173" spans="1:3" x14ac:dyDescent="0.25">
      <c r="A4173" s="417">
        <v>41543</v>
      </c>
      <c r="B4173" s="418">
        <v>5.4965277777777773E-2</v>
      </c>
      <c r="C4173" s="421" t="s">
        <v>1732</v>
      </c>
    </row>
    <row r="4174" spans="1:3" x14ac:dyDescent="0.25">
      <c r="A4174" s="417">
        <v>41543</v>
      </c>
      <c r="B4174" s="418">
        <v>5.4965277777777773E-2</v>
      </c>
      <c r="C4174" s="421" t="s">
        <v>1733</v>
      </c>
    </row>
    <row r="4175" spans="1:3" x14ac:dyDescent="0.25">
      <c r="A4175" s="417">
        <v>41543</v>
      </c>
      <c r="B4175" s="418">
        <v>5.4965277777777773E-2</v>
      </c>
      <c r="C4175" s="421" t="s">
        <v>1734</v>
      </c>
    </row>
    <row r="4176" spans="1:3" x14ac:dyDescent="0.25">
      <c r="A4176" s="417">
        <v>41543</v>
      </c>
      <c r="B4176" s="418">
        <v>5.4976851851851853E-2</v>
      </c>
      <c r="C4176" s="421" t="s">
        <v>1735</v>
      </c>
    </row>
    <row r="4177" spans="1:3" x14ac:dyDescent="0.25">
      <c r="A4177" s="417">
        <v>41543</v>
      </c>
      <c r="B4177" s="418">
        <v>5.5011574074074067E-2</v>
      </c>
      <c r="C4177" s="421" t="s">
        <v>1736</v>
      </c>
    </row>
    <row r="4178" spans="1:3" x14ac:dyDescent="0.25">
      <c r="A4178" s="417">
        <v>41543</v>
      </c>
      <c r="B4178" s="418">
        <v>5.5081018518518515E-2</v>
      </c>
      <c r="C4178" s="421" t="s">
        <v>1737</v>
      </c>
    </row>
    <row r="4179" spans="1:3" x14ac:dyDescent="0.25">
      <c r="A4179" s="417">
        <v>41543</v>
      </c>
      <c r="B4179" s="418">
        <v>5.5104166666666669E-2</v>
      </c>
      <c r="C4179" s="421" t="s">
        <v>1320</v>
      </c>
    </row>
    <row r="4180" spans="1:3" x14ac:dyDescent="0.25">
      <c r="A4180" s="417">
        <v>41543</v>
      </c>
      <c r="B4180" s="418">
        <v>5.5185185185185191E-2</v>
      </c>
      <c r="C4180" s="421" t="s">
        <v>1738</v>
      </c>
    </row>
    <row r="4181" spans="1:3" x14ac:dyDescent="0.25">
      <c r="A4181" s="417">
        <v>41543</v>
      </c>
      <c r="B4181" s="418">
        <v>5.5185185185185191E-2</v>
      </c>
      <c r="C4181" s="421" t="s">
        <v>1739</v>
      </c>
    </row>
    <row r="4182" spans="1:3" x14ac:dyDescent="0.25">
      <c r="A4182" s="417">
        <v>41543</v>
      </c>
      <c r="B4182" s="418">
        <v>5.5185185185185191E-2</v>
      </c>
      <c r="C4182" s="421" t="s">
        <v>1740</v>
      </c>
    </row>
    <row r="4183" spans="1:3" x14ac:dyDescent="0.25">
      <c r="A4183" s="417">
        <v>41543</v>
      </c>
      <c r="B4183" s="418">
        <v>5.5185185185185191E-2</v>
      </c>
      <c r="C4183" s="421" t="s">
        <v>1741</v>
      </c>
    </row>
    <row r="4184" spans="1:3" x14ac:dyDescent="0.25">
      <c r="A4184" s="417">
        <v>41543</v>
      </c>
      <c r="B4184" s="418">
        <v>5.5208333333333331E-2</v>
      </c>
      <c r="C4184" s="421" t="s">
        <v>1446</v>
      </c>
    </row>
    <row r="4185" spans="1:3" x14ac:dyDescent="0.25">
      <c r="A4185" s="417">
        <v>41543</v>
      </c>
      <c r="B4185" s="418">
        <v>5.5219907407407405E-2</v>
      </c>
      <c r="C4185" s="421" t="s">
        <v>1238</v>
      </c>
    </row>
    <row r="4186" spans="1:3" x14ac:dyDescent="0.25">
      <c r="A4186" s="417">
        <v>41543</v>
      </c>
      <c r="B4186" s="418">
        <v>5.5312499999999994E-2</v>
      </c>
      <c r="C4186" s="421" t="s">
        <v>1742</v>
      </c>
    </row>
    <row r="4187" spans="1:3" x14ac:dyDescent="0.25">
      <c r="A4187" s="417">
        <v>41543</v>
      </c>
      <c r="B4187" s="418">
        <v>5.5324074074074074E-2</v>
      </c>
      <c r="C4187" s="421" t="s">
        <v>1389</v>
      </c>
    </row>
    <row r="4188" spans="1:3" x14ac:dyDescent="0.25">
      <c r="A4188" s="417">
        <v>41543</v>
      </c>
      <c r="B4188" s="418">
        <v>5.5324074074074074E-2</v>
      </c>
      <c r="C4188" s="421" t="s">
        <v>1448</v>
      </c>
    </row>
    <row r="4189" spans="1:3" x14ac:dyDescent="0.25">
      <c r="A4189" s="417">
        <v>41543</v>
      </c>
      <c r="B4189" s="418">
        <v>5.5335648148148148E-2</v>
      </c>
      <c r="C4189" s="421" t="s">
        <v>1450</v>
      </c>
    </row>
    <row r="4190" spans="1:3" x14ac:dyDescent="0.25">
      <c r="A4190" s="417">
        <v>41543</v>
      </c>
      <c r="B4190" s="418">
        <v>5.5335648148148148E-2</v>
      </c>
      <c r="C4190" s="421" t="s">
        <v>1450</v>
      </c>
    </row>
    <row r="4191" spans="1:3" x14ac:dyDescent="0.25">
      <c r="A4191" s="417">
        <v>41543</v>
      </c>
      <c r="B4191" s="418">
        <v>5.5335648148148148E-2</v>
      </c>
      <c r="C4191" s="421" t="s">
        <v>1450</v>
      </c>
    </row>
    <row r="4192" spans="1:3" x14ac:dyDescent="0.25">
      <c r="A4192" s="417">
        <v>41543</v>
      </c>
      <c r="B4192" s="418">
        <v>5.5335648148148148E-2</v>
      </c>
      <c r="C4192" s="421" t="s">
        <v>1450</v>
      </c>
    </row>
    <row r="4193" spans="1:3" x14ac:dyDescent="0.25">
      <c r="A4193" s="417">
        <v>41543</v>
      </c>
      <c r="B4193" s="418">
        <v>5.5335648148148148E-2</v>
      </c>
      <c r="C4193" s="421" t="s">
        <v>1450</v>
      </c>
    </row>
    <row r="4194" spans="1:3" x14ac:dyDescent="0.25">
      <c r="A4194" s="417">
        <v>41543</v>
      </c>
      <c r="B4194" s="418">
        <v>5.5335648148148148E-2</v>
      </c>
      <c r="C4194" s="421" t="s">
        <v>1450</v>
      </c>
    </row>
    <row r="4195" spans="1:3" x14ac:dyDescent="0.25">
      <c r="A4195" s="417">
        <v>41543</v>
      </c>
      <c r="B4195" s="418">
        <v>5.5335648148148148E-2</v>
      </c>
      <c r="C4195" s="421" t="s">
        <v>1450</v>
      </c>
    </row>
    <row r="4196" spans="1:3" x14ac:dyDescent="0.25">
      <c r="A4196" s="417">
        <v>41543</v>
      </c>
      <c r="B4196" s="418">
        <v>5.5543981481481486E-2</v>
      </c>
      <c r="C4196" s="421" t="s">
        <v>1448</v>
      </c>
    </row>
    <row r="4197" spans="1:3" x14ac:dyDescent="0.25">
      <c r="A4197" s="417">
        <v>41543</v>
      </c>
      <c r="B4197" s="418">
        <v>5.5578703703703707E-2</v>
      </c>
      <c r="C4197" s="421" t="s">
        <v>1399</v>
      </c>
    </row>
    <row r="4198" spans="1:3" x14ac:dyDescent="0.25">
      <c r="A4198" s="417">
        <v>41543</v>
      </c>
      <c r="B4198" s="418">
        <v>5.561342592592592E-2</v>
      </c>
      <c r="C4198" s="421" t="s">
        <v>1309</v>
      </c>
    </row>
    <row r="4199" spans="1:3" x14ac:dyDescent="0.25">
      <c r="A4199" s="417">
        <v>41543</v>
      </c>
      <c r="B4199" s="418">
        <v>5.5625000000000001E-2</v>
      </c>
      <c r="C4199" s="421" t="s">
        <v>1236</v>
      </c>
    </row>
    <row r="4200" spans="1:3" x14ac:dyDescent="0.25">
      <c r="A4200" s="417">
        <v>41543</v>
      </c>
      <c r="B4200" s="418">
        <v>5.5625000000000001E-2</v>
      </c>
      <c r="C4200" s="421" t="s">
        <v>1237</v>
      </c>
    </row>
    <row r="4201" spans="1:3" x14ac:dyDescent="0.25">
      <c r="A4201" s="417">
        <v>41543</v>
      </c>
      <c r="B4201" s="418">
        <v>5.5625000000000001E-2</v>
      </c>
      <c r="C4201" s="421" t="s">
        <v>1238</v>
      </c>
    </row>
    <row r="4202" spans="1:3" x14ac:dyDescent="0.25">
      <c r="A4202" s="417">
        <v>41543</v>
      </c>
      <c r="B4202" s="418">
        <v>5.5694444444444442E-2</v>
      </c>
      <c r="C4202" s="421" t="s">
        <v>1743</v>
      </c>
    </row>
    <row r="4203" spans="1:3" x14ac:dyDescent="0.25">
      <c r="A4203" s="417">
        <v>41543</v>
      </c>
      <c r="B4203" s="418">
        <v>5.5706018518518523E-2</v>
      </c>
      <c r="C4203" s="421" t="s">
        <v>1710</v>
      </c>
    </row>
    <row r="4204" spans="1:3" x14ac:dyDescent="0.25">
      <c r="A4204" s="417">
        <v>41543</v>
      </c>
      <c r="B4204" s="418">
        <v>5.5706018518518523E-2</v>
      </c>
      <c r="C4204" s="421" t="s">
        <v>1671</v>
      </c>
    </row>
    <row r="4205" spans="1:3" ht="45" x14ac:dyDescent="0.25">
      <c r="A4205" s="417">
        <v>41543</v>
      </c>
      <c r="B4205" s="418">
        <v>0.92645833333333327</v>
      </c>
      <c r="C4205" s="946" t="s">
        <v>1744</v>
      </c>
    </row>
    <row r="4206" spans="1:3" ht="45" x14ac:dyDescent="0.25">
      <c r="A4206" s="417">
        <v>41543</v>
      </c>
      <c r="B4206" s="418">
        <v>0.92677083333333332</v>
      </c>
      <c r="C4206" s="946" t="s">
        <v>1745</v>
      </c>
    </row>
    <row r="4207" spans="1:3" ht="45" x14ac:dyDescent="0.25">
      <c r="A4207" s="417">
        <v>41543</v>
      </c>
      <c r="B4207" s="418">
        <v>0.9274768518518518</v>
      </c>
      <c r="C4207" s="946" t="s">
        <v>1746</v>
      </c>
    </row>
    <row r="4208" spans="1:3" ht="45" x14ac:dyDescent="0.25">
      <c r="A4208" s="417">
        <v>41543</v>
      </c>
      <c r="B4208" s="418">
        <v>0.92770833333333336</v>
      </c>
      <c r="C4208" s="946" t="s">
        <v>1747</v>
      </c>
    </row>
    <row r="4209" spans="1:3" x14ac:dyDescent="0.25">
      <c r="A4209" s="417">
        <v>41543</v>
      </c>
      <c r="B4209" s="418">
        <v>0.92887731481481473</v>
      </c>
      <c r="C4209" s="421" t="s">
        <v>1238</v>
      </c>
    </row>
    <row r="4210" spans="1:3" x14ac:dyDescent="0.25">
      <c r="A4210" s="417">
        <v>41543</v>
      </c>
      <c r="B4210" s="418">
        <v>0.92887731481481473</v>
      </c>
      <c r="C4210" s="421" t="s">
        <v>1307</v>
      </c>
    </row>
    <row r="4211" spans="1:3" x14ac:dyDescent="0.25">
      <c r="A4211" s="417">
        <v>41543</v>
      </c>
      <c r="B4211" s="418">
        <v>0.92887731481481473</v>
      </c>
      <c r="C4211" s="421" t="s">
        <v>1308</v>
      </c>
    </row>
    <row r="4212" spans="1:3" x14ac:dyDescent="0.25">
      <c r="A4212" s="417">
        <v>41543</v>
      </c>
      <c r="B4212" s="418">
        <v>0.92887731481481473</v>
      </c>
      <c r="C4212" s="421" t="s">
        <v>1309</v>
      </c>
    </row>
    <row r="4213" spans="1:3" x14ac:dyDescent="0.25">
      <c r="A4213" s="417">
        <v>41543</v>
      </c>
      <c r="B4213" s="418">
        <v>0.92887731481481473</v>
      </c>
      <c r="C4213" s="421" t="s">
        <v>1310</v>
      </c>
    </row>
    <row r="4214" spans="1:3" x14ac:dyDescent="0.25">
      <c r="A4214" s="417">
        <v>41543</v>
      </c>
      <c r="B4214" s="418">
        <v>0.92887731481481473</v>
      </c>
      <c r="C4214" s="421" t="s">
        <v>1311</v>
      </c>
    </row>
    <row r="4215" spans="1:3" x14ac:dyDescent="0.25">
      <c r="A4215" s="417">
        <v>41543</v>
      </c>
      <c r="B4215" s="418">
        <v>0.92887731481481473</v>
      </c>
      <c r="C4215" s="421" t="s">
        <v>1312</v>
      </c>
    </row>
    <row r="4216" spans="1:3" x14ac:dyDescent="0.25">
      <c r="A4216" s="417">
        <v>41543</v>
      </c>
      <c r="B4216" s="418">
        <v>0.92887731481481473</v>
      </c>
      <c r="C4216" s="421" t="s">
        <v>1313</v>
      </c>
    </row>
    <row r="4217" spans="1:3" x14ac:dyDescent="0.25">
      <c r="A4217" s="417">
        <v>41543</v>
      </c>
      <c r="B4217" s="418">
        <v>0.92887731481481473</v>
      </c>
      <c r="C4217" s="421" t="s">
        <v>1310</v>
      </c>
    </row>
    <row r="4218" spans="1:3" x14ac:dyDescent="0.25">
      <c r="A4218" s="417">
        <v>41543</v>
      </c>
      <c r="B4218" s="418">
        <v>0.92887731481481473</v>
      </c>
      <c r="C4218" s="421" t="s">
        <v>1314</v>
      </c>
    </row>
    <row r="4219" spans="1:3" x14ac:dyDescent="0.25">
      <c r="A4219" s="417">
        <v>41543</v>
      </c>
      <c r="B4219" s="418">
        <v>0.92887731481481473</v>
      </c>
      <c r="C4219" s="421" t="s">
        <v>1315</v>
      </c>
    </row>
    <row r="4220" spans="1:3" x14ac:dyDescent="0.25">
      <c r="A4220" s="417">
        <v>41543</v>
      </c>
      <c r="B4220" s="418">
        <v>0.92887731481481473</v>
      </c>
      <c r="C4220" s="421" t="s">
        <v>1460</v>
      </c>
    </row>
    <row r="4221" spans="1:3" x14ac:dyDescent="0.25">
      <c r="A4221" s="417">
        <v>41543</v>
      </c>
      <c r="B4221" s="418">
        <v>0.92887731481481473</v>
      </c>
      <c r="C4221" s="421" t="s">
        <v>1461</v>
      </c>
    </row>
    <row r="4222" spans="1:3" x14ac:dyDescent="0.25">
      <c r="A4222" s="417">
        <v>41543</v>
      </c>
      <c r="B4222" s="418">
        <v>0.92887731481481473</v>
      </c>
      <c r="C4222" s="421" t="s">
        <v>1310</v>
      </c>
    </row>
    <row r="4223" spans="1:3" x14ac:dyDescent="0.25">
      <c r="A4223" s="417">
        <v>41543</v>
      </c>
      <c r="B4223" s="418">
        <v>0.92887731481481473</v>
      </c>
      <c r="C4223" s="421" t="s">
        <v>1238</v>
      </c>
    </row>
    <row r="4224" spans="1:3" x14ac:dyDescent="0.25">
      <c r="A4224" s="417">
        <v>41543</v>
      </c>
      <c r="B4224" s="418">
        <v>0.92887731481481473</v>
      </c>
      <c r="C4224" s="421" t="s">
        <v>1462</v>
      </c>
    </row>
    <row r="4225" spans="1:3" x14ac:dyDescent="0.25">
      <c r="A4225" s="417">
        <v>41543</v>
      </c>
      <c r="B4225" s="418">
        <v>0.92887731481481473</v>
      </c>
      <c r="C4225" s="421" t="s">
        <v>1316</v>
      </c>
    </row>
    <row r="4226" spans="1:3" x14ac:dyDescent="0.25">
      <c r="A4226" s="417">
        <v>41543</v>
      </c>
      <c r="B4226" s="418">
        <v>0.92887731481481473</v>
      </c>
      <c r="C4226" s="421" t="s">
        <v>1316</v>
      </c>
    </row>
    <row r="4227" spans="1:3" x14ac:dyDescent="0.25">
      <c r="A4227" s="417">
        <v>41543</v>
      </c>
      <c r="B4227" s="418">
        <v>0.92887731481481473</v>
      </c>
      <c r="C4227" s="421" t="s">
        <v>1317</v>
      </c>
    </row>
    <row r="4228" spans="1:3" x14ac:dyDescent="0.25">
      <c r="A4228" s="417">
        <v>41543</v>
      </c>
      <c r="B4228" s="418">
        <v>0.92887731481481473</v>
      </c>
      <c r="C4228" s="421" t="s">
        <v>1309</v>
      </c>
    </row>
    <row r="4229" spans="1:3" x14ac:dyDescent="0.25">
      <c r="A4229" s="417">
        <v>41543</v>
      </c>
      <c r="B4229" s="418">
        <v>0.92887731481481473</v>
      </c>
      <c r="C4229" s="421" t="s">
        <v>1318</v>
      </c>
    </row>
    <row r="4230" spans="1:3" x14ac:dyDescent="0.25">
      <c r="A4230" s="417">
        <v>41543</v>
      </c>
      <c r="B4230" s="418">
        <v>0.92887731481481473</v>
      </c>
      <c r="C4230" s="421" t="s">
        <v>1319</v>
      </c>
    </row>
    <row r="4231" spans="1:3" x14ac:dyDescent="0.25">
      <c r="A4231" s="417">
        <v>41543</v>
      </c>
      <c r="B4231" s="418">
        <v>0.92887731481481473</v>
      </c>
      <c r="C4231" s="421" t="s">
        <v>1320</v>
      </c>
    </row>
    <row r="4232" spans="1:3" x14ac:dyDescent="0.25">
      <c r="A4232" s="417">
        <v>41543</v>
      </c>
      <c r="B4232" s="418">
        <v>0.92887731481481473</v>
      </c>
      <c r="C4232" s="421" t="s">
        <v>1318</v>
      </c>
    </row>
    <row r="4233" spans="1:3" x14ac:dyDescent="0.25">
      <c r="A4233" s="417">
        <v>41543</v>
      </c>
      <c r="B4233" s="418">
        <v>0.92887731481481473</v>
      </c>
      <c r="C4233" s="421" t="s">
        <v>1307</v>
      </c>
    </row>
    <row r="4234" spans="1:3" x14ac:dyDescent="0.25">
      <c r="A4234" s="417">
        <v>41543</v>
      </c>
      <c r="B4234" s="418">
        <v>0.92887731481481473</v>
      </c>
      <c r="C4234" s="421" t="s">
        <v>1321</v>
      </c>
    </row>
    <row r="4235" spans="1:3" x14ac:dyDescent="0.25">
      <c r="A4235" s="417">
        <v>41543</v>
      </c>
      <c r="B4235" s="418">
        <v>0.92887731481481473</v>
      </c>
      <c r="C4235" s="421" t="s">
        <v>1322</v>
      </c>
    </row>
    <row r="4236" spans="1:3" x14ac:dyDescent="0.25">
      <c r="A4236" s="417">
        <v>41543</v>
      </c>
      <c r="B4236" s="418">
        <v>0.92887731481481473</v>
      </c>
      <c r="C4236" s="421" t="s">
        <v>1322</v>
      </c>
    </row>
    <row r="4237" spans="1:3" x14ac:dyDescent="0.25">
      <c r="A4237" s="417">
        <v>41543</v>
      </c>
      <c r="B4237" s="418">
        <v>0.92887731481481473</v>
      </c>
      <c r="C4237" s="421" t="s">
        <v>1323</v>
      </c>
    </row>
    <row r="4238" spans="1:3" x14ac:dyDescent="0.25">
      <c r="A4238" s="417">
        <v>41543</v>
      </c>
      <c r="B4238" s="418">
        <v>0.92887731481481473</v>
      </c>
      <c r="C4238" s="421" t="s">
        <v>1324</v>
      </c>
    </row>
    <row r="4239" spans="1:3" x14ac:dyDescent="0.25">
      <c r="A4239" s="417">
        <v>41543</v>
      </c>
      <c r="B4239" s="418">
        <v>0.92887731481481473</v>
      </c>
      <c r="C4239" s="421" t="s">
        <v>1310</v>
      </c>
    </row>
    <row r="4240" spans="1:3" x14ac:dyDescent="0.25">
      <c r="A4240" s="417">
        <v>41543</v>
      </c>
      <c r="B4240" s="418">
        <v>0.92887731481481473</v>
      </c>
      <c r="C4240" s="421" t="s">
        <v>1325</v>
      </c>
    </row>
    <row r="4241" spans="1:3" x14ac:dyDescent="0.25">
      <c r="A4241" s="417">
        <v>41543</v>
      </c>
      <c r="B4241" s="418">
        <v>0.92887731481481473</v>
      </c>
      <c r="C4241" s="421" t="s">
        <v>1326</v>
      </c>
    </row>
    <row r="4242" spans="1:3" x14ac:dyDescent="0.25">
      <c r="A4242" s="417">
        <v>41543</v>
      </c>
      <c r="B4242" s="418">
        <v>0.92887731481481473</v>
      </c>
      <c r="C4242" s="421" t="s">
        <v>1238</v>
      </c>
    </row>
    <row r="4243" spans="1:3" x14ac:dyDescent="0.25">
      <c r="A4243" s="417">
        <v>41543</v>
      </c>
      <c r="B4243" s="418">
        <v>0.92887731481481473</v>
      </c>
      <c r="C4243" s="421" t="s">
        <v>1327</v>
      </c>
    </row>
    <row r="4244" spans="1:3" x14ac:dyDescent="0.25">
      <c r="A4244" s="417">
        <v>41543</v>
      </c>
      <c r="B4244" s="418">
        <v>0.92887731481481473</v>
      </c>
      <c r="C4244" s="421" t="s">
        <v>1328</v>
      </c>
    </row>
    <row r="4245" spans="1:3" ht="60" x14ac:dyDescent="0.25">
      <c r="A4245" s="417">
        <v>41543</v>
      </c>
      <c r="B4245" s="418">
        <v>0.92887731481481473</v>
      </c>
      <c r="C4245" s="946" t="s">
        <v>1678</v>
      </c>
    </row>
    <row r="4246" spans="1:3" x14ac:dyDescent="0.25">
      <c r="A4246" s="417">
        <v>41543</v>
      </c>
      <c r="B4246" s="418">
        <v>0.93398148148148152</v>
      </c>
      <c r="C4246" s="421" t="s">
        <v>1238</v>
      </c>
    </row>
    <row r="4247" spans="1:3" x14ac:dyDescent="0.25">
      <c r="A4247" s="417">
        <v>41543</v>
      </c>
      <c r="B4247" s="418">
        <v>0.93620370370370365</v>
      </c>
      <c r="C4247" s="421" t="s">
        <v>1307</v>
      </c>
    </row>
    <row r="4248" spans="1:3" x14ac:dyDescent="0.25">
      <c r="A4248" s="417">
        <v>41543</v>
      </c>
      <c r="B4248" s="418">
        <v>0.93680555555555556</v>
      </c>
      <c r="C4248" s="421" t="s">
        <v>1308</v>
      </c>
    </row>
    <row r="4249" spans="1:3" x14ac:dyDescent="0.25">
      <c r="A4249" s="417">
        <v>41543</v>
      </c>
      <c r="B4249" s="418">
        <v>0.93680555555555556</v>
      </c>
      <c r="C4249" s="421" t="s">
        <v>1309</v>
      </c>
    </row>
    <row r="4250" spans="1:3" x14ac:dyDescent="0.25">
      <c r="A4250" s="417">
        <v>41543</v>
      </c>
      <c r="B4250" s="418">
        <v>0.93680555555555556</v>
      </c>
      <c r="C4250" s="421" t="s">
        <v>1310</v>
      </c>
    </row>
    <row r="4251" spans="1:3" x14ac:dyDescent="0.25">
      <c r="A4251" s="417">
        <v>41543</v>
      </c>
      <c r="B4251" s="418">
        <v>0.93680555555555556</v>
      </c>
      <c r="C4251" s="421" t="s">
        <v>1311</v>
      </c>
    </row>
    <row r="4252" spans="1:3" x14ac:dyDescent="0.25">
      <c r="A4252" s="417">
        <v>41543</v>
      </c>
      <c r="B4252" s="418">
        <v>0.93680555555555556</v>
      </c>
      <c r="C4252" s="421" t="s">
        <v>1312</v>
      </c>
    </row>
    <row r="4253" spans="1:3" x14ac:dyDescent="0.25">
      <c r="A4253" s="417">
        <v>41543</v>
      </c>
      <c r="B4253" s="418">
        <v>0.93680555555555556</v>
      </c>
      <c r="C4253" s="421" t="s">
        <v>1313</v>
      </c>
    </row>
    <row r="4254" spans="1:3" x14ac:dyDescent="0.25">
      <c r="A4254" s="417">
        <v>41543</v>
      </c>
      <c r="B4254" s="418">
        <v>0.93680555555555556</v>
      </c>
      <c r="C4254" s="421" t="s">
        <v>1310</v>
      </c>
    </row>
    <row r="4255" spans="1:3" x14ac:dyDescent="0.25">
      <c r="A4255" s="417">
        <v>41543</v>
      </c>
      <c r="B4255" s="418">
        <v>0.93680555555555556</v>
      </c>
      <c r="C4255" s="421" t="s">
        <v>1314</v>
      </c>
    </row>
    <row r="4256" spans="1:3" x14ac:dyDescent="0.25">
      <c r="A4256" s="417">
        <v>41543</v>
      </c>
      <c r="B4256" s="418">
        <v>0.93680555555555556</v>
      </c>
      <c r="C4256" s="421" t="s">
        <v>1315</v>
      </c>
    </row>
    <row r="4257" spans="1:3" x14ac:dyDescent="0.25">
      <c r="A4257" s="417">
        <v>41543</v>
      </c>
      <c r="B4257" s="418">
        <v>0.93680555555555556</v>
      </c>
      <c r="C4257" s="421" t="s">
        <v>1460</v>
      </c>
    </row>
    <row r="4258" spans="1:3" x14ac:dyDescent="0.25">
      <c r="A4258" s="417">
        <v>41543</v>
      </c>
      <c r="B4258" s="418">
        <v>0.93680555555555556</v>
      </c>
      <c r="C4258" s="421" t="s">
        <v>1461</v>
      </c>
    </row>
    <row r="4259" spans="1:3" x14ac:dyDescent="0.25">
      <c r="A4259" s="417">
        <v>41543</v>
      </c>
      <c r="B4259" s="418">
        <v>0.93680555555555556</v>
      </c>
      <c r="C4259" s="421" t="s">
        <v>1310</v>
      </c>
    </row>
    <row r="4260" spans="1:3" x14ac:dyDescent="0.25">
      <c r="A4260" s="417">
        <v>41543</v>
      </c>
      <c r="B4260" s="418">
        <v>0.93680555555555556</v>
      </c>
      <c r="C4260" s="421" t="s">
        <v>1238</v>
      </c>
    </row>
    <row r="4261" spans="1:3" x14ac:dyDescent="0.25">
      <c r="A4261" s="417">
        <v>41543</v>
      </c>
      <c r="B4261" s="418">
        <v>0.93680555555555556</v>
      </c>
      <c r="C4261" s="421" t="s">
        <v>1462</v>
      </c>
    </row>
    <row r="4262" spans="1:3" x14ac:dyDescent="0.25">
      <c r="A4262" s="417">
        <v>41543</v>
      </c>
      <c r="B4262" s="418">
        <v>0.93680555555555556</v>
      </c>
      <c r="C4262" s="421" t="s">
        <v>1316</v>
      </c>
    </row>
    <row r="4263" spans="1:3" x14ac:dyDescent="0.25">
      <c r="A4263" s="417">
        <v>41543</v>
      </c>
      <c r="B4263" s="418">
        <v>0.93680555555555556</v>
      </c>
      <c r="C4263" s="421" t="s">
        <v>1316</v>
      </c>
    </row>
    <row r="4264" spans="1:3" x14ac:dyDescent="0.25">
      <c r="A4264" s="417">
        <v>41543</v>
      </c>
      <c r="B4264" s="418">
        <v>0.93680555555555556</v>
      </c>
      <c r="C4264" s="421" t="s">
        <v>1317</v>
      </c>
    </row>
    <row r="4265" spans="1:3" x14ac:dyDescent="0.25">
      <c r="A4265" s="417">
        <v>41543</v>
      </c>
      <c r="B4265" s="418">
        <v>0.93680555555555556</v>
      </c>
      <c r="C4265" s="421" t="s">
        <v>1309</v>
      </c>
    </row>
    <row r="4266" spans="1:3" x14ac:dyDescent="0.25">
      <c r="A4266" s="417">
        <v>41543</v>
      </c>
      <c r="B4266" s="418">
        <v>0.93680555555555556</v>
      </c>
      <c r="C4266" s="421" t="s">
        <v>1318</v>
      </c>
    </row>
    <row r="4267" spans="1:3" x14ac:dyDescent="0.25">
      <c r="A4267" s="417">
        <v>41543</v>
      </c>
      <c r="B4267" s="418">
        <v>0.93680555555555556</v>
      </c>
      <c r="C4267" s="421" t="s">
        <v>1319</v>
      </c>
    </row>
    <row r="4268" spans="1:3" x14ac:dyDescent="0.25">
      <c r="A4268" s="417">
        <v>41543</v>
      </c>
      <c r="B4268" s="418">
        <v>0.93680555555555556</v>
      </c>
      <c r="C4268" s="421" t="s">
        <v>1320</v>
      </c>
    </row>
    <row r="4269" spans="1:3" x14ac:dyDescent="0.25">
      <c r="A4269" s="417">
        <v>41543</v>
      </c>
      <c r="B4269" s="418">
        <v>0.93680555555555556</v>
      </c>
      <c r="C4269" s="421" t="s">
        <v>1318</v>
      </c>
    </row>
    <row r="4270" spans="1:3" x14ac:dyDescent="0.25">
      <c r="A4270" s="417">
        <v>41543</v>
      </c>
      <c r="B4270" s="418">
        <v>0.93680555555555556</v>
      </c>
      <c r="C4270" s="421" t="s">
        <v>1307</v>
      </c>
    </row>
    <row r="4271" spans="1:3" x14ac:dyDescent="0.25">
      <c r="A4271" s="417">
        <v>41543</v>
      </c>
      <c r="B4271" s="418">
        <v>0.93680555555555556</v>
      </c>
      <c r="C4271" s="421" t="s">
        <v>1321</v>
      </c>
    </row>
    <row r="4272" spans="1:3" x14ac:dyDescent="0.25">
      <c r="A4272" s="417">
        <v>41543</v>
      </c>
      <c r="B4272" s="418">
        <v>0.93680555555555556</v>
      </c>
      <c r="C4272" s="421" t="s">
        <v>1322</v>
      </c>
    </row>
    <row r="4273" spans="1:3" x14ac:dyDescent="0.25">
      <c r="A4273" s="417">
        <v>41543</v>
      </c>
      <c r="B4273" s="418">
        <v>0.93680555555555556</v>
      </c>
      <c r="C4273" s="421" t="s">
        <v>1322</v>
      </c>
    </row>
    <row r="4274" spans="1:3" x14ac:dyDescent="0.25">
      <c r="A4274" s="417">
        <v>41543</v>
      </c>
      <c r="B4274" s="418">
        <v>0.93680555555555556</v>
      </c>
      <c r="C4274" s="421" t="s">
        <v>1323</v>
      </c>
    </row>
    <row r="4275" spans="1:3" x14ac:dyDescent="0.25">
      <c r="A4275" s="417">
        <v>41543</v>
      </c>
      <c r="B4275" s="418">
        <v>0.93680555555555556</v>
      </c>
      <c r="C4275" s="421" t="s">
        <v>1324</v>
      </c>
    </row>
    <row r="4276" spans="1:3" x14ac:dyDescent="0.25">
      <c r="A4276" s="417">
        <v>41543</v>
      </c>
      <c r="B4276" s="418">
        <v>0.93680555555555556</v>
      </c>
      <c r="C4276" s="421" t="s">
        <v>1310</v>
      </c>
    </row>
    <row r="4277" spans="1:3" x14ac:dyDescent="0.25">
      <c r="A4277" s="417">
        <v>41543</v>
      </c>
      <c r="B4277" s="418">
        <v>0.93680555555555556</v>
      </c>
      <c r="C4277" s="421" t="s">
        <v>1325</v>
      </c>
    </row>
    <row r="4278" spans="1:3" x14ac:dyDescent="0.25">
      <c r="A4278" s="417">
        <v>41543</v>
      </c>
      <c r="B4278" s="418">
        <v>0.93680555555555556</v>
      </c>
      <c r="C4278" s="421" t="s">
        <v>1326</v>
      </c>
    </row>
    <row r="4279" spans="1:3" x14ac:dyDescent="0.25">
      <c r="A4279" s="417">
        <v>41543</v>
      </c>
      <c r="B4279" s="418">
        <v>0.93680555555555556</v>
      </c>
      <c r="C4279" s="421" t="s">
        <v>1238</v>
      </c>
    </row>
    <row r="4280" spans="1:3" x14ac:dyDescent="0.25">
      <c r="A4280" s="417">
        <v>41543</v>
      </c>
      <c r="B4280" s="418">
        <v>0.93680555555555556</v>
      </c>
      <c r="C4280" s="421" t="s">
        <v>1327</v>
      </c>
    </row>
    <row r="4281" spans="1:3" x14ac:dyDescent="0.25">
      <c r="A4281" s="417">
        <v>41543</v>
      </c>
      <c r="B4281" s="418">
        <v>0.93680555555555556</v>
      </c>
      <c r="C4281" s="421" t="s">
        <v>1328</v>
      </c>
    </row>
    <row r="4282" spans="1:3" ht="60" x14ac:dyDescent="0.25">
      <c r="A4282" s="417">
        <v>41543</v>
      </c>
      <c r="B4282" s="418">
        <v>0.93680555555555556</v>
      </c>
      <c r="C4282" s="946" t="s">
        <v>1678</v>
      </c>
    </row>
    <row r="4283" spans="1:3" x14ac:dyDescent="0.25">
      <c r="A4283" s="417">
        <v>41543</v>
      </c>
      <c r="B4283" s="418">
        <v>0.93748842592592585</v>
      </c>
      <c r="C4283" s="421" t="s">
        <v>1238</v>
      </c>
    </row>
    <row r="4284" spans="1:3" x14ac:dyDescent="0.25">
      <c r="A4284" s="417">
        <v>41543</v>
      </c>
      <c r="B4284" s="418">
        <v>0.93748842592592585</v>
      </c>
      <c r="C4284" s="421" t="s">
        <v>1307</v>
      </c>
    </row>
    <row r="4285" spans="1:3" x14ac:dyDescent="0.25">
      <c r="A4285" s="417">
        <v>41543</v>
      </c>
      <c r="B4285" s="418">
        <v>0.93748842592592585</v>
      </c>
      <c r="C4285" s="421" t="s">
        <v>1308</v>
      </c>
    </row>
    <row r="4286" spans="1:3" x14ac:dyDescent="0.25">
      <c r="A4286" s="417">
        <v>41543</v>
      </c>
      <c r="B4286" s="418">
        <v>0.93748842592592585</v>
      </c>
      <c r="C4286" s="421" t="s">
        <v>1309</v>
      </c>
    </row>
    <row r="4287" spans="1:3" x14ac:dyDescent="0.25">
      <c r="A4287" s="417">
        <v>41543</v>
      </c>
      <c r="B4287" s="418">
        <v>0.93748842592592585</v>
      </c>
      <c r="C4287" s="421" t="s">
        <v>1310</v>
      </c>
    </row>
    <row r="4288" spans="1:3" x14ac:dyDescent="0.25">
      <c r="A4288" s="417">
        <v>41543</v>
      </c>
      <c r="B4288" s="418">
        <v>0.93748842592592585</v>
      </c>
      <c r="C4288" s="421" t="s">
        <v>1311</v>
      </c>
    </row>
    <row r="4289" spans="1:3" x14ac:dyDescent="0.25">
      <c r="A4289" s="417">
        <v>41543</v>
      </c>
      <c r="B4289" s="418">
        <v>0.93748842592592585</v>
      </c>
      <c r="C4289" s="421" t="s">
        <v>1312</v>
      </c>
    </row>
    <row r="4290" spans="1:3" x14ac:dyDescent="0.25">
      <c r="A4290" s="417">
        <v>41543</v>
      </c>
      <c r="B4290" s="418">
        <v>0.93748842592592585</v>
      </c>
      <c r="C4290" s="421" t="s">
        <v>1313</v>
      </c>
    </row>
    <row r="4291" spans="1:3" x14ac:dyDescent="0.25">
      <c r="A4291" s="417">
        <v>41543</v>
      </c>
      <c r="B4291" s="418">
        <v>0.93748842592592585</v>
      </c>
      <c r="C4291" s="421" t="s">
        <v>1310</v>
      </c>
    </row>
    <row r="4292" spans="1:3" x14ac:dyDescent="0.25">
      <c r="A4292" s="417">
        <v>41543</v>
      </c>
      <c r="B4292" s="418">
        <v>0.93748842592592585</v>
      </c>
      <c r="C4292" s="421" t="s">
        <v>1314</v>
      </c>
    </row>
    <row r="4293" spans="1:3" x14ac:dyDescent="0.25">
      <c r="A4293" s="417">
        <v>41543</v>
      </c>
      <c r="B4293" s="418">
        <v>0.93748842592592585</v>
      </c>
      <c r="C4293" s="421" t="s">
        <v>1315</v>
      </c>
    </row>
    <row r="4294" spans="1:3" x14ac:dyDescent="0.25">
      <c r="A4294" s="417">
        <v>41543</v>
      </c>
      <c r="B4294" s="418">
        <v>0.93748842592592585</v>
      </c>
      <c r="C4294" s="421" t="s">
        <v>1460</v>
      </c>
    </row>
    <row r="4295" spans="1:3" x14ac:dyDescent="0.25">
      <c r="A4295" s="417">
        <v>41543</v>
      </c>
      <c r="B4295" s="418">
        <v>0.93748842592592585</v>
      </c>
      <c r="C4295" s="421" t="s">
        <v>1461</v>
      </c>
    </row>
    <row r="4296" spans="1:3" x14ac:dyDescent="0.25">
      <c r="A4296" s="417">
        <v>41543</v>
      </c>
      <c r="B4296" s="418">
        <v>0.93748842592592585</v>
      </c>
      <c r="C4296" s="421" t="s">
        <v>1310</v>
      </c>
    </row>
    <row r="4297" spans="1:3" x14ac:dyDescent="0.25">
      <c r="A4297" s="417">
        <v>41543</v>
      </c>
      <c r="B4297" s="418">
        <v>0.93748842592592585</v>
      </c>
      <c r="C4297" s="421" t="s">
        <v>1238</v>
      </c>
    </row>
    <row r="4298" spans="1:3" x14ac:dyDescent="0.25">
      <c r="A4298" s="417">
        <v>41543</v>
      </c>
      <c r="B4298" s="418">
        <v>0.93748842592592585</v>
      </c>
      <c r="C4298" s="421" t="s">
        <v>1462</v>
      </c>
    </row>
    <row r="4299" spans="1:3" x14ac:dyDescent="0.25">
      <c r="A4299" s="417">
        <v>41543</v>
      </c>
      <c r="B4299" s="418">
        <v>0.93748842592592585</v>
      </c>
      <c r="C4299" s="421" t="s">
        <v>1316</v>
      </c>
    </row>
    <row r="4300" spans="1:3" x14ac:dyDescent="0.25">
      <c r="A4300" s="417">
        <v>41543</v>
      </c>
      <c r="B4300" s="418">
        <v>0.93748842592592585</v>
      </c>
      <c r="C4300" s="421" t="s">
        <v>1316</v>
      </c>
    </row>
    <row r="4301" spans="1:3" x14ac:dyDescent="0.25">
      <c r="A4301" s="417">
        <v>41543</v>
      </c>
      <c r="B4301" s="418">
        <v>0.93748842592592585</v>
      </c>
      <c r="C4301" s="421" t="s">
        <v>1317</v>
      </c>
    </row>
    <row r="4302" spans="1:3" x14ac:dyDescent="0.25">
      <c r="A4302" s="417">
        <v>41543</v>
      </c>
      <c r="B4302" s="418">
        <v>0.93748842592592585</v>
      </c>
      <c r="C4302" s="421" t="s">
        <v>1309</v>
      </c>
    </row>
    <row r="4303" spans="1:3" x14ac:dyDescent="0.25">
      <c r="A4303" s="417">
        <v>41543</v>
      </c>
      <c r="B4303" s="418">
        <v>0.93748842592592585</v>
      </c>
      <c r="C4303" s="421" t="s">
        <v>1318</v>
      </c>
    </row>
    <row r="4304" spans="1:3" x14ac:dyDescent="0.25">
      <c r="A4304" s="417">
        <v>41543</v>
      </c>
      <c r="B4304" s="418">
        <v>0.93748842592592585</v>
      </c>
      <c r="C4304" s="421" t="s">
        <v>1319</v>
      </c>
    </row>
    <row r="4305" spans="1:3" x14ac:dyDescent="0.25">
      <c r="A4305" s="417">
        <v>41543</v>
      </c>
      <c r="B4305" s="418">
        <v>0.93748842592592585</v>
      </c>
      <c r="C4305" s="421" t="s">
        <v>1320</v>
      </c>
    </row>
    <row r="4306" spans="1:3" x14ac:dyDescent="0.25">
      <c r="A4306" s="417">
        <v>41543</v>
      </c>
      <c r="B4306" s="418">
        <v>0.93748842592592585</v>
      </c>
      <c r="C4306" s="421" t="s">
        <v>1318</v>
      </c>
    </row>
    <row r="4307" spans="1:3" x14ac:dyDescent="0.25">
      <c r="A4307" s="417">
        <v>41543</v>
      </c>
      <c r="B4307" s="418">
        <v>0.93748842592592585</v>
      </c>
      <c r="C4307" s="421" t="s">
        <v>1307</v>
      </c>
    </row>
    <row r="4308" spans="1:3" x14ac:dyDescent="0.25">
      <c r="A4308" s="417">
        <v>41543</v>
      </c>
      <c r="B4308" s="418">
        <v>0.93748842592592585</v>
      </c>
      <c r="C4308" s="421" t="s">
        <v>1321</v>
      </c>
    </row>
    <row r="4309" spans="1:3" x14ac:dyDescent="0.25">
      <c r="A4309" s="417">
        <v>41543</v>
      </c>
      <c r="B4309" s="418">
        <v>0.93748842592592585</v>
      </c>
      <c r="C4309" s="421" t="s">
        <v>1322</v>
      </c>
    </row>
    <row r="4310" spans="1:3" x14ac:dyDescent="0.25">
      <c r="A4310" s="417">
        <v>41543</v>
      </c>
      <c r="B4310" s="418">
        <v>0.93748842592592585</v>
      </c>
      <c r="C4310" s="421" t="s">
        <v>1322</v>
      </c>
    </row>
    <row r="4311" spans="1:3" x14ac:dyDescent="0.25">
      <c r="A4311" s="417">
        <v>41543</v>
      </c>
      <c r="B4311" s="418">
        <v>0.93748842592592585</v>
      </c>
      <c r="C4311" s="421" t="s">
        <v>1323</v>
      </c>
    </row>
    <row r="4312" spans="1:3" x14ac:dyDescent="0.25">
      <c r="A4312" s="417">
        <v>41543</v>
      </c>
      <c r="B4312" s="418">
        <v>0.93748842592592585</v>
      </c>
      <c r="C4312" s="421" t="s">
        <v>1324</v>
      </c>
    </row>
    <row r="4313" spans="1:3" x14ac:dyDescent="0.25">
      <c r="A4313" s="417">
        <v>41543</v>
      </c>
      <c r="B4313" s="418">
        <v>0.93748842592592585</v>
      </c>
      <c r="C4313" s="421" t="s">
        <v>1310</v>
      </c>
    </row>
    <row r="4314" spans="1:3" x14ac:dyDescent="0.25">
      <c r="A4314" s="417">
        <v>41543</v>
      </c>
      <c r="B4314" s="418">
        <v>0.93748842592592585</v>
      </c>
      <c r="C4314" s="421" t="s">
        <v>1325</v>
      </c>
    </row>
    <row r="4315" spans="1:3" x14ac:dyDescent="0.25">
      <c r="A4315" s="417">
        <v>41543</v>
      </c>
      <c r="B4315" s="418">
        <v>0.93748842592592585</v>
      </c>
      <c r="C4315" s="421" t="s">
        <v>1326</v>
      </c>
    </row>
    <row r="4316" spans="1:3" x14ac:dyDescent="0.25">
      <c r="A4316" s="417">
        <v>41543</v>
      </c>
      <c r="B4316" s="418">
        <v>0.93748842592592585</v>
      </c>
      <c r="C4316" s="421" t="s">
        <v>1238</v>
      </c>
    </row>
    <row r="4317" spans="1:3" x14ac:dyDescent="0.25">
      <c r="A4317" s="417">
        <v>41543</v>
      </c>
      <c r="B4317" s="418">
        <v>0.93748842592592585</v>
      </c>
      <c r="C4317" s="421" t="s">
        <v>1327</v>
      </c>
    </row>
    <row r="4318" spans="1:3" x14ac:dyDescent="0.25">
      <c r="A4318" s="417">
        <v>41543</v>
      </c>
      <c r="B4318" s="418">
        <v>0.94936342592592593</v>
      </c>
      <c r="C4318" s="421" t="s">
        <v>1327</v>
      </c>
    </row>
    <row r="4319" spans="1:3" ht="30" x14ac:dyDescent="0.25">
      <c r="A4319" s="417">
        <v>41543</v>
      </c>
      <c r="B4319" s="418">
        <v>0.96429398148148149</v>
      </c>
      <c r="C4319" s="946" t="s">
        <v>1748</v>
      </c>
    </row>
    <row r="4320" spans="1:3" ht="30" x14ac:dyDescent="0.25">
      <c r="A4320" s="417">
        <v>41543</v>
      </c>
      <c r="B4320" s="418">
        <v>0.96439814814814817</v>
      </c>
      <c r="C4320" s="946" t="s">
        <v>1749</v>
      </c>
    </row>
    <row r="4321" spans="1:3" x14ac:dyDescent="0.25">
      <c r="A4321" s="417">
        <v>41543</v>
      </c>
      <c r="B4321" s="418">
        <v>0.96609953703703699</v>
      </c>
      <c r="C4321" s="421" t="s">
        <v>1238</v>
      </c>
    </row>
    <row r="4322" spans="1:3" x14ac:dyDescent="0.25">
      <c r="A4322" s="417">
        <v>41543</v>
      </c>
      <c r="B4322" s="418">
        <v>0.96611111111111114</v>
      </c>
      <c r="C4322" s="421" t="s">
        <v>1307</v>
      </c>
    </row>
    <row r="4323" spans="1:3" x14ac:dyDescent="0.25">
      <c r="A4323" s="417">
        <v>41543</v>
      </c>
      <c r="B4323" s="418">
        <v>0.96611111111111114</v>
      </c>
      <c r="C4323" s="421" t="s">
        <v>1308</v>
      </c>
    </row>
    <row r="4324" spans="1:3" x14ac:dyDescent="0.25">
      <c r="A4324" s="417">
        <v>41543</v>
      </c>
      <c r="B4324" s="418">
        <v>0.96611111111111114</v>
      </c>
      <c r="C4324" s="421" t="s">
        <v>1309</v>
      </c>
    </row>
    <row r="4325" spans="1:3" x14ac:dyDescent="0.25">
      <c r="A4325" s="417">
        <v>41543</v>
      </c>
      <c r="B4325" s="418">
        <v>0.96611111111111114</v>
      </c>
      <c r="C4325" s="421" t="s">
        <v>1310</v>
      </c>
    </row>
    <row r="4326" spans="1:3" x14ac:dyDescent="0.25">
      <c r="A4326" s="417">
        <v>41543</v>
      </c>
      <c r="B4326" s="418">
        <v>0.96611111111111114</v>
      </c>
      <c r="C4326" s="421" t="s">
        <v>1311</v>
      </c>
    </row>
    <row r="4327" spans="1:3" x14ac:dyDescent="0.25">
      <c r="A4327" s="417">
        <v>41543</v>
      </c>
      <c r="B4327" s="418">
        <v>0.96611111111111114</v>
      </c>
      <c r="C4327" s="421" t="s">
        <v>1312</v>
      </c>
    </row>
    <row r="4328" spans="1:3" x14ac:dyDescent="0.25">
      <c r="A4328" s="417">
        <v>41543</v>
      </c>
      <c r="B4328" s="418">
        <v>0.96611111111111114</v>
      </c>
      <c r="C4328" s="421" t="s">
        <v>1313</v>
      </c>
    </row>
    <row r="4329" spans="1:3" x14ac:dyDescent="0.25">
      <c r="A4329" s="417">
        <v>41543</v>
      </c>
      <c r="B4329" s="418">
        <v>0.96611111111111114</v>
      </c>
      <c r="C4329" s="421" t="s">
        <v>1310</v>
      </c>
    </row>
    <row r="4330" spans="1:3" x14ac:dyDescent="0.25">
      <c r="A4330" s="417">
        <v>41543</v>
      </c>
      <c r="B4330" s="418">
        <v>0.96611111111111114</v>
      </c>
      <c r="C4330" s="421" t="s">
        <v>1314</v>
      </c>
    </row>
    <row r="4331" spans="1:3" x14ac:dyDescent="0.25">
      <c r="A4331" s="417">
        <v>41543</v>
      </c>
      <c r="B4331" s="418">
        <v>0.96611111111111114</v>
      </c>
      <c r="C4331" s="421" t="s">
        <v>1315</v>
      </c>
    </row>
    <row r="4332" spans="1:3" x14ac:dyDescent="0.25">
      <c r="A4332" s="417">
        <v>41543</v>
      </c>
      <c r="B4332" s="418">
        <v>0.96611111111111114</v>
      </c>
      <c r="C4332" s="421" t="s">
        <v>1460</v>
      </c>
    </row>
    <row r="4333" spans="1:3" x14ac:dyDescent="0.25">
      <c r="A4333" s="417">
        <v>41543</v>
      </c>
      <c r="B4333" s="418">
        <v>0.96611111111111114</v>
      </c>
      <c r="C4333" s="421" t="s">
        <v>1461</v>
      </c>
    </row>
    <row r="4334" spans="1:3" x14ac:dyDescent="0.25">
      <c r="A4334" s="417">
        <v>41543</v>
      </c>
      <c r="B4334" s="418">
        <v>0.96611111111111114</v>
      </c>
      <c r="C4334" s="421" t="s">
        <v>1310</v>
      </c>
    </row>
    <row r="4335" spans="1:3" x14ac:dyDescent="0.25">
      <c r="A4335" s="417">
        <v>41543</v>
      </c>
      <c r="B4335" s="418">
        <v>0.96611111111111114</v>
      </c>
      <c r="C4335" s="421" t="s">
        <v>1238</v>
      </c>
    </row>
    <row r="4336" spans="1:3" x14ac:dyDescent="0.25">
      <c r="A4336" s="417">
        <v>41543</v>
      </c>
      <c r="B4336" s="418">
        <v>0.96611111111111114</v>
      </c>
      <c r="C4336" s="421" t="s">
        <v>1462</v>
      </c>
    </row>
    <row r="4337" spans="1:3" x14ac:dyDescent="0.25">
      <c r="A4337" s="417">
        <v>41543</v>
      </c>
      <c r="B4337" s="418">
        <v>0.96611111111111114</v>
      </c>
      <c r="C4337" s="421" t="s">
        <v>1316</v>
      </c>
    </row>
    <row r="4338" spans="1:3" x14ac:dyDescent="0.25">
      <c r="A4338" s="417">
        <v>41543</v>
      </c>
      <c r="B4338" s="418">
        <v>0.96611111111111114</v>
      </c>
      <c r="C4338" s="421" t="s">
        <v>1316</v>
      </c>
    </row>
    <row r="4339" spans="1:3" x14ac:dyDescent="0.25">
      <c r="A4339" s="417">
        <v>41543</v>
      </c>
      <c r="B4339" s="418">
        <v>0.96611111111111114</v>
      </c>
      <c r="C4339" s="421" t="s">
        <v>1317</v>
      </c>
    </row>
    <row r="4340" spans="1:3" x14ac:dyDescent="0.25">
      <c r="A4340" s="417">
        <v>41543</v>
      </c>
      <c r="B4340" s="418">
        <v>0.96611111111111114</v>
      </c>
      <c r="C4340" s="421" t="s">
        <v>1309</v>
      </c>
    </row>
    <row r="4341" spans="1:3" x14ac:dyDescent="0.25">
      <c r="A4341" s="417">
        <v>41543</v>
      </c>
      <c r="B4341" s="418">
        <v>0.96611111111111114</v>
      </c>
      <c r="C4341" s="421" t="s">
        <v>1318</v>
      </c>
    </row>
    <row r="4342" spans="1:3" x14ac:dyDescent="0.25">
      <c r="A4342" s="417">
        <v>41543</v>
      </c>
      <c r="B4342" s="418">
        <v>0.96611111111111114</v>
      </c>
      <c r="C4342" s="421" t="s">
        <v>1319</v>
      </c>
    </row>
    <row r="4343" spans="1:3" x14ac:dyDescent="0.25">
      <c r="A4343" s="417">
        <v>41543</v>
      </c>
      <c r="B4343" s="418">
        <v>0.96611111111111114</v>
      </c>
      <c r="C4343" s="421" t="s">
        <v>1320</v>
      </c>
    </row>
    <row r="4344" spans="1:3" x14ac:dyDescent="0.25">
      <c r="A4344" s="417">
        <v>41543</v>
      </c>
      <c r="B4344" s="418">
        <v>0.96611111111111114</v>
      </c>
      <c r="C4344" s="421" t="s">
        <v>1318</v>
      </c>
    </row>
    <row r="4345" spans="1:3" x14ac:dyDescent="0.25">
      <c r="A4345" s="417">
        <v>41543</v>
      </c>
      <c r="B4345" s="418">
        <v>0.96611111111111114</v>
      </c>
      <c r="C4345" s="421" t="s">
        <v>1307</v>
      </c>
    </row>
    <row r="4346" spans="1:3" x14ac:dyDescent="0.25">
      <c r="A4346" s="417">
        <v>41543</v>
      </c>
      <c r="B4346" s="418">
        <v>0.96611111111111114</v>
      </c>
      <c r="C4346" s="421" t="s">
        <v>1321</v>
      </c>
    </row>
    <row r="4347" spans="1:3" x14ac:dyDescent="0.25">
      <c r="A4347" s="417">
        <v>41543</v>
      </c>
      <c r="B4347" s="418">
        <v>0.96611111111111114</v>
      </c>
      <c r="C4347" s="421" t="s">
        <v>1322</v>
      </c>
    </row>
    <row r="4348" spans="1:3" x14ac:dyDescent="0.25">
      <c r="A4348" s="417">
        <v>41543</v>
      </c>
      <c r="B4348" s="418">
        <v>0.96611111111111114</v>
      </c>
      <c r="C4348" s="421" t="s">
        <v>1322</v>
      </c>
    </row>
    <row r="4349" spans="1:3" x14ac:dyDescent="0.25">
      <c r="A4349" s="417">
        <v>41543</v>
      </c>
      <c r="B4349" s="418">
        <v>0.96611111111111114</v>
      </c>
      <c r="C4349" s="421" t="s">
        <v>1323</v>
      </c>
    </row>
    <row r="4350" spans="1:3" x14ac:dyDescent="0.25">
      <c r="A4350" s="417">
        <v>41543</v>
      </c>
      <c r="B4350" s="418">
        <v>0.96612268518518529</v>
      </c>
      <c r="C4350" s="421" t="s">
        <v>1324</v>
      </c>
    </row>
    <row r="4351" spans="1:3" x14ac:dyDescent="0.25">
      <c r="A4351" s="417">
        <v>41543</v>
      </c>
      <c r="B4351" s="418">
        <v>0.96612268518518529</v>
      </c>
      <c r="C4351" s="421" t="s">
        <v>1310</v>
      </c>
    </row>
    <row r="4352" spans="1:3" x14ac:dyDescent="0.25">
      <c r="A4352" s="417">
        <v>41543</v>
      </c>
      <c r="B4352" s="418">
        <v>0.96612268518518529</v>
      </c>
      <c r="C4352" s="421" t="s">
        <v>1325</v>
      </c>
    </row>
    <row r="4353" spans="1:3" x14ac:dyDescent="0.25">
      <c r="A4353" s="417">
        <v>41543</v>
      </c>
      <c r="B4353" s="418">
        <v>0.96612268518518529</v>
      </c>
      <c r="C4353" s="421" t="s">
        <v>1326</v>
      </c>
    </row>
    <row r="4354" spans="1:3" x14ac:dyDescent="0.25">
      <c r="A4354" s="417">
        <v>41543</v>
      </c>
      <c r="B4354" s="418">
        <v>0.96612268518518529</v>
      </c>
      <c r="C4354" s="421" t="s">
        <v>1238</v>
      </c>
    </row>
    <row r="4355" spans="1:3" x14ac:dyDescent="0.25">
      <c r="A4355" s="417">
        <v>41543</v>
      </c>
      <c r="B4355" s="418">
        <v>0.96612268518518529</v>
      </c>
      <c r="C4355" s="421" t="s">
        <v>1327</v>
      </c>
    </row>
    <row r="4356" spans="1:3" x14ac:dyDescent="0.25">
      <c r="A4356" s="417">
        <v>41543</v>
      </c>
      <c r="B4356" s="418">
        <v>0.96612268518518529</v>
      </c>
      <c r="C4356" s="421" t="s">
        <v>1323</v>
      </c>
    </row>
    <row r="4357" spans="1:3" x14ac:dyDescent="0.25">
      <c r="A4357" s="417">
        <v>41543</v>
      </c>
      <c r="B4357" s="418">
        <v>0.96612268518518529</v>
      </c>
      <c r="C4357" s="421" t="s">
        <v>1342</v>
      </c>
    </row>
    <row r="4358" spans="1:3" x14ac:dyDescent="0.25">
      <c r="A4358" s="417">
        <v>41543</v>
      </c>
      <c r="B4358" s="418">
        <v>0.96612268518518529</v>
      </c>
      <c r="C4358" s="421" t="s">
        <v>1343</v>
      </c>
    </row>
    <row r="4359" spans="1:3" x14ac:dyDescent="0.25">
      <c r="A4359" s="417">
        <v>41543</v>
      </c>
      <c r="B4359" s="418">
        <v>0.96612268518518529</v>
      </c>
      <c r="C4359" s="421" t="s">
        <v>1344</v>
      </c>
    </row>
    <row r="4360" spans="1:3" x14ac:dyDescent="0.25">
      <c r="A4360" s="417">
        <v>41543</v>
      </c>
      <c r="B4360" s="418">
        <v>0.96612268518518529</v>
      </c>
      <c r="C4360" s="421" t="s">
        <v>1344</v>
      </c>
    </row>
    <row r="4361" spans="1:3" x14ac:dyDescent="0.25">
      <c r="A4361" s="417">
        <v>41543</v>
      </c>
      <c r="B4361" s="418">
        <v>0.96612268518518529</v>
      </c>
      <c r="C4361" s="421" t="s">
        <v>1310</v>
      </c>
    </row>
    <row r="4362" spans="1:3" x14ac:dyDescent="0.25">
      <c r="A4362" s="417">
        <v>41543</v>
      </c>
      <c r="B4362" s="418">
        <v>0.96612268518518529</v>
      </c>
      <c r="C4362" s="421" t="s">
        <v>1345</v>
      </c>
    </row>
    <row r="4363" spans="1:3" x14ac:dyDescent="0.25">
      <c r="A4363" s="417">
        <v>41543</v>
      </c>
      <c r="B4363" s="418">
        <v>0.96612268518518529</v>
      </c>
      <c r="C4363" s="421" t="s">
        <v>1346</v>
      </c>
    </row>
    <row r="4364" spans="1:3" x14ac:dyDescent="0.25">
      <c r="A4364" s="417">
        <v>41543</v>
      </c>
      <c r="B4364" s="418">
        <v>0.96612268518518529</v>
      </c>
      <c r="C4364" s="421" t="s">
        <v>1347</v>
      </c>
    </row>
    <row r="4365" spans="1:3" x14ac:dyDescent="0.25">
      <c r="A4365" s="417">
        <v>41543</v>
      </c>
      <c r="B4365" s="418">
        <v>0.96612268518518529</v>
      </c>
      <c r="C4365" s="421" t="s">
        <v>1348</v>
      </c>
    </row>
    <row r="4366" spans="1:3" x14ac:dyDescent="0.25">
      <c r="A4366" s="417">
        <v>41543</v>
      </c>
      <c r="B4366" s="418">
        <v>0.96612268518518529</v>
      </c>
      <c r="C4366" s="421" t="s">
        <v>1349</v>
      </c>
    </row>
    <row r="4367" spans="1:3" x14ac:dyDescent="0.25">
      <c r="A4367" s="417">
        <v>41543</v>
      </c>
      <c r="B4367" s="418">
        <v>0.96612268518518529</v>
      </c>
      <c r="C4367" s="421" t="s">
        <v>1349</v>
      </c>
    </row>
    <row r="4368" spans="1:3" x14ac:dyDescent="0.25">
      <c r="A4368" s="417">
        <v>41543</v>
      </c>
      <c r="B4368" s="418">
        <v>0.96612268518518529</v>
      </c>
      <c r="C4368" s="421" t="s">
        <v>1348</v>
      </c>
    </row>
    <row r="4369" spans="1:3" x14ac:dyDescent="0.25">
      <c r="A4369" s="417">
        <v>41543</v>
      </c>
      <c r="B4369" s="418">
        <v>0.96612268518518529</v>
      </c>
      <c r="C4369" s="421" t="s">
        <v>1350</v>
      </c>
    </row>
    <row r="4370" spans="1:3" x14ac:dyDescent="0.25">
      <c r="A4370" s="417">
        <v>41543</v>
      </c>
      <c r="B4370" s="418">
        <v>0.96612268518518529</v>
      </c>
      <c r="C4370" s="421" t="s">
        <v>1351</v>
      </c>
    </row>
    <row r="4371" spans="1:3" x14ac:dyDescent="0.25">
      <c r="A4371" s="417">
        <v>41543</v>
      </c>
      <c r="B4371" s="418">
        <v>0.96612268518518529</v>
      </c>
      <c r="C4371" s="421" t="s">
        <v>1352</v>
      </c>
    </row>
    <row r="4372" spans="1:3" x14ac:dyDescent="0.25">
      <c r="A4372" s="417">
        <v>41543</v>
      </c>
      <c r="B4372" s="418">
        <v>0.96612268518518529</v>
      </c>
      <c r="C4372" s="421" t="s">
        <v>1287</v>
      </c>
    </row>
    <row r="4373" spans="1:3" ht="60" x14ac:dyDescent="0.25">
      <c r="A4373" s="417">
        <v>41543</v>
      </c>
      <c r="B4373" s="418">
        <v>0.96612268518518529</v>
      </c>
      <c r="C4373" s="946" t="s">
        <v>1288</v>
      </c>
    </row>
    <row r="4374" spans="1:3" x14ac:dyDescent="0.25">
      <c r="A4374" s="417">
        <v>41543</v>
      </c>
      <c r="B4374" s="418">
        <v>0.98828703703703702</v>
      </c>
      <c r="C4374" s="421" t="s">
        <v>1238</v>
      </c>
    </row>
    <row r="4375" spans="1:3" x14ac:dyDescent="0.25">
      <c r="A4375" s="417">
        <v>41543</v>
      </c>
      <c r="B4375" s="418">
        <v>0.98944444444444446</v>
      </c>
      <c r="C4375" s="421" t="s">
        <v>1307</v>
      </c>
    </row>
    <row r="4376" spans="1:3" x14ac:dyDescent="0.25">
      <c r="A4376" s="417">
        <v>41543</v>
      </c>
      <c r="B4376" s="418">
        <v>0.99199074074074067</v>
      </c>
      <c r="C4376" s="421" t="s">
        <v>1308</v>
      </c>
    </row>
    <row r="4377" spans="1:3" x14ac:dyDescent="0.25">
      <c r="A4377" s="417">
        <v>41543</v>
      </c>
      <c r="B4377" s="418">
        <v>0.99200231481481482</v>
      </c>
      <c r="C4377" s="421" t="s">
        <v>1309</v>
      </c>
    </row>
    <row r="4378" spans="1:3" x14ac:dyDescent="0.25">
      <c r="A4378" s="417">
        <v>41543</v>
      </c>
      <c r="B4378" s="418">
        <v>0.99200231481481482</v>
      </c>
      <c r="C4378" s="421" t="s">
        <v>1310</v>
      </c>
    </row>
    <row r="4379" spans="1:3" x14ac:dyDescent="0.25">
      <c r="A4379" s="417">
        <v>41543</v>
      </c>
      <c r="B4379" s="418">
        <v>0.99200231481481482</v>
      </c>
      <c r="C4379" s="421" t="s">
        <v>1311</v>
      </c>
    </row>
    <row r="4380" spans="1:3" x14ac:dyDescent="0.25">
      <c r="A4380" s="417">
        <v>41543</v>
      </c>
      <c r="B4380" s="418">
        <v>0.99200231481481482</v>
      </c>
      <c r="C4380" s="421" t="s">
        <v>1312</v>
      </c>
    </row>
    <row r="4381" spans="1:3" x14ac:dyDescent="0.25">
      <c r="A4381" s="417">
        <v>41543</v>
      </c>
      <c r="B4381" s="418">
        <v>0.99200231481481482</v>
      </c>
      <c r="C4381" s="421" t="s">
        <v>1313</v>
      </c>
    </row>
    <row r="4382" spans="1:3" x14ac:dyDescent="0.25">
      <c r="A4382" s="417">
        <v>41543</v>
      </c>
      <c r="B4382" s="418">
        <v>0.99200231481481482</v>
      </c>
      <c r="C4382" s="421" t="s">
        <v>1310</v>
      </c>
    </row>
    <row r="4383" spans="1:3" x14ac:dyDescent="0.25">
      <c r="A4383" s="417">
        <v>41543</v>
      </c>
      <c r="B4383" s="418">
        <v>0.99200231481481482</v>
      </c>
      <c r="C4383" s="421" t="s">
        <v>1314</v>
      </c>
    </row>
    <row r="4384" spans="1:3" x14ac:dyDescent="0.25">
      <c r="A4384" s="417">
        <v>41543</v>
      </c>
      <c r="B4384" s="418">
        <v>0.99200231481481482</v>
      </c>
      <c r="C4384" s="421" t="s">
        <v>1315</v>
      </c>
    </row>
    <row r="4385" spans="1:3" x14ac:dyDescent="0.25">
      <c r="A4385" s="417">
        <v>41543</v>
      </c>
      <c r="B4385" s="418">
        <v>0.99200231481481482</v>
      </c>
      <c r="C4385" s="421" t="s">
        <v>1460</v>
      </c>
    </row>
    <row r="4386" spans="1:3" x14ac:dyDescent="0.25">
      <c r="A4386" s="417">
        <v>41543</v>
      </c>
      <c r="B4386" s="418">
        <v>0.99200231481481482</v>
      </c>
      <c r="C4386" s="421" t="s">
        <v>1461</v>
      </c>
    </row>
    <row r="4387" spans="1:3" x14ac:dyDescent="0.25">
      <c r="A4387" s="417">
        <v>41543</v>
      </c>
      <c r="B4387" s="418">
        <v>0.99200231481481482</v>
      </c>
      <c r="C4387" s="421" t="s">
        <v>1310</v>
      </c>
    </row>
    <row r="4388" spans="1:3" x14ac:dyDescent="0.25">
      <c r="A4388" s="417">
        <v>41543</v>
      </c>
      <c r="B4388" s="418">
        <v>0.99200231481481482</v>
      </c>
      <c r="C4388" s="421" t="s">
        <v>1238</v>
      </c>
    </row>
    <row r="4389" spans="1:3" x14ac:dyDescent="0.25">
      <c r="A4389" s="417">
        <v>41543</v>
      </c>
      <c r="B4389" s="418">
        <v>0.99203703703703694</v>
      </c>
      <c r="C4389" s="421" t="s">
        <v>1462</v>
      </c>
    </row>
    <row r="4390" spans="1:3" x14ac:dyDescent="0.25">
      <c r="A4390" s="417">
        <v>41543</v>
      </c>
      <c r="B4390" s="418">
        <v>0.99203703703703694</v>
      </c>
      <c r="C4390" s="421" t="s">
        <v>1316</v>
      </c>
    </row>
    <row r="4391" spans="1:3" x14ac:dyDescent="0.25">
      <c r="A4391" s="417">
        <v>41543</v>
      </c>
      <c r="B4391" s="418">
        <v>0.99203703703703694</v>
      </c>
      <c r="C4391" s="421" t="s">
        <v>1316</v>
      </c>
    </row>
    <row r="4392" spans="1:3" x14ac:dyDescent="0.25">
      <c r="A4392" s="417">
        <v>41543</v>
      </c>
      <c r="B4392" s="418">
        <v>0.99203703703703694</v>
      </c>
      <c r="C4392" s="421" t="s">
        <v>1317</v>
      </c>
    </row>
    <row r="4393" spans="1:3" x14ac:dyDescent="0.25">
      <c r="A4393" s="417">
        <v>41543</v>
      </c>
      <c r="B4393" s="418">
        <v>0.99203703703703694</v>
      </c>
      <c r="C4393" s="421" t="s">
        <v>1309</v>
      </c>
    </row>
    <row r="4394" spans="1:3" x14ac:dyDescent="0.25">
      <c r="A4394" s="417">
        <v>41543</v>
      </c>
      <c r="B4394" s="418">
        <v>0.99203703703703694</v>
      </c>
      <c r="C4394" s="421" t="s">
        <v>1318</v>
      </c>
    </row>
    <row r="4395" spans="1:3" x14ac:dyDescent="0.25">
      <c r="A4395" s="417">
        <v>41543</v>
      </c>
      <c r="B4395" s="418">
        <v>0.99203703703703694</v>
      </c>
      <c r="C4395" s="421" t="s">
        <v>1319</v>
      </c>
    </row>
    <row r="4396" spans="1:3" x14ac:dyDescent="0.25">
      <c r="A4396" s="417">
        <v>41543</v>
      </c>
      <c r="B4396" s="418">
        <v>0.99203703703703694</v>
      </c>
      <c r="C4396" s="421" t="s">
        <v>1320</v>
      </c>
    </row>
    <row r="4397" spans="1:3" x14ac:dyDescent="0.25">
      <c r="A4397" s="417">
        <v>41543</v>
      </c>
      <c r="B4397" s="418">
        <v>0.99203703703703694</v>
      </c>
      <c r="C4397" s="421" t="s">
        <v>1318</v>
      </c>
    </row>
    <row r="4398" spans="1:3" x14ac:dyDescent="0.25">
      <c r="A4398" s="417">
        <v>41543</v>
      </c>
      <c r="B4398" s="418">
        <v>0.99203703703703694</v>
      </c>
      <c r="C4398" s="421" t="s">
        <v>1307</v>
      </c>
    </row>
    <row r="4399" spans="1:3" x14ac:dyDescent="0.25">
      <c r="A4399" s="417">
        <v>41543</v>
      </c>
      <c r="B4399" s="418">
        <v>0.99207175925925928</v>
      </c>
      <c r="C4399" s="421" t="s">
        <v>1321</v>
      </c>
    </row>
    <row r="4400" spans="1:3" x14ac:dyDescent="0.25">
      <c r="A4400" s="417">
        <v>41543</v>
      </c>
      <c r="B4400" s="418">
        <v>0.99207175925925928</v>
      </c>
      <c r="C4400" s="421" t="s">
        <v>1322</v>
      </c>
    </row>
    <row r="4401" spans="1:3" x14ac:dyDescent="0.25">
      <c r="A4401" s="417">
        <v>41543</v>
      </c>
      <c r="B4401" s="418">
        <v>0.99207175925925928</v>
      </c>
      <c r="C4401" s="421" t="s">
        <v>1322</v>
      </c>
    </row>
    <row r="4402" spans="1:3" x14ac:dyDescent="0.25">
      <c r="A4402" s="417">
        <v>41543</v>
      </c>
      <c r="B4402" s="418">
        <v>0.99207175925925928</v>
      </c>
      <c r="C4402" s="421" t="s">
        <v>1323</v>
      </c>
    </row>
    <row r="4403" spans="1:3" x14ac:dyDescent="0.25">
      <c r="A4403" s="417">
        <v>41543</v>
      </c>
      <c r="B4403" s="418">
        <v>0.99207175925925928</v>
      </c>
      <c r="C4403" s="421" t="s">
        <v>1324</v>
      </c>
    </row>
    <row r="4404" spans="1:3" x14ac:dyDescent="0.25">
      <c r="A4404" s="417">
        <v>41543</v>
      </c>
      <c r="B4404" s="418">
        <v>0.99207175925925928</v>
      </c>
      <c r="C4404" s="421" t="s">
        <v>1310</v>
      </c>
    </row>
    <row r="4405" spans="1:3" x14ac:dyDescent="0.25">
      <c r="A4405" s="417">
        <v>41543</v>
      </c>
      <c r="B4405" s="418">
        <v>0.99207175925925928</v>
      </c>
      <c r="C4405" s="421" t="s">
        <v>1325</v>
      </c>
    </row>
    <row r="4406" spans="1:3" x14ac:dyDescent="0.25">
      <c r="A4406" s="417">
        <v>41543</v>
      </c>
      <c r="B4406" s="418">
        <v>0.99207175925925928</v>
      </c>
      <c r="C4406" s="421" t="s">
        <v>1326</v>
      </c>
    </row>
    <row r="4407" spans="1:3" x14ac:dyDescent="0.25">
      <c r="A4407" s="417">
        <v>41543</v>
      </c>
      <c r="B4407" s="418">
        <v>0.99207175925925928</v>
      </c>
      <c r="C4407" s="421" t="s">
        <v>1238</v>
      </c>
    </row>
    <row r="4408" spans="1:3" x14ac:dyDescent="0.25">
      <c r="A4408" s="417">
        <v>41543</v>
      </c>
      <c r="B4408" s="418">
        <v>0.99335648148148137</v>
      </c>
      <c r="C4408" s="421" t="s">
        <v>1327</v>
      </c>
    </row>
    <row r="4409" spans="1:3" x14ac:dyDescent="0.25">
      <c r="A4409" s="417">
        <v>41543</v>
      </c>
      <c r="B4409" s="418">
        <v>0.99335648148148137</v>
      </c>
      <c r="C4409" s="421" t="s">
        <v>1323</v>
      </c>
    </row>
    <row r="4410" spans="1:3" x14ac:dyDescent="0.25">
      <c r="A4410" s="417">
        <v>41543</v>
      </c>
      <c r="B4410" s="418">
        <v>0.99335648148148137</v>
      </c>
      <c r="C4410" s="421" t="s">
        <v>1342</v>
      </c>
    </row>
    <row r="4411" spans="1:3" x14ac:dyDescent="0.25">
      <c r="A4411" s="417">
        <v>41543</v>
      </c>
      <c r="B4411" s="418">
        <v>0.99335648148148137</v>
      </c>
      <c r="C4411" s="421" t="s">
        <v>1343</v>
      </c>
    </row>
    <row r="4412" spans="1:3" x14ac:dyDescent="0.25">
      <c r="A4412" s="417">
        <v>41543</v>
      </c>
      <c r="B4412" s="418">
        <v>0.99335648148148137</v>
      </c>
      <c r="C4412" s="421" t="s">
        <v>1344</v>
      </c>
    </row>
    <row r="4413" spans="1:3" x14ac:dyDescent="0.25">
      <c r="A4413" s="417">
        <v>41543</v>
      </c>
      <c r="B4413" s="418">
        <v>0.99335648148148137</v>
      </c>
      <c r="C4413" s="421" t="s">
        <v>1344</v>
      </c>
    </row>
    <row r="4414" spans="1:3" x14ac:dyDescent="0.25">
      <c r="A4414" s="417">
        <v>41543</v>
      </c>
      <c r="B4414" s="418">
        <v>0.99335648148148137</v>
      </c>
      <c r="C4414" s="421" t="s">
        <v>1310</v>
      </c>
    </row>
    <row r="4415" spans="1:3" x14ac:dyDescent="0.25">
      <c r="A4415" s="417">
        <v>41543</v>
      </c>
      <c r="B4415" s="418">
        <v>0.99335648148148137</v>
      </c>
      <c r="C4415" s="421" t="s">
        <v>1345</v>
      </c>
    </row>
    <row r="4416" spans="1:3" x14ac:dyDescent="0.25">
      <c r="A4416" s="417">
        <v>41543</v>
      </c>
      <c r="B4416" s="418">
        <v>0.99335648148148137</v>
      </c>
      <c r="C4416" s="421" t="s">
        <v>1346</v>
      </c>
    </row>
    <row r="4417" spans="1:3" x14ac:dyDescent="0.25">
      <c r="A4417" s="417">
        <v>41543</v>
      </c>
      <c r="B4417" s="418">
        <v>0.99335648148148137</v>
      </c>
      <c r="C4417" s="421" t="s">
        <v>1347</v>
      </c>
    </row>
    <row r="4418" spans="1:3" x14ac:dyDescent="0.25">
      <c r="A4418" s="417">
        <v>41543</v>
      </c>
      <c r="B4418" s="418">
        <v>0.99335648148148137</v>
      </c>
      <c r="C4418" s="421" t="s">
        <v>1348</v>
      </c>
    </row>
    <row r="4419" spans="1:3" x14ac:dyDescent="0.25">
      <c r="A4419" s="417">
        <v>41543</v>
      </c>
      <c r="B4419" s="418">
        <v>0.99335648148148137</v>
      </c>
      <c r="C4419" s="421" t="s">
        <v>1349</v>
      </c>
    </row>
    <row r="4420" spans="1:3" x14ac:dyDescent="0.25">
      <c r="A4420" s="417">
        <v>41543</v>
      </c>
      <c r="B4420" s="418">
        <v>0.99335648148148137</v>
      </c>
      <c r="C4420" s="421" t="s">
        <v>1349</v>
      </c>
    </row>
    <row r="4421" spans="1:3" x14ac:dyDescent="0.25">
      <c r="A4421" s="417">
        <v>41543</v>
      </c>
      <c r="B4421" s="418">
        <v>0.99335648148148137</v>
      </c>
      <c r="C4421" s="421" t="s">
        <v>1348</v>
      </c>
    </row>
    <row r="4422" spans="1:3" x14ac:dyDescent="0.25">
      <c r="A4422" s="417">
        <v>41543</v>
      </c>
      <c r="B4422" s="418">
        <v>0.99335648148148137</v>
      </c>
      <c r="C4422" s="421" t="s">
        <v>1350</v>
      </c>
    </row>
    <row r="4423" spans="1:3" x14ac:dyDescent="0.25">
      <c r="A4423" s="417">
        <v>41543</v>
      </c>
      <c r="B4423" s="418">
        <v>0.99335648148148137</v>
      </c>
      <c r="C4423" s="421" t="s">
        <v>1351</v>
      </c>
    </row>
    <row r="4424" spans="1:3" x14ac:dyDescent="0.25">
      <c r="A4424" s="417">
        <v>41543</v>
      </c>
      <c r="B4424" s="418">
        <v>0.99335648148148137</v>
      </c>
      <c r="C4424" s="421" t="s">
        <v>1352</v>
      </c>
    </row>
    <row r="4425" spans="1:3" x14ac:dyDescent="0.25">
      <c r="A4425" s="417">
        <v>41543</v>
      </c>
      <c r="B4425" s="418">
        <v>0.99364583333333334</v>
      </c>
      <c r="C4425" s="421" t="s">
        <v>1287</v>
      </c>
    </row>
    <row r="4426" spans="1:3" ht="60" x14ac:dyDescent="0.25">
      <c r="A4426" s="417">
        <v>41543</v>
      </c>
      <c r="B4426" s="418">
        <v>0.99364583333333334</v>
      </c>
      <c r="C4426" s="946" t="s">
        <v>1750</v>
      </c>
    </row>
    <row r="4427" spans="1:3" ht="45" x14ac:dyDescent="0.25">
      <c r="A4427" s="417">
        <v>41543</v>
      </c>
      <c r="B4427" s="418">
        <v>0.99974537037037037</v>
      </c>
      <c r="C4427" s="946" t="s">
        <v>1751</v>
      </c>
    </row>
    <row r="4428" spans="1:3" ht="60" x14ac:dyDescent="0.25">
      <c r="A4428" s="417">
        <v>41544</v>
      </c>
      <c r="B4428" s="418">
        <v>9.3750000000000007E-4</v>
      </c>
      <c r="C4428" s="946" t="s">
        <v>1752</v>
      </c>
    </row>
    <row r="4429" spans="1:3" ht="45" x14ac:dyDescent="0.25">
      <c r="A4429" s="417">
        <v>41544</v>
      </c>
      <c r="B4429" s="418">
        <v>1.1805555555555556E-3</v>
      </c>
      <c r="C4429" s="946" t="s">
        <v>1753</v>
      </c>
    </row>
    <row r="4430" spans="1:3" ht="30" x14ac:dyDescent="0.25">
      <c r="A4430" s="417">
        <v>41544</v>
      </c>
      <c r="B4430" s="418">
        <v>1.4583333333333334E-3</v>
      </c>
      <c r="C4430" s="946" t="s">
        <v>1754</v>
      </c>
    </row>
    <row r="4431" spans="1:3" x14ac:dyDescent="0.25">
      <c r="A4431" s="417">
        <v>41544</v>
      </c>
      <c r="B4431" s="418">
        <v>2.1643518518518518E-3</v>
      </c>
      <c r="C4431" s="421" t="s">
        <v>1238</v>
      </c>
    </row>
    <row r="4432" spans="1:3" x14ac:dyDescent="0.25">
      <c r="A4432" s="417">
        <v>41544</v>
      </c>
      <c r="B4432" s="418">
        <v>2.4652777777777776E-3</v>
      </c>
      <c r="C4432" s="421" t="s">
        <v>1307</v>
      </c>
    </row>
    <row r="4433" spans="1:3" x14ac:dyDescent="0.25">
      <c r="A4433" s="417">
        <v>41544</v>
      </c>
      <c r="B4433" s="418">
        <v>2.488425925925926E-3</v>
      </c>
      <c r="C4433" s="421" t="s">
        <v>1308</v>
      </c>
    </row>
    <row r="4434" spans="1:3" x14ac:dyDescent="0.25">
      <c r="A4434" s="417">
        <v>41544</v>
      </c>
      <c r="B4434" s="418">
        <v>2.488425925925926E-3</v>
      </c>
      <c r="C4434" s="421" t="s">
        <v>1309</v>
      </c>
    </row>
    <row r="4435" spans="1:3" x14ac:dyDescent="0.25">
      <c r="A4435" s="417">
        <v>41544</v>
      </c>
      <c r="B4435" s="418">
        <v>2.488425925925926E-3</v>
      </c>
      <c r="C4435" s="421" t="s">
        <v>1310</v>
      </c>
    </row>
    <row r="4436" spans="1:3" x14ac:dyDescent="0.25">
      <c r="A4436" s="417">
        <v>41544</v>
      </c>
      <c r="B4436" s="418">
        <v>2.488425925925926E-3</v>
      </c>
      <c r="C4436" s="421" t="s">
        <v>1311</v>
      </c>
    </row>
    <row r="4437" spans="1:3" x14ac:dyDescent="0.25">
      <c r="A4437" s="417">
        <v>41544</v>
      </c>
      <c r="B4437" s="418">
        <v>2.488425925925926E-3</v>
      </c>
      <c r="C4437" s="421" t="s">
        <v>1312</v>
      </c>
    </row>
    <row r="4438" spans="1:3" x14ac:dyDescent="0.25">
      <c r="A4438" s="417">
        <v>41544</v>
      </c>
      <c r="B4438" s="418">
        <v>2.488425925925926E-3</v>
      </c>
      <c r="C4438" s="421" t="s">
        <v>1313</v>
      </c>
    </row>
    <row r="4439" spans="1:3" x14ac:dyDescent="0.25">
      <c r="A4439" s="417">
        <v>41544</v>
      </c>
      <c r="B4439" s="418">
        <v>2.488425925925926E-3</v>
      </c>
      <c r="C4439" s="421" t="s">
        <v>1310</v>
      </c>
    </row>
    <row r="4440" spans="1:3" x14ac:dyDescent="0.25">
      <c r="A4440" s="417">
        <v>41544</v>
      </c>
      <c r="B4440" s="418">
        <v>2.488425925925926E-3</v>
      </c>
      <c r="C4440" s="421" t="s">
        <v>1314</v>
      </c>
    </row>
    <row r="4441" spans="1:3" x14ac:dyDescent="0.25">
      <c r="A4441" s="417">
        <v>41544</v>
      </c>
      <c r="B4441" s="418">
        <v>2.488425925925926E-3</v>
      </c>
      <c r="C4441" s="421" t="s">
        <v>1315</v>
      </c>
    </row>
    <row r="4442" spans="1:3" x14ac:dyDescent="0.25">
      <c r="A4442" s="417">
        <v>41544</v>
      </c>
      <c r="B4442" s="418">
        <v>2.488425925925926E-3</v>
      </c>
      <c r="C4442" s="421" t="s">
        <v>1460</v>
      </c>
    </row>
    <row r="4443" spans="1:3" x14ac:dyDescent="0.25">
      <c r="A4443" s="417">
        <v>41544</v>
      </c>
      <c r="B4443" s="418">
        <v>2.488425925925926E-3</v>
      </c>
      <c r="C4443" s="421" t="s">
        <v>1461</v>
      </c>
    </row>
    <row r="4444" spans="1:3" x14ac:dyDescent="0.25">
      <c r="A4444" s="417">
        <v>41544</v>
      </c>
      <c r="B4444" s="418">
        <v>2.488425925925926E-3</v>
      </c>
      <c r="C4444" s="421" t="s">
        <v>1310</v>
      </c>
    </row>
    <row r="4445" spans="1:3" x14ac:dyDescent="0.25">
      <c r="A4445" s="417">
        <v>41544</v>
      </c>
      <c r="B4445" s="418">
        <v>2.488425925925926E-3</v>
      </c>
      <c r="C4445" s="421" t="s">
        <v>1238</v>
      </c>
    </row>
    <row r="4446" spans="1:3" x14ac:dyDescent="0.25">
      <c r="A4446" s="417">
        <v>41544</v>
      </c>
      <c r="B4446" s="418">
        <v>2.5115740740740741E-3</v>
      </c>
      <c r="C4446" s="421" t="s">
        <v>1462</v>
      </c>
    </row>
    <row r="4447" spans="1:3" x14ac:dyDescent="0.25">
      <c r="A4447" s="417">
        <v>41544</v>
      </c>
      <c r="B4447" s="418">
        <v>2.5115740740740741E-3</v>
      </c>
      <c r="C4447" s="421" t="s">
        <v>1316</v>
      </c>
    </row>
    <row r="4448" spans="1:3" x14ac:dyDescent="0.25">
      <c r="A4448" s="417">
        <v>41544</v>
      </c>
      <c r="B4448" s="418">
        <v>2.5115740740740741E-3</v>
      </c>
      <c r="C4448" s="421" t="s">
        <v>1316</v>
      </c>
    </row>
    <row r="4449" spans="1:3" x14ac:dyDescent="0.25">
      <c r="A4449" s="417">
        <v>41544</v>
      </c>
      <c r="B4449" s="418">
        <v>2.5115740740740741E-3</v>
      </c>
      <c r="C4449" s="421" t="s">
        <v>1317</v>
      </c>
    </row>
    <row r="4450" spans="1:3" x14ac:dyDescent="0.25">
      <c r="A4450" s="417">
        <v>41544</v>
      </c>
      <c r="B4450" s="418">
        <v>2.5115740740740741E-3</v>
      </c>
      <c r="C4450" s="421" t="s">
        <v>1309</v>
      </c>
    </row>
    <row r="4451" spans="1:3" x14ac:dyDescent="0.25">
      <c r="A4451" s="417">
        <v>41544</v>
      </c>
      <c r="B4451" s="418">
        <v>2.5115740740740741E-3</v>
      </c>
      <c r="C4451" s="421" t="s">
        <v>1318</v>
      </c>
    </row>
    <row r="4452" spans="1:3" x14ac:dyDescent="0.25">
      <c r="A4452" s="417">
        <v>41544</v>
      </c>
      <c r="B4452" s="418">
        <v>2.5115740740740741E-3</v>
      </c>
      <c r="C4452" s="421" t="s">
        <v>1319</v>
      </c>
    </row>
    <row r="4453" spans="1:3" x14ac:dyDescent="0.25">
      <c r="A4453" s="417">
        <v>41544</v>
      </c>
      <c r="B4453" s="418">
        <v>2.5115740740740741E-3</v>
      </c>
      <c r="C4453" s="421" t="s">
        <v>1320</v>
      </c>
    </row>
    <row r="4454" spans="1:3" x14ac:dyDescent="0.25">
      <c r="A4454" s="417">
        <v>41544</v>
      </c>
      <c r="B4454" s="418">
        <v>2.5115740740740741E-3</v>
      </c>
      <c r="C4454" s="421" t="s">
        <v>1318</v>
      </c>
    </row>
    <row r="4455" spans="1:3" x14ac:dyDescent="0.25">
      <c r="A4455" s="417">
        <v>41544</v>
      </c>
      <c r="B4455" s="418">
        <v>2.5115740740740741E-3</v>
      </c>
      <c r="C4455" s="421" t="s">
        <v>1307</v>
      </c>
    </row>
    <row r="4456" spans="1:3" x14ac:dyDescent="0.25">
      <c r="A4456" s="417">
        <v>41544</v>
      </c>
      <c r="B4456" s="418">
        <v>2.5231481481481481E-3</v>
      </c>
      <c r="C4456" s="421" t="s">
        <v>1321</v>
      </c>
    </row>
    <row r="4457" spans="1:3" x14ac:dyDescent="0.25">
      <c r="A4457" s="417">
        <v>41544</v>
      </c>
      <c r="B4457" s="418">
        <v>2.5231481481481481E-3</v>
      </c>
      <c r="C4457" s="421" t="s">
        <v>1322</v>
      </c>
    </row>
    <row r="4458" spans="1:3" x14ac:dyDescent="0.25">
      <c r="A4458" s="417">
        <v>41544</v>
      </c>
      <c r="B4458" s="418">
        <v>2.5231481481481481E-3</v>
      </c>
      <c r="C4458" s="421" t="s">
        <v>1322</v>
      </c>
    </row>
    <row r="4459" spans="1:3" x14ac:dyDescent="0.25">
      <c r="A4459" s="417">
        <v>41544</v>
      </c>
      <c r="B4459" s="418">
        <v>2.5231481481481481E-3</v>
      </c>
      <c r="C4459" s="421" t="s">
        <v>1323</v>
      </c>
    </row>
    <row r="4460" spans="1:3" x14ac:dyDescent="0.25">
      <c r="A4460" s="417">
        <v>41544</v>
      </c>
      <c r="B4460" s="418">
        <v>2.5231481481481481E-3</v>
      </c>
      <c r="C4460" s="421" t="s">
        <v>1324</v>
      </c>
    </row>
    <row r="4461" spans="1:3" x14ac:dyDescent="0.25">
      <c r="A4461" s="417">
        <v>41544</v>
      </c>
      <c r="B4461" s="418">
        <v>2.5231481481481481E-3</v>
      </c>
      <c r="C4461" s="421" t="s">
        <v>1310</v>
      </c>
    </row>
    <row r="4462" spans="1:3" x14ac:dyDescent="0.25">
      <c r="A4462" s="417">
        <v>41544</v>
      </c>
      <c r="B4462" s="418">
        <v>2.5231481481481481E-3</v>
      </c>
      <c r="C4462" s="421" t="s">
        <v>1325</v>
      </c>
    </row>
    <row r="4463" spans="1:3" x14ac:dyDescent="0.25">
      <c r="A4463" s="417">
        <v>41544</v>
      </c>
      <c r="B4463" s="418">
        <v>2.5231481481481481E-3</v>
      </c>
      <c r="C4463" s="421" t="s">
        <v>1326</v>
      </c>
    </row>
    <row r="4464" spans="1:3" x14ac:dyDescent="0.25">
      <c r="A4464" s="417">
        <v>41544</v>
      </c>
      <c r="B4464" s="418">
        <v>2.5231481481481481E-3</v>
      </c>
      <c r="C4464" s="421" t="s">
        <v>1238</v>
      </c>
    </row>
    <row r="4465" spans="1:3" x14ac:dyDescent="0.25">
      <c r="A4465" s="417">
        <v>41544</v>
      </c>
      <c r="B4465" s="418">
        <v>2.7893518518518519E-3</v>
      </c>
      <c r="C4465" s="421" t="s">
        <v>1327</v>
      </c>
    </row>
    <row r="4466" spans="1:3" x14ac:dyDescent="0.25">
      <c r="A4466" s="417">
        <v>41544</v>
      </c>
      <c r="B4466" s="418">
        <v>2.7893518518518519E-3</v>
      </c>
      <c r="C4466" s="421" t="s">
        <v>1323</v>
      </c>
    </row>
    <row r="4467" spans="1:3" x14ac:dyDescent="0.25">
      <c r="A4467" s="417">
        <v>41544</v>
      </c>
      <c r="B4467" s="418">
        <v>2.7893518518518519E-3</v>
      </c>
      <c r="C4467" s="421" t="s">
        <v>1342</v>
      </c>
    </row>
    <row r="4468" spans="1:3" x14ac:dyDescent="0.25">
      <c r="A4468" s="417">
        <v>41544</v>
      </c>
      <c r="B4468" s="418">
        <v>2.7893518518518519E-3</v>
      </c>
      <c r="C4468" s="421" t="s">
        <v>1343</v>
      </c>
    </row>
    <row r="4469" spans="1:3" x14ac:dyDescent="0.25">
      <c r="A4469" s="417">
        <v>41544</v>
      </c>
      <c r="B4469" s="418">
        <v>2.7893518518518519E-3</v>
      </c>
      <c r="C4469" s="421" t="s">
        <v>1344</v>
      </c>
    </row>
    <row r="4470" spans="1:3" x14ac:dyDescent="0.25">
      <c r="A4470" s="417">
        <v>41544</v>
      </c>
      <c r="B4470" s="418">
        <v>2.7893518518518519E-3</v>
      </c>
      <c r="C4470" s="421" t="s">
        <v>1344</v>
      </c>
    </row>
    <row r="4471" spans="1:3" x14ac:dyDescent="0.25">
      <c r="A4471" s="417">
        <v>41544</v>
      </c>
      <c r="B4471" s="418">
        <v>2.7893518518518519E-3</v>
      </c>
      <c r="C4471" s="421" t="s">
        <v>1310</v>
      </c>
    </row>
    <row r="4472" spans="1:3" x14ac:dyDescent="0.25">
      <c r="A4472" s="417">
        <v>41544</v>
      </c>
      <c r="B4472" s="418">
        <v>2.7893518518518519E-3</v>
      </c>
      <c r="C4472" s="421" t="s">
        <v>1345</v>
      </c>
    </row>
    <row r="4473" spans="1:3" x14ac:dyDescent="0.25">
      <c r="A4473" s="417">
        <v>41544</v>
      </c>
      <c r="B4473" s="418">
        <v>2.7893518518518519E-3</v>
      </c>
      <c r="C4473" s="421" t="s">
        <v>1346</v>
      </c>
    </row>
    <row r="4474" spans="1:3" x14ac:dyDescent="0.25">
      <c r="A4474" s="417">
        <v>41544</v>
      </c>
      <c r="B4474" s="418">
        <v>2.7893518518518519E-3</v>
      </c>
      <c r="C4474" s="421" t="s">
        <v>1347</v>
      </c>
    </row>
    <row r="4475" spans="1:3" x14ac:dyDescent="0.25">
      <c r="A4475" s="417">
        <v>41544</v>
      </c>
      <c r="B4475" s="418">
        <v>2.7893518518518519E-3</v>
      </c>
      <c r="C4475" s="421" t="s">
        <v>1348</v>
      </c>
    </row>
    <row r="4476" spans="1:3" x14ac:dyDescent="0.25">
      <c r="A4476" s="417">
        <v>41544</v>
      </c>
      <c r="B4476" s="418">
        <v>2.7893518518518519E-3</v>
      </c>
      <c r="C4476" s="421" t="s">
        <v>1349</v>
      </c>
    </row>
    <row r="4477" spans="1:3" x14ac:dyDescent="0.25">
      <c r="A4477" s="417">
        <v>41544</v>
      </c>
      <c r="B4477" s="418">
        <v>2.7893518518518519E-3</v>
      </c>
      <c r="C4477" s="421" t="s">
        <v>1349</v>
      </c>
    </row>
    <row r="4478" spans="1:3" x14ac:dyDescent="0.25">
      <c r="A4478" s="417">
        <v>41544</v>
      </c>
      <c r="B4478" s="418">
        <v>2.7893518518518519E-3</v>
      </c>
      <c r="C4478" s="421" t="s">
        <v>1348</v>
      </c>
    </row>
    <row r="4479" spans="1:3" x14ac:dyDescent="0.25">
      <c r="A4479" s="417">
        <v>41544</v>
      </c>
      <c r="B4479" s="418">
        <v>2.7893518518518519E-3</v>
      </c>
      <c r="C4479" s="421" t="s">
        <v>1350</v>
      </c>
    </row>
    <row r="4480" spans="1:3" x14ac:dyDescent="0.25">
      <c r="A4480" s="417">
        <v>41544</v>
      </c>
      <c r="B4480" s="418">
        <v>2.7893518518518519E-3</v>
      </c>
      <c r="C4480" s="421" t="s">
        <v>1351</v>
      </c>
    </row>
    <row r="4481" spans="1:3" x14ac:dyDescent="0.25">
      <c r="A4481" s="417">
        <v>41544</v>
      </c>
      <c r="B4481" s="418">
        <v>2.7893518518518519E-3</v>
      </c>
      <c r="C4481" s="421" t="s">
        <v>1352</v>
      </c>
    </row>
    <row r="4482" spans="1:3" x14ac:dyDescent="0.25">
      <c r="A4482" s="417">
        <v>41544</v>
      </c>
      <c r="B4482" s="418">
        <v>3.1249999999999997E-3</v>
      </c>
      <c r="C4482" s="421" t="s">
        <v>1646</v>
      </c>
    </row>
    <row r="4483" spans="1:3" x14ac:dyDescent="0.25">
      <c r="A4483" s="417">
        <v>41544</v>
      </c>
      <c r="B4483" s="418">
        <v>3.3912037037037036E-3</v>
      </c>
      <c r="C4483" s="421" t="s">
        <v>1353</v>
      </c>
    </row>
    <row r="4484" spans="1:3" x14ac:dyDescent="0.25">
      <c r="A4484" s="417">
        <v>41544</v>
      </c>
      <c r="B4484" s="418">
        <v>3.3912037037037036E-3</v>
      </c>
      <c r="C4484" s="421" t="s">
        <v>1354</v>
      </c>
    </row>
    <row r="4485" spans="1:3" x14ac:dyDescent="0.25">
      <c r="A4485" s="417">
        <v>41544</v>
      </c>
      <c r="B4485" s="418">
        <v>3.3912037037037036E-3</v>
      </c>
      <c r="C4485" s="421" t="s">
        <v>1355</v>
      </c>
    </row>
    <row r="4486" spans="1:3" x14ac:dyDescent="0.25">
      <c r="A4486" s="417">
        <v>41544</v>
      </c>
      <c r="B4486" s="418">
        <v>3.472222222222222E-3</v>
      </c>
      <c r="C4486" s="421" t="s">
        <v>1357</v>
      </c>
    </row>
    <row r="4487" spans="1:3" x14ac:dyDescent="0.25">
      <c r="A4487" s="417">
        <v>41544</v>
      </c>
      <c r="B4487" s="418">
        <v>3.472222222222222E-3</v>
      </c>
      <c r="C4487" s="421" t="s">
        <v>1358</v>
      </c>
    </row>
    <row r="4488" spans="1:3" x14ac:dyDescent="0.25">
      <c r="A4488" s="417">
        <v>41544</v>
      </c>
      <c r="B4488" s="418">
        <v>3.472222222222222E-3</v>
      </c>
      <c r="C4488" s="421" t="s">
        <v>1359</v>
      </c>
    </row>
    <row r="4489" spans="1:3" x14ac:dyDescent="0.25">
      <c r="A4489" s="417">
        <v>41544</v>
      </c>
      <c r="B4489" s="418">
        <v>3.472222222222222E-3</v>
      </c>
      <c r="C4489" s="421" t="s">
        <v>1360</v>
      </c>
    </row>
    <row r="4490" spans="1:3" x14ac:dyDescent="0.25">
      <c r="A4490" s="417">
        <v>41544</v>
      </c>
      <c r="B4490" s="418">
        <v>3.472222222222222E-3</v>
      </c>
      <c r="C4490" s="421" t="s">
        <v>1361</v>
      </c>
    </row>
    <row r="4491" spans="1:3" x14ac:dyDescent="0.25">
      <c r="A4491" s="417">
        <v>41544</v>
      </c>
      <c r="B4491" s="418">
        <v>3.472222222222222E-3</v>
      </c>
      <c r="C4491" s="421" t="s">
        <v>1317</v>
      </c>
    </row>
    <row r="4492" spans="1:3" x14ac:dyDescent="0.25">
      <c r="A4492" s="417">
        <v>41544</v>
      </c>
      <c r="B4492" s="418">
        <v>3.472222222222222E-3</v>
      </c>
      <c r="C4492" s="421" t="s">
        <v>1537</v>
      </c>
    </row>
    <row r="4493" spans="1:3" x14ac:dyDescent="0.25">
      <c r="A4493" s="417">
        <v>41544</v>
      </c>
      <c r="B4493" s="418">
        <v>3.472222222222222E-3</v>
      </c>
      <c r="C4493" s="421" t="s">
        <v>1362</v>
      </c>
    </row>
    <row r="4494" spans="1:3" x14ac:dyDescent="0.25">
      <c r="A4494" s="417">
        <v>41544</v>
      </c>
      <c r="B4494" s="418">
        <v>3.472222222222222E-3</v>
      </c>
      <c r="C4494" s="421" t="s">
        <v>1355</v>
      </c>
    </row>
    <row r="4495" spans="1:3" x14ac:dyDescent="0.25">
      <c r="A4495" s="417">
        <v>41544</v>
      </c>
      <c r="B4495" s="418">
        <v>3.4953703703703705E-3</v>
      </c>
      <c r="C4495" s="421" t="s">
        <v>1363</v>
      </c>
    </row>
    <row r="4496" spans="1:3" x14ac:dyDescent="0.25">
      <c r="A4496" s="417">
        <v>41544</v>
      </c>
      <c r="B4496" s="418">
        <v>3.4953703703703705E-3</v>
      </c>
      <c r="C4496" s="421" t="s">
        <v>1364</v>
      </c>
    </row>
    <row r="4497" spans="1:3" x14ac:dyDescent="0.25">
      <c r="A4497" s="417">
        <v>41544</v>
      </c>
      <c r="B4497" s="418">
        <v>3.4953703703703705E-3</v>
      </c>
      <c r="C4497" s="421" t="s">
        <v>1365</v>
      </c>
    </row>
    <row r="4498" spans="1:3" x14ac:dyDescent="0.25">
      <c r="A4498" s="417">
        <v>41544</v>
      </c>
      <c r="B4498" s="418">
        <v>3.4953703703703705E-3</v>
      </c>
      <c r="C4498" s="421" t="s">
        <v>1365</v>
      </c>
    </row>
    <row r="4499" spans="1:3" x14ac:dyDescent="0.25">
      <c r="A4499" s="417">
        <v>41544</v>
      </c>
      <c r="B4499" s="418">
        <v>3.4953703703703705E-3</v>
      </c>
      <c r="C4499" s="421" t="s">
        <v>1366</v>
      </c>
    </row>
    <row r="4500" spans="1:3" x14ac:dyDescent="0.25">
      <c r="A4500" s="417">
        <v>41544</v>
      </c>
      <c r="B4500" s="418">
        <v>3.5185185185185185E-3</v>
      </c>
      <c r="C4500" s="421" t="s">
        <v>1320</v>
      </c>
    </row>
    <row r="4501" spans="1:3" x14ac:dyDescent="0.25">
      <c r="A4501" s="417">
        <v>41544</v>
      </c>
      <c r="B4501" s="418">
        <v>3.5185185185185185E-3</v>
      </c>
      <c r="C4501" s="421" t="s">
        <v>1367</v>
      </c>
    </row>
    <row r="4502" spans="1:3" x14ac:dyDescent="0.25">
      <c r="A4502" s="417">
        <v>41544</v>
      </c>
      <c r="B4502" s="418">
        <v>3.5185185185185185E-3</v>
      </c>
      <c r="C4502" s="421" t="s">
        <v>1344</v>
      </c>
    </row>
    <row r="4503" spans="1:3" x14ac:dyDescent="0.25">
      <c r="A4503" s="417">
        <v>41544</v>
      </c>
      <c r="B4503" s="418">
        <v>3.5185185185185185E-3</v>
      </c>
      <c r="C4503" s="421" t="s">
        <v>1368</v>
      </c>
    </row>
    <row r="4504" spans="1:3" x14ac:dyDescent="0.25">
      <c r="A4504" s="417">
        <v>41544</v>
      </c>
      <c r="B4504" s="418">
        <v>3.5185185185185185E-3</v>
      </c>
      <c r="C4504" s="421" t="s">
        <v>1369</v>
      </c>
    </row>
    <row r="4505" spans="1:3" x14ac:dyDescent="0.25">
      <c r="A4505" s="417">
        <v>41544</v>
      </c>
      <c r="B4505" s="418">
        <v>3.5185185185185185E-3</v>
      </c>
      <c r="C4505" s="421" t="s">
        <v>1307</v>
      </c>
    </row>
    <row r="4506" spans="1:3" x14ac:dyDescent="0.25">
      <c r="A4506" s="417">
        <v>41544</v>
      </c>
      <c r="B4506" s="418">
        <v>4.0624999999999993E-3</v>
      </c>
      <c r="C4506" s="421" t="s">
        <v>1370</v>
      </c>
    </row>
    <row r="4507" spans="1:3" x14ac:dyDescent="0.25">
      <c r="A4507" s="417">
        <v>41544</v>
      </c>
      <c r="B4507" s="418">
        <v>4.0624999999999993E-3</v>
      </c>
      <c r="C4507" s="421" t="s">
        <v>1371</v>
      </c>
    </row>
    <row r="4508" spans="1:3" x14ac:dyDescent="0.25">
      <c r="A4508" s="417">
        <v>41544</v>
      </c>
      <c r="B4508" s="418">
        <v>4.0624999999999993E-3</v>
      </c>
      <c r="C4508" s="421" t="s">
        <v>1344</v>
      </c>
    </row>
    <row r="4509" spans="1:3" x14ac:dyDescent="0.25">
      <c r="A4509" s="417">
        <v>41544</v>
      </c>
      <c r="B4509" s="418">
        <v>4.0624999999999993E-3</v>
      </c>
      <c r="C4509" s="421" t="s">
        <v>1317</v>
      </c>
    </row>
    <row r="4510" spans="1:3" x14ac:dyDescent="0.25">
      <c r="A4510" s="417">
        <v>41544</v>
      </c>
      <c r="B4510" s="418">
        <v>4.0624999999999993E-3</v>
      </c>
      <c r="C4510" s="421" t="s">
        <v>1463</v>
      </c>
    </row>
    <row r="4511" spans="1:3" x14ac:dyDescent="0.25">
      <c r="A4511" s="417">
        <v>41544</v>
      </c>
      <c r="B4511" s="418">
        <v>4.0624999999999993E-3</v>
      </c>
      <c r="C4511" s="421" t="s">
        <v>1373</v>
      </c>
    </row>
    <row r="4512" spans="1:3" x14ac:dyDescent="0.25">
      <c r="A4512" s="417">
        <v>41544</v>
      </c>
      <c r="B4512" s="418">
        <v>4.0624999999999993E-3</v>
      </c>
      <c r="C4512" s="421" t="s">
        <v>1308</v>
      </c>
    </row>
    <row r="4513" spans="1:3" x14ac:dyDescent="0.25">
      <c r="A4513" s="417">
        <v>41544</v>
      </c>
      <c r="B4513" s="418">
        <v>4.155092592592593E-3</v>
      </c>
      <c r="C4513" s="421" t="s">
        <v>1374</v>
      </c>
    </row>
    <row r="4514" spans="1:3" x14ac:dyDescent="0.25">
      <c r="A4514" s="417">
        <v>41544</v>
      </c>
      <c r="B4514" s="418">
        <v>4.155092592592593E-3</v>
      </c>
      <c r="C4514" s="421" t="s">
        <v>1375</v>
      </c>
    </row>
    <row r="4515" spans="1:3" x14ac:dyDescent="0.25">
      <c r="A4515" s="417">
        <v>41544</v>
      </c>
      <c r="B4515" s="418">
        <v>4.1666666666666666E-3</v>
      </c>
      <c r="C4515" s="421" t="s">
        <v>1376</v>
      </c>
    </row>
    <row r="4516" spans="1:3" x14ac:dyDescent="0.25">
      <c r="A4516" s="417">
        <v>41544</v>
      </c>
      <c r="B4516" s="418">
        <v>4.1666666666666666E-3</v>
      </c>
      <c r="C4516" s="421" t="s">
        <v>1377</v>
      </c>
    </row>
    <row r="4517" spans="1:3" x14ac:dyDescent="0.25">
      <c r="A4517" s="417">
        <v>41544</v>
      </c>
      <c r="B4517" s="418">
        <v>4.1666666666666666E-3</v>
      </c>
      <c r="C4517" s="421" t="s">
        <v>1326</v>
      </c>
    </row>
    <row r="4518" spans="1:3" x14ac:dyDescent="0.25">
      <c r="A4518" s="417">
        <v>41544</v>
      </c>
      <c r="B4518" s="418">
        <v>4.1666666666666666E-3</v>
      </c>
      <c r="C4518" s="421" t="s">
        <v>1755</v>
      </c>
    </row>
    <row r="4519" spans="1:3" x14ac:dyDescent="0.25">
      <c r="A4519" s="417">
        <v>41544</v>
      </c>
      <c r="B4519" s="418">
        <v>4.1666666666666666E-3</v>
      </c>
      <c r="C4519" s="421" t="s">
        <v>1380</v>
      </c>
    </row>
    <row r="4520" spans="1:3" x14ac:dyDescent="0.25">
      <c r="A4520" s="417">
        <v>41544</v>
      </c>
      <c r="B4520" s="418">
        <v>1.0787037037037038E-2</v>
      </c>
      <c r="C4520" s="421" t="s">
        <v>1381</v>
      </c>
    </row>
    <row r="4521" spans="1:3" x14ac:dyDescent="0.25">
      <c r="A4521" s="417">
        <v>41544</v>
      </c>
      <c r="B4521" s="418">
        <v>1.0787037037037038E-2</v>
      </c>
      <c r="C4521" s="421" t="s">
        <v>1382</v>
      </c>
    </row>
    <row r="4522" spans="1:3" x14ac:dyDescent="0.25">
      <c r="A4522" s="417">
        <v>41544</v>
      </c>
      <c r="B4522" s="418">
        <v>1.0787037037037038E-2</v>
      </c>
      <c r="C4522" s="421" t="s">
        <v>1383</v>
      </c>
    </row>
    <row r="4523" spans="1:3" x14ac:dyDescent="0.25">
      <c r="A4523" s="417">
        <v>41544</v>
      </c>
      <c r="B4523" s="418">
        <v>1.0787037037037038E-2</v>
      </c>
      <c r="C4523" s="421" t="s">
        <v>1352</v>
      </c>
    </row>
    <row r="4524" spans="1:3" x14ac:dyDescent="0.25">
      <c r="A4524" s="417">
        <v>41544</v>
      </c>
      <c r="B4524" s="418">
        <v>1.0787037037037038E-2</v>
      </c>
      <c r="C4524" s="421" t="s">
        <v>1384</v>
      </c>
    </row>
    <row r="4525" spans="1:3" x14ac:dyDescent="0.25">
      <c r="A4525" s="417">
        <v>41544</v>
      </c>
      <c r="B4525" s="418">
        <v>1.0787037037037038E-2</v>
      </c>
      <c r="C4525" s="421" t="s">
        <v>1385</v>
      </c>
    </row>
    <row r="4526" spans="1:3" x14ac:dyDescent="0.25">
      <c r="A4526" s="417">
        <v>41544</v>
      </c>
      <c r="B4526" s="418">
        <v>1.0787037037037038E-2</v>
      </c>
      <c r="C4526" s="421" t="s">
        <v>1385</v>
      </c>
    </row>
    <row r="4527" spans="1:3" x14ac:dyDescent="0.25">
      <c r="A4527" s="417">
        <v>41544</v>
      </c>
      <c r="B4527" s="418">
        <v>1.0787037037037038E-2</v>
      </c>
      <c r="C4527" s="421" t="s">
        <v>1386</v>
      </c>
    </row>
    <row r="4528" spans="1:3" x14ac:dyDescent="0.25">
      <c r="A4528" s="417">
        <v>41544</v>
      </c>
      <c r="B4528" s="418">
        <v>1.0787037037037038E-2</v>
      </c>
      <c r="C4528" s="421" t="s">
        <v>1387</v>
      </c>
    </row>
    <row r="4529" spans="1:3" x14ac:dyDescent="0.25">
      <c r="A4529" s="417">
        <v>41544</v>
      </c>
      <c r="B4529" s="418">
        <v>1.0787037037037038E-2</v>
      </c>
      <c r="C4529" s="421" t="s">
        <v>1387</v>
      </c>
    </row>
    <row r="4530" spans="1:3" x14ac:dyDescent="0.25">
      <c r="A4530" s="417">
        <v>41544</v>
      </c>
      <c r="B4530" s="418">
        <v>1.0787037037037038E-2</v>
      </c>
      <c r="C4530" s="421" t="s">
        <v>1318</v>
      </c>
    </row>
    <row r="4531" spans="1:3" x14ac:dyDescent="0.25">
      <c r="A4531" s="417">
        <v>41544</v>
      </c>
      <c r="B4531" s="418">
        <v>1.0787037037037038E-2</v>
      </c>
      <c r="C4531" s="421" t="s">
        <v>1388</v>
      </c>
    </row>
    <row r="4532" spans="1:3" x14ac:dyDescent="0.25">
      <c r="A4532" s="417">
        <v>41544</v>
      </c>
      <c r="B4532" s="418">
        <v>1.1111111111111112E-2</v>
      </c>
      <c r="C4532" s="421" t="s">
        <v>1390</v>
      </c>
    </row>
    <row r="4533" spans="1:3" x14ac:dyDescent="0.25">
      <c r="A4533" s="417">
        <v>41544</v>
      </c>
      <c r="B4533" s="418">
        <v>1.1203703703703704E-2</v>
      </c>
      <c r="C4533" s="421" t="s">
        <v>1391</v>
      </c>
    </row>
    <row r="4534" spans="1:3" x14ac:dyDescent="0.25">
      <c r="A4534" s="417">
        <v>41544</v>
      </c>
      <c r="B4534" s="418">
        <v>1.1203703703703704E-2</v>
      </c>
      <c r="C4534" s="421" t="s">
        <v>1392</v>
      </c>
    </row>
    <row r="4535" spans="1:3" x14ac:dyDescent="0.25">
      <c r="A4535" s="417">
        <v>41544</v>
      </c>
      <c r="B4535" s="418">
        <v>1.1458333333333334E-2</v>
      </c>
      <c r="C4535" s="421" t="s">
        <v>1294</v>
      </c>
    </row>
    <row r="4536" spans="1:3" ht="60" x14ac:dyDescent="0.25">
      <c r="A4536" s="417">
        <v>41544</v>
      </c>
      <c r="B4536" s="418">
        <v>1.1458333333333334E-2</v>
      </c>
      <c r="C4536" s="946" t="s">
        <v>1756</v>
      </c>
    </row>
    <row r="4537" spans="1:3" x14ac:dyDescent="0.25">
      <c r="A4537" s="417">
        <v>41544</v>
      </c>
      <c r="B4537" s="418">
        <v>1.4641203703703703E-2</v>
      </c>
      <c r="C4537" s="421" t="s">
        <v>1393</v>
      </c>
    </row>
    <row r="4538" spans="1:3" x14ac:dyDescent="0.25">
      <c r="A4538" s="417">
        <v>41544</v>
      </c>
      <c r="B4538" s="418">
        <v>1.4641203703703703E-2</v>
      </c>
      <c r="C4538" s="421" t="s">
        <v>1394</v>
      </c>
    </row>
    <row r="4539" spans="1:3" x14ac:dyDescent="0.25">
      <c r="A4539" s="417">
        <v>41544</v>
      </c>
      <c r="B4539" s="418">
        <v>1.4641203703703703E-2</v>
      </c>
      <c r="C4539" s="421" t="s">
        <v>1392</v>
      </c>
    </row>
    <row r="4540" spans="1:3" x14ac:dyDescent="0.25">
      <c r="A4540" s="417">
        <v>41544</v>
      </c>
      <c r="B4540" s="418">
        <v>1.4652777777777778E-2</v>
      </c>
      <c r="C4540" s="421" t="s">
        <v>1395</v>
      </c>
    </row>
    <row r="4541" spans="1:3" x14ac:dyDescent="0.25">
      <c r="A4541" s="417">
        <v>41544</v>
      </c>
      <c r="B4541" s="418">
        <v>1.4652777777777778E-2</v>
      </c>
      <c r="C4541" s="421" t="s">
        <v>1396</v>
      </c>
    </row>
    <row r="4542" spans="1:3" x14ac:dyDescent="0.25">
      <c r="A4542" s="417">
        <v>41544</v>
      </c>
      <c r="B4542" s="418">
        <v>1.4652777777777778E-2</v>
      </c>
      <c r="C4542" s="421" t="s">
        <v>1363</v>
      </c>
    </row>
    <row r="4543" spans="1:3" x14ac:dyDescent="0.25">
      <c r="A4543" s="417">
        <v>41544</v>
      </c>
      <c r="B4543" s="418">
        <v>1.4652777777777778E-2</v>
      </c>
      <c r="C4543" s="421" t="s">
        <v>1362</v>
      </c>
    </row>
    <row r="4544" spans="1:3" x14ac:dyDescent="0.25">
      <c r="A4544" s="417">
        <v>41544</v>
      </c>
      <c r="B4544" s="418">
        <v>1.4652777777777778E-2</v>
      </c>
      <c r="C4544" s="421" t="s">
        <v>1397</v>
      </c>
    </row>
    <row r="4545" spans="1:3" x14ac:dyDescent="0.25">
      <c r="A4545" s="417">
        <v>41544</v>
      </c>
      <c r="B4545" s="418">
        <v>1.4652777777777778E-2</v>
      </c>
      <c r="C4545" s="421" t="s">
        <v>1381</v>
      </c>
    </row>
    <row r="4546" spans="1:3" x14ac:dyDescent="0.25">
      <c r="A4546" s="417">
        <v>41544</v>
      </c>
      <c r="B4546" s="418">
        <v>1.4664351851851852E-2</v>
      </c>
      <c r="C4546" s="421" t="s">
        <v>1398</v>
      </c>
    </row>
    <row r="4547" spans="1:3" x14ac:dyDescent="0.25">
      <c r="A4547" s="417">
        <v>41544</v>
      </c>
      <c r="B4547" s="418">
        <v>1.4664351851851852E-2</v>
      </c>
      <c r="C4547" s="421" t="s">
        <v>1399</v>
      </c>
    </row>
    <row r="4548" spans="1:3" x14ac:dyDescent="0.25">
      <c r="A4548" s="417">
        <v>41544</v>
      </c>
      <c r="B4548" s="418">
        <v>1.4664351851851852E-2</v>
      </c>
      <c r="C4548" s="421" t="s">
        <v>1400</v>
      </c>
    </row>
    <row r="4549" spans="1:3" x14ac:dyDescent="0.25">
      <c r="A4549" s="417">
        <v>41544</v>
      </c>
      <c r="B4549" s="418">
        <v>1.4664351851851852E-2</v>
      </c>
      <c r="C4549" s="421" t="s">
        <v>1400</v>
      </c>
    </row>
    <row r="4550" spans="1:3" x14ac:dyDescent="0.25">
      <c r="A4550" s="417">
        <v>41544</v>
      </c>
      <c r="B4550" s="418">
        <v>1.4664351851851852E-2</v>
      </c>
      <c r="C4550" s="421" t="s">
        <v>1373</v>
      </c>
    </row>
    <row r="4551" spans="1:3" x14ac:dyDescent="0.25">
      <c r="A4551" s="417">
        <v>41544</v>
      </c>
      <c r="B4551" s="418">
        <v>1.4675925925925926E-2</v>
      </c>
      <c r="C4551" s="421" t="s">
        <v>1353</v>
      </c>
    </row>
    <row r="4552" spans="1:3" x14ac:dyDescent="0.25">
      <c r="A4552" s="417">
        <v>41544</v>
      </c>
      <c r="B4552" s="418">
        <v>1.4675925925925926E-2</v>
      </c>
      <c r="C4552" s="421" t="s">
        <v>1353</v>
      </c>
    </row>
    <row r="4553" spans="1:3" x14ac:dyDescent="0.25">
      <c r="A4553" s="417">
        <v>41544</v>
      </c>
      <c r="B4553" s="418">
        <v>1.4687499999999999E-2</v>
      </c>
      <c r="C4553" s="421" t="s">
        <v>1401</v>
      </c>
    </row>
    <row r="4554" spans="1:3" x14ac:dyDescent="0.25">
      <c r="A4554" s="417">
        <v>41544</v>
      </c>
      <c r="B4554" s="418">
        <v>1.4687499999999999E-2</v>
      </c>
      <c r="C4554" s="421" t="s">
        <v>1392</v>
      </c>
    </row>
    <row r="4555" spans="1:3" x14ac:dyDescent="0.25">
      <c r="A4555" s="417">
        <v>41544</v>
      </c>
      <c r="B4555" s="418">
        <v>1.4699074074074074E-2</v>
      </c>
      <c r="C4555" s="421" t="s">
        <v>1403</v>
      </c>
    </row>
    <row r="4556" spans="1:3" x14ac:dyDescent="0.25">
      <c r="A4556" s="417">
        <v>41544</v>
      </c>
      <c r="B4556" s="418">
        <v>1.4699074074074074E-2</v>
      </c>
      <c r="C4556" s="421" t="s">
        <v>1403</v>
      </c>
    </row>
    <row r="4557" spans="1:3" x14ac:dyDescent="0.25">
      <c r="A4557" s="417">
        <v>41544</v>
      </c>
      <c r="B4557" s="418">
        <v>1.4699074074074074E-2</v>
      </c>
      <c r="C4557" s="421" t="s">
        <v>1403</v>
      </c>
    </row>
    <row r="4558" spans="1:3" x14ac:dyDescent="0.25">
      <c r="A4558" s="417">
        <v>41544</v>
      </c>
      <c r="B4558" s="418">
        <v>1.4722222222222222E-2</v>
      </c>
      <c r="C4558" s="421" t="s">
        <v>1362</v>
      </c>
    </row>
    <row r="4559" spans="1:3" x14ac:dyDescent="0.25">
      <c r="A4559" s="417">
        <v>41544</v>
      </c>
      <c r="B4559" s="418">
        <v>1.4722222222222222E-2</v>
      </c>
      <c r="C4559" s="421" t="s">
        <v>1364</v>
      </c>
    </row>
    <row r="4560" spans="1:3" x14ac:dyDescent="0.25">
      <c r="A4560" s="417">
        <v>41544</v>
      </c>
      <c r="B4560" s="418">
        <v>1.4722222222222222E-2</v>
      </c>
      <c r="C4560" s="421" t="s">
        <v>1364</v>
      </c>
    </row>
    <row r="4561" spans="1:3" x14ac:dyDescent="0.25">
      <c r="A4561" s="417">
        <v>41544</v>
      </c>
      <c r="B4561" s="418">
        <v>1.4733796296296295E-2</v>
      </c>
      <c r="C4561" s="421" t="s">
        <v>1381</v>
      </c>
    </row>
    <row r="4562" spans="1:3" x14ac:dyDescent="0.25">
      <c r="A4562" s="417">
        <v>41544</v>
      </c>
      <c r="B4562" s="418">
        <v>1.4733796296296295E-2</v>
      </c>
      <c r="C4562" s="421" t="s">
        <v>1364</v>
      </c>
    </row>
    <row r="4563" spans="1:3" x14ac:dyDescent="0.25">
      <c r="A4563" s="417">
        <v>41544</v>
      </c>
      <c r="B4563" s="418">
        <v>1.4745370370370372E-2</v>
      </c>
      <c r="C4563" s="421" t="s">
        <v>1480</v>
      </c>
    </row>
    <row r="4564" spans="1:3" x14ac:dyDescent="0.25">
      <c r="A4564" s="417">
        <v>41544</v>
      </c>
      <c r="B4564" s="418">
        <v>1.4745370370370372E-2</v>
      </c>
      <c r="C4564" s="421" t="s">
        <v>1480</v>
      </c>
    </row>
    <row r="4565" spans="1:3" x14ac:dyDescent="0.25">
      <c r="A4565" s="417">
        <v>41544</v>
      </c>
      <c r="B4565" s="418">
        <v>1.4745370370370372E-2</v>
      </c>
      <c r="C4565" s="421" t="s">
        <v>1480</v>
      </c>
    </row>
    <row r="4566" spans="1:3" x14ac:dyDescent="0.25">
      <c r="A4566" s="417">
        <v>41544</v>
      </c>
      <c r="B4566" s="418">
        <v>1.4745370370370372E-2</v>
      </c>
      <c r="C4566" s="421" t="s">
        <v>1716</v>
      </c>
    </row>
    <row r="4567" spans="1:3" x14ac:dyDescent="0.25">
      <c r="A4567" s="417">
        <v>41544</v>
      </c>
      <c r="B4567" s="418">
        <v>1.4745370370370372E-2</v>
      </c>
      <c r="C4567" s="421" t="s">
        <v>1541</v>
      </c>
    </row>
    <row r="4568" spans="1:3" x14ac:dyDescent="0.25">
      <c r="A4568" s="417">
        <v>41544</v>
      </c>
      <c r="B4568" s="418">
        <v>1.4756944444444446E-2</v>
      </c>
      <c r="C4568" s="421" t="s">
        <v>1346</v>
      </c>
    </row>
    <row r="4569" spans="1:3" x14ac:dyDescent="0.25">
      <c r="A4569" s="417">
        <v>41544</v>
      </c>
      <c r="B4569" s="418">
        <v>1.4756944444444446E-2</v>
      </c>
      <c r="C4569" s="421" t="s">
        <v>1405</v>
      </c>
    </row>
    <row r="4570" spans="1:3" x14ac:dyDescent="0.25">
      <c r="A4570" s="417">
        <v>41544</v>
      </c>
      <c r="B4570" s="418">
        <v>1.4756944444444446E-2</v>
      </c>
      <c r="C4570" s="421" t="s">
        <v>1406</v>
      </c>
    </row>
    <row r="4571" spans="1:3" x14ac:dyDescent="0.25">
      <c r="A4571" s="417">
        <v>41544</v>
      </c>
      <c r="B4571" s="418">
        <v>1.4768518518518519E-2</v>
      </c>
      <c r="C4571" s="421" t="s">
        <v>1362</v>
      </c>
    </row>
    <row r="4572" spans="1:3" x14ac:dyDescent="0.25">
      <c r="A4572" s="417">
        <v>41544</v>
      </c>
      <c r="B4572" s="418">
        <v>1.4791666666666668E-2</v>
      </c>
      <c r="C4572" s="421" t="s">
        <v>1717</v>
      </c>
    </row>
    <row r="4573" spans="1:3" x14ac:dyDescent="0.25">
      <c r="A4573" s="417">
        <v>41544</v>
      </c>
      <c r="B4573" s="418">
        <v>1.5092592592592593E-2</v>
      </c>
      <c r="C4573" s="421" t="s">
        <v>1318</v>
      </c>
    </row>
    <row r="4574" spans="1:3" x14ac:dyDescent="0.25">
      <c r="A4574" s="417">
        <v>41544</v>
      </c>
      <c r="B4574" s="418">
        <v>1.511574074074074E-2</v>
      </c>
      <c r="C4574" s="421" t="s">
        <v>1368</v>
      </c>
    </row>
    <row r="4575" spans="1:3" x14ac:dyDescent="0.25">
      <c r="A4575" s="417">
        <v>41544</v>
      </c>
      <c r="B4575" s="418">
        <v>1.511574074074074E-2</v>
      </c>
      <c r="C4575" s="421" t="s">
        <v>1368</v>
      </c>
    </row>
    <row r="4576" spans="1:3" x14ac:dyDescent="0.25">
      <c r="A4576" s="417">
        <v>41544</v>
      </c>
      <c r="B4576" s="418">
        <v>1.511574074074074E-2</v>
      </c>
      <c r="C4576" s="421" t="s">
        <v>1368</v>
      </c>
    </row>
    <row r="4577" spans="1:3" x14ac:dyDescent="0.25">
      <c r="A4577" s="417">
        <v>41544</v>
      </c>
      <c r="B4577" s="418">
        <v>1.511574074074074E-2</v>
      </c>
      <c r="C4577" s="421" t="s">
        <v>1368</v>
      </c>
    </row>
    <row r="4578" spans="1:3" x14ac:dyDescent="0.25">
      <c r="A4578" s="417">
        <v>41544</v>
      </c>
      <c r="B4578" s="418">
        <v>1.511574074074074E-2</v>
      </c>
      <c r="C4578" s="421" t="s">
        <v>1368</v>
      </c>
    </row>
    <row r="4579" spans="1:3" x14ac:dyDescent="0.25">
      <c r="A4579" s="417">
        <v>41544</v>
      </c>
      <c r="B4579" s="418">
        <v>1.511574074074074E-2</v>
      </c>
      <c r="C4579" s="421" t="s">
        <v>1409</v>
      </c>
    </row>
    <row r="4580" spans="1:3" x14ac:dyDescent="0.25">
      <c r="A4580" s="417">
        <v>41544</v>
      </c>
      <c r="B4580" s="418">
        <v>1.511574074074074E-2</v>
      </c>
      <c r="C4580" s="421" t="s">
        <v>1308</v>
      </c>
    </row>
    <row r="4581" spans="1:3" x14ac:dyDescent="0.25">
      <c r="A4581" s="417">
        <v>41544</v>
      </c>
      <c r="B4581" s="418">
        <v>1.5138888888888889E-2</v>
      </c>
      <c r="C4581" s="421" t="s">
        <v>1410</v>
      </c>
    </row>
    <row r="4582" spans="1:3" x14ac:dyDescent="0.25">
      <c r="A4582" s="417">
        <v>41544</v>
      </c>
      <c r="B4582" s="418">
        <v>1.5138888888888889E-2</v>
      </c>
      <c r="C4582" s="421" t="s">
        <v>1410</v>
      </c>
    </row>
    <row r="4583" spans="1:3" x14ac:dyDescent="0.25">
      <c r="A4583" s="417">
        <v>41544</v>
      </c>
      <c r="B4583" s="418">
        <v>1.5150462962962963E-2</v>
      </c>
      <c r="C4583" s="421" t="s">
        <v>1411</v>
      </c>
    </row>
    <row r="4584" spans="1:3" x14ac:dyDescent="0.25">
      <c r="A4584" s="417">
        <v>41544</v>
      </c>
      <c r="B4584" s="418">
        <v>1.5162037037037036E-2</v>
      </c>
      <c r="C4584" s="421" t="s">
        <v>1718</v>
      </c>
    </row>
    <row r="4585" spans="1:3" x14ac:dyDescent="0.25">
      <c r="A4585" s="417">
        <v>41544</v>
      </c>
      <c r="B4585" s="418">
        <v>1.5173611111111112E-2</v>
      </c>
      <c r="C4585" s="421" t="s">
        <v>1413</v>
      </c>
    </row>
    <row r="4586" spans="1:3" x14ac:dyDescent="0.25">
      <c r="A4586" s="417">
        <v>41544</v>
      </c>
      <c r="B4586" s="418">
        <v>1.5173611111111112E-2</v>
      </c>
      <c r="C4586" s="421" t="s">
        <v>1414</v>
      </c>
    </row>
    <row r="4587" spans="1:3" x14ac:dyDescent="0.25">
      <c r="A4587" s="417">
        <v>41544</v>
      </c>
      <c r="B4587" s="418">
        <v>1.5185185185185185E-2</v>
      </c>
      <c r="C4587" s="421" t="s">
        <v>1373</v>
      </c>
    </row>
    <row r="4588" spans="1:3" x14ac:dyDescent="0.25">
      <c r="A4588" s="417">
        <v>41544</v>
      </c>
      <c r="B4588" s="418">
        <v>1.5185185185185185E-2</v>
      </c>
      <c r="C4588" s="421" t="s">
        <v>1719</v>
      </c>
    </row>
    <row r="4589" spans="1:3" x14ac:dyDescent="0.25">
      <c r="A4589" s="417">
        <v>41544</v>
      </c>
      <c r="B4589" s="418">
        <v>1.5416666666666667E-2</v>
      </c>
      <c r="C4589" s="421" t="s">
        <v>1409</v>
      </c>
    </row>
    <row r="4590" spans="1:3" x14ac:dyDescent="0.25">
      <c r="A4590" s="417">
        <v>41544</v>
      </c>
      <c r="B4590" s="418">
        <v>1.5428240740740741E-2</v>
      </c>
      <c r="C4590" s="421" t="s">
        <v>1416</v>
      </c>
    </row>
    <row r="4591" spans="1:3" x14ac:dyDescent="0.25">
      <c r="A4591" s="417">
        <v>41544</v>
      </c>
      <c r="B4591" s="418">
        <v>1.5428240740740741E-2</v>
      </c>
      <c r="C4591" s="421" t="s">
        <v>1720</v>
      </c>
    </row>
    <row r="4592" spans="1:3" x14ac:dyDescent="0.25">
      <c r="A4592" s="417">
        <v>41544</v>
      </c>
      <c r="B4592" s="418">
        <v>1.5439814814814816E-2</v>
      </c>
      <c r="C4592" s="421" t="s">
        <v>1348</v>
      </c>
    </row>
    <row r="4593" spans="1:3" x14ac:dyDescent="0.25">
      <c r="A4593" s="417">
        <v>41544</v>
      </c>
      <c r="B4593" s="418">
        <v>1.5439814814814816E-2</v>
      </c>
      <c r="C4593" s="421" t="s">
        <v>1419</v>
      </c>
    </row>
    <row r="4594" spans="1:3" x14ac:dyDescent="0.25">
      <c r="A4594" s="417">
        <v>41544</v>
      </c>
      <c r="B4594" s="418">
        <v>1.5439814814814816E-2</v>
      </c>
      <c r="C4594" s="421" t="s">
        <v>1419</v>
      </c>
    </row>
    <row r="4595" spans="1:3" x14ac:dyDescent="0.25">
      <c r="A4595" s="417">
        <v>41544</v>
      </c>
      <c r="B4595" s="418">
        <v>1.5439814814814816E-2</v>
      </c>
      <c r="C4595" s="421" t="s">
        <v>1420</v>
      </c>
    </row>
    <row r="4596" spans="1:3" x14ac:dyDescent="0.25">
      <c r="A4596" s="417">
        <v>41544</v>
      </c>
      <c r="B4596" s="418">
        <v>1.5462962962962963E-2</v>
      </c>
      <c r="C4596" s="421" t="s">
        <v>1721</v>
      </c>
    </row>
    <row r="4597" spans="1:3" x14ac:dyDescent="0.25">
      <c r="A4597" s="417">
        <v>41544</v>
      </c>
      <c r="B4597" s="418">
        <v>1.5462962962962963E-2</v>
      </c>
      <c r="C4597" s="421" t="s">
        <v>1722</v>
      </c>
    </row>
    <row r="4598" spans="1:3" x14ac:dyDescent="0.25">
      <c r="A4598" s="417">
        <v>41544</v>
      </c>
      <c r="B4598" s="418">
        <v>1.5462962962962963E-2</v>
      </c>
      <c r="C4598" s="421" t="s">
        <v>1723</v>
      </c>
    </row>
    <row r="4599" spans="1:3" x14ac:dyDescent="0.25">
      <c r="A4599" s="417">
        <v>41544</v>
      </c>
      <c r="B4599" s="418">
        <v>1.5474537037037038E-2</v>
      </c>
      <c r="C4599" s="421" t="s">
        <v>1484</v>
      </c>
    </row>
    <row r="4600" spans="1:3" x14ac:dyDescent="0.25">
      <c r="A4600" s="417">
        <v>41544</v>
      </c>
      <c r="B4600" s="418">
        <v>1.5486111111111112E-2</v>
      </c>
      <c r="C4600" s="421" t="s">
        <v>1724</v>
      </c>
    </row>
    <row r="4601" spans="1:3" x14ac:dyDescent="0.25">
      <c r="A4601" s="417">
        <v>41544</v>
      </c>
      <c r="B4601" s="418">
        <v>1.5486111111111112E-2</v>
      </c>
      <c r="C4601" s="421" t="s">
        <v>1725</v>
      </c>
    </row>
    <row r="4602" spans="1:3" x14ac:dyDescent="0.25">
      <c r="A4602" s="417">
        <v>41544</v>
      </c>
      <c r="B4602" s="418">
        <v>1.5486111111111112E-2</v>
      </c>
      <c r="C4602" s="421" t="s">
        <v>1726</v>
      </c>
    </row>
    <row r="4603" spans="1:3" x14ac:dyDescent="0.25">
      <c r="A4603" s="417">
        <v>41544</v>
      </c>
      <c r="B4603" s="418">
        <v>1.5486111111111112E-2</v>
      </c>
      <c r="C4603" s="421" t="s">
        <v>1727</v>
      </c>
    </row>
    <row r="4604" spans="1:3" x14ac:dyDescent="0.25">
      <c r="A4604" s="417">
        <v>41544</v>
      </c>
      <c r="B4604" s="418">
        <v>1.5497685185185186E-2</v>
      </c>
      <c r="C4604" s="421" t="s">
        <v>1320</v>
      </c>
    </row>
    <row r="4605" spans="1:3" x14ac:dyDescent="0.25">
      <c r="A4605" s="417">
        <v>41544</v>
      </c>
      <c r="B4605" s="418">
        <v>1.5509259259259257E-2</v>
      </c>
      <c r="C4605" s="421" t="s">
        <v>1429</v>
      </c>
    </row>
    <row r="4606" spans="1:3" x14ac:dyDescent="0.25">
      <c r="A4606" s="417">
        <v>41544</v>
      </c>
      <c r="B4606" s="418">
        <v>1.5520833333333333E-2</v>
      </c>
      <c r="C4606" s="421" t="s">
        <v>1430</v>
      </c>
    </row>
    <row r="4607" spans="1:3" x14ac:dyDescent="0.25">
      <c r="A4607" s="417">
        <v>41544</v>
      </c>
      <c r="B4607" s="418">
        <v>1.5520833333333333E-2</v>
      </c>
      <c r="C4607" s="421" t="s">
        <v>1728</v>
      </c>
    </row>
    <row r="4608" spans="1:3" x14ac:dyDescent="0.25">
      <c r="A4608" s="417">
        <v>41544</v>
      </c>
      <c r="B4608" s="418">
        <v>1.5578703703703704E-2</v>
      </c>
      <c r="C4608" s="421" t="s">
        <v>1308</v>
      </c>
    </row>
    <row r="4609" spans="1:3" x14ac:dyDescent="0.25">
      <c r="A4609" s="417">
        <v>41544</v>
      </c>
      <c r="B4609" s="418">
        <v>1.5578703703703704E-2</v>
      </c>
      <c r="C4609" s="421" t="s">
        <v>1360</v>
      </c>
    </row>
    <row r="4610" spans="1:3" x14ac:dyDescent="0.25">
      <c r="A4610" s="417">
        <v>41544</v>
      </c>
      <c r="B4610" s="418">
        <v>1.5590277777777778E-2</v>
      </c>
      <c r="C4610" s="421" t="s">
        <v>1432</v>
      </c>
    </row>
    <row r="4611" spans="1:3" x14ac:dyDescent="0.25">
      <c r="A4611" s="417">
        <v>41544</v>
      </c>
      <c r="B4611" s="418">
        <v>1.5590277777777778E-2</v>
      </c>
      <c r="C4611" s="421" t="s">
        <v>1432</v>
      </c>
    </row>
    <row r="4612" spans="1:3" x14ac:dyDescent="0.25">
      <c r="A4612" s="417">
        <v>41544</v>
      </c>
      <c r="B4612" s="418">
        <v>1.5590277777777778E-2</v>
      </c>
      <c r="C4612" s="421" t="s">
        <v>1432</v>
      </c>
    </row>
    <row r="4613" spans="1:3" x14ac:dyDescent="0.25">
      <c r="A4613" s="417">
        <v>41544</v>
      </c>
      <c r="B4613" s="418">
        <v>1.5590277777777778E-2</v>
      </c>
      <c r="C4613" s="421" t="s">
        <v>1281</v>
      </c>
    </row>
    <row r="4614" spans="1:3" ht="60" x14ac:dyDescent="0.25">
      <c r="A4614" s="417">
        <v>41544</v>
      </c>
      <c r="B4614" s="418">
        <v>1.5590277777777778E-2</v>
      </c>
      <c r="C4614" s="946" t="s">
        <v>1757</v>
      </c>
    </row>
    <row r="4615" spans="1:3" x14ac:dyDescent="0.25">
      <c r="A4615" s="417">
        <v>41544</v>
      </c>
      <c r="B4615" s="418">
        <v>1.96875E-2</v>
      </c>
      <c r="C4615" s="421" t="s">
        <v>1413</v>
      </c>
    </row>
    <row r="4616" spans="1:3" x14ac:dyDescent="0.25">
      <c r="A4616" s="417">
        <v>41544</v>
      </c>
      <c r="B4616" s="418">
        <v>1.9710648148148147E-2</v>
      </c>
      <c r="C4616" s="421" t="s">
        <v>1729</v>
      </c>
    </row>
    <row r="4617" spans="1:3" x14ac:dyDescent="0.25">
      <c r="A4617" s="417">
        <v>41544</v>
      </c>
      <c r="B4617" s="418">
        <v>1.9722222222222221E-2</v>
      </c>
      <c r="C4617" s="421" t="s">
        <v>1730</v>
      </c>
    </row>
    <row r="4618" spans="1:3" x14ac:dyDescent="0.25">
      <c r="A4618" s="417">
        <v>41544</v>
      </c>
      <c r="B4618" s="418">
        <v>1.9722222222222221E-2</v>
      </c>
      <c r="C4618" s="421" t="s">
        <v>1731</v>
      </c>
    </row>
    <row r="4619" spans="1:3" x14ac:dyDescent="0.25">
      <c r="A4619" s="417">
        <v>41544</v>
      </c>
      <c r="B4619" s="418">
        <v>1.9722222222222221E-2</v>
      </c>
      <c r="C4619" s="421" t="s">
        <v>1732</v>
      </c>
    </row>
    <row r="4620" spans="1:3" x14ac:dyDescent="0.25">
      <c r="A4620" s="417">
        <v>41544</v>
      </c>
      <c r="B4620" s="418">
        <v>1.9722222222222221E-2</v>
      </c>
      <c r="C4620" s="421" t="s">
        <v>1733</v>
      </c>
    </row>
    <row r="4621" spans="1:3" x14ac:dyDescent="0.25">
      <c r="A4621" s="417">
        <v>41544</v>
      </c>
      <c r="B4621" s="418">
        <v>1.9722222222222221E-2</v>
      </c>
      <c r="C4621" s="421" t="s">
        <v>1734</v>
      </c>
    </row>
    <row r="4622" spans="1:3" x14ac:dyDescent="0.25">
      <c r="A4622" s="417">
        <v>41544</v>
      </c>
      <c r="B4622" s="418">
        <v>1.9733796296296298E-2</v>
      </c>
      <c r="C4622" s="421" t="s">
        <v>1735</v>
      </c>
    </row>
    <row r="4623" spans="1:3" x14ac:dyDescent="0.25">
      <c r="A4623" s="417">
        <v>41544</v>
      </c>
      <c r="B4623" s="418">
        <v>1.9780092592592592E-2</v>
      </c>
      <c r="C4623" s="421" t="s">
        <v>1736</v>
      </c>
    </row>
    <row r="4624" spans="1:3" x14ac:dyDescent="0.25">
      <c r="A4624" s="417">
        <v>41544</v>
      </c>
      <c r="B4624" s="418">
        <v>1.9884259259259258E-2</v>
      </c>
      <c r="C4624" s="421" t="s">
        <v>1737</v>
      </c>
    </row>
    <row r="4625" spans="1:3" x14ac:dyDescent="0.25">
      <c r="A4625" s="417">
        <v>41544</v>
      </c>
      <c r="B4625" s="418">
        <v>1.9907407407407408E-2</v>
      </c>
      <c r="C4625" s="421" t="s">
        <v>1320</v>
      </c>
    </row>
    <row r="4626" spans="1:3" x14ac:dyDescent="0.25">
      <c r="A4626" s="417">
        <v>41544</v>
      </c>
      <c r="B4626" s="418">
        <v>2.0034722222222221E-2</v>
      </c>
      <c r="C4626" s="421" t="s">
        <v>1738</v>
      </c>
    </row>
    <row r="4627" spans="1:3" x14ac:dyDescent="0.25">
      <c r="A4627" s="417">
        <v>41544</v>
      </c>
      <c r="B4627" s="418">
        <v>2.0034722222222221E-2</v>
      </c>
      <c r="C4627" s="421" t="s">
        <v>1739</v>
      </c>
    </row>
    <row r="4628" spans="1:3" x14ac:dyDescent="0.25">
      <c r="A4628" s="417">
        <v>41544</v>
      </c>
      <c r="B4628" s="418">
        <v>2.0034722222222221E-2</v>
      </c>
      <c r="C4628" s="421" t="s">
        <v>1740</v>
      </c>
    </row>
    <row r="4629" spans="1:3" x14ac:dyDescent="0.25">
      <c r="A4629" s="417">
        <v>41544</v>
      </c>
      <c r="B4629" s="418">
        <v>2.0034722222222221E-2</v>
      </c>
      <c r="C4629" s="421" t="s">
        <v>1741</v>
      </c>
    </row>
    <row r="4630" spans="1:3" x14ac:dyDescent="0.25">
      <c r="A4630" s="417">
        <v>41544</v>
      </c>
      <c r="B4630" s="418">
        <v>2.0057870370370368E-2</v>
      </c>
      <c r="C4630" s="421" t="s">
        <v>1446</v>
      </c>
    </row>
    <row r="4631" spans="1:3" x14ac:dyDescent="0.25">
      <c r="A4631" s="417">
        <v>41544</v>
      </c>
      <c r="B4631" s="418">
        <v>2.0081018518518519E-2</v>
      </c>
      <c r="C4631" s="421" t="s">
        <v>1238</v>
      </c>
    </row>
    <row r="4632" spans="1:3" x14ac:dyDescent="0.25">
      <c r="A4632" s="417">
        <v>41544</v>
      </c>
      <c r="B4632" s="418">
        <v>2.0231481481481482E-2</v>
      </c>
      <c r="C4632" s="421" t="s">
        <v>1742</v>
      </c>
    </row>
    <row r="4633" spans="1:3" x14ac:dyDescent="0.25">
      <c r="A4633" s="417">
        <v>41544</v>
      </c>
      <c r="B4633" s="418">
        <v>2.0243055555555552E-2</v>
      </c>
      <c r="C4633" s="421" t="s">
        <v>1389</v>
      </c>
    </row>
    <row r="4634" spans="1:3" x14ac:dyDescent="0.25">
      <c r="A4634" s="417">
        <v>41544</v>
      </c>
      <c r="B4634" s="418">
        <v>2.0254629629629629E-2</v>
      </c>
      <c r="C4634" s="421" t="s">
        <v>1448</v>
      </c>
    </row>
    <row r="4635" spans="1:3" x14ac:dyDescent="0.25">
      <c r="A4635" s="417">
        <v>41544</v>
      </c>
      <c r="B4635" s="418">
        <v>2.0254629629629629E-2</v>
      </c>
      <c r="C4635" s="421" t="s">
        <v>1450</v>
      </c>
    </row>
    <row r="4636" spans="1:3" x14ac:dyDescent="0.25">
      <c r="A4636" s="417">
        <v>41544</v>
      </c>
      <c r="B4636" s="418">
        <v>2.0254629629629629E-2</v>
      </c>
      <c r="C4636" s="421" t="s">
        <v>1450</v>
      </c>
    </row>
    <row r="4637" spans="1:3" x14ac:dyDescent="0.25">
      <c r="A4637" s="417">
        <v>41544</v>
      </c>
      <c r="B4637" s="418">
        <v>2.0254629629629629E-2</v>
      </c>
      <c r="C4637" s="421" t="s">
        <v>1450</v>
      </c>
    </row>
    <row r="4638" spans="1:3" x14ac:dyDescent="0.25">
      <c r="A4638" s="417">
        <v>41544</v>
      </c>
      <c r="B4638" s="418">
        <v>2.0254629629629629E-2</v>
      </c>
      <c r="C4638" s="421" t="s">
        <v>1450</v>
      </c>
    </row>
    <row r="4639" spans="1:3" x14ac:dyDescent="0.25">
      <c r="A4639" s="417">
        <v>41544</v>
      </c>
      <c r="B4639" s="418">
        <v>2.0254629629629629E-2</v>
      </c>
      <c r="C4639" s="421" t="s">
        <v>1450</v>
      </c>
    </row>
    <row r="4640" spans="1:3" x14ac:dyDescent="0.25">
      <c r="A4640" s="417">
        <v>41544</v>
      </c>
      <c r="B4640" s="418">
        <v>2.0254629629629629E-2</v>
      </c>
      <c r="C4640" s="421" t="s">
        <v>1450</v>
      </c>
    </row>
    <row r="4641" spans="1:3" x14ac:dyDescent="0.25">
      <c r="A4641" s="417">
        <v>41544</v>
      </c>
      <c r="B4641" s="418">
        <v>2.0254629629629629E-2</v>
      </c>
      <c r="C4641" s="421" t="s">
        <v>1450</v>
      </c>
    </row>
    <row r="4642" spans="1:3" x14ac:dyDescent="0.25">
      <c r="A4642" s="417">
        <v>41544</v>
      </c>
      <c r="B4642" s="418">
        <v>2.0474537037037038E-2</v>
      </c>
      <c r="C4642" s="421" t="s">
        <v>1448</v>
      </c>
    </row>
    <row r="4643" spans="1:3" x14ac:dyDescent="0.25">
      <c r="A4643" s="417">
        <v>41544</v>
      </c>
      <c r="B4643" s="418">
        <v>2.0520833333333332E-2</v>
      </c>
      <c r="C4643" s="421" t="s">
        <v>1399</v>
      </c>
    </row>
    <row r="4644" spans="1:3" x14ac:dyDescent="0.25">
      <c r="A4644" s="417">
        <v>41544</v>
      </c>
      <c r="B4644" s="418">
        <v>2.0555555555555556E-2</v>
      </c>
      <c r="C4644" s="421" t="s">
        <v>1309</v>
      </c>
    </row>
    <row r="4645" spans="1:3" x14ac:dyDescent="0.25">
      <c r="A4645" s="417">
        <v>41544</v>
      </c>
      <c r="B4645" s="418">
        <v>2.056712962962963E-2</v>
      </c>
      <c r="C4645" s="421" t="s">
        <v>1236</v>
      </c>
    </row>
    <row r="4646" spans="1:3" x14ac:dyDescent="0.25">
      <c r="A4646" s="417">
        <v>41544</v>
      </c>
      <c r="B4646" s="418">
        <v>2.056712962962963E-2</v>
      </c>
      <c r="C4646" s="421" t="s">
        <v>1237</v>
      </c>
    </row>
    <row r="4647" spans="1:3" x14ac:dyDescent="0.25">
      <c r="A4647" s="417">
        <v>41544</v>
      </c>
      <c r="B4647" s="418">
        <v>2.056712962962963E-2</v>
      </c>
      <c r="C4647" s="421" t="s">
        <v>1238</v>
      </c>
    </row>
    <row r="4648" spans="1:3" x14ac:dyDescent="0.25">
      <c r="A4648" s="417">
        <v>41544</v>
      </c>
      <c r="B4648" s="418">
        <v>2.0682870370370372E-2</v>
      </c>
      <c r="C4648" s="421" t="s">
        <v>1758</v>
      </c>
    </row>
    <row r="4649" spans="1:3" x14ac:dyDescent="0.25">
      <c r="A4649" s="417">
        <v>41544</v>
      </c>
      <c r="B4649" s="418">
        <v>2.0694444444444446E-2</v>
      </c>
      <c r="C4649" s="421" t="s">
        <v>1743</v>
      </c>
    </row>
    <row r="4650" spans="1:3" x14ac:dyDescent="0.25">
      <c r="A4650" s="417">
        <v>41544</v>
      </c>
      <c r="B4650" s="418">
        <v>2.0706018518518519E-2</v>
      </c>
      <c r="C4650" s="421" t="s">
        <v>1759</v>
      </c>
    </row>
    <row r="4651" spans="1:3" x14ac:dyDescent="0.25">
      <c r="A4651" s="417">
        <v>41544</v>
      </c>
      <c r="B4651" s="418">
        <v>2.0706018518518519E-2</v>
      </c>
      <c r="C4651" s="421" t="s">
        <v>1455</v>
      </c>
    </row>
    <row r="4652" spans="1:3" x14ac:dyDescent="0.25">
      <c r="A4652" s="417">
        <v>41544</v>
      </c>
      <c r="B4652" s="418">
        <v>7.5127314814814813E-2</v>
      </c>
      <c r="C4652" s="421" t="s">
        <v>1238</v>
      </c>
    </row>
    <row r="4653" spans="1:3" ht="45" x14ac:dyDescent="0.25">
      <c r="A4653" s="417">
        <v>41544</v>
      </c>
      <c r="B4653" s="418">
        <v>7.6076388888888888E-2</v>
      </c>
      <c r="C4653" s="946" t="s">
        <v>1760</v>
      </c>
    </row>
    <row r="4654" spans="1:3" ht="45" x14ac:dyDescent="0.25">
      <c r="A4654" s="417">
        <v>41544</v>
      </c>
      <c r="B4654" s="418">
        <v>7.7245370370370367E-2</v>
      </c>
      <c r="C4654" s="946" t="s">
        <v>1761</v>
      </c>
    </row>
    <row r="4655" spans="1:3" ht="45" x14ac:dyDescent="0.25">
      <c r="A4655" s="417">
        <v>41544</v>
      </c>
      <c r="B4655" s="418">
        <v>7.7488425925925933E-2</v>
      </c>
      <c r="C4655" s="946" t="s">
        <v>1762</v>
      </c>
    </row>
    <row r="4656" spans="1:3" ht="30" x14ac:dyDescent="0.25">
      <c r="A4656" s="417">
        <v>41544</v>
      </c>
      <c r="B4656" s="418">
        <v>7.7708333333333338E-2</v>
      </c>
      <c r="C4656" s="946" t="s">
        <v>1763</v>
      </c>
    </row>
    <row r="4657" spans="1:3" ht="45" x14ac:dyDescent="0.25">
      <c r="A4657" s="417">
        <v>41544</v>
      </c>
      <c r="B4657" s="418">
        <v>7.8368055555555552E-2</v>
      </c>
      <c r="C4657" s="946" t="s">
        <v>1764</v>
      </c>
    </row>
    <row r="4658" spans="1:3" ht="45" x14ac:dyDescent="0.25">
      <c r="A4658" s="417">
        <v>41544</v>
      </c>
      <c r="B4658" s="418">
        <v>7.8703703703703706E-2</v>
      </c>
      <c r="C4658" s="946" t="s">
        <v>1765</v>
      </c>
    </row>
    <row r="4659" spans="1:3" ht="30" x14ac:dyDescent="0.25">
      <c r="A4659" s="417">
        <v>41544</v>
      </c>
      <c r="B4659" s="418">
        <v>7.8888888888888883E-2</v>
      </c>
      <c r="C4659" s="946" t="s">
        <v>1766</v>
      </c>
    </row>
    <row r="4660" spans="1:3" ht="45" x14ac:dyDescent="0.25">
      <c r="A4660" s="417">
        <v>41544</v>
      </c>
      <c r="B4660" s="418">
        <v>7.9027777777777766E-2</v>
      </c>
      <c r="C4660" s="946" t="s">
        <v>1767</v>
      </c>
    </row>
    <row r="4661" spans="1:3" x14ac:dyDescent="0.25">
      <c r="A4661" s="417">
        <v>41544</v>
      </c>
      <c r="B4661" s="418">
        <v>8.1539351851851849E-2</v>
      </c>
      <c r="C4661" s="421" t="s">
        <v>1307</v>
      </c>
    </row>
    <row r="4662" spans="1:3" x14ac:dyDescent="0.25">
      <c r="A4662" s="417">
        <v>41544</v>
      </c>
      <c r="B4662" s="418">
        <v>8.1631944444444438E-2</v>
      </c>
      <c r="C4662" s="421" t="s">
        <v>1308</v>
      </c>
    </row>
    <row r="4663" spans="1:3" x14ac:dyDescent="0.25">
      <c r="A4663" s="417">
        <v>41544</v>
      </c>
      <c r="B4663" s="418">
        <v>8.1631944444444438E-2</v>
      </c>
      <c r="C4663" s="421" t="s">
        <v>1309</v>
      </c>
    </row>
    <row r="4664" spans="1:3" x14ac:dyDescent="0.25">
      <c r="A4664" s="417">
        <v>41544</v>
      </c>
      <c r="B4664" s="418">
        <v>8.1631944444444438E-2</v>
      </c>
      <c r="C4664" s="421" t="s">
        <v>1310</v>
      </c>
    </row>
    <row r="4665" spans="1:3" x14ac:dyDescent="0.25">
      <c r="A4665" s="417">
        <v>41544</v>
      </c>
      <c r="B4665" s="418">
        <v>8.1631944444444438E-2</v>
      </c>
      <c r="C4665" s="421" t="s">
        <v>1311</v>
      </c>
    </row>
    <row r="4666" spans="1:3" x14ac:dyDescent="0.25">
      <c r="A4666" s="417">
        <v>41544</v>
      </c>
      <c r="B4666" s="418">
        <v>8.1631944444444438E-2</v>
      </c>
      <c r="C4666" s="421" t="s">
        <v>1312</v>
      </c>
    </row>
    <row r="4667" spans="1:3" x14ac:dyDescent="0.25">
      <c r="A4667" s="417">
        <v>41544</v>
      </c>
      <c r="B4667" s="418">
        <v>8.1631944444444438E-2</v>
      </c>
      <c r="C4667" s="421" t="s">
        <v>1313</v>
      </c>
    </row>
    <row r="4668" spans="1:3" x14ac:dyDescent="0.25">
      <c r="A4668" s="417">
        <v>41544</v>
      </c>
      <c r="B4668" s="418">
        <v>8.1631944444444438E-2</v>
      </c>
      <c r="C4668" s="421" t="s">
        <v>1310</v>
      </c>
    </row>
    <row r="4669" spans="1:3" x14ac:dyDescent="0.25">
      <c r="A4669" s="417">
        <v>41544</v>
      </c>
      <c r="B4669" s="418">
        <v>8.1631944444444438E-2</v>
      </c>
      <c r="C4669" s="421" t="s">
        <v>1314</v>
      </c>
    </row>
    <row r="4670" spans="1:3" x14ac:dyDescent="0.25">
      <c r="A4670" s="417">
        <v>41544</v>
      </c>
      <c r="B4670" s="418">
        <v>8.1631944444444438E-2</v>
      </c>
      <c r="C4670" s="421" t="s">
        <v>1315</v>
      </c>
    </row>
    <row r="4671" spans="1:3" x14ac:dyDescent="0.25">
      <c r="A4671" s="417">
        <v>41544</v>
      </c>
      <c r="B4671" s="418">
        <v>8.1631944444444438E-2</v>
      </c>
      <c r="C4671" s="421" t="s">
        <v>1460</v>
      </c>
    </row>
    <row r="4672" spans="1:3" x14ac:dyDescent="0.25">
      <c r="A4672" s="417">
        <v>41544</v>
      </c>
      <c r="B4672" s="418">
        <v>8.1631944444444438E-2</v>
      </c>
      <c r="C4672" s="421" t="s">
        <v>1461</v>
      </c>
    </row>
    <row r="4673" spans="1:3" x14ac:dyDescent="0.25">
      <c r="A4673" s="417">
        <v>41544</v>
      </c>
      <c r="B4673" s="418">
        <v>8.1631944444444438E-2</v>
      </c>
      <c r="C4673" s="421" t="s">
        <v>1310</v>
      </c>
    </row>
    <row r="4674" spans="1:3" x14ac:dyDescent="0.25">
      <c r="A4674" s="417">
        <v>41544</v>
      </c>
      <c r="B4674" s="418">
        <v>8.1678240740740746E-2</v>
      </c>
      <c r="C4674" s="421" t="s">
        <v>1462</v>
      </c>
    </row>
    <row r="4675" spans="1:3" x14ac:dyDescent="0.25">
      <c r="A4675" s="417">
        <v>41544</v>
      </c>
      <c r="B4675" s="418">
        <v>8.1678240740740746E-2</v>
      </c>
      <c r="C4675" s="421" t="s">
        <v>1316</v>
      </c>
    </row>
    <row r="4676" spans="1:3" x14ac:dyDescent="0.25">
      <c r="A4676" s="417">
        <v>41544</v>
      </c>
      <c r="B4676" s="418">
        <v>8.1678240740740746E-2</v>
      </c>
      <c r="C4676" s="421" t="s">
        <v>1316</v>
      </c>
    </row>
    <row r="4677" spans="1:3" x14ac:dyDescent="0.25">
      <c r="A4677" s="417">
        <v>41544</v>
      </c>
      <c r="B4677" s="418">
        <v>8.1678240740740746E-2</v>
      </c>
      <c r="C4677" s="421" t="s">
        <v>1317</v>
      </c>
    </row>
    <row r="4678" spans="1:3" x14ac:dyDescent="0.25">
      <c r="A4678" s="417">
        <v>41544</v>
      </c>
      <c r="B4678" s="418">
        <v>8.1678240740740746E-2</v>
      </c>
      <c r="C4678" s="421" t="s">
        <v>1309</v>
      </c>
    </row>
    <row r="4679" spans="1:3" x14ac:dyDescent="0.25">
      <c r="A4679" s="417">
        <v>41544</v>
      </c>
      <c r="B4679" s="418">
        <v>8.1678240740740746E-2</v>
      </c>
      <c r="C4679" s="421" t="s">
        <v>1318</v>
      </c>
    </row>
    <row r="4680" spans="1:3" x14ac:dyDescent="0.25">
      <c r="A4680" s="417">
        <v>41544</v>
      </c>
      <c r="B4680" s="418">
        <v>8.1678240740740746E-2</v>
      </c>
      <c r="C4680" s="421" t="s">
        <v>1319</v>
      </c>
    </row>
    <row r="4681" spans="1:3" x14ac:dyDescent="0.25">
      <c r="A4681" s="417">
        <v>41544</v>
      </c>
      <c r="B4681" s="418">
        <v>8.1678240740740746E-2</v>
      </c>
      <c r="C4681" s="421" t="s">
        <v>1320</v>
      </c>
    </row>
    <row r="4682" spans="1:3" x14ac:dyDescent="0.25">
      <c r="A4682" s="417">
        <v>41544</v>
      </c>
      <c r="B4682" s="418">
        <v>8.1678240740740746E-2</v>
      </c>
      <c r="C4682" s="421" t="s">
        <v>1318</v>
      </c>
    </row>
    <row r="4683" spans="1:3" x14ac:dyDescent="0.25">
      <c r="A4683" s="417">
        <v>41544</v>
      </c>
      <c r="B4683" s="418">
        <v>8.1678240740740746E-2</v>
      </c>
      <c r="C4683" s="421" t="s">
        <v>1307</v>
      </c>
    </row>
    <row r="4684" spans="1:3" x14ac:dyDescent="0.25">
      <c r="A4684" s="417">
        <v>41544</v>
      </c>
      <c r="B4684" s="418">
        <v>8.1678240740740746E-2</v>
      </c>
      <c r="C4684" s="421" t="s">
        <v>1321</v>
      </c>
    </row>
    <row r="4685" spans="1:3" x14ac:dyDescent="0.25">
      <c r="A4685" s="417">
        <v>41544</v>
      </c>
      <c r="B4685" s="418">
        <v>8.1678240740740746E-2</v>
      </c>
      <c r="C4685" s="421" t="s">
        <v>1322</v>
      </c>
    </row>
    <row r="4686" spans="1:3" x14ac:dyDescent="0.25">
      <c r="A4686" s="417">
        <v>41544</v>
      </c>
      <c r="B4686" s="418">
        <v>8.1678240740740746E-2</v>
      </c>
      <c r="C4686" s="421" t="s">
        <v>1322</v>
      </c>
    </row>
    <row r="4687" spans="1:3" x14ac:dyDescent="0.25">
      <c r="A4687" s="417">
        <v>41544</v>
      </c>
      <c r="B4687" s="418">
        <v>8.1678240740740746E-2</v>
      </c>
      <c r="C4687" s="421" t="s">
        <v>1323</v>
      </c>
    </row>
    <row r="4688" spans="1:3" x14ac:dyDescent="0.25">
      <c r="A4688" s="417">
        <v>41544</v>
      </c>
      <c r="B4688" s="418">
        <v>8.1678240740740746E-2</v>
      </c>
      <c r="C4688" s="421" t="s">
        <v>1324</v>
      </c>
    </row>
    <row r="4689" spans="1:3" x14ac:dyDescent="0.25">
      <c r="A4689" s="417">
        <v>41544</v>
      </c>
      <c r="B4689" s="418">
        <v>8.1678240740740746E-2</v>
      </c>
      <c r="C4689" s="421" t="s">
        <v>1310</v>
      </c>
    </row>
    <row r="4690" spans="1:3" x14ac:dyDescent="0.25">
      <c r="A4690" s="417">
        <v>41544</v>
      </c>
      <c r="B4690" s="418">
        <v>8.1678240740740746E-2</v>
      </c>
      <c r="C4690" s="421" t="s">
        <v>1325</v>
      </c>
    </row>
    <row r="4691" spans="1:3" x14ac:dyDescent="0.25">
      <c r="A4691" s="417">
        <v>41544</v>
      </c>
      <c r="B4691" s="418">
        <v>8.1678240740740746E-2</v>
      </c>
      <c r="C4691" s="421" t="s">
        <v>1326</v>
      </c>
    </row>
    <row r="4692" spans="1:3" x14ac:dyDescent="0.25">
      <c r="A4692" s="417">
        <v>41544</v>
      </c>
      <c r="B4692" s="418">
        <v>8.1678240740740746E-2</v>
      </c>
      <c r="C4692" s="421" t="s">
        <v>1238</v>
      </c>
    </row>
    <row r="4693" spans="1:3" x14ac:dyDescent="0.25">
      <c r="A4693" s="417">
        <v>41544</v>
      </c>
      <c r="B4693" s="418">
        <v>8.1689814814814812E-2</v>
      </c>
      <c r="C4693" s="421" t="s">
        <v>1327</v>
      </c>
    </row>
    <row r="4694" spans="1:3" x14ac:dyDescent="0.25">
      <c r="A4694" s="417">
        <v>41544</v>
      </c>
      <c r="B4694" s="418">
        <v>8.1689814814814812E-2</v>
      </c>
      <c r="C4694" s="421" t="s">
        <v>1323</v>
      </c>
    </row>
    <row r="4695" spans="1:3" x14ac:dyDescent="0.25">
      <c r="A4695" s="417">
        <v>41544</v>
      </c>
      <c r="B4695" s="418">
        <v>8.1689814814814812E-2</v>
      </c>
      <c r="C4695" s="421" t="s">
        <v>1342</v>
      </c>
    </row>
    <row r="4696" spans="1:3" x14ac:dyDescent="0.25">
      <c r="A4696" s="417">
        <v>41544</v>
      </c>
      <c r="B4696" s="418">
        <v>8.1689814814814812E-2</v>
      </c>
      <c r="C4696" s="421" t="s">
        <v>1343</v>
      </c>
    </row>
    <row r="4697" spans="1:3" x14ac:dyDescent="0.25">
      <c r="A4697" s="417">
        <v>41544</v>
      </c>
      <c r="B4697" s="418">
        <v>8.1689814814814812E-2</v>
      </c>
      <c r="C4697" s="421" t="s">
        <v>1344</v>
      </c>
    </row>
    <row r="4698" spans="1:3" x14ac:dyDescent="0.25">
      <c r="A4698" s="417">
        <v>41544</v>
      </c>
      <c r="B4698" s="418">
        <v>8.1689814814814812E-2</v>
      </c>
      <c r="C4698" s="421" t="s">
        <v>1344</v>
      </c>
    </row>
    <row r="4699" spans="1:3" x14ac:dyDescent="0.25">
      <c r="A4699" s="417">
        <v>41544</v>
      </c>
      <c r="B4699" s="418">
        <v>8.1689814814814812E-2</v>
      </c>
      <c r="C4699" s="421" t="s">
        <v>1310</v>
      </c>
    </row>
    <row r="4700" spans="1:3" x14ac:dyDescent="0.25">
      <c r="A4700" s="417">
        <v>41544</v>
      </c>
      <c r="B4700" s="418">
        <v>8.1689814814814812E-2</v>
      </c>
      <c r="C4700" s="421" t="s">
        <v>1345</v>
      </c>
    </row>
    <row r="4701" spans="1:3" x14ac:dyDescent="0.25">
      <c r="A4701" s="417">
        <v>41544</v>
      </c>
      <c r="B4701" s="418">
        <v>8.1689814814814812E-2</v>
      </c>
      <c r="C4701" s="421" t="s">
        <v>1346</v>
      </c>
    </row>
    <row r="4702" spans="1:3" x14ac:dyDescent="0.25">
      <c r="A4702" s="417">
        <v>41544</v>
      </c>
      <c r="B4702" s="418">
        <v>8.1689814814814812E-2</v>
      </c>
      <c r="C4702" s="421" t="s">
        <v>1347</v>
      </c>
    </row>
    <row r="4703" spans="1:3" x14ac:dyDescent="0.25">
      <c r="A4703" s="417">
        <v>41544</v>
      </c>
      <c r="B4703" s="418">
        <v>8.1689814814814812E-2</v>
      </c>
      <c r="C4703" s="421" t="s">
        <v>1348</v>
      </c>
    </row>
    <row r="4704" spans="1:3" x14ac:dyDescent="0.25">
      <c r="A4704" s="417">
        <v>41544</v>
      </c>
      <c r="B4704" s="418">
        <v>8.1689814814814812E-2</v>
      </c>
      <c r="C4704" s="421" t="s">
        <v>1349</v>
      </c>
    </row>
    <row r="4705" spans="1:3" x14ac:dyDescent="0.25">
      <c r="A4705" s="417">
        <v>41544</v>
      </c>
      <c r="B4705" s="418">
        <v>8.1689814814814812E-2</v>
      </c>
      <c r="C4705" s="421" t="s">
        <v>1349</v>
      </c>
    </row>
    <row r="4706" spans="1:3" x14ac:dyDescent="0.25">
      <c r="A4706" s="417">
        <v>41544</v>
      </c>
      <c r="B4706" s="418">
        <v>8.1689814814814812E-2</v>
      </c>
      <c r="C4706" s="421" t="s">
        <v>1348</v>
      </c>
    </row>
    <row r="4707" spans="1:3" x14ac:dyDescent="0.25">
      <c r="A4707" s="417">
        <v>41544</v>
      </c>
      <c r="B4707" s="418">
        <v>8.1689814814814812E-2</v>
      </c>
      <c r="C4707" s="421" t="s">
        <v>1350</v>
      </c>
    </row>
    <row r="4708" spans="1:3" x14ac:dyDescent="0.25">
      <c r="A4708" s="417">
        <v>41544</v>
      </c>
      <c r="B4708" s="418">
        <v>8.1689814814814812E-2</v>
      </c>
      <c r="C4708" s="421" t="s">
        <v>1351</v>
      </c>
    </row>
    <row r="4709" spans="1:3" x14ac:dyDescent="0.25">
      <c r="A4709" s="417">
        <v>41544</v>
      </c>
      <c r="B4709" s="418">
        <v>8.1689814814814812E-2</v>
      </c>
      <c r="C4709" s="421" t="s">
        <v>1352</v>
      </c>
    </row>
    <row r="4710" spans="1:3" x14ac:dyDescent="0.25">
      <c r="A4710" s="417">
        <v>41544</v>
      </c>
      <c r="B4710" s="418">
        <v>8.1689814814814812E-2</v>
      </c>
      <c r="C4710" s="421" t="s">
        <v>1768</v>
      </c>
    </row>
    <row r="4711" spans="1:3" x14ac:dyDescent="0.25">
      <c r="A4711" s="417">
        <v>41544</v>
      </c>
      <c r="B4711" s="418">
        <v>8.1689814814814812E-2</v>
      </c>
      <c r="C4711" s="421" t="s">
        <v>1353</v>
      </c>
    </row>
    <row r="4712" spans="1:3" x14ac:dyDescent="0.25">
      <c r="A4712" s="417">
        <v>41544</v>
      </c>
      <c r="B4712" s="418">
        <v>8.1689814814814812E-2</v>
      </c>
      <c r="C4712" s="421" t="s">
        <v>1354</v>
      </c>
    </row>
    <row r="4713" spans="1:3" x14ac:dyDescent="0.25">
      <c r="A4713" s="417">
        <v>41544</v>
      </c>
      <c r="B4713" s="418">
        <v>8.1689814814814812E-2</v>
      </c>
      <c r="C4713" s="421" t="s">
        <v>1357</v>
      </c>
    </row>
    <row r="4714" spans="1:3" x14ac:dyDescent="0.25">
      <c r="A4714" s="417">
        <v>41544</v>
      </c>
      <c r="B4714" s="418">
        <v>8.1689814814814812E-2</v>
      </c>
      <c r="C4714" s="421" t="s">
        <v>1358</v>
      </c>
    </row>
    <row r="4715" spans="1:3" x14ac:dyDescent="0.25">
      <c r="A4715" s="417">
        <v>41544</v>
      </c>
      <c r="B4715" s="418">
        <v>8.1689814814814812E-2</v>
      </c>
      <c r="C4715" s="421" t="s">
        <v>1359</v>
      </c>
    </row>
    <row r="4716" spans="1:3" x14ac:dyDescent="0.25">
      <c r="A4716" s="417">
        <v>41544</v>
      </c>
      <c r="B4716" s="418">
        <v>8.1689814814814812E-2</v>
      </c>
      <c r="C4716" s="421" t="s">
        <v>1360</v>
      </c>
    </row>
    <row r="4717" spans="1:3" x14ac:dyDescent="0.25">
      <c r="A4717" s="417">
        <v>41544</v>
      </c>
      <c r="B4717" s="418">
        <v>8.1689814814814812E-2</v>
      </c>
      <c r="C4717" s="421" t="s">
        <v>1361</v>
      </c>
    </row>
    <row r="4718" spans="1:3" x14ac:dyDescent="0.25">
      <c r="A4718" s="417">
        <v>41544</v>
      </c>
      <c r="B4718" s="418">
        <v>8.1689814814814812E-2</v>
      </c>
      <c r="C4718" s="421" t="s">
        <v>1317</v>
      </c>
    </row>
    <row r="4719" spans="1:3" x14ac:dyDescent="0.25">
      <c r="A4719" s="417">
        <v>41544</v>
      </c>
      <c r="B4719" s="418">
        <v>8.1689814814814812E-2</v>
      </c>
      <c r="C4719" s="421" t="s">
        <v>1537</v>
      </c>
    </row>
    <row r="4720" spans="1:3" x14ac:dyDescent="0.25">
      <c r="A4720" s="417">
        <v>41544</v>
      </c>
      <c r="B4720" s="418">
        <v>8.1689814814814812E-2</v>
      </c>
      <c r="C4720" s="421" t="s">
        <v>1362</v>
      </c>
    </row>
    <row r="4721" spans="1:3" x14ac:dyDescent="0.25">
      <c r="A4721" s="417">
        <v>41544</v>
      </c>
      <c r="B4721" s="418">
        <v>8.1689814814814812E-2</v>
      </c>
      <c r="C4721" s="421" t="s">
        <v>1363</v>
      </c>
    </row>
    <row r="4722" spans="1:3" x14ac:dyDescent="0.25">
      <c r="A4722" s="417">
        <v>41544</v>
      </c>
      <c r="B4722" s="418">
        <v>8.1689814814814812E-2</v>
      </c>
      <c r="C4722" s="421" t="s">
        <v>1364</v>
      </c>
    </row>
    <row r="4723" spans="1:3" x14ac:dyDescent="0.25">
      <c r="A4723" s="417">
        <v>41544</v>
      </c>
      <c r="B4723" s="418">
        <v>8.1689814814814812E-2</v>
      </c>
      <c r="C4723" s="421" t="s">
        <v>1365</v>
      </c>
    </row>
    <row r="4724" spans="1:3" x14ac:dyDescent="0.25">
      <c r="A4724" s="417">
        <v>41544</v>
      </c>
      <c r="B4724" s="418">
        <v>8.1689814814814812E-2</v>
      </c>
      <c r="C4724" s="421" t="s">
        <v>1365</v>
      </c>
    </row>
    <row r="4725" spans="1:3" x14ac:dyDescent="0.25">
      <c r="A4725" s="417">
        <v>41544</v>
      </c>
      <c r="B4725" s="418">
        <v>8.1701388888888893E-2</v>
      </c>
      <c r="C4725" s="421" t="s">
        <v>1320</v>
      </c>
    </row>
    <row r="4726" spans="1:3" x14ac:dyDescent="0.25">
      <c r="A4726" s="417">
        <v>41544</v>
      </c>
      <c r="B4726" s="418">
        <v>8.1701388888888893E-2</v>
      </c>
      <c r="C4726" s="421" t="s">
        <v>1367</v>
      </c>
    </row>
    <row r="4727" spans="1:3" x14ac:dyDescent="0.25">
      <c r="A4727" s="417">
        <v>41544</v>
      </c>
      <c r="B4727" s="418">
        <v>8.1701388888888893E-2</v>
      </c>
      <c r="C4727" s="421" t="s">
        <v>1344</v>
      </c>
    </row>
    <row r="4728" spans="1:3" x14ac:dyDescent="0.25">
      <c r="A4728" s="417">
        <v>41544</v>
      </c>
      <c r="B4728" s="418">
        <v>8.1701388888888893E-2</v>
      </c>
      <c r="C4728" s="421" t="s">
        <v>1368</v>
      </c>
    </row>
    <row r="4729" spans="1:3" x14ac:dyDescent="0.25">
      <c r="A4729" s="417">
        <v>41544</v>
      </c>
      <c r="B4729" s="418">
        <v>8.1701388888888893E-2</v>
      </c>
      <c r="C4729" s="421" t="s">
        <v>1369</v>
      </c>
    </row>
    <row r="4730" spans="1:3" x14ac:dyDescent="0.25">
      <c r="A4730" s="417">
        <v>41544</v>
      </c>
      <c r="B4730" s="418">
        <v>8.1701388888888893E-2</v>
      </c>
      <c r="C4730" s="421" t="s">
        <v>1307</v>
      </c>
    </row>
    <row r="4731" spans="1:3" x14ac:dyDescent="0.25">
      <c r="A4731" s="417">
        <v>41544</v>
      </c>
      <c r="B4731" s="418">
        <v>8.1701388888888893E-2</v>
      </c>
      <c r="C4731" s="421" t="s">
        <v>1370</v>
      </c>
    </row>
    <row r="4732" spans="1:3" x14ac:dyDescent="0.25">
      <c r="A4732" s="417">
        <v>41544</v>
      </c>
      <c r="B4732" s="418">
        <v>8.1701388888888893E-2</v>
      </c>
      <c r="C4732" s="421" t="s">
        <v>1371</v>
      </c>
    </row>
    <row r="4733" spans="1:3" x14ac:dyDescent="0.25">
      <c r="A4733" s="417">
        <v>41544</v>
      </c>
      <c r="B4733" s="418">
        <v>8.1701388888888893E-2</v>
      </c>
      <c r="C4733" s="421" t="s">
        <v>1344</v>
      </c>
    </row>
    <row r="4734" spans="1:3" x14ac:dyDescent="0.25">
      <c r="A4734" s="417">
        <v>41544</v>
      </c>
      <c r="B4734" s="418">
        <v>8.1701388888888893E-2</v>
      </c>
      <c r="C4734" s="421" t="s">
        <v>1317</v>
      </c>
    </row>
    <row r="4735" spans="1:3" x14ac:dyDescent="0.25">
      <c r="A4735" s="417">
        <v>41544</v>
      </c>
      <c r="B4735" s="418">
        <v>8.1701388888888893E-2</v>
      </c>
      <c r="C4735" s="421" t="s">
        <v>1463</v>
      </c>
    </row>
    <row r="4736" spans="1:3" x14ac:dyDescent="0.25">
      <c r="A4736" s="417">
        <v>41544</v>
      </c>
      <c r="B4736" s="418">
        <v>8.1701388888888893E-2</v>
      </c>
      <c r="C4736" s="421" t="s">
        <v>1373</v>
      </c>
    </row>
    <row r="4737" spans="1:3" x14ac:dyDescent="0.25">
      <c r="A4737" s="417">
        <v>41544</v>
      </c>
      <c r="B4737" s="418">
        <v>8.1701388888888893E-2</v>
      </c>
      <c r="C4737" s="421" t="s">
        <v>1308</v>
      </c>
    </row>
    <row r="4738" spans="1:3" x14ac:dyDescent="0.25">
      <c r="A4738" s="417">
        <v>41544</v>
      </c>
      <c r="B4738" s="418">
        <v>8.1701388888888893E-2</v>
      </c>
      <c r="C4738" s="421" t="s">
        <v>1374</v>
      </c>
    </row>
    <row r="4739" spans="1:3" x14ac:dyDescent="0.25">
      <c r="A4739" s="417">
        <v>41544</v>
      </c>
      <c r="B4739" s="418">
        <v>8.1701388888888893E-2</v>
      </c>
      <c r="C4739" s="421" t="s">
        <v>1375</v>
      </c>
    </row>
    <row r="4740" spans="1:3" x14ac:dyDescent="0.25">
      <c r="A4740" s="417">
        <v>41544</v>
      </c>
      <c r="B4740" s="418">
        <v>8.1701388888888893E-2</v>
      </c>
      <c r="C4740" s="421" t="s">
        <v>1376</v>
      </c>
    </row>
    <row r="4741" spans="1:3" x14ac:dyDescent="0.25">
      <c r="A4741" s="417">
        <v>41544</v>
      </c>
      <c r="B4741" s="418">
        <v>8.1701388888888893E-2</v>
      </c>
      <c r="C4741" s="421" t="s">
        <v>1377</v>
      </c>
    </row>
    <row r="4742" spans="1:3" x14ac:dyDescent="0.25">
      <c r="A4742" s="417">
        <v>41544</v>
      </c>
      <c r="B4742" s="418">
        <v>8.1701388888888893E-2</v>
      </c>
      <c r="C4742" s="421" t="s">
        <v>1326</v>
      </c>
    </row>
    <row r="4743" spans="1:3" x14ac:dyDescent="0.25">
      <c r="A4743" s="417">
        <v>41544</v>
      </c>
      <c r="B4743" s="418">
        <v>8.1701388888888893E-2</v>
      </c>
      <c r="C4743" s="421" t="s">
        <v>1755</v>
      </c>
    </row>
    <row r="4744" spans="1:3" x14ac:dyDescent="0.25">
      <c r="A4744" s="417">
        <v>41544</v>
      </c>
      <c r="B4744" s="418">
        <v>8.1701388888888893E-2</v>
      </c>
      <c r="C4744" s="421" t="s">
        <v>1380</v>
      </c>
    </row>
    <row r="4745" spans="1:3" x14ac:dyDescent="0.25">
      <c r="A4745" s="417">
        <v>41544</v>
      </c>
      <c r="B4745" s="418">
        <v>8.1701388888888893E-2</v>
      </c>
      <c r="C4745" s="421" t="s">
        <v>1381</v>
      </c>
    </row>
    <row r="4746" spans="1:3" x14ac:dyDescent="0.25">
      <c r="A4746" s="417">
        <v>41544</v>
      </c>
      <c r="B4746" s="418">
        <v>8.1701388888888893E-2</v>
      </c>
      <c r="C4746" s="421" t="s">
        <v>1382</v>
      </c>
    </row>
    <row r="4747" spans="1:3" x14ac:dyDescent="0.25">
      <c r="A4747" s="417">
        <v>41544</v>
      </c>
      <c r="B4747" s="418">
        <v>8.1701388888888893E-2</v>
      </c>
      <c r="C4747" s="421" t="s">
        <v>1383</v>
      </c>
    </row>
    <row r="4748" spans="1:3" x14ac:dyDescent="0.25">
      <c r="A4748" s="417">
        <v>41544</v>
      </c>
      <c r="B4748" s="418">
        <v>8.1701388888888893E-2</v>
      </c>
      <c r="C4748" s="421" t="s">
        <v>1352</v>
      </c>
    </row>
    <row r="4749" spans="1:3" x14ac:dyDescent="0.25">
      <c r="A4749" s="417">
        <v>41544</v>
      </c>
      <c r="B4749" s="418">
        <v>8.1701388888888893E-2</v>
      </c>
      <c r="C4749" s="421" t="s">
        <v>1384</v>
      </c>
    </row>
    <row r="4750" spans="1:3" x14ac:dyDescent="0.25">
      <c r="A4750" s="417">
        <v>41544</v>
      </c>
      <c r="B4750" s="418">
        <v>8.1701388888888893E-2</v>
      </c>
      <c r="C4750" s="421" t="s">
        <v>1385</v>
      </c>
    </row>
    <row r="4751" spans="1:3" x14ac:dyDescent="0.25">
      <c r="A4751" s="417">
        <v>41544</v>
      </c>
      <c r="B4751" s="418">
        <v>8.1701388888888893E-2</v>
      </c>
      <c r="C4751" s="421" t="s">
        <v>1385</v>
      </c>
    </row>
    <row r="4752" spans="1:3" x14ac:dyDescent="0.25">
      <c r="A4752" s="417">
        <v>41544</v>
      </c>
      <c r="B4752" s="418">
        <v>8.1701388888888893E-2</v>
      </c>
      <c r="C4752" s="421" t="s">
        <v>1386</v>
      </c>
    </row>
    <row r="4753" spans="1:3" x14ac:dyDescent="0.25">
      <c r="A4753" s="417">
        <v>41544</v>
      </c>
      <c r="B4753" s="418">
        <v>8.1701388888888893E-2</v>
      </c>
      <c r="C4753" s="421" t="s">
        <v>1387</v>
      </c>
    </row>
    <row r="4754" spans="1:3" x14ac:dyDescent="0.25">
      <c r="A4754" s="417">
        <v>41544</v>
      </c>
      <c r="B4754" s="418">
        <v>8.1701388888888893E-2</v>
      </c>
      <c r="C4754" s="421" t="s">
        <v>1387</v>
      </c>
    </row>
    <row r="4755" spans="1:3" x14ac:dyDescent="0.25">
      <c r="A4755" s="417">
        <v>41544</v>
      </c>
      <c r="B4755" s="418">
        <v>8.1701388888888893E-2</v>
      </c>
      <c r="C4755" s="421" t="s">
        <v>1318</v>
      </c>
    </row>
    <row r="4756" spans="1:3" x14ac:dyDescent="0.25">
      <c r="A4756" s="417">
        <v>41544</v>
      </c>
      <c r="B4756" s="418">
        <v>8.1701388888888893E-2</v>
      </c>
      <c r="C4756" s="421" t="s">
        <v>1388</v>
      </c>
    </row>
    <row r="4757" spans="1:3" x14ac:dyDescent="0.25">
      <c r="A4757" s="417">
        <v>41544</v>
      </c>
      <c r="B4757" s="418">
        <v>8.1712962962962959E-2</v>
      </c>
      <c r="C4757" s="421" t="s">
        <v>1390</v>
      </c>
    </row>
    <row r="4758" spans="1:3" x14ac:dyDescent="0.25">
      <c r="A4758" s="417">
        <v>41544</v>
      </c>
      <c r="B4758" s="418">
        <v>8.1712962962962959E-2</v>
      </c>
      <c r="C4758" s="421" t="s">
        <v>1391</v>
      </c>
    </row>
    <row r="4759" spans="1:3" x14ac:dyDescent="0.25">
      <c r="A4759" s="417">
        <v>41544</v>
      </c>
      <c r="B4759" s="418">
        <v>8.1712962962962959E-2</v>
      </c>
      <c r="C4759" s="421" t="s">
        <v>1392</v>
      </c>
    </row>
    <row r="4760" spans="1:3" x14ac:dyDescent="0.25">
      <c r="A4760" s="417">
        <v>41544</v>
      </c>
      <c r="B4760" s="418">
        <v>8.1736111111111107E-2</v>
      </c>
      <c r="C4760" s="421" t="s">
        <v>1393</v>
      </c>
    </row>
    <row r="4761" spans="1:3" x14ac:dyDescent="0.25">
      <c r="A4761" s="417">
        <v>41544</v>
      </c>
      <c r="B4761" s="418">
        <v>8.1736111111111107E-2</v>
      </c>
      <c r="C4761" s="421" t="s">
        <v>1394</v>
      </c>
    </row>
    <row r="4762" spans="1:3" x14ac:dyDescent="0.25">
      <c r="A4762" s="417">
        <v>41544</v>
      </c>
      <c r="B4762" s="418">
        <v>8.1736111111111107E-2</v>
      </c>
      <c r="C4762" s="421" t="s">
        <v>1392</v>
      </c>
    </row>
    <row r="4763" spans="1:3" x14ac:dyDescent="0.25">
      <c r="A4763" s="417">
        <v>41544</v>
      </c>
      <c r="B4763" s="418">
        <v>8.1736111111111107E-2</v>
      </c>
      <c r="C4763" s="421" t="s">
        <v>1395</v>
      </c>
    </row>
    <row r="4764" spans="1:3" x14ac:dyDescent="0.25">
      <c r="A4764" s="417">
        <v>41544</v>
      </c>
      <c r="B4764" s="418">
        <v>8.1736111111111107E-2</v>
      </c>
      <c r="C4764" s="421" t="s">
        <v>1396</v>
      </c>
    </row>
    <row r="4765" spans="1:3" x14ac:dyDescent="0.25">
      <c r="A4765" s="417">
        <v>41544</v>
      </c>
      <c r="B4765" s="418">
        <v>8.1736111111111107E-2</v>
      </c>
      <c r="C4765" s="421" t="s">
        <v>1363</v>
      </c>
    </row>
    <row r="4766" spans="1:3" x14ac:dyDescent="0.25">
      <c r="A4766" s="417">
        <v>41544</v>
      </c>
      <c r="B4766" s="418">
        <v>8.1747685185185187E-2</v>
      </c>
      <c r="C4766" s="421" t="s">
        <v>1362</v>
      </c>
    </row>
    <row r="4767" spans="1:3" x14ac:dyDescent="0.25">
      <c r="A4767" s="417">
        <v>41544</v>
      </c>
      <c r="B4767" s="418">
        <v>8.1747685185185187E-2</v>
      </c>
      <c r="C4767" s="421" t="s">
        <v>1397</v>
      </c>
    </row>
    <row r="4768" spans="1:3" x14ac:dyDescent="0.25">
      <c r="A4768" s="417">
        <v>41544</v>
      </c>
      <c r="B4768" s="418">
        <v>8.1747685185185187E-2</v>
      </c>
      <c r="C4768" s="421" t="s">
        <v>1381</v>
      </c>
    </row>
    <row r="4769" spans="1:3" x14ac:dyDescent="0.25">
      <c r="A4769" s="417">
        <v>41544</v>
      </c>
      <c r="B4769" s="418">
        <v>8.1747685185185187E-2</v>
      </c>
      <c r="C4769" s="421" t="s">
        <v>1398</v>
      </c>
    </row>
    <row r="4770" spans="1:3" x14ac:dyDescent="0.25">
      <c r="A4770" s="417">
        <v>41544</v>
      </c>
      <c r="B4770" s="418">
        <v>8.1747685185185187E-2</v>
      </c>
      <c r="C4770" s="421" t="s">
        <v>1399</v>
      </c>
    </row>
    <row r="4771" spans="1:3" x14ac:dyDescent="0.25">
      <c r="A4771" s="417">
        <v>41544</v>
      </c>
      <c r="B4771" s="418">
        <v>8.1759259259259254E-2</v>
      </c>
      <c r="C4771" s="421" t="s">
        <v>1400</v>
      </c>
    </row>
    <row r="4772" spans="1:3" x14ac:dyDescent="0.25">
      <c r="A4772" s="417">
        <v>41544</v>
      </c>
      <c r="B4772" s="418">
        <v>8.1759259259259254E-2</v>
      </c>
      <c r="C4772" s="421" t="s">
        <v>1400</v>
      </c>
    </row>
    <row r="4773" spans="1:3" x14ac:dyDescent="0.25">
      <c r="A4773" s="417">
        <v>41544</v>
      </c>
      <c r="B4773" s="418">
        <v>8.1759259259259254E-2</v>
      </c>
      <c r="C4773" s="421" t="s">
        <v>1373</v>
      </c>
    </row>
    <row r="4774" spans="1:3" x14ac:dyDescent="0.25">
      <c r="A4774" s="417">
        <v>41544</v>
      </c>
      <c r="B4774" s="418">
        <v>8.1770833333333334E-2</v>
      </c>
      <c r="C4774" s="421" t="s">
        <v>1353</v>
      </c>
    </row>
    <row r="4775" spans="1:3" x14ac:dyDescent="0.25">
      <c r="A4775" s="417">
        <v>41544</v>
      </c>
      <c r="B4775" s="418">
        <v>8.1770833333333334E-2</v>
      </c>
      <c r="C4775" s="421" t="s">
        <v>1353</v>
      </c>
    </row>
    <row r="4776" spans="1:3" x14ac:dyDescent="0.25">
      <c r="A4776" s="417">
        <v>41544</v>
      </c>
      <c r="B4776" s="418">
        <v>8.1782407407407401E-2</v>
      </c>
      <c r="C4776" s="421" t="s">
        <v>1401</v>
      </c>
    </row>
    <row r="4777" spans="1:3" x14ac:dyDescent="0.25">
      <c r="A4777" s="417">
        <v>41544</v>
      </c>
      <c r="B4777" s="418">
        <v>8.1782407407407401E-2</v>
      </c>
      <c r="C4777" s="421" t="s">
        <v>1392</v>
      </c>
    </row>
    <row r="4778" spans="1:3" x14ac:dyDescent="0.25">
      <c r="A4778" s="417">
        <v>41544</v>
      </c>
      <c r="B4778" s="418">
        <v>8.1793981481481481E-2</v>
      </c>
      <c r="C4778" s="421" t="s">
        <v>1403</v>
      </c>
    </row>
    <row r="4779" spans="1:3" x14ac:dyDescent="0.25">
      <c r="A4779" s="417">
        <v>41544</v>
      </c>
      <c r="B4779" s="418">
        <v>8.1793981481481481E-2</v>
      </c>
      <c r="C4779" s="421" t="s">
        <v>1403</v>
      </c>
    </row>
    <row r="4780" spans="1:3" x14ac:dyDescent="0.25">
      <c r="A4780" s="417">
        <v>41544</v>
      </c>
      <c r="B4780" s="418">
        <v>8.1793981481481481E-2</v>
      </c>
      <c r="C4780" s="421" t="s">
        <v>1403</v>
      </c>
    </row>
    <row r="4781" spans="1:3" x14ac:dyDescent="0.25">
      <c r="A4781" s="417">
        <v>41544</v>
      </c>
      <c r="B4781" s="418">
        <v>8.1805555555555562E-2</v>
      </c>
      <c r="C4781" s="421" t="s">
        <v>1362</v>
      </c>
    </row>
    <row r="4782" spans="1:3" x14ac:dyDescent="0.25">
      <c r="A4782" s="417">
        <v>41544</v>
      </c>
      <c r="B4782" s="418">
        <v>8.1805555555555562E-2</v>
      </c>
      <c r="C4782" s="421" t="s">
        <v>1364</v>
      </c>
    </row>
    <row r="4783" spans="1:3" x14ac:dyDescent="0.25">
      <c r="A4783" s="417">
        <v>41544</v>
      </c>
      <c r="B4783" s="418">
        <v>8.1805555555555562E-2</v>
      </c>
      <c r="C4783" s="421" t="s">
        <v>1364</v>
      </c>
    </row>
    <row r="4784" spans="1:3" x14ac:dyDescent="0.25">
      <c r="A4784" s="417">
        <v>41544</v>
      </c>
      <c r="B4784" s="418">
        <v>8.1828703703703709E-2</v>
      </c>
      <c r="C4784" s="421" t="s">
        <v>1381</v>
      </c>
    </row>
    <row r="4785" spans="1:3" x14ac:dyDescent="0.25">
      <c r="A4785" s="417">
        <v>41544</v>
      </c>
      <c r="B4785" s="418">
        <v>8.1828703703703709E-2</v>
      </c>
      <c r="C4785" s="421" t="s">
        <v>1364</v>
      </c>
    </row>
    <row r="4786" spans="1:3" x14ac:dyDescent="0.25">
      <c r="A4786" s="417">
        <v>41544</v>
      </c>
      <c r="B4786" s="418">
        <v>8.184027777777779E-2</v>
      </c>
      <c r="C4786" s="421" t="s">
        <v>1480</v>
      </c>
    </row>
    <row r="4787" spans="1:3" x14ac:dyDescent="0.25">
      <c r="A4787" s="417">
        <v>41544</v>
      </c>
      <c r="B4787" s="418">
        <v>8.184027777777779E-2</v>
      </c>
      <c r="C4787" s="421" t="s">
        <v>1480</v>
      </c>
    </row>
    <row r="4788" spans="1:3" x14ac:dyDescent="0.25">
      <c r="A4788" s="417">
        <v>41544</v>
      </c>
      <c r="B4788" s="418">
        <v>8.184027777777779E-2</v>
      </c>
      <c r="C4788" s="421" t="s">
        <v>1480</v>
      </c>
    </row>
    <row r="4789" spans="1:3" x14ac:dyDescent="0.25">
      <c r="A4789" s="417">
        <v>41544</v>
      </c>
      <c r="B4789" s="418">
        <v>8.184027777777779E-2</v>
      </c>
      <c r="C4789" s="421" t="s">
        <v>1716</v>
      </c>
    </row>
    <row r="4790" spans="1:3" x14ac:dyDescent="0.25">
      <c r="A4790" s="417">
        <v>41544</v>
      </c>
      <c r="B4790" s="418">
        <v>8.184027777777779E-2</v>
      </c>
      <c r="C4790" s="421" t="s">
        <v>1541</v>
      </c>
    </row>
    <row r="4791" spans="1:3" x14ac:dyDescent="0.25">
      <c r="A4791" s="417">
        <v>41544</v>
      </c>
      <c r="B4791" s="418">
        <v>8.184027777777779E-2</v>
      </c>
      <c r="C4791" s="421" t="s">
        <v>1346</v>
      </c>
    </row>
    <row r="4792" spans="1:3" x14ac:dyDescent="0.25">
      <c r="A4792" s="417">
        <v>41544</v>
      </c>
      <c r="B4792" s="418">
        <v>8.184027777777779E-2</v>
      </c>
      <c r="C4792" s="421" t="s">
        <v>1405</v>
      </c>
    </row>
    <row r="4793" spans="1:3" x14ac:dyDescent="0.25">
      <c r="A4793" s="417">
        <v>41544</v>
      </c>
      <c r="B4793" s="418">
        <v>8.1851851851851856E-2</v>
      </c>
      <c r="C4793" s="421" t="s">
        <v>1406</v>
      </c>
    </row>
    <row r="4794" spans="1:3" x14ac:dyDescent="0.25">
      <c r="A4794" s="417">
        <v>41544</v>
      </c>
      <c r="B4794" s="418">
        <v>8.1863425925925923E-2</v>
      </c>
      <c r="C4794" s="421" t="s">
        <v>1362</v>
      </c>
    </row>
    <row r="4795" spans="1:3" x14ac:dyDescent="0.25">
      <c r="A4795" s="417">
        <v>41544</v>
      </c>
      <c r="B4795" s="418">
        <v>8.188657407407407E-2</v>
      </c>
      <c r="C4795" s="421" t="s">
        <v>1717</v>
      </c>
    </row>
    <row r="4796" spans="1:3" x14ac:dyDescent="0.25">
      <c r="A4796" s="417">
        <v>41544</v>
      </c>
      <c r="B4796" s="418">
        <v>8.189814814814815E-2</v>
      </c>
      <c r="C4796" s="421" t="s">
        <v>1318</v>
      </c>
    </row>
    <row r="4797" spans="1:3" x14ac:dyDescent="0.25">
      <c r="A4797" s="417">
        <v>41544</v>
      </c>
      <c r="B4797" s="418">
        <v>8.1909722222222217E-2</v>
      </c>
      <c r="C4797" s="421" t="s">
        <v>1368</v>
      </c>
    </row>
    <row r="4798" spans="1:3" x14ac:dyDescent="0.25">
      <c r="A4798" s="417">
        <v>41544</v>
      </c>
      <c r="B4798" s="418">
        <v>8.1909722222222217E-2</v>
      </c>
      <c r="C4798" s="421" t="s">
        <v>1368</v>
      </c>
    </row>
    <row r="4799" spans="1:3" x14ac:dyDescent="0.25">
      <c r="A4799" s="417">
        <v>41544</v>
      </c>
      <c r="B4799" s="418">
        <v>8.1909722222222217E-2</v>
      </c>
      <c r="C4799" s="421" t="s">
        <v>1368</v>
      </c>
    </row>
    <row r="4800" spans="1:3" x14ac:dyDescent="0.25">
      <c r="A4800" s="417">
        <v>41544</v>
      </c>
      <c r="B4800" s="418">
        <v>8.1909722222222217E-2</v>
      </c>
      <c r="C4800" s="421" t="s">
        <v>1368</v>
      </c>
    </row>
    <row r="4801" spans="1:3" x14ac:dyDescent="0.25">
      <c r="A4801" s="417">
        <v>41544</v>
      </c>
      <c r="B4801" s="418">
        <v>8.1909722222222217E-2</v>
      </c>
      <c r="C4801" s="421" t="s">
        <v>1368</v>
      </c>
    </row>
    <row r="4802" spans="1:3" x14ac:dyDescent="0.25">
      <c r="A4802" s="417">
        <v>41544</v>
      </c>
      <c r="B4802" s="418">
        <v>8.1909722222222217E-2</v>
      </c>
      <c r="C4802" s="421" t="s">
        <v>1409</v>
      </c>
    </row>
    <row r="4803" spans="1:3" x14ac:dyDescent="0.25">
      <c r="A4803" s="417">
        <v>41544</v>
      </c>
      <c r="B4803" s="418">
        <v>8.1921296296296298E-2</v>
      </c>
      <c r="C4803" s="421" t="s">
        <v>1308</v>
      </c>
    </row>
    <row r="4804" spans="1:3" x14ac:dyDescent="0.25">
      <c r="A4804" s="417">
        <v>41544</v>
      </c>
      <c r="B4804" s="418">
        <v>8.1944444444444445E-2</v>
      </c>
      <c r="C4804" s="421" t="s">
        <v>1410</v>
      </c>
    </row>
    <row r="4805" spans="1:3" x14ac:dyDescent="0.25">
      <c r="A4805" s="417">
        <v>41544</v>
      </c>
      <c r="B4805" s="418">
        <v>8.1944444444444445E-2</v>
      </c>
      <c r="C4805" s="421" t="s">
        <v>1410</v>
      </c>
    </row>
    <row r="4806" spans="1:3" x14ac:dyDescent="0.25">
      <c r="A4806" s="417">
        <v>41544</v>
      </c>
      <c r="B4806" s="418">
        <v>8.1944444444444445E-2</v>
      </c>
      <c r="C4806" s="421" t="s">
        <v>1411</v>
      </c>
    </row>
    <row r="4807" spans="1:3" x14ac:dyDescent="0.25">
      <c r="A4807" s="417">
        <v>41544</v>
      </c>
      <c r="B4807" s="418">
        <v>8.1967592592592592E-2</v>
      </c>
      <c r="C4807" s="421" t="s">
        <v>1718</v>
      </c>
    </row>
    <row r="4808" spans="1:3" x14ac:dyDescent="0.25">
      <c r="A4808" s="417">
        <v>41544</v>
      </c>
      <c r="B4808" s="418">
        <v>8.1967592592592592E-2</v>
      </c>
      <c r="C4808" s="421" t="s">
        <v>1413</v>
      </c>
    </row>
    <row r="4809" spans="1:3" x14ac:dyDescent="0.25">
      <c r="A4809" s="417">
        <v>41544</v>
      </c>
      <c r="B4809" s="418">
        <v>8.1967592592592592E-2</v>
      </c>
      <c r="C4809" s="421" t="s">
        <v>1414</v>
      </c>
    </row>
    <row r="4810" spans="1:3" x14ac:dyDescent="0.25">
      <c r="A4810" s="417">
        <v>41544</v>
      </c>
      <c r="B4810" s="418">
        <v>8.1979166666666659E-2</v>
      </c>
      <c r="C4810" s="421" t="s">
        <v>1373</v>
      </c>
    </row>
    <row r="4811" spans="1:3" x14ac:dyDescent="0.25">
      <c r="A4811" s="417">
        <v>41544</v>
      </c>
      <c r="B4811" s="418">
        <v>8.1990740740740739E-2</v>
      </c>
      <c r="C4811" s="421" t="s">
        <v>1719</v>
      </c>
    </row>
    <row r="4812" spans="1:3" x14ac:dyDescent="0.25">
      <c r="A4812" s="417">
        <v>41544</v>
      </c>
      <c r="B4812" s="418">
        <v>8.2048611111111114E-2</v>
      </c>
      <c r="C4812" s="421" t="s">
        <v>1409</v>
      </c>
    </row>
    <row r="4813" spans="1:3" x14ac:dyDescent="0.25">
      <c r="A4813" s="417">
        <v>41544</v>
      </c>
      <c r="B4813" s="418">
        <v>8.2060185185185194E-2</v>
      </c>
      <c r="C4813" s="421" t="s">
        <v>1416</v>
      </c>
    </row>
    <row r="4814" spans="1:3" x14ac:dyDescent="0.25">
      <c r="A4814" s="417">
        <v>41544</v>
      </c>
      <c r="B4814" s="418">
        <v>8.2060185185185194E-2</v>
      </c>
      <c r="C4814" s="421" t="s">
        <v>1720</v>
      </c>
    </row>
    <row r="4815" spans="1:3" x14ac:dyDescent="0.25">
      <c r="A4815" s="417">
        <v>41544</v>
      </c>
      <c r="B4815" s="418">
        <v>8.2071759259259261E-2</v>
      </c>
      <c r="C4815" s="421" t="s">
        <v>1348</v>
      </c>
    </row>
    <row r="4816" spans="1:3" x14ac:dyDescent="0.25">
      <c r="A4816" s="417">
        <v>41544</v>
      </c>
      <c r="B4816" s="418">
        <v>8.2071759259259261E-2</v>
      </c>
      <c r="C4816" s="421" t="s">
        <v>1419</v>
      </c>
    </row>
    <row r="4817" spans="1:3" x14ac:dyDescent="0.25">
      <c r="A4817" s="417">
        <v>41544</v>
      </c>
      <c r="B4817" s="418">
        <v>8.2071759259259261E-2</v>
      </c>
      <c r="C4817" s="421" t="s">
        <v>1419</v>
      </c>
    </row>
    <row r="4818" spans="1:3" x14ac:dyDescent="0.25">
      <c r="A4818" s="417">
        <v>41544</v>
      </c>
      <c r="B4818" s="418">
        <v>8.2071759259259261E-2</v>
      </c>
      <c r="C4818" s="421" t="s">
        <v>1420</v>
      </c>
    </row>
    <row r="4819" spans="1:3" x14ac:dyDescent="0.25">
      <c r="A4819" s="417">
        <v>41544</v>
      </c>
      <c r="B4819" s="418">
        <v>8.2094907407407408E-2</v>
      </c>
      <c r="C4819" s="421" t="s">
        <v>1721</v>
      </c>
    </row>
    <row r="4820" spans="1:3" x14ac:dyDescent="0.25">
      <c r="A4820" s="417">
        <v>41544</v>
      </c>
      <c r="B4820" s="418">
        <v>8.2094907407407408E-2</v>
      </c>
      <c r="C4820" s="421" t="s">
        <v>1722</v>
      </c>
    </row>
    <row r="4821" spans="1:3" x14ac:dyDescent="0.25">
      <c r="A4821" s="417">
        <v>41544</v>
      </c>
      <c r="B4821" s="418">
        <v>8.2094907407407408E-2</v>
      </c>
      <c r="C4821" s="421" t="s">
        <v>1723</v>
      </c>
    </row>
    <row r="4822" spans="1:3" x14ac:dyDescent="0.25">
      <c r="A4822" s="417">
        <v>41544</v>
      </c>
      <c r="B4822" s="418">
        <v>8.2106481481481489E-2</v>
      </c>
      <c r="C4822" s="421" t="s">
        <v>1484</v>
      </c>
    </row>
    <row r="4823" spans="1:3" x14ac:dyDescent="0.25">
      <c r="A4823" s="417">
        <v>41544</v>
      </c>
      <c r="B4823" s="418">
        <v>8.2118055555555555E-2</v>
      </c>
      <c r="C4823" s="421" t="s">
        <v>1724</v>
      </c>
    </row>
    <row r="4824" spans="1:3" x14ac:dyDescent="0.25">
      <c r="A4824" s="417">
        <v>41544</v>
      </c>
      <c r="B4824" s="418">
        <v>8.2118055555555555E-2</v>
      </c>
      <c r="C4824" s="421" t="s">
        <v>1725</v>
      </c>
    </row>
    <row r="4825" spans="1:3" x14ac:dyDescent="0.25">
      <c r="A4825" s="417">
        <v>41544</v>
      </c>
      <c r="B4825" s="418">
        <v>8.2118055555555555E-2</v>
      </c>
      <c r="C4825" s="421" t="s">
        <v>1726</v>
      </c>
    </row>
    <row r="4826" spans="1:3" x14ac:dyDescent="0.25">
      <c r="A4826" s="417">
        <v>41544</v>
      </c>
      <c r="B4826" s="418">
        <v>8.2118055555555555E-2</v>
      </c>
      <c r="C4826" s="421" t="s">
        <v>1727</v>
      </c>
    </row>
    <row r="4827" spans="1:3" x14ac:dyDescent="0.25">
      <c r="A4827" s="417">
        <v>41544</v>
      </c>
      <c r="B4827" s="418">
        <v>8.2118055555555555E-2</v>
      </c>
      <c r="C4827" s="421" t="s">
        <v>1320</v>
      </c>
    </row>
    <row r="4828" spans="1:3" x14ac:dyDescent="0.25">
      <c r="A4828" s="417">
        <v>41544</v>
      </c>
      <c r="B4828" s="418">
        <v>8.2129629629629622E-2</v>
      </c>
      <c r="C4828" s="421" t="s">
        <v>1429</v>
      </c>
    </row>
    <row r="4829" spans="1:3" x14ac:dyDescent="0.25">
      <c r="A4829" s="417">
        <v>41544</v>
      </c>
      <c r="B4829" s="418">
        <v>8.2152777777777783E-2</v>
      </c>
      <c r="C4829" s="421" t="s">
        <v>1430</v>
      </c>
    </row>
    <row r="4830" spans="1:3" x14ac:dyDescent="0.25">
      <c r="A4830" s="417">
        <v>41544</v>
      </c>
      <c r="B4830" s="418">
        <v>8.2152777777777783E-2</v>
      </c>
      <c r="C4830" s="421" t="s">
        <v>1728</v>
      </c>
    </row>
    <row r="4831" spans="1:3" x14ac:dyDescent="0.25">
      <c r="A4831" s="417">
        <v>41544</v>
      </c>
      <c r="B4831" s="418">
        <v>8.2210648148148144E-2</v>
      </c>
      <c r="C4831" s="421" t="s">
        <v>1308</v>
      </c>
    </row>
    <row r="4832" spans="1:3" x14ac:dyDescent="0.25">
      <c r="A4832" s="417">
        <v>41544</v>
      </c>
      <c r="B4832" s="418">
        <v>8.2210648148148144E-2</v>
      </c>
      <c r="C4832" s="421" t="s">
        <v>1360</v>
      </c>
    </row>
    <row r="4833" spans="1:3" x14ac:dyDescent="0.25">
      <c r="A4833" s="417">
        <v>41544</v>
      </c>
      <c r="B4833" s="418">
        <v>8.2210648148148144E-2</v>
      </c>
      <c r="C4833" s="421" t="s">
        <v>1432</v>
      </c>
    </row>
    <row r="4834" spans="1:3" x14ac:dyDescent="0.25">
      <c r="A4834" s="417">
        <v>41544</v>
      </c>
      <c r="B4834" s="418">
        <v>8.2210648148148144E-2</v>
      </c>
      <c r="C4834" s="421" t="s">
        <v>1432</v>
      </c>
    </row>
    <row r="4835" spans="1:3" x14ac:dyDescent="0.25">
      <c r="A4835" s="417">
        <v>41544</v>
      </c>
      <c r="B4835" s="418">
        <v>8.222222222222221E-2</v>
      </c>
      <c r="C4835" s="421" t="s">
        <v>1432</v>
      </c>
    </row>
    <row r="4836" spans="1:3" x14ac:dyDescent="0.25">
      <c r="A4836" s="417">
        <v>41544</v>
      </c>
      <c r="B4836" s="418">
        <v>8.222222222222221E-2</v>
      </c>
      <c r="C4836" s="421" t="s">
        <v>1413</v>
      </c>
    </row>
    <row r="4837" spans="1:3" x14ac:dyDescent="0.25">
      <c r="A4837" s="417">
        <v>41544</v>
      </c>
      <c r="B4837" s="418">
        <v>8.2233796296296291E-2</v>
      </c>
      <c r="C4837" s="421" t="s">
        <v>1729</v>
      </c>
    </row>
    <row r="4838" spans="1:3" x14ac:dyDescent="0.25">
      <c r="A4838" s="417">
        <v>41544</v>
      </c>
      <c r="B4838" s="418">
        <v>8.2245370370370371E-2</v>
      </c>
      <c r="C4838" s="421" t="s">
        <v>1730</v>
      </c>
    </row>
    <row r="4839" spans="1:3" x14ac:dyDescent="0.25">
      <c r="A4839" s="417">
        <v>41544</v>
      </c>
      <c r="B4839" s="418">
        <v>8.2245370370370371E-2</v>
      </c>
      <c r="C4839" s="421" t="s">
        <v>1731</v>
      </c>
    </row>
    <row r="4840" spans="1:3" x14ac:dyDescent="0.25">
      <c r="A4840" s="417">
        <v>41544</v>
      </c>
      <c r="B4840" s="418">
        <v>8.2245370370370371E-2</v>
      </c>
      <c r="C4840" s="421" t="s">
        <v>1732</v>
      </c>
    </row>
    <row r="4841" spans="1:3" x14ac:dyDescent="0.25">
      <c r="A4841" s="417">
        <v>41544</v>
      </c>
      <c r="B4841" s="418">
        <v>8.2245370370370371E-2</v>
      </c>
      <c r="C4841" s="421" t="s">
        <v>1733</v>
      </c>
    </row>
    <row r="4842" spans="1:3" x14ac:dyDescent="0.25">
      <c r="A4842" s="417">
        <v>41544</v>
      </c>
      <c r="B4842" s="418">
        <v>8.2245370370370371E-2</v>
      </c>
      <c r="C4842" s="421" t="s">
        <v>1734</v>
      </c>
    </row>
    <row r="4843" spans="1:3" x14ac:dyDescent="0.25">
      <c r="A4843" s="417">
        <v>41544</v>
      </c>
      <c r="B4843" s="418">
        <v>8.2256944444444438E-2</v>
      </c>
      <c r="C4843" s="421" t="s">
        <v>1735</v>
      </c>
    </row>
    <row r="4844" spans="1:3" x14ac:dyDescent="0.25">
      <c r="A4844" s="417">
        <v>41544</v>
      </c>
      <c r="B4844" s="418">
        <v>8.2280092592592599E-2</v>
      </c>
      <c r="C4844" s="421" t="s">
        <v>1736</v>
      </c>
    </row>
    <row r="4845" spans="1:3" x14ac:dyDescent="0.25">
      <c r="A4845" s="417">
        <v>41544</v>
      </c>
      <c r="B4845" s="418">
        <v>8.233796296296296E-2</v>
      </c>
      <c r="C4845" s="421" t="s">
        <v>1737</v>
      </c>
    </row>
    <row r="4846" spans="1:3" x14ac:dyDescent="0.25">
      <c r="A4846" s="417">
        <v>41544</v>
      </c>
      <c r="B4846" s="418">
        <v>8.2361111111111107E-2</v>
      </c>
      <c r="C4846" s="421" t="s">
        <v>1320</v>
      </c>
    </row>
    <row r="4847" spans="1:3" x14ac:dyDescent="0.25">
      <c r="A4847" s="417">
        <v>41544</v>
      </c>
      <c r="B4847" s="418">
        <v>8.2430555555555562E-2</v>
      </c>
      <c r="C4847" s="421" t="s">
        <v>1738</v>
      </c>
    </row>
    <row r="4848" spans="1:3" x14ac:dyDescent="0.25">
      <c r="A4848" s="417">
        <v>41544</v>
      </c>
      <c r="B4848" s="418">
        <v>8.2430555555555562E-2</v>
      </c>
      <c r="C4848" s="421" t="s">
        <v>1739</v>
      </c>
    </row>
    <row r="4849" spans="1:3" x14ac:dyDescent="0.25">
      <c r="A4849" s="417">
        <v>41544</v>
      </c>
      <c r="B4849" s="418">
        <v>8.2430555555555562E-2</v>
      </c>
      <c r="C4849" s="421" t="s">
        <v>1740</v>
      </c>
    </row>
    <row r="4850" spans="1:3" x14ac:dyDescent="0.25">
      <c r="A4850" s="417">
        <v>41544</v>
      </c>
      <c r="B4850" s="418">
        <v>8.2430555555555562E-2</v>
      </c>
      <c r="C4850" s="421" t="s">
        <v>1741</v>
      </c>
    </row>
    <row r="4851" spans="1:3" x14ac:dyDescent="0.25">
      <c r="A4851" s="417">
        <v>41544</v>
      </c>
      <c r="B4851" s="418">
        <v>8.2442129629629629E-2</v>
      </c>
      <c r="C4851" s="421" t="s">
        <v>1446</v>
      </c>
    </row>
    <row r="4852" spans="1:3" x14ac:dyDescent="0.25">
      <c r="A4852" s="417">
        <v>41544</v>
      </c>
      <c r="B4852" s="418">
        <v>8.2557870370370365E-2</v>
      </c>
      <c r="C4852" s="421" t="s">
        <v>1742</v>
      </c>
    </row>
    <row r="4853" spans="1:3" x14ac:dyDescent="0.25">
      <c r="A4853" s="417">
        <v>41544</v>
      </c>
      <c r="B4853" s="418">
        <v>8.2569444444444445E-2</v>
      </c>
      <c r="C4853" s="421" t="s">
        <v>1389</v>
      </c>
    </row>
    <row r="4854" spans="1:3" x14ac:dyDescent="0.25">
      <c r="A4854" s="417">
        <v>41544</v>
      </c>
      <c r="B4854" s="418">
        <v>8.2569444444444445E-2</v>
      </c>
      <c r="C4854" s="421" t="s">
        <v>1448</v>
      </c>
    </row>
    <row r="4855" spans="1:3" x14ac:dyDescent="0.25">
      <c r="A4855" s="417">
        <v>41544</v>
      </c>
      <c r="B4855" s="418">
        <v>8.2581018518518512E-2</v>
      </c>
      <c r="C4855" s="421" t="s">
        <v>1450</v>
      </c>
    </row>
    <row r="4856" spans="1:3" x14ac:dyDescent="0.25">
      <c r="A4856" s="417">
        <v>41544</v>
      </c>
      <c r="B4856" s="418">
        <v>8.2581018518518512E-2</v>
      </c>
      <c r="C4856" s="421" t="s">
        <v>1450</v>
      </c>
    </row>
    <row r="4857" spans="1:3" x14ac:dyDescent="0.25">
      <c r="A4857" s="417">
        <v>41544</v>
      </c>
      <c r="B4857" s="418">
        <v>8.2581018518518512E-2</v>
      </c>
      <c r="C4857" s="421" t="s">
        <v>1450</v>
      </c>
    </row>
    <row r="4858" spans="1:3" x14ac:dyDescent="0.25">
      <c r="A4858" s="417">
        <v>41544</v>
      </c>
      <c r="B4858" s="418">
        <v>8.2581018518518512E-2</v>
      </c>
      <c r="C4858" s="421" t="s">
        <v>1450</v>
      </c>
    </row>
    <row r="4859" spans="1:3" x14ac:dyDescent="0.25">
      <c r="A4859" s="417">
        <v>41544</v>
      </c>
      <c r="B4859" s="418">
        <v>8.2581018518518512E-2</v>
      </c>
      <c r="C4859" s="421" t="s">
        <v>1450</v>
      </c>
    </row>
    <row r="4860" spans="1:3" x14ac:dyDescent="0.25">
      <c r="A4860" s="417">
        <v>41544</v>
      </c>
      <c r="B4860" s="418">
        <v>8.2581018518518512E-2</v>
      </c>
      <c r="C4860" s="421" t="s">
        <v>1450</v>
      </c>
    </row>
    <row r="4861" spans="1:3" x14ac:dyDescent="0.25">
      <c r="A4861" s="417">
        <v>41544</v>
      </c>
      <c r="B4861" s="418">
        <v>8.2581018518518512E-2</v>
      </c>
      <c r="C4861" s="421" t="s">
        <v>1450</v>
      </c>
    </row>
    <row r="4862" spans="1:3" x14ac:dyDescent="0.25">
      <c r="A4862" s="417">
        <v>41544</v>
      </c>
      <c r="B4862" s="418">
        <v>8.2754629629629636E-2</v>
      </c>
      <c r="C4862" s="421" t="s">
        <v>1448</v>
      </c>
    </row>
    <row r="4863" spans="1:3" x14ac:dyDescent="0.25">
      <c r="A4863" s="417">
        <v>41544</v>
      </c>
      <c r="B4863" s="418">
        <v>8.2789351851851864E-2</v>
      </c>
      <c r="C4863" s="421" t="s">
        <v>1399</v>
      </c>
    </row>
    <row r="4864" spans="1:3" x14ac:dyDescent="0.25">
      <c r="A4864" s="417">
        <v>41544</v>
      </c>
      <c r="B4864" s="418">
        <v>8.2824074074074064E-2</v>
      </c>
      <c r="C4864" s="421" t="s">
        <v>1309</v>
      </c>
    </row>
    <row r="4865" spans="1:3" x14ac:dyDescent="0.25">
      <c r="A4865" s="417">
        <v>41544</v>
      </c>
      <c r="B4865" s="418">
        <v>8.7511574074074075E-2</v>
      </c>
      <c r="C4865" s="421" t="s">
        <v>1307</v>
      </c>
    </row>
    <row r="4866" spans="1:3" x14ac:dyDescent="0.25">
      <c r="A4866" s="417">
        <v>41544</v>
      </c>
      <c r="B4866" s="418">
        <v>8.7511574074074075E-2</v>
      </c>
      <c r="C4866" s="421" t="s">
        <v>1308</v>
      </c>
    </row>
    <row r="4867" spans="1:3" x14ac:dyDescent="0.25">
      <c r="A4867" s="417">
        <v>41544</v>
      </c>
      <c r="B4867" s="418">
        <v>8.7511574074074075E-2</v>
      </c>
      <c r="C4867" s="421" t="s">
        <v>1309</v>
      </c>
    </row>
    <row r="4868" spans="1:3" x14ac:dyDescent="0.25">
      <c r="A4868" s="417">
        <v>41544</v>
      </c>
      <c r="B4868" s="418">
        <v>8.7511574074074075E-2</v>
      </c>
      <c r="C4868" s="421" t="s">
        <v>1310</v>
      </c>
    </row>
    <row r="4869" spans="1:3" x14ac:dyDescent="0.25">
      <c r="A4869" s="417">
        <v>41544</v>
      </c>
      <c r="B4869" s="418">
        <v>8.7511574074074075E-2</v>
      </c>
      <c r="C4869" s="421" t="s">
        <v>1311</v>
      </c>
    </row>
    <row r="4870" spans="1:3" x14ac:dyDescent="0.25">
      <c r="A4870" s="417">
        <v>41544</v>
      </c>
      <c r="B4870" s="418">
        <v>8.7511574074074075E-2</v>
      </c>
      <c r="C4870" s="421" t="s">
        <v>1312</v>
      </c>
    </row>
    <row r="4871" spans="1:3" x14ac:dyDescent="0.25">
      <c r="A4871" s="417">
        <v>41544</v>
      </c>
      <c r="B4871" s="418">
        <v>8.7511574074074075E-2</v>
      </c>
      <c r="C4871" s="421" t="s">
        <v>1313</v>
      </c>
    </row>
    <row r="4872" spans="1:3" x14ac:dyDescent="0.25">
      <c r="A4872" s="417">
        <v>41544</v>
      </c>
      <c r="B4872" s="418">
        <v>8.7511574074074075E-2</v>
      </c>
      <c r="C4872" s="421" t="s">
        <v>1310</v>
      </c>
    </row>
    <row r="4873" spans="1:3" x14ac:dyDescent="0.25">
      <c r="A4873" s="417">
        <v>41544</v>
      </c>
      <c r="B4873" s="418">
        <v>8.7511574074074075E-2</v>
      </c>
      <c r="C4873" s="421" t="s">
        <v>1314</v>
      </c>
    </row>
    <row r="4874" spans="1:3" x14ac:dyDescent="0.25">
      <c r="A4874" s="417">
        <v>41544</v>
      </c>
      <c r="B4874" s="418">
        <v>8.7511574074074075E-2</v>
      </c>
      <c r="C4874" s="421" t="s">
        <v>1315</v>
      </c>
    </row>
    <row r="4875" spans="1:3" x14ac:dyDescent="0.25">
      <c r="A4875" s="417">
        <v>41544</v>
      </c>
      <c r="B4875" s="418">
        <v>8.7511574074074075E-2</v>
      </c>
      <c r="C4875" s="421" t="s">
        <v>1460</v>
      </c>
    </row>
    <row r="4876" spans="1:3" x14ac:dyDescent="0.25">
      <c r="A4876" s="417">
        <v>41544</v>
      </c>
      <c r="B4876" s="418">
        <v>8.7511574074074075E-2</v>
      </c>
      <c r="C4876" s="421" t="s">
        <v>1461</v>
      </c>
    </row>
    <row r="4877" spans="1:3" x14ac:dyDescent="0.25">
      <c r="A4877" s="417">
        <v>41544</v>
      </c>
      <c r="B4877" s="418">
        <v>8.7511574074074075E-2</v>
      </c>
      <c r="C4877" s="421" t="s">
        <v>1310</v>
      </c>
    </row>
    <row r="4878" spans="1:3" x14ac:dyDescent="0.25">
      <c r="A4878" s="417">
        <v>41544</v>
      </c>
      <c r="B4878" s="418">
        <v>8.7511574074074075E-2</v>
      </c>
      <c r="C4878" s="421" t="s">
        <v>1462</v>
      </c>
    </row>
    <row r="4879" spans="1:3" x14ac:dyDescent="0.25">
      <c r="A4879" s="417">
        <v>41544</v>
      </c>
      <c r="B4879" s="418">
        <v>8.7511574074074075E-2</v>
      </c>
      <c r="C4879" s="421" t="s">
        <v>1316</v>
      </c>
    </row>
    <row r="4880" spans="1:3" x14ac:dyDescent="0.25">
      <c r="A4880" s="417">
        <v>41544</v>
      </c>
      <c r="B4880" s="418">
        <v>8.7511574074074075E-2</v>
      </c>
      <c r="C4880" s="421" t="s">
        <v>1316</v>
      </c>
    </row>
    <row r="4881" spans="1:3" x14ac:dyDescent="0.25">
      <c r="A4881" s="417">
        <v>41544</v>
      </c>
      <c r="B4881" s="418">
        <v>8.7511574074074075E-2</v>
      </c>
      <c r="C4881" s="421" t="s">
        <v>1317</v>
      </c>
    </row>
    <row r="4882" spans="1:3" x14ac:dyDescent="0.25">
      <c r="A4882" s="417">
        <v>41544</v>
      </c>
      <c r="B4882" s="418">
        <v>8.7511574074074075E-2</v>
      </c>
      <c r="C4882" s="421" t="s">
        <v>1309</v>
      </c>
    </row>
    <row r="4883" spans="1:3" x14ac:dyDescent="0.25">
      <c r="A4883" s="417">
        <v>41544</v>
      </c>
      <c r="B4883" s="418">
        <v>8.7511574074074075E-2</v>
      </c>
      <c r="C4883" s="421" t="s">
        <v>1318</v>
      </c>
    </row>
    <row r="4884" spans="1:3" x14ac:dyDescent="0.25">
      <c r="A4884" s="417">
        <v>41544</v>
      </c>
      <c r="B4884" s="418">
        <v>8.7511574074074075E-2</v>
      </c>
      <c r="C4884" s="421" t="s">
        <v>1319</v>
      </c>
    </row>
    <row r="4885" spans="1:3" x14ac:dyDescent="0.25">
      <c r="A4885" s="417">
        <v>41544</v>
      </c>
      <c r="B4885" s="418">
        <v>8.7511574074074075E-2</v>
      </c>
      <c r="C4885" s="421" t="s">
        <v>1320</v>
      </c>
    </row>
    <row r="4886" spans="1:3" x14ac:dyDescent="0.25">
      <c r="A4886" s="417">
        <v>41544</v>
      </c>
      <c r="B4886" s="418">
        <v>8.7511574074074075E-2</v>
      </c>
      <c r="C4886" s="421" t="s">
        <v>1318</v>
      </c>
    </row>
    <row r="4887" spans="1:3" x14ac:dyDescent="0.25">
      <c r="A4887" s="417">
        <v>41544</v>
      </c>
      <c r="B4887" s="418">
        <v>8.7511574074074075E-2</v>
      </c>
      <c r="C4887" s="421" t="s">
        <v>1307</v>
      </c>
    </row>
    <row r="4888" spans="1:3" x14ac:dyDescent="0.25">
      <c r="A4888" s="417">
        <v>41544</v>
      </c>
      <c r="B4888" s="418">
        <v>8.7523148148148155E-2</v>
      </c>
      <c r="C4888" s="421" t="s">
        <v>1321</v>
      </c>
    </row>
    <row r="4889" spans="1:3" x14ac:dyDescent="0.25">
      <c r="A4889" s="417">
        <v>41544</v>
      </c>
      <c r="B4889" s="418">
        <v>8.7523148148148155E-2</v>
      </c>
      <c r="C4889" s="421" t="s">
        <v>1322</v>
      </c>
    </row>
    <row r="4890" spans="1:3" x14ac:dyDescent="0.25">
      <c r="A4890" s="417">
        <v>41544</v>
      </c>
      <c r="B4890" s="418">
        <v>8.7523148148148155E-2</v>
      </c>
      <c r="C4890" s="421" t="s">
        <v>1322</v>
      </c>
    </row>
    <row r="4891" spans="1:3" x14ac:dyDescent="0.25">
      <c r="A4891" s="417">
        <v>41544</v>
      </c>
      <c r="B4891" s="418">
        <v>8.7523148148148155E-2</v>
      </c>
      <c r="C4891" s="421" t="s">
        <v>1323</v>
      </c>
    </row>
    <row r="4892" spans="1:3" x14ac:dyDescent="0.25">
      <c r="A4892" s="417">
        <v>41544</v>
      </c>
      <c r="B4892" s="418">
        <v>8.7523148148148155E-2</v>
      </c>
      <c r="C4892" s="421" t="s">
        <v>1324</v>
      </c>
    </row>
    <row r="4893" spans="1:3" x14ac:dyDescent="0.25">
      <c r="A4893" s="417">
        <v>41544</v>
      </c>
      <c r="B4893" s="418">
        <v>8.7523148148148155E-2</v>
      </c>
      <c r="C4893" s="421" t="s">
        <v>1310</v>
      </c>
    </row>
    <row r="4894" spans="1:3" x14ac:dyDescent="0.25">
      <c r="A4894" s="417">
        <v>41544</v>
      </c>
      <c r="B4894" s="418">
        <v>8.7523148148148155E-2</v>
      </c>
      <c r="C4894" s="421" t="s">
        <v>1325</v>
      </c>
    </row>
    <row r="4895" spans="1:3" x14ac:dyDescent="0.25">
      <c r="A4895" s="417">
        <v>41544</v>
      </c>
      <c r="B4895" s="418">
        <v>8.7523148148148155E-2</v>
      </c>
      <c r="C4895" s="421" t="s">
        <v>1326</v>
      </c>
    </row>
    <row r="4896" spans="1:3" x14ac:dyDescent="0.25">
      <c r="A4896" s="417">
        <v>41544</v>
      </c>
      <c r="B4896" s="418">
        <v>8.7523148148148155E-2</v>
      </c>
      <c r="C4896" s="421" t="s">
        <v>1238</v>
      </c>
    </row>
    <row r="4897" spans="1:3" x14ac:dyDescent="0.25">
      <c r="A4897" s="417">
        <v>41544</v>
      </c>
      <c r="B4897" s="418">
        <v>8.7523148148148155E-2</v>
      </c>
      <c r="C4897" s="421" t="s">
        <v>1327</v>
      </c>
    </row>
    <row r="4898" spans="1:3" x14ac:dyDescent="0.25">
      <c r="A4898" s="417">
        <v>41544</v>
      </c>
      <c r="B4898" s="418">
        <v>8.7523148148148155E-2</v>
      </c>
      <c r="C4898" s="421" t="s">
        <v>1323</v>
      </c>
    </row>
    <row r="4899" spans="1:3" x14ac:dyDescent="0.25">
      <c r="A4899" s="417">
        <v>41544</v>
      </c>
      <c r="B4899" s="418">
        <v>8.7523148148148155E-2</v>
      </c>
      <c r="C4899" s="421" t="s">
        <v>1342</v>
      </c>
    </row>
    <row r="4900" spans="1:3" x14ac:dyDescent="0.25">
      <c r="A4900" s="417">
        <v>41544</v>
      </c>
      <c r="B4900" s="418">
        <v>8.7523148148148155E-2</v>
      </c>
      <c r="C4900" s="421" t="s">
        <v>1343</v>
      </c>
    </row>
    <row r="4901" spans="1:3" x14ac:dyDescent="0.25">
      <c r="A4901" s="417">
        <v>41544</v>
      </c>
      <c r="B4901" s="418">
        <v>8.7523148148148155E-2</v>
      </c>
      <c r="C4901" s="421" t="s">
        <v>1344</v>
      </c>
    </row>
    <row r="4902" spans="1:3" x14ac:dyDescent="0.25">
      <c r="A4902" s="417">
        <v>41544</v>
      </c>
      <c r="B4902" s="418">
        <v>8.7523148148148155E-2</v>
      </c>
      <c r="C4902" s="421" t="s">
        <v>1344</v>
      </c>
    </row>
    <row r="4903" spans="1:3" x14ac:dyDescent="0.25">
      <c r="A4903" s="417">
        <v>41544</v>
      </c>
      <c r="B4903" s="418">
        <v>8.7523148148148155E-2</v>
      </c>
      <c r="C4903" s="421" t="s">
        <v>1310</v>
      </c>
    </row>
    <row r="4904" spans="1:3" x14ac:dyDescent="0.25">
      <c r="A4904" s="417">
        <v>41544</v>
      </c>
      <c r="B4904" s="418">
        <v>8.7523148148148155E-2</v>
      </c>
      <c r="C4904" s="421" t="s">
        <v>1345</v>
      </c>
    </row>
    <row r="4905" spans="1:3" x14ac:dyDescent="0.25">
      <c r="A4905" s="417">
        <v>41544</v>
      </c>
      <c r="B4905" s="418">
        <v>8.7523148148148155E-2</v>
      </c>
      <c r="C4905" s="421" t="s">
        <v>1346</v>
      </c>
    </row>
    <row r="4906" spans="1:3" x14ac:dyDescent="0.25">
      <c r="A4906" s="417">
        <v>41544</v>
      </c>
      <c r="B4906" s="418">
        <v>8.7523148148148155E-2</v>
      </c>
      <c r="C4906" s="421" t="s">
        <v>1347</v>
      </c>
    </row>
    <row r="4907" spans="1:3" x14ac:dyDescent="0.25">
      <c r="A4907" s="417">
        <v>41544</v>
      </c>
      <c r="B4907" s="418">
        <v>8.7523148148148155E-2</v>
      </c>
      <c r="C4907" s="421" t="s">
        <v>1348</v>
      </c>
    </row>
    <row r="4908" spans="1:3" x14ac:dyDescent="0.25">
      <c r="A4908" s="417">
        <v>41544</v>
      </c>
      <c r="B4908" s="418">
        <v>8.7523148148148155E-2</v>
      </c>
      <c r="C4908" s="421" t="s">
        <v>1349</v>
      </c>
    </row>
    <row r="4909" spans="1:3" x14ac:dyDescent="0.25">
      <c r="A4909" s="417">
        <v>41544</v>
      </c>
      <c r="B4909" s="418">
        <v>8.7523148148148155E-2</v>
      </c>
      <c r="C4909" s="421" t="s">
        <v>1349</v>
      </c>
    </row>
    <row r="4910" spans="1:3" x14ac:dyDescent="0.25">
      <c r="A4910" s="417">
        <v>41544</v>
      </c>
      <c r="B4910" s="418">
        <v>8.7523148148148155E-2</v>
      </c>
      <c r="C4910" s="421" t="s">
        <v>1348</v>
      </c>
    </row>
    <row r="4911" spans="1:3" x14ac:dyDescent="0.25">
      <c r="A4911" s="417">
        <v>41544</v>
      </c>
      <c r="B4911" s="418">
        <v>8.7523148148148155E-2</v>
      </c>
      <c r="C4911" s="421" t="s">
        <v>1350</v>
      </c>
    </row>
    <row r="4912" spans="1:3" x14ac:dyDescent="0.25">
      <c r="A4912" s="417">
        <v>41544</v>
      </c>
      <c r="B4912" s="418">
        <v>8.7523148148148155E-2</v>
      </c>
      <c r="C4912" s="421" t="s">
        <v>1351</v>
      </c>
    </row>
    <row r="4913" spans="1:3" x14ac:dyDescent="0.25">
      <c r="A4913" s="417">
        <v>41544</v>
      </c>
      <c r="B4913" s="418">
        <v>8.7523148148148155E-2</v>
      </c>
      <c r="C4913" s="421" t="s">
        <v>1352</v>
      </c>
    </row>
    <row r="4914" spans="1:3" x14ac:dyDescent="0.25">
      <c r="A4914" s="417">
        <v>41544</v>
      </c>
      <c r="B4914" s="418">
        <v>8.7523148148148155E-2</v>
      </c>
      <c r="C4914" s="421" t="s">
        <v>1768</v>
      </c>
    </row>
    <row r="4915" spans="1:3" x14ac:dyDescent="0.25">
      <c r="A4915" s="417">
        <v>41544</v>
      </c>
      <c r="B4915" s="418">
        <v>8.7523148148148155E-2</v>
      </c>
      <c r="C4915" s="421" t="s">
        <v>1353</v>
      </c>
    </row>
    <row r="4916" spans="1:3" x14ac:dyDescent="0.25">
      <c r="A4916" s="417">
        <v>41544</v>
      </c>
      <c r="B4916" s="418">
        <v>8.7523148148148155E-2</v>
      </c>
      <c r="C4916" s="421" t="s">
        <v>1354</v>
      </c>
    </row>
    <row r="4917" spans="1:3" x14ac:dyDescent="0.25">
      <c r="A4917" s="417">
        <v>41544</v>
      </c>
      <c r="B4917" s="418">
        <v>8.7534722222222208E-2</v>
      </c>
      <c r="C4917" s="421" t="s">
        <v>1357</v>
      </c>
    </row>
    <row r="4918" spans="1:3" x14ac:dyDescent="0.25">
      <c r="A4918" s="417">
        <v>41544</v>
      </c>
      <c r="B4918" s="418">
        <v>8.7534722222222208E-2</v>
      </c>
      <c r="C4918" s="421" t="s">
        <v>1358</v>
      </c>
    </row>
    <row r="4919" spans="1:3" x14ac:dyDescent="0.25">
      <c r="A4919" s="417">
        <v>41544</v>
      </c>
      <c r="B4919" s="418">
        <v>8.7534722222222208E-2</v>
      </c>
      <c r="C4919" s="421" t="s">
        <v>1359</v>
      </c>
    </row>
    <row r="4920" spans="1:3" x14ac:dyDescent="0.25">
      <c r="A4920" s="417">
        <v>41544</v>
      </c>
      <c r="B4920" s="418">
        <v>8.7534722222222208E-2</v>
      </c>
      <c r="C4920" s="421" t="s">
        <v>1360</v>
      </c>
    </row>
    <row r="4921" spans="1:3" x14ac:dyDescent="0.25">
      <c r="A4921" s="417">
        <v>41544</v>
      </c>
      <c r="B4921" s="418">
        <v>8.7534722222222208E-2</v>
      </c>
      <c r="C4921" s="421" t="s">
        <v>1361</v>
      </c>
    </row>
    <row r="4922" spans="1:3" x14ac:dyDescent="0.25">
      <c r="A4922" s="417">
        <v>41544</v>
      </c>
      <c r="B4922" s="418">
        <v>8.7534722222222208E-2</v>
      </c>
      <c r="C4922" s="421" t="s">
        <v>1317</v>
      </c>
    </row>
    <row r="4923" spans="1:3" x14ac:dyDescent="0.25">
      <c r="A4923" s="417">
        <v>41544</v>
      </c>
      <c r="B4923" s="418">
        <v>8.7534722222222208E-2</v>
      </c>
      <c r="C4923" s="421" t="s">
        <v>1537</v>
      </c>
    </row>
    <row r="4924" spans="1:3" x14ac:dyDescent="0.25">
      <c r="A4924" s="417">
        <v>41544</v>
      </c>
      <c r="B4924" s="418">
        <v>8.7534722222222208E-2</v>
      </c>
      <c r="C4924" s="421" t="s">
        <v>1362</v>
      </c>
    </row>
    <row r="4925" spans="1:3" x14ac:dyDescent="0.25">
      <c r="A4925" s="417">
        <v>41544</v>
      </c>
      <c r="B4925" s="418">
        <v>8.7534722222222208E-2</v>
      </c>
      <c r="C4925" s="421" t="s">
        <v>1363</v>
      </c>
    </row>
    <row r="4926" spans="1:3" x14ac:dyDescent="0.25">
      <c r="A4926" s="417">
        <v>41544</v>
      </c>
      <c r="B4926" s="418">
        <v>8.7534722222222208E-2</v>
      </c>
      <c r="C4926" s="421" t="s">
        <v>1364</v>
      </c>
    </row>
    <row r="4927" spans="1:3" x14ac:dyDescent="0.25">
      <c r="A4927" s="417">
        <v>41544</v>
      </c>
      <c r="B4927" s="418">
        <v>8.7534722222222208E-2</v>
      </c>
      <c r="C4927" s="421" t="s">
        <v>1365</v>
      </c>
    </row>
    <row r="4928" spans="1:3" x14ac:dyDescent="0.25">
      <c r="A4928" s="417">
        <v>41544</v>
      </c>
      <c r="B4928" s="418">
        <v>8.7534722222222208E-2</v>
      </c>
      <c r="C4928" s="421" t="s">
        <v>1365</v>
      </c>
    </row>
    <row r="4929" spans="1:3" x14ac:dyDescent="0.25">
      <c r="A4929" s="417">
        <v>41544</v>
      </c>
      <c r="B4929" s="418">
        <v>8.7534722222222208E-2</v>
      </c>
      <c r="C4929" s="421" t="s">
        <v>1320</v>
      </c>
    </row>
    <row r="4930" spans="1:3" x14ac:dyDescent="0.25">
      <c r="A4930" s="417">
        <v>41544</v>
      </c>
      <c r="B4930" s="418">
        <v>8.7534722222222208E-2</v>
      </c>
      <c r="C4930" s="421" t="s">
        <v>1367</v>
      </c>
    </row>
    <row r="4931" spans="1:3" x14ac:dyDescent="0.25">
      <c r="A4931" s="417">
        <v>41544</v>
      </c>
      <c r="B4931" s="418">
        <v>8.7534722222222208E-2</v>
      </c>
      <c r="C4931" s="421" t="s">
        <v>1344</v>
      </c>
    </row>
    <row r="4932" spans="1:3" x14ac:dyDescent="0.25">
      <c r="A4932" s="417">
        <v>41544</v>
      </c>
      <c r="B4932" s="418">
        <v>8.7534722222222208E-2</v>
      </c>
      <c r="C4932" s="421" t="s">
        <v>1368</v>
      </c>
    </row>
    <row r="4933" spans="1:3" x14ac:dyDescent="0.25">
      <c r="A4933" s="417">
        <v>41544</v>
      </c>
      <c r="B4933" s="418">
        <v>8.7534722222222208E-2</v>
      </c>
      <c r="C4933" s="421" t="s">
        <v>1369</v>
      </c>
    </row>
    <row r="4934" spans="1:3" x14ac:dyDescent="0.25">
      <c r="A4934" s="417">
        <v>41544</v>
      </c>
      <c r="B4934" s="418">
        <v>8.7534722222222208E-2</v>
      </c>
      <c r="C4934" s="421" t="s">
        <v>1307</v>
      </c>
    </row>
    <row r="4935" spans="1:3" x14ac:dyDescent="0.25">
      <c r="A4935" s="417">
        <v>41544</v>
      </c>
      <c r="B4935" s="418">
        <v>8.7534722222222208E-2</v>
      </c>
      <c r="C4935" s="421" t="s">
        <v>1370</v>
      </c>
    </row>
    <row r="4936" spans="1:3" x14ac:dyDescent="0.25">
      <c r="A4936" s="417">
        <v>41544</v>
      </c>
      <c r="B4936" s="418">
        <v>8.7534722222222208E-2</v>
      </c>
      <c r="C4936" s="421" t="s">
        <v>1371</v>
      </c>
    </row>
    <row r="4937" spans="1:3" x14ac:dyDescent="0.25">
      <c r="A4937" s="417">
        <v>41544</v>
      </c>
      <c r="B4937" s="418">
        <v>8.7534722222222208E-2</v>
      </c>
      <c r="C4937" s="421" t="s">
        <v>1344</v>
      </c>
    </row>
    <row r="4938" spans="1:3" x14ac:dyDescent="0.25">
      <c r="A4938" s="417">
        <v>41544</v>
      </c>
      <c r="B4938" s="418">
        <v>8.7534722222222208E-2</v>
      </c>
      <c r="C4938" s="421" t="s">
        <v>1317</v>
      </c>
    </row>
    <row r="4939" spans="1:3" x14ac:dyDescent="0.25">
      <c r="A4939" s="417">
        <v>41544</v>
      </c>
      <c r="B4939" s="418">
        <v>8.7534722222222208E-2</v>
      </c>
      <c r="C4939" s="421" t="s">
        <v>1463</v>
      </c>
    </row>
    <row r="4940" spans="1:3" x14ac:dyDescent="0.25">
      <c r="A4940" s="417">
        <v>41544</v>
      </c>
      <c r="B4940" s="418">
        <v>8.7534722222222208E-2</v>
      </c>
      <c r="C4940" s="421" t="s">
        <v>1373</v>
      </c>
    </row>
    <row r="4941" spans="1:3" x14ac:dyDescent="0.25">
      <c r="A4941" s="417">
        <v>41544</v>
      </c>
      <c r="B4941" s="418">
        <v>8.7534722222222208E-2</v>
      </c>
      <c r="C4941" s="421" t="s">
        <v>1308</v>
      </c>
    </row>
    <row r="4942" spans="1:3" x14ac:dyDescent="0.25">
      <c r="A4942" s="417">
        <v>41544</v>
      </c>
      <c r="B4942" s="418">
        <v>8.7546296296296289E-2</v>
      </c>
      <c r="C4942" s="421" t="s">
        <v>1374</v>
      </c>
    </row>
    <row r="4943" spans="1:3" x14ac:dyDescent="0.25">
      <c r="A4943" s="417">
        <v>41544</v>
      </c>
      <c r="B4943" s="418">
        <v>8.7546296296296289E-2</v>
      </c>
      <c r="C4943" s="421" t="s">
        <v>1375</v>
      </c>
    </row>
    <row r="4944" spans="1:3" x14ac:dyDescent="0.25">
      <c r="A4944" s="417">
        <v>41544</v>
      </c>
      <c r="B4944" s="418">
        <v>8.7546296296296289E-2</v>
      </c>
      <c r="C4944" s="421" t="s">
        <v>1376</v>
      </c>
    </row>
    <row r="4945" spans="1:3" x14ac:dyDescent="0.25">
      <c r="A4945" s="417">
        <v>41544</v>
      </c>
      <c r="B4945" s="418">
        <v>8.7546296296296289E-2</v>
      </c>
      <c r="C4945" s="421" t="s">
        <v>1377</v>
      </c>
    </row>
    <row r="4946" spans="1:3" x14ac:dyDescent="0.25">
      <c r="A4946" s="417">
        <v>41544</v>
      </c>
      <c r="B4946" s="418">
        <v>8.7546296296296289E-2</v>
      </c>
      <c r="C4946" s="421" t="s">
        <v>1326</v>
      </c>
    </row>
    <row r="4947" spans="1:3" x14ac:dyDescent="0.25">
      <c r="A4947" s="417">
        <v>41544</v>
      </c>
      <c r="B4947" s="418">
        <v>8.7546296296296289E-2</v>
      </c>
      <c r="C4947" s="421" t="s">
        <v>1755</v>
      </c>
    </row>
    <row r="4948" spans="1:3" x14ac:dyDescent="0.25">
      <c r="A4948" s="417">
        <v>41544</v>
      </c>
      <c r="B4948" s="418">
        <v>8.7546296296296289E-2</v>
      </c>
      <c r="C4948" s="421" t="s">
        <v>1380</v>
      </c>
    </row>
    <row r="4949" spans="1:3" x14ac:dyDescent="0.25">
      <c r="A4949" s="417">
        <v>41544</v>
      </c>
      <c r="B4949" s="418">
        <v>8.7546296296296289E-2</v>
      </c>
      <c r="C4949" s="421" t="s">
        <v>1381</v>
      </c>
    </row>
    <row r="4950" spans="1:3" x14ac:dyDescent="0.25">
      <c r="A4950" s="417">
        <v>41544</v>
      </c>
      <c r="B4950" s="418">
        <v>8.7546296296296289E-2</v>
      </c>
      <c r="C4950" s="421" t="s">
        <v>1382</v>
      </c>
    </row>
    <row r="4951" spans="1:3" x14ac:dyDescent="0.25">
      <c r="A4951" s="417">
        <v>41544</v>
      </c>
      <c r="B4951" s="418">
        <v>8.7546296296296289E-2</v>
      </c>
      <c r="C4951" s="421" t="s">
        <v>1383</v>
      </c>
    </row>
    <row r="4952" spans="1:3" x14ac:dyDescent="0.25">
      <c r="A4952" s="417">
        <v>41544</v>
      </c>
      <c r="B4952" s="418">
        <v>8.7546296296296289E-2</v>
      </c>
      <c r="C4952" s="421" t="s">
        <v>1352</v>
      </c>
    </row>
    <row r="4953" spans="1:3" x14ac:dyDescent="0.25">
      <c r="A4953" s="417">
        <v>41544</v>
      </c>
      <c r="B4953" s="418">
        <v>8.7546296296296289E-2</v>
      </c>
      <c r="C4953" s="421" t="s">
        <v>1384</v>
      </c>
    </row>
    <row r="4954" spans="1:3" x14ac:dyDescent="0.25">
      <c r="A4954" s="417">
        <v>41544</v>
      </c>
      <c r="B4954" s="418">
        <v>8.7546296296296289E-2</v>
      </c>
      <c r="C4954" s="421" t="s">
        <v>1385</v>
      </c>
    </row>
    <row r="4955" spans="1:3" x14ac:dyDescent="0.25">
      <c r="A4955" s="417">
        <v>41544</v>
      </c>
      <c r="B4955" s="418">
        <v>8.7546296296296289E-2</v>
      </c>
      <c r="C4955" s="421" t="s">
        <v>1385</v>
      </c>
    </row>
    <row r="4956" spans="1:3" x14ac:dyDescent="0.25">
      <c r="A4956" s="417">
        <v>41544</v>
      </c>
      <c r="B4956" s="418">
        <v>8.7546296296296289E-2</v>
      </c>
      <c r="C4956" s="421" t="s">
        <v>1386</v>
      </c>
    </row>
    <row r="4957" spans="1:3" x14ac:dyDescent="0.25">
      <c r="A4957" s="417">
        <v>41544</v>
      </c>
      <c r="B4957" s="418">
        <v>8.7546296296296289E-2</v>
      </c>
      <c r="C4957" s="421" t="s">
        <v>1387</v>
      </c>
    </row>
    <row r="4958" spans="1:3" x14ac:dyDescent="0.25">
      <c r="A4958" s="417">
        <v>41544</v>
      </c>
      <c r="B4958" s="418">
        <v>8.7546296296296289E-2</v>
      </c>
      <c r="C4958" s="421" t="s">
        <v>1387</v>
      </c>
    </row>
    <row r="4959" spans="1:3" x14ac:dyDescent="0.25">
      <c r="A4959" s="417">
        <v>41544</v>
      </c>
      <c r="B4959" s="418">
        <v>8.7546296296296289E-2</v>
      </c>
      <c r="C4959" s="421" t="s">
        <v>1318</v>
      </c>
    </row>
    <row r="4960" spans="1:3" x14ac:dyDescent="0.25">
      <c r="A4960" s="417">
        <v>41544</v>
      </c>
      <c r="B4960" s="418">
        <v>8.7546296296296289E-2</v>
      </c>
      <c r="C4960" s="421" t="s">
        <v>1388</v>
      </c>
    </row>
    <row r="4961" spans="1:3" x14ac:dyDescent="0.25">
      <c r="A4961" s="417">
        <v>41544</v>
      </c>
      <c r="B4961" s="418">
        <v>8.7546296296296289E-2</v>
      </c>
      <c r="C4961" s="421" t="s">
        <v>1390</v>
      </c>
    </row>
    <row r="4962" spans="1:3" x14ac:dyDescent="0.25">
      <c r="A4962" s="417">
        <v>41544</v>
      </c>
      <c r="B4962" s="418">
        <v>8.7557870370370369E-2</v>
      </c>
      <c r="C4962" s="421" t="s">
        <v>1391</v>
      </c>
    </row>
    <row r="4963" spans="1:3" x14ac:dyDescent="0.25">
      <c r="A4963" s="417">
        <v>41544</v>
      </c>
      <c r="B4963" s="418">
        <v>8.7557870370370369E-2</v>
      </c>
      <c r="C4963" s="421" t="s">
        <v>1392</v>
      </c>
    </row>
    <row r="4964" spans="1:3" x14ac:dyDescent="0.25">
      <c r="A4964" s="417">
        <v>41544</v>
      </c>
      <c r="B4964" s="418">
        <v>8.7592592592592597E-2</v>
      </c>
      <c r="C4964" s="421" t="s">
        <v>1393</v>
      </c>
    </row>
    <row r="4965" spans="1:3" x14ac:dyDescent="0.25">
      <c r="A4965" s="417">
        <v>41544</v>
      </c>
      <c r="B4965" s="418">
        <v>8.7592592592592597E-2</v>
      </c>
      <c r="C4965" s="421" t="s">
        <v>1394</v>
      </c>
    </row>
    <row r="4966" spans="1:3" x14ac:dyDescent="0.25">
      <c r="A4966" s="417">
        <v>41544</v>
      </c>
      <c r="B4966" s="418">
        <v>8.7592592592592597E-2</v>
      </c>
      <c r="C4966" s="421" t="s">
        <v>1392</v>
      </c>
    </row>
    <row r="4967" spans="1:3" x14ac:dyDescent="0.25">
      <c r="A4967" s="417">
        <v>41544</v>
      </c>
      <c r="B4967" s="418">
        <v>8.7604166666666664E-2</v>
      </c>
      <c r="C4967" s="421" t="s">
        <v>1395</v>
      </c>
    </row>
    <row r="4968" spans="1:3" x14ac:dyDescent="0.25">
      <c r="A4968" s="417">
        <v>41544</v>
      </c>
      <c r="B4968" s="418">
        <v>8.7604166666666664E-2</v>
      </c>
      <c r="C4968" s="421" t="s">
        <v>1396</v>
      </c>
    </row>
    <row r="4969" spans="1:3" x14ac:dyDescent="0.25">
      <c r="A4969" s="417">
        <v>41544</v>
      </c>
      <c r="B4969" s="418">
        <v>8.7604166666666664E-2</v>
      </c>
      <c r="C4969" s="421" t="s">
        <v>1363</v>
      </c>
    </row>
    <row r="4970" spans="1:3" x14ac:dyDescent="0.25">
      <c r="A4970" s="417">
        <v>41544</v>
      </c>
      <c r="B4970" s="418">
        <v>8.7615740740740744E-2</v>
      </c>
      <c r="C4970" s="421" t="s">
        <v>1362</v>
      </c>
    </row>
    <row r="4971" spans="1:3" x14ac:dyDescent="0.25">
      <c r="A4971" s="417">
        <v>41544</v>
      </c>
      <c r="B4971" s="418">
        <v>8.7615740740740744E-2</v>
      </c>
      <c r="C4971" s="421" t="s">
        <v>1397</v>
      </c>
    </row>
    <row r="4972" spans="1:3" x14ac:dyDescent="0.25">
      <c r="A4972" s="417">
        <v>41544</v>
      </c>
      <c r="B4972" s="418">
        <v>8.7627314814814825E-2</v>
      </c>
      <c r="C4972" s="421" t="s">
        <v>1381</v>
      </c>
    </row>
    <row r="4973" spans="1:3" x14ac:dyDescent="0.25">
      <c r="A4973" s="417">
        <v>41544</v>
      </c>
      <c r="B4973" s="418">
        <v>8.7627314814814825E-2</v>
      </c>
      <c r="C4973" s="421" t="s">
        <v>1398</v>
      </c>
    </row>
    <row r="4974" spans="1:3" x14ac:dyDescent="0.25">
      <c r="A4974" s="417">
        <v>41544</v>
      </c>
      <c r="B4974" s="418">
        <v>8.7627314814814825E-2</v>
      </c>
      <c r="C4974" s="421" t="s">
        <v>1399</v>
      </c>
    </row>
    <row r="4975" spans="1:3" x14ac:dyDescent="0.25">
      <c r="A4975" s="417">
        <v>41544</v>
      </c>
      <c r="B4975" s="418">
        <v>8.7650462962962972E-2</v>
      </c>
      <c r="C4975" s="421" t="s">
        <v>1400</v>
      </c>
    </row>
    <row r="4976" spans="1:3" x14ac:dyDescent="0.25">
      <c r="A4976" s="417">
        <v>41544</v>
      </c>
      <c r="B4976" s="418">
        <v>8.7650462962962972E-2</v>
      </c>
      <c r="C4976" s="421" t="s">
        <v>1400</v>
      </c>
    </row>
    <row r="4977" spans="1:3" x14ac:dyDescent="0.25">
      <c r="A4977" s="417">
        <v>41544</v>
      </c>
      <c r="B4977" s="418">
        <v>8.7650462962962972E-2</v>
      </c>
      <c r="C4977" s="421" t="s">
        <v>1373</v>
      </c>
    </row>
    <row r="4978" spans="1:3" x14ac:dyDescent="0.25">
      <c r="A4978" s="417">
        <v>41544</v>
      </c>
      <c r="B4978" s="418">
        <v>8.7685185185185185E-2</v>
      </c>
      <c r="C4978" s="421" t="s">
        <v>1353</v>
      </c>
    </row>
    <row r="4979" spans="1:3" x14ac:dyDescent="0.25">
      <c r="A4979" s="417">
        <v>41544</v>
      </c>
      <c r="B4979" s="418">
        <v>8.7685185185185185E-2</v>
      </c>
      <c r="C4979" s="421" t="s">
        <v>1353</v>
      </c>
    </row>
    <row r="4980" spans="1:3" x14ac:dyDescent="0.25">
      <c r="A4980" s="417">
        <v>41544</v>
      </c>
      <c r="B4980" s="418">
        <v>8.7685185185185185E-2</v>
      </c>
      <c r="C4980" s="421" t="s">
        <v>1401</v>
      </c>
    </row>
    <row r="4981" spans="1:3" x14ac:dyDescent="0.25">
      <c r="A4981" s="417">
        <v>41544</v>
      </c>
      <c r="B4981" s="418">
        <v>8.7696759259259252E-2</v>
      </c>
      <c r="C4981" s="421" t="s">
        <v>1392</v>
      </c>
    </row>
    <row r="4982" spans="1:3" x14ac:dyDescent="0.25">
      <c r="A4982" s="417">
        <v>41544</v>
      </c>
      <c r="B4982" s="418">
        <v>8.7708333333333333E-2</v>
      </c>
      <c r="C4982" s="421" t="s">
        <v>1403</v>
      </c>
    </row>
    <row r="4983" spans="1:3" x14ac:dyDescent="0.25">
      <c r="A4983" s="417">
        <v>41544</v>
      </c>
      <c r="B4983" s="418">
        <v>8.7708333333333333E-2</v>
      </c>
      <c r="C4983" s="421" t="s">
        <v>1403</v>
      </c>
    </row>
    <row r="4984" spans="1:3" x14ac:dyDescent="0.25">
      <c r="A4984" s="417">
        <v>41544</v>
      </c>
      <c r="B4984" s="418">
        <v>8.7708333333333333E-2</v>
      </c>
      <c r="C4984" s="421" t="s">
        <v>1403</v>
      </c>
    </row>
    <row r="4985" spans="1:3" x14ac:dyDescent="0.25">
      <c r="A4985" s="417">
        <v>41544</v>
      </c>
      <c r="B4985" s="418">
        <v>8.773148148148148E-2</v>
      </c>
      <c r="C4985" s="421" t="s">
        <v>1362</v>
      </c>
    </row>
    <row r="4986" spans="1:3" x14ac:dyDescent="0.25">
      <c r="A4986" s="417">
        <v>41544</v>
      </c>
      <c r="B4986" s="418">
        <v>8.773148148148148E-2</v>
      </c>
      <c r="C4986" s="421" t="s">
        <v>1364</v>
      </c>
    </row>
    <row r="4987" spans="1:3" x14ac:dyDescent="0.25">
      <c r="A4987" s="417">
        <v>41544</v>
      </c>
      <c r="B4987" s="418">
        <v>8.773148148148148E-2</v>
      </c>
      <c r="C4987" s="421" t="s">
        <v>1364</v>
      </c>
    </row>
    <row r="4988" spans="1:3" x14ac:dyDescent="0.25">
      <c r="A4988" s="417">
        <v>41544</v>
      </c>
      <c r="B4988" s="418">
        <v>8.774305555555556E-2</v>
      </c>
      <c r="C4988" s="421" t="s">
        <v>1381</v>
      </c>
    </row>
    <row r="4989" spans="1:3" x14ac:dyDescent="0.25">
      <c r="A4989" s="417">
        <v>41544</v>
      </c>
      <c r="B4989" s="418">
        <v>8.7754629629629641E-2</v>
      </c>
      <c r="C4989" s="421" t="s">
        <v>1364</v>
      </c>
    </row>
    <row r="4990" spans="1:3" x14ac:dyDescent="0.25">
      <c r="A4990" s="417">
        <v>41544</v>
      </c>
      <c r="B4990" s="418">
        <v>8.7754629629629641E-2</v>
      </c>
      <c r="C4990" s="421" t="s">
        <v>1480</v>
      </c>
    </row>
    <row r="4991" spans="1:3" x14ac:dyDescent="0.25">
      <c r="A4991" s="417">
        <v>41544</v>
      </c>
      <c r="B4991" s="418">
        <v>8.7754629629629641E-2</v>
      </c>
      <c r="C4991" s="421" t="s">
        <v>1480</v>
      </c>
    </row>
    <row r="4992" spans="1:3" x14ac:dyDescent="0.25">
      <c r="A4992" s="417">
        <v>41544</v>
      </c>
      <c r="B4992" s="418">
        <v>8.7754629629629641E-2</v>
      </c>
      <c r="C4992" s="421" t="s">
        <v>1480</v>
      </c>
    </row>
    <row r="4993" spans="1:3" x14ac:dyDescent="0.25">
      <c r="A4993" s="417">
        <v>41544</v>
      </c>
      <c r="B4993" s="418">
        <v>8.7766203703703707E-2</v>
      </c>
      <c r="C4993" s="421" t="s">
        <v>1716</v>
      </c>
    </row>
    <row r="4994" spans="1:3" x14ac:dyDescent="0.25">
      <c r="A4994" s="417">
        <v>41544</v>
      </c>
      <c r="B4994" s="418">
        <v>8.7766203703703707E-2</v>
      </c>
      <c r="C4994" s="421" t="s">
        <v>1541</v>
      </c>
    </row>
    <row r="4995" spans="1:3" x14ac:dyDescent="0.25">
      <c r="A4995" s="417">
        <v>41544</v>
      </c>
      <c r="B4995" s="418">
        <v>8.7766203703703707E-2</v>
      </c>
      <c r="C4995" s="421" t="s">
        <v>1346</v>
      </c>
    </row>
    <row r="4996" spans="1:3" x14ac:dyDescent="0.25">
      <c r="A4996" s="417">
        <v>41544</v>
      </c>
      <c r="B4996" s="418">
        <v>8.7766203703703707E-2</v>
      </c>
      <c r="C4996" s="421" t="s">
        <v>1405</v>
      </c>
    </row>
    <row r="4997" spans="1:3" x14ac:dyDescent="0.25">
      <c r="A4997" s="417">
        <v>41544</v>
      </c>
      <c r="B4997" s="418">
        <v>8.7766203703703707E-2</v>
      </c>
      <c r="C4997" s="421" t="s">
        <v>1406</v>
      </c>
    </row>
    <row r="4998" spans="1:3" x14ac:dyDescent="0.25">
      <c r="A4998" s="417">
        <v>41544</v>
      </c>
      <c r="B4998" s="418">
        <v>8.7777777777777774E-2</v>
      </c>
      <c r="C4998" s="421" t="s">
        <v>1362</v>
      </c>
    </row>
    <row r="4999" spans="1:3" x14ac:dyDescent="0.25">
      <c r="A4999" s="417">
        <v>41544</v>
      </c>
      <c r="B4999" s="418">
        <v>8.7812500000000002E-2</v>
      </c>
      <c r="C4999" s="421" t="s">
        <v>1717</v>
      </c>
    </row>
    <row r="5000" spans="1:3" x14ac:dyDescent="0.25">
      <c r="A5000" s="417">
        <v>41544</v>
      </c>
      <c r="B5000" s="418">
        <v>8.7812500000000002E-2</v>
      </c>
      <c r="C5000" s="421" t="s">
        <v>1318</v>
      </c>
    </row>
    <row r="5001" spans="1:3" x14ac:dyDescent="0.25">
      <c r="A5001" s="417">
        <v>41544</v>
      </c>
      <c r="B5001" s="418">
        <v>8.7835648148148149E-2</v>
      </c>
      <c r="C5001" s="421" t="s">
        <v>1368</v>
      </c>
    </row>
    <row r="5002" spans="1:3" x14ac:dyDescent="0.25">
      <c r="A5002" s="417">
        <v>41544</v>
      </c>
      <c r="B5002" s="418">
        <v>8.7835648148148149E-2</v>
      </c>
      <c r="C5002" s="421" t="s">
        <v>1368</v>
      </c>
    </row>
    <row r="5003" spans="1:3" x14ac:dyDescent="0.25">
      <c r="A5003" s="417">
        <v>41544</v>
      </c>
      <c r="B5003" s="418">
        <v>8.7835648148148149E-2</v>
      </c>
      <c r="C5003" s="421" t="s">
        <v>1368</v>
      </c>
    </row>
    <row r="5004" spans="1:3" x14ac:dyDescent="0.25">
      <c r="A5004" s="417">
        <v>41544</v>
      </c>
      <c r="B5004" s="418">
        <v>8.7835648148148149E-2</v>
      </c>
      <c r="C5004" s="421" t="s">
        <v>1368</v>
      </c>
    </row>
    <row r="5005" spans="1:3" x14ac:dyDescent="0.25">
      <c r="A5005" s="417">
        <v>41544</v>
      </c>
      <c r="B5005" s="418">
        <v>8.7835648148148149E-2</v>
      </c>
      <c r="C5005" s="421" t="s">
        <v>1368</v>
      </c>
    </row>
    <row r="5006" spans="1:3" x14ac:dyDescent="0.25">
      <c r="A5006" s="417">
        <v>41544</v>
      </c>
      <c r="B5006" s="418">
        <v>8.7835648148148149E-2</v>
      </c>
      <c r="C5006" s="421" t="s">
        <v>1409</v>
      </c>
    </row>
    <row r="5007" spans="1:3" x14ac:dyDescent="0.25">
      <c r="A5007" s="417">
        <v>41544</v>
      </c>
      <c r="B5007" s="418">
        <v>8.7835648148148149E-2</v>
      </c>
      <c r="C5007" s="421" t="s">
        <v>1308</v>
      </c>
    </row>
    <row r="5008" spans="1:3" x14ac:dyDescent="0.25">
      <c r="A5008" s="417">
        <v>41544</v>
      </c>
      <c r="B5008" s="418">
        <v>8.7858796296296296E-2</v>
      </c>
      <c r="C5008" s="421" t="s">
        <v>1410</v>
      </c>
    </row>
    <row r="5009" spans="1:3" x14ac:dyDescent="0.25">
      <c r="A5009" s="417">
        <v>41544</v>
      </c>
      <c r="B5009" s="418">
        <v>8.7858796296296296E-2</v>
      </c>
      <c r="C5009" s="421" t="s">
        <v>1410</v>
      </c>
    </row>
    <row r="5010" spans="1:3" x14ac:dyDescent="0.25">
      <c r="A5010" s="417">
        <v>41544</v>
      </c>
      <c r="B5010" s="418">
        <v>8.7870370370370376E-2</v>
      </c>
      <c r="C5010" s="421" t="s">
        <v>1411</v>
      </c>
    </row>
    <row r="5011" spans="1:3" x14ac:dyDescent="0.25">
      <c r="A5011" s="417">
        <v>41544</v>
      </c>
      <c r="B5011" s="418">
        <v>8.789351851851851E-2</v>
      </c>
      <c r="C5011" s="421" t="s">
        <v>1718</v>
      </c>
    </row>
    <row r="5012" spans="1:3" x14ac:dyDescent="0.25">
      <c r="A5012" s="417">
        <v>41544</v>
      </c>
      <c r="B5012" s="418">
        <v>8.789351851851851E-2</v>
      </c>
      <c r="C5012" s="421" t="s">
        <v>1413</v>
      </c>
    </row>
    <row r="5013" spans="1:3" x14ac:dyDescent="0.25">
      <c r="A5013" s="417">
        <v>41544</v>
      </c>
      <c r="B5013" s="418">
        <v>8.790509259259259E-2</v>
      </c>
      <c r="C5013" s="421" t="s">
        <v>1414</v>
      </c>
    </row>
    <row r="5014" spans="1:3" x14ac:dyDescent="0.25">
      <c r="A5014" s="417">
        <v>41544</v>
      </c>
      <c r="B5014" s="418">
        <v>8.7916666666666657E-2</v>
      </c>
      <c r="C5014" s="421" t="s">
        <v>1373</v>
      </c>
    </row>
    <row r="5015" spans="1:3" x14ac:dyDescent="0.25">
      <c r="A5015" s="417">
        <v>41544</v>
      </c>
      <c r="B5015" s="418">
        <v>8.7916666666666657E-2</v>
      </c>
      <c r="C5015" s="421" t="s">
        <v>1719</v>
      </c>
    </row>
    <row r="5016" spans="1:3" x14ac:dyDescent="0.25">
      <c r="A5016" s="417">
        <v>41544</v>
      </c>
      <c r="B5016" s="418">
        <v>8.7986111111111112E-2</v>
      </c>
      <c r="C5016" s="421" t="s">
        <v>1409</v>
      </c>
    </row>
    <row r="5017" spans="1:3" x14ac:dyDescent="0.25">
      <c r="A5017" s="417">
        <v>41544</v>
      </c>
      <c r="B5017" s="418">
        <v>8.7997685185185193E-2</v>
      </c>
      <c r="C5017" s="421" t="s">
        <v>1416</v>
      </c>
    </row>
    <row r="5018" spans="1:3" x14ac:dyDescent="0.25">
      <c r="A5018" s="417">
        <v>41544</v>
      </c>
      <c r="B5018" s="418">
        <v>8.8009259259259245E-2</v>
      </c>
      <c r="C5018" s="421" t="s">
        <v>1720</v>
      </c>
    </row>
    <row r="5019" spans="1:3" x14ac:dyDescent="0.25">
      <c r="A5019" s="417">
        <v>41544</v>
      </c>
      <c r="B5019" s="418">
        <v>8.8020833333333326E-2</v>
      </c>
      <c r="C5019" s="421" t="s">
        <v>1348</v>
      </c>
    </row>
    <row r="5020" spans="1:3" x14ac:dyDescent="0.25">
      <c r="A5020" s="417">
        <v>41544</v>
      </c>
      <c r="B5020" s="418">
        <v>8.8020833333333326E-2</v>
      </c>
      <c r="C5020" s="421" t="s">
        <v>1419</v>
      </c>
    </row>
    <row r="5021" spans="1:3" x14ac:dyDescent="0.25">
      <c r="A5021" s="417">
        <v>41544</v>
      </c>
      <c r="B5021" s="418">
        <v>8.8020833333333326E-2</v>
      </c>
      <c r="C5021" s="421" t="s">
        <v>1419</v>
      </c>
    </row>
    <row r="5022" spans="1:3" x14ac:dyDescent="0.25">
      <c r="A5022" s="417">
        <v>41544</v>
      </c>
      <c r="B5022" s="418">
        <v>8.8020833333333326E-2</v>
      </c>
      <c r="C5022" s="421" t="s">
        <v>1420</v>
      </c>
    </row>
    <row r="5023" spans="1:3" x14ac:dyDescent="0.25">
      <c r="A5023" s="417">
        <v>41544</v>
      </c>
      <c r="B5023" s="418">
        <v>8.8043981481481473E-2</v>
      </c>
      <c r="C5023" s="421" t="s">
        <v>1721</v>
      </c>
    </row>
    <row r="5024" spans="1:3" x14ac:dyDescent="0.25">
      <c r="A5024" s="417">
        <v>41544</v>
      </c>
      <c r="B5024" s="418">
        <v>8.8043981481481473E-2</v>
      </c>
      <c r="C5024" s="421" t="s">
        <v>1722</v>
      </c>
    </row>
    <row r="5025" spans="1:3" x14ac:dyDescent="0.25">
      <c r="A5025" s="417">
        <v>41544</v>
      </c>
      <c r="B5025" s="418">
        <v>8.8043981481481473E-2</v>
      </c>
      <c r="C5025" s="421" t="s">
        <v>1723</v>
      </c>
    </row>
    <row r="5026" spans="1:3" x14ac:dyDescent="0.25">
      <c r="A5026" s="417">
        <v>41544</v>
      </c>
      <c r="B5026" s="418">
        <v>8.8055555555555554E-2</v>
      </c>
      <c r="C5026" s="421" t="s">
        <v>1484</v>
      </c>
    </row>
    <row r="5027" spans="1:3" x14ac:dyDescent="0.25">
      <c r="A5027" s="417">
        <v>41544</v>
      </c>
      <c r="B5027" s="418">
        <v>8.8055555555555554E-2</v>
      </c>
      <c r="C5027" s="421" t="s">
        <v>1724</v>
      </c>
    </row>
    <row r="5028" spans="1:3" x14ac:dyDescent="0.25">
      <c r="A5028" s="417">
        <v>41544</v>
      </c>
      <c r="B5028" s="418">
        <v>8.8067129629629634E-2</v>
      </c>
      <c r="C5028" s="421" t="s">
        <v>1725</v>
      </c>
    </row>
    <row r="5029" spans="1:3" x14ac:dyDescent="0.25">
      <c r="A5029" s="417">
        <v>41544</v>
      </c>
      <c r="B5029" s="418">
        <v>8.8067129629629634E-2</v>
      </c>
      <c r="C5029" s="421" t="s">
        <v>1726</v>
      </c>
    </row>
    <row r="5030" spans="1:3" x14ac:dyDescent="0.25">
      <c r="A5030" s="417">
        <v>41544</v>
      </c>
      <c r="B5030" s="418">
        <v>8.8067129629629634E-2</v>
      </c>
      <c r="C5030" s="421" t="s">
        <v>1727</v>
      </c>
    </row>
    <row r="5031" spans="1:3" x14ac:dyDescent="0.25">
      <c r="A5031" s="417">
        <v>41544</v>
      </c>
      <c r="B5031" s="418">
        <v>8.8067129629629634E-2</v>
      </c>
      <c r="C5031" s="421" t="s">
        <v>1320</v>
      </c>
    </row>
    <row r="5032" spans="1:3" x14ac:dyDescent="0.25">
      <c r="A5032" s="417">
        <v>41544</v>
      </c>
      <c r="B5032" s="418">
        <v>8.8078703703703701E-2</v>
      </c>
      <c r="C5032" s="421" t="s">
        <v>1429</v>
      </c>
    </row>
    <row r="5033" spans="1:3" x14ac:dyDescent="0.25">
      <c r="A5033" s="417">
        <v>41544</v>
      </c>
      <c r="B5033" s="418">
        <v>8.8101851851851862E-2</v>
      </c>
      <c r="C5033" s="421" t="s">
        <v>1430</v>
      </c>
    </row>
    <row r="5034" spans="1:3" x14ac:dyDescent="0.25">
      <c r="A5034" s="417">
        <v>41544</v>
      </c>
      <c r="B5034" s="418">
        <v>8.8101851851851862E-2</v>
      </c>
      <c r="C5034" s="421" t="s">
        <v>1728</v>
      </c>
    </row>
    <row r="5035" spans="1:3" x14ac:dyDescent="0.25">
      <c r="A5035" s="417">
        <v>41544</v>
      </c>
      <c r="B5035" s="418">
        <v>8.8171296296296289E-2</v>
      </c>
      <c r="C5035" s="421" t="s">
        <v>1308</v>
      </c>
    </row>
    <row r="5036" spans="1:3" x14ac:dyDescent="0.25">
      <c r="A5036" s="417">
        <v>41544</v>
      </c>
      <c r="B5036" s="418">
        <v>8.8171296296296289E-2</v>
      </c>
      <c r="C5036" s="421" t="s">
        <v>1360</v>
      </c>
    </row>
    <row r="5037" spans="1:3" x14ac:dyDescent="0.25">
      <c r="A5037" s="417">
        <v>41544</v>
      </c>
      <c r="B5037" s="418">
        <v>8.8171296296296289E-2</v>
      </c>
      <c r="C5037" s="421" t="s">
        <v>1432</v>
      </c>
    </row>
    <row r="5038" spans="1:3" x14ac:dyDescent="0.25">
      <c r="A5038" s="417">
        <v>41544</v>
      </c>
      <c r="B5038" s="418">
        <v>8.8171296296296289E-2</v>
      </c>
      <c r="C5038" s="421" t="s">
        <v>1432</v>
      </c>
    </row>
    <row r="5039" spans="1:3" x14ac:dyDescent="0.25">
      <c r="A5039" s="417">
        <v>41544</v>
      </c>
      <c r="B5039" s="418">
        <v>8.8171296296296289E-2</v>
      </c>
      <c r="C5039" s="421" t="s">
        <v>1432</v>
      </c>
    </row>
    <row r="5040" spans="1:3" x14ac:dyDescent="0.25">
      <c r="A5040" s="417">
        <v>41544</v>
      </c>
      <c r="B5040" s="418">
        <v>8.818287037037037E-2</v>
      </c>
      <c r="C5040" s="421" t="s">
        <v>1413</v>
      </c>
    </row>
    <row r="5041" spans="1:3" x14ac:dyDescent="0.25">
      <c r="A5041" s="417">
        <v>41544</v>
      </c>
      <c r="B5041" s="418">
        <v>8.819444444444445E-2</v>
      </c>
      <c r="C5041" s="421" t="s">
        <v>1729</v>
      </c>
    </row>
    <row r="5042" spans="1:3" x14ac:dyDescent="0.25">
      <c r="A5042" s="417">
        <v>41544</v>
      </c>
      <c r="B5042" s="418">
        <v>8.8206018518518517E-2</v>
      </c>
      <c r="C5042" s="421" t="s">
        <v>1730</v>
      </c>
    </row>
    <row r="5043" spans="1:3" x14ac:dyDescent="0.25">
      <c r="A5043" s="417">
        <v>41544</v>
      </c>
      <c r="B5043" s="418">
        <v>8.8206018518518517E-2</v>
      </c>
      <c r="C5043" s="421" t="s">
        <v>1731</v>
      </c>
    </row>
    <row r="5044" spans="1:3" x14ac:dyDescent="0.25">
      <c r="A5044" s="417">
        <v>41544</v>
      </c>
      <c r="B5044" s="418">
        <v>8.8206018518518517E-2</v>
      </c>
      <c r="C5044" s="421" t="s">
        <v>1732</v>
      </c>
    </row>
    <row r="5045" spans="1:3" x14ac:dyDescent="0.25">
      <c r="A5045" s="417">
        <v>41544</v>
      </c>
      <c r="B5045" s="418">
        <v>8.8206018518518517E-2</v>
      </c>
      <c r="C5045" s="421" t="s">
        <v>1733</v>
      </c>
    </row>
    <row r="5046" spans="1:3" x14ac:dyDescent="0.25">
      <c r="A5046" s="417">
        <v>41544</v>
      </c>
      <c r="B5046" s="418">
        <v>8.8206018518518517E-2</v>
      </c>
      <c r="C5046" s="421" t="s">
        <v>1734</v>
      </c>
    </row>
    <row r="5047" spans="1:3" x14ac:dyDescent="0.25">
      <c r="A5047" s="417">
        <v>41544</v>
      </c>
      <c r="B5047" s="418">
        <v>8.8217592592592597E-2</v>
      </c>
      <c r="C5047" s="421" t="s">
        <v>1735</v>
      </c>
    </row>
    <row r="5048" spans="1:3" x14ac:dyDescent="0.25">
      <c r="A5048" s="417">
        <v>41544</v>
      </c>
      <c r="B5048" s="418">
        <v>8.8252314814814811E-2</v>
      </c>
      <c r="C5048" s="421" t="s">
        <v>1736</v>
      </c>
    </row>
    <row r="5049" spans="1:3" x14ac:dyDescent="0.25">
      <c r="A5049" s="417">
        <v>41544</v>
      </c>
      <c r="B5049" s="418">
        <v>8.8310185185185186E-2</v>
      </c>
      <c r="C5049" s="421" t="s">
        <v>1737</v>
      </c>
    </row>
    <row r="5050" spans="1:3" x14ac:dyDescent="0.25">
      <c r="A5050" s="417">
        <v>41544</v>
      </c>
      <c r="B5050" s="418">
        <v>8.8321759259259267E-2</v>
      </c>
      <c r="C5050" s="421" t="s">
        <v>1320</v>
      </c>
    </row>
    <row r="5051" spans="1:3" x14ac:dyDescent="0.25">
      <c r="A5051" s="417">
        <v>41544</v>
      </c>
      <c r="B5051" s="418">
        <v>8.8402777777777775E-2</v>
      </c>
      <c r="C5051" s="421" t="s">
        <v>1738</v>
      </c>
    </row>
    <row r="5052" spans="1:3" x14ac:dyDescent="0.25">
      <c r="A5052" s="417">
        <v>41544</v>
      </c>
      <c r="B5052" s="418">
        <v>8.8402777777777775E-2</v>
      </c>
      <c r="C5052" s="421" t="s">
        <v>1739</v>
      </c>
    </row>
    <row r="5053" spans="1:3" x14ac:dyDescent="0.25">
      <c r="A5053" s="417">
        <v>41544</v>
      </c>
      <c r="B5053" s="418">
        <v>8.8402777777777775E-2</v>
      </c>
      <c r="C5053" s="421" t="s">
        <v>1740</v>
      </c>
    </row>
    <row r="5054" spans="1:3" x14ac:dyDescent="0.25">
      <c r="A5054" s="417">
        <v>41544</v>
      </c>
      <c r="B5054" s="418">
        <v>8.8402777777777775E-2</v>
      </c>
      <c r="C5054" s="421" t="s">
        <v>1741</v>
      </c>
    </row>
    <row r="5055" spans="1:3" x14ac:dyDescent="0.25">
      <c r="A5055" s="417">
        <v>41544</v>
      </c>
      <c r="B5055" s="418">
        <v>8.8425925925925922E-2</v>
      </c>
      <c r="C5055" s="421" t="s">
        <v>1446</v>
      </c>
    </row>
    <row r="5056" spans="1:3" x14ac:dyDescent="0.25">
      <c r="A5056" s="417">
        <v>41544</v>
      </c>
      <c r="B5056" s="418">
        <v>8.8530092592592591E-2</v>
      </c>
      <c r="C5056" s="421" t="s">
        <v>1742</v>
      </c>
    </row>
    <row r="5057" spans="1:3" x14ac:dyDescent="0.25">
      <c r="A5057" s="417">
        <v>41544</v>
      </c>
      <c r="B5057" s="418">
        <v>8.8530092592592591E-2</v>
      </c>
      <c r="C5057" s="421" t="s">
        <v>1389</v>
      </c>
    </row>
    <row r="5058" spans="1:3" x14ac:dyDescent="0.25">
      <c r="A5058" s="417">
        <v>41544</v>
      </c>
      <c r="B5058" s="418">
        <v>8.8541666666666671E-2</v>
      </c>
      <c r="C5058" s="421" t="s">
        <v>1448</v>
      </c>
    </row>
    <row r="5059" spans="1:3" x14ac:dyDescent="0.25">
      <c r="A5059" s="417">
        <v>41544</v>
      </c>
      <c r="B5059" s="418">
        <v>8.8553240740740738E-2</v>
      </c>
      <c r="C5059" s="421" t="s">
        <v>1450</v>
      </c>
    </row>
    <row r="5060" spans="1:3" x14ac:dyDescent="0.25">
      <c r="A5060" s="417">
        <v>41544</v>
      </c>
      <c r="B5060" s="418">
        <v>8.8553240740740738E-2</v>
      </c>
      <c r="C5060" s="421" t="s">
        <v>1450</v>
      </c>
    </row>
    <row r="5061" spans="1:3" x14ac:dyDescent="0.25">
      <c r="A5061" s="417">
        <v>41544</v>
      </c>
      <c r="B5061" s="418">
        <v>8.8553240740740738E-2</v>
      </c>
      <c r="C5061" s="421" t="s">
        <v>1450</v>
      </c>
    </row>
    <row r="5062" spans="1:3" x14ac:dyDescent="0.25">
      <c r="A5062" s="417">
        <v>41544</v>
      </c>
      <c r="B5062" s="418">
        <v>8.8553240740740738E-2</v>
      </c>
      <c r="C5062" s="421" t="s">
        <v>1450</v>
      </c>
    </row>
    <row r="5063" spans="1:3" x14ac:dyDescent="0.25">
      <c r="A5063" s="417">
        <v>41544</v>
      </c>
      <c r="B5063" s="418">
        <v>8.8553240740740738E-2</v>
      </c>
      <c r="C5063" s="421" t="s">
        <v>1450</v>
      </c>
    </row>
    <row r="5064" spans="1:3" x14ac:dyDescent="0.25">
      <c r="A5064" s="417">
        <v>41544</v>
      </c>
      <c r="B5064" s="418">
        <v>8.8553240740740738E-2</v>
      </c>
      <c r="C5064" s="421" t="s">
        <v>1450</v>
      </c>
    </row>
    <row r="5065" spans="1:3" x14ac:dyDescent="0.25">
      <c r="A5065" s="417">
        <v>41544</v>
      </c>
      <c r="B5065" s="418">
        <v>8.8553240740740738E-2</v>
      </c>
      <c r="C5065" s="421" t="s">
        <v>1450</v>
      </c>
    </row>
    <row r="5066" spans="1:3" x14ac:dyDescent="0.25">
      <c r="A5066" s="417">
        <v>41544</v>
      </c>
      <c r="B5066" s="418">
        <v>8.8726851851851848E-2</v>
      </c>
      <c r="C5066" s="421" t="s">
        <v>1448</v>
      </c>
    </row>
    <row r="5067" spans="1:3" x14ac:dyDescent="0.25">
      <c r="A5067" s="417">
        <v>41544</v>
      </c>
      <c r="B5067" s="418">
        <v>8.8761574074074076E-2</v>
      </c>
      <c r="C5067" s="421" t="s">
        <v>1399</v>
      </c>
    </row>
    <row r="5068" spans="1:3" x14ac:dyDescent="0.25">
      <c r="A5068" s="417">
        <v>41544</v>
      </c>
      <c r="B5068" s="418">
        <v>8.8784722222222223E-2</v>
      </c>
      <c r="C5068" s="421" t="s">
        <v>1309</v>
      </c>
    </row>
    <row r="5069" spans="1:3" x14ac:dyDescent="0.25">
      <c r="A5069" s="417">
        <v>41544</v>
      </c>
      <c r="B5069" s="418">
        <v>8.8796296296296304E-2</v>
      </c>
      <c r="C5069" s="421" t="s">
        <v>1236</v>
      </c>
    </row>
    <row r="5070" spans="1:3" x14ac:dyDescent="0.25">
      <c r="A5070" s="417">
        <v>41544</v>
      </c>
      <c r="B5070" s="418">
        <v>8.8796296296296304E-2</v>
      </c>
      <c r="C5070" s="421" t="s">
        <v>1237</v>
      </c>
    </row>
    <row r="5071" spans="1:3" x14ac:dyDescent="0.25">
      <c r="A5071" s="417">
        <v>41544</v>
      </c>
      <c r="B5071" s="418">
        <v>8.8796296296296304E-2</v>
      </c>
      <c r="C5071" s="421" t="s">
        <v>1238</v>
      </c>
    </row>
    <row r="5072" spans="1:3" x14ac:dyDescent="0.25">
      <c r="A5072" s="417">
        <v>41544</v>
      </c>
      <c r="B5072" s="418">
        <v>8.9780092592592606E-2</v>
      </c>
      <c r="C5072" s="421" t="s">
        <v>1635</v>
      </c>
    </row>
    <row r="5073" spans="1:3" x14ac:dyDescent="0.25">
      <c r="A5073" s="417">
        <v>41544</v>
      </c>
      <c r="B5073" s="418">
        <v>8.9780092592592606E-2</v>
      </c>
      <c r="C5073" s="421" t="s">
        <v>1769</v>
      </c>
    </row>
    <row r="5074" spans="1:3" x14ac:dyDescent="0.25">
      <c r="A5074" s="417">
        <v>41544</v>
      </c>
      <c r="B5074" s="418">
        <v>8.9791666666666659E-2</v>
      </c>
      <c r="C5074" s="421" t="s">
        <v>1770</v>
      </c>
    </row>
    <row r="5075" spans="1:3" x14ac:dyDescent="0.25">
      <c r="A5075" s="417">
        <v>41544</v>
      </c>
      <c r="B5075" s="418">
        <v>8.9791666666666659E-2</v>
      </c>
      <c r="C5075" s="421" t="s">
        <v>1771</v>
      </c>
    </row>
    <row r="5076" spans="1:3" ht="30" x14ac:dyDescent="0.25">
      <c r="A5076" s="417">
        <v>41544</v>
      </c>
      <c r="B5076" s="418">
        <v>0.10005787037037038</v>
      </c>
      <c r="C5076" s="946" t="s">
        <v>1772</v>
      </c>
    </row>
    <row r="5077" spans="1:3" ht="45" x14ac:dyDescent="0.25">
      <c r="A5077" s="417">
        <v>41544</v>
      </c>
      <c r="B5077" s="418">
        <v>0.10113425925925927</v>
      </c>
      <c r="C5077" s="946" t="s">
        <v>1773</v>
      </c>
    </row>
    <row r="5078" spans="1:3" ht="30" x14ac:dyDescent="0.25">
      <c r="A5078" s="417">
        <v>41544</v>
      </c>
      <c r="B5078" s="418">
        <v>0.10165509259259259</v>
      </c>
      <c r="C5078" s="946" t="s">
        <v>1774</v>
      </c>
    </row>
    <row r="5079" spans="1:3" ht="45" x14ac:dyDescent="0.25">
      <c r="A5079" s="417">
        <v>41544</v>
      </c>
      <c r="B5079" s="418">
        <v>0.10231481481481482</v>
      </c>
      <c r="C5079" s="946" t="s">
        <v>1775</v>
      </c>
    </row>
    <row r="5080" spans="1:3" ht="30" x14ac:dyDescent="0.25">
      <c r="A5080" s="417">
        <v>41544</v>
      </c>
      <c r="B5080" s="418">
        <v>0.10248842592592593</v>
      </c>
      <c r="C5080" s="946" t="s">
        <v>1776</v>
      </c>
    </row>
    <row r="5081" spans="1:3" ht="45" x14ac:dyDescent="0.25">
      <c r="A5081" s="417">
        <v>41544</v>
      </c>
      <c r="B5081" s="418">
        <v>0.10259259259259258</v>
      </c>
      <c r="C5081" s="946" t="s">
        <v>1777</v>
      </c>
    </row>
    <row r="5082" spans="1:3" ht="45" x14ac:dyDescent="0.25">
      <c r="A5082" s="417">
        <v>41544</v>
      </c>
      <c r="B5082" s="418">
        <v>0.10319444444444444</v>
      </c>
      <c r="C5082" s="946" t="s">
        <v>1778</v>
      </c>
    </row>
    <row r="5083" spans="1:3" ht="45" x14ac:dyDescent="0.25">
      <c r="A5083" s="417">
        <v>41544</v>
      </c>
      <c r="B5083" s="418">
        <v>0.10989583333333335</v>
      </c>
      <c r="C5083" s="946" t="s">
        <v>1779</v>
      </c>
    </row>
    <row r="5084" spans="1:3" ht="45" x14ac:dyDescent="0.25">
      <c r="A5084" s="417">
        <v>41544</v>
      </c>
      <c r="B5084" s="418">
        <v>0.11017361111111111</v>
      </c>
      <c r="C5084" s="946" t="s">
        <v>1780</v>
      </c>
    </row>
    <row r="5085" spans="1:3" ht="30" x14ac:dyDescent="0.25">
      <c r="A5085" s="417">
        <v>41544</v>
      </c>
      <c r="B5085" s="418">
        <v>0.11225694444444445</v>
      </c>
      <c r="C5085" s="946" t="s">
        <v>1781</v>
      </c>
    </row>
    <row r="5086" spans="1:3" x14ac:dyDescent="0.25">
      <c r="A5086" s="417">
        <v>41545</v>
      </c>
      <c r="B5086" s="418">
        <v>0.92962962962962958</v>
      </c>
      <c r="C5086" s="421" t="s">
        <v>1307</v>
      </c>
    </row>
    <row r="5087" spans="1:3" x14ac:dyDescent="0.25">
      <c r="A5087" s="417">
        <v>41545</v>
      </c>
      <c r="B5087" s="418">
        <v>0.92962962962962958</v>
      </c>
      <c r="C5087" s="421" t="s">
        <v>1782</v>
      </c>
    </row>
    <row r="5088" spans="1:3" ht="60" x14ac:dyDescent="0.25">
      <c r="A5088" s="417">
        <v>41545</v>
      </c>
      <c r="B5088" s="418">
        <v>0.92962962962962958</v>
      </c>
      <c r="C5088" s="946" t="s">
        <v>1783</v>
      </c>
    </row>
    <row r="5089" spans="1:3" x14ac:dyDescent="0.25">
      <c r="A5089" s="417">
        <v>41545</v>
      </c>
      <c r="B5089" s="418">
        <v>0.92982638888888891</v>
      </c>
      <c r="C5089" s="421" t="s">
        <v>1308</v>
      </c>
    </row>
    <row r="5090" spans="1:3" x14ac:dyDescent="0.25">
      <c r="A5090" s="417">
        <v>41545</v>
      </c>
      <c r="B5090" s="418">
        <v>0.92982638888888891</v>
      </c>
      <c r="C5090" s="421" t="s">
        <v>1309</v>
      </c>
    </row>
    <row r="5091" spans="1:3" x14ac:dyDescent="0.25">
      <c r="A5091" s="417">
        <v>41545</v>
      </c>
      <c r="B5091" s="418">
        <v>0.92982638888888891</v>
      </c>
      <c r="C5091" s="421" t="s">
        <v>1310</v>
      </c>
    </row>
    <row r="5092" spans="1:3" x14ac:dyDescent="0.25">
      <c r="A5092" s="417">
        <v>41545</v>
      </c>
      <c r="B5092" s="418">
        <v>0.92982638888888891</v>
      </c>
      <c r="C5092" s="421" t="s">
        <v>1311</v>
      </c>
    </row>
    <row r="5093" spans="1:3" x14ac:dyDescent="0.25">
      <c r="A5093" s="417">
        <v>41545</v>
      </c>
      <c r="B5093" s="418">
        <v>0.92982638888888891</v>
      </c>
      <c r="C5093" s="421" t="s">
        <v>1312</v>
      </c>
    </row>
    <row r="5094" spans="1:3" x14ac:dyDescent="0.25">
      <c r="A5094" s="417">
        <v>41545</v>
      </c>
      <c r="B5094" s="418">
        <v>0.92982638888888891</v>
      </c>
      <c r="C5094" s="421" t="s">
        <v>1313</v>
      </c>
    </row>
    <row r="5095" spans="1:3" x14ac:dyDescent="0.25">
      <c r="A5095" s="417">
        <v>41545</v>
      </c>
      <c r="B5095" s="418">
        <v>0.92982638888888891</v>
      </c>
      <c r="C5095" s="421" t="s">
        <v>1310</v>
      </c>
    </row>
    <row r="5096" spans="1:3" x14ac:dyDescent="0.25">
      <c r="A5096" s="417">
        <v>41545</v>
      </c>
      <c r="B5096" s="418">
        <v>0.92982638888888891</v>
      </c>
      <c r="C5096" s="421" t="s">
        <v>1314</v>
      </c>
    </row>
    <row r="5097" spans="1:3" x14ac:dyDescent="0.25">
      <c r="A5097" s="417">
        <v>41545</v>
      </c>
      <c r="B5097" s="418">
        <v>0.92982638888888891</v>
      </c>
      <c r="C5097" s="421" t="s">
        <v>1315</v>
      </c>
    </row>
    <row r="5098" spans="1:3" x14ac:dyDescent="0.25">
      <c r="A5098" s="417">
        <v>41545</v>
      </c>
      <c r="B5098" s="418">
        <v>0.92982638888888891</v>
      </c>
      <c r="C5098" s="421" t="s">
        <v>1460</v>
      </c>
    </row>
    <row r="5099" spans="1:3" x14ac:dyDescent="0.25">
      <c r="A5099" s="417">
        <v>41545</v>
      </c>
      <c r="B5099" s="418">
        <v>0.92982638888888891</v>
      </c>
      <c r="C5099" s="421" t="s">
        <v>1461</v>
      </c>
    </row>
    <row r="5100" spans="1:3" x14ac:dyDescent="0.25">
      <c r="A5100" s="417">
        <v>41545</v>
      </c>
      <c r="B5100" s="418">
        <v>0.92982638888888891</v>
      </c>
      <c r="C5100" s="421" t="s">
        <v>1310</v>
      </c>
    </row>
    <row r="5101" spans="1:3" x14ac:dyDescent="0.25">
      <c r="A5101" s="417">
        <v>41545</v>
      </c>
      <c r="B5101" s="418">
        <v>0.92982638888888891</v>
      </c>
      <c r="C5101" s="421" t="s">
        <v>1462</v>
      </c>
    </row>
    <row r="5102" spans="1:3" x14ac:dyDescent="0.25">
      <c r="A5102" s="417">
        <v>41545</v>
      </c>
      <c r="B5102" s="418">
        <v>0.92982638888888891</v>
      </c>
      <c r="C5102" s="421" t="s">
        <v>1316</v>
      </c>
    </row>
    <row r="5103" spans="1:3" x14ac:dyDescent="0.25">
      <c r="A5103" s="417">
        <v>41545</v>
      </c>
      <c r="B5103" s="418">
        <v>0.92982638888888891</v>
      </c>
      <c r="C5103" s="421" t="s">
        <v>1316</v>
      </c>
    </row>
    <row r="5104" spans="1:3" x14ac:dyDescent="0.25">
      <c r="A5104" s="417">
        <v>41545</v>
      </c>
      <c r="B5104" s="418">
        <v>0.92982638888888891</v>
      </c>
      <c r="C5104" s="421" t="s">
        <v>1317</v>
      </c>
    </row>
    <row r="5105" spans="1:3" x14ac:dyDescent="0.25">
      <c r="A5105" s="417">
        <v>41545</v>
      </c>
      <c r="B5105" s="418">
        <v>0.92982638888888891</v>
      </c>
      <c r="C5105" s="421" t="s">
        <v>1309</v>
      </c>
    </row>
    <row r="5106" spans="1:3" x14ac:dyDescent="0.25">
      <c r="A5106" s="417">
        <v>41545</v>
      </c>
      <c r="B5106" s="418">
        <v>0.92982638888888891</v>
      </c>
      <c r="C5106" s="421" t="s">
        <v>1318</v>
      </c>
    </row>
    <row r="5107" spans="1:3" x14ac:dyDescent="0.25">
      <c r="A5107" s="417">
        <v>41545</v>
      </c>
      <c r="B5107" s="418">
        <v>0.92982638888888891</v>
      </c>
      <c r="C5107" s="421" t="s">
        <v>1319</v>
      </c>
    </row>
    <row r="5108" spans="1:3" x14ac:dyDescent="0.25">
      <c r="A5108" s="417">
        <v>41545</v>
      </c>
      <c r="B5108" s="418">
        <v>0.92982638888888891</v>
      </c>
      <c r="C5108" s="421" t="s">
        <v>1320</v>
      </c>
    </row>
    <row r="5109" spans="1:3" x14ac:dyDescent="0.25">
      <c r="A5109" s="417">
        <v>41545</v>
      </c>
      <c r="B5109" s="418">
        <v>0.92982638888888891</v>
      </c>
      <c r="C5109" s="421" t="s">
        <v>1318</v>
      </c>
    </row>
    <row r="5110" spans="1:3" x14ac:dyDescent="0.25">
      <c r="A5110" s="417">
        <v>41545</v>
      </c>
      <c r="B5110" s="418">
        <v>0.92982638888888891</v>
      </c>
      <c r="C5110" s="421" t="s">
        <v>1307</v>
      </c>
    </row>
    <row r="5111" spans="1:3" x14ac:dyDescent="0.25">
      <c r="A5111" s="417">
        <v>41545</v>
      </c>
      <c r="B5111" s="418">
        <v>0.92982638888888891</v>
      </c>
      <c r="C5111" s="421" t="s">
        <v>1784</v>
      </c>
    </row>
    <row r="5112" spans="1:3" ht="60" x14ac:dyDescent="0.25">
      <c r="A5112" s="417">
        <v>41545</v>
      </c>
      <c r="B5112" s="418">
        <v>0.92982638888888891</v>
      </c>
      <c r="C5112" s="946" t="s">
        <v>1785</v>
      </c>
    </row>
    <row r="5113" spans="1:3" x14ac:dyDescent="0.25">
      <c r="A5113" s="417">
        <v>41545</v>
      </c>
      <c r="B5113" s="418">
        <v>0.92986111111111114</v>
      </c>
      <c r="C5113" s="421" t="s">
        <v>1321</v>
      </c>
    </row>
    <row r="5114" spans="1:3" x14ac:dyDescent="0.25">
      <c r="A5114" s="417">
        <v>41545</v>
      </c>
      <c r="B5114" s="418">
        <v>0.92986111111111114</v>
      </c>
      <c r="C5114" s="421" t="s">
        <v>1322</v>
      </c>
    </row>
    <row r="5115" spans="1:3" x14ac:dyDescent="0.25">
      <c r="A5115" s="417">
        <v>41545</v>
      </c>
      <c r="B5115" s="418">
        <v>0.92986111111111114</v>
      </c>
      <c r="C5115" s="421" t="s">
        <v>1322</v>
      </c>
    </row>
    <row r="5116" spans="1:3" x14ac:dyDescent="0.25">
      <c r="A5116" s="417">
        <v>41545</v>
      </c>
      <c r="B5116" s="418">
        <v>0.92986111111111114</v>
      </c>
      <c r="C5116" s="421" t="s">
        <v>1323</v>
      </c>
    </row>
    <row r="5117" spans="1:3" x14ac:dyDescent="0.25">
      <c r="A5117" s="417">
        <v>41545</v>
      </c>
      <c r="B5117" s="418">
        <v>0.92986111111111114</v>
      </c>
      <c r="C5117" s="421" t="s">
        <v>1324</v>
      </c>
    </row>
    <row r="5118" spans="1:3" x14ac:dyDescent="0.25">
      <c r="A5118" s="417">
        <v>41545</v>
      </c>
      <c r="B5118" s="418">
        <v>0.92986111111111114</v>
      </c>
      <c r="C5118" s="421" t="s">
        <v>1310</v>
      </c>
    </row>
    <row r="5119" spans="1:3" x14ac:dyDescent="0.25">
      <c r="A5119" s="417">
        <v>41545</v>
      </c>
      <c r="B5119" s="418">
        <v>0.92986111111111114</v>
      </c>
      <c r="C5119" s="421" t="s">
        <v>1325</v>
      </c>
    </row>
    <row r="5120" spans="1:3" x14ac:dyDescent="0.25">
      <c r="A5120" s="417">
        <v>41545</v>
      </c>
      <c r="B5120" s="418">
        <v>0.92986111111111114</v>
      </c>
      <c r="C5120" s="421" t="s">
        <v>1326</v>
      </c>
    </row>
    <row r="5121" spans="1:3" x14ac:dyDescent="0.25">
      <c r="A5121" s="417">
        <v>41545</v>
      </c>
      <c r="B5121" s="418">
        <v>0.92986111111111114</v>
      </c>
      <c r="C5121" s="421" t="s">
        <v>1238</v>
      </c>
    </row>
    <row r="5122" spans="1:3" x14ac:dyDescent="0.25">
      <c r="A5122" s="417">
        <v>41545</v>
      </c>
      <c r="B5122" s="418">
        <v>0.92986111111111114</v>
      </c>
      <c r="C5122" s="421" t="s">
        <v>1786</v>
      </c>
    </row>
    <row r="5123" spans="1:3" ht="60" x14ac:dyDescent="0.25">
      <c r="A5123" s="417">
        <v>41545</v>
      </c>
      <c r="B5123" s="418">
        <v>0.92986111111111114</v>
      </c>
      <c r="C5123" s="946" t="s">
        <v>1787</v>
      </c>
    </row>
    <row r="5124" spans="1:3" x14ac:dyDescent="0.25">
      <c r="A5124" s="417">
        <v>41545</v>
      </c>
      <c r="B5124" s="418">
        <v>0.92989583333333325</v>
      </c>
      <c r="C5124" s="421" t="s">
        <v>1327</v>
      </c>
    </row>
    <row r="5125" spans="1:3" x14ac:dyDescent="0.25">
      <c r="A5125" s="417">
        <v>41545</v>
      </c>
      <c r="B5125" s="418">
        <v>0.92989583333333325</v>
      </c>
      <c r="C5125" s="421" t="s">
        <v>1323</v>
      </c>
    </row>
    <row r="5126" spans="1:3" x14ac:dyDescent="0.25">
      <c r="A5126" s="417">
        <v>41545</v>
      </c>
      <c r="B5126" s="418">
        <v>0.92989583333333325</v>
      </c>
      <c r="C5126" s="421" t="s">
        <v>1342</v>
      </c>
    </row>
    <row r="5127" spans="1:3" x14ac:dyDescent="0.25">
      <c r="A5127" s="417">
        <v>41545</v>
      </c>
      <c r="B5127" s="418">
        <v>0.92989583333333325</v>
      </c>
      <c r="C5127" s="421" t="s">
        <v>1343</v>
      </c>
    </row>
    <row r="5128" spans="1:3" x14ac:dyDescent="0.25">
      <c r="A5128" s="417">
        <v>41545</v>
      </c>
      <c r="B5128" s="418">
        <v>0.92989583333333325</v>
      </c>
      <c r="C5128" s="421" t="s">
        <v>1344</v>
      </c>
    </row>
    <row r="5129" spans="1:3" x14ac:dyDescent="0.25">
      <c r="A5129" s="417">
        <v>41545</v>
      </c>
      <c r="B5129" s="418">
        <v>0.92989583333333325</v>
      </c>
      <c r="C5129" s="421" t="s">
        <v>1344</v>
      </c>
    </row>
    <row r="5130" spans="1:3" x14ac:dyDescent="0.25">
      <c r="A5130" s="417">
        <v>41545</v>
      </c>
      <c r="B5130" s="418">
        <v>0.92989583333333325</v>
      </c>
      <c r="C5130" s="421" t="s">
        <v>1310</v>
      </c>
    </row>
    <row r="5131" spans="1:3" x14ac:dyDescent="0.25">
      <c r="A5131" s="417">
        <v>41545</v>
      </c>
      <c r="B5131" s="418">
        <v>0.92989583333333325</v>
      </c>
      <c r="C5131" s="421" t="s">
        <v>1345</v>
      </c>
    </row>
    <row r="5132" spans="1:3" x14ac:dyDescent="0.25">
      <c r="A5132" s="417">
        <v>41545</v>
      </c>
      <c r="B5132" s="418">
        <v>0.92989583333333325</v>
      </c>
      <c r="C5132" s="421" t="s">
        <v>1346</v>
      </c>
    </row>
    <row r="5133" spans="1:3" x14ac:dyDescent="0.25">
      <c r="A5133" s="417">
        <v>41545</v>
      </c>
      <c r="B5133" s="418">
        <v>0.92989583333333325</v>
      </c>
      <c r="C5133" s="421" t="s">
        <v>1347</v>
      </c>
    </row>
    <row r="5134" spans="1:3" x14ac:dyDescent="0.25">
      <c r="A5134" s="417">
        <v>41545</v>
      </c>
      <c r="B5134" s="418">
        <v>0.92989583333333325</v>
      </c>
      <c r="C5134" s="421" t="s">
        <v>1348</v>
      </c>
    </row>
    <row r="5135" spans="1:3" x14ac:dyDescent="0.25">
      <c r="A5135" s="417">
        <v>41545</v>
      </c>
      <c r="B5135" s="418">
        <v>0.92989583333333325</v>
      </c>
      <c r="C5135" s="421" t="s">
        <v>1349</v>
      </c>
    </row>
    <row r="5136" spans="1:3" x14ac:dyDescent="0.25">
      <c r="A5136" s="417">
        <v>41545</v>
      </c>
      <c r="B5136" s="418">
        <v>0.92989583333333325</v>
      </c>
      <c r="C5136" s="421" t="s">
        <v>1349</v>
      </c>
    </row>
    <row r="5137" spans="1:3" x14ac:dyDescent="0.25">
      <c r="A5137" s="417">
        <v>41545</v>
      </c>
      <c r="B5137" s="418">
        <v>0.92989583333333325</v>
      </c>
      <c r="C5137" s="421" t="s">
        <v>1348</v>
      </c>
    </row>
    <row r="5138" spans="1:3" x14ac:dyDescent="0.25">
      <c r="A5138" s="417">
        <v>41545</v>
      </c>
      <c r="B5138" s="418">
        <v>0.92989583333333325</v>
      </c>
      <c r="C5138" s="421" t="s">
        <v>1350</v>
      </c>
    </row>
    <row r="5139" spans="1:3" x14ac:dyDescent="0.25">
      <c r="A5139" s="417">
        <v>41545</v>
      </c>
      <c r="B5139" s="418">
        <v>0.92989583333333325</v>
      </c>
      <c r="C5139" s="421" t="s">
        <v>1351</v>
      </c>
    </row>
    <row r="5140" spans="1:3" x14ac:dyDescent="0.25">
      <c r="A5140" s="417">
        <v>41545</v>
      </c>
      <c r="B5140" s="418">
        <v>0.92989583333333325</v>
      </c>
      <c r="C5140" s="421" t="s">
        <v>1352</v>
      </c>
    </row>
    <row r="5141" spans="1:3" x14ac:dyDescent="0.25">
      <c r="A5141" s="417">
        <v>41545</v>
      </c>
      <c r="B5141" s="418">
        <v>0.92989583333333325</v>
      </c>
      <c r="C5141" s="421" t="s">
        <v>1768</v>
      </c>
    </row>
    <row r="5142" spans="1:3" x14ac:dyDescent="0.25">
      <c r="A5142" s="417">
        <v>41545</v>
      </c>
      <c r="B5142" s="418">
        <v>0.92989583333333325</v>
      </c>
      <c r="C5142" s="421" t="s">
        <v>1353</v>
      </c>
    </row>
    <row r="5143" spans="1:3" x14ac:dyDescent="0.25">
      <c r="A5143" s="417">
        <v>41545</v>
      </c>
      <c r="B5143" s="418">
        <v>0.92989583333333325</v>
      </c>
      <c r="C5143" s="421" t="s">
        <v>1354</v>
      </c>
    </row>
    <row r="5144" spans="1:3" x14ac:dyDescent="0.25">
      <c r="A5144" s="417">
        <v>41545</v>
      </c>
      <c r="B5144" s="418">
        <v>0.9299074074074074</v>
      </c>
      <c r="C5144" s="421" t="s">
        <v>1357</v>
      </c>
    </row>
    <row r="5145" spans="1:3" x14ac:dyDescent="0.25">
      <c r="A5145" s="417">
        <v>41545</v>
      </c>
      <c r="B5145" s="418">
        <v>0.9299074074074074</v>
      </c>
      <c r="C5145" s="421" t="s">
        <v>1358</v>
      </c>
    </row>
    <row r="5146" spans="1:3" x14ac:dyDescent="0.25">
      <c r="A5146" s="417">
        <v>41545</v>
      </c>
      <c r="B5146" s="418">
        <v>0.9299074074074074</v>
      </c>
      <c r="C5146" s="421" t="s">
        <v>1359</v>
      </c>
    </row>
    <row r="5147" spans="1:3" x14ac:dyDescent="0.25">
      <c r="A5147" s="417">
        <v>41545</v>
      </c>
      <c r="B5147" s="418">
        <v>0.9299074074074074</v>
      </c>
      <c r="C5147" s="421" t="s">
        <v>1360</v>
      </c>
    </row>
    <row r="5148" spans="1:3" x14ac:dyDescent="0.25">
      <c r="A5148" s="417">
        <v>41545</v>
      </c>
      <c r="B5148" s="418">
        <v>0.9299074074074074</v>
      </c>
      <c r="C5148" s="421" t="s">
        <v>1361</v>
      </c>
    </row>
    <row r="5149" spans="1:3" x14ac:dyDescent="0.25">
      <c r="A5149" s="417">
        <v>41545</v>
      </c>
      <c r="B5149" s="418">
        <v>0.9299074074074074</v>
      </c>
      <c r="C5149" s="421" t="s">
        <v>1317</v>
      </c>
    </row>
    <row r="5150" spans="1:3" x14ac:dyDescent="0.25">
      <c r="A5150" s="417">
        <v>41545</v>
      </c>
      <c r="B5150" s="418">
        <v>0.9299074074074074</v>
      </c>
      <c r="C5150" s="421" t="s">
        <v>1537</v>
      </c>
    </row>
    <row r="5151" spans="1:3" x14ac:dyDescent="0.25">
      <c r="A5151" s="417">
        <v>41545</v>
      </c>
      <c r="B5151" s="418">
        <v>0.9299074074074074</v>
      </c>
      <c r="C5151" s="421" t="s">
        <v>1362</v>
      </c>
    </row>
    <row r="5152" spans="1:3" x14ac:dyDescent="0.25">
      <c r="A5152" s="417">
        <v>41545</v>
      </c>
      <c r="B5152" s="418">
        <v>0.9299074074074074</v>
      </c>
      <c r="C5152" s="421" t="s">
        <v>1363</v>
      </c>
    </row>
    <row r="5153" spans="1:3" x14ac:dyDescent="0.25">
      <c r="A5153" s="417">
        <v>41545</v>
      </c>
      <c r="B5153" s="418">
        <v>0.9299074074074074</v>
      </c>
      <c r="C5153" s="421" t="s">
        <v>1364</v>
      </c>
    </row>
    <row r="5154" spans="1:3" x14ac:dyDescent="0.25">
      <c r="A5154" s="417">
        <v>41545</v>
      </c>
      <c r="B5154" s="418">
        <v>0.9299074074074074</v>
      </c>
      <c r="C5154" s="421" t="s">
        <v>1365</v>
      </c>
    </row>
    <row r="5155" spans="1:3" x14ac:dyDescent="0.25">
      <c r="A5155" s="417">
        <v>41545</v>
      </c>
      <c r="B5155" s="418">
        <v>0.9299074074074074</v>
      </c>
      <c r="C5155" s="421" t="s">
        <v>1365</v>
      </c>
    </row>
    <row r="5156" spans="1:3" x14ac:dyDescent="0.25">
      <c r="A5156" s="417">
        <v>41545</v>
      </c>
      <c r="B5156" s="418">
        <v>0.9299074074074074</v>
      </c>
      <c r="C5156" s="421" t="s">
        <v>1320</v>
      </c>
    </row>
    <row r="5157" spans="1:3" x14ac:dyDescent="0.25">
      <c r="A5157" s="417">
        <v>41545</v>
      </c>
      <c r="B5157" s="418">
        <v>0.9299074074074074</v>
      </c>
      <c r="C5157" s="421" t="s">
        <v>1367</v>
      </c>
    </row>
    <row r="5158" spans="1:3" x14ac:dyDescent="0.25">
      <c r="A5158" s="417">
        <v>41545</v>
      </c>
      <c r="B5158" s="418">
        <v>0.9299074074074074</v>
      </c>
      <c r="C5158" s="421" t="s">
        <v>1344</v>
      </c>
    </row>
    <row r="5159" spans="1:3" x14ac:dyDescent="0.25">
      <c r="A5159" s="417">
        <v>41545</v>
      </c>
      <c r="B5159" s="418">
        <v>0.9299074074074074</v>
      </c>
      <c r="C5159" s="421" t="s">
        <v>1368</v>
      </c>
    </row>
    <row r="5160" spans="1:3" x14ac:dyDescent="0.25">
      <c r="A5160" s="417">
        <v>41545</v>
      </c>
      <c r="B5160" s="418">
        <v>0.9299074074074074</v>
      </c>
      <c r="C5160" s="421" t="s">
        <v>1369</v>
      </c>
    </row>
    <row r="5161" spans="1:3" x14ac:dyDescent="0.25">
      <c r="A5161" s="417">
        <v>41545</v>
      </c>
      <c r="B5161" s="418">
        <v>0.9299074074074074</v>
      </c>
      <c r="C5161" s="421" t="s">
        <v>1307</v>
      </c>
    </row>
    <row r="5162" spans="1:3" x14ac:dyDescent="0.25">
      <c r="A5162" s="417">
        <v>41545</v>
      </c>
      <c r="B5162" s="418">
        <v>0.9299074074074074</v>
      </c>
      <c r="C5162" s="421" t="s">
        <v>1782</v>
      </c>
    </row>
    <row r="5163" spans="1:3" ht="60" x14ac:dyDescent="0.25">
      <c r="A5163" s="417">
        <v>41545</v>
      </c>
      <c r="B5163" s="418">
        <v>0.9299074074074074</v>
      </c>
      <c r="C5163" s="946" t="s">
        <v>1788</v>
      </c>
    </row>
    <row r="5164" spans="1:3" x14ac:dyDescent="0.25">
      <c r="A5164" s="417">
        <v>41545</v>
      </c>
      <c r="B5164" s="418">
        <v>0.92994212962962963</v>
      </c>
      <c r="C5164" s="421" t="s">
        <v>1370</v>
      </c>
    </row>
    <row r="5165" spans="1:3" x14ac:dyDescent="0.25">
      <c r="A5165" s="417">
        <v>41545</v>
      </c>
      <c r="B5165" s="418">
        <v>0.92994212962962963</v>
      </c>
      <c r="C5165" s="421" t="s">
        <v>1371</v>
      </c>
    </row>
    <row r="5166" spans="1:3" x14ac:dyDescent="0.25">
      <c r="A5166" s="417">
        <v>41545</v>
      </c>
      <c r="B5166" s="418">
        <v>0.92994212962962963</v>
      </c>
      <c r="C5166" s="421" t="s">
        <v>1344</v>
      </c>
    </row>
    <row r="5167" spans="1:3" x14ac:dyDescent="0.25">
      <c r="A5167" s="417">
        <v>41545</v>
      </c>
      <c r="B5167" s="418">
        <v>0.92994212962962963</v>
      </c>
      <c r="C5167" s="421" t="s">
        <v>1317</v>
      </c>
    </row>
    <row r="5168" spans="1:3" x14ac:dyDescent="0.25">
      <c r="A5168" s="417">
        <v>41545</v>
      </c>
      <c r="B5168" s="418">
        <v>0.92994212962962963</v>
      </c>
      <c r="C5168" s="421" t="s">
        <v>1463</v>
      </c>
    </row>
    <row r="5169" spans="1:3" x14ac:dyDescent="0.25">
      <c r="A5169" s="417">
        <v>41545</v>
      </c>
      <c r="B5169" s="418">
        <v>0.92994212962962963</v>
      </c>
      <c r="C5169" s="421" t="s">
        <v>1373</v>
      </c>
    </row>
    <row r="5170" spans="1:3" x14ac:dyDescent="0.25">
      <c r="A5170" s="417">
        <v>41545</v>
      </c>
      <c r="B5170" s="418">
        <v>0.92994212962962963</v>
      </c>
      <c r="C5170" s="421" t="s">
        <v>1308</v>
      </c>
    </row>
    <row r="5171" spans="1:3" x14ac:dyDescent="0.25">
      <c r="A5171" s="417">
        <v>41545</v>
      </c>
      <c r="B5171" s="418">
        <v>0.92994212962962963</v>
      </c>
      <c r="C5171" s="421" t="s">
        <v>1789</v>
      </c>
    </row>
    <row r="5172" spans="1:3" ht="60" x14ac:dyDescent="0.25">
      <c r="A5172" s="417">
        <v>41545</v>
      </c>
      <c r="B5172" s="418">
        <v>0.92994212962962963</v>
      </c>
      <c r="C5172" s="946" t="s">
        <v>1790</v>
      </c>
    </row>
    <row r="5173" spans="1:3" x14ac:dyDescent="0.25">
      <c r="A5173" s="417">
        <v>41545</v>
      </c>
      <c r="B5173" s="418">
        <v>0.92996527777777782</v>
      </c>
      <c r="C5173" s="421" t="s">
        <v>1374</v>
      </c>
    </row>
    <row r="5174" spans="1:3" x14ac:dyDescent="0.25">
      <c r="A5174" s="417">
        <v>41545</v>
      </c>
      <c r="B5174" s="418">
        <v>0.92996527777777782</v>
      </c>
      <c r="C5174" s="421" t="s">
        <v>1375</v>
      </c>
    </row>
    <row r="5175" spans="1:3" x14ac:dyDescent="0.25">
      <c r="A5175" s="417">
        <v>41545</v>
      </c>
      <c r="B5175" s="418">
        <v>0.92996527777777782</v>
      </c>
      <c r="C5175" s="421" t="s">
        <v>1376</v>
      </c>
    </row>
    <row r="5176" spans="1:3" x14ac:dyDescent="0.25">
      <c r="A5176" s="417">
        <v>41545</v>
      </c>
      <c r="B5176" s="418">
        <v>0.92996527777777782</v>
      </c>
      <c r="C5176" s="421" t="s">
        <v>1377</v>
      </c>
    </row>
    <row r="5177" spans="1:3" x14ac:dyDescent="0.25">
      <c r="A5177" s="417">
        <v>41545</v>
      </c>
      <c r="B5177" s="418">
        <v>0.92996527777777782</v>
      </c>
      <c r="C5177" s="421" t="s">
        <v>1326</v>
      </c>
    </row>
    <row r="5178" spans="1:3" x14ac:dyDescent="0.25">
      <c r="A5178" s="417">
        <v>41545</v>
      </c>
      <c r="B5178" s="418">
        <v>0.92996527777777782</v>
      </c>
      <c r="C5178" s="421" t="s">
        <v>1755</v>
      </c>
    </row>
    <row r="5179" spans="1:3" x14ac:dyDescent="0.25">
      <c r="A5179" s="417">
        <v>41545</v>
      </c>
      <c r="B5179" s="418">
        <v>0.92996527777777782</v>
      </c>
      <c r="C5179" s="421" t="s">
        <v>1380</v>
      </c>
    </row>
    <row r="5180" spans="1:3" x14ac:dyDescent="0.25">
      <c r="A5180" s="417">
        <v>41545</v>
      </c>
      <c r="B5180" s="418">
        <v>0.92996527777777782</v>
      </c>
      <c r="C5180" s="421" t="s">
        <v>1381</v>
      </c>
    </row>
    <row r="5181" spans="1:3" x14ac:dyDescent="0.25">
      <c r="A5181" s="417">
        <v>41545</v>
      </c>
      <c r="B5181" s="418">
        <v>0.92996527777777782</v>
      </c>
      <c r="C5181" s="421" t="s">
        <v>1382</v>
      </c>
    </row>
    <row r="5182" spans="1:3" x14ac:dyDescent="0.25">
      <c r="A5182" s="417">
        <v>41545</v>
      </c>
      <c r="B5182" s="418">
        <v>0.92996527777777782</v>
      </c>
      <c r="C5182" s="421" t="s">
        <v>1383</v>
      </c>
    </row>
    <row r="5183" spans="1:3" x14ac:dyDescent="0.25">
      <c r="A5183" s="417">
        <v>41545</v>
      </c>
      <c r="B5183" s="418">
        <v>0.92996527777777782</v>
      </c>
      <c r="C5183" s="421" t="s">
        <v>1352</v>
      </c>
    </row>
    <row r="5184" spans="1:3" x14ac:dyDescent="0.25">
      <c r="A5184" s="417">
        <v>41545</v>
      </c>
      <c r="B5184" s="418">
        <v>0.92996527777777782</v>
      </c>
      <c r="C5184" s="421" t="s">
        <v>1384</v>
      </c>
    </row>
    <row r="5185" spans="1:3" x14ac:dyDescent="0.25">
      <c r="A5185" s="417">
        <v>41545</v>
      </c>
      <c r="B5185" s="418">
        <v>0.92996527777777782</v>
      </c>
      <c r="C5185" s="421" t="s">
        <v>1385</v>
      </c>
    </row>
    <row r="5186" spans="1:3" x14ac:dyDescent="0.25">
      <c r="A5186" s="417">
        <v>41545</v>
      </c>
      <c r="B5186" s="418">
        <v>0.92996527777777782</v>
      </c>
      <c r="C5186" s="421" t="s">
        <v>1385</v>
      </c>
    </row>
    <row r="5187" spans="1:3" x14ac:dyDescent="0.25">
      <c r="A5187" s="417">
        <v>41545</v>
      </c>
      <c r="B5187" s="418">
        <v>0.92996527777777782</v>
      </c>
      <c r="C5187" s="421" t="s">
        <v>1386</v>
      </c>
    </row>
    <row r="5188" spans="1:3" x14ac:dyDescent="0.25">
      <c r="A5188" s="417">
        <v>41545</v>
      </c>
      <c r="B5188" s="418">
        <v>0.92996527777777782</v>
      </c>
      <c r="C5188" s="421" t="s">
        <v>1387</v>
      </c>
    </row>
    <row r="5189" spans="1:3" x14ac:dyDescent="0.25">
      <c r="A5189" s="417">
        <v>41545</v>
      </c>
      <c r="B5189" s="418">
        <v>0.92996527777777782</v>
      </c>
      <c r="C5189" s="421" t="s">
        <v>1387</v>
      </c>
    </row>
    <row r="5190" spans="1:3" x14ac:dyDescent="0.25">
      <c r="A5190" s="417">
        <v>41545</v>
      </c>
      <c r="B5190" s="418">
        <v>0.92996527777777782</v>
      </c>
      <c r="C5190" s="421" t="s">
        <v>1318</v>
      </c>
    </row>
    <row r="5191" spans="1:3" x14ac:dyDescent="0.25">
      <c r="A5191" s="417">
        <v>41545</v>
      </c>
      <c r="B5191" s="418">
        <v>0.92996527777777782</v>
      </c>
      <c r="C5191" s="421" t="s">
        <v>1388</v>
      </c>
    </row>
    <row r="5192" spans="1:3" x14ac:dyDescent="0.25">
      <c r="A5192" s="417">
        <v>41545</v>
      </c>
      <c r="B5192" s="418">
        <v>0.92996527777777782</v>
      </c>
      <c r="C5192" s="421" t="s">
        <v>1791</v>
      </c>
    </row>
    <row r="5193" spans="1:3" ht="60" x14ac:dyDescent="0.25">
      <c r="A5193" s="417">
        <v>41545</v>
      </c>
      <c r="B5193" s="418">
        <v>0.92996527777777782</v>
      </c>
      <c r="C5193" s="946" t="s">
        <v>1792</v>
      </c>
    </row>
    <row r="5194" spans="1:3" x14ac:dyDescent="0.25">
      <c r="A5194" s="417">
        <v>41545</v>
      </c>
      <c r="B5194" s="418">
        <v>0.9299884259259259</v>
      </c>
      <c r="C5194" s="421" t="s">
        <v>1791</v>
      </c>
    </row>
    <row r="5195" spans="1:3" ht="60" x14ac:dyDescent="0.25">
      <c r="A5195" s="417">
        <v>41545</v>
      </c>
      <c r="B5195" s="418">
        <v>0.9299884259259259</v>
      </c>
      <c r="C5195" s="946" t="s">
        <v>1793</v>
      </c>
    </row>
    <row r="5196" spans="1:3" x14ac:dyDescent="0.25">
      <c r="A5196" s="417">
        <v>41545</v>
      </c>
      <c r="B5196" s="418">
        <v>0.93001157407407409</v>
      </c>
      <c r="C5196" s="421" t="s">
        <v>1390</v>
      </c>
    </row>
    <row r="5197" spans="1:3" x14ac:dyDescent="0.25">
      <c r="A5197" s="417">
        <v>41545</v>
      </c>
      <c r="B5197" s="418">
        <v>0.93001157407407409</v>
      </c>
      <c r="C5197" s="421" t="s">
        <v>1791</v>
      </c>
    </row>
    <row r="5198" spans="1:3" ht="60" x14ac:dyDescent="0.25">
      <c r="A5198" s="417">
        <v>41545</v>
      </c>
      <c r="B5198" s="418">
        <v>0.93001157407407409</v>
      </c>
      <c r="C5198" s="946" t="s">
        <v>1794</v>
      </c>
    </row>
    <row r="5199" spans="1:3" x14ac:dyDescent="0.25">
      <c r="A5199" s="417">
        <v>41545</v>
      </c>
      <c r="B5199" s="418">
        <v>0.93010416666666673</v>
      </c>
      <c r="C5199" s="421" t="s">
        <v>1391</v>
      </c>
    </row>
    <row r="5200" spans="1:3" x14ac:dyDescent="0.25">
      <c r="A5200" s="417">
        <v>41545</v>
      </c>
      <c r="B5200" s="418">
        <v>0.93010416666666673</v>
      </c>
      <c r="C5200" s="421" t="s">
        <v>1392</v>
      </c>
    </row>
    <row r="5201" spans="1:3" x14ac:dyDescent="0.25">
      <c r="A5201" s="417">
        <v>41545</v>
      </c>
      <c r="B5201" s="418">
        <v>0.93011574074074066</v>
      </c>
      <c r="C5201" s="421" t="s">
        <v>1795</v>
      </c>
    </row>
    <row r="5202" spans="1:3" x14ac:dyDescent="0.25">
      <c r="A5202" s="417">
        <v>41545</v>
      </c>
      <c r="B5202" s="418">
        <v>0.93011574074074066</v>
      </c>
      <c r="C5202" s="421" t="s">
        <v>1791</v>
      </c>
    </row>
    <row r="5203" spans="1:3" ht="60" x14ac:dyDescent="0.25">
      <c r="A5203" s="417">
        <v>41545</v>
      </c>
      <c r="B5203" s="418">
        <v>0.93011574074074066</v>
      </c>
      <c r="C5203" s="946" t="s">
        <v>1796</v>
      </c>
    </row>
    <row r="5204" spans="1:3" x14ac:dyDescent="0.25">
      <c r="A5204" s="417">
        <v>41545</v>
      </c>
      <c r="B5204" s="418">
        <v>0.93016203703703704</v>
      </c>
      <c r="C5204" s="421" t="s">
        <v>1393</v>
      </c>
    </row>
    <row r="5205" spans="1:3" x14ac:dyDescent="0.25">
      <c r="A5205" s="417">
        <v>41545</v>
      </c>
      <c r="B5205" s="418">
        <v>0.93016203703703704</v>
      </c>
      <c r="C5205" s="421" t="s">
        <v>1394</v>
      </c>
    </row>
    <row r="5206" spans="1:3" x14ac:dyDescent="0.25">
      <c r="A5206" s="417">
        <v>41545</v>
      </c>
      <c r="B5206" s="418">
        <v>0.93016203703703704</v>
      </c>
      <c r="C5206" s="421" t="s">
        <v>1392</v>
      </c>
    </row>
    <row r="5207" spans="1:3" x14ac:dyDescent="0.25">
      <c r="A5207" s="417">
        <v>41545</v>
      </c>
      <c r="B5207" s="418">
        <v>0.93017361111111108</v>
      </c>
      <c r="C5207" s="421" t="s">
        <v>1395</v>
      </c>
    </row>
    <row r="5208" spans="1:3" x14ac:dyDescent="0.25">
      <c r="A5208" s="417">
        <v>41545</v>
      </c>
      <c r="B5208" s="418">
        <v>0.93017361111111108</v>
      </c>
      <c r="C5208" s="421" t="s">
        <v>1396</v>
      </c>
    </row>
    <row r="5209" spans="1:3" x14ac:dyDescent="0.25">
      <c r="A5209" s="417">
        <v>41545</v>
      </c>
      <c r="B5209" s="418">
        <v>0.93017361111111108</v>
      </c>
      <c r="C5209" s="421" t="s">
        <v>1363</v>
      </c>
    </row>
    <row r="5210" spans="1:3" x14ac:dyDescent="0.25">
      <c r="A5210" s="417">
        <v>41545</v>
      </c>
      <c r="B5210" s="418">
        <v>0.93017361111111108</v>
      </c>
      <c r="C5210" s="421" t="s">
        <v>1791</v>
      </c>
    </row>
    <row r="5211" spans="1:3" ht="60" x14ac:dyDescent="0.25">
      <c r="A5211" s="417">
        <v>41545</v>
      </c>
      <c r="B5211" s="418">
        <v>0.93017361111111108</v>
      </c>
      <c r="C5211" s="946" t="s">
        <v>1797</v>
      </c>
    </row>
    <row r="5212" spans="1:3" x14ac:dyDescent="0.25">
      <c r="A5212" s="417">
        <v>41545</v>
      </c>
      <c r="B5212" s="418">
        <v>0.93021990740740745</v>
      </c>
      <c r="C5212" s="421" t="s">
        <v>1362</v>
      </c>
    </row>
    <row r="5213" spans="1:3" x14ac:dyDescent="0.25">
      <c r="A5213" s="417">
        <v>41545</v>
      </c>
      <c r="B5213" s="418">
        <v>0.93021990740740745</v>
      </c>
      <c r="C5213" s="421" t="s">
        <v>1397</v>
      </c>
    </row>
    <row r="5214" spans="1:3" x14ac:dyDescent="0.25">
      <c r="A5214" s="417">
        <v>41545</v>
      </c>
      <c r="B5214" s="418">
        <v>0.93023148148148149</v>
      </c>
      <c r="C5214" s="421" t="s">
        <v>1381</v>
      </c>
    </row>
    <row r="5215" spans="1:3" x14ac:dyDescent="0.25">
      <c r="A5215" s="417">
        <v>41545</v>
      </c>
      <c r="B5215" s="418">
        <v>0.93023148148148149</v>
      </c>
      <c r="C5215" s="421" t="s">
        <v>1791</v>
      </c>
    </row>
    <row r="5216" spans="1:3" ht="60" x14ac:dyDescent="0.25">
      <c r="A5216" s="417">
        <v>41545</v>
      </c>
      <c r="B5216" s="418">
        <v>0.93023148148148149</v>
      </c>
      <c r="C5216" s="946" t="s">
        <v>1798</v>
      </c>
    </row>
    <row r="5217" spans="1:3" x14ac:dyDescent="0.25">
      <c r="A5217" s="417">
        <v>41545</v>
      </c>
      <c r="B5217" s="418">
        <v>0.93027777777777787</v>
      </c>
      <c r="C5217" s="421" t="s">
        <v>1398</v>
      </c>
    </row>
    <row r="5218" spans="1:3" x14ac:dyDescent="0.25">
      <c r="A5218" s="417">
        <v>41545</v>
      </c>
      <c r="B5218" s="418">
        <v>0.93027777777777787</v>
      </c>
      <c r="C5218" s="421" t="s">
        <v>1399</v>
      </c>
    </row>
    <row r="5219" spans="1:3" x14ac:dyDescent="0.25">
      <c r="A5219" s="417">
        <v>41545</v>
      </c>
      <c r="B5219" s="418">
        <v>0.9302893518518518</v>
      </c>
      <c r="C5219" s="421" t="s">
        <v>1400</v>
      </c>
    </row>
    <row r="5220" spans="1:3" x14ac:dyDescent="0.25">
      <c r="A5220" s="417">
        <v>41545</v>
      </c>
      <c r="B5220" s="418">
        <v>0.9302893518518518</v>
      </c>
      <c r="C5220" s="421" t="s">
        <v>1400</v>
      </c>
    </row>
    <row r="5221" spans="1:3" x14ac:dyDescent="0.25">
      <c r="A5221" s="417">
        <v>41545</v>
      </c>
      <c r="B5221" s="418">
        <v>0.9302893518518518</v>
      </c>
      <c r="C5221" s="421" t="s">
        <v>1373</v>
      </c>
    </row>
    <row r="5222" spans="1:3" x14ac:dyDescent="0.25">
      <c r="A5222" s="417">
        <v>41545</v>
      </c>
      <c r="B5222" s="418">
        <v>0.9302893518518518</v>
      </c>
      <c r="C5222" s="421" t="s">
        <v>1791</v>
      </c>
    </row>
    <row r="5223" spans="1:3" ht="60" x14ac:dyDescent="0.25">
      <c r="A5223" s="417">
        <v>41545</v>
      </c>
      <c r="B5223" s="418">
        <v>0.9302893518518518</v>
      </c>
      <c r="C5223" s="946" t="s">
        <v>1799</v>
      </c>
    </row>
    <row r="5224" spans="1:3" x14ac:dyDescent="0.25">
      <c r="A5224" s="417">
        <v>41545</v>
      </c>
      <c r="B5224" s="418">
        <v>0.93034722222222221</v>
      </c>
      <c r="C5224" s="421" t="s">
        <v>1353</v>
      </c>
    </row>
    <row r="5225" spans="1:3" x14ac:dyDescent="0.25">
      <c r="A5225" s="417">
        <v>41545</v>
      </c>
      <c r="B5225" s="418">
        <v>0.93034722222222221</v>
      </c>
      <c r="C5225" s="421" t="s">
        <v>1353</v>
      </c>
    </row>
    <row r="5226" spans="1:3" x14ac:dyDescent="0.25">
      <c r="A5226" s="417">
        <v>41545</v>
      </c>
      <c r="B5226" s="418">
        <v>0.93034722222222221</v>
      </c>
      <c r="C5226" s="421" t="s">
        <v>1791</v>
      </c>
    </row>
    <row r="5227" spans="1:3" ht="60" x14ac:dyDescent="0.25">
      <c r="A5227" s="417">
        <v>41545</v>
      </c>
      <c r="B5227" s="418">
        <v>0.93034722222222221</v>
      </c>
      <c r="C5227" s="946" t="s">
        <v>1800</v>
      </c>
    </row>
    <row r="5228" spans="1:3" x14ac:dyDescent="0.25">
      <c r="A5228" s="417">
        <v>41545</v>
      </c>
      <c r="B5228" s="418">
        <v>0.93041666666666656</v>
      </c>
      <c r="C5228" s="421" t="s">
        <v>1401</v>
      </c>
    </row>
    <row r="5229" spans="1:3" x14ac:dyDescent="0.25">
      <c r="A5229" s="417">
        <v>41545</v>
      </c>
      <c r="B5229" s="418">
        <v>0.93041666666666656</v>
      </c>
      <c r="C5229" s="421" t="s">
        <v>1392</v>
      </c>
    </row>
    <row r="5230" spans="1:3" x14ac:dyDescent="0.25">
      <c r="A5230" s="417">
        <v>41545</v>
      </c>
      <c r="B5230" s="418">
        <v>0.93042824074074071</v>
      </c>
      <c r="C5230" s="421" t="s">
        <v>1403</v>
      </c>
    </row>
    <row r="5231" spans="1:3" x14ac:dyDescent="0.25">
      <c r="A5231" s="417">
        <v>41545</v>
      </c>
      <c r="B5231" s="418">
        <v>0.93042824074074071</v>
      </c>
      <c r="C5231" s="421" t="s">
        <v>1403</v>
      </c>
    </row>
    <row r="5232" spans="1:3" x14ac:dyDescent="0.25">
      <c r="A5232" s="417">
        <v>41545</v>
      </c>
      <c r="B5232" s="418">
        <v>0.93042824074074071</v>
      </c>
      <c r="C5232" s="421" t="s">
        <v>1403</v>
      </c>
    </row>
    <row r="5233" spans="1:3" x14ac:dyDescent="0.25">
      <c r="A5233" s="417">
        <v>41545</v>
      </c>
      <c r="B5233" s="418">
        <v>0.93042824074074071</v>
      </c>
      <c r="C5233" s="421" t="s">
        <v>1791</v>
      </c>
    </row>
    <row r="5234" spans="1:3" ht="60" x14ac:dyDescent="0.25">
      <c r="A5234" s="417">
        <v>41545</v>
      </c>
      <c r="B5234" s="418">
        <v>0.93042824074074071</v>
      </c>
      <c r="C5234" s="946" t="s">
        <v>1801</v>
      </c>
    </row>
    <row r="5235" spans="1:3" x14ac:dyDescent="0.25">
      <c r="A5235" s="417">
        <v>41545</v>
      </c>
      <c r="B5235" s="418">
        <v>0.93055555555555547</v>
      </c>
      <c r="C5235" s="421" t="s">
        <v>1362</v>
      </c>
    </row>
    <row r="5236" spans="1:3" x14ac:dyDescent="0.25">
      <c r="A5236" s="417">
        <v>41545</v>
      </c>
      <c r="B5236" s="418">
        <v>0.93055555555555547</v>
      </c>
      <c r="C5236" s="421" t="s">
        <v>1364</v>
      </c>
    </row>
    <row r="5237" spans="1:3" x14ac:dyDescent="0.25">
      <c r="A5237" s="417">
        <v>41545</v>
      </c>
      <c r="B5237" s="418">
        <v>0.93055555555555547</v>
      </c>
      <c r="C5237" s="421" t="s">
        <v>1364</v>
      </c>
    </row>
    <row r="5238" spans="1:3" x14ac:dyDescent="0.25">
      <c r="A5238" s="417">
        <v>41545</v>
      </c>
      <c r="B5238" s="418">
        <v>0.93056712962962962</v>
      </c>
      <c r="C5238" s="421" t="s">
        <v>1381</v>
      </c>
    </row>
    <row r="5239" spans="1:3" x14ac:dyDescent="0.25">
      <c r="A5239" s="417">
        <v>41545</v>
      </c>
      <c r="B5239" s="418">
        <v>0.93057870370370377</v>
      </c>
      <c r="C5239" s="421" t="s">
        <v>1364</v>
      </c>
    </row>
    <row r="5240" spans="1:3" x14ac:dyDescent="0.25">
      <c r="A5240" s="417">
        <v>41545</v>
      </c>
      <c r="B5240" s="418">
        <v>0.93057870370370377</v>
      </c>
      <c r="C5240" s="421" t="s">
        <v>1480</v>
      </c>
    </row>
    <row r="5241" spans="1:3" x14ac:dyDescent="0.25">
      <c r="A5241" s="417">
        <v>41545</v>
      </c>
      <c r="B5241" s="418">
        <v>0.93057870370370377</v>
      </c>
      <c r="C5241" s="421" t="s">
        <v>1480</v>
      </c>
    </row>
    <row r="5242" spans="1:3" x14ac:dyDescent="0.25">
      <c r="A5242" s="417">
        <v>41545</v>
      </c>
      <c r="B5242" s="418">
        <v>0.93057870370370377</v>
      </c>
      <c r="C5242" s="421" t="s">
        <v>1480</v>
      </c>
    </row>
    <row r="5243" spans="1:3" x14ac:dyDescent="0.25">
      <c r="A5243" s="417">
        <v>41545</v>
      </c>
      <c r="B5243" s="418">
        <v>0.93057870370370377</v>
      </c>
      <c r="C5243" s="421" t="s">
        <v>1802</v>
      </c>
    </row>
    <row r="5244" spans="1:3" x14ac:dyDescent="0.25">
      <c r="A5244" s="417">
        <v>41545</v>
      </c>
      <c r="B5244" s="418">
        <v>0.93057870370370377</v>
      </c>
      <c r="C5244" s="421" t="s">
        <v>1541</v>
      </c>
    </row>
    <row r="5245" spans="1:3" x14ac:dyDescent="0.25">
      <c r="A5245" s="417">
        <v>41545</v>
      </c>
      <c r="B5245" s="418">
        <v>0.93059027777777781</v>
      </c>
      <c r="C5245" s="421" t="s">
        <v>1346</v>
      </c>
    </row>
    <row r="5246" spans="1:3" x14ac:dyDescent="0.25">
      <c r="A5246" s="417">
        <v>41545</v>
      </c>
      <c r="B5246" s="418">
        <v>0.93059027777777781</v>
      </c>
      <c r="C5246" s="421" t="s">
        <v>1405</v>
      </c>
    </row>
    <row r="5247" spans="1:3" x14ac:dyDescent="0.25">
      <c r="A5247" s="417">
        <v>41545</v>
      </c>
      <c r="B5247" s="418">
        <v>0.93059027777777781</v>
      </c>
      <c r="C5247" s="421" t="s">
        <v>1406</v>
      </c>
    </row>
    <row r="5248" spans="1:3" x14ac:dyDescent="0.25">
      <c r="A5248" s="417">
        <v>41545</v>
      </c>
      <c r="B5248" s="418">
        <v>0.93060185185185185</v>
      </c>
      <c r="C5248" s="421" t="s">
        <v>1362</v>
      </c>
    </row>
    <row r="5249" spans="1:3" x14ac:dyDescent="0.25">
      <c r="A5249" s="417">
        <v>41545</v>
      </c>
      <c r="B5249" s="418">
        <v>0.93062500000000004</v>
      </c>
      <c r="C5249" s="421" t="s">
        <v>1803</v>
      </c>
    </row>
    <row r="5250" spans="1:3" x14ac:dyDescent="0.25">
      <c r="A5250" s="417">
        <v>41545</v>
      </c>
      <c r="B5250" s="418">
        <v>0.93062500000000004</v>
      </c>
      <c r="C5250" s="421" t="s">
        <v>1804</v>
      </c>
    </row>
    <row r="5251" spans="1:3" ht="60" x14ac:dyDescent="0.25">
      <c r="A5251" s="417">
        <v>41545</v>
      </c>
      <c r="B5251" s="418">
        <v>0.93062500000000004</v>
      </c>
      <c r="C5251" s="946" t="s">
        <v>1805</v>
      </c>
    </row>
    <row r="5252" spans="1:3" x14ac:dyDescent="0.25">
      <c r="A5252" s="417">
        <v>41545</v>
      </c>
      <c r="B5252" s="418">
        <v>0.93068287037037034</v>
      </c>
      <c r="C5252" s="421" t="s">
        <v>1318</v>
      </c>
    </row>
    <row r="5253" spans="1:3" x14ac:dyDescent="0.25">
      <c r="A5253" s="417">
        <v>41545</v>
      </c>
      <c r="B5253" s="418">
        <v>0.93070601851851853</v>
      </c>
      <c r="C5253" s="421" t="s">
        <v>1368</v>
      </c>
    </row>
    <row r="5254" spans="1:3" x14ac:dyDescent="0.25">
      <c r="A5254" s="417">
        <v>41545</v>
      </c>
      <c r="B5254" s="418">
        <v>0.93070601851851853</v>
      </c>
      <c r="C5254" s="421" t="s">
        <v>1368</v>
      </c>
    </row>
    <row r="5255" spans="1:3" x14ac:dyDescent="0.25">
      <c r="A5255" s="417">
        <v>41545</v>
      </c>
      <c r="B5255" s="418">
        <v>0.93070601851851853</v>
      </c>
      <c r="C5255" s="421" t="s">
        <v>1368</v>
      </c>
    </row>
    <row r="5256" spans="1:3" x14ac:dyDescent="0.25">
      <c r="A5256" s="417">
        <v>41545</v>
      </c>
      <c r="B5256" s="418">
        <v>0.93070601851851853</v>
      </c>
      <c r="C5256" s="421" t="s">
        <v>1368</v>
      </c>
    </row>
    <row r="5257" spans="1:3" x14ac:dyDescent="0.25">
      <c r="A5257" s="417">
        <v>41545</v>
      </c>
      <c r="B5257" s="418">
        <v>0.93070601851851853</v>
      </c>
      <c r="C5257" s="421" t="s">
        <v>1368</v>
      </c>
    </row>
    <row r="5258" spans="1:3" x14ac:dyDescent="0.25">
      <c r="A5258" s="417">
        <v>41545</v>
      </c>
      <c r="B5258" s="418">
        <v>0.93070601851851853</v>
      </c>
      <c r="C5258" s="421" t="s">
        <v>1409</v>
      </c>
    </row>
    <row r="5259" spans="1:3" x14ac:dyDescent="0.25">
      <c r="A5259" s="417">
        <v>41545</v>
      </c>
      <c r="B5259" s="418">
        <v>0.93070601851851853</v>
      </c>
      <c r="C5259" s="421" t="s">
        <v>1308</v>
      </c>
    </row>
    <row r="5260" spans="1:3" x14ac:dyDescent="0.25">
      <c r="A5260" s="417">
        <v>41545</v>
      </c>
      <c r="B5260" s="418">
        <v>0.93070601851851853</v>
      </c>
      <c r="C5260" s="421" t="s">
        <v>1791</v>
      </c>
    </row>
    <row r="5261" spans="1:3" ht="60" x14ac:dyDescent="0.25">
      <c r="A5261" s="417">
        <v>41545</v>
      </c>
      <c r="B5261" s="418">
        <v>0.93070601851851853</v>
      </c>
      <c r="C5261" s="946" t="s">
        <v>1806</v>
      </c>
    </row>
    <row r="5262" spans="1:3" x14ac:dyDescent="0.25">
      <c r="A5262" s="417">
        <v>41545</v>
      </c>
      <c r="B5262" s="418">
        <v>0.93079861111111117</v>
      </c>
      <c r="C5262" s="421" t="s">
        <v>1410</v>
      </c>
    </row>
    <row r="5263" spans="1:3" x14ac:dyDescent="0.25">
      <c r="A5263" s="417">
        <v>41545</v>
      </c>
      <c r="B5263" s="418">
        <v>0.93079861111111117</v>
      </c>
      <c r="C5263" s="421" t="s">
        <v>1410</v>
      </c>
    </row>
    <row r="5264" spans="1:3" x14ac:dyDescent="0.25">
      <c r="A5264" s="417">
        <v>41545</v>
      </c>
      <c r="B5264" s="418">
        <v>0.93081018518518521</v>
      </c>
      <c r="C5264" s="421" t="s">
        <v>1411</v>
      </c>
    </row>
    <row r="5265" spans="1:3" x14ac:dyDescent="0.25">
      <c r="A5265" s="417">
        <v>41545</v>
      </c>
      <c r="B5265" s="418">
        <v>0.93082175925925925</v>
      </c>
      <c r="C5265" s="421" t="s">
        <v>1791</v>
      </c>
    </row>
    <row r="5266" spans="1:3" ht="60" x14ac:dyDescent="0.25">
      <c r="A5266" s="417">
        <v>41545</v>
      </c>
      <c r="B5266" s="418">
        <v>0.93082175925925925</v>
      </c>
      <c r="C5266" s="946" t="s">
        <v>1807</v>
      </c>
    </row>
    <row r="5267" spans="1:3" x14ac:dyDescent="0.25">
      <c r="A5267" s="417">
        <v>41545</v>
      </c>
      <c r="B5267" s="418">
        <v>0.93085648148148159</v>
      </c>
      <c r="C5267" s="421" t="s">
        <v>1808</v>
      </c>
    </row>
    <row r="5268" spans="1:3" x14ac:dyDescent="0.25">
      <c r="A5268" s="417">
        <v>41545</v>
      </c>
      <c r="B5268" s="418">
        <v>0.93086805555555552</v>
      </c>
      <c r="C5268" s="421" t="s">
        <v>1413</v>
      </c>
    </row>
    <row r="5269" spans="1:3" x14ac:dyDescent="0.25">
      <c r="A5269" s="417">
        <v>41545</v>
      </c>
      <c r="B5269" s="418">
        <v>0.93086805555555552</v>
      </c>
      <c r="C5269" s="421" t="s">
        <v>1414</v>
      </c>
    </row>
    <row r="5270" spans="1:3" x14ac:dyDescent="0.25">
      <c r="A5270" s="417">
        <v>41545</v>
      </c>
      <c r="B5270" s="418">
        <v>0.93087962962962967</v>
      </c>
      <c r="C5270" s="421" t="s">
        <v>1373</v>
      </c>
    </row>
    <row r="5271" spans="1:3" x14ac:dyDescent="0.25">
      <c r="A5271" s="417">
        <v>41545</v>
      </c>
      <c r="B5271" s="418">
        <v>0.93087962962962967</v>
      </c>
      <c r="C5271" s="421" t="s">
        <v>1809</v>
      </c>
    </row>
    <row r="5272" spans="1:3" x14ac:dyDescent="0.25">
      <c r="A5272" s="417">
        <v>41545</v>
      </c>
      <c r="B5272" s="418">
        <v>0.93093750000000008</v>
      </c>
      <c r="C5272" s="421" t="s">
        <v>1804</v>
      </c>
    </row>
    <row r="5273" spans="1:3" ht="60" x14ac:dyDescent="0.25">
      <c r="A5273" s="417">
        <v>41545</v>
      </c>
      <c r="B5273" s="418">
        <v>0.93093750000000008</v>
      </c>
      <c r="C5273" s="946" t="s">
        <v>1810</v>
      </c>
    </row>
    <row r="5274" spans="1:3" x14ac:dyDescent="0.25">
      <c r="A5274" s="417">
        <v>41545</v>
      </c>
      <c r="B5274" s="418">
        <v>0.93101851851851858</v>
      </c>
      <c r="C5274" s="421" t="s">
        <v>1804</v>
      </c>
    </row>
    <row r="5275" spans="1:3" ht="60" x14ac:dyDescent="0.25">
      <c r="A5275" s="417">
        <v>41545</v>
      </c>
      <c r="B5275" s="418">
        <v>0.93101851851851858</v>
      </c>
      <c r="C5275" s="946" t="s">
        <v>1811</v>
      </c>
    </row>
    <row r="5276" spans="1:3" x14ac:dyDescent="0.25">
      <c r="A5276" s="417">
        <v>41545</v>
      </c>
      <c r="B5276" s="418">
        <v>0.9310532407407407</v>
      </c>
      <c r="C5276" s="421" t="s">
        <v>1804</v>
      </c>
    </row>
    <row r="5277" spans="1:3" ht="60" x14ac:dyDescent="0.25">
      <c r="A5277" s="417">
        <v>41545</v>
      </c>
      <c r="B5277" s="418">
        <v>0.9310532407407407</v>
      </c>
      <c r="C5277" s="946" t="s">
        <v>1812</v>
      </c>
    </row>
    <row r="5278" spans="1:3" x14ac:dyDescent="0.25">
      <c r="A5278" s="417">
        <v>41545</v>
      </c>
      <c r="B5278" s="418">
        <v>0.93108796296296292</v>
      </c>
      <c r="C5278" s="421" t="s">
        <v>1409</v>
      </c>
    </row>
    <row r="5279" spans="1:3" x14ac:dyDescent="0.25">
      <c r="A5279" s="417">
        <v>41545</v>
      </c>
      <c r="B5279" s="418">
        <v>0.93109953703703707</v>
      </c>
      <c r="C5279" s="421" t="s">
        <v>1416</v>
      </c>
    </row>
    <row r="5280" spans="1:3" x14ac:dyDescent="0.25">
      <c r="A5280" s="417">
        <v>41545</v>
      </c>
      <c r="B5280" s="418">
        <v>0.93109953703703707</v>
      </c>
      <c r="C5280" s="421" t="s">
        <v>1543</v>
      </c>
    </row>
    <row r="5281" spans="1:3" x14ac:dyDescent="0.25">
      <c r="A5281" s="417">
        <v>41545</v>
      </c>
      <c r="B5281" s="418">
        <v>0.93109953703703707</v>
      </c>
      <c r="C5281" s="421" t="s">
        <v>1791</v>
      </c>
    </row>
    <row r="5282" spans="1:3" ht="60" x14ac:dyDescent="0.25">
      <c r="A5282" s="417">
        <v>41545</v>
      </c>
      <c r="B5282" s="418">
        <v>0.93109953703703707</v>
      </c>
      <c r="C5282" s="946" t="s">
        <v>1813</v>
      </c>
    </row>
    <row r="5283" spans="1:3" x14ac:dyDescent="0.25">
      <c r="A5283" s="417">
        <v>41545</v>
      </c>
      <c r="B5283" s="418">
        <v>0.93116898148148142</v>
      </c>
      <c r="C5283" s="421" t="s">
        <v>1348</v>
      </c>
    </row>
    <row r="5284" spans="1:3" x14ac:dyDescent="0.25">
      <c r="A5284" s="417">
        <v>41545</v>
      </c>
      <c r="B5284" s="418">
        <v>0.93116898148148142</v>
      </c>
      <c r="C5284" s="421" t="s">
        <v>1419</v>
      </c>
    </row>
    <row r="5285" spans="1:3" x14ac:dyDescent="0.25">
      <c r="A5285" s="417">
        <v>41545</v>
      </c>
      <c r="B5285" s="418">
        <v>0.93116898148148142</v>
      </c>
      <c r="C5285" s="421" t="s">
        <v>1419</v>
      </c>
    </row>
    <row r="5286" spans="1:3" x14ac:dyDescent="0.25">
      <c r="A5286" s="417">
        <v>41545</v>
      </c>
      <c r="B5286" s="418">
        <v>0.93116898148148142</v>
      </c>
      <c r="C5286" s="421" t="s">
        <v>1420</v>
      </c>
    </row>
    <row r="5287" spans="1:3" x14ac:dyDescent="0.25">
      <c r="A5287" s="417">
        <v>41545</v>
      </c>
      <c r="B5287" s="418">
        <v>0.93119212962962961</v>
      </c>
      <c r="C5287" s="421" t="s">
        <v>1814</v>
      </c>
    </row>
    <row r="5288" spans="1:3" ht="60" x14ac:dyDescent="0.25">
      <c r="A5288" s="417">
        <v>41545</v>
      </c>
      <c r="B5288" s="418">
        <v>0.93119212962962961</v>
      </c>
      <c r="C5288" s="946" t="s">
        <v>1815</v>
      </c>
    </row>
    <row r="5289" spans="1:3" x14ac:dyDescent="0.25">
      <c r="A5289" s="417">
        <v>41545</v>
      </c>
      <c r="B5289" s="418">
        <v>0.93123842592592598</v>
      </c>
      <c r="C5289" s="421" t="s">
        <v>1722</v>
      </c>
    </row>
    <row r="5290" spans="1:3" x14ac:dyDescent="0.25">
      <c r="A5290" s="417">
        <v>41545</v>
      </c>
      <c r="B5290" s="418">
        <v>0.93123842592592598</v>
      </c>
      <c r="C5290" s="421" t="s">
        <v>1723</v>
      </c>
    </row>
    <row r="5291" spans="1:3" x14ac:dyDescent="0.25">
      <c r="A5291" s="417">
        <v>41545</v>
      </c>
      <c r="B5291" s="418">
        <v>0.93123842592592598</v>
      </c>
      <c r="C5291" s="421" t="s">
        <v>1816</v>
      </c>
    </row>
    <row r="5292" spans="1:3" x14ac:dyDescent="0.25">
      <c r="A5292" s="417">
        <v>41545</v>
      </c>
      <c r="B5292" s="418">
        <v>0.93125000000000002</v>
      </c>
      <c r="C5292" s="421" t="s">
        <v>1624</v>
      </c>
    </row>
    <row r="5293" spans="1:3" x14ac:dyDescent="0.25">
      <c r="A5293" s="417">
        <v>41545</v>
      </c>
      <c r="B5293" s="418">
        <v>0.93125000000000002</v>
      </c>
      <c r="C5293" s="421" t="s">
        <v>1817</v>
      </c>
    </row>
    <row r="5294" spans="1:3" x14ac:dyDescent="0.25">
      <c r="A5294" s="417">
        <v>41545</v>
      </c>
      <c r="B5294" s="418">
        <v>0.93126157407407406</v>
      </c>
      <c r="C5294" s="421" t="s">
        <v>1818</v>
      </c>
    </row>
    <row r="5295" spans="1:3" x14ac:dyDescent="0.25">
      <c r="A5295" s="417">
        <v>41545</v>
      </c>
      <c r="B5295" s="418">
        <v>0.93126157407407406</v>
      </c>
      <c r="C5295" s="421" t="s">
        <v>1727</v>
      </c>
    </row>
    <row r="5296" spans="1:3" x14ac:dyDescent="0.25">
      <c r="A5296" s="417">
        <v>41545</v>
      </c>
      <c r="B5296" s="418">
        <v>0.93126157407407406</v>
      </c>
      <c r="C5296" s="421" t="s">
        <v>1819</v>
      </c>
    </row>
    <row r="5297" spans="1:3" x14ac:dyDescent="0.25">
      <c r="A5297" s="417">
        <v>41545</v>
      </c>
      <c r="B5297" s="418">
        <v>0.93126157407407406</v>
      </c>
      <c r="C5297" s="421" t="s">
        <v>1320</v>
      </c>
    </row>
    <row r="5298" spans="1:3" x14ac:dyDescent="0.25">
      <c r="A5298" s="417">
        <v>41545</v>
      </c>
      <c r="B5298" s="418">
        <v>0.9312731481481481</v>
      </c>
      <c r="C5298" s="421" t="s">
        <v>1429</v>
      </c>
    </row>
    <row r="5299" spans="1:3" x14ac:dyDescent="0.25">
      <c r="A5299" s="417">
        <v>41545</v>
      </c>
      <c r="B5299" s="418">
        <v>0.93128472222222225</v>
      </c>
      <c r="C5299" s="421" t="s">
        <v>1430</v>
      </c>
    </row>
    <row r="5300" spans="1:3" x14ac:dyDescent="0.25">
      <c r="A5300" s="417">
        <v>41545</v>
      </c>
      <c r="B5300" s="418">
        <v>0.9312962962962964</v>
      </c>
      <c r="C5300" s="421" t="s">
        <v>1820</v>
      </c>
    </row>
    <row r="5301" spans="1:3" x14ac:dyDescent="0.25">
      <c r="A5301" s="417">
        <v>41545</v>
      </c>
      <c r="B5301" s="418">
        <v>0.9312962962962964</v>
      </c>
      <c r="C5301" s="421" t="s">
        <v>1791</v>
      </c>
    </row>
    <row r="5302" spans="1:3" ht="60" x14ac:dyDescent="0.25">
      <c r="A5302" s="417">
        <v>41545</v>
      </c>
      <c r="B5302" s="418">
        <v>0.9312962962962964</v>
      </c>
      <c r="C5302" s="946" t="s">
        <v>1821</v>
      </c>
    </row>
    <row r="5303" spans="1:3" x14ac:dyDescent="0.25">
      <c r="A5303" s="417">
        <v>41545</v>
      </c>
      <c r="B5303" s="418">
        <v>0.93142361111111116</v>
      </c>
      <c r="C5303" s="421" t="s">
        <v>1308</v>
      </c>
    </row>
    <row r="5304" spans="1:3" x14ac:dyDescent="0.25">
      <c r="A5304" s="417">
        <v>41545</v>
      </c>
      <c r="B5304" s="418">
        <v>0.93142361111111116</v>
      </c>
      <c r="C5304" s="421" t="s">
        <v>1360</v>
      </c>
    </row>
    <row r="5305" spans="1:3" x14ac:dyDescent="0.25">
      <c r="A5305" s="417">
        <v>41545</v>
      </c>
      <c r="B5305" s="418">
        <v>0.93142361111111116</v>
      </c>
      <c r="C5305" s="421" t="s">
        <v>1432</v>
      </c>
    </row>
    <row r="5306" spans="1:3" x14ac:dyDescent="0.25">
      <c r="A5306" s="417">
        <v>41545</v>
      </c>
      <c r="B5306" s="418">
        <v>0.93142361111111116</v>
      </c>
      <c r="C5306" s="421" t="s">
        <v>1432</v>
      </c>
    </row>
    <row r="5307" spans="1:3" x14ac:dyDescent="0.25">
      <c r="A5307" s="417">
        <v>41545</v>
      </c>
      <c r="B5307" s="418">
        <v>0.93142361111111116</v>
      </c>
      <c r="C5307" s="421" t="s">
        <v>1432</v>
      </c>
    </row>
    <row r="5308" spans="1:3" x14ac:dyDescent="0.25">
      <c r="A5308" s="417">
        <v>41545</v>
      </c>
      <c r="B5308" s="418">
        <v>0.93142361111111116</v>
      </c>
      <c r="C5308" s="421" t="s">
        <v>1822</v>
      </c>
    </row>
    <row r="5309" spans="1:3" x14ac:dyDescent="0.25">
      <c r="A5309" s="417">
        <v>41545</v>
      </c>
      <c r="B5309" s="418">
        <v>0.93143518518518509</v>
      </c>
      <c r="C5309" s="421" t="s">
        <v>1413</v>
      </c>
    </row>
    <row r="5310" spans="1:3" x14ac:dyDescent="0.25">
      <c r="A5310" s="417">
        <v>41545</v>
      </c>
      <c r="B5310" s="418">
        <v>0.93144675925925924</v>
      </c>
      <c r="C5310" s="421" t="s">
        <v>1791</v>
      </c>
    </row>
    <row r="5311" spans="1:3" ht="60" x14ac:dyDescent="0.25">
      <c r="A5311" s="417">
        <v>41545</v>
      </c>
      <c r="B5311" s="418">
        <v>0.93144675925925924</v>
      </c>
      <c r="C5311" s="946" t="s">
        <v>1823</v>
      </c>
    </row>
    <row r="5312" spans="1:3" x14ac:dyDescent="0.25">
      <c r="A5312" s="417">
        <v>41545</v>
      </c>
      <c r="B5312" s="418">
        <v>0.931574074074074</v>
      </c>
      <c r="C5312" s="421" t="s">
        <v>1550</v>
      </c>
    </row>
    <row r="5313" spans="1:3" x14ac:dyDescent="0.25">
      <c r="A5313" s="417">
        <v>41545</v>
      </c>
      <c r="B5313" s="418">
        <v>0.931574074074074</v>
      </c>
      <c r="C5313" s="421" t="s">
        <v>1731</v>
      </c>
    </row>
    <row r="5314" spans="1:3" x14ac:dyDescent="0.25">
      <c r="A5314" s="417">
        <v>41545</v>
      </c>
      <c r="B5314" s="418">
        <v>0.931574074074074</v>
      </c>
      <c r="C5314" s="421" t="s">
        <v>1732</v>
      </c>
    </row>
    <row r="5315" spans="1:3" x14ac:dyDescent="0.25">
      <c r="A5315" s="417">
        <v>41545</v>
      </c>
      <c r="B5315" s="418">
        <v>0.931574074074074</v>
      </c>
      <c r="C5315" s="421" t="s">
        <v>1733</v>
      </c>
    </row>
    <row r="5316" spans="1:3" x14ac:dyDescent="0.25">
      <c r="A5316" s="417">
        <v>41545</v>
      </c>
      <c r="B5316" s="418">
        <v>0.931574074074074</v>
      </c>
      <c r="C5316" s="421" t="s">
        <v>1824</v>
      </c>
    </row>
    <row r="5317" spans="1:3" x14ac:dyDescent="0.25">
      <c r="A5317" s="417">
        <v>41545</v>
      </c>
      <c r="B5317" s="418">
        <v>0.931574074074074</v>
      </c>
      <c r="C5317" s="421" t="s">
        <v>1825</v>
      </c>
    </row>
    <row r="5318" spans="1:3" x14ac:dyDescent="0.25">
      <c r="A5318" s="417">
        <v>41545</v>
      </c>
      <c r="B5318" s="418">
        <v>0.93158564814814815</v>
      </c>
      <c r="C5318" s="421" t="s">
        <v>1418</v>
      </c>
    </row>
    <row r="5319" spans="1:3" x14ac:dyDescent="0.25">
      <c r="A5319" s="417">
        <v>41545</v>
      </c>
      <c r="B5319" s="418">
        <v>0.93162037037037038</v>
      </c>
      <c r="C5319" s="421" t="s">
        <v>1826</v>
      </c>
    </row>
    <row r="5320" spans="1:3" x14ac:dyDescent="0.25">
      <c r="A5320" s="417">
        <v>41545</v>
      </c>
      <c r="B5320" s="418">
        <v>0.93167824074074079</v>
      </c>
      <c r="C5320" s="421" t="s">
        <v>1827</v>
      </c>
    </row>
    <row r="5321" spans="1:3" x14ac:dyDescent="0.25">
      <c r="A5321" s="417">
        <v>41545</v>
      </c>
      <c r="B5321" s="418">
        <v>0.93171296296296291</v>
      </c>
      <c r="C5321" s="421" t="s">
        <v>1320</v>
      </c>
    </row>
    <row r="5322" spans="1:3" x14ac:dyDescent="0.25">
      <c r="A5322" s="417">
        <v>41545</v>
      </c>
      <c r="B5322" s="418">
        <v>0.93192129629629628</v>
      </c>
      <c r="C5322" s="421" t="s">
        <v>1739</v>
      </c>
    </row>
    <row r="5323" spans="1:3" x14ac:dyDescent="0.25">
      <c r="A5323" s="417">
        <v>41545</v>
      </c>
      <c r="B5323" s="418">
        <v>0.93192129629629628</v>
      </c>
      <c r="C5323" s="421" t="s">
        <v>1740</v>
      </c>
    </row>
    <row r="5324" spans="1:3" x14ac:dyDescent="0.25">
      <c r="A5324" s="417">
        <v>41545</v>
      </c>
      <c r="B5324" s="418">
        <v>0.93192129629629628</v>
      </c>
      <c r="C5324" s="421" t="s">
        <v>1741</v>
      </c>
    </row>
    <row r="5325" spans="1:3" x14ac:dyDescent="0.25">
      <c r="A5325" s="417">
        <v>41545</v>
      </c>
      <c r="B5325" s="418">
        <v>0.93192129629629628</v>
      </c>
      <c r="C5325" s="421" t="s">
        <v>1828</v>
      </c>
    </row>
    <row r="5326" spans="1:3" x14ac:dyDescent="0.25">
      <c r="A5326" s="417">
        <v>41545</v>
      </c>
      <c r="B5326" s="418">
        <v>0.93196759259259254</v>
      </c>
      <c r="C5326" s="421" t="s">
        <v>1446</v>
      </c>
    </row>
    <row r="5327" spans="1:3" x14ac:dyDescent="0.25">
      <c r="A5327" s="417">
        <v>41545</v>
      </c>
      <c r="B5327" s="418">
        <v>0.93210648148148145</v>
      </c>
      <c r="C5327" s="421" t="s">
        <v>1742</v>
      </c>
    </row>
    <row r="5328" spans="1:3" x14ac:dyDescent="0.25">
      <c r="A5328" s="417">
        <v>41545</v>
      </c>
      <c r="B5328" s="418">
        <v>0.9321180555555556</v>
      </c>
      <c r="C5328" s="421" t="s">
        <v>1389</v>
      </c>
    </row>
    <row r="5329" spans="1:3" x14ac:dyDescent="0.25">
      <c r="A5329" s="417">
        <v>41545</v>
      </c>
      <c r="B5329" s="418">
        <v>0.9321180555555556</v>
      </c>
      <c r="C5329" s="421" t="s">
        <v>1448</v>
      </c>
    </row>
    <row r="5330" spans="1:3" x14ac:dyDescent="0.25">
      <c r="A5330" s="417">
        <v>41545</v>
      </c>
      <c r="B5330" s="418">
        <v>0.93212962962962964</v>
      </c>
      <c r="C5330" s="421" t="s">
        <v>1450</v>
      </c>
    </row>
    <row r="5331" spans="1:3" x14ac:dyDescent="0.25">
      <c r="A5331" s="417">
        <v>41545</v>
      </c>
      <c r="B5331" s="418">
        <v>0.93212962962962964</v>
      </c>
      <c r="C5331" s="421" t="s">
        <v>1450</v>
      </c>
    </row>
    <row r="5332" spans="1:3" x14ac:dyDescent="0.25">
      <c r="A5332" s="417">
        <v>41545</v>
      </c>
      <c r="B5332" s="418">
        <v>0.93212962962962964</v>
      </c>
      <c r="C5332" s="421" t="s">
        <v>1450</v>
      </c>
    </row>
    <row r="5333" spans="1:3" x14ac:dyDescent="0.25">
      <c r="A5333" s="417">
        <v>41545</v>
      </c>
      <c r="B5333" s="418">
        <v>0.93212962962962964</v>
      </c>
      <c r="C5333" s="421" t="s">
        <v>1450</v>
      </c>
    </row>
    <row r="5334" spans="1:3" x14ac:dyDescent="0.25">
      <c r="A5334" s="417">
        <v>41545</v>
      </c>
      <c r="B5334" s="418">
        <v>0.93212962962962964</v>
      </c>
      <c r="C5334" s="421" t="s">
        <v>1450</v>
      </c>
    </row>
    <row r="5335" spans="1:3" x14ac:dyDescent="0.25">
      <c r="A5335" s="417">
        <v>41545</v>
      </c>
      <c r="B5335" s="418">
        <v>0.93212962962962964</v>
      </c>
      <c r="C5335" s="421" t="s">
        <v>1450</v>
      </c>
    </row>
    <row r="5336" spans="1:3" x14ac:dyDescent="0.25">
      <c r="A5336" s="417">
        <v>41545</v>
      </c>
      <c r="B5336" s="418">
        <v>0.93212962962962964</v>
      </c>
      <c r="C5336" s="421" t="s">
        <v>1450</v>
      </c>
    </row>
    <row r="5337" spans="1:3" x14ac:dyDescent="0.25">
      <c r="A5337" s="417">
        <v>41545</v>
      </c>
      <c r="B5337" s="418">
        <v>0.9321990740740741</v>
      </c>
      <c r="C5337" s="421" t="s">
        <v>1791</v>
      </c>
    </row>
    <row r="5338" spans="1:3" ht="60" x14ac:dyDescent="0.25">
      <c r="A5338" s="417">
        <v>41545</v>
      </c>
      <c r="B5338" s="418">
        <v>0.9321990740740741</v>
      </c>
      <c r="C5338" s="946" t="s">
        <v>1829</v>
      </c>
    </row>
    <row r="5339" spans="1:3" x14ac:dyDescent="0.25">
      <c r="A5339" s="417">
        <v>41545</v>
      </c>
      <c r="B5339" s="418">
        <v>0.9324189814814815</v>
      </c>
      <c r="C5339" s="421" t="s">
        <v>1448</v>
      </c>
    </row>
    <row r="5340" spans="1:3" x14ac:dyDescent="0.25">
      <c r="A5340" s="417">
        <v>41545</v>
      </c>
      <c r="B5340" s="418">
        <v>0.93246527777777777</v>
      </c>
      <c r="C5340" s="421" t="s">
        <v>1399</v>
      </c>
    </row>
    <row r="5341" spans="1:3" x14ac:dyDescent="0.25">
      <c r="A5341" s="417">
        <v>41545</v>
      </c>
      <c r="B5341" s="418">
        <v>0.93252314814814818</v>
      </c>
      <c r="C5341" s="421" t="s">
        <v>1309</v>
      </c>
    </row>
    <row r="5342" spans="1:3" x14ac:dyDescent="0.25">
      <c r="A5342" s="417">
        <v>41545</v>
      </c>
      <c r="B5342" s="418">
        <v>0.93252314814814818</v>
      </c>
      <c r="C5342" s="421" t="s">
        <v>1830</v>
      </c>
    </row>
    <row r="5343" spans="1:3" x14ac:dyDescent="0.25">
      <c r="A5343" s="417">
        <v>41545</v>
      </c>
      <c r="B5343" s="418">
        <v>0.93253472222222233</v>
      </c>
      <c r="C5343" s="421" t="s">
        <v>1307</v>
      </c>
    </row>
    <row r="5344" spans="1:3" x14ac:dyDescent="0.25">
      <c r="A5344" s="417">
        <v>41546</v>
      </c>
      <c r="B5344" s="418">
        <v>0.99040509259259257</v>
      </c>
      <c r="C5344" s="421" t="s">
        <v>1307</v>
      </c>
    </row>
    <row r="5345" spans="1:3" x14ac:dyDescent="0.25">
      <c r="A5345" s="417">
        <v>41546</v>
      </c>
      <c r="B5345" s="418">
        <v>0.99064814814814817</v>
      </c>
      <c r="C5345" s="421" t="s">
        <v>1782</v>
      </c>
    </row>
    <row r="5346" spans="1:3" ht="60" x14ac:dyDescent="0.25">
      <c r="A5346" s="417">
        <v>41546</v>
      </c>
      <c r="B5346" s="418">
        <v>0.99064814814814817</v>
      </c>
      <c r="C5346" s="946" t="s">
        <v>1783</v>
      </c>
    </row>
    <row r="5347" spans="1:3" x14ac:dyDescent="0.25">
      <c r="A5347" s="417">
        <v>41546</v>
      </c>
      <c r="B5347" s="418">
        <v>0.99087962962962972</v>
      </c>
      <c r="C5347" s="421" t="s">
        <v>1308</v>
      </c>
    </row>
    <row r="5348" spans="1:3" x14ac:dyDescent="0.25">
      <c r="A5348" s="417">
        <v>41546</v>
      </c>
      <c r="B5348" s="418">
        <v>0.99087962962962972</v>
      </c>
      <c r="C5348" s="421" t="s">
        <v>1309</v>
      </c>
    </row>
    <row r="5349" spans="1:3" x14ac:dyDescent="0.25">
      <c r="A5349" s="417">
        <v>41546</v>
      </c>
      <c r="B5349" s="418">
        <v>0.99087962962962972</v>
      </c>
      <c r="C5349" s="421" t="s">
        <v>1310</v>
      </c>
    </row>
    <row r="5350" spans="1:3" x14ac:dyDescent="0.25">
      <c r="A5350" s="417">
        <v>41546</v>
      </c>
      <c r="B5350" s="418">
        <v>0.99087962962962972</v>
      </c>
      <c r="C5350" s="421" t="s">
        <v>1311</v>
      </c>
    </row>
    <row r="5351" spans="1:3" x14ac:dyDescent="0.25">
      <c r="A5351" s="417">
        <v>41546</v>
      </c>
      <c r="B5351" s="418">
        <v>0.99087962962962972</v>
      </c>
      <c r="C5351" s="421" t="s">
        <v>1312</v>
      </c>
    </row>
    <row r="5352" spans="1:3" x14ac:dyDescent="0.25">
      <c r="A5352" s="417">
        <v>41546</v>
      </c>
      <c r="B5352" s="418">
        <v>0.99087962962962972</v>
      </c>
      <c r="C5352" s="421" t="s">
        <v>1313</v>
      </c>
    </row>
    <row r="5353" spans="1:3" x14ac:dyDescent="0.25">
      <c r="A5353" s="417">
        <v>41546</v>
      </c>
      <c r="B5353" s="418">
        <v>0.99087962962962972</v>
      </c>
      <c r="C5353" s="421" t="s">
        <v>1310</v>
      </c>
    </row>
    <row r="5354" spans="1:3" x14ac:dyDescent="0.25">
      <c r="A5354" s="417">
        <v>41546</v>
      </c>
      <c r="B5354" s="418">
        <v>0.99087962962962972</v>
      </c>
      <c r="C5354" s="421" t="s">
        <v>1314</v>
      </c>
    </row>
    <row r="5355" spans="1:3" x14ac:dyDescent="0.25">
      <c r="A5355" s="417">
        <v>41546</v>
      </c>
      <c r="B5355" s="418">
        <v>0.99087962962962972</v>
      </c>
      <c r="C5355" s="421" t="s">
        <v>1315</v>
      </c>
    </row>
    <row r="5356" spans="1:3" x14ac:dyDescent="0.25">
      <c r="A5356" s="417">
        <v>41546</v>
      </c>
      <c r="B5356" s="418">
        <v>0.99087962962962972</v>
      </c>
      <c r="C5356" s="421" t="s">
        <v>1460</v>
      </c>
    </row>
    <row r="5357" spans="1:3" x14ac:dyDescent="0.25">
      <c r="A5357" s="417">
        <v>41546</v>
      </c>
      <c r="B5357" s="418">
        <v>0.99087962962962972</v>
      </c>
      <c r="C5357" s="421" t="s">
        <v>1461</v>
      </c>
    </row>
    <row r="5358" spans="1:3" x14ac:dyDescent="0.25">
      <c r="A5358" s="417">
        <v>41546</v>
      </c>
      <c r="B5358" s="418">
        <v>0.99087962962962972</v>
      </c>
      <c r="C5358" s="421" t="s">
        <v>1310</v>
      </c>
    </row>
    <row r="5359" spans="1:3" x14ac:dyDescent="0.25">
      <c r="A5359" s="417">
        <v>41546</v>
      </c>
      <c r="B5359" s="418">
        <v>0.99087962962962972</v>
      </c>
      <c r="C5359" s="421" t="s">
        <v>1462</v>
      </c>
    </row>
    <row r="5360" spans="1:3" x14ac:dyDescent="0.25">
      <c r="A5360" s="417">
        <v>41546</v>
      </c>
      <c r="B5360" s="418">
        <v>0.99087962962962972</v>
      </c>
      <c r="C5360" s="421" t="s">
        <v>1316</v>
      </c>
    </row>
    <row r="5361" spans="1:3" x14ac:dyDescent="0.25">
      <c r="A5361" s="417">
        <v>41546</v>
      </c>
      <c r="B5361" s="418">
        <v>0.99087962962962972</v>
      </c>
      <c r="C5361" s="421" t="s">
        <v>1316</v>
      </c>
    </row>
    <row r="5362" spans="1:3" x14ac:dyDescent="0.25">
      <c r="A5362" s="417">
        <v>41546</v>
      </c>
      <c r="B5362" s="418">
        <v>0.99087962962962972</v>
      </c>
      <c r="C5362" s="421" t="s">
        <v>1317</v>
      </c>
    </row>
    <row r="5363" spans="1:3" x14ac:dyDescent="0.25">
      <c r="A5363" s="417">
        <v>41546</v>
      </c>
      <c r="B5363" s="418">
        <v>0.99087962962962972</v>
      </c>
      <c r="C5363" s="421" t="s">
        <v>1309</v>
      </c>
    </row>
    <row r="5364" spans="1:3" x14ac:dyDescent="0.25">
      <c r="A5364" s="417">
        <v>41546</v>
      </c>
      <c r="B5364" s="418">
        <v>0.99087962962962972</v>
      </c>
      <c r="C5364" s="421" t="s">
        <v>1318</v>
      </c>
    </row>
    <row r="5365" spans="1:3" x14ac:dyDescent="0.25">
      <c r="A5365" s="417">
        <v>41546</v>
      </c>
      <c r="B5365" s="418">
        <v>0.99087962962962972</v>
      </c>
      <c r="C5365" s="421" t="s">
        <v>1319</v>
      </c>
    </row>
    <row r="5366" spans="1:3" x14ac:dyDescent="0.25">
      <c r="A5366" s="417">
        <v>41546</v>
      </c>
      <c r="B5366" s="418">
        <v>0.99087962962962972</v>
      </c>
      <c r="C5366" s="421" t="s">
        <v>1320</v>
      </c>
    </row>
    <row r="5367" spans="1:3" x14ac:dyDescent="0.25">
      <c r="A5367" s="417">
        <v>41546</v>
      </c>
      <c r="B5367" s="418">
        <v>0.99087962962962972</v>
      </c>
      <c r="C5367" s="421" t="s">
        <v>1318</v>
      </c>
    </row>
    <row r="5368" spans="1:3" x14ac:dyDescent="0.25">
      <c r="A5368" s="417">
        <v>41546</v>
      </c>
      <c r="B5368" s="418">
        <v>0.99087962962962972</v>
      </c>
      <c r="C5368" s="421" t="s">
        <v>1307</v>
      </c>
    </row>
    <row r="5369" spans="1:3" x14ac:dyDescent="0.25">
      <c r="A5369" s="417">
        <v>41546</v>
      </c>
      <c r="B5369" s="418">
        <v>0.99099537037037033</v>
      </c>
      <c r="C5369" s="421" t="s">
        <v>1784</v>
      </c>
    </row>
    <row r="5370" spans="1:3" ht="60" x14ac:dyDescent="0.25">
      <c r="A5370" s="417">
        <v>41546</v>
      </c>
      <c r="B5370" s="418">
        <v>0.99099537037037033</v>
      </c>
      <c r="C5370" s="946" t="s">
        <v>1785</v>
      </c>
    </row>
    <row r="5371" spans="1:3" x14ac:dyDescent="0.25">
      <c r="A5371" s="417">
        <v>41546</v>
      </c>
      <c r="B5371" s="418">
        <v>0.99100694444444448</v>
      </c>
      <c r="C5371" s="421" t="s">
        <v>1321</v>
      </c>
    </row>
    <row r="5372" spans="1:3" x14ac:dyDescent="0.25">
      <c r="A5372" s="417">
        <v>41546</v>
      </c>
      <c r="B5372" s="418">
        <v>0.99100694444444448</v>
      </c>
      <c r="C5372" s="421" t="s">
        <v>1322</v>
      </c>
    </row>
    <row r="5373" spans="1:3" x14ac:dyDescent="0.25">
      <c r="A5373" s="417">
        <v>41546</v>
      </c>
      <c r="B5373" s="418">
        <v>0.99100694444444448</v>
      </c>
      <c r="C5373" s="421" t="s">
        <v>1322</v>
      </c>
    </row>
    <row r="5374" spans="1:3" x14ac:dyDescent="0.25">
      <c r="A5374" s="417">
        <v>41546</v>
      </c>
      <c r="B5374" s="418">
        <v>0.99100694444444448</v>
      </c>
      <c r="C5374" s="421" t="s">
        <v>1323</v>
      </c>
    </row>
    <row r="5375" spans="1:3" x14ac:dyDescent="0.25">
      <c r="A5375" s="417">
        <v>41546</v>
      </c>
      <c r="B5375" s="418">
        <v>0.99100694444444448</v>
      </c>
      <c r="C5375" s="421" t="s">
        <v>1324</v>
      </c>
    </row>
    <row r="5376" spans="1:3" x14ac:dyDescent="0.25">
      <c r="A5376" s="417">
        <v>41546</v>
      </c>
      <c r="B5376" s="418">
        <v>0.99100694444444448</v>
      </c>
      <c r="C5376" s="421" t="s">
        <v>1310</v>
      </c>
    </row>
    <row r="5377" spans="1:3" x14ac:dyDescent="0.25">
      <c r="A5377" s="417">
        <v>41546</v>
      </c>
      <c r="B5377" s="418">
        <v>0.99100694444444448</v>
      </c>
      <c r="C5377" s="421" t="s">
        <v>1325</v>
      </c>
    </row>
    <row r="5378" spans="1:3" x14ac:dyDescent="0.25">
      <c r="A5378" s="417">
        <v>41546</v>
      </c>
      <c r="B5378" s="418">
        <v>0.99100694444444448</v>
      </c>
      <c r="C5378" s="421" t="s">
        <v>1326</v>
      </c>
    </row>
    <row r="5379" spans="1:3" x14ac:dyDescent="0.25">
      <c r="A5379" s="417">
        <v>41546</v>
      </c>
      <c r="B5379" s="418">
        <v>0.99100694444444448</v>
      </c>
      <c r="C5379" s="421" t="s">
        <v>1238</v>
      </c>
    </row>
    <row r="5380" spans="1:3" x14ac:dyDescent="0.25">
      <c r="A5380" s="417">
        <v>41546</v>
      </c>
      <c r="B5380" s="418">
        <v>0.99105324074074075</v>
      </c>
      <c r="C5380" s="421" t="s">
        <v>1786</v>
      </c>
    </row>
    <row r="5381" spans="1:3" ht="60" x14ac:dyDescent="0.25">
      <c r="A5381" s="417">
        <v>41546</v>
      </c>
      <c r="B5381" s="418">
        <v>0.99105324074074075</v>
      </c>
      <c r="C5381" s="946" t="s">
        <v>1787</v>
      </c>
    </row>
    <row r="5382" spans="1:3" x14ac:dyDescent="0.25">
      <c r="A5382" s="417">
        <v>41546</v>
      </c>
      <c r="B5382" s="418">
        <v>0.99113425925925924</v>
      </c>
      <c r="C5382" s="421" t="s">
        <v>1327</v>
      </c>
    </row>
    <row r="5383" spans="1:3" x14ac:dyDescent="0.25">
      <c r="A5383" s="417">
        <v>41546</v>
      </c>
      <c r="B5383" s="418">
        <v>0.99113425925925924</v>
      </c>
      <c r="C5383" s="421" t="s">
        <v>1323</v>
      </c>
    </row>
    <row r="5384" spans="1:3" x14ac:dyDescent="0.25">
      <c r="A5384" s="417">
        <v>41546</v>
      </c>
      <c r="B5384" s="418">
        <v>0.99113425925925924</v>
      </c>
      <c r="C5384" s="421" t="s">
        <v>1342</v>
      </c>
    </row>
    <row r="5385" spans="1:3" x14ac:dyDescent="0.25">
      <c r="A5385" s="417">
        <v>41546</v>
      </c>
      <c r="B5385" s="418">
        <v>0.99113425925925924</v>
      </c>
      <c r="C5385" s="421" t="s">
        <v>1343</v>
      </c>
    </row>
    <row r="5386" spans="1:3" x14ac:dyDescent="0.25">
      <c r="A5386" s="417">
        <v>41546</v>
      </c>
      <c r="B5386" s="418">
        <v>0.99113425925925924</v>
      </c>
      <c r="C5386" s="421" t="s">
        <v>1344</v>
      </c>
    </row>
    <row r="5387" spans="1:3" x14ac:dyDescent="0.25">
      <c r="A5387" s="417">
        <v>41546</v>
      </c>
      <c r="B5387" s="418">
        <v>0.99113425925925924</v>
      </c>
      <c r="C5387" s="421" t="s">
        <v>1344</v>
      </c>
    </row>
    <row r="5388" spans="1:3" x14ac:dyDescent="0.25">
      <c r="A5388" s="417">
        <v>41546</v>
      </c>
      <c r="B5388" s="418">
        <v>0.99113425925925924</v>
      </c>
      <c r="C5388" s="421" t="s">
        <v>1310</v>
      </c>
    </row>
    <row r="5389" spans="1:3" x14ac:dyDescent="0.25">
      <c r="A5389" s="417">
        <v>41546</v>
      </c>
      <c r="B5389" s="418">
        <v>0.99113425925925924</v>
      </c>
      <c r="C5389" s="421" t="s">
        <v>1345</v>
      </c>
    </row>
    <row r="5390" spans="1:3" x14ac:dyDescent="0.25">
      <c r="A5390" s="417">
        <v>41546</v>
      </c>
      <c r="B5390" s="418">
        <v>0.99113425925925924</v>
      </c>
      <c r="C5390" s="421" t="s">
        <v>1346</v>
      </c>
    </row>
    <row r="5391" spans="1:3" x14ac:dyDescent="0.25">
      <c r="A5391" s="417">
        <v>41546</v>
      </c>
      <c r="B5391" s="418">
        <v>0.99113425925925924</v>
      </c>
      <c r="C5391" s="421" t="s">
        <v>1347</v>
      </c>
    </row>
    <row r="5392" spans="1:3" x14ac:dyDescent="0.25">
      <c r="A5392" s="417">
        <v>41546</v>
      </c>
      <c r="B5392" s="418">
        <v>0.99113425925925924</v>
      </c>
      <c r="C5392" s="421" t="s">
        <v>1348</v>
      </c>
    </row>
    <row r="5393" spans="1:3" x14ac:dyDescent="0.25">
      <c r="A5393" s="417">
        <v>41546</v>
      </c>
      <c r="B5393" s="418">
        <v>0.99113425925925924</v>
      </c>
      <c r="C5393" s="421" t="s">
        <v>1349</v>
      </c>
    </row>
    <row r="5394" spans="1:3" x14ac:dyDescent="0.25">
      <c r="A5394" s="417">
        <v>41546</v>
      </c>
      <c r="B5394" s="418">
        <v>0.99113425925925924</v>
      </c>
      <c r="C5394" s="421" t="s">
        <v>1349</v>
      </c>
    </row>
    <row r="5395" spans="1:3" x14ac:dyDescent="0.25">
      <c r="A5395" s="417">
        <v>41546</v>
      </c>
      <c r="B5395" s="418">
        <v>0.99113425925925924</v>
      </c>
      <c r="C5395" s="421" t="s">
        <v>1348</v>
      </c>
    </row>
    <row r="5396" spans="1:3" x14ac:dyDescent="0.25">
      <c r="A5396" s="417">
        <v>41546</v>
      </c>
      <c r="B5396" s="418">
        <v>0.99113425925925924</v>
      </c>
      <c r="C5396" s="421" t="s">
        <v>1350</v>
      </c>
    </row>
    <row r="5397" spans="1:3" x14ac:dyDescent="0.25">
      <c r="A5397" s="417">
        <v>41546</v>
      </c>
      <c r="B5397" s="418">
        <v>0.99113425925925924</v>
      </c>
      <c r="C5397" s="421" t="s">
        <v>1351</v>
      </c>
    </row>
    <row r="5398" spans="1:3" x14ac:dyDescent="0.25">
      <c r="A5398" s="417">
        <v>41546</v>
      </c>
      <c r="B5398" s="418">
        <v>0.99113425925925924</v>
      </c>
      <c r="C5398" s="421" t="s">
        <v>1352</v>
      </c>
    </row>
    <row r="5399" spans="1:3" x14ac:dyDescent="0.25">
      <c r="A5399" s="417">
        <v>41546</v>
      </c>
      <c r="B5399" s="418">
        <v>0.99113425925925924</v>
      </c>
      <c r="C5399" s="421" t="s">
        <v>1768</v>
      </c>
    </row>
    <row r="5400" spans="1:3" x14ac:dyDescent="0.25">
      <c r="A5400" s="417">
        <v>41546</v>
      </c>
      <c r="B5400" s="418">
        <v>0.99113425925925924</v>
      </c>
      <c r="C5400" s="421" t="s">
        <v>1353</v>
      </c>
    </row>
    <row r="5401" spans="1:3" x14ac:dyDescent="0.25">
      <c r="A5401" s="417">
        <v>41546</v>
      </c>
      <c r="B5401" s="418">
        <v>0.99113425925925924</v>
      </c>
      <c r="C5401" s="421" t="s">
        <v>1354</v>
      </c>
    </row>
    <row r="5402" spans="1:3" x14ac:dyDescent="0.25">
      <c r="A5402" s="417">
        <v>41546</v>
      </c>
      <c r="B5402" s="418">
        <v>0.99113425925925924</v>
      </c>
      <c r="C5402" s="421" t="s">
        <v>1357</v>
      </c>
    </row>
    <row r="5403" spans="1:3" x14ac:dyDescent="0.25">
      <c r="A5403" s="417">
        <v>41546</v>
      </c>
      <c r="B5403" s="418">
        <v>0.99113425925925924</v>
      </c>
      <c r="C5403" s="421" t="s">
        <v>1358</v>
      </c>
    </row>
    <row r="5404" spans="1:3" x14ac:dyDescent="0.25">
      <c r="A5404" s="417">
        <v>41546</v>
      </c>
      <c r="B5404" s="418">
        <v>0.99113425925925924</v>
      </c>
      <c r="C5404" s="421" t="s">
        <v>1359</v>
      </c>
    </row>
    <row r="5405" spans="1:3" x14ac:dyDescent="0.25">
      <c r="A5405" s="417">
        <v>41546</v>
      </c>
      <c r="B5405" s="418">
        <v>0.99113425925925924</v>
      </c>
      <c r="C5405" s="421" t="s">
        <v>1360</v>
      </c>
    </row>
    <row r="5406" spans="1:3" x14ac:dyDescent="0.25">
      <c r="A5406" s="417">
        <v>41546</v>
      </c>
      <c r="B5406" s="418">
        <v>0.99113425925925924</v>
      </c>
      <c r="C5406" s="421" t="s">
        <v>1361</v>
      </c>
    </row>
    <row r="5407" spans="1:3" x14ac:dyDescent="0.25">
      <c r="A5407" s="417">
        <v>41546</v>
      </c>
      <c r="B5407" s="418">
        <v>0.99113425925925924</v>
      </c>
      <c r="C5407" s="421" t="s">
        <v>1317</v>
      </c>
    </row>
    <row r="5408" spans="1:3" x14ac:dyDescent="0.25">
      <c r="A5408" s="417">
        <v>41546</v>
      </c>
      <c r="B5408" s="418">
        <v>0.99113425925925924</v>
      </c>
      <c r="C5408" s="421" t="s">
        <v>1537</v>
      </c>
    </row>
    <row r="5409" spans="1:3" x14ac:dyDescent="0.25">
      <c r="A5409" s="417">
        <v>41546</v>
      </c>
      <c r="B5409" s="418">
        <v>0.99113425925925924</v>
      </c>
      <c r="C5409" s="421" t="s">
        <v>1362</v>
      </c>
    </row>
    <row r="5410" spans="1:3" x14ac:dyDescent="0.25">
      <c r="A5410" s="417">
        <v>41546</v>
      </c>
      <c r="B5410" s="418">
        <v>0.99113425925925924</v>
      </c>
      <c r="C5410" s="421" t="s">
        <v>1363</v>
      </c>
    </row>
    <row r="5411" spans="1:3" x14ac:dyDescent="0.25">
      <c r="A5411" s="417">
        <v>41546</v>
      </c>
      <c r="B5411" s="418">
        <v>0.99113425925925924</v>
      </c>
      <c r="C5411" s="421" t="s">
        <v>1364</v>
      </c>
    </row>
    <row r="5412" spans="1:3" x14ac:dyDescent="0.25">
      <c r="A5412" s="417">
        <v>41546</v>
      </c>
      <c r="B5412" s="418">
        <v>0.99113425925925924</v>
      </c>
      <c r="C5412" s="421" t="s">
        <v>1365</v>
      </c>
    </row>
    <row r="5413" spans="1:3" x14ac:dyDescent="0.25">
      <c r="A5413" s="417">
        <v>41546</v>
      </c>
      <c r="B5413" s="418">
        <v>0.99113425925925924</v>
      </c>
      <c r="C5413" s="421" t="s">
        <v>1365</v>
      </c>
    </row>
    <row r="5414" spans="1:3" x14ac:dyDescent="0.25">
      <c r="A5414" s="417">
        <v>41546</v>
      </c>
      <c r="B5414" s="418">
        <v>0.99113425925925924</v>
      </c>
      <c r="C5414" s="421" t="s">
        <v>1320</v>
      </c>
    </row>
    <row r="5415" spans="1:3" x14ac:dyDescent="0.25">
      <c r="A5415" s="417">
        <v>41546</v>
      </c>
      <c r="B5415" s="418">
        <v>0.99113425925925924</v>
      </c>
      <c r="C5415" s="421" t="s">
        <v>1367</v>
      </c>
    </row>
    <row r="5416" spans="1:3" x14ac:dyDescent="0.25">
      <c r="A5416" s="417">
        <v>41546</v>
      </c>
      <c r="B5416" s="418">
        <v>0.99113425925925924</v>
      </c>
      <c r="C5416" s="421" t="s">
        <v>1344</v>
      </c>
    </row>
    <row r="5417" spans="1:3" x14ac:dyDescent="0.25">
      <c r="A5417" s="417">
        <v>41546</v>
      </c>
      <c r="B5417" s="418">
        <v>0.99113425925925924</v>
      </c>
      <c r="C5417" s="421" t="s">
        <v>1368</v>
      </c>
    </row>
    <row r="5418" spans="1:3" x14ac:dyDescent="0.25">
      <c r="A5418" s="417">
        <v>41546</v>
      </c>
      <c r="B5418" s="418">
        <v>0.99113425925925924</v>
      </c>
      <c r="C5418" s="421" t="s">
        <v>1369</v>
      </c>
    </row>
    <row r="5419" spans="1:3" x14ac:dyDescent="0.25">
      <c r="A5419" s="417">
        <v>41546</v>
      </c>
      <c r="B5419" s="418">
        <v>0.99113425925925924</v>
      </c>
      <c r="C5419" s="421" t="s">
        <v>1307</v>
      </c>
    </row>
    <row r="5420" spans="1:3" x14ac:dyDescent="0.25">
      <c r="A5420" s="417">
        <v>41546</v>
      </c>
      <c r="B5420" s="418">
        <v>0.99115740740740732</v>
      </c>
      <c r="C5420" s="421" t="s">
        <v>1782</v>
      </c>
    </row>
    <row r="5421" spans="1:3" ht="60" x14ac:dyDescent="0.25">
      <c r="A5421" s="417">
        <v>41546</v>
      </c>
      <c r="B5421" s="418">
        <v>0.99115740740740732</v>
      </c>
      <c r="C5421" s="946" t="s">
        <v>1788</v>
      </c>
    </row>
    <row r="5422" spans="1:3" x14ac:dyDescent="0.25">
      <c r="A5422" s="417">
        <v>41546</v>
      </c>
      <c r="B5422" s="418">
        <v>0.99116898148148147</v>
      </c>
      <c r="C5422" s="421" t="s">
        <v>1370</v>
      </c>
    </row>
    <row r="5423" spans="1:3" x14ac:dyDescent="0.25">
      <c r="A5423" s="417">
        <v>41546</v>
      </c>
      <c r="B5423" s="418">
        <v>0.99116898148148147</v>
      </c>
      <c r="C5423" s="421" t="s">
        <v>1371</v>
      </c>
    </row>
    <row r="5424" spans="1:3" x14ac:dyDescent="0.25">
      <c r="A5424" s="417">
        <v>41546</v>
      </c>
      <c r="B5424" s="418">
        <v>0.99116898148148147</v>
      </c>
      <c r="C5424" s="421" t="s">
        <v>1344</v>
      </c>
    </row>
    <row r="5425" spans="1:3" x14ac:dyDescent="0.25">
      <c r="A5425" s="417">
        <v>41546</v>
      </c>
      <c r="B5425" s="418">
        <v>0.99116898148148147</v>
      </c>
      <c r="C5425" s="421" t="s">
        <v>1317</v>
      </c>
    </row>
    <row r="5426" spans="1:3" x14ac:dyDescent="0.25">
      <c r="A5426" s="417">
        <v>41546</v>
      </c>
      <c r="B5426" s="418">
        <v>0.99116898148148147</v>
      </c>
      <c r="C5426" s="421" t="s">
        <v>1463</v>
      </c>
    </row>
    <row r="5427" spans="1:3" x14ac:dyDescent="0.25">
      <c r="A5427" s="417">
        <v>41546</v>
      </c>
      <c r="B5427" s="418">
        <v>0.99116898148148147</v>
      </c>
      <c r="C5427" s="421" t="s">
        <v>1373</v>
      </c>
    </row>
    <row r="5428" spans="1:3" x14ac:dyDescent="0.25">
      <c r="A5428" s="417">
        <v>41546</v>
      </c>
      <c r="B5428" s="418">
        <v>0.99116898148148147</v>
      </c>
      <c r="C5428" s="421" t="s">
        <v>1308</v>
      </c>
    </row>
    <row r="5429" spans="1:3" x14ac:dyDescent="0.25">
      <c r="A5429" s="417">
        <v>41546</v>
      </c>
      <c r="B5429" s="418">
        <v>0.99116898148148147</v>
      </c>
      <c r="C5429" s="421" t="s">
        <v>1789</v>
      </c>
    </row>
    <row r="5430" spans="1:3" ht="60" x14ac:dyDescent="0.25">
      <c r="A5430" s="417">
        <v>41546</v>
      </c>
      <c r="B5430" s="418">
        <v>0.99116898148148147</v>
      </c>
      <c r="C5430" s="946" t="s">
        <v>1790</v>
      </c>
    </row>
    <row r="5431" spans="1:3" x14ac:dyDescent="0.25">
      <c r="A5431" s="417">
        <v>41546</v>
      </c>
      <c r="B5431" s="418">
        <v>0.9912037037037037</v>
      </c>
      <c r="C5431" s="421" t="s">
        <v>1374</v>
      </c>
    </row>
    <row r="5432" spans="1:3" x14ac:dyDescent="0.25">
      <c r="A5432" s="417">
        <v>41546</v>
      </c>
      <c r="B5432" s="418">
        <v>0.9912037037037037</v>
      </c>
      <c r="C5432" s="421" t="s">
        <v>1375</v>
      </c>
    </row>
    <row r="5433" spans="1:3" x14ac:dyDescent="0.25">
      <c r="A5433" s="417">
        <v>41546</v>
      </c>
      <c r="B5433" s="418">
        <v>0.9912037037037037</v>
      </c>
      <c r="C5433" s="421" t="s">
        <v>1376</v>
      </c>
    </row>
    <row r="5434" spans="1:3" x14ac:dyDescent="0.25">
      <c r="A5434" s="417">
        <v>41546</v>
      </c>
      <c r="B5434" s="418">
        <v>0.9912037037037037</v>
      </c>
      <c r="C5434" s="421" t="s">
        <v>1377</v>
      </c>
    </row>
    <row r="5435" spans="1:3" x14ac:dyDescent="0.25">
      <c r="A5435" s="417">
        <v>41546</v>
      </c>
      <c r="B5435" s="418">
        <v>0.9912037037037037</v>
      </c>
      <c r="C5435" s="421" t="s">
        <v>1326</v>
      </c>
    </row>
    <row r="5436" spans="1:3" x14ac:dyDescent="0.25">
      <c r="A5436" s="417">
        <v>41546</v>
      </c>
      <c r="B5436" s="418">
        <v>0.9912037037037037</v>
      </c>
      <c r="C5436" s="421" t="s">
        <v>1755</v>
      </c>
    </row>
    <row r="5437" spans="1:3" x14ac:dyDescent="0.25">
      <c r="A5437" s="417">
        <v>41546</v>
      </c>
      <c r="B5437" s="418">
        <v>0.9912037037037037</v>
      </c>
      <c r="C5437" s="421" t="s">
        <v>1380</v>
      </c>
    </row>
    <row r="5438" spans="1:3" x14ac:dyDescent="0.25">
      <c r="A5438" s="417">
        <v>41546</v>
      </c>
      <c r="B5438" s="418">
        <v>0.9912037037037037</v>
      </c>
      <c r="C5438" s="421" t="s">
        <v>1381</v>
      </c>
    </row>
    <row r="5439" spans="1:3" x14ac:dyDescent="0.25">
      <c r="A5439" s="417">
        <v>41546</v>
      </c>
      <c r="B5439" s="418">
        <v>0.9912037037037037</v>
      </c>
      <c r="C5439" s="421" t="s">
        <v>1382</v>
      </c>
    </row>
    <row r="5440" spans="1:3" x14ac:dyDescent="0.25">
      <c r="A5440" s="417">
        <v>41546</v>
      </c>
      <c r="B5440" s="418">
        <v>0.9912037037037037</v>
      </c>
      <c r="C5440" s="421" t="s">
        <v>1383</v>
      </c>
    </row>
    <row r="5441" spans="1:3" x14ac:dyDescent="0.25">
      <c r="A5441" s="417">
        <v>41546</v>
      </c>
      <c r="B5441" s="418">
        <v>0.9912037037037037</v>
      </c>
      <c r="C5441" s="421" t="s">
        <v>1352</v>
      </c>
    </row>
    <row r="5442" spans="1:3" x14ac:dyDescent="0.25">
      <c r="A5442" s="417">
        <v>41546</v>
      </c>
      <c r="B5442" s="418">
        <v>0.9912037037037037</v>
      </c>
      <c r="C5442" s="421" t="s">
        <v>1384</v>
      </c>
    </row>
    <row r="5443" spans="1:3" x14ac:dyDescent="0.25">
      <c r="A5443" s="417">
        <v>41546</v>
      </c>
      <c r="B5443" s="418">
        <v>0.9912037037037037</v>
      </c>
      <c r="C5443" s="421" t="s">
        <v>1385</v>
      </c>
    </row>
    <row r="5444" spans="1:3" x14ac:dyDescent="0.25">
      <c r="A5444" s="417">
        <v>41546</v>
      </c>
      <c r="B5444" s="418">
        <v>0.9912037037037037</v>
      </c>
      <c r="C5444" s="421" t="s">
        <v>1385</v>
      </c>
    </row>
    <row r="5445" spans="1:3" x14ac:dyDescent="0.25">
      <c r="A5445" s="417">
        <v>41546</v>
      </c>
      <c r="B5445" s="418">
        <v>0.9912037037037037</v>
      </c>
      <c r="C5445" s="421" t="s">
        <v>1386</v>
      </c>
    </row>
    <row r="5446" spans="1:3" x14ac:dyDescent="0.25">
      <c r="A5446" s="417">
        <v>41546</v>
      </c>
      <c r="B5446" s="418">
        <v>0.9912037037037037</v>
      </c>
      <c r="C5446" s="421" t="s">
        <v>1387</v>
      </c>
    </row>
    <row r="5447" spans="1:3" x14ac:dyDescent="0.25">
      <c r="A5447" s="417">
        <v>41546</v>
      </c>
      <c r="B5447" s="418">
        <v>0.9912037037037037</v>
      </c>
      <c r="C5447" s="421" t="s">
        <v>1387</v>
      </c>
    </row>
    <row r="5448" spans="1:3" x14ac:dyDescent="0.25">
      <c r="A5448" s="417">
        <v>41546</v>
      </c>
      <c r="B5448" s="418">
        <v>0.9912037037037037</v>
      </c>
      <c r="C5448" s="421" t="s">
        <v>1318</v>
      </c>
    </row>
    <row r="5449" spans="1:3" x14ac:dyDescent="0.25">
      <c r="A5449" s="417">
        <v>41546</v>
      </c>
      <c r="B5449" s="418">
        <v>0.9912037037037037</v>
      </c>
      <c r="C5449" s="421" t="s">
        <v>1388</v>
      </c>
    </row>
    <row r="5450" spans="1:3" x14ac:dyDescent="0.25">
      <c r="A5450" s="417">
        <v>41546</v>
      </c>
      <c r="B5450" s="418">
        <v>0.9912037037037037</v>
      </c>
      <c r="C5450" s="421" t="s">
        <v>1791</v>
      </c>
    </row>
    <row r="5451" spans="1:3" ht="60" x14ac:dyDescent="0.25">
      <c r="A5451" s="417">
        <v>41546</v>
      </c>
      <c r="B5451" s="418">
        <v>0.9912037037037037</v>
      </c>
      <c r="C5451" s="946" t="s">
        <v>1792</v>
      </c>
    </row>
    <row r="5452" spans="1:3" x14ac:dyDescent="0.25">
      <c r="A5452" s="417">
        <v>41546</v>
      </c>
      <c r="B5452" s="418">
        <v>0.99121527777777774</v>
      </c>
      <c r="C5452" s="421" t="s">
        <v>1791</v>
      </c>
    </row>
    <row r="5453" spans="1:3" ht="60" x14ac:dyDescent="0.25">
      <c r="A5453" s="417">
        <v>41546</v>
      </c>
      <c r="B5453" s="418">
        <v>0.99121527777777774</v>
      </c>
      <c r="C5453" s="946" t="s">
        <v>1793</v>
      </c>
    </row>
    <row r="5454" spans="1:3" x14ac:dyDescent="0.25">
      <c r="A5454" s="417">
        <v>41546</v>
      </c>
      <c r="B5454" s="418">
        <v>0.99123842592592604</v>
      </c>
      <c r="C5454" s="421" t="s">
        <v>1390</v>
      </c>
    </row>
    <row r="5455" spans="1:3" x14ac:dyDescent="0.25">
      <c r="A5455" s="417">
        <v>41546</v>
      </c>
      <c r="B5455" s="418">
        <v>0.99123842592592604</v>
      </c>
      <c r="C5455" s="421" t="s">
        <v>1791</v>
      </c>
    </row>
    <row r="5456" spans="1:3" ht="60" x14ac:dyDescent="0.25">
      <c r="A5456" s="417">
        <v>41546</v>
      </c>
      <c r="B5456" s="418">
        <v>0.99123842592592604</v>
      </c>
      <c r="C5456" s="946" t="s">
        <v>1794</v>
      </c>
    </row>
    <row r="5457" spans="1:3" x14ac:dyDescent="0.25">
      <c r="A5457" s="417">
        <v>41547</v>
      </c>
      <c r="B5457" s="418">
        <v>4.7685185185185183E-3</v>
      </c>
      <c r="C5457" s="421" t="s">
        <v>1391</v>
      </c>
    </row>
    <row r="5458" spans="1:3" x14ac:dyDescent="0.25">
      <c r="A5458" s="417">
        <v>41547</v>
      </c>
      <c r="B5458" s="418">
        <v>4.7685185185185183E-3</v>
      </c>
      <c r="C5458" s="421" t="s">
        <v>1392</v>
      </c>
    </row>
    <row r="5459" spans="1:3" x14ac:dyDescent="0.25">
      <c r="A5459" s="417">
        <v>41547</v>
      </c>
      <c r="B5459" s="418">
        <v>1.275462962962963E-2</v>
      </c>
      <c r="C5459" s="421" t="s">
        <v>1307</v>
      </c>
    </row>
    <row r="5460" spans="1:3" x14ac:dyDescent="0.25">
      <c r="A5460" s="417">
        <v>41547</v>
      </c>
      <c r="B5460" s="418">
        <v>1.2812499999999999E-2</v>
      </c>
      <c r="C5460" s="421" t="s">
        <v>1782</v>
      </c>
    </row>
    <row r="5461" spans="1:3" ht="60" x14ac:dyDescent="0.25">
      <c r="A5461" s="417">
        <v>41547</v>
      </c>
      <c r="B5461" s="418">
        <v>1.2812499999999999E-2</v>
      </c>
      <c r="C5461" s="946" t="s">
        <v>1783</v>
      </c>
    </row>
    <row r="5462" spans="1:3" x14ac:dyDescent="0.25">
      <c r="A5462" s="417">
        <v>41547</v>
      </c>
      <c r="B5462" s="418">
        <v>1.2847222222222223E-2</v>
      </c>
      <c r="C5462" s="421" t="s">
        <v>1308</v>
      </c>
    </row>
    <row r="5463" spans="1:3" x14ac:dyDescent="0.25">
      <c r="A5463" s="417">
        <v>41547</v>
      </c>
      <c r="B5463" s="418">
        <v>1.2847222222222223E-2</v>
      </c>
      <c r="C5463" s="421" t="s">
        <v>1309</v>
      </c>
    </row>
    <row r="5464" spans="1:3" x14ac:dyDescent="0.25">
      <c r="A5464" s="417">
        <v>41547</v>
      </c>
      <c r="B5464" s="418">
        <v>1.2847222222222223E-2</v>
      </c>
      <c r="C5464" s="421" t="s">
        <v>1310</v>
      </c>
    </row>
    <row r="5465" spans="1:3" x14ac:dyDescent="0.25">
      <c r="A5465" s="417">
        <v>41547</v>
      </c>
      <c r="B5465" s="418">
        <v>1.2847222222222223E-2</v>
      </c>
      <c r="C5465" s="421" t="s">
        <v>1311</v>
      </c>
    </row>
    <row r="5466" spans="1:3" x14ac:dyDescent="0.25">
      <c r="A5466" s="417">
        <v>41547</v>
      </c>
      <c r="B5466" s="418">
        <v>1.2847222222222223E-2</v>
      </c>
      <c r="C5466" s="421" t="s">
        <v>1312</v>
      </c>
    </row>
    <row r="5467" spans="1:3" x14ac:dyDescent="0.25">
      <c r="A5467" s="417">
        <v>41547</v>
      </c>
      <c r="B5467" s="418">
        <v>1.2847222222222223E-2</v>
      </c>
      <c r="C5467" s="421" t="s">
        <v>1313</v>
      </c>
    </row>
    <row r="5468" spans="1:3" x14ac:dyDescent="0.25">
      <c r="A5468" s="417">
        <v>41547</v>
      </c>
      <c r="B5468" s="418">
        <v>1.2847222222222223E-2</v>
      </c>
      <c r="C5468" s="421" t="s">
        <v>1310</v>
      </c>
    </row>
    <row r="5469" spans="1:3" x14ac:dyDescent="0.25">
      <c r="A5469" s="417">
        <v>41547</v>
      </c>
      <c r="B5469" s="418">
        <v>1.2847222222222223E-2</v>
      </c>
      <c r="C5469" s="421" t="s">
        <v>1314</v>
      </c>
    </row>
    <row r="5470" spans="1:3" x14ac:dyDescent="0.25">
      <c r="A5470" s="417">
        <v>41547</v>
      </c>
      <c r="B5470" s="418">
        <v>1.2847222222222223E-2</v>
      </c>
      <c r="C5470" s="421" t="s">
        <v>1315</v>
      </c>
    </row>
    <row r="5471" spans="1:3" x14ac:dyDescent="0.25">
      <c r="A5471" s="417">
        <v>41547</v>
      </c>
      <c r="B5471" s="418">
        <v>1.2847222222222223E-2</v>
      </c>
      <c r="C5471" s="421" t="s">
        <v>1460</v>
      </c>
    </row>
    <row r="5472" spans="1:3" x14ac:dyDescent="0.25">
      <c r="A5472" s="417">
        <v>41547</v>
      </c>
      <c r="B5472" s="418">
        <v>1.2847222222222223E-2</v>
      </c>
      <c r="C5472" s="421" t="s">
        <v>1461</v>
      </c>
    </row>
    <row r="5473" spans="1:3" x14ac:dyDescent="0.25">
      <c r="A5473" s="417">
        <v>41547</v>
      </c>
      <c r="B5473" s="418">
        <v>1.2847222222222223E-2</v>
      </c>
      <c r="C5473" s="421" t="s">
        <v>1310</v>
      </c>
    </row>
    <row r="5474" spans="1:3" x14ac:dyDescent="0.25">
      <c r="A5474" s="417">
        <v>41547</v>
      </c>
      <c r="B5474" s="418">
        <v>1.2847222222222223E-2</v>
      </c>
      <c r="C5474" s="421" t="s">
        <v>1462</v>
      </c>
    </row>
    <row r="5475" spans="1:3" x14ac:dyDescent="0.25">
      <c r="A5475" s="417">
        <v>41547</v>
      </c>
      <c r="B5475" s="418">
        <v>1.2847222222222223E-2</v>
      </c>
      <c r="C5475" s="421" t="s">
        <v>1316</v>
      </c>
    </row>
    <row r="5476" spans="1:3" x14ac:dyDescent="0.25">
      <c r="A5476" s="417">
        <v>41547</v>
      </c>
      <c r="B5476" s="418">
        <v>1.2847222222222223E-2</v>
      </c>
      <c r="C5476" s="421" t="s">
        <v>1316</v>
      </c>
    </row>
    <row r="5477" spans="1:3" x14ac:dyDescent="0.25">
      <c r="A5477" s="417">
        <v>41547</v>
      </c>
      <c r="B5477" s="418">
        <v>1.2847222222222223E-2</v>
      </c>
      <c r="C5477" s="421" t="s">
        <v>1317</v>
      </c>
    </row>
    <row r="5478" spans="1:3" x14ac:dyDescent="0.25">
      <c r="A5478" s="417">
        <v>41547</v>
      </c>
      <c r="B5478" s="418">
        <v>1.2847222222222223E-2</v>
      </c>
      <c r="C5478" s="421" t="s">
        <v>1309</v>
      </c>
    </row>
    <row r="5479" spans="1:3" x14ac:dyDescent="0.25">
      <c r="A5479" s="417">
        <v>41547</v>
      </c>
      <c r="B5479" s="418">
        <v>1.2847222222222223E-2</v>
      </c>
      <c r="C5479" s="421" t="s">
        <v>1318</v>
      </c>
    </row>
    <row r="5480" spans="1:3" x14ac:dyDescent="0.25">
      <c r="A5480" s="417">
        <v>41547</v>
      </c>
      <c r="B5480" s="418">
        <v>1.2847222222222223E-2</v>
      </c>
      <c r="C5480" s="421" t="s">
        <v>1319</v>
      </c>
    </row>
    <row r="5481" spans="1:3" x14ac:dyDescent="0.25">
      <c r="A5481" s="417">
        <v>41547</v>
      </c>
      <c r="B5481" s="418">
        <v>1.2847222222222223E-2</v>
      </c>
      <c r="C5481" s="421" t="s">
        <v>1320</v>
      </c>
    </row>
    <row r="5482" spans="1:3" x14ac:dyDescent="0.25">
      <c r="A5482" s="417">
        <v>41547</v>
      </c>
      <c r="B5482" s="418">
        <v>1.2847222222222223E-2</v>
      </c>
      <c r="C5482" s="421" t="s">
        <v>1318</v>
      </c>
    </row>
    <row r="5483" spans="1:3" x14ac:dyDescent="0.25">
      <c r="A5483" s="417">
        <v>41547</v>
      </c>
      <c r="B5483" s="418">
        <v>1.2847222222222223E-2</v>
      </c>
      <c r="C5483" s="421" t="s">
        <v>1307</v>
      </c>
    </row>
    <row r="5484" spans="1:3" x14ac:dyDescent="0.25">
      <c r="A5484" s="417">
        <v>41547</v>
      </c>
      <c r="B5484" s="418">
        <v>1.2893518518518519E-2</v>
      </c>
      <c r="C5484" s="421" t="s">
        <v>1784</v>
      </c>
    </row>
    <row r="5485" spans="1:3" ht="60" x14ac:dyDescent="0.25">
      <c r="A5485" s="417">
        <v>41547</v>
      </c>
      <c r="B5485" s="418">
        <v>1.2893518518518519E-2</v>
      </c>
      <c r="C5485" s="946" t="s">
        <v>1785</v>
      </c>
    </row>
    <row r="5486" spans="1:3" x14ac:dyDescent="0.25">
      <c r="A5486" s="417">
        <v>41547</v>
      </c>
      <c r="B5486" s="418">
        <v>1.2916666666666667E-2</v>
      </c>
      <c r="C5486" s="421" t="s">
        <v>1321</v>
      </c>
    </row>
    <row r="5487" spans="1:3" x14ac:dyDescent="0.25">
      <c r="A5487" s="417">
        <v>41547</v>
      </c>
      <c r="B5487" s="418">
        <v>1.2916666666666667E-2</v>
      </c>
      <c r="C5487" s="421" t="s">
        <v>1322</v>
      </c>
    </row>
    <row r="5488" spans="1:3" x14ac:dyDescent="0.25">
      <c r="A5488" s="417">
        <v>41547</v>
      </c>
      <c r="B5488" s="418">
        <v>1.2916666666666667E-2</v>
      </c>
      <c r="C5488" s="421" t="s">
        <v>1322</v>
      </c>
    </row>
    <row r="5489" spans="1:3" x14ac:dyDescent="0.25">
      <c r="A5489" s="417">
        <v>41547</v>
      </c>
      <c r="B5489" s="418">
        <v>1.2916666666666667E-2</v>
      </c>
      <c r="C5489" s="421" t="s">
        <v>1323</v>
      </c>
    </row>
    <row r="5490" spans="1:3" x14ac:dyDescent="0.25">
      <c r="A5490" s="417">
        <v>41547</v>
      </c>
      <c r="B5490" s="418">
        <v>1.2916666666666667E-2</v>
      </c>
      <c r="C5490" s="421" t="s">
        <v>1324</v>
      </c>
    </row>
    <row r="5491" spans="1:3" x14ac:dyDescent="0.25">
      <c r="A5491" s="417">
        <v>41547</v>
      </c>
      <c r="B5491" s="418">
        <v>1.2916666666666667E-2</v>
      </c>
      <c r="C5491" s="421" t="s">
        <v>1310</v>
      </c>
    </row>
    <row r="5492" spans="1:3" x14ac:dyDescent="0.25">
      <c r="A5492" s="417">
        <v>41547</v>
      </c>
      <c r="B5492" s="418">
        <v>1.2916666666666667E-2</v>
      </c>
      <c r="C5492" s="421" t="s">
        <v>1325</v>
      </c>
    </row>
    <row r="5493" spans="1:3" x14ac:dyDescent="0.25">
      <c r="A5493" s="417">
        <v>41547</v>
      </c>
      <c r="B5493" s="418">
        <v>1.2916666666666667E-2</v>
      </c>
      <c r="C5493" s="421" t="s">
        <v>1326</v>
      </c>
    </row>
    <row r="5494" spans="1:3" x14ac:dyDescent="0.25">
      <c r="A5494" s="417">
        <v>41547</v>
      </c>
      <c r="B5494" s="418">
        <v>1.2916666666666667E-2</v>
      </c>
      <c r="C5494" s="421" t="s">
        <v>1238</v>
      </c>
    </row>
    <row r="5495" spans="1:3" x14ac:dyDescent="0.25">
      <c r="A5495" s="417">
        <v>41547</v>
      </c>
      <c r="B5495" s="418">
        <v>1.2916666666666667E-2</v>
      </c>
      <c r="C5495" s="421" t="s">
        <v>1786</v>
      </c>
    </row>
    <row r="5496" spans="1:3" ht="60" x14ac:dyDescent="0.25">
      <c r="A5496" s="417">
        <v>41547</v>
      </c>
      <c r="B5496" s="418">
        <v>1.2916666666666667E-2</v>
      </c>
      <c r="C5496" s="946" t="s">
        <v>1787</v>
      </c>
    </row>
    <row r="5497" spans="1:3" x14ac:dyDescent="0.25">
      <c r="A5497" s="417">
        <v>41547</v>
      </c>
      <c r="B5497" s="418">
        <v>1.292824074074074E-2</v>
      </c>
      <c r="C5497" s="421" t="s">
        <v>1327</v>
      </c>
    </row>
    <row r="5498" spans="1:3" x14ac:dyDescent="0.25">
      <c r="A5498" s="417">
        <v>41547</v>
      </c>
      <c r="B5498" s="418">
        <v>1.292824074074074E-2</v>
      </c>
      <c r="C5498" s="421" t="s">
        <v>1323</v>
      </c>
    </row>
    <row r="5499" spans="1:3" x14ac:dyDescent="0.25">
      <c r="A5499" s="417">
        <v>41547</v>
      </c>
      <c r="B5499" s="418">
        <v>1.292824074074074E-2</v>
      </c>
      <c r="C5499" s="421" t="s">
        <v>1342</v>
      </c>
    </row>
    <row r="5500" spans="1:3" x14ac:dyDescent="0.25">
      <c r="A5500" s="417">
        <v>41547</v>
      </c>
      <c r="B5500" s="418">
        <v>1.292824074074074E-2</v>
      </c>
      <c r="C5500" s="421" t="s">
        <v>1343</v>
      </c>
    </row>
    <row r="5501" spans="1:3" x14ac:dyDescent="0.25">
      <c r="A5501" s="417">
        <v>41547</v>
      </c>
      <c r="B5501" s="418">
        <v>1.292824074074074E-2</v>
      </c>
      <c r="C5501" s="421" t="s">
        <v>1344</v>
      </c>
    </row>
    <row r="5502" spans="1:3" x14ac:dyDescent="0.25">
      <c r="A5502" s="417">
        <v>41547</v>
      </c>
      <c r="B5502" s="418">
        <v>1.292824074074074E-2</v>
      </c>
      <c r="C5502" s="421" t="s">
        <v>1344</v>
      </c>
    </row>
    <row r="5503" spans="1:3" x14ac:dyDescent="0.25">
      <c r="A5503" s="417">
        <v>41547</v>
      </c>
      <c r="B5503" s="418">
        <v>1.292824074074074E-2</v>
      </c>
      <c r="C5503" s="421" t="s">
        <v>1310</v>
      </c>
    </row>
    <row r="5504" spans="1:3" x14ac:dyDescent="0.25">
      <c r="A5504" s="417">
        <v>41547</v>
      </c>
      <c r="B5504" s="418">
        <v>1.292824074074074E-2</v>
      </c>
      <c r="C5504" s="421" t="s">
        <v>1345</v>
      </c>
    </row>
    <row r="5505" spans="1:3" x14ac:dyDescent="0.25">
      <c r="A5505" s="417">
        <v>41547</v>
      </c>
      <c r="B5505" s="418">
        <v>1.292824074074074E-2</v>
      </c>
      <c r="C5505" s="421" t="s">
        <v>1346</v>
      </c>
    </row>
    <row r="5506" spans="1:3" x14ac:dyDescent="0.25">
      <c r="A5506" s="417">
        <v>41547</v>
      </c>
      <c r="B5506" s="418">
        <v>1.292824074074074E-2</v>
      </c>
      <c r="C5506" s="421" t="s">
        <v>1347</v>
      </c>
    </row>
    <row r="5507" spans="1:3" x14ac:dyDescent="0.25">
      <c r="A5507" s="417">
        <v>41547</v>
      </c>
      <c r="B5507" s="418">
        <v>1.292824074074074E-2</v>
      </c>
      <c r="C5507" s="421" t="s">
        <v>1348</v>
      </c>
    </row>
    <row r="5508" spans="1:3" x14ac:dyDescent="0.25">
      <c r="A5508" s="417">
        <v>41547</v>
      </c>
      <c r="B5508" s="418">
        <v>1.292824074074074E-2</v>
      </c>
      <c r="C5508" s="421" t="s">
        <v>1349</v>
      </c>
    </row>
    <row r="5509" spans="1:3" x14ac:dyDescent="0.25">
      <c r="A5509" s="417">
        <v>41547</v>
      </c>
      <c r="B5509" s="418">
        <v>1.292824074074074E-2</v>
      </c>
      <c r="C5509" s="421" t="s">
        <v>1349</v>
      </c>
    </row>
    <row r="5510" spans="1:3" x14ac:dyDescent="0.25">
      <c r="A5510" s="417">
        <v>41547</v>
      </c>
      <c r="B5510" s="418">
        <v>1.292824074074074E-2</v>
      </c>
      <c r="C5510" s="421" t="s">
        <v>1348</v>
      </c>
    </row>
    <row r="5511" spans="1:3" x14ac:dyDescent="0.25">
      <c r="A5511" s="417">
        <v>41547</v>
      </c>
      <c r="B5511" s="418">
        <v>1.292824074074074E-2</v>
      </c>
      <c r="C5511" s="421" t="s">
        <v>1350</v>
      </c>
    </row>
    <row r="5512" spans="1:3" x14ac:dyDescent="0.25">
      <c r="A5512" s="417">
        <v>41547</v>
      </c>
      <c r="B5512" s="418">
        <v>1.292824074074074E-2</v>
      </c>
      <c r="C5512" s="421" t="s">
        <v>1351</v>
      </c>
    </row>
    <row r="5513" spans="1:3" x14ac:dyDescent="0.25">
      <c r="A5513" s="417">
        <v>41547</v>
      </c>
      <c r="B5513" s="418">
        <v>1.292824074074074E-2</v>
      </c>
      <c r="C5513" s="421" t="s">
        <v>1352</v>
      </c>
    </row>
    <row r="5514" spans="1:3" x14ac:dyDescent="0.25">
      <c r="A5514" s="417">
        <v>41547</v>
      </c>
      <c r="B5514" s="418">
        <v>1.292824074074074E-2</v>
      </c>
      <c r="C5514" s="421" t="s">
        <v>1768</v>
      </c>
    </row>
    <row r="5515" spans="1:3" x14ac:dyDescent="0.25">
      <c r="A5515" s="417">
        <v>41547</v>
      </c>
      <c r="B5515" s="418">
        <v>1.292824074074074E-2</v>
      </c>
      <c r="C5515" s="421" t="s">
        <v>1353</v>
      </c>
    </row>
    <row r="5516" spans="1:3" x14ac:dyDescent="0.25">
      <c r="A5516" s="417">
        <v>41547</v>
      </c>
      <c r="B5516" s="418">
        <v>1.292824074074074E-2</v>
      </c>
      <c r="C5516" s="421" t="s">
        <v>1354</v>
      </c>
    </row>
    <row r="5517" spans="1:3" x14ac:dyDescent="0.25">
      <c r="A5517" s="417">
        <v>41547</v>
      </c>
      <c r="B5517" s="418">
        <v>1.292824074074074E-2</v>
      </c>
      <c r="C5517" s="421" t="s">
        <v>1357</v>
      </c>
    </row>
    <row r="5518" spans="1:3" x14ac:dyDescent="0.25">
      <c r="A5518" s="417">
        <v>41547</v>
      </c>
      <c r="B5518" s="418">
        <v>1.292824074074074E-2</v>
      </c>
      <c r="C5518" s="421" t="s">
        <v>1358</v>
      </c>
    </row>
    <row r="5519" spans="1:3" x14ac:dyDescent="0.25">
      <c r="A5519" s="417">
        <v>41547</v>
      </c>
      <c r="B5519" s="418">
        <v>1.292824074074074E-2</v>
      </c>
      <c r="C5519" s="421" t="s">
        <v>1359</v>
      </c>
    </row>
    <row r="5520" spans="1:3" x14ac:dyDescent="0.25">
      <c r="A5520" s="417">
        <v>41547</v>
      </c>
      <c r="B5520" s="418">
        <v>1.292824074074074E-2</v>
      </c>
      <c r="C5520" s="421" t="s">
        <v>1360</v>
      </c>
    </row>
    <row r="5521" spans="1:3" x14ac:dyDescent="0.25">
      <c r="A5521" s="417">
        <v>41547</v>
      </c>
      <c r="B5521" s="418">
        <v>1.292824074074074E-2</v>
      </c>
      <c r="C5521" s="421" t="s">
        <v>1361</v>
      </c>
    </row>
    <row r="5522" spans="1:3" x14ac:dyDescent="0.25">
      <c r="A5522" s="417">
        <v>41547</v>
      </c>
      <c r="B5522" s="418">
        <v>1.292824074074074E-2</v>
      </c>
      <c r="C5522" s="421" t="s">
        <v>1317</v>
      </c>
    </row>
    <row r="5523" spans="1:3" x14ac:dyDescent="0.25">
      <c r="A5523" s="417">
        <v>41547</v>
      </c>
      <c r="B5523" s="418">
        <v>1.292824074074074E-2</v>
      </c>
      <c r="C5523" s="421" t="s">
        <v>1537</v>
      </c>
    </row>
    <row r="5524" spans="1:3" x14ac:dyDescent="0.25">
      <c r="A5524" s="417">
        <v>41547</v>
      </c>
      <c r="B5524" s="418">
        <v>1.292824074074074E-2</v>
      </c>
      <c r="C5524" s="421" t="s">
        <v>1362</v>
      </c>
    </row>
    <row r="5525" spans="1:3" x14ac:dyDescent="0.25">
      <c r="A5525" s="417">
        <v>41547</v>
      </c>
      <c r="B5525" s="418">
        <v>1.292824074074074E-2</v>
      </c>
      <c r="C5525" s="421" t="s">
        <v>1363</v>
      </c>
    </row>
    <row r="5526" spans="1:3" x14ac:dyDescent="0.25">
      <c r="A5526" s="417">
        <v>41547</v>
      </c>
      <c r="B5526" s="418">
        <v>1.292824074074074E-2</v>
      </c>
      <c r="C5526" s="421" t="s">
        <v>1364</v>
      </c>
    </row>
    <row r="5527" spans="1:3" x14ac:dyDescent="0.25">
      <c r="A5527" s="417">
        <v>41547</v>
      </c>
      <c r="B5527" s="418">
        <v>1.292824074074074E-2</v>
      </c>
      <c r="C5527" s="421" t="s">
        <v>1365</v>
      </c>
    </row>
    <row r="5528" spans="1:3" x14ac:dyDescent="0.25">
      <c r="A5528" s="417">
        <v>41547</v>
      </c>
      <c r="B5528" s="418">
        <v>1.292824074074074E-2</v>
      </c>
      <c r="C5528" s="421" t="s">
        <v>1365</v>
      </c>
    </row>
    <row r="5529" spans="1:3" x14ac:dyDescent="0.25">
      <c r="A5529" s="417">
        <v>41547</v>
      </c>
      <c r="B5529" s="418">
        <v>1.292824074074074E-2</v>
      </c>
      <c r="C5529" s="421" t="s">
        <v>1320</v>
      </c>
    </row>
    <row r="5530" spans="1:3" x14ac:dyDescent="0.25">
      <c r="A5530" s="417">
        <v>41547</v>
      </c>
      <c r="B5530" s="418">
        <v>1.292824074074074E-2</v>
      </c>
      <c r="C5530" s="421" t="s">
        <v>1367</v>
      </c>
    </row>
    <row r="5531" spans="1:3" x14ac:dyDescent="0.25">
      <c r="A5531" s="417">
        <v>41547</v>
      </c>
      <c r="B5531" s="418">
        <v>1.292824074074074E-2</v>
      </c>
      <c r="C5531" s="421" t="s">
        <v>1344</v>
      </c>
    </row>
    <row r="5532" spans="1:3" x14ac:dyDescent="0.25">
      <c r="A5532" s="417">
        <v>41547</v>
      </c>
      <c r="B5532" s="418">
        <v>1.292824074074074E-2</v>
      </c>
      <c r="C5532" s="421" t="s">
        <v>1368</v>
      </c>
    </row>
    <row r="5533" spans="1:3" x14ac:dyDescent="0.25">
      <c r="A5533" s="417">
        <v>41547</v>
      </c>
      <c r="B5533" s="418">
        <v>1.292824074074074E-2</v>
      </c>
      <c r="C5533" s="421" t="s">
        <v>1369</v>
      </c>
    </row>
    <row r="5534" spans="1:3" x14ac:dyDescent="0.25">
      <c r="A5534" s="417">
        <v>41547</v>
      </c>
      <c r="B5534" s="418">
        <v>1.292824074074074E-2</v>
      </c>
      <c r="C5534" s="421" t="s">
        <v>1307</v>
      </c>
    </row>
    <row r="5535" spans="1:3" x14ac:dyDescent="0.25">
      <c r="A5535" s="417">
        <v>41547</v>
      </c>
      <c r="B5535" s="418">
        <v>1.292824074074074E-2</v>
      </c>
      <c r="C5535" s="421" t="s">
        <v>1782</v>
      </c>
    </row>
    <row r="5536" spans="1:3" ht="60" x14ac:dyDescent="0.25">
      <c r="A5536" s="417">
        <v>41547</v>
      </c>
      <c r="B5536" s="418">
        <v>1.292824074074074E-2</v>
      </c>
      <c r="C5536" s="946" t="s">
        <v>1788</v>
      </c>
    </row>
    <row r="5537" spans="1:3" x14ac:dyDescent="0.25">
      <c r="A5537" s="417">
        <v>41547</v>
      </c>
      <c r="B5537" s="418">
        <v>1.2939814814814814E-2</v>
      </c>
      <c r="C5537" s="421" t="s">
        <v>1370</v>
      </c>
    </row>
    <row r="5538" spans="1:3" x14ac:dyDescent="0.25">
      <c r="A5538" s="417">
        <v>41547</v>
      </c>
      <c r="B5538" s="418">
        <v>1.2939814814814814E-2</v>
      </c>
      <c r="C5538" s="421" t="s">
        <v>1371</v>
      </c>
    </row>
    <row r="5539" spans="1:3" x14ac:dyDescent="0.25">
      <c r="A5539" s="417">
        <v>41547</v>
      </c>
      <c r="B5539" s="418">
        <v>1.2939814814814814E-2</v>
      </c>
      <c r="C5539" s="421" t="s">
        <v>1344</v>
      </c>
    </row>
    <row r="5540" spans="1:3" x14ac:dyDescent="0.25">
      <c r="A5540" s="417">
        <v>41547</v>
      </c>
      <c r="B5540" s="418">
        <v>1.2939814814814814E-2</v>
      </c>
      <c r="C5540" s="421" t="s">
        <v>1317</v>
      </c>
    </row>
    <row r="5541" spans="1:3" x14ac:dyDescent="0.25">
      <c r="A5541" s="417">
        <v>41547</v>
      </c>
      <c r="B5541" s="418">
        <v>1.2939814814814814E-2</v>
      </c>
      <c r="C5541" s="421" t="s">
        <v>1463</v>
      </c>
    </row>
    <row r="5542" spans="1:3" x14ac:dyDescent="0.25">
      <c r="A5542" s="417">
        <v>41547</v>
      </c>
      <c r="B5542" s="418">
        <v>1.2939814814814814E-2</v>
      </c>
      <c r="C5542" s="421" t="s">
        <v>1373</v>
      </c>
    </row>
    <row r="5543" spans="1:3" x14ac:dyDescent="0.25">
      <c r="A5543" s="417">
        <v>41547</v>
      </c>
      <c r="B5543" s="418">
        <v>1.2939814814814814E-2</v>
      </c>
      <c r="C5543" s="421" t="s">
        <v>1308</v>
      </c>
    </row>
    <row r="5544" spans="1:3" x14ac:dyDescent="0.25">
      <c r="A5544" s="417">
        <v>41547</v>
      </c>
      <c r="B5544" s="418">
        <v>1.2939814814814814E-2</v>
      </c>
      <c r="C5544" s="421" t="s">
        <v>1789</v>
      </c>
    </row>
    <row r="5545" spans="1:3" ht="60" x14ac:dyDescent="0.25">
      <c r="A5545" s="417">
        <v>41547</v>
      </c>
      <c r="B5545" s="418">
        <v>1.2939814814814814E-2</v>
      </c>
      <c r="C5545" s="946" t="s">
        <v>1790</v>
      </c>
    </row>
    <row r="5546" spans="1:3" x14ac:dyDescent="0.25">
      <c r="A5546" s="417">
        <v>41547</v>
      </c>
      <c r="B5546" s="418">
        <v>1.2951388888888887E-2</v>
      </c>
      <c r="C5546" s="421" t="s">
        <v>1374</v>
      </c>
    </row>
    <row r="5547" spans="1:3" x14ac:dyDescent="0.25">
      <c r="A5547" s="417">
        <v>41547</v>
      </c>
      <c r="B5547" s="418">
        <v>1.2951388888888887E-2</v>
      </c>
      <c r="C5547" s="421" t="s">
        <v>1375</v>
      </c>
    </row>
    <row r="5548" spans="1:3" x14ac:dyDescent="0.25">
      <c r="A5548" s="417">
        <v>41547</v>
      </c>
      <c r="B5548" s="418">
        <v>1.2951388888888887E-2</v>
      </c>
      <c r="C5548" s="421" t="s">
        <v>1376</v>
      </c>
    </row>
    <row r="5549" spans="1:3" x14ac:dyDescent="0.25">
      <c r="A5549" s="417">
        <v>41547</v>
      </c>
      <c r="B5549" s="418">
        <v>1.2951388888888887E-2</v>
      </c>
      <c r="C5549" s="421" t="s">
        <v>1377</v>
      </c>
    </row>
    <row r="5550" spans="1:3" x14ac:dyDescent="0.25">
      <c r="A5550" s="417">
        <v>41547</v>
      </c>
      <c r="B5550" s="418">
        <v>1.2951388888888887E-2</v>
      </c>
      <c r="C5550" s="421" t="s">
        <v>1326</v>
      </c>
    </row>
    <row r="5551" spans="1:3" x14ac:dyDescent="0.25">
      <c r="A5551" s="417">
        <v>41547</v>
      </c>
      <c r="B5551" s="418">
        <v>1.2951388888888887E-2</v>
      </c>
      <c r="C5551" s="421" t="s">
        <v>1755</v>
      </c>
    </row>
    <row r="5552" spans="1:3" x14ac:dyDescent="0.25">
      <c r="A5552" s="417">
        <v>41547</v>
      </c>
      <c r="B5552" s="418">
        <v>1.2951388888888887E-2</v>
      </c>
      <c r="C5552" s="421" t="s">
        <v>1380</v>
      </c>
    </row>
    <row r="5553" spans="1:3" x14ac:dyDescent="0.25">
      <c r="A5553" s="417">
        <v>41547</v>
      </c>
      <c r="B5553" s="418">
        <v>1.2951388888888887E-2</v>
      </c>
      <c r="C5553" s="421" t="s">
        <v>1381</v>
      </c>
    </row>
    <row r="5554" spans="1:3" x14ac:dyDescent="0.25">
      <c r="A5554" s="417">
        <v>41547</v>
      </c>
      <c r="B5554" s="418">
        <v>1.2951388888888887E-2</v>
      </c>
      <c r="C5554" s="421" t="s">
        <v>1382</v>
      </c>
    </row>
    <row r="5555" spans="1:3" x14ac:dyDescent="0.25">
      <c r="A5555" s="417">
        <v>41547</v>
      </c>
      <c r="B5555" s="418">
        <v>1.2951388888888887E-2</v>
      </c>
      <c r="C5555" s="421" t="s">
        <v>1383</v>
      </c>
    </row>
    <row r="5556" spans="1:3" x14ac:dyDescent="0.25">
      <c r="A5556" s="417">
        <v>41547</v>
      </c>
      <c r="B5556" s="418">
        <v>1.2951388888888887E-2</v>
      </c>
      <c r="C5556" s="421" t="s">
        <v>1352</v>
      </c>
    </row>
    <row r="5557" spans="1:3" x14ac:dyDescent="0.25">
      <c r="A5557" s="417">
        <v>41547</v>
      </c>
      <c r="B5557" s="418">
        <v>1.2951388888888887E-2</v>
      </c>
      <c r="C5557" s="421" t="s">
        <v>1384</v>
      </c>
    </row>
    <row r="5558" spans="1:3" x14ac:dyDescent="0.25">
      <c r="A5558" s="417">
        <v>41547</v>
      </c>
      <c r="B5558" s="418">
        <v>1.2951388888888887E-2</v>
      </c>
      <c r="C5558" s="421" t="s">
        <v>1385</v>
      </c>
    </row>
    <row r="5559" spans="1:3" x14ac:dyDescent="0.25">
      <c r="A5559" s="417">
        <v>41547</v>
      </c>
      <c r="B5559" s="418">
        <v>1.2951388888888887E-2</v>
      </c>
      <c r="C5559" s="421" t="s">
        <v>1385</v>
      </c>
    </row>
    <row r="5560" spans="1:3" x14ac:dyDescent="0.25">
      <c r="A5560" s="417">
        <v>41547</v>
      </c>
      <c r="B5560" s="418">
        <v>1.2951388888888887E-2</v>
      </c>
      <c r="C5560" s="421" t="s">
        <v>1386</v>
      </c>
    </row>
    <row r="5561" spans="1:3" x14ac:dyDescent="0.25">
      <c r="A5561" s="417">
        <v>41547</v>
      </c>
      <c r="B5561" s="418">
        <v>1.2951388888888887E-2</v>
      </c>
      <c r="C5561" s="421" t="s">
        <v>1387</v>
      </c>
    </row>
    <row r="5562" spans="1:3" x14ac:dyDescent="0.25">
      <c r="A5562" s="417">
        <v>41547</v>
      </c>
      <c r="B5562" s="418">
        <v>1.2951388888888887E-2</v>
      </c>
      <c r="C5562" s="421" t="s">
        <v>1387</v>
      </c>
    </row>
    <row r="5563" spans="1:3" x14ac:dyDescent="0.25">
      <c r="A5563" s="417">
        <v>41547</v>
      </c>
      <c r="B5563" s="418">
        <v>1.2951388888888887E-2</v>
      </c>
      <c r="C5563" s="421" t="s">
        <v>1318</v>
      </c>
    </row>
    <row r="5564" spans="1:3" x14ac:dyDescent="0.25">
      <c r="A5564" s="417">
        <v>41547</v>
      </c>
      <c r="B5564" s="418">
        <v>1.2951388888888887E-2</v>
      </c>
      <c r="C5564" s="421" t="s">
        <v>1388</v>
      </c>
    </row>
    <row r="5565" spans="1:3" x14ac:dyDescent="0.25">
      <c r="A5565" s="417">
        <v>41547</v>
      </c>
      <c r="B5565" s="418">
        <v>1.2951388888888887E-2</v>
      </c>
      <c r="C5565" s="421" t="s">
        <v>1791</v>
      </c>
    </row>
    <row r="5566" spans="1:3" ht="60" x14ac:dyDescent="0.25">
      <c r="A5566" s="417">
        <v>41547</v>
      </c>
      <c r="B5566" s="418">
        <v>1.2951388888888887E-2</v>
      </c>
      <c r="C5566" s="946" t="s">
        <v>1792</v>
      </c>
    </row>
    <row r="5567" spans="1:3" x14ac:dyDescent="0.25">
      <c r="A5567" s="417">
        <v>41547</v>
      </c>
      <c r="B5567" s="418">
        <v>1.2974537037037036E-2</v>
      </c>
      <c r="C5567" s="421" t="s">
        <v>1791</v>
      </c>
    </row>
    <row r="5568" spans="1:3" ht="60" x14ac:dyDescent="0.25">
      <c r="A5568" s="417">
        <v>41547</v>
      </c>
      <c r="B5568" s="418">
        <v>1.2974537037037036E-2</v>
      </c>
      <c r="C5568" s="946" t="s">
        <v>1793</v>
      </c>
    </row>
    <row r="5569" spans="1:3" x14ac:dyDescent="0.25">
      <c r="A5569" s="417">
        <v>41547</v>
      </c>
      <c r="B5569" s="418">
        <v>1.298611111111111E-2</v>
      </c>
      <c r="C5569" s="421" t="s">
        <v>1390</v>
      </c>
    </row>
    <row r="5570" spans="1:3" x14ac:dyDescent="0.25">
      <c r="A5570" s="417">
        <v>41547</v>
      </c>
      <c r="B5570" s="418">
        <v>1.298611111111111E-2</v>
      </c>
      <c r="C5570" s="421" t="s">
        <v>1791</v>
      </c>
    </row>
    <row r="5571" spans="1:3" ht="60" x14ac:dyDescent="0.25">
      <c r="A5571" s="417">
        <v>41547</v>
      </c>
      <c r="B5571" s="418">
        <v>1.298611111111111E-2</v>
      </c>
      <c r="C5571" s="946" t="s">
        <v>1794</v>
      </c>
    </row>
    <row r="5572" spans="1:3" x14ac:dyDescent="0.25">
      <c r="A5572" s="417">
        <v>41547</v>
      </c>
      <c r="B5572" s="418">
        <v>1.324074074074074E-2</v>
      </c>
      <c r="C5572" s="421" t="s">
        <v>1391</v>
      </c>
    </row>
    <row r="5573" spans="1:3" x14ac:dyDescent="0.25">
      <c r="A5573" s="417">
        <v>41547</v>
      </c>
      <c r="B5573" s="418">
        <v>1.324074074074074E-2</v>
      </c>
      <c r="C5573" s="421" t="s">
        <v>1392</v>
      </c>
    </row>
    <row r="5574" spans="1:3" x14ac:dyDescent="0.25">
      <c r="A5574" s="417">
        <v>41547</v>
      </c>
      <c r="B5574" s="418">
        <v>1.3252314814814814E-2</v>
      </c>
      <c r="C5574" s="421" t="s">
        <v>1795</v>
      </c>
    </row>
    <row r="5575" spans="1:3" x14ac:dyDescent="0.25">
      <c r="A5575" s="417">
        <v>41547</v>
      </c>
      <c r="B5575" s="418">
        <v>1.3252314814814814E-2</v>
      </c>
      <c r="C5575" s="421" t="s">
        <v>1791</v>
      </c>
    </row>
    <row r="5576" spans="1:3" ht="60" x14ac:dyDescent="0.25">
      <c r="A5576" s="417">
        <v>41547</v>
      </c>
      <c r="B5576" s="418">
        <v>1.3252314814814814E-2</v>
      </c>
      <c r="C5576" s="946" t="s">
        <v>1796</v>
      </c>
    </row>
    <row r="5577" spans="1:3" x14ac:dyDescent="0.25">
      <c r="A5577" s="417">
        <v>41547</v>
      </c>
      <c r="B5577" s="418">
        <v>1.3287037037037036E-2</v>
      </c>
      <c r="C5577" s="421" t="s">
        <v>1393</v>
      </c>
    </row>
    <row r="5578" spans="1:3" x14ac:dyDescent="0.25">
      <c r="A5578" s="417">
        <v>41547</v>
      </c>
      <c r="B5578" s="418">
        <v>1.3287037037037036E-2</v>
      </c>
      <c r="C5578" s="421" t="s">
        <v>1394</v>
      </c>
    </row>
    <row r="5579" spans="1:3" x14ac:dyDescent="0.25">
      <c r="A5579" s="417">
        <v>41547</v>
      </c>
      <c r="B5579" s="418">
        <v>1.3287037037037036E-2</v>
      </c>
      <c r="C5579" s="421" t="s">
        <v>1392</v>
      </c>
    </row>
    <row r="5580" spans="1:3" x14ac:dyDescent="0.25">
      <c r="A5580" s="417">
        <v>41547</v>
      </c>
      <c r="B5580" s="418">
        <v>1.329861111111111E-2</v>
      </c>
      <c r="C5580" s="421" t="s">
        <v>1395</v>
      </c>
    </row>
    <row r="5581" spans="1:3" x14ac:dyDescent="0.25">
      <c r="A5581" s="417">
        <v>41547</v>
      </c>
      <c r="B5581" s="418">
        <v>1.329861111111111E-2</v>
      </c>
      <c r="C5581" s="421" t="s">
        <v>1396</v>
      </c>
    </row>
    <row r="5582" spans="1:3" x14ac:dyDescent="0.25">
      <c r="A5582" s="417">
        <v>41547</v>
      </c>
      <c r="B5582" s="418">
        <v>1.329861111111111E-2</v>
      </c>
      <c r="C5582" s="421" t="s">
        <v>1363</v>
      </c>
    </row>
    <row r="5583" spans="1:3" x14ac:dyDescent="0.25">
      <c r="A5583" s="417">
        <v>41547</v>
      </c>
      <c r="B5583" s="418">
        <v>1.329861111111111E-2</v>
      </c>
      <c r="C5583" s="421" t="s">
        <v>1791</v>
      </c>
    </row>
    <row r="5584" spans="1:3" ht="60" x14ac:dyDescent="0.25">
      <c r="A5584" s="417">
        <v>41547</v>
      </c>
      <c r="B5584" s="418">
        <v>1.329861111111111E-2</v>
      </c>
      <c r="C5584" s="946" t="s">
        <v>1797</v>
      </c>
    </row>
    <row r="5585" spans="1:3" x14ac:dyDescent="0.25">
      <c r="A5585" s="417">
        <v>41547</v>
      </c>
      <c r="B5585" s="418">
        <v>1.3368055555555557E-2</v>
      </c>
      <c r="C5585" s="421" t="s">
        <v>1362</v>
      </c>
    </row>
    <row r="5586" spans="1:3" x14ac:dyDescent="0.25">
      <c r="A5586" s="417">
        <v>41547</v>
      </c>
      <c r="B5586" s="418">
        <v>1.3368055555555557E-2</v>
      </c>
      <c r="C5586" s="421" t="s">
        <v>1397</v>
      </c>
    </row>
    <row r="5587" spans="1:3" x14ac:dyDescent="0.25">
      <c r="A5587" s="417">
        <v>41547</v>
      </c>
      <c r="B5587" s="418">
        <v>1.3368055555555557E-2</v>
      </c>
      <c r="C5587" s="421" t="s">
        <v>1381</v>
      </c>
    </row>
    <row r="5588" spans="1:3" x14ac:dyDescent="0.25">
      <c r="A5588" s="417">
        <v>41547</v>
      </c>
      <c r="B5588" s="418">
        <v>1.3368055555555557E-2</v>
      </c>
      <c r="C5588" s="421" t="s">
        <v>1791</v>
      </c>
    </row>
    <row r="5589" spans="1:3" ht="60" x14ac:dyDescent="0.25">
      <c r="A5589" s="417">
        <v>41547</v>
      </c>
      <c r="B5589" s="418">
        <v>1.3368055555555557E-2</v>
      </c>
      <c r="C5589" s="946" t="s">
        <v>1798</v>
      </c>
    </row>
    <row r="5590" spans="1:3" x14ac:dyDescent="0.25">
      <c r="A5590" s="417">
        <v>41547</v>
      </c>
      <c r="B5590" s="418">
        <v>1.3391203703703704E-2</v>
      </c>
      <c r="C5590" s="421" t="s">
        <v>1398</v>
      </c>
    </row>
    <row r="5591" spans="1:3" x14ac:dyDescent="0.25">
      <c r="A5591" s="417">
        <v>41547</v>
      </c>
      <c r="B5591" s="418">
        <v>1.3391203703703704E-2</v>
      </c>
      <c r="C5591" s="421" t="s">
        <v>1399</v>
      </c>
    </row>
    <row r="5592" spans="1:3" x14ac:dyDescent="0.25">
      <c r="A5592" s="417">
        <v>41547</v>
      </c>
      <c r="B5592" s="418">
        <v>1.3402777777777777E-2</v>
      </c>
      <c r="C5592" s="421" t="s">
        <v>1400</v>
      </c>
    </row>
    <row r="5593" spans="1:3" x14ac:dyDescent="0.25">
      <c r="A5593" s="417">
        <v>41547</v>
      </c>
      <c r="B5593" s="418">
        <v>1.3402777777777777E-2</v>
      </c>
      <c r="C5593" s="421" t="s">
        <v>1400</v>
      </c>
    </row>
    <row r="5594" spans="1:3" x14ac:dyDescent="0.25">
      <c r="A5594" s="417">
        <v>41547</v>
      </c>
      <c r="B5594" s="418">
        <v>1.3402777777777777E-2</v>
      </c>
      <c r="C5594" s="421" t="s">
        <v>1373</v>
      </c>
    </row>
    <row r="5595" spans="1:3" x14ac:dyDescent="0.25">
      <c r="A5595" s="417">
        <v>41547</v>
      </c>
      <c r="B5595" s="418">
        <v>1.3414351851851851E-2</v>
      </c>
      <c r="C5595" s="421" t="s">
        <v>1791</v>
      </c>
    </row>
    <row r="5596" spans="1:3" ht="60" x14ac:dyDescent="0.25">
      <c r="A5596" s="417">
        <v>41547</v>
      </c>
      <c r="B5596" s="418">
        <v>1.3414351851851851E-2</v>
      </c>
      <c r="C5596" s="946" t="s">
        <v>1799</v>
      </c>
    </row>
    <row r="5597" spans="1:3" x14ac:dyDescent="0.25">
      <c r="A5597" s="417">
        <v>41547</v>
      </c>
      <c r="B5597" s="418">
        <v>1.34375E-2</v>
      </c>
      <c r="C5597" s="421" t="s">
        <v>1353</v>
      </c>
    </row>
    <row r="5598" spans="1:3" x14ac:dyDescent="0.25">
      <c r="A5598" s="417">
        <v>41547</v>
      </c>
      <c r="B5598" s="418">
        <v>1.34375E-2</v>
      </c>
      <c r="C5598" s="421" t="s">
        <v>1353</v>
      </c>
    </row>
    <row r="5599" spans="1:3" x14ac:dyDescent="0.25">
      <c r="A5599" s="417">
        <v>41547</v>
      </c>
      <c r="B5599" s="418">
        <v>1.34375E-2</v>
      </c>
      <c r="C5599" s="421" t="s">
        <v>1791</v>
      </c>
    </row>
    <row r="5600" spans="1:3" ht="60" x14ac:dyDescent="0.25">
      <c r="A5600" s="417">
        <v>41547</v>
      </c>
      <c r="B5600" s="418">
        <v>1.34375E-2</v>
      </c>
      <c r="C5600" s="946" t="s">
        <v>1800</v>
      </c>
    </row>
    <row r="5601" spans="1:3" x14ac:dyDescent="0.25">
      <c r="A5601" s="417">
        <v>41547</v>
      </c>
      <c r="B5601" s="418">
        <v>1.3460648148148147E-2</v>
      </c>
      <c r="C5601" s="421" t="s">
        <v>1401</v>
      </c>
    </row>
    <row r="5602" spans="1:3" x14ac:dyDescent="0.25">
      <c r="A5602" s="417">
        <v>41547</v>
      </c>
      <c r="B5602" s="418">
        <v>1.3472222222222221E-2</v>
      </c>
      <c r="C5602" s="421" t="s">
        <v>1392</v>
      </c>
    </row>
    <row r="5603" spans="1:3" x14ac:dyDescent="0.25">
      <c r="A5603" s="417">
        <v>41547</v>
      </c>
      <c r="B5603" s="418">
        <v>1.3472222222222221E-2</v>
      </c>
      <c r="C5603" s="421" t="s">
        <v>1403</v>
      </c>
    </row>
    <row r="5604" spans="1:3" x14ac:dyDescent="0.25">
      <c r="A5604" s="417">
        <v>41547</v>
      </c>
      <c r="B5604" s="418">
        <v>1.3472222222222221E-2</v>
      </c>
      <c r="C5604" s="421" t="s">
        <v>1403</v>
      </c>
    </row>
    <row r="5605" spans="1:3" x14ac:dyDescent="0.25">
      <c r="A5605" s="417">
        <v>41547</v>
      </c>
      <c r="B5605" s="418">
        <v>1.3472222222222221E-2</v>
      </c>
      <c r="C5605" s="421" t="s">
        <v>1403</v>
      </c>
    </row>
    <row r="5606" spans="1:3" x14ac:dyDescent="0.25">
      <c r="A5606" s="417">
        <v>41547</v>
      </c>
      <c r="B5606" s="418">
        <v>1.3495370370370371E-2</v>
      </c>
      <c r="C5606" s="421" t="s">
        <v>1791</v>
      </c>
    </row>
    <row r="5607" spans="1:3" ht="60" x14ac:dyDescent="0.25">
      <c r="A5607" s="417">
        <v>41547</v>
      </c>
      <c r="B5607" s="418">
        <v>1.3495370370370371E-2</v>
      </c>
      <c r="C5607" s="946" t="s">
        <v>1801</v>
      </c>
    </row>
    <row r="5608" spans="1:3" x14ac:dyDescent="0.25">
      <c r="A5608" s="417">
        <v>41547</v>
      </c>
      <c r="B5608" s="418">
        <v>1.3530092592592594E-2</v>
      </c>
      <c r="C5608" s="421" t="s">
        <v>1362</v>
      </c>
    </row>
    <row r="5609" spans="1:3" x14ac:dyDescent="0.25">
      <c r="A5609" s="417">
        <v>41547</v>
      </c>
      <c r="B5609" s="418">
        <v>1.3530092592592594E-2</v>
      </c>
      <c r="C5609" s="421" t="s">
        <v>1364</v>
      </c>
    </row>
    <row r="5610" spans="1:3" x14ac:dyDescent="0.25">
      <c r="A5610" s="417">
        <v>41547</v>
      </c>
      <c r="B5610" s="418">
        <v>1.3530092592592594E-2</v>
      </c>
      <c r="C5610" s="421" t="s">
        <v>1364</v>
      </c>
    </row>
    <row r="5611" spans="1:3" x14ac:dyDescent="0.25">
      <c r="A5611" s="417">
        <v>41547</v>
      </c>
      <c r="B5611" s="418">
        <v>1.3553240740740741E-2</v>
      </c>
      <c r="C5611" s="421" t="s">
        <v>1381</v>
      </c>
    </row>
    <row r="5612" spans="1:3" x14ac:dyDescent="0.25">
      <c r="A5612" s="417">
        <v>41547</v>
      </c>
      <c r="B5612" s="418">
        <v>1.357638888888889E-2</v>
      </c>
      <c r="C5612" s="421" t="s">
        <v>1364</v>
      </c>
    </row>
    <row r="5613" spans="1:3" x14ac:dyDescent="0.25">
      <c r="A5613" s="417">
        <v>41547</v>
      </c>
      <c r="B5613" s="418">
        <v>1.357638888888889E-2</v>
      </c>
      <c r="C5613" s="421" t="s">
        <v>1480</v>
      </c>
    </row>
    <row r="5614" spans="1:3" x14ac:dyDescent="0.25">
      <c r="A5614" s="417">
        <v>41547</v>
      </c>
      <c r="B5614" s="418">
        <v>1.357638888888889E-2</v>
      </c>
      <c r="C5614" s="421" t="s">
        <v>1480</v>
      </c>
    </row>
    <row r="5615" spans="1:3" x14ac:dyDescent="0.25">
      <c r="A5615" s="417">
        <v>41547</v>
      </c>
      <c r="B5615" s="418">
        <v>1.357638888888889E-2</v>
      </c>
      <c r="C5615" s="421" t="s">
        <v>1480</v>
      </c>
    </row>
    <row r="5616" spans="1:3" x14ac:dyDescent="0.25">
      <c r="A5616" s="417">
        <v>41547</v>
      </c>
      <c r="B5616" s="418">
        <v>1.3587962962962963E-2</v>
      </c>
      <c r="C5616" s="421" t="s">
        <v>1802</v>
      </c>
    </row>
    <row r="5617" spans="1:3" x14ac:dyDescent="0.25">
      <c r="A5617" s="417">
        <v>41547</v>
      </c>
      <c r="B5617" s="418">
        <v>1.3587962962962963E-2</v>
      </c>
      <c r="C5617" s="421" t="s">
        <v>1541</v>
      </c>
    </row>
    <row r="5618" spans="1:3" x14ac:dyDescent="0.25">
      <c r="A5618" s="417">
        <v>41547</v>
      </c>
      <c r="B5618" s="418">
        <v>1.3599537037037037E-2</v>
      </c>
      <c r="C5618" s="421" t="s">
        <v>1346</v>
      </c>
    </row>
    <row r="5619" spans="1:3" x14ac:dyDescent="0.25">
      <c r="A5619" s="417">
        <v>41547</v>
      </c>
      <c r="B5619" s="418">
        <v>1.3599537037037037E-2</v>
      </c>
      <c r="C5619" s="421" t="s">
        <v>1405</v>
      </c>
    </row>
    <row r="5620" spans="1:3" x14ac:dyDescent="0.25">
      <c r="A5620" s="417">
        <v>41547</v>
      </c>
      <c r="B5620" s="418">
        <v>1.3599537037037037E-2</v>
      </c>
      <c r="C5620" s="421" t="s">
        <v>1406</v>
      </c>
    </row>
    <row r="5621" spans="1:3" x14ac:dyDescent="0.25">
      <c r="A5621" s="417">
        <v>41547</v>
      </c>
      <c r="B5621" s="418">
        <v>1.3622685185185184E-2</v>
      </c>
      <c r="C5621" s="421" t="s">
        <v>1362</v>
      </c>
    </row>
    <row r="5622" spans="1:3" x14ac:dyDescent="0.25">
      <c r="A5622" s="417">
        <v>41547</v>
      </c>
      <c r="B5622" s="418">
        <v>1.3680555555555555E-2</v>
      </c>
      <c r="C5622" s="421" t="s">
        <v>1803</v>
      </c>
    </row>
    <row r="5623" spans="1:3" x14ac:dyDescent="0.25">
      <c r="A5623" s="417">
        <v>41547</v>
      </c>
      <c r="B5623" s="418">
        <v>1.3680555555555555E-2</v>
      </c>
      <c r="C5623" s="421" t="s">
        <v>1804</v>
      </c>
    </row>
    <row r="5624" spans="1:3" ht="60" x14ac:dyDescent="0.25">
      <c r="A5624" s="417">
        <v>41547</v>
      </c>
      <c r="B5624" s="418">
        <v>1.3680555555555555E-2</v>
      </c>
      <c r="C5624" s="946" t="s">
        <v>1805</v>
      </c>
    </row>
    <row r="5625" spans="1:3" x14ac:dyDescent="0.25">
      <c r="A5625" s="417">
        <v>41547</v>
      </c>
      <c r="B5625" s="418">
        <v>1.3738425925925926E-2</v>
      </c>
      <c r="C5625" s="421" t="s">
        <v>1318</v>
      </c>
    </row>
    <row r="5626" spans="1:3" x14ac:dyDescent="0.25">
      <c r="A5626" s="417">
        <v>41547</v>
      </c>
      <c r="B5626" s="418">
        <v>1.3784722222222224E-2</v>
      </c>
      <c r="C5626" s="421" t="s">
        <v>1368</v>
      </c>
    </row>
    <row r="5627" spans="1:3" x14ac:dyDescent="0.25">
      <c r="A5627" s="417">
        <v>41547</v>
      </c>
      <c r="B5627" s="418">
        <v>1.3784722222222224E-2</v>
      </c>
      <c r="C5627" s="421" t="s">
        <v>1368</v>
      </c>
    </row>
    <row r="5628" spans="1:3" x14ac:dyDescent="0.25">
      <c r="A5628" s="417">
        <v>41547</v>
      </c>
      <c r="B5628" s="418">
        <v>1.3784722222222224E-2</v>
      </c>
      <c r="C5628" s="421" t="s">
        <v>1368</v>
      </c>
    </row>
    <row r="5629" spans="1:3" x14ac:dyDescent="0.25">
      <c r="A5629" s="417">
        <v>41547</v>
      </c>
      <c r="B5629" s="418">
        <v>1.3784722222222224E-2</v>
      </c>
      <c r="C5629" s="421" t="s">
        <v>1368</v>
      </c>
    </row>
    <row r="5630" spans="1:3" x14ac:dyDescent="0.25">
      <c r="A5630" s="417">
        <v>41547</v>
      </c>
      <c r="B5630" s="418">
        <v>1.3784722222222224E-2</v>
      </c>
      <c r="C5630" s="421" t="s">
        <v>1368</v>
      </c>
    </row>
    <row r="5631" spans="1:3" x14ac:dyDescent="0.25">
      <c r="A5631" s="417">
        <v>41547</v>
      </c>
      <c r="B5631" s="418">
        <v>1.3784722222222224E-2</v>
      </c>
      <c r="C5631" s="421" t="s">
        <v>1409</v>
      </c>
    </row>
    <row r="5632" spans="1:3" x14ac:dyDescent="0.25">
      <c r="A5632" s="417">
        <v>41547</v>
      </c>
      <c r="B5632" s="418">
        <v>1.3784722222222224E-2</v>
      </c>
      <c r="C5632" s="421" t="s">
        <v>1308</v>
      </c>
    </row>
    <row r="5633" spans="1:3" x14ac:dyDescent="0.25">
      <c r="A5633" s="417">
        <v>41547</v>
      </c>
      <c r="B5633" s="418">
        <v>1.3796296296296298E-2</v>
      </c>
      <c r="C5633" s="421" t="s">
        <v>1791</v>
      </c>
    </row>
    <row r="5634" spans="1:3" ht="60" x14ac:dyDescent="0.25">
      <c r="A5634" s="417">
        <v>41547</v>
      </c>
      <c r="B5634" s="418">
        <v>1.3796296296296298E-2</v>
      </c>
      <c r="C5634" s="946" t="s">
        <v>1806</v>
      </c>
    </row>
    <row r="5635" spans="1:3" x14ac:dyDescent="0.25">
      <c r="A5635" s="417">
        <v>41547</v>
      </c>
      <c r="B5635" s="418">
        <v>1.3842592592592594E-2</v>
      </c>
      <c r="C5635" s="421" t="s">
        <v>1410</v>
      </c>
    </row>
    <row r="5636" spans="1:3" x14ac:dyDescent="0.25">
      <c r="A5636" s="417">
        <v>41547</v>
      </c>
      <c r="B5636" s="418">
        <v>1.3842592592592594E-2</v>
      </c>
      <c r="C5636" s="421" t="s">
        <v>1410</v>
      </c>
    </row>
    <row r="5637" spans="1:3" x14ac:dyDescent="0.25">
      <c r="A5637" s="417">
        <v>41547</v>
      </c>
      <c r="B5637" s="418">
        <v>1.3854166666666666E-2</v>
      </c>
      <c r="C5637" s="421" t="s">
        <v>1411</v>
      </c>
    </row>
    <row r="5638" spans="1:3" x14ac:dyDescent="0.25">
      <c r="A5638" s="417">
        <v>41547</v>
      </c>
      <c r="B5638" s="418">
        <v>1.3877314814814815E-2</v>
      </c>
      <c r="C5638" s="421" t="s">
        <v>1791</v>
      </c>
    </row>
    <row r="5639" spans="1:3" ht="60" x14ac:dyDescent="0.25">
      <c r="A5639" s="417">
        <v>41547</v>
      </c>
      <c r="B5639" s="418">
        <v>1.3877314814814815E-2</v>
      </c>
      <c r="C5639" s="946" t="s">
        <v>1807</v>
      </c>
    </row>
    <row r="5640" spans="1:3" x14ac:dyDescent="0.25">
      <c r="A5640" s="417">
        <v>41547</v>
      </c>
      <c r="B5640" s="418">
        <v>1.3900462962962962E-2</v>
      </c>
      <c r="C5640" s="421" t="s">
        <v>1808</v>
      </c>
    </row>
    <row r="5641" spans="1:3" x14ac:dyDescent="0.25">
      <c r="A5641" s="417">
        <v>41547</v>
      </c>
      <c r="B5641" s="418">
        <v>1.3912037037037037E-2</v>
      </c>
      <c r="C5641" s="421" t="s">
        <v>1413</v>
      </c>
    </row>
    <row r="5642" spans="1:3" x14ac:dyDescent="0.25">
      <c r="A5642" s="417">
        <v>41547</v>
      </c>
      <c r="B5642" s="418">
        <v>1.3912037037037037E-2</v>
      </c>
      <c r="C5642" s="421" t="s">
        <v>1414</v>
      </c>
    </row>
    <row r="5643" spans="1:3" x14ac:dyDescent="0.25">
      <c r="A5643" s="417">
        <v>41547</v>
      </c>
      <c r="B5643" s="418">
        <v>1.3946759259259258E-2</v>
      </c>
      <c r="C5643" s="421" t="s">
        <v>1373</v>
      </c>
    </row>
    <row r="5644" spans="1:3" x14ac:dyDescent="0.25">
      <c r="A5644" s="417">
        <v>41547</v>
      </c>
      <c r="B5644" s="418">
        <v>1.3946759259259258E-2</v>
      </c>
      <c r="C5644" s="421" t="s">
        <v>1809</v>
      </c>
    </row>
    <row r="5645" spans="1:3" x14ac:dyDescent="0.25">
      <c r="A5645" s="417">
        <v>41547</v>
      </c>
      <c r="B5645" s="418">
        <v>1.4039351851851851E-2</v>
      </c>
      <c r="C5645" s="421" t="s">
        <v>1804</v>
      </c>
    </row>
    <row r="5646" spans="1:3" ht="60" x14ac:dyDescent="0.25">
      <c r="A5646" s="417">
        <v>41547</v>
      </c>
      <c r="B5646" s="418">
        <v>1.4039351851851851E-2</v>
      </c>
      <c r="C5646" s="946" t="s">
        <v>1810</v>
      </c>
    </row>
    <row r="5647" spans="1:3" x14ac:dyDescent="0.25">
      <c r="A5647" s="417">
        <v>41547</v>
      </c>
      <c r="B5647" s="418">
        <v>1.4074074074074074E-2</v>
      </c>
      <c r="C5647" s="421" t="s">
        <v>1804</v>
      </c>
    </row>
    <row r="5648" spans="1:3" ht="60" x14ac:dyDescent="0.25">
      <c r="A5648" s="417">
        <v>41547</v>
      </c>
      <c r="B5648" s="418">
        <v>1.4074074074074074E-2</v>
      </c>
      <c r="C5648" s="946" t="s">
        <v>1811</v>
      </c>
    </row>
    <row r="5649" spans="1:3" x14ac:dyDescent="0.25">
      <c r="A5649" s="417">
        <v>41547</v>
      </c>
      <c r="B5649" s="418">
        <v>1.4085648148148151E-2</v>
      </c>
      <c r="C5649" s="421" t="s">
        <v>1804</v>
      </c>
    </row>
    <row r="5650" spans="1:3" ht="60" x14ac:dyDescent="0.25">
      <c r="A5650" s="417">
        <v>41547</v>
      </c>
      <c r="B5650" s="418">
        <v>1.4085648148148151E-2</v>
      </c>
      <c r="C5650" s="946" t="s">
        <v>1812</v>
      </c>
    </row>
    <row r="5651" spans="1:3" x14ac:dyDescent="0.25">
      <c r="A5651" s="417">
        <v>41547</v>
      </c>
      <c r="B5651" s="418">
        <v>1.4108796296296295E-2</v>
      </c>
      <c r="C5651" s="421" t="s">
        <v>1409</v>
      </c>
    </row>
    <row r="5652" spans="1:3" x14ac:dyDescent="0.25">
      <c r="A5652" s="417">
        <v>41547</v>
      </c>
      <c r="B5652" s="418">
        <v>1.4131944444444445E-2</v>
      </c>
      <c r="C5652" s="421" t="s">
        <v>1416</v>
      </c>
    </row>
    <row r="5653" spans="1:3" x14ac:dyDescent="0.25">
      <c r="A5653" s="417">
        <v>41547</v>
      </c>
      <c r="B5653" s="418">
        <v>1.4131944444444445E-2</v>
      </c>
      <c r="C5653" s="421" t="s">
        <v>1543</v>
      </c>
    </row>
    <row r="5654" spans="1:3" x14ac:dyDescent="0.25">
      <c r="A5654" s="417">
        <v>41547</v>
      </c>
      <c r="B5654" s="418">
        <v>1.4131944444444445E-2</v>
      </c>
      <c r="C5654" s="421" t="s">
        <v>1791</v>
      </c>
    </row>
    <row r="5655" spans="1:3" ht="60" x14ac:dyDescent="0.25">
      <c r="A5655" s="417">
        <v>41547</v>
      </c>
      <c r="B5655" s="418">
        <v>1.4131944444444445E-2</v>
      </c>
      <c r="C5655" s="946" t="s">
        <v>1813</v>
      </c>
    </row>
    <row r="5656" spans="1:3" x14ac:dyDescent="0.25">
      <c r="A5656" s="417">
        <v>41547</v>
      </c>
      <c r="B5656" s="418">
        <v>1.4155092592592592E-2</v>
      </c>
      <c r="C5656" s="421" t="s">
        <v>1348</v>
      </c>
    </row>
    <row r="5657" spans="1:3" x14ac:dyDescent="0.25">
      <c r="A5657" s="417">
        <v>41547</v>
      </c>
      <c r="B5657" s="418">
        <v>1.4155092592592592E-2</v>
      </c>
      <c r="C5657" s="421" t="s">
        <v>1419</v>
      </c>
    </row>
    <row r="5658" spans="1:3" x14ac:dyDescent="0.25">
      <c r="A5658" s="417">
        <v>41547</v>
      </c>
      <c r="B5658" s="418">
        <v>1.4155092592592592E-2</v>
      </c>
      <c r="C5658" s="421" t="s">
        <v>1419</v>
      </c>
    </row>
    <row r="5659" spans="1:3" x14ac:dyDescent="0.25">
      <c r="A5659" s="417">
        <v>41547</v>
      </c>
      <c r="B5659" s="418">
        <v>1.4155092592592592E-2</v>
      </c>
      <c r="C5659" s="421" t="s">
        <v>1420</v>
      </c>
    </row>
    <row r="5660" spans="1:3" x14ac:dyDescent="0.25">
      <c r="A5660" s="417">
        <v>41547</v>
      </c>
      <c r="B5660" s="418">
        <v>1.4189814814814815E-2</v>
      </c>
      <c r="C5660" s="421" t="s">
        <v>1814</v>
      </c>
    </row>
    <row r="5661" spans="1:3" ht="60" x14ac:dyDescent="0.25">
      <c r="A5661" s="417">
        <v>41547</v>
      </c>
      <c r="B5661" s="418">
        <v>1.4189814814814815E-2</v>
      </c>
      <c r="C5661" s="946" t="s">
        <v>1815</v>
      </c>
    </row>
    <row r="5662" spans="1:3" x14ac:dyDescent="0.25">
      <c r="A5662" s="417">
        <v>41547</v>
      </c>
      <c r="B5662" s="418">
        <v>1.4224537037037037E-2</v>
      </c>
      <c r="C5662" s="421" t="s">
        <v>1722</v>
      </c>
    </row>
    <row r="5663" spans="1:3" x14ac:dyDescent="0.25">
      <c r="A5663" s="417">
        <v>41547</v>
      </c>
      <c r="B5663" s="418">
        <v>1.4224537037037037E-2</v>
      </c>
      <c r="C5663" s="421" t="s">
        <v>1723</v>
      </c>
    </row>
    <row r="5664" spans="1:3" x14ac:dyDescent="0.25">
      <c r="A5664" s="417">
        <v>41547</v>
      </c>
      <c r="B5664" s="418">
        <v>1.4224537037037037E-2</v>
      </c>
      <c r="C5664" s="421" t="s">
        <v>1816</v>
      </c>
    </row>
    <row r="5665" spans="1:3" x14ac:dyDescent="0.25">
      <c r="A5665" s="417">
        <v>41547</v>
      </c>
      <c r="B5665" s="418">
        <v>1.4236111111111111E-2</v>
      </c>
      <c r="C5665" s="421" t="s">
        <v>1624</v>
      </c>
    </row>
    <row r="5666" spans="1:3" x14ac:dyDescent="0.25">
      <c r="A5666" s="417">
        <v>41547</v>
      </c>
      <c r="B5666" s="418">
        <v>1.4259259259259261E-2</v>
      </c>
      <c r="C5666" s="421" t="s">
        <v>1817</v>
      </c>
    </row>
    <row r="5667" spans="1:3" x14ac:dyDescent="0.25">
      <c r="A5667" s="417">
        <v>41547</v>
      </c>
      <c r="B5667" s="418">
        <v>1.4259259259259261E-2</v>
      </c>
      <c r="C5667" s="421" t="s">
        <v>1818</v>
      </c>
    </row>
    <row r="5668" spans="1:3" x14ac:dyDescent="0.25">
      <c r="A5668" s="417">
        <v>41547</v>
      </c>
      <c r="B5668" s="418">
        <v>1.4259259259259261E-2</v>
      </c>
      <c r="C5668" s="421" t="s">
        <v>1727</v>
      </c>
    </row>
    <row r="5669" spans="1:3" x14ac:dyDescent="0.25">
      <c r="A5669" s="417">
        <v>41547</v>
      </c>
      <c r="B5669" s="418">
        <v>1.4259259259259261E-2</v>
      </c>
      <c r="C5669" s="421" t="s">
        <v>1819</v>
      </c>
    </row>
    <row r="5670" spans="1:3" x14ac:dyDescent="0.25">
      <c r="A5670" s="417">
        <v>41547</v>
      </c>
      <c r="B5670" s="418">
        <v>1.4270833333333335E-2</v>
      </c>
      <c r="C5670" s="421" t="s">
        <v>1320</v>
      </c>
    </row>
    <row r="5671" spans="1:3" x14ac:dyDescent="0.25">
      <c r="A5671" s="417">
        <v>41547</v>
      </c>
      <c r="B5671" s="418">
        <v>1.4293981481481482E-2</v>
      </c>
      <c r="C5671" s="421" t="s">
        <v>1429</v>
      </c>
    </row>
    <row r="5672" spans="1:3" x14ac:dyDescent="0.25">
      <c r="A5672" s="417">
        <v>41547</v>
      </c>
      <c r="B5672" s="418">
        <v>1.4317129629629631E-2</v>
      </c>
      <c r="C5672" s="421" t="s">
        <v>1430</v>
      </c>
    </row>
    <row r="5673" spans="1:3" x14ac:dyDescent="0.25">
      <c r="A5673" s="417">
        <v>41547</v>
      </c>
      <c r="B5673" s="418">
        <v>1.4340277777777776E-2</v>
      </c>
      <c r="C5673" s="421" t="s">
        <v>1820</v>
      </c>
    </row>
    <row r="5674" spans="1:3" x14ac:dyDescent="0.25">
      <c r="A5674" s="417">
        <v>41547</v>
      </c>
      <c r="B5674" s="418">
        <v>1.4351851851851852E-2</v>
      </c>
      <c r="C5674" s="421" t="s">
        <v>1791</v>
      </c>
    </row>
    <row r="5675" spans="1:3" ht="60" x14ac:dyDescent="0.25">
      <c r="A5675" s="417">
        <v>41547</v>
      </c>
      <c r="B5675" s="418">
        <v>1.4351851851851852E-2</v>
      </c>
      <c r="C5675" s="946" t="s">
        <v>1821</v>
      </c>
    </row>
    <row r="5676" spans="1:3" x14ac:dyDescent="0.25">
      <c r="A5676" s="417">
        <v>41547</v>
      </c>
      <c r="B5676" s="418">
        <v>1.4467592592592593E-2</v>
      </c>
      <c r="C5676" s="421" t="s">
        <v>1308</v>
      </c>
    </row>
    <row r="5677" spans="1:3" x14ac:dyDescent="0.25">
      <c r="A5677" s="417">
        <v>41547</v>
      </c>
      <c r="B5677" s="418">
        <v>1.4467592592592593E-2</v>
      </c>
      <c r="C5677" s="421" t="s">
        <v>1360</v>
      </c>
    </row>
    <row r="5678" spans="1:3" x14ac:dyDescent="0.25">
      <c r="A5678" s="417">
        <v>41547</v>
      </c>
      <c r="B5678" s="418">
        <v>1.4479166666666668E-2</v>
      </c>
      <c r="C5678" s="421" t="s">
        <v>1432</v>
      </c>
    </row>
    <row r="5679" spans="1:3" x14ac:dyDescent="0.25">
      <c r="A5679" s="417">
        <v>41547</v>
      </c>
      <c r="B5679" s="418">
        <v>1.4479166666666668E-2</v>
      </c>
      <c r="C5679" s="421" t="s">
        <v>1432</v>
      </c>
    </row>
    <row r="5680" spans="1:3" x14ac:dyDescent="0.25">
      <c r="A5680" s="417">
        <v>41547</v>
      </c>
      <c r="B5680" s="418">
        <v>1.4479166666666668E-2</v>
      </c>
      <c r="C5680" s="421" t="s">
        <v>1432</v>
      </c>
    </row>
    <row r="5681" spans="1:3" x14ac:dyDescent="0.25">
      <c r="A5681" s="417">
        <v>41547</v>
      </c>
      <c r="B5681" s="418">
        <v>1.4479166666666668E-2</v>
      </c>
      <c r="C5681" s="421" t="s">
        <v>1822</v>
      </c>
    </row>
    <row r="5682" spans="1:3" x14ac:dyDescent="0.25">
      <c r="A5682" s="417">
        <v>41547</v>
      </c>
      <c r="B5682" s="418">
        <v>1.4490740740740742E-2</v>
      </c>
      <c r="C5682" s="421" t="s">
        <v>1413</v>
      </c>
    </row>
    <row r="5683" spans="1:3" x14ac:dyDescent="0.25">
      <c r="A5683" s="417">
        <v>41547</v>
      </c>
      <c r="B5683" s="418">
        <v>1.4513888888888889E-2</v>
      </c>
      <c r="C5683" s="421" t="s">
        <v>1791</v>
      </c>
    </row>
    <row r="5684" spans="1:3" ht="60" x14ac:dyDescent="0.25">
      <c r="A5684" s="417">
        <v>41547</v>
      </c>
      <c r="B5684" s="418">
        <v>1.4513888888888889E-2</v>
      </c>
      <c r="C5684" s="946" t="s">
        <v>1823</v>
      </c>
    </row>
    <row r="5685" spans="1:3" x14ac:dyDescent="0.25">
      <c r="A5685" s="417">
        <v>41547</v>
      </c>
      <c r="B5685" s="418">
        <v>1.4525462962962964E-2</v>
      </c>
      <c r="C5685" s="421" t="s">
        <v>1550</v>
      </c>
    </row>
    <row r="5686" spans="1:3" x14ac:dyDescent="0.25">
      <c r="A5686" s="417">
        <v>41547</v>
      </c>
      <c r="B5686" s="418">
        <v>1.4537037037037038E-2</v>
      </c>
      <c r="C5686" s="421" t="s">
        <v>1731</v>
      </c>
    </row>
    <row r="5687" spans="1:3" x14ac:dyDescent="0.25">
      <c r="A5687" s="417">
        <v>41547</v>
      </c>
      <c r="B5687" s="418">
        <v>1.4537037037037038E-2</v>
      </c>
      <c r="C5687" s="421" t="s">
        <v>1732</v>
      </c>
    </row>
    <row r="5688" spans="1:3" x14ac:dyDescent="0.25">
      <c r="A5688" s="417">
        <v>41547</v>
      </c>
      <c r="B5688" s="418">
        <v>1.4537037037037038E-2</v>
      </c>
      <c r="C5688" s="421" t="s">
        <v>1733</v>
      </c>
    </row>
    <row r="5689" spans="1:3" x14ac:dyDescent="0.25">
      <c r="A5689" s="417">
        <v>41547</v>
      </c>
      <c r="B5689" s="418">
        <v>1.4537037037037038E-2</v>
      </c>
      <c r="C5689" s="421" t="s">
        <v>1824</v>
      </c>
    </row>
    <row r="5690" spans="1:3" x14ac:dyDescent="0.25">
      <c r="A5690" s="417">
        <v>41547</v>
      </c>
      <c r="B5690" s="418">
        <v>1.4537037037037038E-2</v>
      </c>
      <c r="C5690" s="421" t="s">
        <v>1825</v>
      </c>
    </row>
    <row r="5691" spans="1:3" x14ac:dyDescent="0.25">
      <c r="A5691" s="417">
        <v>41547</v>
      </c>
      <c r="B5691" s="418">
        <v>1.4560185185185183E-2</v>
      </c>
      <c r="C5691" s="421" t="s">
        <v>1418</v>
      </c>
    </row>
    <row r="5692" spans="1:3" x14ac:dyDescent="0.25">
      <c r="A5692" s="417">
        <v>41547</v>
      </c>
      <c r="B5692" s="418">
        <v>1.462962962962963E-2</v>
      </c>
      <c r="C5692" s="421" t="s">
        <v>1826</v>
      </c>
    </row>
    <row r="5693" spans="1:3" x14ac:dyDescent="0.25">
      <c r="A5693" s="417">
        <v>41547</v>
      </c>
      <c r="B5693" s="418">
        <v>1.4733796296296295E-2</v>
      </c>
      <c r="C5693" s="421" t="s">
        <v>1827</v>
      </c>
    </row>
    <row r="5694" spans="1:3" x14ac:dyDescent="0.25">
      <c r="A5694" s="417">
        <v>41547</v>
      </c>
      <c r="B5694" s="418">
        <v>1.4768518518518519E-2</v>
      </c>
      <c r="C5694" s="421" t="s">
        <v>1320</v>
      </c>
    </row>
    <row r="5695" spans="1:3" x14ac:dyDescent="0.25">
      <c r="A5695" s="417">
        <v>41547</v>
      </c>
      <c r="B5695" s="418">
        <v>1.4930555555555556E-2</v>
      </c>
      <c r="C5695" s="421" t="s">
        <v>1739</v>
      </c>
    </row>
    <row r="5696" spans="1:3" x14ac:dyDescent="0.25">
      <c r="A5696" s="417">
        <v>41547</v>
      </c>
      <c r="B5696" s="418">
        <v>1.4930555555555556E-2</v>
      </c>
      <c r="C5696" s="421" t="s">
        <v>1740</v>
      </c>
    </row>
    <row r="5697" spans="1:3" x14ac:dyDescent="0.25">
      <c r="A5697" s="417">
        <v>41547</v>
      </c>
      <c r="B5697" s="418">
        <v>1.4930555555555556E-2</v>
      </c>
      <c r="C5697" s="421" t="s">
        <v>1741</v>
      </c>
    </row>
    <row r="5698" spans="1:3" x14ac:dyDescent="0.25">
      <c r="A5698" s="417">
        <v>41547</v>
      </c>
      <c r="B5698" s="418">
        <v>1.4930555555555556E-2</v>
      </c>
      <c r="C5698" s="421" t="s">
        <v>1828</v>
      </c>
    </row>
    <row r="5699" spans="1:3" x14ac:dyDescent="0.25">
      <c r="A5699" s="417">
        <v>41547</v>
      </c>
      <c r="B5699" s="418">
        <v>1.4965277777777779E-2</v>
      </c>
      <c r="C5699" s="421" t="s">
        <v>1446</v>
      </c>
    </row>
    <row r="5700" spans="1:3" x14ac:dyDescent="0.25">
      <c r="A5700" s="417">
        <v>41547</v>
      </c>
      <c r="B5700" s="418">
        <v>1.5185185185185185E-2</v>
      </c>
      <c r="C5700" s="421" t="s">
        <v>1742</v>
      </c>
    </row>
    <row r="5701" spans="1:3" x14ac:dyDescent="0.25">
      <c r="A5701" s="417">
        <v>41547</v>
      </c>
      <c r="B5701" s="418">
        <v>1.5196759259259259E-2</v>
      </c>
      <c r="C5701" s="421" t="s">
        <v>1389</v>
      </c>
    </row>
    <row r="5702" spans="1:3" x14ac:dyDescent="0.25">
      <c r="A5702" s="417">
        <v>41547</v>
      </c>
      <c r="B5702" s="418">
        <v>1.5208333333333332E-2</v>
      </c>
      <c r="C5702" s="421" t="s">
        <v>1448</v>
      </c>
    </row>
    <row r="5703" spans="1:3" x14ac:dyDescent="0.25">
      <c r="A5703" s="417">
        <v>41547</v>
      </c>
      <c r="B5703" s="418">
        <v>1.5231481481481483E-2</v>
      </c>
      <c r="C5703" s="421" t="s">
        <v>1450</v>
      </c>
    </row>
    <row r="5704" spans="1:3" x14ac:dyDescent="0.25">
      <c r="A5704" s="417">
        <v>41547</v>
      </c>
      <c r="B5704" s="418">
        <v>1.5231481481481483E-2</v>
      </c>
      <c r="C5704" s="421" t="s">
        <v>1450</v>
      </c>
    </row>
    <row r="5705" spans="1:3" x14ac:dyDescent="0.25">
      <c r="A5705" s="417">
        <v>41547</v>
      </c>
      <c r="B5705" s="418">
        <v>1.5231481481481483E-2</v>
      </c>
      <c r="C5705" s="421" t="s">
        <v>1450</v>
      </c>
    </row>
    <row r="5706" spans="1:3" x14ac:dyDescent="0.25">
      <c r="A5706" s="417">
        <v>41547</v>
      </c>
      <c r="B5706" s="418">
        <v>1.5231481481481483E-2</v>
      </c>
      <c r="C5706" s="421" t="s">
        <v>1450</v>
      </c>
    </row>
    <row r="5707" spans="1:3" x14ac:dyDescent="0.25">
      <c r="A5707" s="417">
        <v>41547</v>
      </c>
      <c r="B5707" s="418">
        <v>1.5231481481481483E-2</v>
      </c>
      <c r="C5707" s="421" t="s">
        <v>1450</v>
      </c>
    </row>
    <row r="5708" spans="1:3" x14ac:dyDescent="0.25">
      <c r="A5708" s="417">
        <v>41547</v>
      </c>
      <c r="B5708" s="418">
        <v>1.5231481481481483E-2</v>
      </c>
      <c r="C5708" s="421" t="s">
        <v>1450</v>
      </c>
    </row>
    <row r="5709" spans="1:3" x14ac:dyDescent="0.25">
      <c r="A5709" s="417">
        <v>41547</v>
      </c>
      <c r="B5709" s="418">
        <v>1.5231481481481483E-2</v>
      </c>
      <c r="C5709" s="421" t="s">
        <v>1450</v>
      </c>
    </row>
    <row r="5710" spans="1:3" x14ac:dyDescent="0.25">
      <c r="A5710" s="417">
        <v>41547</v>
      </c>
      <c r="B5710" s="418">
        <v>1.5358796296296296E-2</v>
      </c>
      <c r="C5710" s="421" t="s">
        <v>1791</v>
      </c>
    </row>
    <row r="5711" spans="1:3" ht="60" x14ac:dyDescent="0.25">
      <c r="A5711" s="417">
        <v>41547</v>
      </c>
      <c r="B5711" s="418">
        <v>1.5358796296296296E-2</v>
      </c>
      <c r="C5711" s="946" t="s">
        <v>1829</v>
      </c>
    </row>
    <row r="5712" spans="1:3" x14ac:dyDescent="0.25">
      <c r="A5712" s="417">
        <v>41547</v>
      </c>
      <c r="B5712" s="418">
        <v>1.5636574074074074E-2</v>
      </c>
      <c r="C5712" s="421" t="s">
        <v>1448</v>
      </c>
    </row>
    <row r="5713" spans="1:3" x14ac:dyDescent="0.25">
      <c r="A5713" s="417">
        <v>41547</v>
      </c>
      <c r="B5713" s="418">
        <v>1.5706018518518518E-2</v>
      </c>
      <c r="C5713" s="421" t="s">
        <v>1399</v>
      </c>
    </row>
    <row r="5714" spans="1:3" x14ac:dyDescent="0.25">
      <c r="A5714" s="417">
        <v>41547</v>
      </c>
      <c r="B5714" s="418">
        <v>1.5763888888888886E-2</v>
      </c>
      <c r="C5714" s="421" t="s">
        <v>1309</v>
      </c>
    </row>
    <row r="5715" spans="1:3" x14ac:dyDescent="0.25">
      <c r="A5715" s="417">
        <v>41547</v>
      </c>
      <c r="B5715" s="418">
        <v>1.5787037037037037E-2</v>
      </c>
      <c r="C5715" s="421" t="s">
        <v>1830</v>
      </c>
    </row>
    <row r="5716" spans="1:3" x14ac:dyDescent="0.25">
      <c r="A5716" s="417">
        <v>41547</v>
      </c>
      <c r="B5716" s="418">
        <v>1.5787037037037037E-2</v>
      </c>
      <c r="C5716" s="421" t="s">
        <v>1307</v>
      </c>
    </row>
    <row r="5717" spans="1:3" x14ac:dyDescent="0.25">
      <c r="A5717" s="417">
        <v>41547</v>
      </c>
      <c r="B5717" s="418">
        <v>1.5879629629629629E-2</v>
      </c>
      <c r="C5717" s="421" t="s">
        <v>1833</v>
      </c>
    </row>
    <row r="5718" spans="1:3" ht="45" x14ac:dyDescent="0.25">
      <c r="A5718" s="417">
        <v>41547</v>
      </c>
      <c r="B5718" s="418">
        <v>2.2662037037037036E-2</v>
      </c>
      <c r="C5718" s="946" t="s">
        <v>1834</v>
      </c>
    </row>
    <row r="5719" spans="1:3" x14ac:dyDescent="0.25">
      <c r="A5719" s="417">
        <v>41547</v>
      </c>
      <c r="B5719" s="418">
        <v>2.3854166666666666E-2</v>
      </c>
      <c r="C5719" s="421" t="s">
        <v>1307</v>
      </c>
    </row>
    <row r="5720" spans="1:3" x14ac:dyDescent="0.25">
      <c r="A5720" s="417">
        <v>41547</v>
      </c>
      <c r="B5720" s="418">
        <v>2.3854166666666666E-2</v>
      </c>
      <c r="C5720" s="421" t="s">
        <v>1308</v>
      </c>
    </row>
    <row r="5721" spans="1:3" x14ac:dyDescent="0.25">
      <c r="A5721" s="417">
        <v>41547</v>
      </c>
      <c r="B5721" s="418">
        <v>2.3854166666666666E-2</v>
      </c>
      <c r="C5721" s="421" t="s">
        <v>1309</v>
      </c>
    </row>
    <row r="5722" spans="1:3" x14ac:dyDescent="0.25">
      <c r="A5722" s="417">
        <v>41547</v>
      </c>
      <c r="B5722" s="418">
        <v>2.3854166666666666E-2</v>
      </c>
      <c r="C5722" s="421" t="s">
        <v>1310</v>
      </c>
    </row>
    <row r="5723" spans="1:3" x14ac:dyDescent="0.25">
      <c r="A5723" s="417">
        <v>41547</v>
      </c>
      <c r="B5723" s="418">
        <v>2.3854166666666666E-2</v>
      </c>
      <c r="C5723" s="421" t="s">
        <v>1311</v>
      </c>
    </row>
    <row r="5724" spans="1:3" x14ac:dyDescent="0.25">
      <c r="A5724" s="417">
        <v>41547</v>
      </c>
      <c r="B5724" s="418">
        <v>2.3854166666666666E-2</v>
      </c>
      <c r="C5724" s="421" t="s">
        <v>1312</v>
      </c>
    </row>
    <row r="5725" spans="1:3" x14ac:dyDescent="0.25">
      <c r="A5725" s="417">
        <v>41547</v>
      </c>
      <c r="B5725" s="418">
        <v>2.3854166666666666E-2</v>
      </c>
      <c r="C5725" s="421" t="s">
        <v>1313</v>
      </c>
    </row>
    <row r="5726" spans="1:3" x14ac:dyDescent="0.25">
      <c r="A5726" s="417">
        <v>41547</v>
      </c>
      <c r="B5726" s="418">
        <v>2.3854166666666666E-2</v>
      </c>
      <c r="C5726" s="421" t="s">
        <v>1310</v>
      </c>
    </row>
    <row r="5727" spans="1:3" x14ac:dyDescent="0.25">
      <c r="A5727" s="417">
        <v>41547</v>
      </c>
      <c r="B5727" s="418">
        <v>2.3854166666666666E-2</v>
      </c>
      <c r="C5727" s="421" t="s">
        <v>1314</v>
      </c>
    </row>
    <row r="5728" spans="1:3" x14ac:dyDescent="0.25">
      <c r="A5728" s="417">
        <v>41547</v>
      </c>
      <c r="B5728" s="418">
        <v>2.3854166666666666E-2</v>
      </c>
      <c r="C5728" s="421" t="s">
        <v>1315</v>
      </c>
    </row>
    <row r="5729" spans="1:3" x14ac:dyDescent="0.25">
      <c r="A5729" s="417">
        <v>41547</v>
      </c>
      <c r="B5729" s="418">
        <v>2.3854166666666666E-2</v>
      </c>
      <c r="C5729" s="421" t="s">
        <v>1460</v>
      </c>
    </row>
    <row r="5730" spans="1:3" x14ac:dyDescent="0.25">
      <c r="A5730" s="417">
        <v>41547</v>
      </c>
      <c r="B5730" s="418">
        <v>2.3854166666666666E-2</v>
      </c>
      <c r="C5730" s="421" t="s">
        <v>1461</v>
      </c>
    </row>
    <row r="5731" spans="1:3" x14ac:dyDescent="0.25">
      <c r="A5731" s="417">
        <v>41547</v>
      </c>
      <c r="B5731" s="418">
        <v>2.3854166666666666E-2</v>
      </c>
      <c r="C5731" s="421" t="s">
        <v>1310</v>
      </c>
    </row>
    <row r="5732" spans="1:3" x14ac:dyDescent="0.25">
      <c r="A5732" s="417">
        <v>41547</v>
      </c>
      <c r="B5732" s="418">
        <v>2.3854166666666666E-2</v>
      </c>
      <c r="C5732" s="421" t="s">
        <v>1462</v>
      </c>
    </row>
    <row r="5733" spans="1:3" x14ac:dyDescent="0.25">
      <c r="A5733" s="417">
        <v>41547</v>
      </c>
      <c r="B5733" s="418">
        <v>2.3854166666666666E-2</v>
      </c>
      <c r="C5733" s="421" t="s">
        <v>1316</v>
      </c>
    </row>
    <row r="5734" spans="1:3" x14ac:dyDescent="0.25">
      <c r="A5734" s="417">
        <v>41547</v>
      </c>
      <c r="B5734" s="418">
        <v>2.3854166666666666E-2</v>
      </c>
      <c r="C5734" s="421" t="s">
        <v>1316</v>
      </c>
    </row>
    <row r="5735" spans="1:3" x14ac:dyDescent="0.25">
      <c r="A5735" s="417">
        <v>41547</v>
      </c>
      <c r="B5735" s="418">
        <v>2.3854166666666666E-2</v>
      </c>
      <c r="C5735" s="421" t="s">
        <v>1317</v>
      </c>
    </row>
    <row r="5736" spans="1:3" x14ac:dyDescent="0.25">
      <c r="A5736" s="417">
        <v>41547</v>
      </c>
      <c r="B5736" s="418">
        <v>2.3854166666666666E-2</v>
      </c>
      <c r="C5736" s="421" t="s">
        <v>1309</v>
      </c>
    </row>
    <row r="5737" spans="1:3" x14ac:dyDescent="0.25">
      <c r="A5737" s="417">
        <v>41547</v>
      </c>
      <c r="B5737" s="418">
        <v>2.3854166666666666E-2</v>
      </c>
      <c r="C5737" s="421" t="s">
        <v>1318</v>
      </c>
    </row>
    <row r="5738" spans="1:3" x14ac:dyDescent="0.25">
      <c r="A5738" s="417">
        <v>41547</v>
      </c>
      <c r="B5738" s="418">
        <v>2.3854166666666666E-2</v>
      </c>
      <c r="C5738" s="421" t="s">
        <v>1319</v>
      </c>
    </row>
    <row r="5739" spans="1:3" x14ac:dyDescent="0.25">
      <c r="A5739" s="417">
        <v>41547</v>
      </c>
      <c r="B5739" s="418">
        <v>2.3854166666666666E-2</v>
      </c>
      <c r="C5739" s="421" t="s">
        <v>1320</v>
      </c>
    </row>
    <row r="5740" spans="1:3" x14ac:dyDescent="0.25">
      <c r="A5740" s="417">
        <v>41547</v>
      </c>
      <c r="B5740" s="418">
        <v>2.3854166666666666E-2</v>
      </c>
      <c r="C5740" s="421" t="s">
        <v>1318</v>
      </c>
    </row>
    <row r="5741" spans="1:3" x14ac:dyDescent="0.25">
      <c r="A5741" s="417">
        <v>41547</v>
      </c>
      <c r="B5741" s="418">
        <v>2.3854166666666666E-2</v>
      </c>
      <c r="C5741" s="421" t="s">
        <v>1307</v>
      </c>
    </row>
    <row r="5742" spans="1:3" x14ac:dyDescent="0.25">
      <c r="A5742" s="417">
        <v>41547</v>
      </c>
      <c r="B5742" s="418">
        <v>2.3865740740740743E-2</v>
      </c>
      <c r="C5742" s="421" t="s">
        <v>1321</v>
      </c>
    </row>
    <row r="5743" spans="1:3" x14ac:dyDescent="0.25">
      <c r="A5743" s="417">
        <v>41547</v>
      </c>
      <c r="B5743" s="418">
        <v>2.3865740740740743E-2</v>
      </c>
      <c r="C5743" s="421" t="s">
        <v>1322</v>
      </c>
    </row>
    <row r="5744" spans="1:3" x14ac:dyDescent="0.25">
      <c r="A5744" s="417">
        <v>41547</v>
      </c>
      <c r="B5744" s="418">
        <v>2.3865740740740743E-2</v>
      </c>
      <c r="C5744" s="421" t="s">
        <v>1322</v>
      </c>
    </row>
    <row r="5745" spans="1:3" x14ac:dyDescent="0.25">
      <c r="A5745" s="417">
        <v>41547</v>
      </c>
      <c r="B5745" s="418">
        <v>2.3865740740740743E-2</v>
      </c>
      <c r="C5745" s="421" t="s">
        <v>1323</v>
      </c>
    </row>
    <row r="5746" spans="1:3" x14ac:dyDescent="0.25">
      <c r="A5746" s="417">
        <v>41547</v>
      </c>
      <c r="B5746" s="418">
        <v>2.3865740740740743E-2</v>
      </c>
      <c r="C5746" s="421" t="s">
        <v>1324</v>
      </c>
    </row>
    <row r="5747" spans="1:3" x14ac:dyDescent="0.25">
      <c r="A5747" s="417">
        <v>41547</v>
      </c>
      <c r="B5747" s="418">
        <v>2.3865740740740743E-2</v>
      </c>
      <c r="C5747" s="421" t="s">
        <v>1310</v>
      </c>
    </row>
    <row r="5748" spans="1:3" x14ac:dyDescent="0.25">
      <c r="A5748" s="417">
        <v>41547</v>
      </c>
      <c r="B5748" s="418">
        <v>2.3865740740740743E-2</v>
      </c>
      <c r="C5748" s="421" t="s">
        <v>1325</v>
      </c>
    </row>
    <row r="5749" spans="1:3" x14ac:dyDescent="0.25">
      <c r="A5749" s="417">
        <v>41547</v>
      </c>
      <c r="B5749" s="418">
        <v>2.3865740740740743E-2</v>
      </c>
      <c r="C5749" s="421" t="s">
        <v>1326</v>
      </c>
    </row>
    <row r="5750" spans="1:3" x14ac:dyDescent="0.25">
      <c r="A5750" s="417">
        <v>41547</v>
      </c>
      <c r="B5750" s="418">
        <v>2.3865740740740743E-2</v>
      </c>
      <c r="C5750" s="421" t="s">
        <v>1238</v>
      </c>
    </row>
    <row r="5751" spans="1:3" x14ac:dyDescent="0.25">
      <c r="A5751" s="417">
        <v>41547</v>
      </c>
      <c r="B5751" s="418">
        <v>2.3865740740740743E-2</v>
      </c>
      <c r="C5751" s="421" t="s">
        <v>1327</v>
      </c>
    </row>
    <row r="5752" spans="1:3" x14ac:dyDescent="0.25">
      <c r="A5752" s="417">
        <v>41547</v>
      </c>
      <c r="B5752" s="418">
        <v>2.3865740740740743E-2</v>
      </c>
      <c r="C5752" s="421" t="s">
        <v>1323</v>
      </c>
    </row>
    <row r="5753" spans="1:3" x14ac:dyDescent="0.25">
      <c r="A5753" s="417">
        <v>41547</v>
      </c>
      <c r="B5753" s="418">
        <v>2.3865740740740743E-2</v>
      </c>
      <c r="C5753" s="421" t="s">
        <v>1342</v>
      </c>
    </row>
    <row r="5754" spans="1:3" x14ac:dyDescent="0.25">
      <c r="A5754" s="417">
        <v>41547</v>
      </c>
      <c r="B5754" s="418">
        <v>2.3865740740740743E-2</v>
      </c>
      <c r="C5754" s="421" t="s">
        <v>1343</v>
      </c>
    </row>
    <row r="5755" spans="1:3" x14ac:dyDescent="0.25">
      <c r="A5755" s="417">
        <v>41547</v>
      </c>
      <c r="B5755" s="418">
        <v>2.3865740740740743E-2</v>
      </c>
      <c r="C5755" s="421" t="s">
        <v>1344</v>
      </c>
    </row>
    <row r="5756" spans="1:3" x14ac:dyDescent="0.25">
      <c r="A5756" s="417">
        <v>41547</v>
      </c>
      <c r="B5756" s="418">
        <v>2.3865740740740743E-2</v>
      </c>
      <c r="C5756" s="421" t="s">
        <v>1344</v>
      </c>
    </row>
    <row r="5757" spans="1:3" x14ac:dyDescent="0.25">
      <c r="A5757" s="417">
        <v>41547</v>
      </c>
      <c r="B5757" s="418">
        <v>2.3865740740740743E-2</v>
      </c>
      <c r="C5757" s="421" t="s">
        <v>1310</v>
      </c>
    </row>
    <row r="5758" spans="1:3" x14ac:dyDescent="0.25">
      <c r="A5758" s="417">
        <v>41547</v>
      </c>
      <c r="B5758" s="418">
        <v>2.3865740740740743E-2</v>
      </c>
      <c r="C5758" s="421" t="s">
        <v>1345</v>
      </c>
    </row>
    <row r="5759" spans="1:3" x14ac:dyDescent="0.25">
      <c r="A5759" s="417">
        <v>41547</v>
      </c>
      <c r="B5759" s="418">
        <v>2.3865740740740743E-2</v>
      </c>
      <c r="C5759" s="421" t="s">
        <v>1346</v>
      </c>
    </row>
    <row r="5760" spans="1:3" x14ac:dyDescent="0.25">
      <c r="A5760" s="417">
        <v>41547</v>
      </c>
      <c r="B5760" s="418">
        <v>2.3865740740740743E-2</v>
      </c>
      <c r="C5760" s="421" t="s">
        <v>1347</v>
      </c>
    </row>
    <row r="5761" spans="1:3" x14ac:dyDescent="0.25">
      <c r="A5761" s="417">
        <v>41547</v>
      </c>
      <c r="B5761" s="418">
        <v>2.3865740740740743E-2</v>
      </c>
      <c r="C5761" s="421" t="s">
        <v>1348</v>
      </c>
    </row>
    <row r="5762" spans="1:3" x14ac:dyDescent="0.25">
      <c r="A5762" s="417">
        <v>41547</v>
      </c>
      <c r="B5762" s="418">
        <v>2.3865740740740743E-2</v>
      </c>
      <c r="C5762" s="421" t="s">
        <v>1349</v>
      </c>
    </row>
    <row r="5763" spans="1:3" x14ac:dyDescent="0.25">
      <c r="A5763" s="417">
        <v>41547</v>
      </c>
      <c r="B5763" s="418">
        <v>2.3865740740740743E-2</v>
      </c>
      <c r="C5763" s="421" t="s">
        <v>1349</v>
      </c>
    </row>
    <row r="5764" spans="1:3" x14ac:dyDescent="0.25">
      <c r="A5764" s="417">
        <v>41547</v>
      </c>
      <c r="B5764" s="418">
        <v>2.3865740740740743E-2</v>
      </c>
      <c r="C5764" s="421" t="s">
        <v>1348</v>
      </c>
    </row>
    <row r="5765" spans="1:3" x14ac:dyDescent="0.25">
      <c r="A5765" s="417">
        <v>41547</v>
      </c>
      <c r="B5765" s="418">
        <v>2.3865740740740743E-2</v>
      </c>
      <c r="C5765" s="421" t="s">
        <v>1350</v>
      </c>
    </row>
    <row r="5766" spans="1:3" x14ac:dyDescent="0.25">
      <c r="A5766" s="417">
        <v>41547</v>
      </c>
      <c r="B5766" s="418">
        <v>2.3865740740740743E-2</v>
      </c>
      <c r="C5766" s="421" t="s">
        <v>1351</v>
      </c>
    </row>
    <row r="5767" spans="1:3" x14ac:dyDescent="0.25">
      <c r="A5767" s="417">
        <v>41547</v>
      </c>
      <c r="B5767" s="418">
        <v>2.3865740740740743E-2</v>
      </c>
      <c r="C5767" s="421" t="s">
        <v>1352</v>
      </c>
    </row>
    <row r="5768" spans="1:3" x14ac:dyDescent="0.25">
      <c r="A5768" s="417">
        <v>41547</v>
      </c>
      <c r="B5768" s="418">
        <v>2.3865740740740743E-2</v>
      </c>
      <c r="C5768" s="421" t="s">
        <v>1768</v>
      </c>
    </row>
    <row r="5769" spans="1:3" x14ac:dyDescent="0.25">
      <c r="A5769" s="417">
        <v>41547</v>
      </c>
      <c r="B5769" s="418">
        <v>2.3865740740740743E-2</v>
      </c>
      <c r="C5769" s="421" t="s">
        <v>1353</v>
      </c>
    </row>
    <row r="5770" spans="1:3" x14ac:dyDescent="0.25">
      <c r="A5770" s="417">
        <v>41547</v>
      </c>
      <c r="B5770" s="418">
        <v>2.3865740740740743E-2</v>
      </c>
      <c r="C5770" s="421" t="s">
        <v>1354</v>
      </c>
    </row>
    <row r="5771" spans="1:3" x14ac:dyDescent="0.25">
      <c r="A5771" s="417">
        <v>41547</v>
      </c>
      <c r="B5771" s="418">
        <v>2.3865740740740743E-2</v>
      </c>
      <c r="C5771" s="421" t="s">
        <v>1357</v>
      </c>
    </row>
    <row r="5772" spans="1:3" x14ac:dyDescent="0.25">
      <c r="A5772" s="417">
        <v>41547</v>
      </c>
      <c r="B5772" s="418">
        <v>2.3865740740740743E-2</v>
      </c>
      <c r="C5772" s="421" t="s">
        <v>1358</v>
      </c>
    </row>
    <row r="5773" spans="1:3" x14ac:dyDescent="0.25">
      <c r="A5773" s="417">
        <v>41547</v>
      </c>
      <c r="B5773" s="418">
        <v>2.3865740740740743E-2</v>
      </c>
      <c r="C5773" s="421" t="s">
        <v>1359</v>
      </c>
    </row>
    <row r="5774" spans="1:3" x14ac:dyDescent="0.25">
      <c r="A5774" s="417">
        <v>41547</v>
      </c>
      <c r="B5774" s="418">
        <v>2.3865740740740743E-2</v>
      </c>
      <c r="C5774" s="421" t="s">
        <v>1360</v>
      </c>
    </row>
    <row r="5775" spans="1:3" x14ac:dyDescent="0.25">
      <c r="A5775" s="417">
        <v>41547</v>
      </c>
      <c r="B5775" s="418">
        <v>2.3865740740740743E-2</v>
      </c>
      <c r="C5775" s="421" t="s">
        <v>1361</v>
      </c>
    </row>
    <row r="5776" spans="1:3" x14ac:dyDescent="0.25">
      <c r="A5776" s="417">
        <v>41547</v>
      </c>
      <c r="B5776" s="418">
        <v>2.3865740740740743E-2</v>
      </c>
      <c r="C5776" s="421" t="s">
        <v>1317</v>
      </c>
    </row>
    <row r="5777" spans="1:3" x14ac:dyDescent="0.25">
      <c r="A5777" s="417">
        <v>41547</v>
      </c>
      <c r="B5777" s="418">
        <v>2.3865740740740743E-2</v>
      </c>
      <c r="C5777" s="421" t="s">
        <v>1537</v>
      </c>
    </row>
    <row r="5778" spans="1:3" x14ac:dyDescent="0.25">
      <c r="A5778" s="417">
        <v>41547</v>
      </c>
      <c r="B5778" s="418">
        <v>2.3865740740740743E-2</v>
      </c>
      <c r="C5778" s="421" t="s">
        <v>1362</v>
      </c>
    </row>
    <row r="5779" spans="1:3" x14ac:dyDescent="0.25">
      <c r="A5779" s="417">
        <v>41547</v>
      </c>
      <c r="B5779" s="418">
        <v>2.3865740740740743E-2</v>
      </c>
      <c r="C5779" s="421" t="s">
        <v>1363</v>
      </c>
    </row>
    <row r="5780" spans="1:3" x14ac:dyDescent="0.25">
      <c r="A5780" s="417">
        <v>41547</v>
      </c>
      <c r="B5780" s="418">
        <v>2.3865740740740743E-2</v>
      </c>
      <c r="C5780" s="421" t="s">
        <v>1364</v>
      </c>
    </row>
    <row r="5781" spans="1:3" x14ac:dyDescent="0.25">
      <c r="A5781" s="417">
        <v>41547</v>
      </c>
      <c r="B5781" s="418">
        <v>2.3865740740740743E-2</v>
      </c>
      <c r="C5781" s="421" t="s">
        <v>1365</v>
      </c>
    </row>
    <row r="5782" spans="1:3" x14ac:dyDescent="0.25">
      <c r="A5782" s="417">
        <v>41547</v>
      </c>
      <c r="B5782" s="418">
        <v>2.3865740740740743E-2</v>
      </c>
      <c r="C5782" s="421" t="s">
        <v>1365</v>
      </c>
    </row>
    <row r="5783" spans="1:3" x14ac:dyDescent="0.25">
      <c r="A5783" s="417">
        <v>41547</v>
      </c>
      <c r="B5783" s="418">
        <v>2.3865740740740743E-2</v>
      </c>
      <c r="C5783" s="421" t="s">
        <v>1320</v>
      </c>
    </row>
    <row r="5784" spans="1:3" x14ac:dyDescent="0.25">
      <c r="A5784" s="417">
        <v>41547</v>
      </c>
      <c r="B5784" s="418">
        <v>2.3865740740740743E-2</v>
      </c>
      <c r="C5784" s="421" t="s">
        <v>1367</v>
      </c>
    </row>
    <row r="5785" spans="1:3" x14ac:dyDescent="0.25">
      <c r="A5785" s="417">
        <v>41547</v>
      </c>
      <c r="B5785" s="418">
        <v>2.3865740740740743E-2</v>
      </c>
      <c r="C5785" s="421" t="s">
        <v>1344</v>
      </c>
    </row>
    <row r="5786" spans="1:3" x14ac:dyDescent="0.25">
      <c r="A5786" s="417">
        <v>41547</v>
      </c>
      <c r="B5786" s="418">
        <v>2.3865740740740743E-2</v>
      </c>
      <c r="C5786" s="421" t="s">
        <v>1368</v>
      </c>
    </row>
    <row r="5787" spans="1:3" x14ac:dyDescent="0.25">
      <c r="A5787" s="417">
        <v>41547</v>
      </c>
      <c r="B5787" s="418">
        <v>2.3877314814814813E-2</v>
      </c>
      <c r="C5787" s="421" t="s">
        <v>1369</v>
      </c>
    </row>
    <row r="5788" spans="1:3" x14ac:dyDescent="0.25">
      <c r="A5788" s="417">
        <v>41547</v>
      </c>
      <c r="B5788" s="418">
        <v>2.3877314814814813E-2</v>
      </c>
      <c r="C5788" s="421" t="s">
        <v>1307</v>
      </c>
    </row>
    <row r="5789" spans="1:3" x14ac:dyDescent="0.25">
      <c r="A5789" s="417">
        <v>41547</v>
      </c>
      <c r="B5789" s="418">
        <v>2.3877314814814813E-2</v>
      </c>
      <c r="C5789" s="421" t="s">
        <v>1370</v>
      </c>
    </row>
    <row r="5790" spans="1:3" x14ac:dyDescent="0.25">
      <c r="A5790" s="417">
        <v>41547</v>
      </c>
      <c r="B5790" s="418">
        <v>2.3877314814814813E-2</v>
      </c>
      <c r="C5790" s="421" t="s">
        <v>1371</v>
      </c>
    </row>
    <row r="5791" spans="1:3" x14ac:dyDescent="0.25">
      <c r="A5791" s="417">
        <v>41547</v>
      </c>
      <c r="B5791" s="418">
        <v>2.3877314814814813E-2</v>
      </c>
      <c r="C5791" s="421" t="s">
        <v>1344</v>
      </c>
    </row>
    <row r="5792" spans="1:3" x14ac:dyDescent="0.25">
      <c r="A5792" s="417">
        <v>41547</v>
      </c>
      <c r="B5792" s="418">
        <v>2.3877314814814813E-2</v>
      </c>
      <c r="C5792" s="421" t="s">
        <v>1317</v>
      </c>
    </row>
    <row r="5793" spans="1:3" x14ac:dyDescent="0.25">
      <c r="A5793" s="417">
        <v>41547</v>
      </c>
      <c r="B5793" s="418">
        <v>2.3877314814814813E-2</v>
      </c>
      <c r="C5793" s="421" t="s">
        <v>1463</v>
      </c>
    </row>
    <row r="5794" spans="1:3" x14ac:dyDescent="0.25">
      <c r="A5794" s="417">
        <v>41547</v>
      </c>
      <c r="B5794" s="418">
        <v>2.3877314814814813E-2</v>
      </c>
      <c r="C5794" s="421" t="s">
        <v>1373</v>
      </c>
    </row>
    <row r="5795" spans="1:3" x14ac:dyDescent="0.25">
      <c r="A5795" s="417">
        <v>41547</v>
      </c>
      <c r="B5795" s="418">
        <v>2.3877314814814813E-2</v>
      </c>
      <c r="C5795" s="421" t="s">
        <v>1308</v>
      </c>
    </row>
    <row r="5796" spans="1:3" x14ac:dyDescent="0.25">
      <c r="A5796" s="417">
        <v>41547</v>
      </c>
      <c r="B5796" s="418">
        <v>2.4328703703703703E-2</v>
      </c>
      <c r="C5796" s="421" t="s">
        <v>1374</v>
      </c>
    </row>
    <row r="5797" spans="1:3" x14ac:dyDescent="0.25">
      <c r="A5797" s="417">
        <v>41547</v>
      </c>
      <c r="B5797" s="418">
        <v>2.4328703703703703E-2</v>
      </c>
      <c r="C5797" s="421" t="s">
        <v>1375</v>
      </c>
    </row>
    <row r="5798" spans="1:3" x14ac:dyDescent="0.25">
      <c r="A5798" s="417">
        <v>41547</v>
      </c>
      <c r="B5798" s="418">
        <v>2.4328703703703703E-2</v>
      </c>
      <c r="C5798" s="421" t="s">
        <v>1376</v>
      </c>
    </row>
    <row r="5799" spans="1:3" x14ac:dyDescent="0.25">
      <c r="A5799" s="417">
        <v>41547</v>
      </c>
      <c r="B5799" s="418">
        <v>2.4328703703703703E-2</v>
      </c>
      <c r="C5799" s="421" t="s">
        <v>1377</v>
      </c>
    </row>
    <row r="5800" spans="1:3" x14ac:dyDescent="0.25">
      <c r="A5800" s="417">
        <v>41547</v>
      </c>
      <c r="B5800" s="418">
        <v>2.4328703703703703E-2</v>
      </c>
      <c r="C5800" s="421" t="s">
        <v>1326</v>
      </c>
    </row>
    <row r="5801" spans="1:3" x14ac:dyDescent="0.25">
      <c r="A5801" s="417">
        <v>41547</v>
      </c>
      <c r="B5801" s="418">
        <v>2.4328703703703703E-2</v>
      </c>
      <c r="C5801" s="421" t="s">
        <v>1755</v>
      </c>
    </row>
    <row r="5802" spans="1:3" x14ac:dyDescent="0.25">
      <c r="A5802" s="417">
        <v>41547</v>
      </c>
      <c r="B5802" s="418">
        <v>2.4328703703703703E-2</v>
      </c>
      <c r="C5802" s="421" t="s">
        <v>1380</v>
      </c>
    </row>
    <row r="5803" spans="1:3" x14ac:dyDescent="0.25">
      <c r="A5803" s="417">
        <v>41547</v>
      </c>
      <c r="B5803" s="418">
        <v>2.4328703703703703E-2</v>
      </c>
      <c r="C5803" s="421" t="s">
        <v>1381</v>
      </c>
    </row>
    <row r="5804" spans="1:3" x14ac:dyDescent="0.25">
      <c r="A5804" s="417">
        <v>41547</v>
      </c>
      <c r="B5804" s="418">
        <v>2.4328703703703703E-2</v>
      </c>
      <c r="C5804" s="421" t="s">
        <v>1382</v>
      </c>
    </row>
    <row r="5805" spans="1:3" x14ac:dyDescent="0.25">
      <c r="A5805" s="417">
        <v>41547</v>
      </c>
      <c r="B5805" s="418">
        <v>2.4328703703703703E-2</v>
      </c>
      <c r="C5805" s="421" t="s">
        <v>1383</v>
      </c>
    </row>
    <row r="5806" spans="1:3" x14ac:dyDescent="0.25">
      <c r="A5806" s="417">
        <v>41547</v>
      </c>
      <c r="B5806" s="418">
        <v>2.4328703703703703E-2</v>
      </c>
      <c r="C5806" s="421" t="s">
        <v>1352</v>
      </c>
    </row>
    <row r="5807" spans="1:3" x14ac:dyDescent="0.25">
      <c r="A5807" s="417">
        <v>41547</v>
      </c>
      <c r="B5807" s="418">
        <v>2.4328703703703703E-2</v>
      </c>
      <c r="C5807" s="421" t="s">
        <v>1384</v>
      </c>
    </row>
    <row r="5808" spans="1:3" x14ac:dyDescent="0.25">
      <c r="A5808" s="417">
        <v>41547</v>
      </c>
      <c r="B5808" s="418">
        <v>2.4328703703703703E-2</v>
      </c>
      <c r="C5808" s="421" t="s">
        <v>1385</v>
      </c>
    </row>
    <row r="5809" spans="1:3" x14ac:dyDescent="0.25">
      <c r="A5809" s="417">
        <v>41547</v>
      </c>
      <c r="B5809" s="418">
        <v>2.4328703703703703E-2</v>
      </c>
      <c r="C5809" s="421" t="s">
        <v>1385</v>
      </c>
    </row>
    <row r="5810" spans="1:3" x14ac:dyDescent="0.25">
      <c r="A5810" s="417">
        <v>41547</v>
      </c>
      <c r="B5810" s="418">
        <v>2.4328703703703703E-2</v>
      </c>
      <c r="C5810" s="421" t="s">
        <v>1386</v>
      </c>
    </row>
    <row r="5811" spans="1:3" x14ac:dyDescent="0.25">
      <c r="A5811" s="417">
        <v>41547</v>
      </c>
      <c r="B5811" s="418">
        <v>2.4328703703703703E-2</v>
      </c>
      <c r="C5811" s="421" t="s">
        <v>1387</v>
      </c>
    </row>
    <row r="5812" spans="1:3" x14ac:dyDescent="0.25">
      <c r="A5812" s="417">
        <v>41547</v>
      </c>
      <c r="B5812" s="418">
        <v>2.4328703703703703E-2</v>
      </c>
      <c r="C5812" s="421" t="s">
        <v>1387</v>
      </c>
    </row>
    <row r="5813" spans="1:3" x14ac:dyDescent="0.25">
      <c r="A5813" s="417">
        <v>41547</v>
      </c>
      <c r="B5813" s="418">
        <v>2.4328703703703703E-2</v>
      </c>
      <c r="C5813" s="421" t="s">
        <v>1318</v>
      </c>
    </row>
    <row r="5814" spans="1:3" x14ac:dyDescent="0.25">
      <c r="A5814" s="417">
        <v>41547</v>
      </c>
      <c r="B5814" s="418">
        <v>2.4328703703703703E-2</v>
      </c>
      <c r="C5814" s="421" t="s">
        <v>1388</v>
      </c>
    </row>
    <row r="5815" spans="1:3" x14ac:dyDescent="0.25">
      <c r="A5815" s="417">
        <v>41547</v>
      </c>
      <c r="B5815" s="418">
        <v>2.4363425925925927E-2</v>
      </c>
      <c r="C5815" s="421" t="s">
        <v>1390</v>
      </c>
    </row>
    <row r="5816" spans="1:3" x14ac:dyDescent="0.25">
      <c r="A5816" s="417">
        <v>41547</v>
      </c>
      <c r="B5816" s="418">
        <v>2.4386574074074074E-2</v>
      </c>
      <c r="C5816" s="421" t="s">
        <v>1391</v>
      </c>
    </row>
    <row r="5817" spans="1:3" x14ac:dyDescent="0.25">
      <c r="A5817" s="417">
        <v>41547</v>
      </c>
      <c r="B5817" s="418">
        <v>2.4386574074074074E-2</v>
      </c>
      <c r="C5817" s="421" t="s">
        <v>1392</v>
      </c>
    </row>
    <row r="5818" spans="1:3" x14ac:dyDescent="0.25">
      <c r="A5818" s="417">
        <v>41547</v>
      </c>
      <c r="B5818" s="418">
        <v>2.4398148148148145E-2</v>
      </c>
      <c r="C5818" s="421" t="s">
        <v>1795</v>
      </c>
    </row>
    <row r="5819" spans="1:3" x14ac:dyDescent="0.25">
      <c r="A5819" s="417">
        <v>41547</v>
      </c>
      <c r="B5819" s="418">
        <v>2.4467592592592593E-2</v>
      </c>
      <c r="C5819" s="421" t="s">
        <v>1393</v>
      </c>
    </row>
    <row r="5820" spans="1:3" x14ac:dyDescent="0.25">
      <c r="A5820" s="417">
        <v>41547</v>
      </c>
      <c r="B5820" s="418">
        <v>2.4467592592592593E-2</v>
      </c>
      <c r="C5820" s="421" t="s">
        <v>1394</v>
      </c>
    </row>
    <row r="5821" spans="1:3" x14ac:dyDescent="0.25">
      <c r="A5821" s="417">
        <v>41547</v>
      </c>
      <c r="B5821" s="418">
        <v>2.4479166666666666E-2</v>
      </c>
      <c r="C5821" s="421" t="s">
        <v>1392</v>
      </c>
    </row>
    <row r="5822" spans="1:3" x14ac:dyDescent="0.25">
      <c r="A5822" s="417">
        <v>41547</v>
      </c>
      <c r="B5822" s="418">
        <v>2.4479166666666666E-2</v>
      </c>
      <c r="C5822" s="421" t="s">
        <v>1395</v>
      </c>
    </row>
    <row r="5823" spans="1:3" x14ac:dyDescent="0.25">
      <c r="A5823" s="417">
        <v>41547</v>
      </c>
      <c r="B5823" s="418">
        <v>2.4479166666666666E-2</v>
      </c>
      <c r="C5823" s="421" t="s">
        <v>1396</v>
      </c>
    </row>
    <row r="5824" spans="1:3" x14ac:dyDescent="0.25">
      <c r="A5824" s="417">
        <v>41547</v>
      </c>
      <c r="B5824" s="418">
        <v>2.4479166666666666E-2</v>
      </c>
      <c r="C5824" s="421" t="s">
        <v>1363</v>
      </c>
    </row>
    <row r="5825" spans="1:3" x14ac:dyDescent="0.25">
      <c r="A5825" s="417">
        <v>41547</v>
      </c>
      <c r="B5825" s="418">
        <v>2.4479166666666666E-2</v>
      </c>
      <c r="C5825" s="421" t="s">
        <v>1362</v>
      </c>
    </row>
    <row r="5826" spans="1:3" x14ac:dyDescent="0.25">
      <c r="A5826" s="417">
        <v>41547</v>
      </c>
      <c r="B5826" s="418">
        <v>2.4479166666666666E-2</v>
      </c>
      <c r="C5826" s="421" t="s">
        <v>1397</v>
      </c>
    </row>
    <row r="5827" spans="1:3" x14ac:dyDescent="0.25">
      <c r="A5827" s="417">
        <v>41547</v>
      </c>
      <c r="B5827" s="418">
        <v>2.449074074074074E-2</v>
      </c>
      <c r="C5827" s="421" t="s">
        <v>1381</v>
      </c>
    </row>
    <row r="5828" spans="1:3" x14ac:dyDescent="0.25">
      <c r="A5828" s="417">
        <v>41547</v>
      </c>
      <c r="B5828" s="418">
        <v>2.449074074074074E-2</v>
      </c>
      <c r="C5828" s="421" t="s">
        <v>1398</v>
      </c>
    </row>
    <row r="5829" spans="1:3" x14ac:dyDescent="0.25">
      <c r="A5829" s="417">
        <v>41547</v>
      </c>
      <c r="B5829" s="418">
        <v>2.449074074074074E-2</v>
      </c>
      <c r="C5829" s="421" t="s">
        <v>1399</v>
      </c>
    </row>
    <row r="5830" spans="1:3" x14ac:dyDescent="0.25">
      <c r="A5830" s="417">
        <v>41547</v>
      </c>
      <c r="B5830" s="418">
        <v>2.449074074074074E-2</v>
      </c>
      <c r="C5830" s="421" t="s">
        <v>1400</v>
      </c>
    </row>
    <row r="5831" spans="1:3" x14ac:dyDescent="0.25">
      <c r="A5831" s="417">
        <v>41547</v>
      </c>
      <c r="B5831" s="418">
        <v>2.449074074074074E-2</v>
      </c>
      <c r="C5831" s="421" t="s">
        <v>1400</v>
      </c>
    </row>
    <row r="5832" spans="1:3" x14ac:dyDescent="0.25">
      <c r="A5832" s="417">
        <v>41547</v>
      </c>
      <c r="B5832" s="418">
        <v>2.449074074074074E-2</v>
      </c>
      <c r="C5832" s="421" t="s">
        <v>1373</v>
      </c>
    </row>
    <row r="5833" spans="1:3" x14ac:dyDescent="0.25">
      <c r="A5833" s="417">
        <v>41547</v>
      </c>
      <c r="B5833" s="418">
        <v>2.4502314814814814E-2</v>
      </c>
      <c r="C5833" s="421" t="s">
        <v>1353</v>
      </c>
    </row>
    <row r="5834" spans="1:3" x14ac:dyDescent="0.25">
      <c r="A5834" s="417">
        <v>41547</v>
      </c>
      <c r="B5834" s="418">
        <v>2.4502314814814814E-2</v>
      </c>
      <c r="C5834" s="421" t="s">
        <v>1353</v>
      </c>
    </row>
    <row r="5835" spans="1:3" x14ac:dyDescent="0.25">
      <c r="A5835" s="417">
        <v>41547</v>
      </c>
      <c r="B5835" s="418">
        <v>2.4513888888888887E-2</v>
      </c>
      <c r="C5835" s="421" t="s">
        <v>1401</v>
      </c>
    </row>
    <row r="5836" spans="1:3" x14ac:dyDescent="0.25">
      <c r="A5836" s="417">
        <v>41547</v>
      </c>
      <c r="B5836" s="418">
        <v>2.4525462962962968E-2</v>
      </c>
      <c r="C5836" s="421" t="s">
        <v>1392</v>
      </c>
    </row>
    <row r="5837" spans="1:3" x14ac:dyDescent="0.25">
      <c r="A5837" s="417">
        <v>41547</v>
      </c>
      <c r="B5837" s="418">
        <v>2.4525462962962968E-2</v>
      </c>
      <c r="C5837" s="421" t="s">
        <v>1403</v>
      </c>
    </row>
    <row r="5838" spans="1:3" x14ac:dyDescent="0.25">
      <c r="A5838" s="417">
        <v>41547</v>
      </c>
      <c r="B5838" s="418">
        <v>2.4525462962962968E-2</v>
      </c>
      <c r="C5838" s="421" t="s">
        <v>1403</v>
      </c>
    </row>
    <row r="5839" spans="1:3" x14ac:dyDescent="0.25">
      <c r="A5839" s="417">
        <v>41547</v>
      </c>
      <c r="B5839" s="418">
        <v>2.4525462962962968E-2</v>
      </c>
      <c r="C5839" s="421" t="s">
        <v>1403</v>
      </c>
    </row>
    <row r="5840" spans="1:3" x14ac:dyDescent="0.25">
      <c r="A5840" s="417">
        <v>41547</v>
      </c>
      <c r="B5840" s="418">
        <v>2.4548611111111115E-2</v>
      </c>
      <c r="C5840" s="421" t="s">
        <v>1362</v>
      </c>
    </row>
    <row r="5841" spans="1:3" x14ac:dyDescent="0.25">
      <c r="A5841" s="417">
        <v>41547</v>
      </c>
      <c r="B5841" s="418">
        <v>2.4548611111111115E-2</v>
      </c>
      <c r="C5841" s="421" t="s">
        <v>1364</v>
      </c>
    </row>
    <row r="5842" spans="1:3" x14ac:dyDescent="0.25">
      <c r="A5842" s="417">
        <v>41547</v>
      </c>
      <c r="B5842" s="418">
        <v>2.4548611111111115E-2</v>
      </c>
      <c r="C5842" s="421" t="s">
        <v>1364</v>
      </c>
    </row>
    <row r="5843" spans="1:3" x14ac:dyDescent="0.25">
      <c r="A5843" s="417">
        <v>41547</v>
      </c>
      <c r="B5843" s="418">
        <v>2.4560185185185185E-2</v>
      </c>
      <c r="C5843" s="421" t="s">
        <v>1381</v>
      </c>
    </row>
    <row r="5844" spans="1:3" x14ac:dyDescent="0.25">
      <c r="A5844" s="417">
        <v>41547</v>
      </c>
      <c r="B5844" s="418">
        <v>2.4560185185185185E-2</v>
      </c>
      <c r="C5844" s="421" t="s">
        <v>1364</v>
      </c>
    </row>
    <row r="5845" spans="1:3" x14ac:dyDescent="0.25">
      <c r="A5845" s="417">
        <v>41547</v>
      </c>
      <c r="B5845" s="418">
        <v>2.4571759259259262E-2</v>
      </c>
      <c r="C5845" s="421" t="s">
        <v>1480</v>
      </c>
    </row>
    <row r="5846" spans="1:3" x14ac:dyDescent="0.25">
      <c r="A5846" s="417">
        <v>41547</v>
      </c>
      <c r="B5846" s="418">
        <v>2.4571759259259262E-2</v>
      </c>
      <c r="C5846" s="421" t="s">
        <v>1480</v>
      </c>
    </row>
    <row r="5847" spans="1:3" x14ac:dyDescent="0.25">
      <c r="A5847" s="417">
        <v>41547</v>
      </c>
      <c r="B5847" s="418">
        <v>2.4571759259259262E-2</v>
      </c>
      <c r="C5847" s="421" t="s">
        <v>1480</v>
      </c>
    </row>
    <row r="5848" spans="1:3" x14ac:dyDescent="0.25">
      <c r="A5848" s="417">
        <v>41547</v>
      </c>
      <c r="B5848" s="418">
        <v>2.4571759259259262E-2</v>
      </c>
      <c r="C5848" s="421" t="s">
        <v>1802</v>
      </c>
    </row>
    <row r="5849" spans="1:3" x14ac:dyDescent="0.25">
      <c r="A5849" s="417">
        <v>41547</v>
      </c>
      <c r="B5849" s="418">
        <v>2.4571759259259262E-2</v>
      </c>
      <c r="C5849" s="421" t="s">
        <v>1541</v>
      </c>
    </row>
    <row r="5850" spans="1:3" x14ac:dyDescent="0.25">
      <c r="A5850" s="417">
        <v>41547</v>
      </c>
      <c r="B5850" s="418">
        <v>2.4583333333333332E-2</v>
      </c>
      <c r="C5850" s="421" t="s">
        <v>1346</v>
      </c>
    </row>
    <row r="5851" spans="1:3" x14ac:dyDescent="0.25">
      <c r="A5851" s="417">
        <v>41547</v>
      </c>
      <c r="B5851" s="418">
        <v>2.4583333333333332E-2</v>
      </c>
      <c r="C5851" s="421" t="s">
        <v>1405</v>
      </c>
    </row>
    <row r="5852" spans="1:3" x14ac:dyDescent="0.25">
      <c r="A5852" s="417">
        <v>41547</v>
      </c>
      <c r="B5852" s="418">
        <v>2.4583333333333332E-2</v>
      </c>
      <c r="C5852" s="421" t="s">
        <v>1406</v>
      </c>
    </row>
    <row r="5853" spans="1:3" x14ac:dyDescent="0.25">
      <c r="A5853" s="417">
        <v>41547</v>
      </c>
      <c r="B5853" s="418">
        <v>2.4594907407407409E-2</v>
      </c>
      <c r="C5853" s="421" t="s">
        <v>1362</v>
      </c>
    </row>
    <row r="5854" spans="1:3" x14ac:dyDescent="0.25">
      <c r="A5854" s="417">
        <v>41547</v>
      </c>
      <c r="B5854" s="418">
        <v>2.461805555555556E-2</v>
      </c>
      <c r="C5854" s="421" t="s">
        <v>1803</v>
      </c>
    </row>
    <row r="5855" spans="1:3" x14ac:dyDescent="0.25">
      <c r="A5855" s="417">
        <v>41547</v>
      </c>
      <c r="B5855" s="418">
        <v>2.462962962962963E-2</v>
      </c>
      <c r="C5855" s="421" t="s">
        <v>1318</v>
      </c>
    </row>
    <row r="5856" spans="1:3" x14ac:dyDescent="0.25">
      <c r="A5856" s="417">
        <v>41547</v>
      </c>
      <c r="B5856" s="418">
        <v>2.4652777777777777E-2</v>
      </c>
      <c r="C5856" s="421" t="s">
        <v>1368</v>
      </c>
    </row>
    <row r="5857" spans="1:3" x14ac:dyDescent="0.25">
      <c r="A5857" s="417">
        <v>41547</v>
      </c>
      <c r="B5857" s="418">
        <v>2.4652777777777777E-2</v>
      </c>
      <c r="C5857" s="421" t="s">
        <v>1368</v>
      </c>
    </row>
    <row r="5858" spans="1:3" x14ac:dyDescent="0.25">
      <c r="A5858" s="417">
        <v>41547</v>
      </c>
      <c r="B5858" s="418">
        <v>2.4652777777777777E-2</v>
      </c>
      <c r="C5858" s="421" t="s">
        <v>1368</v>
      </c>
    </row>
    <row r="5859" spans="1:3" x14ac:dyDescent="0.25">
      <c r="A5859" s="417">
        <v>41547</v>
      </c>
      <c r="B5859" s="418">
        <v>2.4652777777777777E-2</v>
      </c>
      <c r="C5859" s="421" t="s">
        <v>1368</v>
      </c>
    </row>
    <row r="5860" spans="1:3" x14ac:dyDescent="0.25">
      <c r="A5860" s="417">
        <v>41547</v>
      </c>
      <c r="B5860" s="418">
        <v>2.4652777777777777E-2</v>
      </c>
      <c r="C5860" s="421" t="s">
        <v>1368</v>
      </c>
    </row>
    <row r="5861" spans="1:3" x14ac:dyDescent="0.25">
      <c r="A5861" s="417">
        <v>41547</v>
      </c>
      <c r="B5861" s="418">
        <v>2.4652777777777777E-2</v>
      </c>
      <c r="C5861" s="421" t="s">
        <v>1409</v>
      </c>
    </row>
    <row r="5862" spans="1:3" x14ac:dyDescent="0.25">
      <c r="A5862" s="417">
        <v>41547</v>
      </c>
      <c r="B5862" s="418">
        <v>2.4652777777777777E-2</v>
      </c>
      <c r="C5862" s="421" t="s">
        <v>1308</v>
      </c>
    </row>
    <row r="5863" spans="1:3" x14ac:dyDescent="0.25">
      <c r="A5863" s="417">
        <v>41547</v>
      </c>
      <c r="B5863" s="418">
        <v>2.4675925925925924E-2</v>
      </c>
      <c r="C5863" s="421" t="s">
        <v>1410</v>
      </c>
    </row>
    <row r="5864" spans="1:3" x14ac:dyDescent="0.25">
      <c r="A5864" s="417">
        <v>41547</v>
      </c>
      <c r="B5864" s="418">
        <v>2.4675925925925924E-2</v>
      </c>
      <c r="C5864" s="421" t="s">
        <v>1410</v>
      </c>
    </row>
    <row r="5865" spans="1:3" x14ac:dyDescent="0.25">
      <c r="A5865" s="417">
        <v>41547</v>
      </c>
      <c r="B5865" s="418">
        <v>2.4675925925925924E-2</v>
      </c>
      <c r="C5865" s="421" t="s">
        <v>1411</v>
      </c>
    </row>
    <row r="5866" spans="1:3" x14ac:dyDescent="0.25">
      <c r="A5866" s="417">
        <v>41547</v>
      </c>
      <c r="B5866" s="418">
        <v>2.4687499999999998E-2</v>
      </c>
      <c r="C5866" s="421" t="s">
        <v>1808</v>
      </c>
    </row>
    <row r="5867" spans="1:3" x14ac:dyDescent="0.25">
      <c r="A5867" s="417">
        <v>41547</v>
      </c>
      <c r="B5867" s="418">
        <v>2.4699074074074078E-2</v>
      </c>
      <c r="C5867" s="421" t="s">
        <v>1413</v>
      </c>
    </row>
    <row r="5868" spans="1:3" x14ac:dyDescent="0.25">
      <c r="A5868" s="417">
        <v>41547</v>
      </c>
      <c r="B5868" s="418">
        <v>2.4699074074074078E-2</v>
      </c>
      <c r="C5868" s="421" t="s">
        <v>1414</v>
      </c>
    </row>
    <row r="5869" spans="1:3" x14ac:dyDescent="0.25">
      <c r="A5869" s="417">
        <v>41547</v>
      </c>
      <c r="B5869" s="418">
        <v>2.4722222222222225E-2</v>
      </c>
      <c r="C5869" s="421" t="s">
        <v>1373</v>
      </c>
    </row>
    <row r="5870" spans="1:3" x14ac:dyDescent="0.25">
      <c r="A5870" s="417">
        <v>41547</v>
      </c>
      <c r="B5870" s="418">
        <v>2.4722222222222225E-2</v>
      </c>
      <c r="C5870" s="421" t="s">
        <v>1809</v>
      </c>
    </row>
    <row r="5871" spans="1:3" x14ac:dyDescent="0.25">
      <c r="A5871" s="417">
        <v>41547</v>
      </c>
      <c r="B5871" s="418">
        <v>2.478009259259259E-2</v>
      </c>
      <c r="C5871" s="421" t="s">
        <v>1409</v>
      </c>
    </row>
    <row r="5872" spans="1:3" x14ac:dyDescent="0.25">
      <c r="A5872" s="417">
        <v>41547</v>
      </c>
      <c r="B5872" s="418">
        <v>2.479166666666667E-2</v>
      </c>
      <c r="C5872" s="421" t="s">
        <v>1416</v>
      </c>
    </row>
    <row r="5873" spans="1:3" x14ac:dyDescent="0.25">
      <c r="A5873" s="417">
        <v>41547</v>
      </c>
      <c r="B5873" s="418">
        <v>2.479166666666667E-2</v>
      </c>
      <c r="C5873" s="421" t="s">
        <v>1543</v>
      </c>
    </row>
    <row r="5874" spans="1:3" x14ac:dyDescent="0.25">
      <c r="A5874" s="417">
        <v>41547</v>
      </c>
      <c r="B5874" s="418">
        <v>2.480324074074074E-2</v>
      </c>
      <c r="C5874" s="421" t="s">
        <v>1348</v>
      </c>
    </row>
    <row r="5875" spans="1:3" x14ac:dyDescent="0.25">
      <c r="A5875" s="417">
        <v>41547</v>
      </c>
      <c r="B5875" s="418">
        <v>2.480324074074074E-2</v>
      </c>
      <c r="C5875" s="421" t="s">
        <v>1419</v>
      </c>
    </row>
    <row r="5876" spans="1:3" x14ac:dyDescent="0.25">
      <c r="A5876" s="417">
        <v>41547</v>
      </c>
      <c r="B5876" s="418">
        <v>2.480324074074074E-2</v>
      </c>
      <c r="C5876" s="421" t="s">
        <v>1419</v>
      </c>
    </row>
    <row r="5877" spans="1:3" x14ac:dyDescent="0.25">
      <c r="A5877" s="417">
        <v>41547</v>
      </c>
      <c r="B5877" s="418">
        <v>2.480324074074074E-2</v>
      </c>
      <c r="C5877" s="421" t="s">
        <v>1420</v>
      </c>
    </row>
    <row r="5878" spans="1:3" x14ac:dyDescent="0.25">
      <c r="A5878" s="417">
        <v>41547</v>
      </c>
      <c r="B5878" s="418">
        <v>2.4826388888888887E-2</v>
      </c>
      <c r="C5878" s="421" t="s">
        <v>1722</v>
      </c>
    </row>
    <row r="5879" spans="1:3" x14ac:dyDescent="0.25">
      <c r="A5879" s="417">
        <v>41547</v>
      </c>
      <c r="B5879" s="418">
        <v>2.4826388888888887E-2</v>
      </c>
      <c r="C5879" s="421" t="s">
        <v>1723</v>
      </c>
    </row>
    <row r="5880" spans="1:3" x14ac:dyDescent="0.25">
      <c r="A5880" s="417">
        <v>41547</v>
      </c>
      <c r="B5880" s="418">
        <v>2.4826388888888887E-2</v>
      </c>
      <c r="C5880" s="421" t="s">
        <v>1816</v>
      </c>
    </row>
    <row r="5881" spans="1:3" x14ac:dyDescent="0.25">
      <c r="A5881" s="417">
        <v>41547</v>
      </c>
      <c r="B5881" s="418">
        <v>2.4837962962962964E-2</v>
      </c>
      <c r="C5881" s="421" t="s">
        <v>1624</v>
      </c>
    </row>
    <row r="5882" spans="1:3" x14ac:dyDescent="0.25">
      <c r="A5882" s="417">
        <v>41547</v>
      </c>
      <c r="B5882" s="418">
        <v>2.4849537037037035E-2</v>
      </c>
      <c r="C5882" s="421" t="s">
        <v>1817</v>
      </c>
    </row>
    <row r="5883" spans="1:3" x14ac:dyDescent="0.25">
      <c r="A5883" s="417">
        <v>41547</v>
      </c>
      <c r="B5883" s="418">
        <v>2.4849537037037035E-2</v>
      </c>
      <c r="C5883" s="421" t="s">
        <v>1818</v>
      </c>
    </row>
    <row r="5884" spans="1:3" x14ac:dyDescent="0.25">
      <c r="A5884" s="417">
        <v>41547</v>
      </c>
      <c r="B5884" s="418">
        <v>2.4849537037037035E-2</v>
      </c>
      <c r="C5884" s="421" t="s">
        <v>1727</v>
      </c>
    </row>
    <row r="5885" spans="1:3" x14ac:dyDescent="0.25">
      <c r="A5885" s="417">
        <v>41547</v>
      </c>
      <c r="B5885" s="418">
        <v>2.4849537037037035E-2</v>
      </c>
      <c r="C5885" s="421" t="s">
        <v>1819</v>
      </c>
    </row>
    <row r="5886" spans="1:3" x14ac:dyDescent="0.25">
      <c r="A5886" s="417">
        <v>41547</v>
      </c>
      <c r="B5886" s="418">
        <v>2.4861111111111108E-2</v>
      </c>
      <c r="C5886" s="421" t="s">
        <v>1320</v>
      </c>
    </row>
    <row r="5887" spans="1:3" x14ac:dyDescent="0.25">
      <c r="A5887" s="417">
        <v>41547</v>
      </c>
      <c r="B5887" s="418">
        <v>2.4861111111111108E-2</v>
      </c>
      <c r="C5887" s="421" t="s">
        <v>1429</v>
      </c>
    </row>
    <row r="5888" spans="1:3" x14ac:dyDescent="0.25">
      <c r="A5888" s="417">
        <v>41547</v>
      </c>
      <c r="B5888" s="418">
        <v>2.4872685185185189E-2</v>
      </c>
      <c r="C5888" s="421" t="s">
        <v>1430</v>
      </c>
    </row>
    <row r="5889" spans="1:3" x14ac:dyDescent="0.25">
      <c r="A5889" s="417">
        <v>41547</v>
      </c>
      <c r="B5889" s="418">
        <v>2.4884259259259259E-2</v>
      </c>
      <c r="C5889" s="421" t="s">
        <v>1820</v>
      </c>
    </row>
    <row r="5890" spans="1:3" x14ac:dyDescent="0.25">
      <c r="A5890" s="417">
        <v>41547</v>
      </c>
      <c r="B5890" s="418">
        <v>2.4930555555555553E-2</v>
      </c>
      <c r="C5890" s="421" t="s">
        <v>1308</v>
      </c>
    </row>
    <row r="5891" spans="1:3" x14ac:dyDescent="0.25">
      <c r="A5891" s="417">
        <v>41547</v>
      </c>
      <c r="B5891" s="418">
        <v>2.494212962962963E-2</v>
      </c>
      <c r="C5891" s="421" t="s">
        <v>1360</v>
      </c>
    </row>
    <row r="5892" spans="1:3" x14ac:dyDescent="0.25">
      <c r="A5892" s="417">
        <v>41547</v>
      </c>
      <c r="B5892" s="418">
        <v>2.494212962962963E-2</v>
      </c>
      <c r="C5892" s="421" t="s">
        <v>1432</v>
      </c>
    </row>
    <row r="5893" spans="1:3" x14ac:dyDescent="0.25">
      <c r="A5893" s="417">
        <v>41547</v>
      </c>
      <c r="B5893" s="418">
        <v>2.494212962962963E-2</v>
      </c>
      <c r="C5893" s="421" t="s">
        <v>1432</v>
      </c>
    </row>
    <row r="5894" spans="1:3" x14ac:dyDescent="0.25">
      <c r="A5894" s="417">
        <v>41547</v>
      </c>
      <c r="B5894" s="418">
        <v>2.494212962962963E-2</v>
      </c>
      <c r="C5894" s="421" t="s">
        <v>1432</v>
      </c>
    </row>
    <row r="5895" spans="1:3" x14ac:dyDescent="0.25">
      <c r="A5895" s="417">
        <v>41547</v>
      </c>
      <c r="B5895" s="418">
        <v>2.494212962962963E-2</v>
      </c>
      <c r="C5895" s="421" t="s">
        <v>1822</v>
      </c>
    </row>
    <row r="5896" spans="1:3" x14ac:dyDescent="0.25">
      <c r="A5896" s="417">
        <v>41547</v>
      </c>
      <c r="B5896" s="418">
        <v>2.49537037037037E-2</v>
      </c>
      <c r="C5896" s="421" t="s">
        <v>1413</v>
      </c>
    </row>
    <row r="5897" spans="1:3" x14ac:dyDescent="0.25">
      <c r="A5897" s="417">
        <v>41547</v>
      </c>
      <c r="B5897" s="418">
        <v>2.4965277777777781E-2</v>
      </c>
      <c r="C5897" s="421" t="s">
        <v>1550</v>
      </c>
    </row>
    <row r="5898" spans="1:3" x14ac:dyDescent="0.25">
      <c r="A5898" s="417">
        <v>41547</v>
      </c>
      <c r="B5898" s="418">
        <v>2.4965277777777781E-2</v>
      </c>
      <c r="C5898" s="421" t="s">
        <v>1731</v>
      </c>
    </row>
    <row r="5899" spans="1:3" x14ac:dyDescent="0.25">
      <c r="A5899" s="417">
        <v>41547</v>
      </c>
      <c r="B5899" s="418">
        <v>2.4965277777777781E-2</v>
      </c>
      <c r="C5899" s="421" t="s">
        <v>1732</v>
      </c>
    </row>
    <row r="5900" spans="1:3" x14ac:dyDescent="0.25">
      <c r="A5900" s="417">
        <v>41547</v>
      </c>
      <c r="B5900" s="418">
        <v>2.4965277777777781E-2</v>
      </c>
      <c r="C5900" s="421" t="s">
        <v>1733</v>
      </c>
    </row>
    <row r="5901" spans="1:3" x14ac:dyDescent="0.25">
      <c r="A5901" s="417">
        <v>41547</v>
      </c>
      <c r="B5901" s="418">
        <v>2.4965277777777781E-2</v>
      </c>
      <c r="C5901" s="421" t="s">
        <v>1824</v>
      </c>
    </row>
    <row r="5902" spans="1:3" x14ac:dyDescent="0.25">
      <c r="A5902" s="417">
        <v>41547</v>
      </c>
      <c r="B5902" s="418">
        <v>2.4965277777777781E-2</v>
      </c>
      <c r="C5902" s="421" t="s">
        <v>1825</v>
      </c>
    </row>
    <row r="5903" spans="1:3" x14ac:dyDescent="0.25">
      <c r="A5903" s="417">
        <v>41547</v>
      </c>
      <c r="B5903" s="418">
        <v>2.4976851851851851E-2</v>
      </c>
      <c r="C5903" s="421" t="s">
        <v>1418</v>
      </c>
    </row>
    <row r="5904" spans="1:3" x14ac:dyDescent="0.25">
      <c r="A5904" s="417">
        <v>41547</v>
      </c>
      <c r="B5904" s="418">
        <v>2.5011574074074075E-2</v>
      </c>
      <c r="C5904" s="421" t="s">
        <v>1826</v>
      </c>
    </row>
    <row r="5905" spans="1:3" x14ac:dyDescent="0.25">
      <c r="A5905" s="417">
        <v>41547</v>
      </c>
      <c r="B5905" s="418">
        <v>2.5069444444444446E-2</v>
      </c>
      <c r="C5905" s="421" t="s">
        <v>1827</v>
      </c>
    </row>
    <row r="5906" spans="1:3" x14ac:dyDescent="0.25">
      <c r="A5906" s="417">
        <v>41547</v>
      </c>
      <c r="B5906" s="418">
        <v>2.508101851851852E-2</v>
      </c>
      <c r="C5906" s="421" t="s">
        <v>1320</v>
      </c>
    </row>
    <row r="5907" spans="1:3" x14ac:dyDescent="0.25">
      <c r="A5907" s="417">
        <v>41547</v>
      </c>
      <c r="B5907" s="418">
        <v>2.5162037037037038E-2</v>
      </c>
      <c r="C5907" s="421" t="s">
        <v>1739</v>
      </c>
    </row>
    <row r="5908" spans="1:3" x14ac:dyDescent="0.25">
      <c r="A5908" s="417">
        <v>41547</v>
      </c>
      <c r="B5908" s="418">
        <v>2.5162037037037038E-2</v>
      </c>
      <c r="C5908" s="421" t="s">
        <v>1740</v>
      </c>
    </row>
    <row r="5909" spans="1:3" x14ac:dyDescent="0.25">
      <c r="A5909" s="417">
        <v>41547</v>
      </c>
      <c r="B5909" s="418">
        <v>2.5162037037037038E-2</v>
      </c>
      <c r="C5909" s="421" t="s">
        <v>1741</v>
      </c>
    </row>
    <row r="5910" spans="1:3" x14ac:dyDescent="0.25">
      <c r="A5910" s="417">
        <v>41547</v>
      </c>
      <c r="B5910" s="418">
        <v>2.5162037037037038E-2</v>
      </c>
      <c r="C5910" s="421" t="s">
        <v>1828</v>
      </c>
    </row>
    <row r="5911" spans="1:3" x14ac:dyDescent="0.25">
      <c r="A5911" s="417">
        <v>41547</v>
      </c>
      <c r="B5911" s="418">
        <v>2.5185185185185185E-2</v>
      </c>
      <c r="C5911" s="421" t="s">
        <v>1446</v>
      </c>
    </row>
    <row r="5912" spans="1:3" x14ac:dyDescent="0.25">
      <c r="A5912" s="417">
        <v>41547</v>
      </c>
      <c r="B5912" s="418">
        <v>2.5289351851851851E-2</v>
      </c>
      <c r="C5912" s="421" t="s">
        <v>1742</v>
      </c>
    </row>
    <row r="5913" spans="1:3" x14ac:dyDescent="0.25">
      <c r="A5913" s="417">
        <v>41547</v>
      </c>
      <c r="B5913" s="418">
        <v>2.5289351851851851E-2</v>
      </c>
      <c r="C5913" s="421" t="s">
        <v>1389</v>
      </c>
    </row>
    <row r="5914" spans="1:3" x14ac:dyDescent="0.25">
      <c r="A5914" s="417">
        <v>41547</v>
      </c>
      <c r="B5914" s="418">
        <v>2.5300925925925925E-2</v>
      </c>
      <c r="C5914" s="421" t="s">
        <v>1448</v>
      </c>
    </row>
    <row r="5915" spans="1:3" x14ac:dyDescent="0.25">
      <c r="A5915" s="417">
        <v>41547</v>
      </c>
      <c r="B5915" s="418">
        <v>2.5312500000000002E-2</v>
      </c>
      <c r="C5915" s="421" t="s">
        <v>1450</v>
      </c>
    </row>
    <row r="5916" spans="1:3" x14ac:dyDescent="0.25">
      <c r="A5916" s="417">
        <v>41547</v>
      </c>
      <c r="B5916" s="418">
        <v>2.5312500000000002E-2</v>
      </c>
      <c r="C5916" s="421" t="s">
        <v>1450</v>
      </c>
    </row>
    <row r="5917" spans="1:3" x14ac:dyDescent="0.25">
      <c r="A5917" s="417">
        <v>41547</v>
      </c>
      <c r="B5917" s="418">
        <v>2.5312500000000002E-2</v>
      </c>
      <c r="C5917" s="421" t="s">
        <v>1450</v>
      </c>
    </row>
    <row r="5918" spans="1:3" x14ac:dyDescent="0.25">
      <c r="A5918" s="417">
        <v>41547</v>
      </c>
      <c r="B5918" s="418">
        <v>2.5312500000000002E-2</v>
      </c>
      <c r="C5918" s="421" t="s">
        <v>1450</v>
      </c>
    </row>
    <row r="5919" spans="1:3" x14ac:dyDescent="0.25">
      <c r="A5919" s="417">
        <v>41547</v>
      </c>
      <c r="B5919" s="418">
        <v>2.5312500000000002E-2</v>
      </c>
      <c r="C5919" s="421" t="s">
        <v>1450</v>
      </c>
    </row>
    <row r="5920" spans="1:3" x14ac:dyDescent="0.25">
      <c r="A5920" s="417">
        <v>41547</v>
      </c>
      <c r="B5920" s="418">
        <v>2.5312500000000002E-2</v>
      </c>
      <c r="C5920" s="421" t="s">
        <v>1450</v>
      </c>
    </row>
    <row r="5921" spans="1:3" x14ac:dyDescent="0.25">
      <c r="A5921" s="417">
        <v>41547</v>
      </c>
      <c r="B5921" s="418">
        <v>2.5312500000000002E-2</v>
      </c>
      <c r="C5921" s="421" t="s">
        <v>1450</v>
      </c>
    </row>
    <row r="5922" spans="1:3" x14ac:dyDescent="0.25">
      <c r="A5922" s="417">
        <v>41547</v>
      </c>
      <c r="B5922" s="418">
        <v>2.5497685185185189E-2</v>
      </c>
      <c r="C5922" s="421" t="s">
        <v>1448</v>
      </c>
    </row>
    <row r="5923" spans="1:3" x14ac:dyDescent="0.25">
      <c r="A5923" s="417">
        <v>41547</v>
      </c>
      <c r="B5923" s="418">
        <v>2.5532407407407406E-2</v>
      </c>
      <c r="C5923" s="421" t="s">
        <v>1399</v>
      </c>
    </row>
    <row r="5924" spans="1:3" x14ac:dyDescent="0.25">
      <c r="A5924" s="417">
        <v>41547</v>
      </c>
      <c r="B5924" s="418">
        <v>2.5567129629629634E-2</v>
      </c>
      <c r="C5924" s="421" t="s">
        <v>1309</v>
      </c>
    </row>
    <row r="5925" spans="1:3" x14ac:dyDescent="0.25">
      <c r="A5925" s="417">
        <v>41547</v>
      </c>
      <c r="B5925" s="418">
        <v>2.5578703703703704E-2</v>
      </c>
      <c r="C5925" s="421" t="s">
        <v>1830</v>
      </c>
    </row>
    <row r="5926" spans="1:3" x14ac:dyDescent="0.25">
      <c r="A5926" s="417">
        <v>41547</v>
      </c>
      <c r="B5926" s="418">
        <v>2.5578703703703704E-2</v>
      </c>
      <c r="C5926" s="421" t="s">
        <v>1307</v>
      </c>
    </row>
    <row r="5927" spans="1:3" x14ac:dyDescent="0.25">
      <c r="A5927" s="417">
        <v>41547</v>
      </c>
      <c r="B5927" s="418">
        <v>2.5706018518518517E-2</v>
      </c>
      <c r="C5927" s="421" t="s">
        <v>1835</v>
      </c>
    </row>
    <row r="5928" spans="1:3" x14ac:dyDescent="0.25">
      <c r="A5928" s="417">
        <v>41547</v>
      </c>
      <c r="B5928" s="418">
        <v>2.5717592592592594E-2</v>
      </c>
      <c r="C5928" s="421" t="s">
        <v>1836</v>
      </c>
    </row>
    <row r="5929" spans="1:3" x14ac:dyDescent="0.25">
      <c r="A5929" s="417">
        <v>41547</v>
      </c>
      <c r="B5929" s="418">
        <v>2.5729166666666664E-2</v>
      </c>
      <c r="C5929" s="421" t="s">
        <v>1771</v>
      </c>
    </row>
    <row r="5930" spans="1:3" ht="30" x14ac:dyDescent="0.25">
      <c r="A5930" s="417">
        <v>41547</v>
      </c>
      <c r="B5930" s="418">
        <v>3.9270833333333331E-2</v>
      </c>
      <c r="C5930" s="946" t="s">
        <v>1837</v>
      </c>
    </row>
    <row r="5931" spans="1:3" ht="45" x14ac:dyDescent="0.25">
      <c r="A5931" s="417">
        <v>41547</v>
      </c>
      <c r="B5931" s="418">
        <v>4.0393518518518516E-2</v>
      </c>
      <c r="C5931" s="946" t="s">
        <v>1838</v>
      </c>
    </row>
    <row r="5932" spans="1:3" ht="30" x14ac:dyDescent="0.25">
      <c r="A5932" s="417">
        <v>41547</v>
      </c>
      <c r="B5932" s="418">
        <v>4.0983796296296296E-2</v>
      </c>
      <c r="C5932" s="946" t="s">
        <v>1839</v>
      </c>
    </row>
    <row r="5933" spans="1:3" ht="45" x14ac:dyDescent="0.25">
      <c r="A5933" s="417">
        <v>41547</v>
      </c>
      <c r="B5933" s="418">
        <v>4.1840277777777775E-2</v>
      </c>
      <c r="C5933" s="946" t="s">
        <v>1840</v>
      </c>
    </row>
    <row r="5934" spans="1:3" ht="45" x14ac:dyDescent="0.25">
      <c r="A5934" s="417">
        <v>41547</v>
      </c>
      <c r="B5934" s="418">
        <v>4.6643518518518522E-2</v>
      </c>
      <c r="C5934" s="946" t="s">
        <v>1841</v>
      </c>
    </row>
    <row r="5935" spans="1:3" ht="45" x14ac:dyDescent="0.25">
      <c r="A5935" s="417">
        <v>41547</v>
      </c>
      <c r="B5935" s="418">
        <v>0.90900462962962969</v>
      </c>
      <c r="C5935" s="946" t="s">
        <v>1842</v>
      </c>
    </row>
    <row r="5936" spans="1:3" x14ac:dyDescent="0.25">
      <c r="A5936" s="417">
        <v>41547</v>
      </c>
      <c r="B5936" s="418">
        <v>0.91293981481481479</v>
      </c>
      <c r="C5936" s="421" t="s">
        <v>1843</v>
      </c>
    </row>
    <row r="5937" spans="1:3" ht="60" x14ac:dyDescent="0.25">
      <c r="A5937" s="417">
        <v>41547</v>
      </c>
      <c r="B5937" s="418">
        <v>0.91293981481481479</v>
      </c>
      <c r="C5937" s="946" t="s">
        <v>1844</v>
      </c>
    </row>
    <row r="5938" spans="1:3" x14ac:dyDescent="0.25">
      <c r="A5938" s="417">
        <v>41547</v>
      </c>
      <c r="B5938" s="418">
        <v>0.91322916666666665</v>
      </c>
      <c r="C5938" s="421" t="s">
        <v>1845</v>
      </c>
    </row>
    <row r="5939" spans="1:3" x14ac:dyDescent="0.25">
      <c r="A5939" s="417">
        <v>41547</v>
      </c>
      <c r="B5939" s="418">
        <v>0.91322916666666665</v>
      </c>
      <c r="C5939" s="421" t="s">
        <v>1804</v>
      </c>
    </row>
    <row r="5940" spans="1:3" ht="60" x14ac:dyDescent="0.25">
      <c r="A5940" s="417">
        <v>41547</v>
      </c>
      <c r="B5940" s="418">
        <v>0.91322916666666665</v>
      </c>
      <c r="C5940" s="946" t="s">
        <v>1846</v>
      </c>
    </row>
    <row r="5941" spans="1:3" x14ac:dyDescent="0.25">
      <c r="A5941" s="417">
        <v>41547</v>
      </c>
      <c r="B5941" s="418">
        <v>0.9132407407407408</v>
      </c>
      <c r="C5941" s="421" t="s">
        <v>1843</v>
      </c>
    </row>
    <row r="5942" spans="1:3" ht="60" x14ac:dyDescent="0.25">
      <c r="A5942" s="417">
        <v>41547</v>
      </c>
      <c r="B5942" s="418">
        <v>0.9132407407407408</v>
      </c>
      <c r="C5942" s="946" t="s">
        <v>1847</v>
      </c>
    </row>
    <row r="5943" spans="1:3" x14ac:dyDescent="0.25">
      <c r="A5943" s="417">
        <v>41547</v>
      </c>
      <c r="B5943" s="418">
        <v>0.91327546296296302</v>
      </c>
      <c r="C5943" s="421" t="s">
        <v>1804</v>
      </c>
    </row>
    <row r="5944" spans="1:3" ht="60" x14ac:dyDescent="0.25">
      <c r="A5944" s="417">
        <v>41547</v>
      </c>
      <c r="B5944" s="418">
        <v>0.91327546296296302</v>
      </c>
      <c r="C5944" s="946" t="s">
        <v>1848</v>
      </c>
    </row>
    <row r="5945" spans="1:3" x14ac:dyDescent="0.25">
      <c r="A5945" s="417">
        <v>41547</v>
      </c>
      <c r="B5945" s="418">
        <v>0.91328703703703706</v>
      </c>
      <c r="C5945" s="421" t="s">
        <v>1849</v>
      </c>
    </row>
    <row r="5946" spans="1:3" ht="60" x14ac:dyDescent="0.25">
      <c r="A5946" s="417">
        <v>41547</v>
      </c>
      <c r="B5946" s="418">
        <v>0.91328703703703706</v>
      </c>
      <c r="C5946" s="946" t="s">
        <v>1850</v>
      </c>
    </row>
    <row r="5947" spans="1:3" x14ac:dyDescent="0.25">
      <c r="A5947" s="417">
        <v>41547</v>
      </c>
      <c r="B5947" s="418">
        <v>0.91332175925925929</v>
      </c>
      <c r="C5947" s="421" t="s">
        <v>1362</v>
      </c>
    </row>
    <row r="5948" spans="1:3" x14ac:dyDescent="0.25">
      <c r="A5948" s="417">
        <v>41547</v>
      </c>
      <c r="B5948" s="418">
        <v>0.91332175925925929</v>
      </c>
      <c r="C5948" s="421" t="s">
        <v>1804</v>
      </c>
    </row>
    <row r="5949" spans="1:3" ht="60" x14ac:dyDescent="0.25">
      <c r="A5949" s="417">
        <v>41547</v>
      </c>
      <c r="B5949" s="418">
        <v>0.91332175925925929</v>
      </c>
      <c r="C5949" s="946" t="s">
        <v>1851</v>
      </c>
    </row>
    <row r="5950" spans="1:3" x14ac:dyDescent="0.25">
      <c r="A5950" s="417">
        <v>41547</v>
      </c>
      <c r="B5950" s="418">
        <v>0.91333333333333344</v>
      </c>
      <c r="C5950" s="421" t="s">
        <v>1852</v>
      </c>
    </row>
    <row r="5951" spans="1:3" ht="60" x14ac:dyDescent="0.25">
      <c r="A5951" s="417">
        <v>41547</v>
      </c>
      <c r="B5951" s="418">
        <v>0.91333333333333344</v>
      </c>
      <c r="C5951" s="946" t="s">
        <v>1853</v>
      </c>
    </row>
    <row r="5952" spans="1:3" x14ac:dyDescent="0.25">
      <c r="A5952" s="417">
        <v>41547</v>
      </c>
      <c r="B5952" s="418">
        <v>0.91334490740740737</v>
      </c>
      <c r="C5952" s="421" t="s">
        <v>1854</v>
      </c>
    </row>
    <row r="5953" spans="1:3" ht="60" x14ac:dyDescent="0.25">
      <c r="A5953" s="417">
        <v>41547</v>
      </c>
      <c r="B5953" s="418">
        <v>0.91334490740740737</v>
      </c>
      <c r="C5953" s="946" t="s">
        <v>1855</v>
      </c>
    </row>
    <row r="5954" spans="1:3" x14ac:dyDescent="0.25">
      <c r="A5954" s="417">
        <v>41547</v>
      </c>
      <c r="B5954" s="418">
        <v>0.91336805555555556</v>
      </c>
      <c r="C5954" s="421" t="s">
        <v>1854</v>
      </c>
    </row>
    <row r="5955" spans="1:3" ht="60" x14ac:dyDescent="0.25">
      <c r="A5955" s="417">
        <v>41547</v>
      </c>
      <c r="B5955" s="418">
        <v>0.91336805555555556</v>
      </c>
      <c r="C5955" s="946" t="s">
        <v>1856</v>
      </c>
    </row>
    <row r="5956" spans="1:3" x14ac:dyDescent="0.25">
      <c r="A5956" s="417">
        <v>41547</v>
      </c>
      <c r="B5956" s="418">
        <v>0.9133796296296296</v>
      </c>
      <c r="C5956" s="421" t="s">
        <v>1307</v>
      </c>
    </row>
    <row r="5957" spans="1:3" x14ac:dyDescent="0.25">
      <c r="A5957" s="417">
        <v>41547</v>
      </c>
      <c r="B5957" s="418">
        <v>0.9133796296296296</v>
      </c>
      <c r="C5957" s="421" t="s">
        <v>1782</v>
      </c>
    </row>
    <row r="5958" spans="1:3" ht="60" x14ac:dyDescent="0.25">
      <c r="A5958" s="417">
        <v>41547</v>
      </c>
      <c r="B5958" s="418">
        <v>0.9133796296296296</v>
      </c>
      <c r="C5958" s="946" t="s">
        <v>1857</v>
      </c>
    </row>
    <row r="5959" spans="1:3" x14ac:dyDescent="0.25">
      <c r="A5959" s="417">
        <v>41547</v>
      </c>
      <c r="B5959" s="418">
        <v>0.91339120370370364</v>
      </c>
      <c r="C5959" s="421" t="s">
        <v>1308</v>
      </c>
    </row>
    <row r="5960" spans="1:3" x14ac:dyDescent="0.25">
      <c r="A5960" s="417">
        <v>41547</v>
      </c>
      <c r="B5960" s="418">
        <v>0.91339120370370364</v>
      </c>
      <c r="C5960" s="421" t="s">
        <v>1309</v>
      </c>
    </row>
    <row r="5961" spans="1:3" x14ac:dyDescent="0.25">
      <c r="A5961" s="417">
        <v>41547</v>
      </c>
      <c r="B5961" s="418">
        <v>0.91339120370370364</v>
      </c>
      <c r="C5961" s="421" t="s">
        <v>1310</v>
      </c>
    </row>
    <row r="5962" spans="1:3" x14ac:dyDescent="0.25">
      <c r="A5962" s="417">
        <v>41547</v>
      </c>
      <c r="B5962" s="418">
        <v>0.91339120370370364</v>
      </c>
      <c r="C5962" s="421" t="s">
        <v>1311</v>
      </c>
    </row>
    <row r="5963" spans="1:3" x14ac:dyDescent="0.25">
      <c r="A5963" s="417">
        <v>41547</v>
      </c>
      <c r="B5963" s="418">
        <v>0.91339120370370364</v>
      </c>
      <c r="C5963" s="421" t="s">
        <v>1312</v>
      </c>
    </row>
    <row r="5964" spans="1:3" x14ac:dyDescent="0.25">
      <c r="A5964" s="417">
        <v>41547</v>
      </c>
      <c r="B5964" s="418">
        <v>0.91339120370370364</v>
      </c>
      <c r="C5964" s="421" t="s">
        <v>1313</v>
      </c>
    </row>
    <row r="5965" spans="1:3" x14ac:dyDescent="0.25">
      <c r="A5965" s="417">
        <v>41547</v>
      </c>
      <c r="B5965" s="418">
        <v>0.91339120370370364</v>
      </c>
      <c r="C5965" s="421" t="s">
        <v>1310</v>
      </c>
    </row>
    <row r="5966" spans="1:3" x14ac:dyDescent="0.25">
      <c r="A5966" s="417">
        <v>41547</v>
      </c>
      <c r="B5966" s="418">
        <v>0.91339120370370364</v>
      </c>
      <c r="C5966" s="421" t="s">
        <v>1314</v>
      </c>
    </row>
    <row r="5967" spans="1:3" x14ac:dyDescent="0.25">
      <c r="A5967" s="417">
        <v>41547</v>
      </c>
      <c r="B5967" s="418">
        <v>0.91339120370370364</v>
      </c>
      <c r="C5967" s="421" t="s">
        <v>1315</v>
      </c>
    </row>
    <row r="5968" spans="1:3" x14ac:dyDescent="0.25">
      <c r="A5968" s="417">
        <v>41547</v>
      </c>
      <c r="B5968" s="418">
        <v>0.91339120370370364</v>
      </c>
      <c r="C5968" s="421" t="s">
        <v>1460</v>
      </c>
    </row>
    <row r="5969" spans="1:3" x14ac:dyDescent="0.25">
      <c r="A5969" s="417">
        <v>41547</v>
      </c>
      <c r="B5969" s="418">
        <v>0.91339120370370364</v>
      </c>
      <c r="C5969" s="421" t="s">
        <v>1461</v>
      </c>
    </row>
    <row r="5970" spans="1:3" x14ac:dyDescent="0.25">
      <c r="A5970" s="417">
        <v>41547</v>
      </c>
      <c r="B5970" s="418">
        <v>0.91339120370370364</v>
      </c>
      <c r="C5970" s="421" t="s">
        <v>1310</v>
      </c>
    </row>
    <row r="5971" spans="1:3" x14ac:dyDescent="0.25">
      <c r="A5971" s="417">
        <v>41547</v>
      </c>
      <c r="B5971" s="418">
        <v>0.91339120370370364</v>
      </c>
      <c r="C5971" s="421" t="s">
        <v>1462</v>
      </c>
    </row>
    <row r="5972" spans="1:3" x14ac:dyDescent="0.25">
      <c r="A5972" s="417">
        <v>41547</v>
      </c>
      <c r="B5972" s="418">
        <v>0.91339120370370364</v>
      </c>
      <c r="C5972" s="421" t="s">
        <v>1316</v>
      </c>
    </row>
    <row r="5973" spans="1:3" x14ac:dyDescent="0.25">
      <c r="A5973" s="417">
        <v>41547</v>
      </c>
      <c r="B5973" s="418">
        <v>0.91339120370370364</v>
      </c>
      <c r="C5973" s="421" t="s">
        <v>1316</v>
      </c>
    </row>
    <row r="5974" spans="1:3" x14ac:dyDescent="0.25">
      <c r="A5974" s="417">
        <v>41547</v>
      </c>
      <c r="B5974" s="418">
        <v>0.91339120370370364</v>
      </c>
      <c r="C5974" s="421" t="s">
        <v>1317</v>
      </c>
    </row>
    <row r="5975" spans="1:3" x14ac:dyDescent="0.25">
      <c r="A5975" s="417">
        <v>41547</v>
      </c>
      <c r="B5975" s="418">
        <v>0.91339120370370364</v>
      </c>
      <c r="C5975" s="421" t="s">
        <v>1309</v>
      </c>
    </row>
    <row r="5976" spans="1:3" x14ac:dyDescent="0.25">
      <c r="A5976" s="417">
        <v>41547</v>
      </c>
      <c r="B5976" s="418">
        <v>0.91339120370370364</v>
      </c>
      <c r="C5976" s="421" t="s">
        <v>1318</v>
      </c>
    </row>
    <row r="5977" spans="1:3" x14ac:dyDescent="0.25">
      <c r="A5977" s="417">
        <v>41547</v>
      </c>
      <c r="B5977" s="418">
        <v>0.91339120370370364</v>
      </c>
      <c r="C5977" s="421" t="s">
        <v>1319</v>
      </c>
    </row>
    <row r="5978" spans="1:3" x14ac:dyDescent="0.25">
      <c r="A5978" s="417">
        <v>41547</v>
      </c>
      <c r="B5978" s="418">
        <v>0.91339120370370364</v>
      </c>
      <c r="C5978" s="421" t="s">
        <v>1320</v>
      </c>
    </row>
    <row r="5979" spans="1:3" x14ac:dyDescent="0.25">
      <c r="A5979" s="417">
        <v>41547</v>
      </c>
      <c r="B5979" s="418">
        <v>0.91339120370370364</v>
      </c>
      <c r="C5979" s="421" t="s">
        <v>1318</v>
      </c>
    </row>
    <row r="5980" spans="1:3" x14ac:dyDescent="0.25">
      <c r="A5980" s="417">
        <v>41547</v>
      </c>
      <c r="B5980" s="418">
        <v>0.91339120370370364</v>
      </c>
      <c r="C5980" s="421" t="s">
        <v>1307</v>
      </c>
    </row>
    <row r="5981" spans="1:3" x14ac:dyDescent="0.25">
      <c r="A5981" s="417">
        <v>41547</v>
      </c>
      <c r="B5981" s="418">
        <v>0.91339120370370364</v>
      </c>
      <c r="C5981" s="421" t="s">
        <v>1784</v>
      </c>
    </row>
    <row r="5982" spans="1:3" ht="60" x14ac:dyDescent="0.25">
      <c r="A5982" s="417">
        <v>41547</v>
      </c>
      <c r="B5982" s="418">
        <v>0.91339120370370364</v>
      </c>
      <c r="C5982" s="946" t="s">
        <v>1858</v>
      </c>
    </row>
    <row r="5983" spans="1:3" x14ac:dyDescent="0.25">
      <c r="A5983" s="417">
        <v>41547</v>
      </c>
      <c r="B5983" s="418">
        <v>0.91340277777777779</v>
      </c>
      <c r="C5983" s="421" t="s">
        <v>1362</v>
      </c>
    </row>
    <row r="5984" spans="1:3" x14ac:dyDescent="0.25">
      <c r="A5984" s="417">
        <v>41547</v>
      </c>
      <c r="B5984" s="418">
        <v>0.91340277777777779</v>
      </c>
      <c r="C5984" s="421" t="s">
        <v>1804</v>
      </c>
    </row>
    <row r="5985" spans="1:3" ht="60" x14ac:dyDescent="0.25">
      <c r="A5985" s="417">
        <v>41547</v>
      </c>
      <c r="B5985" s="418">
        <v>0.91340277777777779</v>
      </c>
      <c r="C5985" s="946" t="s">
        <v>1859</v>
      </c>
    </row>
    <row r="5986" spans="1:3" x14ac:dyDescent="0.25">
      <c r="A5986" s="417">
        <v>41547</v>
      </c>
      <c r="B5986" s="418">
        <v>0.91394675925925928</v>
      </c>
      <c r="C5986" s="421" t="s">
        <v>1843</v>
      </c>
    </row>
    <row r="5987" spans="1:3" ht="60" x14ac:dyDescent="0.25">
      <c r="A5987" s="417">
        <v>41547</v>
      </c>
      <c r="B5987" s="418">
        <v>0.91394675925925928</v>
      </c>
      <c r="C5987" s="946" t="s">
        <v>1844</v>
      </c>
    </row>
    <row r="5988" spans="1:3" ht="45" x14ac:dyDescent="0.25">
      <c r="A5988" s="417">
        <v>41547</v>
      </c>
      <c r="B5988" s="418">
        <v>0.91907407407407404</v>
      </c>
      <c r="C5988" s="946" t="s">
        <v>1860</v>
      </c>
    </row>
    <row r="5989" spans="1:3" ht="30" x14ac:dyDescent="0.25">
      <c r="A5989" s="417">
        <v>41547</v>
      </c>
      <c r="B5989" s="418">
        <v>0.92090277777777774</v>
      </c>
      <c r="C5989" s="946" t="s">
        <v>1861</v>
      </c>
    </row>
    <row r="5990" spans="1:3" x14ac:dyDescent="0.25">
      <c r="A5990" s="417">
        <v>41547</v>
      </c>
      <c r="B5990" s="418">
        <v>0.92290509259259268</v>
      </c>
      <c r="C5990" s="421" t="s">
        <v>1307</v>
      </c>
    </row>
    <row r="5991" spans="1:3" x14ac:dyDescent="0.25">
      <c r="A5991" s="417">
        <v>41547</v>
      </c>
      <c r="B5991" s="418">
        <v>0.92291666666666661</v>
      </c>
      <c r="C5991" s="421" t="s">
        <v>1308</v>
      </c>
    </row>
    <row r="5992" spans="1:3" x14ac:dyDescent="0.25">
      <c r="A5992" s="417">
        <v>41547</v>
      </c>
      <c r="B5992" s="418">
        <v>0.92291666666666661</v>
      </c>
      <c r="C5992" s="421" t="s">
        <v>1309</v>
      </c>
    </row>
    <row r="5993" spans="1:3" x14ac:dyDescent="0.25">
      <c r="A5993" s="417">
        <v>41547</v>
      </c>
      <c r="B5993" s="418">
        <v>0.92291666666666661</v>
      </c>
      <c r="C5993" s="421" t="s">
        <v>1310</v>
      </c>
    </row>
    <row r="5994" spans="1:3" x14ac:dyDescent="0.25">
      <c r="A5994" s="417">
        <v>41547</v>
      </c>
      <c r="B5994" s="418">
        <v>0.92291666666666661</v>
      </c>
      <c r="C5994" s="421" t="s">
        <v>1311</v>
      </c>
    </row>
    <row r="5995" spans="1:3" x14ac:dyDescent="0.25">
      <c r="A5995" s="417">
        <v>41547</v>
      </c>
      <c r="B5995" s="418">
        <v>0.92291666666666661</v>
      </c>
      <c r="C5995" s="421" t="s">
        <v>1312</v>
      </c>
    </row>
    <row r="5996" spans="1:3" x14ac:dyDescent="0.25">
      <c r="A5996" s="417">
        <v>41547</v>
      </c>
      <c r="B5996" s="418">
        <v>0.92291666666666661</v>
      </c>
      <c r="C5996" s="421" t="s">
        <v>1313</v>
      </c>
    </row>
    <row r="5997" spans="1:3" x14ac:dyDescent="0.25">
      <c r="A5997" s="417">
        <v>41547</v>
      </c>
      <c r="B5997" s="418">
        <v>0.92291666666666661</v>
      </c>
      <c r="C5997" s="421" t="s">
        <v>1310</v>
      </c>
    </row>
    <row r="5998" spans="1:3" x14ac:dyDescent="0.25">
      <c r="A5998" s="417">
        <v>41547</v>
      </c>
      <c r="B5998" s="418">
        <v>0.92291666666666661</v>
      </c>
      <c r="C5998" s="421" t="s">
        <v>1314</v>
      </c>
    </row>
    <row r="5999" spans="1:3" x14ac:dyDescent="0.25">
      <c r="A5999" s="417">
        <v>41547</v>
      </c>
      <c r="B5999" s="418">
        <v>0.92291666666666661</v>
      </c>
      <c r="C5999" s="421" t="s">
        <v>1315</v>
      </c>
    </row>
    <row r="6000" spans="1:3" x14ac:dyDescent="0.25">
      <c r="A6000" s="417">
        <v>41547</v>
      </c>
      <c r="B6000" s="418">
        <v>0.92291666666666661</v>
      </c>
      <c r="C6000" s="421" t="s">
        <v>1460</v>
      </c>
    </row>
    <row r="6001" spans="1:3" x14ac:dyDescent="0.25">
      <c r="A6001" s="417">
        <v>41547</v>
      </c>
      <c r="B6001" s="418">
        <v>0.92291666666666661</v>
      </c>
      <c r="C6001" s="421" t="s">
        <v>1461</v>
      </c>
    </row>
    <row r="6002" spans="1:3" x14ac:dyDescent="0.25">
      <c r="A6002" s="417">
        <v>41547</v>
      </c>
      <c r="B6002" s="418">
        <v>0.92291666666666661</v>
      </c>
      <c r="C6002" s="421" t="s">
        <v>1310</v>
      </c>
    </row>
    <row r="6003" spans="1:3" x14ac:dyDescent="0.25">
      <c r="A6003" s="417">
        <v>41547</v>
      </c>
      <c r="B6003" s="418">
        <v>0.92291666666666661</v>
      </c>
      <c r="C6003" s="421" t="s">
        <v>1462</v>
      </c>
    </row>
    <row r="6004" spans="1:3" x14ac:dyDescent="0.25">
      <c r="A6004" s="417">
        <v>41547</v>
      </c>
      <c r="B6004" s="418">
        <v>0.92291666666666661</v>
      </c>
      <c r="C6004" s="421" t="s">
        <v>1316</v>
      </c>
    </row>
    <row r="6005" spans="1:3" x14ac:dyDescent="0.25">
      <c r="A6005" s="417">
        <v>41547</v>
      </c>
      <c r="B6005" s="418">
        <v>0.92291666666666661</v>
      </c>
      <c r="C6005" s="421" t="s">
        <v>1316</v>
      </c>
    </row>
    <row r="6006" spans="1:3" x14ac:dyDescent="0.25">
      <c r="A6006" s="417">
        <v>41547</v>
      </c>
      <c r="B6006" s="418">
        <v>0.92291666666666661</v>
      </c>
      <c r="C6006" s="421" t="s">
        <v>1317</v>
      </c>
    </row>
    <row r="6007" spans="1:3" x14ac:dyDescent="0.25">
      <c r="A6007" s="417">
        <v>41547</v>
      </c>
      <c r="B6007" s="418">
        <v>0.92291666666666661</v>
      </c>
      <c r="C6007" s="421" t="s">
        <v>1309</v>
      </c>
    </row>
    <row r="6008" spans="1:3" x14ac:dyDescent="0.25">
      <c r="A6008" s="417">
        <v>41547</v>
      </c>
      <c r="B6008" s="418">
        <v>0.92291666666666661</v>
      </c>
      <c r="C6008" s="421" t="s">
        <v>1318</v>
      </c>
    </row>
    <row r="6009" spans="1:3" x14ac:dyDescent="0.25">
      <c r="A6009" s="417">
        <v>41547</v>
      </c>
      <c r="B6009" s="418">
        <v>0.92291666666666661</v>
      </c>
      <c r="C6009" s="421" t="s">
        <v>1319</v>
      </c>
    </row>
    <row r="6010" spans="1:3" x14ac:dyDescent="0.25">
      <c r="A6010" s="417">
        <v>41547</v>
      </c>
      <c r="B6010" s="418">
        <v>0.92291666666666661</v>
      </c>
      <c r="C6010" s="421" t="s">
        <v>1320</v>
      </c>
    </row>
    <row r="6011" spans="1:3" x14ac:dyDescent="0.25">
      <c r="A6011" s="417">
        <v>41547</v>
      </c>
      <c r="B6011" s="418">
        <v>0.92291666666666661</v>
      </c>
      <c r="C6011" s="421" t="s">
        <v>1318</v>
      </c>
    </row>
    <row r="6012" spans="1:3" x14ac:dyDescent="0.25">
      <c r="A6012" s="417">
        <v>41547</v>
      </c>
      <c r="B6012" s="418">
        <v>0.92291666666666661</v>
      </c>
      <c r="C6012" s="421" t="s">
        <v>1307</v>
      </c>
    </row>
    <row r="6013" spans="1:3" x14ac:dyDescent="0.25">
      <c r="A6013" s="417">
        <v>41547</v>
      </c>
      <c r="B6013" s="418">
        <v>0.92291666666666661</v>
      </c>
      <c r="C6013" s="421" t="s">
        <v>1321</v>
      </c>
    </row>
    <row r="6014" spans="1:3" x14ac:dyDescent="0.25">
      <c r="A6014" s="417">
        <v>41547</v>
      </c>
      <c r="B6014" s="418">
        <v>0.92291666666666661</v>
      </c>
      <c r="C6014" s="421" t="s">
        <v>1322</v>
      </c>
    </row>
    <row r="6015" spans="1:3" x14ac:dyDescent="0.25">
      <c r="A6015" s="417">
        <v>41547</v>
      </c>
      <c r="B6015" s="418">
        <v>0.92291666666666661</v>
      </c>
      <c r="C6015" s="421" t="s">
        <v>1322</v>
      </c>
    </row>
    <row r="6016" spans="1:3" x14ac:dyDescent="0.25">
      <c r="A6016" s="417">
        <v>41547</v>
      </c>
      <c r="B6016" s="418">
        <v>0.92291666666666661</v>
      </c>
      <c r="C6016" s="421" t="s">
        <v>1323</v>
      </c>
    </row>
    <row r="6017" spans="1:3" x14ac:dyDescent="0.25">
      <c r="A6017" s="417">
        <v>41547</v>
      </c>
      <c r="B6017" s="418">
        <v>0.92291666666666661</v>
      </c>
      <c r="C6017" s="421" t="s">
        <v>1324</v>
      </c>
    </row>
    <row r="6018" spans="1:3" x14ac:dyDescent="0.25">
      <c r="A6018" s="417">
        <v>41547</v>
      </c>
      <c r="B6018" s="418">
        <v>0.92291666666666661</v>
      </c>
      <c r="C6018" s="421" t="s">
        <v>1310</v>
      </c>
    </row>
    <row r="6019" spans="1:3" x14ac:dyDescent="0.25">
      <c r="A6019" s="417">
        <v>41547</v>
      </c>
      <c r="B6019" s="418">
        <v>0.92291666666666661</v>
      </c>
      <c r="C6019" s="421" t="s">
        <v>1325</v>
      </c>
    </row>
    <row r="6020" spans="1:3" x14ac:dyDescent="0.25">
      <c r="A6020" s="417">
        <v>41547</v>
      </c>
      <c r="B6020" s="418">
        <v>0.92291666666666661</v>
      </c>
      <c r="C6020" s="421" t="s">
        <v>1326</v>
      </c>
    </row>
    <row r="6021" spans="1:3" x14ac:dyDescent="0.25">
      <c r="A6021" s="417">
        <v>41547</v>
      </c>
      <c r="B6021" s="418">
        <v>0.92291666666666661</v>
      </c>
      <c r="C6021" s="421" t="s">
        <v>1238</v>
      </c>
    </row>
    <row r="6022" spans="1:3" x14ac:dyDescent="0.25">
      <c r="A6022" s="417">
        <v>41547</v>
      </c>
      <c r="B6022" s="418">
        <v>0.92291666666666661</v>
      </c>
      <c r="C6022" s="421" t="s">
        <v>1327</v>
      </c>
    </row>
    <row r="6023" spans="1:3" x14ac:dyDescent="0.25">
      <c r="A6023" s="417">
        <v>41547</v>
      </c>
      <c r="B6023" s="418">
        <v>0.92292824074074076</v>
      </c>
      <c r="C6023" s="421" t="s">
        <v>1323</v>
      </c>
    </row>
    <row r="6024" spans="1:3" x14ac:dyDescent="0.25">
      <c r="A6024" s="417">
        <v>41547</v>
      </c>
      <c r="B6024" s="418">
        <v>0.92292824074074076</v>
      </c>
      <c r="C6024" s="421" t="s">
        <v>1342</v>
      </c>
    </row>
    <row r="6025" spans="1:3" x14ac:dyDescent="0.25">
      <c r="A6025" s="417">
        <v>41547</v>
      </c>
      <c r="B6025" s="418">
        <v>0.92292824074074076</v>
      </c>
      <c r="C6025" s="421" t="s">
        <v>1343</v>
      </c>
    </row>
    <row r="6026" spans="1:3" x14ac:dyDescent="0.25">
      <c r="A6026" s="417">
        <v>41547</v>
      </c>
      <c r="B6026" s="418">
        <v>0.92292824074074076</v>
      </c>
      <c r="C6026" s="421" t="s">
        <v>1344</v>
      </c>
    </row>
    <row r="6027" spans="1:3" x14ac:dyDescent="0.25">
      <c r="A6027" s="417">
        <v>41547</v>
      </c>
      <c r="B6027" s="418">
        <v>0.92292824074074076</v>
      </c>
      <c r="C6027" s="421" t="s">
        <v>1344</v>
      </c>
    </row>
    <row r="6028" spans="1:3" x14ac:dyDescent="0.25">
      <c r="A6028" s="417">
        <v>41547</v>
      </c>
      <c r="B6028" s="418">
        <v>0.92292824074074076</v>
      </c>
      <c r="C6028" s="421" t="s">
        <v>1310</v>
      </c>
    </row>
    <row r="6029" spans="1:3" x14ac:dyDescent="0.25">
      <c r="A6029" s="417">
        <v>41547</v>
      </c>
      <c r="B6029" s="418">
        <v>0.92292824074074076</v>
      </c>
      <c r="C6029" s="421" t="s">
        <v>1345</v>
      </c>
    </row>
    <row r="6030" spans="1:3" x14ac:dyDescent="0.25">
      <c r="A6030" s="417">
        <v>41547</v>
      </c>
      <c r="B6030" s="418">
        <v>0.92292824074074076</v>
      </c>
      <c r="C6030" s="421" t="s">
        <v>1346</v>
      </c>
    </row>
    <row r="6031" spans="1:3" x14ac:dyDescent="0.25">
      <c r="A6031" s="417">
        <v>41547</v>
      </c>
      <c r="B6031" s="418">
        <v>0.92292824074074076</v>
      </c>
      <c r="C6031" s="421" t="s">
        <v>1347</v>
      </c>
    </row>
    <row r="6032" spans="1:3" x14ac:dyDescent="0.25">
      <c r="A6032" s="417">
        <v>41547</v>
      </c>
      <c r="B6032" s="418">
        <v>0.92292824074074076</v>
      </c>
      <c r="C6032" s="421" t="s">
        <v>1348</v>
      </c>
    </row>
    <row r="6033" spans="1:3" x14ac:dyDescent="0.25">
      <c r="A6033" s="417">
        <v>41547</v>
      </c>
      <c r="B6033" s="418">
        <v>0.92292824074074076</v>
      </c>
      <c r="C6033" s="421" t="s">
        <v>1349</v>
      </c>
    </row>
    <row r="6034" spans="1:3" x14ac:dyDescent="0.25">
      <c r="A6034" s="417">
        <v>41547</v>
      </c>
      <c r="B6034" s="418">
        <v>0.92292824074074076</v>
      </c>
      <c r="C6034" s="421" t="s">
        <v>1349</v>
      </c>
    </row>
    <row r="6035" spans="1:3" x14ac:dyDescent="0.25">
      <c r="A6035" s="417">
        <v>41547</v>
      </c>
      <c r="B6035" s="418">
        <v>0.92292824074074076</v>
      </c>
      <c r="C6035" s="421" t="s">
        <v>1348</v>
      </c>
    </row>
    <row r="6036" spans="1:3" x14ac:dyDescent="0.25">
      <c r="A6036" s="417">
        <v>41547</v>
      </c>
      <c r="B6036" s="418">
        <v>0.92292824074074076</v>
      </c>
      <c r="C6036" s="421" t="s">
        <v>1350</v>
      </c>
    </row>
    <row r="6037" spans="1:3" x14ac:dyDescent="0.25">
      <c r="A6037" s="417">
        <v>41547</v>
      </c>
      <c r="B6037" s="418">
        <v>0.92292824074074076</v>
      </c>
      <c r="C6037" s="421" t="s">
        <v>1351</v>
      </c>
    </row>
    <row r="6038" spans="1:3" x14ac:dyDescent="0.25">
      <c r="A6038" s="417">
        <v>41547</v>
      </c>
      <c r="B6038" s="418">
        <v>0.92292824074074076</v>
      </c>
      <c r="C6038" s="421" t="s">
        <v>1352</v>
      </c>
    </row>
    <row r="6039" spans="1:3" x14ac:dyDescent="0.25">
      <c r="A6039" s="417">
        <v>41547</v>
      </c>
      <c r="B6039" s="418">
        <v>0.92292824074074076</v>
      </c>
      <c r="C6039" s="421" t="s">
        <v>1768</v>
      </c>
    </row>
    <row r="6040" spans="1:3" x14ac:dyDescent="0.25">
      <c r="A6040" s="417">
        <v>41547</v>
      </c>
      <c r="B6040" s="418">
        <v>0.92292824074074076</v>
      </c>
      <c r="C6040" s="421" t="s">
        <v>1353</v>
      </c>
    </row>
    <row r="6041" spans="1:3" x14ac:dyDescent="0.25">
      <c r="A6041" s="417">
        <v>41547</v>
      </c>
      <c r="B6041" s="418">
        <v>0.92292824074074076</v>
      </c>
      <c r="C6041" s="421" t="s">
        <v>1354</v>
      </c>
    </row>
    <row r="6042" spans="1:3" x14ac:dyDescent="0.25">
      <c r="A6042" s="417">
        <v>41547</v>
      </c>
      <c r="B6042" s="418">
        <v>0.92292824074074076</v>
      </c>
      <c r="C6042" s="421" t="s">
        <v>1357</v>
      </c>
    </row>
    <row r="6043" spans="1:3" x14ac:dyDescent="0.25">
      <c r="A6043" s="417">
        <v>41547</v>
      </c>
      <c r="B6043" s="418">
        <v>0.92292824074074076</v>
      </c>
      <c r="C6043" s="421" t="s">
        <v>1358</v>
      </c>
    </row>
    <row r="6044" spans="1:3" x14ac:dyDescent="0.25">
      <c r="A6044" s="417">
        <v>41547</v>
      </c>
      <c r="B6044" s="418">
        <v>0.92292824074074076</v>
      </c>
      <c r="C6044" s="421" t="s">
        <v>1359</v>
      </c>
    </row>
    <row r="6045" spans="1:3" x14ac:dyDescent="0.25">
      <c r="A6045" s="417">
        <v>41547</v>
      </c>
      <c r="B6045" s="418">
        <v>0.92292824074074076</v>
      </c>
      <c r="C6045" s="421" t="s">
        <v>1360</v>
      </c>
    </row>
    <row r="6046" spans="1:3" x14ac:dyDescent="0.25">
      <c r="A6046" s="417">
        <v>41547</v>
      </c>
      <c r="B6046" s="418">
        <v>0.92292824074074076</v>
      </c>
      <c r="C6046" s="421" t="s">
        <v>1361</v>
      </c>
    </row>
    <row r="6047" spans="1:3" x14ac:dyDescent="0.25">
      <c r="A6047" s="417">
        <v>41547</v>
      </c>
      <c r="B6047" s="418">
        <v>0.92292824074074076</v>
      </c>
      <c r="C6047" s="421" t="s">
        <v>1317</v>
      </c>
    </row>
    <row r="6048" spans="1:3" x14ac:dyDescent="0.25">
      <c r="A6048" s="417">
        <v>41547</v>
      </c>
      <c r="B6048" s="418">
        <v>0.92292824074074076</v>
      </c>
      <c r="C6048" s="421" t="s">
        <v>1537</v>
      </c>
    </row>
    <row r="6049" spans="1:3" x14ac:dyDescent="0.25">
      <c r="A6049" s="417">
        <v>41547</v>
      </c>
      <c r="B6049" s="418">
        <v>0.92292824074074076</v>
      </c>
      <c r="C6049" s="421" t="s">
        <v>1363</v>
      </c>
    </row>
    <row r="6050" spans="1:3" x14ac:dyDescent="0.25">
      <c r="A6050" s="417">
        <v>41547</v>
      </c>
      <c r="B6050" s="418">
        <v>0.92292824074074076</v>
      </c>
      <c r="C6050" s="421" t="s">
        <v>1364</v>
      </c>
    </row>
    <row r="6051" spans="1:3" x14ac:dyDescent="0.25">
      <c r="A6051" s="417">
        <v>41547</v>
      </c>
      <c r="B6051" s="418">
        <v>0.92292824074074076</v>
      </c>
      <c r="C6051" s="421" t="s">
        <v>1365</v>
      </c>
    </row>
    <row r="6052" spans="1:3" x14ac:dyDescent="0.25">
      <c r="A6052" s="417">
        <v>41547</v>
      </c>
      <c r="B6052" s="418">
        <v>0.92292824074074076</v>
      </c>
      <c r="C6052" s="421" t="s">
        <v>1365</v>
      </c>
    </row>
    <row r="6053" spans="1:3" x14ac:dyDescent="0.25">
      <c r="A6053" s="417">
        <v>41547</v>
      </c>
      <c r="B6053" s="418">
        <v>0.92292824074074076</v>
      </c>
      <c r="C6053" s="421" t="s">
        <v>1320</v>
      </c>
    </row>
    <row r="6054" spans="1:3" x14ac:dyDescent="0.25">
      <c r="A6054" s="417">
        <v>41547</v>
      </c>
      <c r="B6054" s="418">
        <v>0.92292824074074076</v>
      </c>
      <c r="C6054" s="421" t="s">
        <v>1367</v>
      </c>
    </row>
    <row r="6055" spans="1:3" x14ac:dyDescent="0.25">
      <c r="A6055" s="417">
        <v>41547</v>
      </c>
      <c r="B6055" s="418">
        <v>0.92292824074074076</v>
      </c>
      <c r="C6055" s="421" t="s">
        <v>1344</v>
      </c>
    </row>
    <row r="6056" spans="1:3" x14ac:dyDescent="0.25">
      <c r="A6056" s="417">
        <v>41547</v>
      </c>
      <c r="B6056" s="418">
        <v>0.92292824074074076</v>
      </c>
      <c r="C6056" s="421" t="s">
        <v>1368</v>
      </c>
    </row>
    <row r="6057" spans="1:3" x14ac:dyDescent="0.25">
      <c r="A6057" s="417">
        <v>41547</v>
      </c>
      <c r="B6057" s="418">
        <v>0.92292824074074076</v>
      </c>
      <c r="C6057" s="421" t="s">
        <v>1369</v>
      </c>
    </row>
    <row r="6058" spans="1:3" x14ac:dyDescent="0.25">
      <c r="A6058" s="417">
        <v>41547</v>
      </c>
      <c r="B6058" s="418">
        <v>0.92292824074074076</v>
      </c>
      <c r="C6058" s="421" t="s">
        <v>1307</v>
      </c>
    </row>
    <row r="6059" spans="1:3" x14ac:dyDescent="0.25">
      <c r="A6059" s="417">
        <v>41547</v>
      </c>
      <c r="B6059" s="418">
        <v>0.92292824074074076</v>
      </c>
      <c r="C6059" s="421" t="s">
        <v>1370</v>
      </c>
    </row>
    <row r="6060" spans="1:3" x14ac:dyDescent="0.25">
      <c r="A6060" s="417">
        <v>41547</v>
      </c>
      <c r="B6060" s="418">
        <v>0.92292824074074076</v>
      </c>
      <c r="C6060" s="421" t="s">
        <v>1371</v>
      </c>
    </row>
    <row r="6061" spans="1:3" x14ac:dyDescent="0.25">
      <c r="A6061" s="417">
        <v>41547</v>
      </c>
      <c r="B6061" s="418">
        <v>0.92292824074074076</v>
      </c>
      <c r="C6061" s="421" t="s">
        <v>1344</v>
      </c>
    </row>
    <row r="6062" spans="1:3" x14ac:dyDescent="0.25">
      <c r="A6062" s="417">
        <v>41547</v>
      </c>
      <c r="B6062" s="418">
        <v>0.92292824074074076</v>
      </c>
      <c r="C6062" s="421" t="s">
        <v>1317</v>
      </c>
    </row>
    <row r="6063" spans="1:3" x14ac:dyDescent="0.25">
      <c r="A6063" s="417">
        <v>41547</v>
      </c>
      <c r="B6063" s="418">
        <v>0.92292824074074076</v>
      </c>
      <c r="C6063" s="421" t="s">
        <v>1463</v>
      </c>
    </row>
    <row r="6064" spans="1:3" x14ac:dyDescent="0.25">
      <c r="A6064" s="417">
        <v>41547</v>
      </c>
      <c r="B6064" s="418">
        <v>0.92292824074074076</v>
      </c>
      <c r="C6064" s="421" t="s">
        <v>1373</v>
      </c>
    </row>
    <row r="6065" spans="1:3" x14ac:dyDescent="0.25">
      <c r="A6065" s="417">
        <v>41547</v>
      </c>
      <c r="B6065" s="418">
        <v>0.92292824074074076</v>
      </c>
      <c r="C6065" s="421" t="s">
        <v>1308</v>
      </c>
    </row>
    <row r="6066" spans="1:3" x14ac:dyDescent="0.25">
      <c r="A6066" s="417">
        <v>41547</v>
      </c>
      <c r="B6066" s="418">
        <v>0.92292824074074076</v>
      </c>
      <c r="C6066" s="421" t="s">
        <v>1374</v>
      </c>
    </row>
    <row r="6067" spans="1:3" x14ac:dyDescent="0.25">
      <c r="A6067" s="417">
        <v>41547</v>
      </c>
      <c r="B6067" s="418">
        <v>0.92292824074074076</v>
      </c>
      <c r="C6067" s="421" t="s">
        <v>1375</v>
      </c>
    </row>
    <row r="6068" spans="1:3" x14ac:dyDescent="0.25">
      <c r="A6068" s="417">
        <v>41547</v>
      </c>
      <c r="B6068" s="418">
        <v>0.92292824074074076</v>
      </c>
      <c r="C6068" s="421" t="s">
        <v>1376</v>
      </c>
    </row>
    <row r="6069" spans="1:3" x14ac:dyDescent="0.25">
      <c r="A6069" s="417">
        <v>41547</v>
      </c>
      <c r="B6069" s="418">
        <v>0.92292824074074076</v>
      </c>
      <c r="C6069" s="421" t="s">
        <v>1377</v>
      </c>
    </row>
    <row r="6070" spans="1:3" x14ac:dyDescent="0.25">
      <c r="A6070" s="417">
        <v>41547</v>
      </c>
      <c r="B6070" s="418">
        <v>0.92292824074074076</v>
      </c>
      <c r="C6070" s="421" t="s">
        <v>1326</v>
      </c>
    </row>
    <row r="6071" spans="1:3" x14ac:dyDescent="0.25">
      <c r="A6071" s="417">
        <v>41547</v>
      </c>
      <c r="B6071" s="418">
        <v>0.92292824074074076</v>
      </c>
      <c r="C6071" s="421" t="s">
        <v>1755</v>
      </c>
    </row>
    <row r="6072" spans="1:3" x14ac:dyDescent="0.25">
      <c r="A6072" s="417">
        <v>41547</v>
      </c>
      <c r="B6072" s="418">
        <v>0.92292824074074076</v>
      </c>
      <c r="C6072" s="421" t="s">
        <v>1380</v>
      </c>
    </row>
    <row r="6073" spans="1:3" x14ac:dyDescent="0.25">
      <c r="A6073" s="417">
        <v>41547</v>
      </c>
      <c r="B6073" s="418">
        <v>0.92292824074074076</v>
      </c>
      <c r="C6073" s="421" t="s">
        <v>1381</v>
      </c>
    </row>
    <row r="6074" spans="1:3" x14ac:dyDescent="0.25">
      <c r="A6074" s="417">
        <v>41547</v>
      </c>
      <c r="B6074" s="418">
        <v>0.92292824074074076</v>
      </c>
      <c r="C6074" s="421" t="s">
        <v>1382</v>
      </c>
    </row>
    <row r="6075" spans="1:3" x14ac:dyDescent="0.25">
      <c r="A6075" s="417">
        <v>41547</v>
      </c>
      <c r="B6075" s="418">
        <v>0.92292824074074076</v>
      </c>
      <c r="C6075" s="421" t="s">
        <v>1383</v>
      </c>
    </row>
    <row r="6076" spans="1:3" x14ac:dyDescent="0.25">
      <c r="A6076" s="417">
        <v>41547</v>
      </c>
      <c r="B6076" s="418">
        <v>0.92292824074074076</v>
      </c>
      <c r="C6076" s="421" t="s">
        <v>1352</v>
      </c>
    </row>
    <row r="6077" spans="1:3" x14ac:dyDescent="0.25">
      <c r="A6077" s="417">
        <v>41547</v>
      </c>
      <c r="B6077" s="418">
        <v>0.92292824074074076</v>
      </c>
      <c r="C6077" s="421" t="s">
        <v>1384</v>
      </c>
    </row>
    <row r="6078" spans="1:3" x14ac:dyDescent="0.25">
      <c r="A6078" s="417">
        <v>41547</v>
      </c>
      <c r="B6078" s="418">
        <v>0.92292824074074076</v>
      </c>
      <c r="C6078" s="421" t="s">
        <v>1385</v>
      </c>
    </row>
    <row r="6079" spans="1:3" x14ac:dyDescent="0.25">
      <c r="A6079" s="417">
        <v>41547</v>
      </c>
      <c r="B6079" s="418">
        <v>0.92292824074074076</v>
      </c>
      <c r="C6079" s="421" t="s">
        <v>1385</v>
      </c>
    </row>
    <row r="6080" spans="1:3" x14ac:dyDescent="0.25">
      <c r="A6080" s="417">
        <v>41547</v>
      </c>
      <c r="B6080" s="418">
        <v>0.92292824074074076</v>
      </c>
      <c r="C6080" s="421" t="s">
        <v>1386</v>
      </c>
    </row>
    <row r="6081" spans="1:3" x14ac:dyDescent="0.25">
      <c r="A6081" s="417">
        <v>41547</v>
      </c>
      <c r="B6081" s="418">
        <v>0.92292824074074076</v>
      </c>
      <c r="C6081" s="421" t="s">
        <v>1387</v>
      </c>
    </row>
    <row r="6082" spans="1:3" x14ac:dyDescent="0.25">
      <c r="A6082" s="417">
        <v>41547</v>
      </c>
      <c r="B6082" s="418">
        <v>0.92292824074074076</v>
      </c>
      <c r="C6082" s="421" t="s">
        <v>1387</v>
      </c>
    </row>
    <row r="6083" spans="1:3" x14ac:dyDescent="0.25">
      <c r="A6083" s="417">
        <v>41547</v>
      </c>
      <c r="B6083" s="418">
        <v>0.92292824074074076</v>
      </c>
      <c r="C6083" s="421" t="s">
        <v>1318</v>
      </c>
    </row>
    <row r="6084" spans="1:3" x14ac:dyDescent="0.25">
      <c r="A6084" s="417">
        <v>41547</v>
      </c>
      <c r="B6084" s="418">
        <v>0.92292824074074076</v>
      </c>
      <c r="C6084" s="421" t="s">
        <v>1388</v>
      </c>
    </row>
    <row r="6085" spans="1:3" x14ac:dyDescent="0.25">
      <c r="A6085" s="417">
        <v>41547</v>
      </c>
      <c r="B6085" s="418">
        <v>0.92292824074074076</v>
      </c>
      <c r="C6085" s="421" t="s">
        <v>1390</v>
      </c>
    </row>
    <row r="6086" spans="1:3" x14ac:dyDescent="0.25">
      <c r="A6086" s="417">
        <v>41547</v>
      </c>
      <c r="B6086" s="418">
        <v>0.92292824074074076</v>
      </c>
      <c r="C6086" s="421" t="s">
        <v>1391</v>
      </c>
    </row>
    <row r="6087" spans="1:3" x14ac:dyDescent="0.25">
      <c r="A6087" s="417">
        <v>41547</v>
      </c>
      <c r="B6087" s="418">
        <v>0.92292824074074076</v>
      </c>
      <c r="C6087" s="421" t="s">
        <v>1392</v>
      </c>
    </row>
    <row r="6088" spans="1:3" x14ac:dyDescent="0.25">
      <c r="A6088" s="417">
        <v>41547</v>
      </c>
      <c r="B6088" s="418">
        <v>0.92292824074074076</v>
      </c>
      <c r="C6088" s="421" t="s">
        <v>1795</v>
      </c>
    </row>
    <row r="6089" spans="1:3" x14ac:dyDescent="0.25">
      <c r="A6089" s="417">
        <v>41547</v>
      </c>
      <c r="B6089" s="418">
        <v>0.9229398148148148</v>
      </c>
      <c r="C6089" s="421" t="s">
        <v>1393</v>
      </c>
    </row>
    <row r="6090" spans="1:3" x14ac:dyDescent="0.25">
      <c r="A6090" s="417">
        <v>41547</v>
      </c>
      <c r="B6090" s="418">
        <v>0.9229398148148148</v>
      </c>
      <c r="C6090" s="421" t="s">
        <v>1394</v>
      </c>
    </row>
    <row r="6091" spans="1:3" x14ac:dyDescent="0.25">
      <c r="A6091" s="417">
        <v>41547</v>
      </c>
      <c r="B6091" s="418">
        <v>0.9229398148148148</v>
      </c>
      <c r="C6091" s="421" t="s">
        <v>1392</v>
      </c>
    </row>
    <row r="6092" spans="1:3" x14ac:dyDescent="0.25">
      <c r="A6092" s="417">
        <v>41547</v>
      </c>
      <c r="B6092" s="418">
        <v>0.9229398148148148</v>
      </c>
      <c r="C6092" s="421" t="s">
        <v>1395</v>
      </c>
    </row>
    <row r="6093" spans="1:3" x14ac:dyDescent="0.25">
      <c r="A6093" s="417">
        <v>41547</v>
      </c>
      <c r="B6093" s="418">
        <v>0.9229398148148148</v>
      </c>
      <c r="C6093" s="421" t="s">
        <v>1396</v>
      </c>
    </row>
    <row r="6094" spans="1:3" x14ac:dyDescent="0.25">
      <c r="A6094" s="417">
        <v>41547</v>
      </c>
      <c r="B6094" s="418">
        <v>0.9229398148148148</v>
      </c>
      <c r="C6094" s="421" t="s">
        <v>1363</v>
      </c>
    </row>
    <row r="6095" spans="1:3" x14ac:dyDescent="0.25">
      <c r="A6095" s="417">
        <v>41547</v>
      </c>
      <c r="B6095" s="418">
        <v>0.92295138888888895</v>
      </c>
      <c r="C6095" s="421" t="s">
        <v>1397</v>
      </c>
    </row>
    <row r="6096" spans="1:3" x14ac:dyDescent="0.25">
      <c r="A6096" s="417">
        <v>41547</v>
      </c>
      <c r="B6096" s="418">
        <v>0.92295138888888895</v>
      </c>
      <c r="C6096" s="421" t="s">
        <v>1381</v>
      </c>
    </row>
    <row r="6097" spans="1:3" x14ac:dyDescent="0.25">
      <c r="A6097" s="417">
        <v>41547</v>
      </c>
      <c r="B6097" s="418">
        <v>0.92295138888888895</v>
      </c>
      <c r="C6097" s="421" t="s">
        <v>1398</v>
      </c>
    </row>
    <row r="6098" spans="1:3" x14ac:dyDescent="0.25">
      <c r="A6098" s="417">
        <v>41547</v>
      </c>
      <c r="B6098" s="418">
        <v>0.92295138888888895</v>
      </c>
      <c r="C6098" s="421" t="s">
        <v>1399</v>
      </c>
    </row>
    <row r="6099" spans="1:3" x14ac:dyDescent="0.25">
      <c r="A6099" s="417">
        <v>41547</v>
      </c>
      <c r="B6099" s="418">
        <v>0.92296296296296287</v>
      </c>
      <c r="C6099" s="421" t="s">
        <v>1400</v>
      </c>
    </row>
    <row r="6100" spans="1:3" x14ac:dyDescent="0.25">
      <c r="A6100" s="417">
        <v>41547</v>
      </c>
      <c r="B6100" s="418">
        <v>0.92296296296296287</v>
      </c>
      <c r="C6100" s="421" t="s">
        <v>1400</v>
      </c>
    </row>
    <row r="6101" spans="1:3" x14ac:dyDescent="0.25">
      <c r="A6101" s="417">
        <v>41547</v>
      </c>
      <c r="B6101" s="418">
        <v>0.92296296296296287</v>
      </c>
      <c r="C6101" s="421" t="s">
        <v>1373</v>
      </c>
    </row>
    <row r="6102" spans="1:3" x14ac:dyDescent="0.25">
      <c r="A6102" s="417">
        <v>41547</v>
      </c>
      <c r="B6102" s="418">
        <v>0.92297453703703702</v>
      </c>
      <c r="C6102" s="421" t="s">
        <v>1353</v>
      </c>
    </row>
    <row r="6103" spans="1:3" x14ac:dyDescent="0.25">
      <c r="A6103" s="417">
        <v>41547</v>
      </c>
      <c r="B6103" s="418">
        <v>0.92297453703703702</v>
      </c>
      <c r="C6103" s="421" t="s">
        <v>1353</v>
      </c>
    </row>
    <row r="6104" spans="1:3" x14ac:dyDescent="0.25">
      <c r="A6104" s="417">
        <v>41547</v>
      </c>
      <c r="B6104" s="418">
        <v>0.92298611111111117</v>
      </c>
      <c r="C6104" s="421" t="s">
        <v>1401</v>
      </c>
    </row>
    <row r="6105" spans="1:3" x14ac:dyDescent="0.25">
      <c r="A6105" s="417">
        <v>41547</v>
      </c>
      <c r="B6105" s="418">
        <v>0.92298611111111117</v>
      </c>
      <c r="C6105" s="421" t="s">
        <v>1392</v>
      </c>
    </row>
    <row r="6106" spans="1:3" x14ac:dyDescent="0.25">
      <c r="A6106" s="417">
        <v>41547</v>
      </c>
      <c r="B6106" s="418">
        <v>0.92299768518518521</v>
      </c>
      <c r="C6106" s="421" t="s">
        <v>1403</v>
      </c>
    </row>
    <row r="6107" spans="1:3" x14ac:dyDescent="0.25">
      <c r="A6107" s="417">
        <v>41547</v>
      </c>
      <c r="B6107" s="418">
        <v>0.92299768518518521</v>
      </c>
      <c r="C6107" s="421" t="s">
        <v>1403</v>
      </c>
    </row>
    <row r="6108" spans="1:3" x14ac:dyDescent="0.25">
      <c r="A6108" s="417">
        <v>41547</v>
      </c>
      <c r="B6108" s="418">
        <v>0.92299768518518521</v>
      </c>
      <c r="C6108" s="421" t="s">
        <v>1403</v>
      </c>
    </row>
    <row r="6109" spans="1:3" x14ac:dyDescent="0.25">
      <c r="A6109" s="417">
        <v>41547</v>
      </c>
      <c r="B6109" s="418">
        <v>0.92300925925925925</v>
      </c>
      <c r="C6109" s="421" t="s">
        <v>1364</v>
      </c>
    </row>
    <row r="6110" spans="1:3" x14ac:dyDescent="0.25">
      <c r="A6110" s="417">
        <v>41547</v>
      </c>
      <c r="B6110" s="418">
        <v>0.92300925925925925</v>
      </c>
      <c r="C6110" s="421" t="s">
        <v>1364</v>
      </c>
    </row>
    <row r="6111" spans="1:3" x14ac:dyDescent="0.25">
      <c r="A6111" s="417">
        <v>41547</v>
      </c>
      <c r="B6111" s="418">
        <v>0.92302083333333329</v>
      </c>
      <c r="C6111" s="421" t="s">
        <v>1381</v>
      </c>
    </row>
    <row r="6112" spans="1:3" x14ac:dyDescent="0.25">
      <c r="A6112" s="417">
        <v>41547</v>
      </c>
      <c r="B6112" s="418">
        <v>0.92303240740740744</v>
      </c>
      <c r="C6112" s="421" t="s">
        <v>1364</v>
      </c>
    </row>
    <row r="6113" spans="1:3" x14ac:dyDescent="0.25">
      <c r="A6113" s="417">
        <v>41547</v>
      </c>
      <c r="B6113" s="418">
        <v>0.92303240740740744</v>
      </c>
      <c r="C6113" s="421" t="s">
        <v>1480</v>
      </c>
    </row>
    <row r="6114" spans="1:3" x14ac:dyDescent="0.25">
      <c r="A6114" s="417">
        <v>41547</v>
      </c>
      <c r="B6114" s="418">
        <v>0.92303240740740744</v>
      </c>
      <c r="C6114" s="421" t="s">
        <v>1480</v>
      </c>
    </row>
    <row r="6115" spans="1:3" x14ac:dyDescent="0.25">
      <c r="A6115" s="417">
        <v>41547</v>
      </c>
      <c r="B6115" s="418">
        <v>0.92303240740740744</v>
      </c>
      <c r="C6115" s="421" t="s">
        <v>1480</v>
      </c>
    </row>
    <row r="6116" spans="1:3" x14ac:dyDescent="0.25">
      <c r="A6116" s="417">
        <v>41547</v>
      </c>
      <c r="B6116" s="418">
        <v>0.92304398148148159</v>
      </c>
      <c r="C6116" s="421" t="s">
        <v>1862</v>
      </c>
    </row>
    <row r="6117" spans="1:3" x14ac:dyDescent="0.25">
      <c r="A6117" s="417">
        <v>41547</v>
      </c>
      <c r="B6117" s="418">
        <v>0.92304398148148159</v>
      </c>
      <c r="C6117" s="421" t="s">
        <v>1541</v>
      </c>
    </row>
    <row r="6118" spans="1:3" x14ac:dyDescent="0.25">
      <c r="A6118" s="417">
        <v>41547</v>
      </c>
      <c r="B6118" s="418">
        <v>0.92304398148148159</v>
      </c>
      <c r="C6118" s="421" t="s">
        <v>1346</v>
      </c>
    </row>
    <row r="6119" spans="1:3" x14ac:dyDescent="0.25">
      <c r="A6119" s="417">
        <v>41547</v>
      </c>
      <c r="B6119" s="418">
        <v>0.92304398148148159</v>
      </c>
      <c r="C6119" s="421" t="s">
        <v>1405</v>
      </c>
    </row>
    <row r="6120" spans="1:3" x14ac:dyDescent="0.25">
      <c r="A6120" s="417">
        <v>41547</v>
      </c>
      <c r="B6120" s="418">
        <v>0.92305555555555552</v>
      </c>
      <c r="C6120" s="421" t="s">
        <v>1406</v>
      </c>
    </row>
    <row r="6121" spans="1:3" x14ac:dyDescent="0.25">
      <c r="A6121" s="417">
        <v>41547</v>
      </c>
      <c r="B6121" s="418">
        <v>0.92309027777777775</v>
      </c>
      <c r="C6121" s="421" t="s">
        <v>1863</v>
      </c>
    </row>
    <row r="6122" spans="1:3" x14ac:dyDescent="0.25">
      <c r="A6122" s="417">
        <v>41547</v>
      </c>
      <c r="B6122" s="418">
        <v>0.92310185185185178</v>
      </c>
      <c r="C6122" s="421" t="s">
        <v>1318</v>
      </c>
    </row>
    <row r="6123" spans="1:3" x14ac:dyDescent="0.25">
      <c r="A6123" s="417">
        <v>41547</v>
      </c>
      <c r="B6123" s="418">
        <v>0.92312500000000008</v>
      </c>
      <c r="C6123" s="421" t="s">
        <v>1368</v>
      </c>
    </row>
    <row r="6124" spans="1:3" x14ac:dyDescent="0.25">
      <c r="A6124" s="417">
        <v>41547</v>
      </c>
      <c r="B6124" s="418">
        <v>0.92312500000000008</v>
      </c>
      <c r="C6124" s="421" t="s">
        <v>1368</v>
      </c>
    </row>
    <row r="6125" spans="1:3" x14ac:dyDescent="0.25">
      <c r="A6125" s="417">
        <v>41547</v>
      </c>
      <c r="B6125" s="418">
        <v>0.92312500000000008</v>
      </c>
      <c r="C6125" s="421" t="s">
        <v>1368</v>
      </c>
    </row>
    <row r="6126" spans="1:3" x14ac:dyDescent="0.25">
      <c r="A6126" s="417">
        <v>41547</v>
      </c>
      <c r="B6126" s="418">
        <v>0.92312500000000008</v>
      </c>
      <c r="C6126" s="421" t="s">
        <v>1368</v>
      </c>
    </row>
    <row r="6127" spans="1:3" x14ac:dyDescent="0.25">
      <c r="A6127" s="417">
        <v>41547</v>
      </c>
      <c r="B6127" s="418">
        <v>0.92312500000000008</v>
      </c>
      <c r="C6127" s="421" t="s">
        <v>1368</v>
      </c>
    </row>
    <row r="6128" spans="1:3" x14ac:dyDescent="0.25">
      <c r="A6128" s="417">
        <v>41547</v>
      </c>
      <c r="B6128" s="418">
        <v>0.92312500000000008</v>
      </c>
      <c r="C6128" s="421" t="s">
        <v>1409</v>
      </c>
    </row>
    <row r="6129" spans="1:3" x14ac:dyDescent="0.25">
      <c r="A6129" s="417">
        <v>41547</v>
      </c>
      <c r="B6129" s="418">
        <v>0.92312500000000008</v>
      </c>
      <c r="C6129" s="421" t="s">
        <v>1308</v>
      </c>
    </row>
    <row r="6130" spans="1:3" x14ac:dyDescent="0.25">
      <c r="A6130" s="417">
        <v>41547</v>
      </c>
      <c r="B6130" s="418">
        <v>0.92314814814814816</v>
      </c>
      <c r="C6130" s="421" t="s">
        <v>1410</v>
      </c>
    </row>
    <row r="6131" spans="1:3" x14ac:dyDescent="0.25">
      <c r="A6131" s="417">
        <v>41547</v>
      </c>
      <c r="B6131" s="418">
        <v>0.92314814814814816</v>
      </c>
      <c r="C6131" s="421" t="s">
        <v>1410</v>
      </c>
    </row>
    <row r="6132" spans="1:3" x14ac:dyDescent="0.25">
      <c r="A6132" s="417">
        <v>41547</v>
      </c>
      <c r="B6132" s="418">
        <v>0.9231597222222222</v>
      </c>
      <c r="C6132" s="421" t="s">
        <v>1411</v>
      </c>
    </row>
    <row r="6133" spans="1:3" x14ac:dyDescent="0.25">
      <c r="A6133" s="417">
        <v>41547</v>
      </c>
      <c r="B6133" s="418">
        <v>0.92317129629629635</v>
      </c>
      <c r="C6133" s="421" t="s">
        <v>1864</v>
      </c>
    </row>
    <row r="6134" spans="1:3" x14ac:dyDescent="0.25">
      <c r="A6134" s="417">
        <v>41547</v>
      </c>
      <c r="B6134" s="418">
        <v>0.92318287037037028</v>
      </c>
      <c r="C6134" s="421" t="s">
        <v>1413</v>
      </c>
    </row>
    <row r="6135" spans="1:3" x14ac:dyDescent="0.25">
      <c r="A6135" s="417">
        <v>41547</v>
      </c>
      <c r="B6135" s="418">
        <v>0.92318287037037028</v>
      </c>
      <c r="C6135" s="421" t="s">
        <v>1414</v>
      </c>
    </row>
    <row r="6136" spans="1:3" x14ac:dyDescent="0.25">
      <c r="A6136" s="417">
        <v>41547</v>
      </c>
      <c r="B6136" s="418">
        <v>0.92320601851851858</v>
      </c>
      <c r="C6136" s="421" t="s">
        <v>1373</v>
      </c>
    </row>
    <row r="6137" spans="1:3" x14ac:dyDescent="0.25">
      <c r="A6137" s="417">
        <v>41547</v>
      </c>
      <c r="B6137" s="418">
        <v>0.92320601851851858</v>
      </c>
      <c r="C6137" s="421" t="s">
        <v>1865</v>
      </c>
    </row>
    <row r="6138" spans="1:3" x14ac:dyDescent="0.25">
      <c r="A6138" s="417">
        <v>41547</v>
      </c>
      <c r="B6138" s="418">
        <v>0.92327546296296292</v>
      </c>
      <c r="C6138" s="421" t="s">
        <v>1409</v>
      </c>
    </row>
    <row r="6139" spans="1:3" x14ac:dyDescent="0.25">
      <c r="A6139" s="417">
        <v>41547</v>
      </c>
      <c r="B6139" s="418">
        <v>0.92328703703703707</v>
      </c>
      <c r="C6139" s="421" t="s">
        <v>1416</v>
      </c>
    </row>
    <row r="6140" spans="1:3" x14ac:dyDescent="0.25">
      <c r="A6140" s="417">
        <v>41547</v>
      </c>
      <c r="B6140" s="418">
        <v>0.92329861111111111</v>
      </c>
      <c r="C6140" s="421" t="s">
        <v>1866</v>
      </c>
    </row>
    <row r="6141" spans="1:3" x14ac:dyDescent="0.25">
      <c r="A6141" s="417">
        <v>41547</v>
      </c>
      <c r="B6141" s="418">
        <v>0.92329861111111111</v>
      </c>
      <c r="C6141" s="421" t="s">
        <v>1348</v>
      </c>
    </row>
    <row r="6142" spans="1:3" x14ac:dyDescent="0.25">
      <c r="A6142" s="417">
        <v>41547</v>
      </c>
      <c r="B6142" s="418">
        <v>0.92329861111111111</v>
      </c>
      <c r="C6142" s="421" t="s">
        <v>1419</v>
      </c>
    </row>
    <row r="6143" spans="1:3" x14ac:dyDescent="0.25">
      <c r="A6143" s="417">
        <v>41547</v>
      </c>
      <c r="B6143" s="418">
        <v>0.92329861111111111</v>
      </c>
      <c r="C6143" s="421" t="s">
        <v>1419</v>
      </c>
    </row>
    <row r="6144" spans="1:3" x14ac:dyDescent="0.25">
      <c r="A6144" s="417">
        <v>41547</v>
      </c>
      <c r="B6144" s="418">
        <v>0.92329861111111111</v>
      </c>
      <c r="C6144" s="421" t="s">
        <v>1420</v>
      </c>
    </row>
    <row r="6145" spans="1:3" x14ac:dyDescent="0.25">
      <c r="A6145" s="417">
        <v>41547</v>
      </c>
      <c r="B6145" s="418">
        <v>0.92333333333333334</v>
      </c>
      <c r="C6145" s="421" t="s">
        <v>1867</v>
      </c>
    </row>
    <row r="6146" spans="1:3" x14ac:dyDescent="0.25">
      <c r="A6146" s="417">
        <v>41547</v>
      </c>
      <c r="B6146" s="418">
        <v>0.92333333333333334</v>
      </c>
      <c r="C6146" s="421" t="s">
        <v>1868</v>
      </c>
    </row>
    <row r="6147" spans="1:3" x14ac:dyDescent="0.25">
      <c r="A6147" s="417">
        <v>41547</v>
      </c>
      <c r="B6147" s="418">
        <v>0.92333333333333334</v>
      </c>
      <c r="C6147" s="421" t="s">
        <v>1869</v>
      </c>
    </row>
    <row r="6148" spans="1:3" x14ac:dyDescent="0.25">
      <c r="A6148" s="417">
        <v>41547</v>
      </c>
      <c r="B6148" s="418">
        <v>0.92335648148148142</v>
      </c>
      <c r="C6148" s="421" t="s">
        <v>1870</v>
      </c>
    </row>
    <row r="6149" spans="1:3" x14ac:dyDescent="0.25">
      <c r="A6149" s="417">
        <v>41547</v>
      </c>
      <c r="B6149" s="418">
        <v>0.92335648148148142</v>
      </c>
      <c r="C6149" s="421" t="s">
        <v>1871</v>
      </c>
    </row>
    <row r="6150" spans="1:3" x14ac:dyDescent="0.25">
      <c r="A6150" s="417">
        <v>41547</v>
      </c>
      <c r="B6150" s="418">
        <v>0.92336805555555557</v>
      </c>
      <c r="C6150" s="421" t="s">
        <v>1872</v>
      </c>
    </row>
    <row r="6151" spans="1:3" x14ac:dyDescent="0.25">
      <c r="A6151" s="417">
        <v>41547</v>
      </c>
      <c r="B6151" s="418">
        <v>0.92336805555555557</v>
      </c>
      <c r="C6151" s="421" t="s">
        <v>1873</v>
      </c>
    </row>
    <row r="6152" spans="1:3" x14ac:dyDescent="0.25">
      <c r="A6152" s="417">
        <v>41547</v>
      </c>
      <c r="B6152" s="418">
        <v>0.92336805555555557</v>
      </c>
      <c r="C6152" s="421" t="s">
        <v>1874</v>
      </c>
    </row>
    <row r="6153" spans="1:3" x14ac:dyDescent="0.25">
      <c r="A6153" s="417">
        <v>41547</v>
      </c>
      <c r="B6153" s="418">
        <v>0.92336805555555557</v>
      </c>
      <c r="C6153" s="421" t="s">
        <v>1320</v>
      </c>
    </row>
    <row r="6154" spans="1:3" x14ac:dyDescent="0.25">
      <c r="A6154" s="417">
        <v>41547</v>
      </c>
      <c r="B6154" s="418">
        <v>0.92337962962962961</v>
      </c>
      <c r="C6154" s="421" t="s">
        <v>1429</v>
      </c>
    </row>
    <row r="6155" spans="1:3" x14ac:dyDescent="0.25">
      <c r="A6155" s="417">
        <v>41547</v>
      </c>
      <c r="B6155" s="418">
        <v>0.92340277777777768</v>
      </c>
      <c r="C6155" s="421" t="s">
        <v>1430</v>
      </c>
    </row>
    <row r="6156" spans="1:3" x14ac:dyDescent="0.25">
      <c r="A6156" s="417">
        <v>41547</v>
      </c>
      <c r="B6156" s="418">
        <v>0.92340277777777768</v>
      </c>
      <c r="C6156" s="421" t="s">
        <v>1875</v>
      </c>
    </row>
    <row r="6157" spans="1:3" x14ac:dyDescent="0.25">
      <c r="A6157" s="417">
        <v>41547</v>
      </c>
      <c r="B6157" s="418">
        <v>0.9234606481481481</v>
      </c>
      <c r="C6157" s="421" t="s">
        <v>1308</v>
      </c>
    </row>
    <row r="6158" spans="1:3" x14ac:dyDescent="0.25">
      <c r="A6158" s="417">
        <v>41547</v>
      </c>
      <c r="B6158" s="418">
        <v>0.9234606481481481</v>
      </c>
      <c r="C6158" s="421" t="s">
        <v>1360</v>
      </c>
    </row>
    <row r="6159" spans="1:3" x14ac:dyDescent="0.25">
      <c r="A6159" s="417">
        <v>41547</v>
      </c>
      <c r="B6159" s="418">
        <v>0.92347222222222225</v>
      </c>
      <c r="C6159" s="421" t="s">
        <v>1432</v>
      </c>
    </row>
    <row r="6160" spans="1:3" x14ac:dyDescent="0.25">
      <c r="A6160" s="417">
        <v>41547</v>
      </c>
      <c r="B6160" s="418">
        <v>0.92347222222222225</v>
      </c>
      <c r="C6160" s="421" t="s">
        <v>1432</v>
      </c>
    </row>
    <row r="6161" spans="1:3" x14ac:dyDescent="0.25">
      <c r="A6161" s="417">
        <v>41547</v>
      </c>
      <c r="B6161" s="418">
        <v>0.92347222222222225</v>
      </c>
      <c r="C6161" s="421" t="s">
        <v>1432</v>
      </c>
    </row>
    <row r="6162" spans="1:3" x14ac:dyDescent="0.25">
      <c r="A6162" s="417">
        <v>41547</v>
      </c>
      <c r="B6162" s="418">
        <v>0.92347222222222225</v>
      </c>
      <c r="C6162" s="421" t="s">
        <v>1822</v>
      </c>
    </row>
    <row r="6163" spans="1:3" x14ac:dyDescent="0.25">
      <c r="A6163" s="417">
        <v>41547</v>
      </c>
      <c r="B6163" s="418">
        <v>0.92347222222222225</v>
      </c>
      <c r="C6163" s="421" t="s">
        <v>1413</v>
      </c>
    </row>
    <row r="6164" spans="1:3" x14ac:dyDescent="0.25">
      <c r="A6164" s="417">
        <v>41547</v>
      </c>
      <c r="B6164" s="418">
        <v>0.9234837962962964</v>
      </c>
      <c r="C6164" s="421" t="s">
        <v>1876</v>
      </c>
    </row>
    <row r="6165" spans="1:3" x14ac:dyDescent="0.25">
      <c r="A6165" s="417">
        <v>41547</v>
      </c>
      <c r="B6165" s="418">
        <v>0.92349537037037033</v>
      </c>
      <c r="C6165" s="421" t="s">
        <v>1877</v>
      </c>
    </row>
    <row r="6166" spans="1:3" x14ac:dyDescent="0.25">
      <c r="A6166" s="417">
        <v>41547</v>
      </c>
      <c r="B6166" s="418">
        <v>0.92349537037037033</v>
      </c>
      <c r="C6166" s="421" t="s">
        <v>1878</v>
      </c>
    </row>
    <row r="6167" spans="1:3" x14ac:dyDescent="0.25">
      <c r="A6167" s="417">
        <v>41547</v>
      </c>
      <c r="B6167" s="418">
        <v>0.92349537037037033</v>
      </c>
      <c r="C6167" s="421" t="s">
        <v>1879</v>
      </c>
    </row>
    <row r="6168" spans="1:3" x14ac:dyDescent="0.25">
      <c r="A6168" s="417">
        <v>41547</v>
      </c>
      <c r="B6168" s="418">
        <v>0.92349537037037033</v>
      </c>
      <c r="C6168" s="421" t="s">
        <v>1880</v>
      </c>
    </row>
    <row r="6169" spans="1:3" x14ac:dyDescent="0.25">
      <c r="A6169" s="417">
        <v>41547</v>
      </c>
      <c r="B6169" s="418">
        <v>0.92349537037037033</v>
      </c>
      <c r="C6169" s="421" t="s">
        <v>1881</v>
      </c>
    </row>
    <row r="6170" spans="1:3" x14ac:dyDescent="0.25">
      <c r="A6170" s="417">
        <v>41547</v>
      </c>
      <c r="B6170" s="418">
        <v>0.92350694444444448</v>
      </c>
      <c r="C6170" s="421" t="s">
        <v>1882</v>
      </c>
    </row>
    <row r="6171" spans="1:3" x14ac:dyDescent="0.25">
      <c r="A6171" s="417">
        <v>41547</v>
      </c>
      <c r="B6171" s="418">
        <v>0.92355324074074074</v>
      </c>
      <c r="C6171" s="421" t="s">
        <v>1883</v>
      </c>
    </row>
    <row r="6172" spans="1:3" x14ac:dyDescent="0.25">
      <c r="A6172" s="417">
        <v>41547</v>
      </c>
      <c r="B6172" s="418">
        <v>0.92361111111111116</v>
      </c>
      <c r="C6172" s="421" t="s">
        <v>1884</v>
      </c>
    </row>
    <row r="6173" spans="1:3" x14ac:dyDescent="0.25">
      <c r="A6173" s="417">
        <v>41547</v>
      </c>
      <c r="B6173" s="418">
        <v>0.92363425925925924</v>
      </c>
      <c r="C6173" s="421" t="s">
        <v>1320</v>
      </c>
    </row>
    <row r="6174" spans="1:3" x14ac:dyDescent="0.25">
      <c r="A6174" s="417">
        <v>41547</v>
      </c>
      <c r="B6174" s="418">
        <v>0.92373842592592592</v>
      </c>
      <c r="C6174" s="421" t="s">
        <v>1885</v>
      </c>
    </row>
    <row r="6175" spans="1:3" x14ac:dyDescent="0.25">
      <c r="A6175" s="417">
        <v>41547</v>
      </c>
      <c r="B6175" s="418">
        <v>0.92373842592592592</v>
      </c>
      <c r="C6175" s="421" t="s">
        <v>1886</v>
      </c>
    </row>
    <row r="6176" spans="1:3" x14ac:dyDescent="0.25">
      <c r="A6176" s="417">
        <v>41547</v>
      </c>
      <c r="B6176" s="418">
        <v>0.92373842592592592</v>
      </c>
      <c r="C6176" s="421" t="s">
        <v>1887</v>
      </c>
    </row>
    <row r="6177" spans="1:3" x14ac:dyDescent="0.25">
      <c r="A6177" s="417">
        <v>41547</v>
      </c>
      <c r="B6177" s="418">
        <v>0.92373842592592592</v>
      </c>
      <c r="C6177" s="421" t="s">
        <v>1888</v>
      </c>
    </row>
    <row r="6178" spans="1:3" x14ac:dyDescent="0.25">
      <c r="A6178" s="417">
        <v>41547</v>
      </c>
      <c r="B6178" s="418">
        <v>0.923761574074074</v>
      </c>
      <c r="C6178" s="421" t="s">
        <v>1446</v>
      </c>
    </row>
    <row r="6179" spans="1:3" x14ac:dyDescent="0.25">
      <c r="A6179" s="417">
        <v>41547</v>
      </c>
      <c r="B6179" s="418">
        <v>0.92388888888888887</v>
      </c>
      <c r="C6179" s="421" t="s">
        <v>1889</v>
      </c>
    </row>
    <row r="6180" spans="1:3" x14ac:dyDescent="0.25">
      <c r="A6180" s="417">
        <v>41547</v>
      </c>
      <c r="B6180" s="418">
        <v>0.92390046296296291</v>
      </c>
      <c r="C6180" s="421" t="s">
        <v>1389</v>
      </c>
    </row>
    <row r="6181" spans="1:3" x14ac:dyDescent="0.25">
      <c r="A6181" s="417">
        <v>41547</v>
      </c>
      <c r="B6181" s="418">
        <v>0.92390046296296291</v>
      </c>
      <c r="C6181" s="421" t="s">
        <v>1448</v>
      </c>
    </row>
    <row r="6182" spans="1:3" x14ac:dyDescent="0.25">
      <c r="A6182" s="417">
        <v>41547</v>
      </c>
      <c r="B6182" s="418">
        <v>0.92391203703703706</v>
      </c>
      <c r="C6182" s="421" t="s">
        <v>1450</v>
      </c>
    </row>
    <row r="6183" spans="1:3" x14ac:dyDescent="0.25">
      <c r="A6183" s="417">
        <v>41547</v>
      </c>
      <c r="B6183" s="418">
        <v>0.92391203703703706</v>
      </c>
      <c r="C6183" s="421" t="s">
        <v>1450</v>
      </c>
    </row>
    <row r="6184" spans="1:3" x14ac:dyDescent="0.25">
      <c r="A6184" s="417">
        <v>41547</v>
      </c>
      <c r="B6184" s="418">
        <v>0.92391203703703706</v>
      </c>
      <c r="C6184" s="421" t="s">
        <v>1450</v>
      </c>
    </row>
    <row r="6185" spans="1:3" x14ac:dyDescent="0.25">
      <c r="A6185" s="417">
        <v>41547</v>
      </c>
      <c r="B6185" s="418">
        <v>0.92391203703703706</v>
      </c>
      <c r="C6185" s="421" t="s">
        <v>1450</v>
      </c>
    </row>
    <row r="6186" spans="1:3" x14ac:dyDescent="0.25">
      <c r="A6186" s="417">
        <v>41547</v>
      </c>
      <c r="B6186" s="418">
        <v>0.92391203703703706</v>
      </c>
      <c r="C6186" s="421" t="s">
        <v>1450</v>
      </c>
    </row>
    <row r="6187" spans="1:3" x14ac:dyDescent="0.25">
      <c r="A6187" s="417">
        <v>41547</v>
      </c>
      <c r="B6187" s="418">
        <v>0.92391203703703706</v>
      </c>
      <c r="C6187" s="421" t="s">
        <v>1450</v>
      </c>
    </row>
    <row r="6188" spans="1:3" x14ac:dyDescent="0.25">
      <c r="A6188" s="417">
        <v>41547</v>
      </c>
      <c r="B6188" s="418">
        <v>0.92391203703703706</v>
      </c>
      <c r="C6188" s="421" t="s">
        <v>1450</v>
      </c>
    </row>
    <row r="6189" spans="1:3" x14ac:dyDescent="0.25">
      <c r="A6189" s="417">
        <v>41547</v>
      </c>
      <c r="B6189" s="418">
        <v>0.92413194444444446</v>
      </c>
      <c r="C6189" s="421" t="s">
        <v>1448</v>
      </c>
    </row>
    <row r="6190" spans="1:3" x14ac:dyDescent="0.25">
      <c r="A6190" s="417">
        <v>41547</v>
      </c>
      <c r="B6190" s="418">
        <v>0.92417824074074073</v>
      </c>
      <c r="C6190" s="421" t="s">
        <v>1399</v>
      </c>
    </row>
    <row r="6191" spans="1:3" x14ac:dyDescent="0.25">
      <c r="A6191" s="417">
        <v>41547</v>
      </c>
      <c r="B6191" s="418">
        <v>0.92421296296296296</v>
      </c>
      <c r="C6191" s="421" t="s">
        <v>1309</v>
      </c>
    </row>
    <row r="6192" spans="1:3" x14ac:dyDescent="0.25">
      <c r="A6192" s="417">
        <v>41547</v>
      </c>
      <c r="B6192" s="418">
        <v>0.92422453703703711</v>
      </c>
      <c r="C6192" s="421" t="s">
        <v>1830</v>
      </c>
    </row>
    <row r="6193" spans="1:3" x14ac:dyDescent="0.25">
      <c r="A6193" s="417">
        <v>41547</v>
      </c>
      <c r="B6193" s="418">
        <v>0.92422453703703711</v>
      </c>
      <c r="C6193" s="421" t="s">
        <v>1307</v>
      </c>
    </row>
    <row r="6194" spans="1:3" x14ac:dyDescent="0.25">
      <c r="A6194" s="417">
        <v>41547</v>
      </c>
      <c r="B6194" s="418">
        <v>0.92435185185185187</v>
      </c>
      <c r="C6194" s="421" t="s">
        <v>1890</v>
      </c>
    </row>
    <row r="6195" spans="1:3" x14ac:dyDescent="0.25">
      <c r="A6195" s="417">
        <v>41547</v>
      </c>
      <c r="B6195" s="418">
        <v>0.92436342592592602</v>
      </c>
      <c r="C6195" s="421" t="s">
        <v>1891</v>
      </c>
    </row>
    <row r="6196" spans="1:3" x14ac:dyDescent="0.25">
      <c r="A6196" s="417">
        <v>41547</v>
      </c>
      <c r="B6196" s="418">
        <v>0.92436342592592602</v>
      </c>
      <c r="C6196" s="421" t="s">
        <v>1771</v>
      </c>
    </row>
    <row r="6197" spans="1:3" ht="45" x14ac:dyDescent="0.25">
      <c r="A6197" s="417">
        <v>41547</v>
      </c>
      <c r="B6197" s="418">
        <v>0.93844907407407396</v>
      </c>
      <c r="C6197" s="946" t="s">
        <v>1892</v>
      </c>
    </row>
    <row r="6198" spans="1:3" x14ac:dyDescent="0.25">
      <c r="A6198" s="417">
        <v>41547</v>
      </c>
      <c r="B6198" s="418">
        <v>0.94380787037037039</v>
      </c>
      <c r="C6198" s="421" t="s">
        <v>1307</v>
      </c>
    </row>
    <row r="6199" spans="1:3" x14ac:dyDescent="0.25">
      <c r="A6199" s="417">
        <v>41547</v>
      </c>
      <c r="B6199" s="418">
        <v>0.94381944444444443</v>
      </c>
      <c r="C6199" s="421" t="s">
        <v>1308</v>
      </c>
    </row>
    <row r="6200" spans="1:3" x14ac:dyDescent="0.25">
      <c r="A6200" s="417">
        <v>41547</v>
      </c>
      <c r="B6200" s="418">
        <v>0.94381944444444443</v>
      </c>
      <c r="C6200" s="421" t="s">
        <v>1309</v>
      </c>
    </row>
    <row r="6201" spans="1:3" x14ac:dyDescent="0.25">
      <c r="A6201" s="417">
        <v>41547</v>
      </c>
      <c r="B6201" s="418">
        <v>0.94381944444444443</v>
      </c>
      <c r="C6201" s="421" t="s">
        <v>1310</v>
      </c>
    </row>
    <row r="6202" spans="1:3" x14ac:dyDescent="0.25">
      <c r="A6202" s="417">
        <v>41547</v>
      </c>
      <c r="B6202" s="418">
        <v>0.94381944444444443</v>
      </c>
      <c r="C6202" s="421" t="s">
        <v>1311</v>
      </c>
    </row>
    <row r="6203" spans="1:3" x14ac:dyDescent="0.25">
      <c r="A6203" s="417">
        <v>41547</v>
      </c>
      <c r="B6203" s="418">
        <v>0.94381944444444443</v>
      </c>
      <c r="C6203" s="421" t="s">
        <v>1312</v>
      </c>
    </row>
    <row r="6204" spans="1:3" x14ac:dyDescent="0.25">
      <c r="A6204" s="417">
        <v>41547</v>
      </c>
      <c r="B6204" s="418">
        <v>0.94381944444444443</v>
      </c>
      <c r="C6204" s="421" t="s">
        <v>1313</v>
      </c>
    </row>
    <row r="6205" spans="1:3" x14ac:dyDescent="0.25">
      <c r="A6205" s="417">
        <v>41547</v>
      </c>
      <c r="B6205" s="418">
        <v>0.94381944444444443</v>
      </c>
      <c r="C6205" s="421" t="s">
        <v>1310</v>
      </c>
    </row>
    <row r="6206" spans="1:3" x14ac:dyDescent="0.25">
      <c r="A6206" s="417">
        <v>41547</v>
      </c>
      <c r="B6206" s="418">
        <v>0.94381944444444443</v>
      </c>
      <c r="C6206" s="421" t="s">
        <v>1314</v>
      </c>
    </row>
    <row r="6207" spans="1:3" x14ac:dyDescent="0.25">
      <c r="A6207" s="417">
        <v>41547</v>
      </c>
      <c r="B6207" s="418">
        <v>0.94381944444444443</v>
      </c>
      <c r="C6207" s="421" t="s">
        <v>1315</v>
      </c>
    </row>
    <row r="6208" spans="1:3" x14ac:dyDescent="0.25">
      <c r="A6208" s="417">
        <v>41547</v>
      </c>
      <c r="B6208" s="418">
        <v>0.94381944444444443</v>
      </c>
      <c r="C6208" s="421" t="s">
        <v>1460</v>
      </c>
    </row>
    <row r="6209" spans="1:3" x14ac:dyDescent="0.25">
      <c r="A6209" s="417">
        <v>41547</v>
      </c>
      <c r="B6209" s="418">
        <v>0.94381944444444443</v>
      </c>
      <c r="C6209" s="421" t="s">
        <v>1461</v>
      </c>
    </row>
    <row r="6210" spans="1:3" x14ac:dyDescent="0.25">
      <c r="A6210" s="417">
        <v>41547</v>
      </c>
      <c r="B6210" s="418">
        <v>0.94381944444444443</v>
      </c>
      <c r="C6210" s="421" t="s">
        <v>1310</v>
      </c>
    </row>
    <row r="6211" spans="1:3" x14ac:dyDescent="0.25">
      <c r="A6211" s="417">
        <v>41547</v>
      </c>
      <c r="B6211" s="418">
        <v>0.94381944444444443</v>
      </c>
      <c r="C6211" s="421" t="s">
        <v>1462</v>
      </c>
    </row>
    <row r="6212" spans="1:3" x14ac:dyDescent="0.25">
      <c r="A6212" s="417">
        <v>41547</v>
      </c>
      <c r="B6212" s="418">
        <v>0.94381944444444443</v>
      </c>
      <c r="C6212" s="421" t="s">
        <v>1316</v>
      </c>
    </row>
    <row r="6213" spans="1:3" x14ac:dyDescent="0.25">
      <c r="A6213" s="417">
        <v>41547</v>
      </c>
      <c r="B6213" s="418">
        <v>0.94381944444444443</v>
      </c>
      <c r="C6213" s="421" t="s">
        <v>1316</v>
      </c>
    </row>
    <row r="6214" spans="1:3" x14ac:dyDescent="0.25">
      <c r="A6214" s="417">
        <v>41547</v>
      </c>
      <c r="B6214" s="418">
        <v>0.94381944444444443</v>
      </c>
      <c r="C6214" s="421" t="s">
        <v>1317</v>
      </c>
    </row>
    <row r="6215" spans="1:3" x14ac:dyDescent="0.25">
      <c r="A6215" s="417">
        <v>41547</v>
      </c>
      <c r="B6215" s="418">
        <v>0.94381944444444443</v>
      </c>
      <c r="C6215" s="421" t="s">
        <v>1309</v>
      </c>
    </row>
    <row r="6216" spans="1:3" x14ac:dyDescent="0.25">
      <c r="A6216" s="417">
        <v>41547</v>
      </c>
      <c r="B6216" s="418">
        <v>0.94381944444444443</v>
      </c>
      <c r="C6216" s="421" t="s">
        <v>1318</v>
      </c>
    </row>
    <row r="6217" spans="1:3" x14ac:dyDescent="0.25">
      <c r="A6217" s="417">
        <v>41547</v>
      </c>
      <c r="B6217" s="418">
        <v>0.94381944444444443</v>
      </c>
      <c r="C6217" s="421" t="s">
        <v>1319</v>
      </c>
    </row>
    <row r="6218" spans="1:3" x14ac:dyDescent="0.25">
      <c r="A6218" s="417">
        <v>41547</v>
      </c>
      <c r="B6218" s="418">
        <v>0.94381944444444443</v>
      </c>
      <c r="C6218" s="421" t="s">
        <v>1320</v>
      </c>
    </row>
    <row r="6219" spans="1:3" x14ac:dyDescent="0.25">
      <c r="A6219" s="417">
        <v>41547</v>
      </c>
      <c r="B6219" s="418">
        <v>0.94381944444444443</v>
      </c>
      <c r="C6219" s="421" t="s">
        <v>1318</v>
      </c>
    </row>
    <row r="6220" spans="1:3" x14ac:dyDescent="0.25">
      <c r="A6220" s="417">
        <v>41547</v>
      </c>
      <c r="B6220" s="418">
        <v>0.94381944444444443</v>
      </c>
      <c r="C6220" s="421" t="s">
        <v>1307</v>
      </c>
    </row>
    <row r="6221" spans="1:3" x14ac:dyDescent="0.25">
      <c r="A6221" s="417">
        <v>41547</v>
      </c>
      <c r="B6221" s="418">
        <v>0.94381944444444443</v>
      </c>
      <c r="C6221" s="421" t="s">
        <v>1321</v>
      </c>
    </row>
    <row r="6222" spans="1:3" x14ac:dyDescent="0.25">
      <c r="A6222" s="417">
        <v>41547</v>
      </c>
      <c r="B6222" s="418">
        <v>0.94381944444444443</v>
      </c>
      <c r="C6222" s="421" t="s">
        <v>1322</v>
      </c>
    </row>
    <row r="6223" spans="1:3" x14ac:dyDescent="0.25">
      <c r="A6223" s="417">
        <v>41547</v>
      </c>
      <c r="B6223" s="418">
        <v>0.94381944444444443</v>
      </c>
      <c r="C6223" s="421" t="s">
        <v>1322</v>
      </c>
    </row>
    <row r="6224" spans="1:3" x14ac:dyDescent="0.25">
      <c r="A6224" s="417">
        <v>41547</v>
      </c>
      <c r="B6224" s="418">
        <v>0.94381944444444443</v>
      </c>
      <c r="C6224" s="421" t="s">
        <v>1323</v>
      </c>
    </row>
    <row r="6225" spans="1:3" x14ac:dyDescent="0.25">
      <c r="A6225" s="417">
        <v>41547</v>
      </c>
      <c r="B6225" s="418">
        <v>0.94381944444444443</v>
      </c>
      <c r="C6225" s="421" t="s">
        <v>1324</v>
      </c>
    </row>
    <row r="6226" spans="1:3" x14ac:dyDescent="0.25">
      <c r="A6226" s="417">
        <v>41547</v>
      </c>
      <c r="B6226" s="418">
        <v>0.94381944444444443</v>
      </c>
      <c r="C6226" s="421" t="s">
        <v>1310</v>
      </c>
    </row>
    <row r="6227" spans="1:3" x14ac:dyDescent="0.25">
      <c r="A6227" s="417">
        <v>41547</v>
      </c>
      <c r="B6227" s="418">
        <v>0.94381944444444443</v>
      </c>
      <c r="C6227" s="421" t="s">
        <v>1325</v>
      </c>
    </row>
    <row r="6228" spans="1:3" x14ac:dyDescent="0.25">
      <c r="A6228" s="417">
        <v>41547</v>
      </c>
      <c r="B6228" s="418">
        <v>0.94381944444444443</v>
      </c>
      <c r="C6228" s="421" t="s">
        <v>1326</v>
      </c>
    </row>
    <row r="6229" spans="1:3" x14ac:dyDescent="0.25">
      <c r="A6229" s="417">
        <v>41547</v>
      </c>
      <c r="B6229" s="418">
        <v>0.94381944444444443</v>
      </c>
      <c r="C6229" s="421" t="s">
        <v>1238</v>
      </c>
    </row>
    <row r="6230" spans="1:3" x14ac:dyDescent="0.25">
      <c r="A6230" s="417">
        <v>41547</v>
      </c>
      <c r="B6230" s="418">
        <v>0.94381944444444443</v>
      </c>
      <c r="C6230" s="421" t="s">
        <v>1327</v>
      </c>
    </row>
    <row r="6231" spans="1:3" x14ac:dyDescent="0.25">
      <c r="A6231" s="417">
        <v>41547</v>
      </c>
      <c r="B6231" s="418">
        <v>0.94381944444444443</v>
      </c>
      <c r="C6231" s="421" t="s">
        <v>1323</v>
      </c>
    </row>
    <row r="6232" spans="1:3" x14ac:dyDescent="0.25">
      <c r="A6232" s="417">
        <v>41547</v>
      </c>
      <c r="B6232" s="418">
        <v>0.94381944444444443</v>
      </c>
      <c r="C6232" s="421" t="s">
        <v>1342</v>
      </c>
    </row>
    <row r="6233" spans="1:3" x14ac:dyDescent="0.25">
      <c r="A6233" s="417">
        <v>41547</v>
      </c>
      <c r="B6233" s="418">
        <v>0.94381944444444443</v>
      </c>
      <c r="C6233" s="421" t="s">
        <v>1343</v>
      </c>
    </row>
    <row r="6234" spans="1:3" x14ac:dyDescent="0.25">
      <c r="A6234" s="417">
        <v>41547</v>
      </c>
      <c r="B6234" s="418">
        <v>0.94381944444444443</v>
      </c>
      <c r="C6234" s="421" t="s">
        <v>1344</v>
      </c>
    </row>
    <row r="6235" spans="1:3" x14ac:dyDescent="0.25">
      <c r="A6235" s="417">
        <v>41547</v>
      </c>
      <c r="B6235" s="418">
        <v>0.94381944444444443</v>
      </c>
      <c r="C6235" s="421" t="s">
        <v>1344</v>
      </c>
    </row>
    <row r="6236" spans="1:3" x14ac:dyDescent="0.25">
      <c r="A6236" s="417">
        <v>41547</v>
      </c>
      <c r="B6236" s="418">
        <v>0.94381944444444443</v>
      </c>
      <c r="C6236" s="421" t="s">
        <v>1310</v>
      </c>
    </row>
    <row r="6237" spans="1:3" x14ac:dyDescent="0.25">
      <c r="A6237" s="417">
        <v>41547</v>
      </c>
      <c r="B6237" s="418">
        <v>0.94381944444444443</v>
      </c>
      <c r="C6237" s="421" t="s">
        <v>1345</v>
      </c>
    </row>
    <row r="6238" spans="1:3" x14ac:dyDescent="0.25">
      <c r="A6238" s="417">
        <v>41547</v>
      </c>
      <c r="B6238" s="418">
        <v>0.94381944444444443</v>
      </c>
      <c r="C6238" s="421" t="s">
        <v>1346</v>
      </c>
    </row>
    <row r="6239" spans="1:3" x14ac:dyDescent="0.25">
      <c r="A6239" s="417">
        <v>41547</v>
      </c>
      <c r="B6239" s="418">
        <v>0.94381944444444443</v>
      </c>
      <c r="C6239" s="421" t="s">
        <v>1347</v>
      </c>
    </row>
    <row r="6240" spans="1:3" x14ac:dyDescent="0.25">
      <c r="A6240" s="417">
        <v>41547</v>
      </c>
      <c r="B6240" s="418">
        <v>0.94381944444444443</v>
      </c>
      <c r="C6240" s="421" t="s">
        <v>1348</v>
      </c>
    </row>
    <row r="6241" spans="1:3" x14ac:dyDescent="0.25">
      <c r="A6241" s="417">
        <v>41547</v>
      </c>
      <c r="B6241" s="418">
        <v>0.94381944444444443</v>
      </c>
      <c r="C6241" s="421" t="s">
        <v>1349</v>
      </c>
    </row>
    <row r="6242" spans="1:3" x14ac:dyDescent="0.25">
      <c r="A6242" s="417">
        <v>41547</v>
      </c>
      <c r="B6242" s="418">
        <v>0.94383101851851858</v>
      </c>
      <c r="C6242" s="421" t="s">
        <v>1349</v>
      </c>
    </row>
    <row r="6243" spans="1:3" x14ac:dyDescent="0.25">
      <c r="A6243" s="417">
        <v>41547</v>
      </c>
      <c r="B6243" s="418">
        <v>0.94383101851851858</v>
      </c>
      <c r="C6243" s="421" t="s">
        <v>1348</v>
      </c>
    </row>
    <row r="6244" spans="1:3" x14ac:dyDescent="0.25">
      <c r="A6244" s="417">
        <v>41547</v>
      </c>
      <c r="B6244" s="418">
        <v>0.94383101851851858</v>
      </c>
      <c r="C6244" s="421" t="s">
        <v>1350</v>
      </c>
    </row>
    <row r="6245" spans="1:3" x14ac:dyDescent="0.25">
      <c r="A6245" s="417">
        <v>41547</v>
      </c>
      <c r="B6245" s="418">
        <v>0.94383101851851858</v>
      </c>
      <c r="C6245" s="421" t="s">
        <v>1351</v>
      </c>
    </row>
    <row r="6246" spans="1:3" x14ac:dyDescent="0.25">
      <c r="A6246" s="417">
        <v>41547</v>
      </c>
      <c r="B6246" s="418">
        <v>0.94383101851851858</v>
      </c>
      <c r="C6246" s="421" t="s">
        <v>1352</v>
      </c>
    </row>
    <row r="6247" spans="1:3" x14ac:dyDescent="0.25">
      <c r="A6247" s="417">
        <v>41547</v>
      </c>
      <c r="B6247" s="418">
        <v>0.94383101851851858</v>
      </c>
      <c r="C6247" s="421" t="s">
        <v>1768</v>
      </c>
    </row>
    <row r="6248" spans="1:3" x14ac:dyDescent="0.25">
      <c r="A6248" s="417">
        <v>41547</v>
      </c>
      <c r="B6248" s="418">
        <v>0.94383101851851858</v>
      </c>
      <c r="C6248" s="421" t="s">
        <v>1353</v>
      </c>
    </row>
    <row r="6249" spans="1:3" x14ac:dyDescent="0.25">
      <c r="A6249" s="417">
        <v>41547</v>
      </c>
      <c r="B6249" s="418">
        <v>0.94383101851851858</v>
      </c>
      <c r="C6249" s="421" t="s">
        <v>1354</v>
      </c>
    </row>
    <row r="6250" spans="1:3" x14ac:dyDescent="0.25">
      <c r="A6250" s="417">
        <v>41547</v>
      </c>
      <c r="B6250" s="418">
        <v>0.94383101851851858</v>
      </c>
      <c r="C6250" s="421" t="s">
        <v>1357</v>
      </c>
    </row>
    <row r="6251" spans="1:3" x14ac:dyDescent="0.25">
      <c r="A6251" s="417">
        <v>41547</v>
      </c>
      <c r="B6251" s="418">
        <v>0.94383101851851858</v>
      </c>
      <c r="C6251" s="421" t="s">
        <v>1358</v>
      </c>
    </row>
    <row r="6252" spans="1:3" x14ac:dyDescent="0.25">
      <c r="A6252" s="417">
        <v>41547</v>
      </c>
      <c r="B6252" s="418">
        <v>0.94383101851851858</v>
      </c>
      <c r="C6252" s="421" t="s">
        <v>1359</v>
      </c>
    </row>
    <row r="6253" spans="1:3" x14ac:dyDescent="0.25">
      <c r="A6253" s="417">
        <v>41547</v>
      </c>
      <c r="B6253" s="418">
        <v>0.94383101851851858</v>
      </c>
      <c r="C6253" s="421" t="s">
        <v>1360</v>
      </c>
    </row>
    <row r="6254" spans="1:3" x14ac:dyDescent="0.25">
      <c r="A6254" s="417">
        <v>41547</v>
      </c>
      <c r="B6254" s="418">
        <v>0.94383101851851858</v>
      </c>
      <c r="C6254" s="421" t="s">
        <v>1361</v>
      </c>
    </row>
    <row r="6255" spans="1:3" x14ac:dyDescent="0.25">
      <c r="A6255" s="417">
        <v>41547</v>
      </c>
      <c r="B6255" s="418">
        <v>0.94383101851851858</v>
      </c>
      <c r="C6255" s="421" t="s">
        <v>1317</v>
      </c>
    </row>
    <row r="6256" spans="1:3" x14ac:dyDescent="0.25">
      <c r="A6256" s="417">
        <v>41547</v>
      </c>
      <c r="B6256" s="418">
        <v>0.94383101851851858</v>
      </c>
      <c r="C6256" s="421" t="s">
        <v>1537</v>
      </c>
    </row>
    <row r="6257" spans="1:3" x14ac:dyDescent="0.25">
      <c r="A6257" s="417">
        <v>41547</v>
      </c>
      <c r="B6257" s="418">
        <v>0.94383101851851858</v>
      </c>
      <c r="C6257" s="421" t="s">
        <v>1363</v>
      </c>
    </row>
    <row r="6258" spans="1:3" x14ac:dyDescent="0.25">
      <c r="A6258" s="417">
        <v>41547</v>
      </c>
      <c r="B6258" s="418">
        <v>0.94383101851851858</v>
      </c>
      <c r="C6258" s="421" t="s">
        <v>1364</v>
      </c>
    </row>
    <row r="6259" spans="1:3" x14ac:dyDescent="0.25">
      <c r="A6259" s="417">
        <v>41547</v>
      </c>
      <c r="B6259" s="418">
        <v>0.94383101851851858</v>
      </c>
      <c r="C6259" s="421" t="s">
        <v>1365</v>
      </c>
    </row>
    <row r="6260" spans="1:3" x14ac:dyDescent="0.25">
      <c r="A6260" s="417">
        <v>41547</v>
      </c>
      <c r="B6260" s="418">
        <v>0.94383101851851858</v>
      </c>
      <c r="C6260" s="421" t="s">
        <v>1365</v>
      </c>
    </row>
    <row r="6261" spans="1:3" x14ac:dyDescent="0.25">
      <c r="A6261" s="417">
        <v>41547</v>
      </c>
      <c r="B6261" s="418">
        <v>0.94383101851851858</v>
      </c>
      <c r="C6261" s="421" t="s">
        <v>1320</v>
      </c>
    </row>
    <row r="6262" spans="1:3" x14ac:dyDescent="0.25">
      <c r="A6262" s="417">
        <v>41547</v>
      </c>
      <c r="B6262" s="418">
        <v>0.94383101851851858</v>
      </c>
      <c r="C6262" s="421" t="s">
        <v>1367</v>
      </c>
    </row>
    <row r="6263" spans="1:3" x14ac:dyDescent="0.25">
      <c r="A6263" s="417">
        <v>41547</v>
      </c>
      <c r="B6263" s="418">
        <v>0.94383101851851858</v>
      </c>
      <c r="C6263" s="421" t="s">
        <v>1344</v>
      </c>
    </row>
    <row r="6264" spans="1:3" x14ac:dyDescent="0.25">
      <c r="A6264" s="417">
        <v>41547</v>
      </c>
      <c r="B6264" s="418">
        <v>0.94383101851851858</v>
      </c>
      <c r="C6264" s="421" t="s">
        <v>1368</v>
      </c>
    </row>
    <row r="6265" spans="1:3" x14ac:dyDescent="0.25">
      <c r="A6265" s="417">
        <v>41547</v>
      </c>
      <c r="B6265" s="418">
        <v>0.94383101851851858</v>
      </c>
      <c r="C6265" s="421" t="s">
        <v>1369</v>
      </c>
    </row>
    <row r="6266" spans="1:3" x14ac:dyDescent="0.25">
      <c r="A6266" s="417">
        <v>41547</v>
      </c>
      <c r="B6266" s="418">
        <v>0.94383101851851858</v>
      </c>
      <c r="C6266" s="421" t="s">
        <v>1307</v>
      </c>
    </row>
    <row r="6267" spans="1:3" x14ac:dyDescent="0.25">
      <c r="A6267" s="417">
        <v>41547</v>
      </c>
      <c r="B6267" s="418">
        <v>0.94383101851851858</v>
      </c>
      <c r="C6267" s="421" t="s">
        <v>1370</v>
      </c>
    </row>
    <row r="6268" spans="1:3" x14ac:dyDescent="0.25">
      <c r="A6268" s="417">
        <v>41547</v>
      </c>
      <c r="B6268" s="418">
        <v>0.94383101851851858</v>
      </c>
      <c r="C6268" s="421" t="s">
        <v>1371</v>
      </c>
    </row>
    <row r="6269" spans="1:3" x14ac:dyDescent="0.25">
      <c r="A6269" s="417">
        <v>41547</v>
      </c>
      <c r="B6269" s="418">
        <v>0.94383101851851858</v>
      </c>
      <c r="C6269" s="421" t="s">
        <v>1344</v>
      </c>
    </row>
    <row r="6270" spans="1:3" x14ac:dyDescent="0.25">
      <c r="A6270" s="417">
        <v>41547</v>
      </c>
      <c r="B6270" s="418">
        <v>0.94383101851851858</v>
      </c>
      <c r="C6270" s="421" t="s">
        <v>1317</v>
      </c>
    </row>
    <row r="6271" spans="1:3" x14ac:dyDescent="0.25">
      <c r="A6271" s="417">
        <v>41547</v>
      </c>
      <c r="B6271" s="418">
        <v>0.94383101851851858</v>
      </c>
      <c r="C6271" s="421" t="s">
        <v>1463</v>
      </c>
    </row>
    <row r="6272" spans="1:3" x14ac:dyDescent="0.25">
      <c r="A6272" s="417">
        <v>41547</v>
      </c>
      <c r="B6272" s="418">
        <v>0.94383101851851858</v>
      </c>
      <c r="C6272" s="421" t="s">
        <v>1373</v>
      </c>
    </row>
    <row r="6273" spans="1:3" x14ac:dyDescent="0.25">
      <c r="A6273" s="417">
        <v>41547</v>
      </c>
      <c r="B6273" s="418">
        <v>0.94383101851851858</v>
      </c>
      <c r="C6273" s="421" t="s">
        <v>1308</v>
      </c>
    </row>
    <row r="6274" spans="1:3" x14ac:dyDescent="0.25">
      <c r="A6274" s="417">
        <v>41547</v>
      </c>
      <c r="B6274" s="418">
        <v>0.94383101851851858</v>
      </c>
      <c r="C6274" s="421" t="s">
        <v>1374</v>
      </c>
    </row>
    <row r="6275" spans="1:3" x14ac:dyDescent="0.25">
      <c r="A6275" s="417">
        <v>41547</v>
      </c>
      <c r="B6275" s="418">
        <v>0.94383101851851858</v>
      </c>
      <c r="C6275" s="421" t="s">
        <v>1375</v>
      </c>
    </row>
    <row r="6276" spans="1:3" x14ac:dyDescent="0.25">
      <c r="A6276" s="417">
        <v>41547</v>
      </c>
      <c r="B6276" s="418">
        <v>0.94383101851851858</v>
      </c>
      <c r="C6276" s="421" t="s">
        <v>1376</v>
      </c>
    </row>
    <row r="6277" spans="1:3" x14ac:dyDescent="0.25">
      <c r="A6277" s="417">
        <v>41547</v>
      </c>
      <c r="B6277" s="418">
        <v>0.94383101851851858</v>
      </c>
      <c r="C6277" s="421" t="s">
        <v>1377</v>
      </c>
    </row>
    <row r="6278" spans="1:3" x14ac:dyDescent="0.25">
      <c r="A6278" s="417">
        <v>41547</v>
      </c>
      <c r="B6278" s="418">
        <v>0.94383101851851858</v>
      </c>
      <c r="C6278" s="421" t="s">
        <v>1326</v>
      </c>
    </row>
    <row r="6279" spans="1:3" x14ac:dyDescent="0.25">
      <c r="A6279" s="417">
        <v>41547</v>
      </c>
      <c r="B6279" s="418">
        <v>0.94383101851851858</v>
      </c>
      <c r="C6279" s="421" t="s">
        <v>1755</v>
      </c>
    </row>
    <row r="6280" spans="1:3" x14ac:dyDescent="0.25">
      <c r="A6280" s="417">
        <v>41547</v>
      </c>
      <c r="B6280" s="418">
        <v>0.94383101851851858</v>
      </c>
      <c r="C6280" s="421" t="s">
        <v>1380</v>
      </c>
    </row>
    <row r="6281" spans="1:3" x14ac:dyDescent="0.25">
      <c r="A6281" s="417">
        <v>41547</v>
      </c>
      <c r="B6281" s="418">
        <v>0.94383101851851858</v>
      </c>
      <c r="C6281" s="421" t="s">
        <v>1381</v>
      </c>
    </row>
    <row r="6282" spans="1:3" x14ac:dyDescent="0.25">
      <c r="A6282" s="417">
        <v>41547</v>
      </c>
      <c r="B6282" s="418">
        <v>0.94383101851851858</v>
      </c>
      <c r="C6282" s="421" t="s">
        <v>1382</v>
      </c>
    </row>
    <row r="6283" spans="1:3" x14ac:dyDescent="0.25">
      <c r="A6283" s="417">
        <v>41547</v>
      </c>
      <c r="B6283" s="418">
        <v>0.94383101851851858</v>
      </c>
      <c r="C6283" s="421" t="s">
        <v>1383</v>
      </c>
    </row>
    <row r="6284" spans="1:3" x14ac:dyDescent="0.25">
      <c r="A6284" s="417">
        <v>41547</v>
      </c>
      <c r="B6284" s="418">
        <v>0.94383101851851858</v>
      </c>
      <c r="C6284" s="421" t="s">
        <v>1352</v>
      </c>
    </row>
    <row r="6285" spans="1:3" x14ac:dyDescent="0.25">
      <c r="A6285" s="417">
        <v>41547</v>
      </c>
      <c r="B6285" s="418">
        <v>0.94383101851851858</v>
      </c>
      <c r="C6285" s="421" t="s">
        <v>1384</v>
      </c>
    </row>
    <row r="6286" spans="1:3" x14ac:dyDescent="0.25">
      <c r="A6286" s="417">
        <v>41547</v>
      </c>
      <c r="B6286" s="418">
        <v>0.94383101851851858</v>
      </c>
      <c r="C6286" s="421" t="s">
        <v>1385</v>
      </c>
    </row>
    <row r="6287" spans="1:3" x14ac:dyDescent="0.25">
      <c r="A6287" s="417">
        <v>41547</v>
      </c>
      <c r="B6287" s="418">
        <v>0.94383101851851858</v>
      </c>
      <c r="C6287" s="421" t="s">
        <v>1385</v>
      </c>
    </row>
    <row r="6288" spans="1:3" x14ac:dyDescent="0.25">
      <c r="A6288" s="417">
        <v>41547</v>
      </c>
      <c r="B6288" s="418">
        <v>0.94383101851851858</v>
      </c>
      <c r="C6288" s="421" t="s">
        <v>1386</v>
      </c>
    </row>
    <row r="6289" spans="1:3" x14ac:dyDescent="0.25">
      <c r="A6289" s="417">
        <v>41547</v>
      </c>
      <c r="B6289" s="418">
        <v>0.94383101851851858</v>
      </c>
      <c r="C6289" s="421" t="s">
        <v>1387</v>
      </c>
    </row>
    <row r="6290" spans="1:3" x14ac:dyDescent="0.25">
      <c r="A6290" s="417">
        <v>41547</v>
      </c>
      <c r="B6290" s="418">
        <v>0.94383101851851858</v>
      </c>
      <c r="C6290" s="421" t="s">
        <v>1387</v>
      </c>
    </row>
    <row r="6291" spans="1:3" x14ac:dyDescent="0.25">
      <c r="A6291" s="417">
        <v>41547</v>
      </c>
      <c r="B6291" s="418">
        <v>0.94383101851851858</v>
      </c>
      <c r="C6291" s="421" t="s">
        <v>1318</v>
      </c>
    </row>
    <row r="6292" spans="1:3" x14ac:dyDescent="0.25">
      <c r="A6292" s="417">
        <v>41547</v>
      </c>
      <c r="B6292" s="418">
        <v>0.94383101851851858</v>
      </c>
      <c r="C6292" s="421" t="s">
        <v>1388</v>
      </c>
    </row>
    <row r="6293" spans="1:3" x14ac:dyDescent="0.25">
      <c r="A6293" s="417">
        <v>41547</v>
      </c>
      <c r="B6293" s="418">
        <v>0.94383101851851858</v>
      </c>
      <c r="C6293" s="421" t="s">
        <v>1390</v>
      </c>
    </row>
    <row r="6294" spans="1:3" x14ac:dyDescent="0.25">
      <c r="A6294" s="417">
        <v>41547</v>
      </c>
      <c r="B6294" s="418">
        <v>0.94383101851851858</v>
      </c>
      <c r="C6294" s="421" t="s">
        <v>1391</v>
      </c>
    </row>
    <row r="6295" spans="1:3" x14ac:dyDescent="0.25">
      <c r="A6295" s="417">
        <v>41547</v>
      </c>
      <c r="B6295" s="418">
        <v>0.94383101851851858</v>
      </c>
      <c r="C6295" s="421" t="s">
        <v>1392</v>
      </c>
    </row>
    <row r="6296" spans="1:3" x14ac:dyDescent="0.25">
      <c r="A6296" s="417">
        <v>41547</v>
      </c>
      <c r="B6296" s="418">
        <v>0.94383101851851858</v>
      </c>
      <c r="C6296" s="421" t="s">
        <v>1795</v>
      </c>
    </row>
    <row r="6297" spans="1:3" x14ac:dyDescent="0.25">
      <c r="A6297" s="417">
        <v>41547</v>
      </c>
      <c r="B6297" s="418">
        <v>0.94384259259259251</v>
      </c>
      <c r="C6297" s="421" t="s">
        <v>1393</v>
      </c>
    </row>
    <row r="6298" spans="1:3" x14ac:dyDescent="0.25">
      <c r="A6298" s="417">
        <v>41547</v>
      </c>
      <c r="B6298" s="418">
        <v>0.94384259259259251</v>
      </c>
      <c r="C6298" s="421" t="s">
        <v>1394</v>
      </c>
    </row>
    <row r="6299" spans="1:3" x14ac:dyDescent="0.25">
      <c r="A6299" s="417">
        <v>41547</v>
      </c>
      <c r="B6299" s="418">
        <v>0.94384259259259251</v>
      </c>
      <c r="C6299" s="421" t="s">
        <v>1392</v>
      </c>
    </row>
    <row r="6300" spans="1:3" x14ac:dyDescent="0.25">
      <c r="A6300" s="417">
        <v>41547</v>
      </c>
      <c r="B6300" s="418">
        <v>0.94384259259259251</v>
      </c>
      <c r="C6300" s="421" t="s">
        <v>1395</v>
      </c>
    </row>
    <row r="6301" spans="1:3" x14ac:dyDescent="0.25">
      <c r="A6301" s="417">
        <v>41547</v>
      </c>
      <c r="B6301" s="418">
        <v>0.94384259259259251</v>
      </c>
      <c r="C6301" s="421" t="s">
        <v>1396</v>
      </c>
    </row>
    <row r="6302" spans="1:3" x14ac:dyDescent="0.25">
      <c r="A6302" s="417">
        <v>41547</v>
      </c>
      <c r="B6302" s="418">
        <v>0.94384259259259251</v>
      </c>
      <c r="C6302" s="421" t="s">
        <v>1363</v>
      </c>
    </row>
    <row r="6303" spans="1:3" x14ac:dyDescent="0.25">
      <c r="A6303" s="417">
        <v>41547</v>
      </c>
      <c r="B6303" s="418">
        <v>0.94385416666666666</v>
      </c>
      <c r="C6303" s="421" t="s">
        <v>1397</v>
      </c>
    </row>
    <row r="6304" spans="1:3" x14ac:dyDescent="0.25">
      <c r="A6304" s="417">
        <v>41547</v>
      </c>
      <c r="B6304" s="418">
        <v>0.94385416666666666</v>
      </c>
      <c r="C6304" s="421" t="s">
        <v>1381</v>
      </c>
    </row>
    <row r="6305" spans="1:3" x14ac:dyDescent="0.25">
      <c r="A6305" s="417">
        <v>41547</v>
      </c>
      <c r="B6305" s="418">
        <v>0.94385416666666666</v>
      </c>
      <c r="C6305" s="421" t="s">
        <v>1398</v>
      </c>
    </row>
    <row r="6306" spans="1:3" x14ac:dyDescent="0.25">
      <c r="A6306" s="417">
        <v>41547</v>
      </c>
      <c r="B6306" s="418">
        <v>0.94385416666666666</v>
      </c>
      <c r="C6306" s="421" t="s">
        <v>1399</v>
      </c>
    </row>
    <row r="6307" spans="1:3" x14ac:dyDescent="0.25">
      <c r="A6307" s="417">
        <v>41547</v>
      </c>
      <c r="B6307" s="418">
        <v>0.94386574074074081</v>
      </c>
      <c r="C6307" s="421" t="s">
        <v>1400</v>
      </c>
    </row>
    <row r="6308" spans="1:3" x14ac:dyDescent="0.25">
      <c r="A6308" s="417">
        <v>41547</v>
      </c>
      <c r="B6308" s="418">
        <v>0.94386574074074081</v>
      </c>
      <c r="C6308" s="421" t="s">
        <v>1400</v>
      </c>
    </row>
    <row r="6309" spans="1:3" x14ac:dyDescent="0.25">
      <c r="A6309" s="417">
        <v>41547</v>
      </c>
      <c r="B6309" s="418">
        <v>0.94386574074074081</v>
      </c>
      <c r="C6309" s="421" t="s">
        <v>1373</v>
      </c>
    </row>
    <row r="6310" spans="1:3" x14ac:dyDescent="0.25">
      <c r="A6310" s="417">
        <v>41547</v>
      </c>
      <c r="B6310" s="418">
        <v>0.94387731481481474</v>
      </c>
      <c r="C6310" s="421" t="s">
        <v>1353</v>
      </c>
    </row>
    <row r="6311" spans="1:3" x14ac:dyDescent="0.25">
      <c r="A6311" s="417">
        <v>41547</v>
      </c>
      <c r="B6311" s="418">
        <v>0.94387731481481474</v>
      </c>
      <c r="C6311" s="421" t="s">
        <v>1353</v>
      </c>
    </row>
    <row r="6312" spans="1:3" x14ac:dyDescent="0.25">
      <c r="A6312" s="417">
        <v>41547</v>
      </c>
      <c r="B6312" s="418">
        <v>0.94387731481481474</v>
      </c>
      <c r="C6312" s="421" t="s">
        <v>1401</v>
      </c>
    </row>
    <row r="6313" spans="1:3" x14ac:dyDescent="0.25">
      <c r="A6313" s="417">
        <v>41547</v>
      </c>
      <c r="B6313" s="418">
        <v>0.94388888888888889</v>
      </c>
      <c r="C6313" s="421" t="s">
        <v>1392</v>
      </c>
    </row>
    <row r="6314" spans="1:3" x14ac:dyDescent="0.25">
      <c r="A6314" s="417">
        <v>41547</v>
      </c>
      <c r="B6314" s="418">
        <v>0.94388888888888889</v>
      </c>
      <c r="C6314" s="421" t="s">
        <v>1403</v>
      </c>
    </row>
    <row r="6315" spans="1:3" x14ac:dyDescent="0.25">
      <c r="A6315" s="417">
        <v>41547</v>
      </c>
      <c r="B6315" s="418">
        <v>0.94388888888888889</v>
      </c>
      <c r="C6315" s="421" t="s">
        <v>1403</v>
      </c>
    </row>
    <row r="6316" spans="1:3" x14ac:dyDescent="0.25">
      <c r="A6316" s="417">
        <v>41547</v>
      </c>
      <c r="B6316" s="418">
        <v>0.94388888888888889</v>
      </c>
      <c r="C6316" s="421" t="s">
        <v>1403</v>
      </c>
    </row>
    <row r="6317" spans="1:3" x14ac:dyDescent="0.25">
      <c r="A6317" s="417">
        <v>41547</v>
      </c>
      <c r="B6317" s="418">
        <v>0.94391203703703708</v>
      </c>
      <c r="C6317" s="421" t="s">
        <v>1364</v>
      </c>
    </row>
    <row r="6318" spans="1:3" x14ac:dyDescent="0.25">
      <c r="A6318" s="417">
        <v>41547</v>
      </c>
      <c r="B6318" s="418">
        <v>0.94391203703703708</v>
      </c>
      <c r="C6318" s="421" t="s">
        <v>1364</v>
      </c>
    </row>
    <row r="6319" spans="1:3" x14ac:dyDescent="0.25">
      <c r="A6319" s="417">
        <v>41547</v>
      </c>
      <c r="B6319" s="418">
        <v>0.94392361111111101</v>
      </c>
      <c r="C6319" s="421" t="s">
        <v>1381</v>
      </c>
    </row>
    <row r="6320" spans="1:3" x14ac:dyDescent="0.25">
      <c r="A6320" s="417">
        <v>41547</v>
      </c>
      <c r="B6320" s="418">
        <v>0.94392361111111101</v>
      </c>
      <c r="C6320" s="421" t="s">
        <v>1364</v>
      </c>
    </row>
    <row r="6321" spans="1:3" x14ac:dyDescent="0.25">
      <c r="A6321" s="417">
        <v>41547</v>
      </c>
      <c r="B6321" s="418">
        <v>0.94393518518518515</v>
      </c>
      <c r="C6321" s="421" t="s">
        <v>1480</v>
      </c>
    </row>
    <row r="6322" spans="1:3" x14ac:dyDescent="0.25">
      <c r="A6322" s="417">
        <v>41547</v>
      </c>
      <c r="B6322" s="418">
        <v>0.94393518518518515</v>
      </c>
      <c r="C6322" s="421" t="s">
        <v>1480</v>
      </c>
    </row>
    <row r="6323" spans="1:3" x14ac:dyDescent="0.25">
      <c r="A6323" s="417">
        <v>41547</v>
      </c>
      <c r="B6323" s="418">
        <v>0.94393518518518515</v>
      </c>
      <c r="C6323" s="421" t="s">
        <v>1480</v>
      </c>
    </row>
    <row r="6324" spans="1:3" x14ac:dyDescent="0.25">
      <c r="A6324" s="417">
        <v>41547</v>
      </c>
      <c r="B6324" s="418">
        <v>0.94393518518518515</v>
      </c>
      <c r="C6324" s="421" t="s">
        <v>1862</v>
      </c>
    </row>
    <row r="6325" spans="1:3" x14ac:dyDescent="0.25">
      <c r="A6325" s="417">
        <v>41547</v>
      </c>
      <c r="B6325" s="418">
        <v>0.94393518518518515</v>
      </c>
      <c r="C6325" s="421" t="s">
        <v>1541</v>
      </c>
    </row>
    <row r="6326" spans="1:3" x14ac:dyDescent="0.25">
      <c r="A6326" s="417">
        <v>41547</v>
      </c>
      <c r="B6326" s="418">
        <v>0.9439467592592593</v>
      </c>
      <c r="C6326" s="421" t="s">
        <v>1346</v>
      </c>
    </row>
    <row r="6327" spans="1:3" x14ac:dyDescent="0.25">
      <c r="A6327" s="417">
        <v>41547</v>
      </c>
      <c r="B6327" s="418">
        <v>0.9439467592592593</v>
      </c>
      <c r="C6327" s="421" t="s">
        <v>1405</v>
      </c>
    </row>
    <row r="6328" spans="1:3" x14ac:dyDescent="0.25">
      <c r="A6328" s="417">
        <v>41547</v>
      </c>
      <c r="B6328" s="418">
        <v>0.9439467592592593</v>
      </c>
      <c r="C6328" s="421" t="s">
        <v>1406</v>
      </c>
    </row>
    <row r="6329" spans="1:3" x14ac:dyDescent="0.25">
      <c r="A6329" s="417">
        <v>41547</v>
      </c>
      <c r="B6329" s="418">
        <v>0.94398148148148142</v>
      </c>
      <c r="C6329" s="421" t="s">
        <v>1863</v>
      </c>
    </row>
    <row r="6330" spans="1:3" x14ac:dyDescent="0.25">
      <c r="A6330" s="417">
        <v>41547</v>
      </c>
      <c r="B6330" s="418">
        <v>0.94399305555555557</v>
      </c>
      <c r="C6330" s="421" t="s">
        <v>1318</v>
      </c>
    </row>
    <row r="6331" spans="1:3" x14ac:dyDescent="0.25">
      <c r="A6331" s="417">
        <v>41547</v>
      </c>
      <c r="B6331" s="418">
        <v>0.94401620370370365</v>
      </c>
      <c r="C6331" s="421" t="s">
        <v>1368</v>
      </c>
    </row>
    <row r="6332" spans="1:3" x14ac:dyDescent="0.25">
      <c r="A6332" s="417">
        <v>41547</v>
      </c>
      <c r="B6332" s="418">
        <v>0.94401620370370365</v>
      </c>
      <c r="C6332" s="421" t="s">
        <v>1368</v>
      </c>
    </row>
    <row r="6333" spans="1:3" x14ac:dyDescent="0.25">
      <c r="A6333" s="417">
        <v>41547</v>
      </c>
      <c r="B6333" s="418">
        <v>0.94401620370370365</v>
      </c>
      <c r="C6333" s="421" t="s">
        <v>1368</v>
      </c>
    </row>
    <row r="6334" spans="1:3" x14ac:dyDescent="0.25">
      <c r="A6334" s="417">
        <v>41547</v>
      </c>
      <c r="B6334" s="418">
        <v>0.94401620370370365</v>
      </c>
      <c r="C6334" s="421" t="s">
        <v>1368</v>
      </c>
    </row>
    <row r="6335" spans="1:3" x14ac:dyDescent="0.25">
      <c r="A6335" s="417">
        <v>41547</v>
      </c>
      <c r="B6335" s="418">
        <v>0.94401620370370365</v>
      </c>
      <c r="C6335" s="421" t="s">
        <v>1368</v>
      </c>
    </row>
    <row r="6336" spans="1:3" x14ac:dyDescent="0.25">
      <c r="A6336" s="417">
        <v>41547</v>
      </c>
      <c r="B6336" s="418">
        <v>0.94401620370370365</v>
      </c>
      <c r="C6336" s="421" t="s">
        <v>1409</v>
      </c>
    </row>
    <row r="6337" spans="1:3" x14ac:dyDescent="0.25">
      <c r="A6337" s="417">
        <v>41547</v>
      </c>
      <c r="B6337" s="418">
        <v>0.94401620370370365</v>
      </c>
      <c r="C6337" s="421" t="s">
        <v>1308</v>
      </c>
    </row>
    <row r="6338" spans="1:3" x14ac:dyDescent="0.25">
      <c r="A6338" s="417">
        <v>41547</v>
      </c>
      <c r="B6338" s="418">
        <v>0.94403935185185184</v>
      </c>
      <c r="C6338" s="421" t="s">
        <v>1410</v>
      </c>
    </row>
    <row r="6339" spans="1:3" x14ac:dyDescent="0.25">
      <c r="A6339" s="417">
        <v>41547</v>
      </c>
      <c r="B6339" s="418">
        <v>0.94403935185185184</v>
      </c>
      <c r="C6339" s="421" t="s">
        <v>1410</v>
      </c>
    </row>
    <row r="6340" spans="1:3" x14ac:dyDescent="0.25">
      <c r="A6340" s="417">
        <v>41547</v>
      </c>
      <c r="B6340" s="418">
        <v>0.94405092592592599</v>
      </c>
      <c r="C6340" s="421" t="s">
        <v>1411</v>
      </c>
    </row>
    <row r="6341" spans="1:3" x14ac:dyDescent="0.25">
      <c r="A6341" s="417">
        <v>41547</v>
      </c>
      <c r="B6341" s="418">
        <v>0.94406249999999992</v>
      </c>
      <c r="C6341" s="421" t="s">
        <v>1864</v>
      </c>
    </row>
    <row r="6342" spans="1:3" x14ac:dyDescent="0.25">
      <c r="A6342" s="417">
        <v>41547</v>
      </c>
      <c r="B6342" s="418">
        <v>0.94407407407407407</v>
      </c>
      <c r="C6342" s="421" t="s">
        <v>1413</v>
      </c>
    </row>
    <row r="6343" spans="1:3" x14ac:dyDescent="0.25">
      <c r="A6343" s="417">
        <v>41547</v>
      </c>
      <c r="B6343" s="418">
        <v>0.94407407407407407</v>
      </c>
      <c r="C6343" s="421" t="s">
        <v>1414</v>
      </c>
    </row>
    <row r="6344" spans="1:3" x14ac:dyDescent="0.25">
      <c r="A6344" s="417">
        <v>41547</v>
      </c>
      <c r="B6344" s="418">
        <v>0.94408564814814822</v>
      </c>
      <c r="C6344" s="421" t="s">
        <v>1373</v>
      </c>
    </row>
    <row r="6345" spans="1:3" x14ac:dyDescent="0.25">
      <c r="A6345" s="417">
        <v>41547</v>
      </c>
      <c r="B6345" s="418">
        <v>0.94409722222222225</v>
      </c>
      <c r="C6345" s="421" t="s">
        <v>1865</v>
      </c>
    </row>
    <row r="6346" spans="1:3" x14ac:dyDescent="0.25">
      <c r="A6346" s="417">
        <v>41547</v>
      </c>
      <c r="B6346" s="418">
        <v>0.94416666666666671</v>
      </c>
      <c r="C6346" s="421" t="s">
        <v>1409</v>
      </c>
    </row>
    <row r="6347" spans="1:3" x14ac:dyDescent="0.25">
      <c r="A6347" s="417">
        <v>41547</v>
      </c>
      <c r="B6347" s="418">
        <v>0.94417824074074075</v>
      </c>
      <c r="C6347" s="421" t="s">
        <v>1416</v>
      </c>
    </row>
    <row r="6348" spans="1:3" x14ac:dyDescent="0.25">
      <c r="A6348" s="417">
        <v>41547</v>
      </c>
      <c r="B6348" s="418">
        <v>0.94417824074074075</v>
      </c>
      <c r="C6348" s="421" t="s">
        <v>1866</v>
      </c>
    </row>
    <row r="6349" spans="1:3" x14ac:dyDescent="0.25">
      <c r="A6349" s="417">
        <v>41547</v>
      </c>
      <c r="B6349" s="418">
        <v>0.94418981481481479</v>
      </c>
      <c r="C6349" s="421" t="s">
        <v>1348</v>
      </c>
    </row>
    <row r="6350" spans="1:3" x14ac:dyDescent="0.25">
      <c r="A6350" s="417">
        <v>41547</v>
      </c>
      <c r="B6350" s="418">
        <v>0.94418981481481479</v>
      </c>
      <c r="C6350" s="421" t="s">
        <v>1419</v>
      </c>
    </row>
    <row r="6351" spans="1:3" x14ac:dyDescent="0.25">
      <c r="A6351" s="417">
        <v>41547</v>
      </c>
      <c r="B6351" s="418">
        <v>0.94418981481481479</v>
      </c>
      <c r="C6351" s="421" t="s">
        <v>1419</v>
      </c>
    </row>
    <row r="6352" spans="1:3" x14ac:dyDescent="0.25">
      <c r="A6352" s="417">
        <v>41547</v>
      </c>
      <c r="B6352" s="418">
        <v>0.94418981481481479</v>
      </c>
      <c r="C6352" s="421" t="s">
        <v>1420</v>
      </c>
    </row>
    <row r="6353" spans="1:3" x14ac:dyDescent="0.25">
      <c r="A6353" s="417">
        <v>41547</v>
      </c>
      <c r="B6353" s="418">
        <v>0.94421296296296298</v>
      </c>
      <c r="C6353" s="421" t="s">
        <v>1867</v>
      </c>
    </row>
    <row r="6354" spans="1:3" x14ac:dyDescent="0.25">
      <c r="A6354" s="417">
        <v>41547</v>
      </c>
      <c r="B6354" s="418">
        <v>0.94421296296296298</v>
      </c>
      <c r="C6354" s="421" t="s">
        <v>1868</v>
      </c>
    </row>
    <row r="6355" spans="1:3" x14ac:dyDescent="0.25">
      <c r="A6355" s="417">
        <v>41547</v>
      </c>
      <c r="B6355" s="418">
        <v>0.94421296296296298</v>
      </c>
      <c r="C6355" s="421" t="s">
        <v>1869</v>
      </c>
    </row>
    <row r="6356" spans="1:3" x14ac:dyDescent="0.25">
      <c r="A6356" s="417">
        <v>41547</v>
      </c>
      <c r="B6356" s="418">
        <v>0.94423611111111105</v>
      </c>
      <c r="C6356" s="421" t="s">
        <v>1870</v>
      </c>
    </row>
    <row r="6357" spans="1:3" x14ac:dyDescent="0.25">
      <c r="A6357" s="417">
        <v>41547</v>
      </c>
      <c r="B6357" s="418">
        <v>0.94423611111111105</v>
      </c>
      <c r="C6357" s="421" t="s">
        <v>1871</v>
      </c>
    </row>
    <row r="6358" spans="1:3" x14ac:dyDescent="0.25">
      <c r="A6358" s="417">
        <v>41547</v>
      </c>
      <c r="B6358" s="418">
        <v>0.9442476851851852</v>
      </c>
      <c r="C6358" s="421" t="s">
        <v>1872</v>
      </c>
    </row>
    <row r="6359" spans="1:3" x14ac:dyDescent="0.25">
      <c r="A6359" s="417">
        <v>41547</v>
      </c>
      <c r="B6359" s="418">
        <v>0.9442476851851852</v>
      </c>
      <c r="C6359" s="421" t="s">
        <v>1873</v>
      </c>
    </row>
    <row r="6360" spans="1:3" x14ac:dyDescent="0.25">
      <c r="A6360" s="417">
        <v>41547</v>
      </c>
      <c r="B6360" s="418">
        <v>0.9442476851851852</v>
      </c>
      <c r="C6360" s="421" t="s">
        <v>1874</v>
      </c>
    </row>
    <row r="6361" spans="1:3" x14ac:dyDescent="0.25">
      <c r="A6361" s="417">
        <v>41547</v>
      </c>
      <c r="B6361" s="418">
        <v>0.9442476851851852</v>
      </c>
      <c r="C6361" s="421" t="s">
        <v>1320</v>
      </c>
    </row>
    <row r="6362" spans="1:3" x14ac:dyDescent="0.25">
      <c r="A6362" s="417">
        <v>41547</v>
      </c>
      <c r="B6362" s="418">
        <v>0.94425925925925924</v>
      </c>
      <c r="C6362" s="421" t="s">
        <v>1429</v>
      </c>
    </row>
    <row r="6363" spans="1:3" x14ac:dyDescent="0.25">
      <c r="A6363" s="417">
        <v>41547</v>
      </c>
      <c r="B6363" s="418">
        <v>0.94428240740740732</v>
      </c>
      <c r="C6363" s="421" t="s">
        <v>1430</v>
      </c>
    </row>
    <row r="6364" spans="1:3" x14ac:dyDescent="0.25">
      <c r="A6364" s="417">
        <v>41547</v>
      </c>
      <c r="B6364" s="418">
        <v>0.94429398148148147</v>
      </c>
      <c r="C6364" s="421" t="s">
        <v>1875</v>
      </c>
    </row>
    <row r="6365" spans="1:3" x14ac:dyDescent="0.25">
      <c r="A6365" s="417">
        <v>41547</v>
      </c>
      <c r="B6365" s="418">
        <v>0.9443287037037037</v>
      </c>
      <c r="C6365" s="421" t="s">
        <v>1308</v>
      </c>
    </row>
    <row r="6366" spans="1:3" x14ac:dyDescent="0.25">
      <c r="A6366" s="417">
        <v>41547</v>
      </c>
      <c r="B6366" s="418">
        <v>0.9443287037037037</v>
      </c>
      <c r="C6366" s="421" t="s">
        <v>1360</v>
      </c>
    </row>
    <row r="6367" spans="1:3" x14ac:dyDescent="0.25">
      <c r="A6367" s="417">
        <v>41547</v>
      </c>
      <c r="B6367" s="418">
        <v>0.94434027777777774</v>
      </c>
      <c r="C6367" s="421" t="s">
        <v>1432</v>
      </c>
    </row>
    <row r="6368" spans="1:3" x14ac:dyDescent="0.25">
      <c r="A6368" s="417">
        <v>41547</v>
      </c>
      <c r="B6368" s="418">
        <v>0.94434027777777774</v>
      </c>
      <c r="C6368" s="421" t="s">
        <v>1432</v>
      </c>
    </row>
    <row r="6369" spans="1:3" x14ac:dyDescent="0.25">
      <c r="A6369" s="417">
        <v>41547</v>
      </c>
      <c r="B6369" s="418">
        <v>0.94434027777777774</v>
      </c>
      <c r="C6369" s="421" t="s">
        <v>1432</v>
      </c>
    </row>
    <row r="6370" spans="1:3" x14ac:dyDescent="0.25">
      <c r="A6370" s="417">
        <v>41547</v>
      </c>
      <c r="B6370" s="418">
        <v>0.94434027777777774</v>
      </c>
      <c r="C6370" s="421" t="s">
        <v>1822</v>
      </c>
    </row>
    <row r="6371" spans="1:3" x14ac:dyDescent="0.25">
      <c r="A6371" s="417">
        <v>41547</v>
      </c>
      <c r="B6371" s="418">
        <v>0.94435185185185189</v>
      </c>
      <c r="C6371" s="421" t="s">
        <v>1413</v>
      </c>
    </row>
    <row r="6372" spans="1:3" x14ac:dyDescent="0.25">
      <c r="A6372" s="417">
        <v>41547</v>
      </c>
      <c r="B6372" s="418">
        <v>0.94436342592592604</v>
      </c>
      <c r="C6372" s="421" t="s">
        <v>1876</v>
      </c>
    </row>
    <row r="6373" spans="1:3" x14ac:dyDescent="0.25">
      <c r="A6373" s="417">
        <v>41547</v>
      </c>
      <c r="B6373" s="418">
        <v>0.94437499999999996</v>
      </c>
      <c r="C6373" s="421" t="s">
        <v>1877</v>
      </c>
    </row>
    <row r="6374" spans="1:3" x14ac:dyDescent="0.25">
      <c r="A6374" s="417">
        <v>41547</v>
      </c>
      <c r="B6374" s="418">
        <v>0.94437499999999996</v>
      </c>
      <c r="C6374" s="421" t="s">
        <v>1878</v>
      </c>
    </row>
    <row r="6375" spans="1:3" x14ac:dyDescent="0.25">
      <c r="A6375" s="417">
        <v>41547</v>
      </c>
      <c r="B6375" s="418">
        <v>0.94437499999999996</v>
      </c>
      <c r="C6375" s="421" t="s">
        <v>1879</v>
      </c>
    </row>
    <row r="6376" spans="1:3" x14ac:dyDescent="0.25">
      <c r="A6376" s="417">
        <v>41547</v>
      </c>
      <c r="B6376" s="418">
        <v>0.94437499999999996</v>
      </c>
      <c r="C6376" s="421" t="s">
        <v>1880</v>
      </c>
    </row>
    <row r="6377" spans="1:3" x14ac:dyDescent="0.25">
      <c r="A6377" s="417">
        <v>41547</v>
      </c>
      <c r="B6377" s="418">
        <v>0.94437499999999996</v>
      </c>
      <c r="C6377" s="421" t="s">
        <v>1881</v>
      </c>
    </row>
    <row r="6378" spans="1:3" x14ac:dyDescent="0.25">
      <c r="A6378" s="417">
        <v>41547</v>
      </c>
      <c r="B6378" s="418">
        <v>0.94438657407407411</v>
      </c>
      <c r="C6378" s="421" t="s">
        <v>1882</v>
      </c>
    </row>
    <row r="6379" spans="1:3" x14ac:dyDescent="0.25">
      <c r="A6379" s="417">
        <v>41547</v>
      </c>
      <c r="B6379" s="418">
        <v>0.94442129629629623</v>
      </c>
      <c r="C6379" s="421" t="s">
        <v>1883</v>
      </c>
    </row>
    <row r="6380" spans="1:3" x14ac:dyDescent="0.25">
      <c r="A6380" s="417">
        <v>41547</v>
      </c>
      <c r="B6380" s="418">
        <v>0.9444907407407408</v>
      </c>
      <c r="C6380" s="421" t="s">
        <v>1884</v>
      </c>
    </row>
    <row r="6381" spans="1:3" x14ac:dyDescent="0.25">
      <c r="A6381" s="417">
        <v>41547</v>
      </c>
      <c r="B6381" s="418">
        <v>0.94451388888888888</v>
      </c>
      <c r="C6381" s="421" t="s">
        <v>1320</v>
      </c>
    </row>
    <row r="6382" spans="1:3" x14ac:dyDescent="0.25">
      <c r="A6382" s="417">
        <v>41547</v>
      </c>
      <c r="B6382" s="418">
        <v>0.94461805555555556</v>
      </c>
      <c r="C6382" s="421" t="s">
        <v>1885</v>
      </c>
    </row>
    <row r="6383" spans="1:3" x14ac:dyDescent="0.25">
      <c r="A6383" s="417">
        <v>41547</v>
      </c>
      <c r="B6383" s="418">
        <v>0.94461805555555556</v>
      </c>
      <c r="C6383" s="421" t="s">
        <v>1886</v>
      </c>
    </row>
    <row r="6384" spans="1:3" x14ac:dyDescent="0.25">
      <c r="A6384" s="417">
        <v>41547</v>
      </c>
      <c r="B6384" s="418">
        <v>0.94461805555555556</v>
      </c>
      <c r="C6384" s="421" t="s">
        <v>1887</v>
      </c>
    </row>
    <row r="6385" spans="1:3" x14ac:dyDescent="0.25">
      <c r="A6385" s="417">
        <v>41547</v>
      </c>
      <c r="B6385" s="418">
        <v>0.94461805555555556</v>
      </c>
      <c r="C6385" s="421" t="s">
        <v>1888</v>
      </c>
    </row>
    <row r="6386" spans="1:3" x14ac:dyDescent="0.25">
      <c r="A6386" s="417">
        <v>41547</v>
      </c>
      <c r="B6386" s="418">
        <v>0.94464120370370364</v>
      </c>
      <c r="C6386" s="421" t="s">
        <v>1446</v>
      </c>
    </row>
    <row r="6387" spans="1:3" x14ac:dyDescent="0.25">
      <c r="A6387" s="417">
        <v>41547</v>
      </c>
      <c r="B6387" s="418">
        <v>0.94475694444444447</v>
      </c>
      <c r="C6387" s="421" t="s">
        <v>1889</v>
      </c>
    </row>
    <row r="6388" spans="1:3" x14ac:dyDescent="0.25">
      <c r="A6388" s="417">
        <v>41547</v>
      </c>
      <c r="B6388" s="418">
        <v>0.94476851851851851</v>
      </c>
      <c r="C6388" s="421" t="s">
        <v>1389</v>
      </c>
    </row>
    <row r="6389" spans="1:3" x14ac:dyDescent="0.25">
      <c r="A6389" s="417">
        <v>41547</v>
      </c>
      <c r="B6389" s="418">
        <v>0.94476851851851851</v>
      </c>
      <c r="C6389" s="421" t="s">
        <v>1448</v>
      </c>
    </row>
    <row r="6390" spans="1:3" x14ac:dyDescent="0.25">
      <c r="A6390" s="417">
        <v>41547</v>
      </c>
      <c r="B6390" s="418">
        <v>0.94478009259259255</v>
      </c>
      <c r="C6390" s="421" t="s">
        <v>1450</v>
      </c>
    </row>
    <row r="6391" spans="1:3" x14ac:dyDescent="0.25">
      <c r="A6391" s="417">
        <v>41547</v>
      </c>
      <c r="B6391" s="418">
        <v>0.94478009259259255</v>
      </c>
      <c r="C6391" s="421" t="s">
        <v>1450</v>
      </c>
    </row>
    <row r="6392" spans="1:3" x14ac:dyDescent="0.25">
      <c r="A6392" s="417">
        <v>41547</v>
      </c>
      <c r="B6392" s="418">
        <v>0.94478009259259255</v>
      </c>
      <c r="C6392" s="421" t="s">
        <v>1450</v>
      </c>
    </row>
    <row r="6393" spans="1:3" x14ac:dyDescent="0.25">
      <c r="A6393" s="417">
        <v>41547</v>
      </c>
      <c r="B6393" s="418">
        <v>0.94478009259259255</v>
      </c>
      <c r="C6393" s="421" t="s">
        <v>1450</v>
      </c>
    </row>
    <row r="6394" spans="1:3" x14ac:dyDescent="0.25">
      <c r="A6394" s="417">
        <v>41547</v>
      </c>
      <c r="B6394" s="418">
        <v>0.94478009259259255</v>
      </c>
      <c r="C6394" s="421" t="s">
        <v>1450</v>
      </c>
    </row>
    <row r="6395" spans="1:3" x14ac:dyDescent="0.25">
      <c r="A6395" s="417">
        <v>41547</v>
      </c>
      <c r="B6395" s="418">
        <v>0.94478009259259255</v>
      </c>
      <c r="C6395" s="421" t="s">
        <v>1450</v>
      </c>
    </row>
    <row r="6396" spans="1:3" x14ac:dyDescent="0.25">
      <c r="A6396" s="417">
        <v>41547</v>
      </c>
      <c r="B6396" s="418">
        <v>0.94478009259259255</v>
      </c>
      <c r="C6396" s="421" t="s">
        <v>1450</v>
      </c>
    </row>
    <row r="6397" spans="1:3" x14ac:dyDescent="0.25">
      <c r="A6397" s="417">
        <v>41547</v>
      </c>
      <c r="B6397" s="418">
        <v>0.94494212962962953</v>
      </c>
      <c r="C6397" s="421" t="s">
        <v>1448</v>
      </c>
    </row>
    <row r="6398" spans="1:3" x14ac:dyDescent="0.25">
      <c r="A6398" s="417">
        <v>41547</v>
      </c>
      <c r="B6398" s="418">
        <v>0.94497685185185187</v>
      </c>
      <c r="C6398" s="421" t="s">
        <v>1399</v>
      </c>
    </row>
    <row r="6399" spans="1:3" x14ac:dyDescent="0.25">
      <c r="A6399" s="417">
        <v>41547</v>
      </c>
      <c r="B6399" s="418">
        <v>0.94499999999999995</v>
      </c>
      <c r="C6399" s="421" t="s">
        <v>1309</v>
      </c>
    </row>
    <row r="6400" spans="1:3" x14ac:dyDescent="0.25">
      <c r="A6400" s="417">
        <v>41547</v>
      </c>
      <c r="B6400" s="418">
        <v>0.94502314814814825</v>
      </c>
      <c r="C6400" s="421" t="s">
        <v>1830</v>
      </c>
    </row>
    <row r="6401" spans="1:3" x14ac:dyDescent="0.25">
      <c r="A6401" s="417">
        <v>41547</v>
      </c>
      <c r="B6401" s="418">
        <v>0.94502314814814825</v>
      </c>
      <c r="C6401" s="421" t="s">
        <v>1307</v>
      </c>
    </row>
    <row r="6402" spans="1:3" x14ac:dyDescent="0.25">
      <c r="A6402" s="417">
        <v>41547</v>
      </c>
      <c r="B6402" s="418">
        <v>0.94510416666666675</v>
      </c>
      <c r="C6402" s="421" t="s">
        <v>1893</v>
      </c>
    </row>
    <row r="6403" spans="1:3" x14ac:dyDescent="0.25">
      <c r="A6403" s="417">
        <v>41547</v>
      </c>
      <c r="B6403" s="418">
        <v>0.94511574074074067</v>
      </c>
      <c r="C6403" s="421" t="s">
        <v>1894</v>
      </c>
    </row>
    <row r="6404" spans="1:3" x14ac:dyDescent="0.25">
      <c r="A6404" s="417">
        <v>41547</v>
      </c>
      <c r="B6404" s="418">
        <v>0.94511574074074067</v>
      </c>
      <c r="C6404" s="421" t="s">
        <v>1771</v>
      </c>
    </row>
    <row r="6405" spans="1:3" ht="45" x14ac:dyDescent="0.25">
      <c r="A6405" s="417">
        <v>41547</v>
      </c>
      <c r="B6405" s="418">
        <v>0.96887731481481476</v>
      </c>
      <c r="C6405" s="946" t="s">
        <v>1895</v>
      </c>
    </row>
    <row r="6406" spans="1:3" ht="30" x14ac:dyDescent="0.25">
      <c r="A6406" s="417">
        <v>41547</v>
      </c>
      <c r="B6406" s="418">
        <v>0.97015046296296292</v>
      </c>
      <c r="C6406" s="946" t="s">
        <v>1896</v>
      </c>
    </row>
    <row r="6407" spans="1:3" ht="45" x14ac:dyDescent="0.25">
      <c r="A6407" s="417">
        <v>41547</v>
      </c>
      <c r="B6407" s="418">
        <v>0.97116898148148145</v>
      </c>
      <c r="C6407" s="946" t="s">
        <v>1897</v>
      </c>
    </row>
    <row r="6408" spans="1:3" ht="30" x14ac:dyDescent="0.25">
      <c r="A6408" s="417">
        <v>41547</v>
      </c>
      <c r="B6408" s="418">
        <v>0.97168981481481476</v>
      </c>
      <c r="C6408" s="946" t="s">
        <v>1898</v>
      </c>
    </row>
    <row r="6409" spans="1:3" x14ac:dyDescent="0.25">
      <c r="A6409" s="417">
        <v>41547</v>
      </c>
      <c r="B6409" s="418">
        <v>0.97328703703703701</v>
      </c>
      <c r="C6409" s="421" t="s">
        <v>1307</v>
      </c>
    </row>
    <row r="6410" spans="1:3" x14ac:dyDescent="0.25">
      <c r="A6410" s="417">
        <v>41547</v>
      </c>
      <c r="B6410" s="418">
        <v>0.97328703703703701</v>
      </c>
      <c r="C6410" s="421" t="s">
        <v>1308</v>
      </c>
    </row>
    <row r="6411" spans="1:3" x14ac:dyDescent="0.25">
      <c r="A6411" s="417">
        <v>41547</v>
      </c>
      <c r="B6411" s="418">
        <v>0.97328703703703701</v>
      </c>
      <c r="C6411" s="421" t="s">
        <v>1309</v>
      </c>
    </row>
    <row r="6412" spans="1:3" x14ac:dyDescent="0.25">
      <c r="A6412" s="417">
        <v>41547</v>
      </c>
      <c r="B6412" s="418">
        <v>0.97328703703703701</v>
      </c>
      <c r="C6412" s="421" t="s">
        <v>1310</v>
      </c>
    </row>
    <row r="6413" spans="1:3" x14ac:dyDescent="0.25">
      <c r="A6413" s="417">
        <v>41547</v>
      </c>
      <c r="B6413" s="418">
        <v>0.97328703703703701</v>
      </c>
      <c r="C6413" s="421" t="s">
        <v>1311</v>
      </c>
    </row>
    <row r="6414" spans="1:3" x14ac:dyDescent="0.25">
      <c r="A6414" s="417">
        <v>41547</v>
      </c>
      <c r="B6414" s="418">
        <v>0.97328703703703701</v>
      </c>
      <c r="C6414" s="421" t="s">
        <v>1312</v>
      </c>
    </row>
    <row r="6415" spans="1:3" x14ac:dyDescent="0.25">
      <c r="A6415" s="417">
        <v>41547</v>
      </c>
      <c r="B6415" s="418">
        <v>0.97328703703703701</v>
      </c>
      <c r="C6415" s="421" t="s">
        <v>1313</v>
      </c>
    </row>
    <row r="6416" spans="1:3" x14ac:dyDescent="0.25">
      <c r="A6416" s="417">
        <v>41547</v>
      </c>
      <c r="B6416" s="418">
        <v>0.97328703703703701</v>
      </c>
      <c r="C6416" s="421" t="s">
        <v>1310</v>
      </c>
    </row>
    <row r="6417" spans="1:3" x14ac:dyDescent="0.25">
      <c r="A6417" s="417">
        <v>41547</v>
      </c>
      <c r="B6417" s="418">
        <v>0.97328703703703701</v>
      </c>
      <c r="C6417" s="421" t="s">
        <v>1314</v>
      </c>
    </row>
    <row r="6418" spans="1:3" x14ac:dyDescent="0.25">
      <c r="A6418" s="417">
        <v>41547</v>
      </c>
      <c r="B6418" s="418">
        <v>0.97328703703703701</v>
      </c>
      <c r="C6418" s="421" t="s">
        <v>1315</v>
      </c>
    </row>
    <row r="6419" spans="1:3" x14ac:dyDescent="0.25">
      <c r="A6419" s="417">
        <v>41547</v>
      </c>
      <c r="B6419" s="418">
        <v>0.97328703703703701</v>
      </c>
      <c r="C6419" s="421" t="s">
        <v>1460</v>
      </c>
    </row>
    <row r="6420" spans="1:3" x14ac:dyDescent="0.25">
      <c r="A6420" s="417">
        <v>41547</v>
      </c>
      <c r="B6420" s="418">
        <v>0.97328703703703701</v>
      </c>
      <c r="C6420" s="421" t="s">
        <v>1461</v>
      </c>
    </row>
    <row r="6421" spans="1:3" x14ac:dyDescent="0.25">
      <c r="A6421" s="417">
        <v>41547</v>
      </c>
      <c r="B6421" s="418">
        <v>0.97328703703703701</v>
      </c>
      <c r="C6421" s="421" t="s">
        <v>1310</v>
      </c>
    </row>
    <row r="6422" spans="1:3" x14ac:dyDescent="0.25">
      <c r="A6422" s="417">
        <v>41547</v>
      </c>
      <c r="B6422" s="418">
        <v>0.97328703703703701</v>
      </c>
      <c r="C6422" s="421" t="s">
        <v>1462</v>
      </c>
    </row>
    <row r="6423" spans="1:3" x14ac:dyDescent="0.25">
      <c r="A6423" s="417">
        <v>41547</v>
      </c>
      <c r="B6423" s="418">
        <v>0.97328703703703701</v>
      </c>
      <c r="C6423" s="421" t="s">
        <v>1316</v>
      </c>
    </row>
    <row r="6424" spans="1:3" x14ac:dyDescent="0.25">
      <c r="A6424" s="417">
        <v>41547</v>
      </c>
      <c r="B6424" s="418">
        <v>0.97328703703703701</v>
      </c>
      <c r="C6424" s="421" t="s">
        <v>1316</v>
      </c>
    </row>
    <row r="6425" spans="1:3" x14ac:dyDescent="0.25">
      <c r="A6425" s="417">
        <v>41547</v>
      </c>
      <c r="B6425" s="418">
        <v>0.97328703703703701</v>
      </c>
      <c r="C6425" s="421" t="s">
        <v>1317</v>
      </c>
    </row>
    <row r="6426" spans="1:3" x14ac:dyDescent="0.25">
      <c r="A6426" s="417">
        <v>41547</v>
      </c>
      <c r="B6426" s="418">
        <v>0.97328703703703701</v>
      </c>
      <c r="C6426" s="421" t="s">
        <v>1309</v>
      </c>
    </row>
    <row r="6427" spans="1:3" x14ac:dyDescent="0.25">
      <c r="A6427" s="417">
        <v>41547</v>
      </c>
      <c r="B6427" s="418">
        <v>0.97328703703703701</v>
      </c>
      <c r="C6427" s="421" t="s">
        <v>1318</v>
      </c>
    </row>
    <row r="6428" spans="1:3" x14ac:dyDescent="0.25">
      <c r="A6428" s="417">
        <v>41547</v>
      </c>
      <c r="B6428" s="418">
        <v>0.97328703703703701</v>
      </c>
      <c r="C6428" s="421" t="s">
        <v>1319</v>
      </c>
    </row>
    <row r="6429" spans="1:3" x14ac:dyDescent="0.25">
      <c r="A6429" s="417">
        <v>41547</v>
      </c>
      <c r="B6429" s="418">
        <v>0.97328703703703701</v>
      </c>
      <c r="C6429" s="421" t="s">
        <v>1320</v>
      </c>
    </row>
    <row r="6430" spans="1:3" x14ac:dyDescent="0.25">
      <c r="A6430" s="417">
        <v>41547</v>
      </c>
      <c r="B6430" s="418">
        <v>0.97328703703703701</v>
      </c>
      <c r="C6430" s="421" t="s">
        <v>1318</v>
      </c>
    </row>
    <row r="6431" spans="1:3" x14ac:dyDescent="0.25">
      <c r="A6431" s="417">
        <v>41547</v>
      </c>
      <c r="B6431" s="418">
        <v>0.97328703703703701</v>
      </c>
      <c r="C6431" s="421" t="s">
        <v>1307</v>
      </c>
    </row>
    <row r="6432" spans="1:3" x14ac:dyDescent="0.25">
      <c r="A6432" s="417">
        <v>41547</v>
      </c>
      <c r="B6432" s="418">
        <v>0.97329861111111116</v>
      </c>
      <c r="C6432" s="421" t="s">
        <v>1321</v>
      </c>
    </row>
    <row r="6433" spans="1:3" x14ac:dyDescent="0.25">
      <c r="A6433" s="417">
        <v>41547</v>
      </c>
      <c r="B6433" s="418">
        <v>0.97329861111111116</v>
      </c>
      <c r="C6433" s="421" t="s">
        <v>1322</v>
      </c>
    </row>
    <row r="6434" spans="1:3" x14ac:dyDescent="0.25">
      <c r="A6434" s="417">
        <v>41547</v>
      </c>
      <c r="B6434" s="418">
        <v>0.97329861111111116</v>
      </c>
      <c r="C6434" s="421" t="s">
        <v>1322</v>
      </c>
    </row>
    <row r="6435" spans="1:3" x14ac:dyDescent="0.25">
      <c r="A6435" s="417">
        <v>41547</v>
      </c>
      <c r="B6435" s="418">
        <v>0.97329861111111116</v>
      </c>
      <c r="C6435" s="421" t="s">
        <v>1323</v>
      </c>
    </row>
    <row r="6436" spans="1:3" x14ac:dyDescent="0.25">
      <c r="A6436" s="417">
        <v>41547</v>
      </c>
      <c r="B6436" s="418">
        <v>0.97329861111111116</v>
      </c>
      <c r="C6436" s="421" t="s">
        <v>1324</v>
      </c>
    </row>
    <row r="6437" spans="1:3" x14ac:dyDescent="0.25">
      <c r="A6437" s="417">
        <v>41547</v>
      </c>
      <c r="B6437" s="418">
        <v>0.97329861111111116</v>
      </c>
      <c r="C6437" s="421" t="s">
        <v>1310</v>
      </c>
    </row>
    <row r="6438" spans="1:3" x14ac:dyDescent="0.25">
      <c r="A6438" s="417">
        <v>41547</v>
      </c>
      <c r="B6438" s="418">
        <v>0.97329861111111116</v>
      </c>
      <c r="C6438" s="421" t="s">
        <v>1325</v>
      </c>
    </row>
    <row r="6439" spans="1:3" x14ac:dyDescent="0.25">
      <c r="A6439" s="417">
        <v>41547</v>
      </c>
      <c r="B6439" s="418">
        <v>0.97329861111111116</v>
      </c>
      <c r="C6439" s="421" t="s">
        <v>1326</v>
      </c>
    </row>
    <row r="6440" spans="1:3" x14ac:dyDescent="0.25">
      <c r="A6440" s="417">
        <v>41547</v>
      </c>
      <c r="B6440" s="418">
        <v>0.97329861111111116</v>
      </c>
      <c r="C6440" s="421" t="s">
        <v>1238</v>
      </c>
    </row>
    <row r="6441" spans="1:3" x14ac:dyDescent="0.25">
      <c r="A6441" s="417">
        <v>41547</v>
      </c>
      <c r="B6441" s="418">
        <v>0.97329861111111116</v>
      </c>
      <c r="C6441" s="421" t="s">
        <v>1327</v>
      </c>
    </row>
    <row r="6442" spans="1:3" x14ac:dyDescent="0.25">
      <c r="A6442" s="417">
        <v>41547</v>
      </c>
      <c r="B6442" s="418">
        <v>0.97329861111111116</v>
      </c>
      <c r="C6442" s="421" t="s">
        <v>1323</v>
      </c>
    </row>
    <row r="6443" spans="1:3" x14ac:dyDescent="0.25">
      <c r="A6443" s="417">
        <v>41547</v>
      </c>
      <c r="B6443" s="418">
        <v>0.97329861111111116</v>
      </c>
      <c r="C6443" s="421" t="s">
        <v>1342</v>
      </c>
    </row>
    <row r="6444" spans="1:3" x14ac:dyDescent="0.25">
      <c r="A6444" s="417">
        <v>41547</v>
      </c>
      <c r="B6444" s="418">
        <v>0.97329861111111116</v>
      </c>
      <c r="C6444" s="421" t="s">
        <v>1343</v>
      </c>
    </row>
    <row r="6445" spans="1:3" x14ac:dyDescent="0.25">
      <c r="A6445" s="417">
        <v>41547</v>
      </c>
      <c r="B6445" s="418">
        <v>0.97329861111111116</v>
      </c>
      <c r="C6445" s="421" t="s">
        <v>1344</v>
      </c>
    </row>
    <row r="6446" spans="1:3" x14ac:dyDescent="0.25">
      <c r="A6446" s="417">
        <v>41547</v>
      </c>
      <c r="B6446" s="418">
        <v>0.97329861111111116</v>
      </c>
      <c r="C6446" s="421" t="s">
        <v>1344</v>
      </c>
    </row>
    <row r="6447" spans="1:3" x14ac:dyDescent="0.25">
      <c r="A6447" s="417">
        <v>41547</v>
      </c>
      <c r="B6447" s="418">
        <v>0.97329861111111116</v>
      </c>
      <c r="C6447" s="421" t="s">
        <v>1310</v>
      </c>
    </row>
    <row r="6448" spans="1:3" x14ac:dyDescent="0.25">
      <c r="A6448" s="417">
        <v>41547</v>
      </c>
      <c r="B6448" s="418">
        <v>0.97329861111111116</v>
      </c>
      <c r="C6448" s="421" t="s">
        <v>1345</v>
      </c>
    </row>
    <row r="6449" spans="1:3" x14ac:dyDescent="0.25">
      <c r="A6449" s="417">
        <v>41547</v>
      </c>
      <c r="B6449" s="418">
        <v>0.97329861111111116</v>
      </c>
      <c r="C6449" s="421" t="s">
        <v>1346</v>
      </c>
    </row>
    <row r="6450" spans="1:3" x14ac:dyDescent="0.25">
      <c r="A6450" s="417">
        <v>41547</v>
      </c>
      <c r="B6450" s="418">
        <v>0.97329861111111116</v>
      </c>
      <c r="C6450" s="421" t="s">
        <v>1347</v>
      </c>
    </row>
    <row r="6451" spans="1:3" x14ac:dyDescent="0.25">
      <c r="A6451" s="417">
        <v>41547</v>
      </c>
      <c r="B6451" s="418">
        <v>0.97329861111111116</v>
      </c>
      <c r="C6451" s="421" t="s">
        <v>1348</v>
      </c>
    </row>
    <row r="6452" spans="1:3" x14ac:dyDescent="0.25">
      <c r="A6452" s="417">
        <v>41547</v>
      </c>
      <c r="B6452" s="418">
        <v>0.97329861111111116</v>
      </c>
      <c r="C6452" s="421" t="s">
        <v>1349</v>
      </c>
    </row>
    <row r="6453" spans="1:3" x14ac:dyDescent="0.25">
      <c r="A6453" s="417">
        <v>41547</v>
      </c>
      <c r="B6453" s="418">
        <v>0.97329861111111116</v>
      </c>
      <c r="C6453" s="421" t="s">
        <v>1349</v>
      </c>
    </row>
    <row r="6454" spans="1:3" x14ac:dyDescent="0.25">
      <c r="A6454" s="417">
        <v>41547</v>
      </c>
      <c r="B6454" s="418">
        <v>0.97329861111111116</v>
      </c>
      <c r="C6454" s="421" t="s">
        <v>1348</v>
      </c>
    </row>
    <row r="6455" spans="1:3" x14ac:dyDescent="0.25">
      <c r="A6455" s="417">
        <v>41547</v>
      </c>
      <c r="B6455" s="418">
        <v>0.97329861111111116</v>
      </c>
      <c r="C6455" s="421" t="s">
        <v>1350</v>
      </c>
    </row>
    <row r="6456" spans="1:3" x14ac:dyDescent="0.25">
      <c r="A6456" s="417">
        <v>41547</v>
      </c>
      <c r="B6456" s="418">
        <v>0.97329861111111116</v>
      </c>
      <c r="C6456" s="421" t="s">
        <v>1351</v>
      </c>
    </row>
    <row r="6457" spans="1:3" x14ac:dyDescent="0.25">
      <c r="A6457" s="417">
        <v>41547</v>
      </c>
      <c r="B6457" s="418">
        <v>0.97329861111111116</v>
      </c>
      <c r="C6457" s="421" t="s">
        <v>1352</v>
      </c>
    </row>
    <row r="6458" spans="1:3" x14ac:dyDescent="0.25">
      <c r="A6458" s="417">
        <v>41547</v>
      </c>
      <c r="B6458" s="418">
        <v>0.97329861111111116</v>
      </c>
      <c r="C6458" s="421" t="s">
        <v>1768</v>
      </c>
    </row>
    <row r="6459" spans="1:3" x14ac:dyDescent="0.25">
      <c r="A6459" s="417">
        <v>41547</v>
      </c>
      <c r="B6459" s="418">
        <v>0.97329861111111116</v>
      </c>
      <c r="C6459" s="421" t="s">
        <v>1353</v>
      </c>
    </row>
    <row r="6460" spans="1:3" x14ac:dyDescent="0.25">
      <c r="A6460" s="417">
        <v>41547</v>
      </c>
      <c r="B6460" s="418">
        <v>0.97329861111111116</v>
      </c>
      <c r="C6460" s="421" t="s">
        <v>1354</v>
      </c>
    </row>
    <row r="6461" spans="1:3" x14ac:dyDescent="0.25">
      <c r="A6461" s="417">
        <v>41547</v>
      </c>
      <c r="B6461" s="418">
        <v>0.97329861111111116</v>
      </c>
      <c r="C6461" s="421" t="s">
        <v>1357</v>
      </c>
    </row>
    <row r="6462" spans="1:3" x14ac:dyDescent="0.25">
      <c r="A6462" s="417">
        <v>41547</v>
      </c>
      <c r="B6462" s="418">
        <v>0.97329861111111116</v>
      </c>
      <c r="C6462" s="421" t="s">
        <v>1358</v>
      </c>
    </row>
    <row r="6463" spans="1:3" x14ac:dyDescent="0.25">
      <c r="A6463" s="417">
        <v>41547</v>
      </c>
      <c r="B6463" s="418">
        <v>0.97329861111111116</v>
      </c>
      <c r="C6463" s="421" t="s">
        <v>1359</v>
      </c>
    </row>
    <row r="6464" spans="1:3" x14ac:dyDescent="0.25">
      <c r="A6464" s="417">
        <v>41547</v>
      </c>
      <c r="B6464" s="418">
        <v>0.97329861111111116</v>
      </c>
      <c r="C6464" s="421" t="s">
        <v>1360</v>
      </c>
    </row>
    <row r="6465" spans="1:3" x14ac:dyDescent="0.25">
      <c r="A6465" s="417">
        <v>41547</v>
      </c>
      <c r="B6465" s="418">
        <v>0.97329861111111116</v>
      </c>
      <c r="C6465" s="421" t="s">
        <v>1361</v>
      </c>
    </row>
    <row r="6466" spans="1:3" x14ac:dyDescent="0.25">
      <c r="A6466" s="417">
        <v>41547</v>
      </c>
      <c r="B6466" s="418">
        <v>0.97329861111111116</v>
      </c>
      <c r="C6466" s="421" t="s">
        <v>1317</v>
      </c>
    </row>
    <row r="6467" spans="1:3" x14ac:dyDescent="0.25">
      <c r="A6467" s="417">
        <v>41547</v>
      </c>
      <c r="B6467" s="418">
        <v>0.97329861111111116</v>
      </c>
      <c r="C6467" s="421" t="s">
        <v>1537</v>
      </c>
    </row>
    <row r="6468" spans="1:3" x14ac:dyDescent="0.25">
      <c r="A6468" s="417">
        <v>41547</v>
      </c>
      <c r="B6468" s="418">
        <v>0.97329861111111116</v>
      </c>
      <c r="C6468" s="421" t="s">
        <v>1363</v>
      </c>
    </row>
    <row r="6469" spans="1:3" x14ac:dyDescent="0.25">
      <c r="A6469" s="417">
        <v>41547</v>
      </c>
      <c r="B6469" s="418">
        <v>0.97329861111111116</v>
      </c>
      <c r="C6469" s="421" t="s">
        <v>1364</v>
      </c>
    </row>
    <row r="6470" spans="1:3" x14ac:dyDescent="0.25">
      <c r="A6470" s="417">
        <v>41547</v>
      </c>
      <c r="B6470" s="418">
        <v>0.97329861111111116</v>
      </c>
      <c r="C6470" s="421" t="s">
        <v>1365</v>
      </c>
    </row>
    <row r="6471" spans="1:3" x14ac:dyDescent="0.25">
      <c r="A6471" s="417">
        <v>41547</v>
      </c>
      <c r="B6471" s="418">
        <v>0.97329861111111116</v>
      </c>
      <c r="C6471" s="421" t="s">
        <v>1365</v>
      </c>
    </row>
    <row r="6472" spans="1:3" x14ac:dyDescent="0.25">
      <c r="A6472" s="417">
        <v>41547</v>
      </c>
      <c r="B6472" s="418">
        <v>0.97329861111111116</v>
      </c>
      <c r="C6472" s="421" t="s">
        <v>1320</v>
      </c>
    </row>
    <row r="6473" spans="1:3" x14ac:dyDescent="0.25">
      <c r="A6473" s="417">
        <v>41547</v>
      </c>
      <c r="B6473" s="418">
        <v>0.97329861111111116</v>
      </c>
      <c r="C6473" s="421" t="s">
        <v>1367</v>
      </c>
    </row>
    <row r="6474" spans="1:3" x14ac:dyDescent="0.25">
      <c r="A6474" s="417">
        <v>41547</v>
      </c>
      <c r="B6474" s="418">
        <v>0.97329861111111116</v>
      </c>
      <c r="C6474" s="421" t="s">
        <v>1344</v>
      </c>
    </row>
    <row r="6475" spans="1:3" x14ac:dyDescent="0.25">
      <c r="A6475" s="417">
        <v>41547</v>
      </c>
      <c r="B6475" s="418">
        <v>0.97329861111111116</v>
      </c>
      <c r="C6475" s="421" t="s">
        <v>1368</v>
      </c>
    </row>
    <row r="6476" spans="1:3" x14ac:dyDescent="0.25">
      <c r="A6476" s="417">
        <v>41547</v>
      </c>
      <c r="B6476" s="418">
        <v>0.97331018518518519</v>
      </c>
      <c r="C6476" s="421" t="s">
        <v>1369</v>
      </c>
    </row>
    <row r="6477" spans="1:3" x14ac:dyDescent="0.25">
      <c r="A6477" s="417">
        <v>41547</v>
      </c>
      <c r="B6477" s="418">
        <v>0.97331018518518519</v>
      </c>
      <c r="C6477" s="421" t="s">
        <v>1307</v>
      </c>
    </row>
    <row r="6478" spans="1:3" x14ac:dyDescent="0.25">
      <c r="A6478" s="417">
        <v>41547</v>
      </c>
      <c r="B6478" s="418">
        <v>0.97331018518518519</v>
      </c>
      <c r="C6478" s="421" t="s">
        <v>1370</v>
      </c>
    </row>
    <row r="6479" spans="1:3" x14ac:dyDescent="0.25">
      <c r="A6479" s="417">
        <v>41547</v>
      </c>
      <c r="B6479" s="418">
        <v>0.97331018518518519</v>
      </c>
      <c r="C6479" s="421" t="s">
        <v>1371</v>
      </c>
    </row>
    <row r="6480" spans="1:3" x14ac:dyDescent="0.25">
      <c r="A6480" s="417">
        <v>41547</v>
      </c>
      <c r="B6480" s="418">
        <v>0.97331018518518519</v>
      </c>
      <c r="C6480" s="421" t="s">
        <v>1344</v>
      </c>
    </row>
    <row r="6481" spans="1:3" x14ac:dyDescent="0.25">
      <c r="A6481" s="417">
        <v>41547</v>
      </c>
      <c r="B6481" s="418">
        <v>0.97331018518518519</v>
      </c>
      <c r="C6481" s="421" t="s">
        <v>1317</v>
      </c>
    </row>
    <row r="6482" spans="1:3" x14ac:dyDescent="0.25">
      <c r="A6482" s="417">
        <v>41547</v>
      </c>
      <c r="B6482" s="418">
        <v>0.97331018518518519</v>
      </c>
      <c r="C6482" s="421" t="s">
        <v>1463</v>
      </c>
    </row>
    <row r="6483" spans="1:3" x14ac:dyDescent="0.25">
      <c r="A6483" s="417">
        <v>41547</v>
      </c>
      <c r="B6483" s="418">
        <v>0.97331018518518519</v>
      </c>
      <c r="C6483" s="421" t="s">
        <v>1373</v>
      </c>
    </row>
    <row r="6484" spans="1:3" x14ac:dyDescent="0.25">
      <c r="A6484" s="417">
        <v>41547</v>
      </c>
      <c r="B6484" s="418">
        <v>0.97331018518518519</v>
      </c>
      <c r="C6484" s="421" t="s">
        <v>1308</v>
      </c>
    </row>
    <row r="6485" spans="1:3" x14ac:dyDescent="0.25">
      <c r="A6485" s="417">
        <v>41547</v>
      </c>
      <c r="B6485" s="418">
        <v>0.97331018518518519</v>
      </c>
      <c r="C6485" s="421" t="s">
        <v>1374</v>
      </c>
    </row>
    <row r="6486" spans="1:3" x14ac:dyDescent="0.25">
      <c r="A6486" s="417">
        <v>41547</v>
      </c>
      <c r="B6486" s="418">
        <v>0.97331018518518519</v>
      </c>
      <c r="C6486" s="421" t="s">
        <v>1375</v>
      </c>
    </row>
    <row r="6487" spans="1:3" x14ac:dyDescent="0.25">
      <c r="A6487" s="417">
        <v>41547</v>
      </c>
      <c r="B6487" s="418">
        <v>0.97331018518518519</v>
      </c>
      <c r="C6487" s="421" t="s">
        <v>1376</v>
      </c>
    </row>
    <row r="6488" spans="1:3" x14ac:dyDescent="0.25">
      <c r="A6488" s="417">
        <v>41547</v>
      </c>
      <c r="B6488" s="418">
        <v>0.97331018518518519</v>
      </c>
      <c r="C6488" s="421" t="s">
        <v>1377</v>
      </c>
    </row>
    <row r="6489" spans="1:3" x14ac:dyDescent="0.25">
      <c r="A6489" s="417">
        <v>41547</v>
      </c>
      <c r="B6489" s="418">
        <v>0.97331018518518519</v>
      </c>
      <c r="C6489" s="421" t="s">
        <v>1326</v>
      </c>
    </row>
    <row r="6490" spans="1:3" x14ac:dyDescent="0.25">
      <c r="A6490" s="417">
        <v>41547</v>
      </c>
      <c r="B6490" s="418">
        <v>0.97331018518518519</v>
      </c>
      <c r="C6490" s="421" t="s">
        <v>1755</v>
      </c>
    </row>
    <row r="6491" spans="1:3" x14ac:dyDescent="0.25">
      <c r="A6491" s="417">
        <v>41547</v>
      </c>
      <c r="B6491" s="418">
        <v>0.97331018518518519</v>
      </c>
      <c r="C6491" s="421" t="s">
        <v>1380</v>
      </c>
    </row>
    <row r="6492" spans="1:3" x14ac:dyDescent="0.25">
      <c r="A6492" s="417">
        <v>41547</v>
      </c>
      <c r="B6492" s="418">
        <v>0.97331018518518519</v>
      </c>
      <c r="C6492" s="421" t="s">
        <v>1381</v>
      </c>
    </row>
    <row r="6493" spans="1:3" x14ac:dyDescent="0.25">
      <c r="A6493" s="417">
        <v>41547</v>
      </c>
      <c r="B6493" s="418">
        <v>0.97331018518518519</v>
      </c>
      <c r="C6493" s="421" t="s">
        <v>1382</v>
      </c>
    </row>
    <row r="6494" spans="1:3" x14ac:dyDescent="0.25">
      <c r="A6494" s="417">
        <v>41547</v>
      </c>
      <c r="B6494" s="418">
        <v>0.97331018518518519</v>
      </c>
      <c r="C6494" s="421" t="s">
        <v>1383</v>
      </c>
    </row>
    <row r="6495" spans="1:3" x14ac:dyDescent="0.25">
      <c r="A6495" s="417">
        <v>41547</v>
      </c>
      <c r="B6495" s="418">
        <v>0.97331018518518519</v>
      </c>
      <c r="C6495" s="421" t="s">
        <v>1352</v>
      </c>
    </row>
    <row r="6496" spans="1:3" x14ac:dyDescent="0.25">
      <c r="A6496" s="417">
        <v>41547</v>
      </c>
      <c r="B6496" s="418">
        <v>0.97331018518518519</v>
      </c>
      <c r="C6496" s="421" t="s">
        <v>1384</v>
      </c>
    </row>
    <row r="6497" spans="1:3" x14ac:dyDescent="0.25">
      <c r="A6497" s="417">
        <v>41547</v>
      </c>
      <c r="B6497" s="418">
        <v>0.97331018518518519</v>
      </c>
      <c r="C6497" s="421" t="s">
        <v>1385</v>
      </c>
    </row>
    <row r="6498" spans="1:3" x14ac:dyDescent="0.25">
      <c r="A6498" s="417">
        <v>41547</v>
      </c>
      <c r="B6498" s="418">
        <v>0.97331018518518519</v>
      </c>
      <c r="C6498" s="421" t="s">
        <v>1385</v>
      </c>
    </row>
    <row r="6499" spans="1:3" x14ac:dyDescent="0.25">
      <c r="A6499" s="417">
        <v>41547</v>
      </c>
      <c r="B6499" s="418">
        <v>0.97331018518518519</v>
      </c>
      <c r="C6499" s="421" t="s">
        <v>1386</v>
      </c>
    </row>
    <row r="6500" spans="1:3" x14ac:dyDescent="0.25">
      <c r="A6500" s="417">
        <v>41547</v>
      </c>
      <c r="B6500" s="418">
        <v>0.97331018518518519</v>
      </c>
      <c r="C6500" s="421" t="s">
        <v>1387</v>
      </c>
    </row>
    <row r="6501" spans="1:3" x14ac:dyDescent="0.25">
      <c r="A6501" s="417">
        <v>41547</v>
      </c>
      <c r="B6501" s="418">
        <v>0.97331018518518519</v>
      </c>
      <c r="C6501" s="421" t="s">
        <v>1387</v>
      </c>
    </row>
    <row r="6502" spans="1:3" x14ac:dyDescent="0.25">
      <c r="A6502" s="417">
        <v>41547</v>
      </c>
      <c r="B6502" s="418">
        <v>0.97331018518518519</v>
      </c>
      <c r="C6502" s="421" t="s">
        <v>1318</v>
      </c>
    </row>
    <row r="6503" spans="1:3" x14ac:dyDescent="0.25">
      <c r="A6503" s="417">
        <v>41547</v>
      </c>
      <c r="B6503" s="418">
        <v>0.97331018518518519</v>
      </c>
      <c r="C6503" s="421" t="s">
        <v>1388</v>
      </c>
    </row>
    <row r="6504" spans="1:3" x14ac:dyDescent="0.25">
      <c r="A6504" s="417">
        <v>41547</v>
      </c>
      <c r="B6504" s="418">
        <v>0.97331018518518519</v>
      </c>
      <c r="C6504" s="421" t="s">
        <v>1390</v>
      </c>
    </row>
    <row r="6505" spans="1:3" x14ac:dyDescent="0.25">
      <c r="A6505" s="417">
        <v>41547</v>
      </c>
      <c r="B6505" s="418">
        <v>0.97331018518518519</v>
      </c>
      <c r="C6505" s="421" t="s">
        <v>1391</v>
      </c>
    </row>
    <row r="6506" spans="1:3" x14ac:dyDescent="0.25">
      <c r="A6506" s="417">
        <v>41547</v>
      </c>
      <c r="B6506" s="418">
        <v>0.97331018518518519</v>
      </c>
      <c r="C6506" s="421" t="s">
        <v>1392</v>
      </c>
    </row>
    <row r="6507" spans="1:3" x14ac:dyDescent="0.25">
      <c r="A6507" s="417">
        <v>41547</v>
      </c>
      <c r="B6507" s="418">
        <v>0.97331018518518519</v>
      </c>
      <c r="C6507" s="421" t="s">
        <v>1795</v>
      </c>
    </row>
    <row r="6508" spans="1:3" x14ac:dyDescent="0.25">
      <c r="A6508" s="417">
        <v>41547</v>
      </c>
      <c r="B6508" s="418">
        <v>0.97331018518518519</v>
      </c>
      <c r="C6508" s="421" t="s">
        <v>1393</v>
      </c>
    </row>
    <row r="6509" spans="1:3" x14ac:dyDescent="0.25">
      <c r="A6509" s="417">
        <v>41547</v>
      </c>
      <c r="B6509" s="418">
        <v>0.97331018518518519</v>
      </c>
      <c r="C6509" s="421" t="s">
        <v>1394</v>
      </c>
    </row>
    <row r="6510" spans="1:3" x14ac:dyDescent="0.25">
      <c r="A6510" s="417">
        <v>41547</v>
      </c>
      <c r="B6510" s="418">
        <v>0.97331018518518519</v>
      </c>
      <c r="C6510" s="421" t="s">
        <v>1392</v>
      </c>
    </row>
    <row r="6511" spans="1:3" x14ac:dyDescent="0.25">
      <c r="A6511" s="417">
        <v>41547</v>
      </c>
      <c r="B6511" s="418">
        <v>0.97331018518518519</v>
      </c>
      <c r="C6511" s="421" t="s">
        <v>1395</v>
      </c>
    </row>
    <row r="6512" spans="1:3" x14ac:dyDescent="0.25">
      <c r="A6512" s="417">
        <v>41547</v>
      </c>
      <c r="B6512" s="418">
        <v>0.97331018518518519</v>
      </c>
      <c r="C6512" s="421" t="s">
        <v>1396</v>
      </c>
    </row>
    <row r="6513" spans="1:3" x14ac:dyDescent="0.25">
      <c r="A6513" s="417">
        <v>41547</v>
      </c>
      <c r="B6513" s="418">
        <v>0.97332175925925923</v>
      </c>
      <c r="C6513" s="421" t="s">
        <v>1363</v>
      </c>
    </row>
    <row r="6514" spans="1:3" x14ac:dyDescent="0.25">
      <c r="A6514" s="417">
        <v>41547</v>
      </c>
      <c r="B6514" s="418">
        <v>0.97332175925925923</v>
      </c>
      <c r="C6514" s="421" t="s">
        <v>1397</v>
      </c>
    </row>
    <row r="6515" spans="1:3" x14ac:dyDescent="0.25">
      <c r="A6515" s="417">
        <v>41547</v>
      </c>
      <c r="B6515" s="418">
        <v>0.97332175925925923</v>
      </c>
      <c r="C6515" s="421" t="s">
        <v>1381</v>
      </c>
    </row>
    <row r="6516" spans="1:3" x14ac:dyDescent="0.25">
      <c r="A6516" s="417">
        <v>41547</v>
      </c>
      <c r="B6516" s="418">
        <v>0.97332175925925923</v>
      </c>
      <c r="C6516" s="421" t="s">
        <v>1398</v>
      </c>
    </row>
    <row r="6517" spans="1:3" x14ac:dyDescent="0.25">
      <c r="A6517" s="417">
        <v>41547</v>
      </c>
      <c r="B6517" s="418">
        <v>0.97332175925925923</v>
      </c>
      <c r="C6517" s="421" t="s">
        <v>1399</v>
      </c>
    </row>
    <row r="6518" spans="1:3" x14ac:dyDescent="0.25">
      <c r="A6518" s="417">
        <v>41547</v>
      </c>
      <c r="B6518" s="418">
        <v>0.97332175925925923</v>
      </c>
      <c r="C6518" s="421" t="s">
        <v>1400</v>
      </c>
    </row>
    <row r="6519" spans="1:3" x14ac:dyDescent="0.25">
      <c r="A6519" s="417">
        <v>41547</v>
      </c>
      <c r="B6519" s="418">
        <v>0.97332175925925923</v>
      </c>
      <c r="C6519" s="421" t="s">
        <v>1400</v>
      </c>
    </row>
    <row r="6520" spans="1:3" x14ac:dyDescent="0.25">
      <c r="A6520" s="417">
        <v>41547</v>
      </c>
      <c r="B6520" s="418">
        <v>0.97332175925925923</v>
      </c>
      <c r="C6520" s="421" t="s">
        <v>1373</v>
      </c>
    </row>
    <row r="6521" spans="1:3" x14ac:dyDescent="0.25">
      <c r="A6521" s="417">
        <v>41547</v>
      </c>
      <c r="B6521" s="418">
        <v>0.97332175925925923</v>
      </c>
      <c r="C6521" s="421" t="s">
        <v>1353</v>
      </c>
    </row>
    <row r="6522" spans="1:3" x14ac:dyDescent="0.25">
      <c r="A6522" s="417">
        <v>41547</v>
      </c>
      <c r="B6522" s="418">
        <v>0.97332175925925923</v>
      </c>
      <c r="C6522" s="421" t="s">
        <v>1353</v>
      </c>
    </row>
    <row r="6523" spans="1:3" x14ac:dyDescent="0.25">
      <c r="A6523" s="417">
        <v>41547</v>
      </c>
      <c r="B6523" s="418">
        <v>0.97332175925925923</v>
      </c>
      <c r="C6523" s="421" t="s">
        <v>1401</v>
      </c>
    </row>
    <row r="6524" spans="1:3" x14ac:dyDescent="0.25">
      <c r="A6524" s="417">
        <v>41547</v>
      </c>
      <c r="B6524" s="418">
        <v>0.97332175925925923</v>
      </c>
      <c r="C6524" s="421" t="s">
        <v>1392</v>
      </c>
    </row>
    <row r="6525" spans="1:3" x14ac:dyDescent="0.25">
      <c r="A6525" s="417">
        <v>41547</v>
      </c>
      <c r="B6525" s="418">
        <v>0.97332175925925923</v>
      </c>
      <c r="C6525" s="421" t="s">
        <v>1403</v>
      </c>
    </row>
    <row r="6526" spans="1:3" x14ac:dyDescent="0.25">
      <c r="A6526" s="417">
        <v>41547</v>
      </c>
      <c r="B6526" s="418">
        <v>0.97332175925925923</v>
      </c>
      <c r="C6526" s="421" t="s">
        <v>1403</v>
      </c>
    </row>
    <row r="6527" spans="1:3" x14ac:dyDescent="0.25">
      <c r="A6527" s="417">
        <v>41547</v>
      </c>
      <c r="B6527" s="418">
        <v>0.97332175925925923</v>
      </c>
      <c r="C6527" s="421" t="s">
        <v>1403</v>
      </c>
    </row>
    <row r="6528" spans="1:3" x14ac:dyDescent="0.25">
      <c r="A6528" s="417">
        <v>41547</v>
      </c>
      <c r="B6528" s="418">
        <v>0.97333333333333327</v>
      </c>
      <c r="C6528" s="421" t="s">
        <v>1364</v>
      </c>
    </row>
    <row r="6529" spans="1:3" x14ac:dyDescent="0.25">
      <c r="A6529" s="417">
        <v>41547</v>
      </c>
      <c r="B6529" s="418">
        <v>0.97333333333333327</v>
      </c>
      <c r="C6529" s="421" t="s">
        <v>1364</v>
      </c>
    </row>
    <row r="6530" spans="1:3" x14ac:dyDescent="0.25">
      <c r="A6530" s="417">
        <v>41547</v>
      </c>
      <c r="B6530" s="418">
        <v>0.97334490740740742</v>
      </c>
      <c r="C6530" s="421" t="s">
        <v>1381</v>
      </c>
    </row>
    <row r="6531" spans="1:3" x14ac:dyDescent="0.25">
      <c r="A6531" s="417">
        <v>41547</v>
      </c>
      <c r="B6531" s="418">
        <v>0.97335648148148157</v>
      </c>
      <c r="C6531" s="421" t="s">
        <v>1364</v>
      </c>
    </row>
    <row r="6532" spans="1:3" x14ac:dyDescent="0.25">
      <c r="A6532" s="417">
        <v>41547</v>
      </c>
      <c r="B6532" s="418">
        <v>0.97335648148148157</v>
      </c>
      <c r="C6532" s="421" t="s">
        <v>1480</v>
      </c>
    </row>
    <row r="6533" spans="1:3" x14ac:dyDescent="0.25">
      <c r="A6533" s="417">
        <v>41547</v>
      </c>
      <c r="B6533" s="418">
        <v>0.97335648148148157</v>
      </c>
      <c r="C6533" s="421" t="s">
        <v>1480</v>
      </c>
    </row>
    <row r="6534" spans="1:3" x14ac:dyDescent="0.25">
      <c r="A6534" s="417">
        <v>41547</v>
      </c>
      <c r="B6534" s="418">
        <v>0.97335648148148157</v>
      </c>
      <c r="C6534" s="421" t="s">
        <v>1480</v>
      </c>
    </row>
    <row r="6535" spans="1:3" x14ac:dyDescent="0.25">
      <c r="A6535" s="417">
        <v>41547</v>
      </c>
      <c r="B6535" s="418">
        <v>0.97335648148148157</v>
      </c>
      <c r="C6535" s="421" t="s">
        <v>1899</v>
      </c>
    </row>
    <row r="6536" spans="1:3" x14ac:dyDescent="0.25">
      <c r="A6536" s="417">
        <v>41547</v>
      </c>
      <c r="B6536" s="418">
        <v>0.97335648148148157</v>
      </c>
      <c r="C6536" s="421" t="s">
        <v>1541</v>
      </c>
    </row>
    <row r="6537" spans="1:3" x14ac:dyDescent="0.25">
      <c r="A6537" s="417">
        <v>41547</v>
      </c>
      <c r="B6537" s="418">
        <v>0.9733680555555555</v>
      </c>
      <c r="C6537" s="421" t="s">
        <v>1346</v>
      </c>
    </row>
    <row r="6538" spans="1:3" x14ac:dyDescent="0.25">
      <c r="A6538" s="417">
        <v>41547</v>
      </c>
      <c r="B6538" s="418">
        <v>0.9733680555555555</v>
      </c>
      <c r="C6538" s="421" t="s">
        <v>1405</v>
      </c>
    </row>
    <row r="6539" spans="1:3" x14ac:dyDescent="0.25">
      <c r="A6539" s="417">
        <v>41547</v>
      </c>
      <c r="B6539" s="418">
        <v>0.9733680555555555</v>
      </c>
      <c r="C6539" s="421" t="s">
        <v>1406</v>
      </c>
    </row>
    <row r="6540" spans="1:3" x14ac:dyDescent="0.25">
      <c r="A6540" s="417">
        <v>41547</v>
      </c>
      <c r="B6540" s="418">
        <v>0.97340277777777784</v>
      </c>
      <c r="C6540" s="421" t="s">
        <v>1900</v>
      </c>
    </row>
    <row r="6541" spans="1:3" x14ac:dyDescent="0.25">
      <c r="A6541" s="417">
        <v>41547</v>
      </c>
      <c r="B6541" s="418">
        <v>0.97340277777777784</v>
      </c>
      <c r="C6541" s="421" t="s">
        <v>1318</v>
      </c>
    </row>
    <row r="6542" spans="1:3" x14ac:dyDescent="0.25">
      <c r="A6542" s="417">
        <v>41547</v>
      </c>
      <c r="B6542" s="418">
        <v>0.97342592592592592</v>
      </c>
      <c r="C6542" s="421" t="s">
        <v>1368</v>
      </c>
    </row>
    <row r="6543" spans="1:3" x14ac:dyDescent="0.25">
      <c r="A6543" s="417">
        <v>41547</v>
      </c>
      <c r="B6543" s="418">
        <v>0.97342592592592592</v>
      </c>
      <c r="C6543" s="421" t="s">
        <v>1368</v>
      </c>
    </row>
    <row r="6544" spans="1:3" x14ac:dyDescent="0.25">
      <c r="A6544" s="417">
        <v>41547</v>
      </c>
      <c r="B6544" s="418">
        <v>0.97342592592592592</v>
      </c>
      <c r="C6544" s="421" t="s">
        <v>1368</v>
      </c>
    </row>
    <row r="6545" spans="1:3" x14ac:dyDescent="0.25">
      <c r="A6545" s="417">
        <v>41547</v>
      </c>
      <c r="B6545" s="418">
        <v>0.97342592592592592</v>
      </c>
      <c r="C6545" s="421" t="s">
        <v>1368</v>
      </c>
    </row>
    <row r="6546" spans="1:3" x14ac:dyDescent="0.25">
      <c r="A6546" s="417">
        <v>41547</v>
      </c>
      <c r="B6546" s="418">
        <v>0.97342592592592592</v>
      </c>
      <c r="C6546" s="421" t="s">
        <v>1368</v>
      </c>
    </row>
    <row r="6547" spans="1:3" x14ac:dyDescent="0.25">
      <c r="A6547" s="417">
        <v>41547</v>
      </c>
      <c r="B6547" s="418">
        <v>0.97342592592592592</v>
      </c>
      <c r="C6547" s="421" t="s">
        <v>1409</v>
      </c>
    </row>
    <row r="6548" spans="1:3" x14ac:dyDescent="0.25">
      <c r="A6548" s="417">
        <v>41547</v>
      </c>
      <c r="B6548" s="418">
        <v>0.97343750000000007</v>
      </c>
      <c r="C6548" s="421" t="s">
        <v>1308</v>
      </c>
    </row>
    <row r="6549" spans="1:3" x14ac:dyDescent="0.25">
      <c r="A6549" s="417">
        <v>41547</v>
      </c>
      <c r="B6549" s="418">
        <v>0.97346064814814814</v>
      </c>
      <c r="C6549" s="421" t="s">
        <v>1410</v>
      </c>
    </row>
    <row r="6550" spans="1:3" x14ac:dyDescent="0.25">
      <c r="A6550" s="417">
        <v>41547</v>
      </c>
      <c r="B6550" s="418">
        <v>0.97346064814814814</v>
      </c>
      <c r="C6550" s="421" t="s">
        <v>1410</v>
      </c>
    </row>
    <row r="6551" spans="1:3" x14ac:dyDescent="0.25">
      <c r="A6551" s="417">
        <v>41547</v>
      </c>
      <c r="B6551" s="418">
        <v>0.97346064814814814</v>
      </c>
      <c r="C6551" s="421" t="s">
        <v>1411</v>
      </c>
    </row>
    <row r="6552" spans="1:3" x14ac:dyDescent="0.25">
      <c r="A6552" s="417">
        <v>41547</v>
      </c>
      <c r="B6552" s="418">
        <v>0.97347222222222218</v>
      </c>
      <c r="C6552" s="421" t="s">
        <v>1901</v>
      </c>
    </row>
    <row r="6553" spans="1:3" x14ac:dyDescent="0.25">
      <c r="A6553" s="417">
        <v>41547</v>
      </c>
      <c r="B6553" s="418">
        <v>0.97348379629629633</v>
      </c>
      <c r="C6553" s="421" t="s">
        <v>1413</v>
      </c>
    </row>
    <row r="6554" spans="1:3" x14ac:dyDescent="0.25">
      <c r="A6554" s="417">
        <v>41547</v>
      </c>
      <c r="B6554" s="418">
        <v>0.97348379629629633</v>
      </c>
      <c r="C6554" s="421" t="s">
        <v>1414</v>
      </c>
    </row>
    <row r="6555" spans="1:3" x14ac:dyDescent="0.25">
      <c r="A6555" s="417">
        <v>41547</v>
      </c>
      <c r="B6555" s="418">
        <v>0.97350694444444441</v>
      </c>
      <c r="C6555" s="421" t="s">
        <v>1373</v>
      </c>
    </row>
    <row r="6556" spans="1:3" x14ac:dyDescent="0.25">
      <c r="A6556" s="417">
        <v>41547</v>
      </c>
      <c r="B6556" s="418">
        <v>0.97350694444444441</v>
      </c>
      <c r="C6556" s="421" t="s">
        <v>1902</v>
      </c>
    </row>
    <row r="6557" spans="1:3" x14ac:dyDescent="0.25">
      <c r="A6557" s="417">
        <v>41547</v>
      </c>
      <c r="B6557" s="418">
        <v>0.97356481481481483</v>
      </c>
      <c r="C6557" s="421" t="s">
        <v>1409</v>
      </c>
    </row>
    <row r="6558" spans="1:3" x14ac:dyDescent="0.25">
      <c r="A6558" s="417">
        <v>41547</v>
      </c>
      <c r="B6558" s="418">
        <v>0.97356481481481483</v>
      </c>
      <c r="C6558" s="421" t="s">
        <v>1416</v>
      </c>
    </row>
    <row r="6559" spans="1:3" x14ac:dyDescent="0.25">
      <c r="A6559" s="417">
        <v>41547</v>
      </c>
      <c r="B6559" s="418">
        <v>0.97356481481481483</v>
      </c>
      <c r="C6559" s="421" t="s">
        <v>1903</v>
      </c>
    </row>
    <row r="6560" spans="1:3" x14ac:dyDescent="0.25">
      <c r="A6560" s="417">
        <v>41547</v>
      </c>
      <c r="B6560" s="418">
        <v>0.97357638888888898</v>
      </c>
      <c r="C6560" s="421" t="s">
        <v>1348</v>
      </c>
    </row>
    <row r="6561" spans="1:3" x14ac:dyDescent="0.25">
      <c r="A6561" s="417">
        <v>41547</v>
      </c>
      <c r="B6561" s="418">
        <v>0.97357638888888898</v>
      </c>
      <c r="C6561" s="421" t="s">
        <v>1419</v>
      </c>
    </row>
    <row r="6562" spans="1:3" x14ac:dyDescent="0.25">
      <c r="A6562" s="417">
        <v>41547</v>
      </c>
      <c r="B6562" s="418">
        <v>0.97357638888888898</v>
      </c>
      <c r="C6562" s="421" t="s">
        <v>1419</v>
      </c>
    </row>
    <row r="6563" spans="1:3" x14ac:dyDescent="0.25">
      <c r="A6563" s="417">
        <v>41547</v>
      </c>
      <c r="B6563" s="418">
        <v>0.97357638888888898</v>
      </c>
      <c r="C6563" s="421" t="s">
        <v>1420</v>
      </c>
    </row>
    <row r="6564" spans="1:3" x14ac:dyDescent="0.25">
      <c r="A6564" s="417">
        <v>41547</v>
      </c>
      <c r="B6564" s="418">
        <v>0.97361111111111109</v>
      </c>
      <c r="C6564" s="421" t="s">
        <v>1904</v>
      </c>
    </row>
    <row r="6565" spans="1:3" x14ac:dyDescent="0.25">
      <c r="A6565" s="417">
        <v>41547</v>
      </c>
      <c r="B6565" s="418">
        <v>0.97361111111111109</v>
      </c>
      <c r="C6565" s="421" t="s">
        <v>1905</v>
      </c>
    </row>
    <row r="6566" spans="1:3" x14ac:dyDescent="0.25">
      <c r="A6566" s="417">
        <v>41547</v>
      </c>
      <c r="B6566" s="418">
        <v>0.97361111111111109</v>
      </c>
      <c r="C6566" s="421" t="s">
        <v>1906</v>
      </c>
    </row>
    <row r="6567" spans="1:3" x14ac:dyDescent="0.25">
      <c r="A6567" s="417">
        <v>41547</v>
      </c>
      <c r="B6567" s="418">
        <v>0.97362268518518524</v>
      </c>
      <c r="C6567" s="421" t="s">
        <v>1907</v>
      </c>
    </row>
    <row r="6568" spans="1:3" x14ac:dyDescent="0.25">
      <c r="A6568" s="417">
        <v>41547</v>
      </c>
      <c r="B6568" s="418">
        <v>0.97363425925925917</v>
      </c>
      <c r="C6568" s="421" t="s">
        <v>1908</v>
      </c>
    </row>
    <row r="6569" spans="1:3" x14ac:dyDescent="0.25">
      <c r="A6569" s="417">
        <v>41547</v>
      </c>
      <c r="B6569" s="418">
        <v>0.97363425925925917</v>
      </c>
      <c r="C6569" s="421" t="s">
        <v>1909</v>
      </c>
    </row>
    <row r="6570" spans="1:3" x14ac:dyDescent="0.25">
      <c r="A6570" s="417">
        <v>41547</v>
      </c>
      <c r="B6570" s="418">
        <v>0.97363425925925917</v>
      </c>
      <c r="C6570" s="421" t="s">
        <v>1910</v>
      </c>
    </row>
    <row r="6571" spans="1:3" x14ac:dyDescent="0.25">
      <c r="A6571" s="417">
        <v>41547</v>
      </c>
      <c r="B6571" s="418">
        <v>0.97363425925925917</v>
      </c>
      <c r="C6571" s="421" t="s">
        <v>1911</v>
      </c>
    </row>
    <row r="6572" spans="1:3" x14ac:dyDescent="0.25">
      <c r="A6572" s="417">
        <v>41547</v>
      </c>
      <c r="B6572" s="418">
        <v>0.97363425925925917</v>
      </c>
      <c r="C6572" s="421" t="s">
        <v>1320</v>
      </c>
    </row>
    <row r="6573" spans="1:3" x14ac:dyDescent="0.25">
      <c r="A6573" s="417">
        <v>41547</v>
      </c>
      <c r="B6573" s="418">
        <v>0.97364583333333332</v>
      </c>
      <c r="C6573" s="421" t="s">
        <v>1429</v>
      </c>
    </row>
    <row r="6574" spans="1:3" x14ac:dyDescent="0.25">
      <c r="A6574" s="417">
        <v>41547</v>
      </c>
      <c r="B6574" s="418">
        <v>0.97365740740740747</v>
      </c>
      <c r="C6574" s="421" t="s">
        <v>1430</v>
      </c>
    </row>
    <row r="6575" spans="1:3" x14ac:dyDescent="0.25">
      <c r="A6575" s="417">
        <v>41547</v>
      </c>
      <c r="B6575" s="418">
        <v>0.97366898148148151</v>
      </c>
      <c r="C6575" s="421" t="s">
        <v>1912</v>
      </c>
    </row>
    <row r="6576" spans="1:3" x14ac:dyDescent="0.25">
      <c r="A6576" s="417">
        <v>41547</v>
      </c>
      <c r="B6576" s="418">
        <v>0.97370370370370374</v>
      </c>
      <c r="C6576" s="421" t="s">
        <v>1308</v>
      </c>
    </row>
    <row r="6577" spans="1:3" x14ac:dyDescent="0.25">
      <c r="A6577" s="417">
        <v>41547</v>
      </c>
      <c r="B6577" s="418">
        <v>0.97370370370370374</v>
      </c>
      <c r="C6577" s="421" t="s">
        <v>1360</v>
      </c>
    </row>
    <row r="6578" spans="1:3" x14ac:dyDescent="0.25">
      <c r="A6578" s="417">
        <v>41547</v>
      </c>
      <c r="B6578" s="418">
        <v>0.97371527777777767</v>
      </c>
      <c r="C6578" s="421" t="s">
        <v>1432</v>
      </c>
    </row>
    <row r="6579" spans="1:3" x14ac:dyDescent="0.25">
      <c r="A6579" s="417">
        <v>41547</v>
      </c>
      <c r="B6579" s="418">
        <v>0.97371527777777767</v>
      </c>
      <c r="C6579" s="421" t="s">
        <v>1432</v>
      </c>
    </row>
    <row r="6580" spans="1:3" x14ac:dyDescent="0.25">
      <c r="A6580" s="417">
        <v>41547</v>
      </c>
      <c r="B6580" s="418">
        <v>0.97371527777777767</v>
      </c>
      <c r="C6580" s="421" t="s">
        <v>1432</v>
      </c>
    </row>
    <row r="6581" spans="1:3" x14ac:dyDescent="0.25">
      <c r="A6581" s="417">
        <v>41547</v>
      </c>
      <c r="B6581" s="418">
        <v>0.97371527777777767</v>
      </c>
      <c r="C6581" s="421" t="s">
        <v>1822</v>
      </c>
    </row>
    <row r="6582" spans="1:3" x14ac:dyDescent="0.25">
      <c r="A6582" s="417">
        <v>41547</v>
      </c>
      <c r="B6582" s="418">
        <v>0.97371527777777767</v>
      </c>
      <c r="C6582" s="421" t="s">
        <v>1413</v>
      </c>
    </row>
    <row r="6583" spans="1:3" x14ac:dyDescent="0.25">
      <c r="A6583" s="417">
        <v>41547</v>
      </c>
      <c r="B6583" s="418">
        <v>0.97372685185185182</v>
      </c>
      <c r="C6583" s="421" t="s">
        <v>1913</v>
      </c>
    </row>
    <row r="6584" spans="1:3" x14ac:dyDescent="0.25">
      <c r="A6584" s="417">
        <v>41547</v>
      </c>
      <c r="B6584" s="418">
        <v>0.97373842592592597</v>
      </c>
      <c r="C6584" s="421" t="s">
        <v>1914</v>
      </c>
    </row>
    <row r="6585" spans="1:3" x14ac:dyDescent="0.25">
      <c r="A6585" s="417">
        <v>41547</v>
      </c>
      <c r="B6585" s="418">
        <v>0.97373842592592597</v>
      </c>
      <c r="C6585" s="421" t="s">
        <v>1915</v>
      </c>
    </row>
    <row r="6586" spans="1:3" x14ac:dyDescent="0.25">
      <c r="A6586" s="417">
        <v>41547</v>
      </c>
      <c r="B6586" s="418">
        <v>0.97373842592592597</v>
      </c>
      <c r="C6586" s="421" t="s">
        <v>1916</v>
      </c>
    </row>
    <row r="6587" spans="1:3" x14ac:dyDescent="0.25">
      <c r="A6587" s="417">
        <v>41547</v>
      </c>
      <c r="B6587" s="418">
        <v>0.97373842592592597</v>
      </c>
      <c r="C6587" s="421" t="s">
        <v>1917</v>
      </c>
    </row>
    <row r="6588" spans="1:3" x14ac:dyDescent="0.25">
      <c r="A6588" s="417">
        <v>41547</v>
      </c>
      <c r="B6588" s="418">
        <v>0.97373842592592597</v>
      </c>
      <c r="C6588" s="421" t="s">
        <v>1918</v>
      </c>
    </row>
    <row r="6589" spans="1:3" x14ac:dyDescent="0.25">
      <c r="A6589" s="417">
        <v>41547</v>
      </c>
      <c r="B6589" s="418">
        <v>0.97375</v>
      </c>
      <c r="C6589" s="421" t="s">
        <v>1919</v>
      </c>
    </row>
    <row r="6590" spans="1:3" x14ac:dyDescent="0.25">
      <c r="A6590" s="417">
        <v>41547</v>
      </c>
      <c r="B6590" s="418">
        <v>0.97378472222222223</v>
      </c>
      <c r="C6590" s="421" t="s">
        <v>1920</v>
      </c>
    </row>
    <row r="6591" spans="1:3" x14ac:dyDescent="0.25">
      <c r="A6591" s="417">
        <v>41547</v>
      </c>
      <c r="B6591" s="418">
        <v>0.97384259259259265</v>
      </c>
      <c r="C6591" s="421" t="s">
        <v>1921</v>
      </c>
    </row>
    <row r="6592" spans="1:3" x14ac:dyDescent="0.25">
      <c r="A6592" s="417">
        <v>41547</v>
      </c>
      <c r="B6592" s="418">
        <v>0.97385416666666658</v>
      </c>
      <c r="C6592" s="421" t="s">
        <v>1320</v>
      </c>
    </row>
    <row r="6593" spans="1:3" x14ac:dyDescent="0.25">
      <c r="A6593" s="417">
        <v>41547</v>
      </c>
      <c r="B6593" s="418">
        <v>0.97394675925925922</v>
      </c>
      <c r="C6593" s="421" t="s">
        <v>1922</v>
      </c>
    </row>
    <row r="6594" spans="1:3" x14ac:dyDescent="0.25">
      <c r="A6594" s="417">
        <v>41547</v>
      </c>
      <c r="B6594" s="418">
        <v>0.97394675925925922</v>
      </c>
      <c r="C6594" s="421" t="s">
        <v>1923</v>
      </c>
    </row>
    <row r="6595" spans="1:3" x14ac:dyDescent="0.25">
      <c r="A6595" s="417">
        <v>41547</v>
      </c>
      <c r="B6595" s="418">
        <v>0.97394675925925922</v>
      </c>
      <c r="C6595" s="421" t="s">
        <v>1924</v>
      </c>
    </row>
    <row r="6596" spans="1:3" x14ac:dyDescent="0.25">
      <c r="A6596" s="417">
        <v>41547</v>
      </c>
      <c r="B6596" s="418">
        <v>0.97394675925925922</v>
      </c>
      <c r="C6596" s="421" t="s">
        <v>1925</v>
      </c>
    </row>
    <row r="6597" spans="1:3" x14ac:dyDescent="0.25">
      <c r="A6597" s="417">
        <v>41547</v>
      </c>
      <c r="B6597" s="418">
        <v>0.97396990740740741</v>
      </c>
      <c r="C6597" s="421" t="s">
        <v>1446</v>
      </c>
    </row>
    <row r="6598" spans="1:3" x14ac:dyDescent="0.25">
      <c r="A6598" s="417">
        <v>41547</v>
      </c>
      <c r="B6598" s="418">
        <v>0.97409722222222228</v>
      </c>
      <c r="C6598" s="421" t="s">
        <v>1926</v>
      </c>
    </row>
    <row r="6599" spans="1:3" x14ac:dyDescent="0.25">
      <c r="A6599" s="417">
        <v>41547</v>
      </c>
      <c r="B6599" s="418">
        <v>0.97410879629629632</v>
      </c>
      <c r="C6599" s="421" t="s">
        <v>1389</v>
      </c>
    </row>
    <row r="6600" spans="1:3" x14ac:dyDescent="0.25">
      <c r="A6600" s="417">
        <v>41547</v>
      </c>
      <c r="B6600" s="418">
        <v>0.97410879629629632</v>
      </c>
      <c r="C6600" s="421" t="s">
        <v>1448</v>
      </c>
    </row>
    <row r="6601" spans="1:3" x14ac:dyDescent="0.25">
      <c r="A6601" s="417">
        <v>41547</v>
      </c>
      <c r="B6601" s="418">
        <v>0.97412037037037036</v>
      </c>
      <c r="C6601" s="421" t="s">
        <v>1450</v>
      </c>
    </row>
    <row r="6602" spans="1:3" x14ac:dyDescent="0.25">
      <c r="A6602" s="417">
        <v>41547</v>
      </c>
      <c r="B6602" s="418">
        <v>0.97412037037037036</v>
      </c>
      <c r="C6602" s="421" t="s">
        <v>1450</v>
      </c>
    </row>
    <row r="6603" spans="1:3" x14ac:dyDescent="0.25">
      <c r="A6603" s="417">
        <v>41547</v>
      </c>
      <c r="B6603" s="418">
        <v>0.97412037037037036</v>
      </c>
      <c r="C6603" s="421" t="s">
        <v>1450</v>
      </c>
    </row>
    <row r="6604" spans="1:3" x14ac:dyDescent="0.25">
      <c r="A6604" s="417">
        <v>41547</v>
      </c>
      <c r="B6604" s="418">
        <v>0.97412037037037036</v>
      </c>
      <c r="C6604" s="421" t="s">
        <v>1450</v>
      </c>
    </row>
    <row r="6605" spans="1:3" x14ac:dyDescent="0.25">
      <c r="A6605" s="417">
        <v>41547</v>
      </c>
      <c r="B6605" s="418">
        <v>0.97412037037037036</v>
      </c>
      <c r="C6605" s="421" t="s">
        <v>1450</v>
      </c>
    </row>
    <row r="6606" spans="1:3" x14ac:dyDescent="0.25">
      <c r="A6606" s="417">
        <v>41547</v>
      </c>
      <c r="B6606" s="418">
        <v>0.97412037037037036</v>
      </c>
      <c r="C6606" s="421" t="s">
        <v>1450</v>
      </c>
    </row>
    <row r="6607" spans="1:3" x14ac:dyDescent="0.25">
      <c r="A6607" s="417">
        <v>41547</v>
      </c>
      <c r="B6607" s="418">
        <v>0.97412037037037036</v>
      </c>
      <c r="C6607" s="421" t="s">
        <v>1450</v>
      </c>
    </row>
    <row r="6608" spans="1:3" x14ac:dyDescent="0.25">
      <c r="A6608" s="417">
        <v>41547</v>
      </c>
      <c r="B6608" s="418">
        <v>0.97431712962962969</v>
      </c>
      <c r="C6608" s="421" t="s">
        <v>1448</v>
      </c>
    </row>
    <row r="6609" spans="1:3" x14ac:dyDescent="0.25">
      <c r="A6609" s="417">
        <v>41547</v>
      </c>
      <c r="B6609" s="418">
        <v>0.97436342592592595</v>
      </c>
      <c r="C6609" s="421" t="s">
        <v>1399</v>
      </c>
    </row>
    <row r="6610" spans="1:3" x14ac:dyDescent="0.25">
      <c r="A6610" s="417">
        <v>41547</v>
      </c>
      <c r="B6610" s="418">
        <v>0.97438657407407403</v>
      </c>
      <c r="C6610" s="421" t="s">
        <v>1309</v>
      </c>
    </row>
    <row r="6611" spans="1:3" x14ac:dyDescent="0.25">
      <c r="A6611" s="417">
        <v>41547</v>
      </c>
      <c r="B6611" s="418">
        <v>0.97439814814814818</v>
      </c>
      <c r="C6611" s="421" t="s">
        <v>1830</v>
      </c>
    </row>
    <row r="6612" spans="1:3" x14ac:dyDescent="0.25">
      <c r="A6612" s="417">
        <v>41547</v>
      </c>
      <c r="B6612" s="418">
        <v>0.97439814814814818</v>
      </c>
      <c r="C6612" s="421" t="s">
        <v>1307</v>
      </c>
    </row>
    <row r="6613" spans="1:3" x14ac:dyDescent="0.25">
      <c r="A6613" s="417">
        <v>41547</v>
      </c>
      <c r="B6613" s="418">
        <v>0.97450231481481486</v>
      </c>
      <c r="C6613" s="421" t="s">
        <v>1890</v>
      </c>
    </row>
    <row r="6614" spans="1:3" x14ac:dyDescent="0.25">
      <c r="A6614" s="417">
        <v>41547</v>
      </c>
      <c r="B6614" s="418">
        <v>0.97450231481481486</v>
      </c>
      <c r="C6614" s="421" t="s">
        <v>1927</v>
      </c>
    </row>
    <row r="6615" spans="1:3" x14ac:dyDescent="0.25">
      <c r="A6615" s="417">
        <v>41547</v>
      </c>
      <c r="B6615" s="418">
        <v>0.97451388888888879</v>
      </c>
      <c r="C6615" s="421" t="s">
        <v>1771</v>
      </c>
    </row>
    <row r="6616" spans="1:3" ht="30" x14ac:dyDescent="0.25">
      <c r="A6616" s="417">
        <v>41547</v>
      </c>
      <c r="B6616" s="418">
        <v>0.98672453703703711</v>
      </c>
      <c r="C6616" s="946" t="s">
        <v>1928</v>
      </c>
    </row>
    <row r="6617" spans="1:3" ht="45" x14ac:dyDescent="0.25">
      <c r="A6617" s="417">
        <v>41547</v>
      </c>
      <c r="B6617" s="418">
        <v>0.98784722222222221</v>
      </c>
      <c r="C6617" s="946" t="s">
        <v>1929</v>
      </c>
    </row>
    <row r="6618" spans="1:3" ht="30" x14ac:dyDescent="0.25">
      <c r="A6618" s="417">
        <v>41547</v>
      </c>
      <c r="B6618" s="418">
        <v>0.98836805555555562</v>
      </c>
      <c r="C6618" s="946" t="s">
        <v>1930</v>
      </c>
    </row>
    <row r="6619" spans="1:3" ht="45" x14ac:dyDescent="0.25">
      <c r="A6619" s="417">
        <v>41547</v>
      </c>
      <c r="B6619" s="418">
        <v>0.98939814814814808</v>
      </c>
      <c r="C6619" s="946" t="s">
        <v>1931</v>
      </c>
    </row>
    <row r="6620" spans="1:3" x14ac:dyDescent="0.25">
      <c r="A6620" s="417">
        <v>41548</v>
      </c>
      <c r="B6620" s="418">
        <v>1.9560185185185184E-3</v>
      </c>
      <c r="C6620" s="421" t="s">
        <v>1307</v>
      </c>
    </row>
    <row r="6621" spans="1:3" x14ac:dyDescent="0.25">
      <c r="A6621" s="417">
        <v>41548</v>
      </c>
      <c r="B6621" s="418">
        <v>1.9560185185185184E-3</v>
      </c>
      <c r="C6621" s="421" t="s">
        <v>1308</v>
      </c>
    </row>
    <row r="6622" spans="1:3" x14ac:dyDescent="0.25">
      <c r="A6622" s="417">
        <v>41548</v>
      </c>
      <c r="B6622" s="418">
        <v>1.9560185185185184E-3</v>
      </c>
      <c r="C6622" s="421" t="s">
        <v>1309</v>
      </c>
    </row>
    <row r="6623" spans="1:3" x14ac:dyDescent="0.25">
      <c r="A6623" s="417">
        <v>41548</v>
      </c>
      <c r="B6623" s="418">
        <v>1.9560185185185184E-3</v>
      </c>
      <c r="C6623" s="421" t="s">
        <v>1310</v>
      </c>
    </row>
    <row r="6624" spans="1:3" x14ac:dyDescent="0.25">
      <c r="A6624" s="417">
        <v>41548</v>
      </c>
      <c r="B6624" s="418">
        <v>1.9560185185185184E-3</v>
      </c>
      <c r="C6624" s="421" t="s">
        <v>1311</v>
      </c>
    </row>
    <row r="6625" spans="1:3" x14ac:dyDescent="0.25">
      <c r="A6625" s="417">
        <v>41548</v>
      </c>
      <c r="B6625" s="418">
        <v>1.9560185185185184E-3</v>
      </c>
      <c r="C6625" s="421" t="s">
        <v>1312</v>
      </c>
    </row>
    <row r="6626" spans="1:3" x14ac:dyDescent="0.25">
      <c r="A6626" s="417">
        <v>41548</v>
      </c>
      <c r="B6626" s="418">
        <v>1.9560185185185184E-3</v>
      </c>
      <c r="C6626" s="421" t="s">
        <v>1313</v>
      </c>
    </row>
    <row r="6627" spans="1:3" x14ac:dyDescent="0.25">
      <c r="A6627" s="417">
        <v>41548</v>
      </c>
      <c r="B6627" s="418">
        <v>1.9560185185185184E-3</v>
      </c>
      <c r="C6627" s="421" t="s">
        <v>1310</v>
      </c>
    </row>
    <row r="6628" spans="1:3" x14ac:dyDescent="0.25">
      <c r="A6628" s="417">
        <v>41548</v>
      </c>
      <c r="B6628" s="418">
        <v>1.9560185185185184E-3</v>
      </c>
      <c r="C6628" s="421" t="s">
        <v>1314</v>
      </c>
    </row>
    <row r="6629" spans="1:3" x14ac:dyDescent="0.25">
      <c r="A6629" s="417">
        <v>41548</v>
      </c>
      <c r="B6629" s="418">
        <v>1.9560185185185184E-3</v>
      </c>
      <c r="C6629" s="421" t="s">
        <v>1315</v>
      </c>
    </row>
    <row r="6630" spans="1:3" x14ac:dyDescent="0.25">
      <c r="A6630" s="417">
        <v>41548</v>
      </c>
      <c r="B6630" s="418">
        <v>1.9560185185185184E-3</v>
      </c>
      <c r="C6630" s="421" t="s">
        <v>1460</v>
      </c>
    </row>
    <row r="6631" spans="1:3" x14ac:dyDescent="0.25">
      <c r="A6631" s="417">
        <v>41548</v>
      </c>
      <c r="B6631" s="418">
        <v>1.9560185185185184E-3</v>
      </c>
      <c r="C6631" s="421" t="s">
        <v>1461</v>
      </c>
    </row>
    <row r="6632" spans="1:3" x14ac:dyDescent="0.25">
      <c r="A6632" s="417">
        <v>41548</v>
      </c>
      <c r="B6632" s="418">
        <v>1.9560185185185184E-3</v>
      </c>
      <c r="C6632" s="421" t="s">
        <v>1310</v>
      </c>
    </row>
    <row r="6633" spans="1:3" x14ac:dyDescent="0.25">
      <c r="A6633" s="417">
        <v>41548</v>
      </c>
      <c r="B6633" s="418">
        <v>1.9560185185185184E-3</v>
      </c>
      <c r="C6633" s="421" t="s">
        <v>1462</v>
      </c>
    </row>
    <row r="6634" spans="1:3" x14ac:dyDescent="0.25">
      <c r="A6634" s="417">
        <v>41548</v>
      </c>
      <c r="B6634" s="418">
        <v>1.9560185185185184E-3</v>
      </c>
      <c r="C6634" s="421" t="s">
        <v>1316</v>
      </c>
    </row>
    <row r="6635" spans="1:3" x14ac:dyDescent="0.25">
      <c r="A6635" s="417">
        <v>41548</v>
      </c>
      <c r="B6635" s="418">
        <v>1.9560185185185184E-3</v>
      </c>
      <c r="C6635" s="421" t="s">
        <v>1316</v>
      </c>
    </row>
    <row r="6636" spans="1:3" x14ac:dyDescent="0.25">
      <c r="A6636" s="417">
        <v>41548</v>
      </c>
      <c r="B6636" s="418">
        <v>1.9560185185185184E-3</v>
      </c>
      <c r="C6636" s="421" t="s">
        <v>1317</v>
      </c>
    </row>
    <row r="6637" spans="1:3" x14ac:dyDescent="0.25">
      <c r="A6637" s="417">
        <v>41548</v>
      </c>
      <c r="B6637" s="418">
        <v>1.9560185185185184E-3</v>
      </c>
      <c r="C6637" s="421" t="s">
        <v>1309</v>
      </c>
    </row>
    <row r="6638" spans="1:3" x14ac:dyDescent="0.25">
      <c r="A6638" s="417">
        <v>41548</v>
      </c>
      <c r="B6638" s="418">
        <v>1.9560185185185184E-3</v>
      </c>
      <c r="C6638" s="421" t="s">
        <v>1318</v>
      </c>
    </row>
    <row r="6639" spans="1:3" x14ac:dyDescent="0.25">
      <c r="A6639" s="417">
        <v>41548</v>
      </c>
      <c r="B6639" s="418">
        <v>1.9560185185185184E-3</v>
      </c>
      <c r="C6639" s="421" t="s">
        <v>1319</v>
      </c>
    </row>
    <row r="6640" spans="1:3" x14ac:dyDescent="0.25">
      <c r="A6640" s="417">
        <v>41548</v>
      </c>
      <c r="B6640" s="418">
        <v>1.9560185185185184E-3</v>
      </c>
      <c r="C6640" s="421" t="s">
        <v>1320</v>
      </c>
    </row>
    <row r="6641" spans="1:3" x14ac:dyDescent="0.25">
      <c r="A6641" s="417">
        <v>41548</v>
      </c>
      <c r="B6641" s="418">
        <v>1.9560185185185184E-3</v>
      </c>
      <c r="C6641" s="421" t="s">
        <v>1318</v>
      </c>
    </row>
    <row r="6642" spans="1:3" x14ac:dyDescent="0.25">
      <c r="A6642" s="417">
        <v>41548</v>
      </c>
      <c r="B6642" s="418">
        <v>1.9560185185185184E-3</v>
      </c>
      <c r="C6642" s="421" t="s">
        <v>1307</v>
      </c>
    </row>
    <row r="6643" spans="1:3" x14ac:dyDescent="0.25">
      <c r="A6643" s="417">
        <v>41548</v>
      </c>
      <c r="B6643" s="418">
        <v>1.9675925925925928E-3</v>
      </c>
      <c r="C6643" s="421" t="s">
        <v>1321</v>
      </c>
    </row>
    <row r="6644" spans="1:3" x14ac:dyDescent="0.25">
      <c r="A6644" s="417">
        <v>41548</v>
      </c>
      <c r="B6644" s="418">
        <v>1.9675925925925928E-3</v>
      </c>
      <c r="C6644" s="421" t="s">
        <v>1322</v>
      </c>
    </row>
    <row r="6645" spans="1:3" x14ac:dyDescent="0.25">
      <c r="A6645" s="417">
        <v>41548</v>
      </c>
      <c r="B6645" s="418">
        <v>1.9675925925925928E-3</v>
      </c>
      <c r="C6645" s="421" t="s">
        <v>1322</v>
      </c>
    </row>
    <row r="6646" spans="1:3" x14ac:dyDescent="0.25">
      <c r="A6646" s="417">
        <v>41548</v>
      </c>
      <c r="B6646" s="418">
        <v>1.9675925925925928E-3</v>
      </c>
      <c r="C6646" s="421" t="s">
        <v>1323</v>
      </c>
    </row>
    <row r="6647" spans="1:3" x14ac:dyDescent="0.25">
      <c r="A6647" s="417">
        <v>41548</v>
      </c>
      <c r="B6647" s="418">
        <v>1.9675925925925928E-3</v>
      </c>
      <c r="C6647" s="421" t="s">
        <v>1324</v>
      </c>
    </row>
    <row r="6648" spans="1:3" x14ac:dyDescent="0.25">
      <c r="A6648" s="417">
        <v>41548</v>
      </c>
      <c r="B6648" s="418">
        <v>1.9675925925925928E-3</v>
      </c>
      <c r="C6648" s="421" t="s">
        <v>1310</v>
      </c>
    </row>
    <row r="6649" spans="1:3" x14ac:dyDescent="0.25">
      <c r="A6649" s="417">
        <v>41548</v>
      </c>
      <c r="B6649" s="418">
        <v>1.9675925925925928E-3</v>
      </c>
      <c r="C6649" s="421" t="s">
        <v>1325</v>
      </c>
    </row>
    <row r="6650" spans="1:3" x14ac:dyDescent="0.25">
      <c r="A6650" s="417">
        <v>41548</v>
      </c>
      <c r="B6650" s="418">
        <v>1.9675925925925928E-3</v>
      </c>
      <c r="C6650" s="421" t="s">
        <v>1326</v>
      </c>
    </row>
    <row r="6651" spans="1:3" x14ac:dyDescent="0.25">
      <c r="A6651" s="417">
        <v>41548</v>
      </c>
      <c r="B6651" s="418">
        <v>1.9675925925925928E-3</v>
      </c>
      <c r="C6651" s="421" t="s">
        <v>1238</v>
      </c>
    </row>
    <row r="6652" spans="1:3" x14ac:dyDescent="0.25">
      <c r="A6652" s="417">
        <v>41548</v>
      </c>
      <c r="B6652" s="418">
        <v>1.9675925925925928E-3</v>
      </c>
      <c r="C6652" s="421" t="s">
        <v>1327</v>
      </c>
    </row>
    <row r="6653" spans="1:3" x14ac:dyDescent="0.25">
      <c r="A6653" s="417">
        <v>41548</v>
      </c>
      <c r="B6653" s="418">
        <v>1.9675925925925928E-3</v>
      </c>
      <c r="C6653" s="421" t="s">
        <v>1323</v>
      </c>
    </row>
    <row r="6654" spans="1:3" x14ac:dyDescent="0.25">
      <c r="A6654" s="417">
        <v>41548</v>
      </c>
      <c r="B6654" s="418">
        <v>1.9675925925925928E-3</v>
      </c>
      <c r="C6654" s="421" t="s">
        <v>1342</v>
      </c>
    </row>
    <row r="6655" spans="1:3" x14ac:dyDescent="0.25">
      <c r="A6655" s="417">
        <v>41548</v>
      </c>
      <c r="B6655" s="418">
        <v>1.9675925925925928E-3</v>
      </c>
      <c r="C6655" s="421" t="s">
        <v>1343</v>
      </c>
    </row>
    <row r="6656" spans="1:3" x14ac:dyDescent="0.25">
      <c r="A6656" s="417">
        <v>41548</v>
      </c>
      <c r="B6656" s="418">
        <v>1.9675925925925928E-3</v>
      </c>
      <c r="C6656" s="421" t="s">
        <v>1344</v>
      </c>
    </row>
    <row r="6657" spans="1:3" x14ac:dyDescent="0.25">
      <c r="A6657" s="417">
        <v>41548</v>
      </c>
      <c r="B6657" s="418">
        <v>1.9675925925925928E-3</v>
      </c>
      <c r="C6657" s="421" t="s">
        <v>1344</v>
      </c>
    </row>
    <row r="6658" spans="1:3" x14ac:dyDescent="0.25">
      <c r="A6658" s="417">
        <v>41548</v>
      </c>
      <c r="B6658" s="418">
        <v>1.9675925925925928E-3</v>
      </c>
      <c r="C6658" s="421" t="s">
        <v>1310</v>
      </c>
    </row>
    <row r="6659" spans="1:3" x14ac:dyDescent="0.25">
      <c r="A6659" s="417">
        <v>41548</v>
      </c>
      <c r="B6659" s="418">
        <v>1.9675925925925928E-3</v>
      </c>
      <c r="C6659" s="421" t="s">
        <v>1345</v>
      </c>
    </row>
    <row r="6660" spans="1:3" x14ac:dyDescent="0.25">
      <c r="A6660" s="417">
        <v>41548</v>
      </c>
      <c r="B6660" s="418">
        <v>1.9675925925925928E-3</v>
      </c>
      <c r="C6660" s="421" t="s">
        <v>1346</v>
      </c>
    </row>
    <row r="6661" spans="1:3" x14ac:dyDescent="0.25">
      <c r="A6661" s="417">
        <v>41548</v>
      </c>
      <c r="B6661" s="418">
        <v>1.9675925925925928E-3</v>
      </c>
      <c r="C6661" s="421" t="s">
        <v>1347</v>
      </c>
    </row>
    <row r="6662" spans="1:3" x14ac:dyDescent="0.25">
      <c r="A6662" s="417">
        <v>41548</v>
      </c>
      <c r="B6662" s="418">
        <v>1.9675925925925928E-3</v>
      </c>
      <c r="C6662" s="421" t="s">
        <v>1348</v>
      </c>
    </row>
    <row r="6663" spans="1:3" x14ac:dyDescent="0.25">
      <c r="A6663" s="417">
        <v>41548</v>
      </c>
      <c r="B6663" s="418">
        <v>1.9675925925925928E-3</v>
      </c>
      <c r="C6663" s="421" t="s">
        <v>1349</v>
      </c>
    </row>
    <row r="6664" spans="1:3" x14ac:dyDescent="0.25">
      <c r="A6664" s="417">
        <v>41548</v>
      </c>
      <c r="B6664" s="418">
        <v>1.9675925925925928E-3</v>
      </c>
      <c r="C6664" s="421" t="s">
        <v>1349</v>
      </c>
    </row>
    <row r="6665" spans="1:3" x14ac:dyDescent="0.25">
      <c r="A6665" s="417">
        <v>41548</v>
      </c>
      <c r="B6665" s="418">
        <v>1.9675925925925928E-3</v>
      </c>
      <c r="C6665" s="421" t="s">
        <v>1348</v>
      </c>
    </row>
    <row r="6666" spans="1:3" x14ac:dyDescent="0.25">
      <c r="A6666" s="417">
        <v>41548</v>
      </c>
      <c r="B6666" s="418">
        <v>1.9675925925925928E-3</v>
      </c>
      <c r="C6666" s="421" t="s">
        <v>1350</v>
      </c>
    </row>
    <row r="6667" spans="1:3" x14ac:dyDescent="0.25">
      <c r="A6667" s="417">
        <v>41548</v>
      </c>
      <c r="B6667" s="418">
        <v>1.9675925925925928E-3</v>
      </c>
      <c r="C6667" s="421" t="s">
        <v>1351</v>
      </c>
    </row>
    <row r="6668" spans="1:3" x14ac:dyDescent="0.25">
      <c r="A6668" s="417">
        <v>41548</v>
      </c>
      <c r="B6668" s="418">
        <v>1.9675925925925928E-3</v>
      </c>
      <c r="C6668" s="421" t="s">
        <v>1352</v>
      </c>
    </row>
    <row r="6669" spans="1:3" x14ac:dyDescent="0.25">
      <c r="A6669" s="417">
        <v>41548</v>
      </c>
      <c r="B6669" s="418">
        <v>1.9675925925925928E-3</v>
      </c>
      <c r="C6669" s="421" t="s">
        <v>1768</v>
      </c>
    </row>
    <row r="6670" spans="1:3" x14ac:dyDescent="0.25">
      <c r="A6670" s="417">
        <v>41548</v>
      </c>
      <c r="B6670" s="418">
        <v>1.9675925925925928E-3</v>
      </c>
      <c r="C6670" s="421" t="s">
        <v>1353</v>
      </c>
    </row>
    <row r="6671" spans="1:3" x14ac:dyDescent="0.25">
      <c r="A6671" s="417">
        <v>41548</v>
      </c>
      <c r="B6671" s="418">
        <v>1.9675925925925928E-3</v>
      </c>
      <c r="C6671" s="421" t="s">
        <v>1354</v>
      </c>
    </row>
    <row r="6672" spans="1:3" x14ac:dyDescent="0.25">
      <c r="A6672" s="417">
        <v>41548</v>
      </c>
      <c r="B6672" s="418">
        <v>1.9675925925925928E-3</v>
      </c>
      <c r="C6672" s="421" t="s">
        <v>1357</v>
      </c>
    </row>
    <row r="6673" spans="1:3" x14ac:dyDescent="0.25">
      <c r="A6673" s="417">
        <v>41548</v>
      </c>
      <c r="B6673" s="418">
        <v>1.9675925925925928E-3</v>
      </c>
      <c r="C6673" s="421" t="s">
        <v>1358</v>
      </c>
    </row>
    <row r="6674" spans="1:3" x14ac:dyDescent="0.25">
      <c r="A6674" s="417">
        <v>41548</v>
      </c>
      <c r="B6674" s="418">
        <v>1.9675925925925928E-3</v>
      </c>
      <c r="C6674" s="421" t="s">
        <v>1359</v>
      </c>
    </row>
    <row r="6675" spans="1:3" x14ac:dyDescent="0.25">
      <c r="A6675" s="417">
        <v>41548</v>
      </c>
      <c r="B6675" s="418">
        <v>1.9675925925925928E-3</v>
      </c>
      <c r="C6675" s="421" t="s">
        <v>1360</v>
      </c>
    </row>
    <row r="6676" spans="1:3" x14ac:dyDescent="0.25">
      <c r="A6676" s="417">
        <v>41548</v>
      </c>
      <c r="B6676" s="418">
        <v>1.9675925925925928E-3</v>
      </c>
      <c r="C6676" s="421" t="s">
        <v>1361</v>
      </c>
    </row>
    <row r="6677" spans="1:3" x14ac:dyDescent="0.25">
      <c r="A6677" s="417">
        <v>41548</v>
      </c>
      <c r="B6677" s="418">
        <v>1.9675925925925928E-3</v>
      </c>
      <c r="C6677" s="421" t="s">
        <v>1317</v>
      </c>
    </row>
    <row r="6678" spans="1:3" x14ac:dyDescent="0.25">
      <c r="A6678" s="417">
        <v>41548</v>
      </c>
      <c r="B6678" s="418">
        <v>1.9675925925925928E-3</v>
      </c>
      <c r="C6678" s="421" t="s">
        <v>1537</v>
      </c>
    </row>
    <row r="6679" spans="1:3" x14ac:dyDescent="0.25">
      <c r="A6679" s="417">
        <v>41548</v>
      </c>
      <c r="B6679" s="418">
        <v>1.9675925925925928E-3</v>
      </c>
      <c r="C6679" s="421" t="s">
        <v>1363</v>
      </c>
    </row>
    <row r="6680" spans="1:3" x14ac:dyDescent="0.25">
      <c r="A6680" s="417">
        <v>41548</v>
      </c>
      <c r="B6680" s="418">
        <v>1.9675925925925928E-3</v>
      </c>
      <c r="C6680" s="421" t="s">
        <v>1364</v>
      </c>
    </row>
    <row r="6681" spans="1:3" x14ac:dyDescent="0.25">
      <c r="A6681" s="417">
        <v>41548</v>
      </c>
      <c r="B6681" s="418">
        <v>1.9675925925925928E-3</v>
      </c>
      <c r="C6681" s="421" t="s">
        <v>1365</v>
      </c>
    </row>
    <row r="6682" spans="1:3" x14ac:dyDescent="0.25">
      <c r="A6682" s="417">
        <v>41548</v>
      </c>
      <c r="B6682" s="418">
        <v>1.9675925925925928E-3</v>
      </c>
      <c r="C6682" s="421" t="s">
        <v>1365</v>
      </c>
    </row>
    <row r="6683" spans="1:3" x14ac:dyDescent="0.25">
      <c r="A6683" s="417">
        <v>41548</v>
      </c>
      <c r="B6683" s="418">
        <v>1.9675925925925928E-3</v>
      </c>
      <c r="C6683" s="421" t="s">
        <v>1320</v>
      </c>
    </row>
    <row r="6684" spans="1:3" x14ac:dyDescent="0.25">
      <c r="A6684" s="417">
        <v>41548</v>
      </c>
      <c r="B6684" s="418">
        <v>1.9675925925925928E-3</v>
      </c>
      <c r="C6684" s="421" t="s">
        <v>1367</v>
      </c>
    </row>
    <row r="6685" spans="1:3" x14ac:dyDescent="0.25">
      <c r="A6685" s="417">
        <v>41548</v>
      </c>
      <c r="B6685" s="418">
        <v>1.9675925925925928E-3</v>
      </c>
      <c r="C6685" s="421" t="s">
        <v>1344</v>
      </c>
    </row>
    <row r="6686" spans="1:3" x14ac:dyDescent="0.25">
      <c r="A6686" s="417">
        <v>41548</v>
      </c>
      <c r="B6686" s="418">
        <v>1.9675925925925928E-3</v>
      </c>
      <c r="C6686" s="421" t="s">
        <v>1368</v>
      </c>
    </row>
    <row r="6687" spans="1:3" x14ac:dyDescent="0.25">
      <c r="A6687" s="417">
        <v>41548</v>
      </c>
      <c r="B6687" s="418">
        <v>1.9675925925925928E-3</v>
      </c>
      <c r="C6687" s="421" t="s">
        <v>1369</v>
      </c>
    </row>
    <row r="6688" spans="1:3" x14ac:dyDescent="0.25">
      <c r="A6688" s="417">
        <v>41548</v>
      </c>
      <c r="B6688" s="418">
        <v>1.9675925925925928E-3</v>
      </c>
      <c r="C6688" s="421" t="s">
        <v>1307</v>
      </c>
    </row>
    <row r="6689" spans="1:3" x14ac:dyDescent="0.25">
      <c r="A6689" s="417">
        <v>41548</v>
      </c>
      <c r="B6689" s="418">
        <v>1.9791666666666668E-3</v>
      </c>
      <c r="C6689" s="421" t="s">
        <v>1370</v>
      </c>
    </row>
    <row r="6690" spans="1:3" x14ac:dyDescent="0.25">
      <c r="A6690" s="417">
        <v>41548</v>
      </c>
      <c r="B6690" s="418">
        <v>1.9791666666666668E-3</v>
      </c>
      <c r="C6690" s="421" t="s">
        <v>1371</v>
      </c>
    </row>
    <row r="6691" spans="1:3" x14ac:dyDescent="0.25">
      <c r="A6691" s="417">
        <v>41548</v>
      </c>
      <c r="B6691" s="418">
        <v>1.9791666666666668E-3</v>
      </c>
      <c r="C6691" s="421" t="s">
        <v>1344</v>
      </c>
    </row>
    <row r="6692" spans="1:3" x14ac:dyDescent="0.25">
      <c r="A6692" s="417">
        <v>41548</v>
      </c>
      <c r="B6692" s="418">
        <v>1.9791666666666668E-3</v>
      </c>
      <c r="C6692" s="421" t="s">
        <v>1317</v>
      </c>
    </row>
    <row r="6693" spans="1:3" x14ac:dyDescent="0.25">
      <c r="A6693" s="417">
        <v>41548</v>
      </c>
      <c r="B6693" s="418">
        <v>1.9791666666666668E-3</v>
      </c>
      <c r="C6693" s="421" t="s">
        <v>1463</v>
      </c>
    </row>
    <row r="6694" spans="1:3" x14ac:dyDescent="0.25">
      <c r="A6694" s="417">
        <v>41548</v>
      </c>
      <c r="B6694" s="418">
        <v>1.9791666666666668E-3</v>
      </c>
      <c r="C6694" s="421" t="s">
        <v>1373</v>
      </c>
    </row>
    <row r="6695" spans="1:3" x14ac:dyDescent="0.25">
      <c r="A6695" s="417">
        <v>41548</v>
      </c>
      <c r="B6695" s="418">
        <v>1.9791666666666668E-3</v>
      </c>
      <c r="C6695" s="421" t="s">
        <v>1308</v>
      </c>
    </row>
    <row r="6696" spans="1:3" x14ac:dyDescent="0.25">
      <c r="A6696" s="417">
        <v>41548</v>
      </c>
      <c r="B6696" s="418">
        <v>1.9791666666666668E-3</v>
      </c>
      <c r="C6696" s="421" t="s">
        <v>1374</v>
      </c>
    </row>
    <row r="6697" spans="1:3" x14ac:dyDescent="0.25">
      <c r="A6697" s="417">
        <v>41548</v>
      </c>
      <c r="B6697" s="418">
        <v>1.9791666666666668E-3</v>
      </c>
      <c r="C6697" s="421" t="s">
        <v>1375</v>
      </c>
    </row>
    <row r="6698" spans="1:3" x14ac:dyDescent="0.25">
      <c r="A6698" s="417">
        <v>41548</v>
      </c>
      <c r="B6698" s="418">
        <v>1.9791666666666668E-3</v>
      </c>
      <c r="C6698" s="421" t="s">
        <v>1376</v>
      </c>
    </row>
    <row r="6699" spans="1:3" x14ac:dyDescent="0.25">
      <c r="A6699" s="417">
        <v>41548</v>
      </c>
      <c r="B6699" s="418">
        <v>1.9791666666666668E-3</v>
      </c>
      <c r="C6699" s="421" t="s">
        <v>1377</v>
      </c>
    </row>
    <row r="6700" spans="1:3" x14ac:dyDescent="0.25">
      <c r="A6700" s="417">
        <v>41548</v>
      </c>
      <c r="B6700" s="418">
        <v>1.9791666666666668E-3</v>
      </c>
      <c r="C6700" s="421" t="s">
        <v>1326</v>
      </c>
    </row>
    <row r="6701" spans="1:3" x14ac:dyDescent="0.25">
      <c r="A6701" s="417">
        <v>41548</v>
      </c>
      <c r="B6701" s="418">
        <v>1.9791666666666668E-3</v>
      </c>
      <c r="C6701" s="421" t="s">
        <v>1755</v>
      </c>
    </row>
    <row r="6702" spans="1:3" x14ac:dyDescent="0.25">
      <c r="A6702" s="417">
        <v>41548</v>
      </c>
      <c r="B6702" s="418">
        <v>1.9791666666666668E-3</v>
      </c>
      <c r="C6702" s="421" t="s">
        <v>1380</v>
      </c>
    </row>
    <row r="6703" spans="1:3" x14ac:dyDescent="0.25">
      <c r="A6703" s="417">
        <v>41548</v>
      </c>
      <c r="B6703" s="418">
        <v>1.9791666666666668E-3</v>
      </c>
      <c r="C6703" s="421" t="s">
        <v>1381</v>
      </c>
    </row>
    <row r="6704" spans="1:3" x14ac:dyDescent="0.25">
      <c r="A6704" s="417">
        <v>41548</v>
      </c>
      <c r="B6704" s="418">
        <v>1.9791666666666668E-3</v>
      </c>
      <c r="C6704" s="421" t="s">
        <v>1382</v>
      </c>
    </row>
    <row r="6705" spans="1:3" x14ac:dyDescent="0.25">
      <c r="A6705" s="417">
        <v>41548</v>
      </c>
      <c r="B6705" s="418">
        <v>1.9791666666666668E-3</v>
      </c>
      <c r="C6705" s="421" t="s">
        <v>1383</v>
      </c>
    </row>
    <row r="6706" spans="1:3" x14ac:dyDescent="0.25">
      <c r="A6706" s="417">
        <v>41548</v>
      </c>
      <c r="B6706" s="418">
        <v>1.9791666666666668E-3</v>
      </c>
      <c r="C6706" s="421" t="s">
        <v>1352</v>
      </c>
    </row>
    <row r="6707" spans="1:3" x14ac:dyDescent="0.25">
      <c r="A6707" s="417">
        <v>41548</v>
      </c>
      <c r="B6707" s="418">
        <v>1.9791666666666668E-3</v>
      </c>
      <c r="C6707" s="421" t="s">
        <v>1384</v>
      </c>
    </row>
    <row r="6708" spans="1:3" x14ac:dyDescent="0.25">
      <c r="A6708" s="417">
        <v>41548</v>
      </c>
      <c r="B6708" s="418">
        <v>1.9791666666666668E-3</v>
      </c>
      <c r="C6708" s="421" t="s">
        <v>1385</v>
      </c>
    </row>
    <row r="6709" spans="1:3" x14ac:dyDescent="0.25">
      <c r="A6709" s="417">
        <v>41548</v>
      </c>
      <c r="B6709" s="418">
        <v>1.9791666666666668E-3</v>
      </c>
      <c r="C6709" s="421" t="s">
        <v>1385</v>
      </c>
    </row>
    <row r="6710" spans="1:3" x14ac:dyDescent="0.25">
      <c r="A6710" s="417">
        <v>41548</v>
      </c>
      <c r="B6710" s="418">
        <v>1.9791666666666668E-3</v>
      </c>
      <c r="C6710" s="421" t="s">
        <v>1386</v>
      </c>
    </row>
    <row r="6711" spans="1:3" x14ac:dyDescent="0.25">
      <c r="A6711" s="417">
        <v>41548</v>
      </c>
      <c r="B6711" s="418">
        <v>1.9791666666666668E-3</v>
      </c>
      <c r="C6711" s="421" t="s">
        <v>1387</v>
      </c>
    </row>
    <row r="6712" spans="1:3" x14ac:dyDescent="0.25">
      <c r="A6712" s="417">
        <v>41548</v>
      </c>
      <c r="B6712" s="418">
        <v>1.9791666666666668E-3</v>
      </c>
      <c r="C6712" s="421" t="s">
        <v>1387</v>
      </c>
    </row>
    <row r="6713" spans="1:3" x14ac:dyDescent="0.25">
      <c r="A6713" s="417">
        <v>41548</v>
      </c>
      <c r="B6713" s="418">
        <v>1.9791666666666668E-3</v>
      </c>
      <c r="C6713" s="421" t="s">
        <v>1318</v>
      </c>
    </row>
    <row r="6714" spans="1:3" x14ac:dyDescent="0.25">
      <c r="A6714" s="417">
        <v>41548</v>
      </c>
      <c r="B6714" s="418">
        <v>1.9791666666666668E-3</v>
      </c>
      <c r="C6714" s="421" t="s">
        <v>1388</v>
      </c>
    </row>
    <row r="6715" spans="1:3" x14ac:dyDescent="0.25">
      <c r="A6715" s="417">
        <v>41548</v>
      </c>
      <c r="B6715" s="418">
        <v>1.9791666666666668E-3</v>
      </c>
      <c r="C6715" s="421" t="s">
        <v>1390</v>
      </c>
    </row>
    <row r="6716" spans="1:3" x14ac:dyDescent="0.25">
      <c r="A6716" s="417">
        <v>41548</v>
      </c>
      <c r="B6716" s="418">
        <v>1.9791666666666668E-3</v>
      </c>
      <c r="C6716" s="421" t="s">
        <v>1391</v>
      </c>
    </row>
    <row r="6717" spans="1:3" x14ac:dyDescent="0.25">
      <c r="A6717" s="417">
        <v>41548</v>
      </c>
      <c r="B6717" s="418">
        <v>1.9791666666666668E-3</v>
      </c>
      <c r="C6717" s="421" t="s">
        <v>1392</v>
      </c>
    </row>
    <row r="6718" spans="1:3" x14ac:dyDescent="0.25">
      <c r="A6718" s="417">
        <v>41548</v>
      </c>
      <c r="B6718" s="418">
        <v>1.9791666666666668E-3</v>
      </c>
      <c r="C6718" s="421" t="s">
        <v>1795</v>
      </c>
    </row>
    <row r="6719" spans="1:3" x14ac:dyDescent="0.25">
      <c r="A6719" s="417">
        <v>41548</v>
      </c>
      <c r="B6719" s="418">
        <v>1.9907407407407408E-3</v>
      </c>
      <c r="C6719" s="421" t="s">
        <v>1393</v>
      </c>
    </row>
    <row r="6720" spans="1:3" x14ac:dyDescent="0.25">
      <c r="A6720" s="417">
        <v>41548</v>
      </c>
      <c r="B6720" s="418">
        <v>1.9907407407407408E-3</v>
      </c>
      <c r="C6720" s="421" t="s">
        <v>1394</v>
      </c>
    </row>
    <row r="6721" spans="1:3" x14ac:dyDescent="0.25">
      <c r="A6721" s="417">
        <v>41548</v>
      </c>
      <c r="B6721" s="418">
        <v>1.9907407407407408E-3</v>
      </c>
      <c r="C6721" s="421" t="s">
        <v>1392</v>
      </c>
    </row>
    <row r="6722" spans="1:3" x14ac:dyDescent="0.25">
      <c r="A6722" s="417">
        <v>41548</v>
      </c>
      <c r="B6722" s="418">
        <v>1.9907407407407408E-3</v>
      </c>
      <c r="C6722" s="421" t="s">
        <v>1395</v>
      </c>
    </row>
    <row r="6723" spans="1:3" x14ac:dyDescent="0.25">
      <c r="A6723" s="417">
        <v>41548</v>
      </c>
      <c r="B6723" s="418">
        <v>1.9907407407407408E-3</v>
      </c>
      <c r="C6723" s="421" t="s">
        <v>1396</v>
      </c>
    </row>
    <row r="6724" spans="1:3" x14ac:dyDescent="0.25">
      <c r="A6724" s="417">
        <v>41548</v>
      </c>
      <c r="B6724" s="418">
        <v>1.9907407407407408E-3</v>
      </c>
      <c r="C6724" s="421" t="s">
        <v>1363</v>
      </c>
    </row>
    <row r="6725" spans="1:3" x14ac:dyDescent="0.25">
      <c r="A6725" s="417">
        <v>41548</v>
      </c>
      <c r="B6725" s="418">
        <v>1.9907407407407408E-3</v>
      </c>
      <c r="C6725" s="421" t="s">
        <v>1397</v>
      </c>
    </row>
    <row r="6726" spans="1:3" x14ac:dyDescent="0.25">
      <c r="A6726" s="417">
        <v>41548</v>
      </c>
      <c r="B6726" s="418">
        <v>1.9907407407407408E-3</v>
      </c>
      <c r="C6726" s="421" t="s">
        <v>1381</v>
      </c>
    </row>
    <row r="6727" spans="1:3" x14ac:dyDescent="0.25">
      <c r="A6727" s="417">
        <v>41548</v>
      </c>
      <c r="B6727" s="418">
        <v>1.9907407407407408E-3</v>
      </c>
      <c r="C6727" s="421" t="s">
        <v>1398</v>
      </c>
    </row>
    <row r="6728" spans="1:3" x14ac:dyDescent="0.25">
      <c r="A6728" s="417">
        <v>41548</v>
      </c>
      <c r="B6728" s="418">
        <v>1.9907407407407408E-3</v>
      </c>
      <c r="C6728" s="421" t="s">
        <v>1399</v>
      </c>
    </row>
    <row r="6729" spans="1:3" x14ac:dyDescent="0.25">
      <c r="A6729" s="417">
        <v>41548</v>
      </c>
      <c r="B6729" s="418">
        <v>1.9907407407407408E-3</v>
      </c>
      <c r="C6729" s="421" t="s">
        <v>1400</v>
      </c>
    </row>
    <row r="6730" spans="1:3" x14ac:dyDescent="0.25">
      <c r="A6730" s="417">
        <v>41548</v>
      </c>
      <c r="B6730" s="418">
        <v>1.9907407407407408E-3</v>
      </c>
      <c r="C6730" s="421" t="s">
        <v>1400</v>
      </c>
    </row>
    <row r="6731" spans="1:3" x14ac:dyDescent="0.25">
      <c r="A6731" s="417">
        <v>41548</v>
      </c>
      <c r="B6731" s="418">
        <v>1.9907407407407408E-3</v>
      </c>
      <c r="C6731" s="421" t="s">
        <v>1373</v>
      </c>
    </row>
    <row r="6732" spans="1:3" x14ac:dyDescent="0.25">
      <c r="A6732" s="417">
        <v>41548</v>
      </c>
      <c r="B6732" s="418">
        <v>1.9907407407407408E-3</v>
      </c>
      <c r="C6732" s="421" t="s">
        <v>1353</v>
      </c>
    </row>
    <row r="6733" spans="1:3" x14ac:dyDescent="0.25">
      <c r="A6733" s="417">
        <v>41548</v>
      </c>
      <c r="B6733" s="418">
        <v>1.9907407407407408E-3</v>
      </c>
      <c r="C6733" s="421" t="s">
        <v>1353</v>
      </c>
    </row>
    <row r="6734" spans="1:3" x14ac:dyDescent="0.25">
      <c r="A6734" s="417">
        <v>41548</v>
      </c>
      <c r="B6734" s="418">
        <v>1.9907407407407408E-3</v>
      </c>
      <c r="C6734" s="421" t="s">
        <v>1401</v>
      </c>
    </row>
    <row r="6735" spans="1:3" x14ac:dyDescent="0.25">
      <c r="A6735" s="417">
        <v>41548</v>
      </c>
      <c r="B6735" s="418">
        <v>1.9907407407407408E-3</v>
      </c>
      <c r="C6735" s="421" t="s">
        <v>1392</v>
      </c>
    </row>
    <row r="6736" spans="1:3" x14ac:dyDescent="0.25">
      <c r="A6736" s="417">
        <v>41548</v>
      </c>
      <c r="B6736" s="418">
        <v>1.9907407407407408E-3</v>
      </c>
      <c r="C6736" s="421" t="s">
        <v>1403</v>
      </c>
    </row>
    <row r="6737" spans="1:3" x14ac:dyDescent="0.25">
      <c r="A6737" s="417">
        <v>41548</v>
      </c>
      <c r="B6737" s="418">
        <v>1.9907407407407408E-3</v>
      </c>
      <c r="C6737" s="421" t="s">
        <v>1403</v>
      </c>
    </row>
    <row r="6738" spans="1:3" x14ac:dyDescent="0.25">
      <c r="A6738" s="417">
        <v>41548</v>
      </c>
      <c r="B6738" s="418">
        <v>1.9907407407407408E-3</v>
      </c>
      <c r="C6738" s="421" t="s">
        <v>1403</v>
      </c>
    </row>
    <row r="6739" spans="1:3" x14ac:dyDescent="0.25">
      <c r="A6739" s="417">
        <v>41548</v>
      </c>
      <c r="B6739" s="418">
        <v>1.9907407407407408E-3</v>
      </c>
      <c r="C6739" s="421" t="s">
        <v>1364</v>
      </c>
    </row>
    <row r="6740" spans="1:3" x14ac:dyDescent="0.25">
      <c r="A6740" s="417">
        <v>41548</v>
      </c>
      <c r="B6740" s="418">
        <v>1.9907407407407408E-3</v>
      </c>
      <c r="C6740" s="421" t="s">
        <v>1364</v>
      </c>
    </row>
    <row r="6741" spans="1:3" x14ac:dyDescent="0.25">
      <c r="A6741" s="417">
        <v>41548</v>
      </c>
      <c r="B6741" s="418">
        <v>1.9907407407407408E-3</v>
      </c>
      <c r="C6741" s="421" t="s">
        <v>1381</v>
      </c>
    </row>
    <row r="6742" spans="1:3" x14ac:dyDescent="0.25">
      <c r="A6742" s="417">
        <v>41548</v>
      </c>
      <c r="B6742" s="418">
        <v>2.0023148148148148E-3</v>
      </c>
      <c r="C6742" s="421" t="s">
        <v>1364</v>
      </c>
    </row>
    <row r="6743" spans="1:3" x14ac:dyDescent="0.25">
      <c r="A6743" s="417">
        <v>41548</v>
      </c>
      <c r="B6743" s="418">
        <v>2.0023148148148148E-3</v>
      </c>
      <c r="C6743" s="421" t="s">
        <v>1480</v>
      </c>
    </row>
    <row r="6744" spans="1:3" x14ac:dyDescent="0.25">
      <c r="A6744" s="417">
        <v>41548</v>
      </c>
      <c r="B6744" s="418">
        <v>2.0023148148148148E-3</v>
      </c>
      <c r="C6744" s="421" t="s">
        <v>1480</v>
      </c>
    </row>
    <row r="6745" spans="1:3" x14ac:dyDescent="0.25">
      <c r="A6745" s="417">
        <v>41548</v>
      </c>
      <c r="B6745" s="418">
        <v>2.0023148148148148E-3</v>
      </c>
      <c r="C6745" s="421" t="s">
        <v>1480</v>
      </c>
    </row>
    <row r="6746" spans="1:3" x14ac:dyDescent="0.25">
      <c r="A6746" s="417">
        <v>41548</v>
      </c>
      <c r="B6746" s="418">
        <v>2.0023148148148148E-3</v>
      </c>
      <c r="C6746" s="421" t="s">
        <v>1932</v>
      </c>
    </row>
    <row r="6747" spans="1:3" x14ac:dyDescent="0.25">
      <c r="A6747" s="417">
        <v>41548</v>
      </c>
      <c r="B6747" s="418">
        <v>2.0023148148148148E-3</v>
      </c>
      <c r="C6747" s="421" t="s">
        <v>1541</v>
      </c>
    </row>
    <row r="6748" spans="1:3" x14ac:dyDescent="0.25">
      <c r="A6748" s="417">
        <v>41548</v>
      </c>
      <c r="B6748" s="418">
        <v>2.0023148148148148E-3</v>
      </c>
      <c r="C6748" s="421" t="s">
        <v>1346</v>
      </c>
    </row>
    <row r="6749" spans="1:3" x14ac:dyDescent="0.25">
      <c r="A6749" s="417">
        <v>41548</v>
      </c>
      <c r="B6749" s="418">
        <v>2.0023148148148148E-3</v>
      </c>
      <c r="C6749" s="421" t="s">
        <v>1405</v>
      </c>
    </row>
    <row r="6750" spans="1:3" x14ac:dyDescent="0.25">
      <c r="A6750" s="417">
        <v>41548</v>
      </c>
      <c r="B6750" s="418">
        <v>2.0023148148148148E-3</v>
      </c>
      <c r="C6750" s="421" t="s">
        <v>1406</v>
      </c>
    </row>
    <row r="6751" spans="1:3" x14ac:dyDescent="0.25">
      <c r="A6751" s="417">
        <v>41548</v>
      </c>
      <c r="B6751" s="418">
        <v>2.0254629629629629E-3</v>
      </c>
      <c r="C6751" s="421" t="s">
        <v>1933</v>
      </c>
    </row>
    <row r="6752" spans="1:3" x14ac:dyDescent="0.25">
      <c r="A6752" s="417">
        <v>41548</v>
      </c>
      <c r="B6752" s="418">
        <v>2.0370370370370373E-3</v>
      </c>
      <c r="C6752" s="421" t="s">
        <v>1318</v>
      </c>
    </row>
    <row r="6753" spans="1:3" x14ac:dyDescent="0.25">
      <c r="A6753" s="417">
        <v>41548</v>
      </c>
      <c r="B6753" s="418">
        <v>2.0486111111111113E-3</v>
      </c>
      <c r="C6753" s="421" t="s">
        <v>1368</v>
      </c>
    </row>
    <row r="6754" spans="1:3" x14ac:dyDescent="0.25">
      <c r="A6754" s="417">
        <v>41548</v>
      </c>
      <c r="B6754" s="418">
        <v>2.0486111111111113E-3</v>
      </c>
      <c r="C6754" s="421" t="s">
        <v>1368</v>
      </c>
    </row>
    <row r="6755" spans="1:3" x14ac:dyDescent="0.25">
      <c r="A6755" s="417">
        <v>41548</v>
      </c>
      <c r="B6755" s="418">
        <v>2.0486111111111113E-3</v>
      </c>
      <c r="C6755" s="421" t="s">
        <v>1368</v>
      </c>
    </row>
    <row r="6756" spans="1:3" x14ac:dyDescent="0.25">
      <c r="A6756" s="417">
        <v>41548</v>
      </c>
      <c r="B6756" s="418">
        <v>2.0486111111111113E-3</v>
      </c>
      <c r="C6756" s="421" t="s">
        <v>1368</v>
      </c>
    </row>
    <row r="6757" spans="1:3" x14ac:dyDescent="0.25">
      <c r="A6757" s="417">
        <v>41548</v>
      </c>
      <c r="B6757" s="418">
        <v>2.0486111111111113E-3</v>
      </c>
      <c r="C6757" s="421" t="s">
        <v>1368</v>
      </c>
    </row>
    <row r="6758" spans="1:3" x14ac:dyDescent="0.25">
      <c r="A6758" s="417">
        <v>41548</v>
      </c>
      <c r="B6758" s="418">
        <v>2.0486111111111113E-3</v>
      </c>
      <c r="C6758" s="421" t="s">
        <v>1409</v>
      </c>
    </row>
    <row r="6759" spans="1:3" x14ac:dyDescent="0.25">
      <c r="A6759" s="417">
        <v>41548</v>
      </c>
      <c r="B6759" s="418">
        <v>2.0486111111111113E-3</v>
      </c>
      <c r="C6759" s="421" t="s">
        <v>1308</v>
      </c>
    </row>
    <row r="6760" spans="1:3" x14ac:dyDescent="0.25">
      <c r="A6760" s="417">
        <v>41548</v>
      </c>
      <c r="B6760" s="418">
        <v>2.0601851851851853E-3</v>
      </c>
      <c r="C6760" s="421" t="s">
        <v>1410</v>
      </c>
    </row>
    <row r="6761" spans="1:3" x14ac:dyDescent="0.25">
      <c r="A6761" s="417">
        <v>41548</v>
      </c>
      <c r="B6761" s="418">
        <v>2.0601851851851853E-3</v>
      </c>
      <c r="C6761" s="421" t="s">
        <v>1410</v>
      </c>
    </row>
    <row r="6762" spans="1:3" x14ac:dyDescent="0.25">
      <c r="A6762" s="417">
        <v>41548</v>
      </c>
      <c r="B6762" s="418">
        <v>2.0601851851851853E-3</v>
      </c>
      <c r="C6762" s="421" t="s">
        <v>1411</v>
      </c>
    </row>
    <row r="6763" spans="1:3" x14ac:dyDescent="0.25">
      <c r="A6763" s="417">
        <v>41548</v>
      </c>
      <c r="B6763" s="418">
        <v>2.0717592592592593E-3</v>
      </c>
      <c r="C6763" s="421" t="s">
        <v>1717</v>
      </c>
    </row>
    <row r="6764" spans="1:3" x14ac:dyDescent="0.25">
      <c r="A6764" s="417">
        <v>41548</v>
      </c>
      <c r="B6764" s="418">
        <v>2.0833333333333333E-3</v>
      </c>
      <c r="C6764" s="421" t="s">
        <v>1413</v>
      </c>
    </row>
    <row r="6765" spans="1:3" x14ac:dyDescent="0.25">
      <c r="A6765" s="417">
        <v>41548</v>
      </c>
      <c r="B6765" s="418">
        <v>2.0833333333333333E-3</v>
      </c>
      <c r="C6765" s="421" t="s">
        <v>1414</v>
      </c>
    </row>
    <row r="6766" spans="1:3" x14ac:dyDescent="0.25">
      <c r="A6766" s="417">
        <v>41548</v>
      </c>
      <c r="B6766" s="418">
        <v>2.0949074074074073E-3</v>
      </c>
      <c r="C6766" s="421" t="s">
        <v>1373</v>
      </c>
    </row>
    <row r="6767" spans="1:3" x14ac:dyDescent="0.25">
      <c r="A6767" s="417">
        <v>41548</v>
      </c>
      <c r="B6767" s="418">
        <v>2.0949074074074073E-3</v>
      </c>
      <c r="C6767" s="421" t="s">
        <v>1934</v>
      </c>
    </row>
    <row r="6768" spans="1:3" x14ac:dyDescent="0.25">
      <c r="A6768" s="417">
        <v>41548</v>
      </c>
      <c r="B6768" s="418">
        <v>2.1527777777777778E-3</v>
      </c>
      <c r="C6768" s="421" t="s">
        <v>1409</v>
      </c>
    </row>
    <row r="6769" spans="1:3" x14ac:dyDescent="0.25">
      <c r="A6769" s="417">
        <v>41548</v>
      </c>
      <c r="B6769" s="418">
        <v>2.1643518518518518E-3</v>
      </c>
      <c r="C6769" s="421" t="s">
        <v>1416</v>
      </c>
    </row>
    <row r="6770" spans="1:3" x14ac:dyDescent="0.25">
      <c r="A6770" s="417">
        <v>41548</v>
      </c>
      <c r="B6770" s="418">
        <v>2.1643518518518518E-3</v>
      </c>
      <c r="C6770" s="421" t="s">
        <v>1622</v>
      </c>
    </row>
    <row r="6771" spans="1:3" x14ac:dyDescent="0.25">
      <c r="A6771" s="417">
        <v>41548</v>
      </c>
      <c r="B6771" s="418">
        <v>2.1643518518518518E-3</v>
      </c>
      <c r="C6771" s="421" t="s">
        <v>1348</v>
      </c>
    </row>
    <row r="6772" spans="1:3" x14ac:dyDescent="0.25">
      <c r="A6772" s="417">
        <v>41548</v>
      </c>
      <c r="B6772" s="418">
        <v>2.1643518518518518E-3</v>
      </c>
      <c r="C6772" s="421" t="s">
        <v>1419</v>
      </c>
    </row>
    <row r="6773" spans="1:3" x14ac:dyDescent="0.25">
      <c r="A6773" s="417">
        <v>41548</v>
      </c>
      <c r="B6773" s="418">
        <v>2.1759259259259258E-3</v>
      </c>
      <c r="C6773" s="421" t="s">
        <v>1419</v>
      </c>
    </row>
    <row r="6774" spans="1:3" x14ac:dyDescent="0.25">
      <c r="A6774" s="417">
        <v>41548</v>
      </c>
      <c r="B6774" s="418">
        <v>2.1759259259259258E-3</v>
      </c>
      <c r="C6774" s="421" t="s">
        <v>1420</v>
      </c>
    </row>
    <row r="6775" spans="1:3" x14ac:dyDescent="0.25">
      <c r="A6775" s="417">
        <v>41548</v>
      </c>
      <c r="B6775" s="418">
        <v>2.2106481481481478E-3</v>
      </c>
      <c r="C6775" s="421" t="s">
        <v>1935</v>
      </c>
    </row>
    <row r="6776" spans="1:3" x14ac:dyDescent="0.25">
      <c r="A6776" s="417">
        <v>41548</v>
      </c>
      <c r="B6776" s="418">
        <v>2.2106481481481478E-3</v>
      </c>
      <c r="C6776" s="421" t="s">
        <v>1936</v>
      </c>
    </row>
    <row r="6777" spans="1:3" x14ac:dyDescent="0.25">
      <c r="A6777" s="417">
        <v>41548</v>
      </c>
      <c r="B6777" s="418">
        <v>2.2106481481481478E-3</v>
      </c>
      <c r="C6777" s="421" t="s">
        <v>1937</v>
      </c>
    </row>
    <row r="6778" spans="1:3" x14ac:dyDescent="0.25">
      <c r="A6778" s="417">
        <v>41548</v>
      </c>
      <c r="B6778" s="418">
        <v>2.2222222222222222E-3</v>
      </c>
      <c r="C6778" s="421" t="s">
        <v>1938</v>
      </c>
    </row>
    <row r="6779" spans="1:3" x14ac:dyDescent="0.25">
      <c r="A6779" s="417">
        <v>41548</v>
      </c>
      <c r="B6779" s="418">
        <v>2.2222222222222222E-3</v>
      </c>
      <c r="C6779" s="421" t="s">
        <v>1939</v>
      </c>
    </row>
    <row r="6780" spans="1:3" x14ac:dyDescent="0.25">
      <c r="A6780" s="417">
        <v>41548</v>
      </c>
      <c r="B6780" s="418">
        <v>2.2222222222222222E-3</v>
      </c>
      <c r="C6780" s="421" t="s">
        <v>1940</v>
      </c>
    </row>
    <row r="6781" spans="1:3" x14ac:dyDescent="0.25">
      <c r="A6781" s="417">
        <v>41548</v>
      </c>
      <c r="B6781" s="418">
        <v>2.2222222222222222E-3</v>
      </c>
      <c r="C6781" s="421" t="s">
        <v>1941</v>
      </c>
    </row>
    <row r="6782" spans="1:3" x14ac:dyDescent="0.25">
      <c r="A6782" s="417">
        <v>41548</v>
      </c>
      <c r="B6782" s="418">
        <v>2.2222222222222222E-3</v>
      </c>
      <c r="C6782" s="421" t="s">
        <v>1942</v>
      </c>
    </row>
    <row r="6783" spans="1:3" x14ac:dyDescent="0.25">
      <c r="A6783" s="417">
        <v>41548</v>
      </c>
      <c r="B6783" s="418">
        <v>2.2337962962962967E-3</v>
      </c>
      <c r="C6783" s="421" t="s">
        <v>1320</v>
      </c>
    </row>
    <row r="6784" spans="1:3" x14ac:dyDescent="0.25">
      <c r="A6784" s="417">
        <v>41548</v>
      </c>
      <c r="B6784" s="418">
        <v>2.2337962962962967E-3</v>
      </c>
      <c r="C6784" s="421" t="s">
        <v>1429</v>
      </c>
    </row>
    <row r="6785" spans="1:3" x14ac:dyDescent="0.25">
      <c r="A6785" s="417">
        <v>41548</v>
      </c>
      <c r="B6785" s="418">
        <v>2.2453703703703702E-3</v>
      </c>
      <c r="C6785" s="421" t="s">
        <v>1430</v>
      </c>
    </row>
    <row r="6786" spans="1:3" x14ac:dyDescent="0.25">
      <c r="A6786" s="417">
        <v>41548</v>
      </c>
      <c r="B6786" s="418">
        <v>2.2569444444444447E-3</v>
      </c>
      <c r="C6786" s="421" t="s">
        <v>1866</v>
      </c>
    </row>
    <row r="6787" spans="1:3" x14ac:dyDescent="0.25">
      <c r="A6787" s="417">
        <v>41548</v>
      </c>
      <c r="B6787" s="418">
        <v>2.2916666666666667E-3</v>
      </c>
      <c r="C6787" s="421" t="s">
        <v>1308</v>
      </c>
    </row>
    <row r="6788" spans="1:3" x14ac:dyDescent="0.25">
      <c r="A6788" s="417">
        <v>41548</v>
      </c>
      <c r="B6788" s="418">
        <v>2.2916666666666667E-3</v>
      </c>
      <c r="C6788" s="421" t="s">
        <v>1360</v>
      </c>
    </row>
    <row r="6789" spans="1:3" x14ac:dyDescent="0.25">
      <c r="A6789" s="417">
        <v>41548</v>
      </c>
      <c r="B6789" s="418">
        <v>2.2916666666666667E-3</v>
      </c>
      <c r="C6789" s="421" t="s">
        <v>1432</v>
      </c>
    </row>
    <row r="6790" spans="1:3" x14ac:dyDescent="0.25">
      <c r="A6790" s="417">
        <v>41548</v>
      </c>
      <c r="B6790" s="418">
        <v>2.2916666666666667E-3</v>
      </c>
      <c r="C6790" s="421" t="s">
        <v>1432</v>
      </c>
    </row>
    <row r="6791" spans="1:3" x14ac:dyDescent="0.25">
      <c r="A6791" s="417">
        <v>41548</v>
      </c>
      <c r="B6791" s="418">
        <v>2.2916666666666667E-3</v>
      </c>
      <c r="C6791" s="421" t="s">
        <v>1432</v>
      </c>
    </row>
    <row r="6792" spans="1:3" x14ac:dyDescent="0.25">
      <c r="A6792" s="417">
        <v>41548</v>
      </c>
      <c r="B6792" s="418">
        <v>2.2916666666666667E-3</v>
      </c>
      <c r="C6792" s="421" t="s">
        <v>1822</v>
      </c>
    </row>
    <row r="6793" spans="1:3" x14ac:dyDescent="0.25">
      <c r="A6793" s="417">
        <v>41548</v>
      </c>
      <c r="B6793" s="418">
        <v>2.3032407407407407E-3</v>
      </c>
      <c r="C6793" s="421" t="s">
        <v>1413</v>
      </c>
    </row>
    <row r="6794" spans="1:3" x14ac:dyDescent="0.25">
      <c r="A6794" s="417">
        <v>41548</v>
      </c>
      <c r="B6794" s="418">
        <v>2.3148148148148151E-3</v>
      </c>
      <c r="C6794" s="421" t="s">
        <v>1943</v>
      </c>
    </row>
    <row r="6795" spans="1:3" x14ac:dyDescent="0.25">
      <c r="A6795" s="417">
        <v>41548</v>
      </c>
      <c r="B6795" s="418">
        <v>2.3148148148148151E-3</v>
      </c>
      <c r="C6795" s="421" t="s">
        <v>1944</v>
      </c>
    </row>
    <row r="6796" spans="1:3" x14ac:dyDescent="0.25">
      <c r="A6796" s="417">
        <v>41548</v>
      </c>
      <c r="B6796" s="418">
        <v>2.3148148148148151E-3</v>
      </c>
      <c r="C6796" s="421" t="s">
        <v>1945</v>
      </c>
    </row>
    <row r="6797" spans="1:3" x14ac:dyDescent="0.25">
      <c r="A6797" s="417">
        <v>41548</v>
      </c>
      <c r="B6797" s="418">
        <v>2.3148148148148151E-3</v>
      </c>
      <c r="C6797" s="421" t="s">
        <v>1946</v>
      </c>
    </row>
    <row r="6798" spans="1:3" x14ac:dyDescent="0.25">
      <c r="A6798" s="417">
        <v>41548</v>
      </c>
      <c r="B6798" s="418">
        <v>2.3148148148148151E-3</v>
      </c>
      <c r="C6798" s="421" t="s">
        <v>1947</v>
      </c>
    </row>
    <row r="6799" spans="1:3" x14ac:dyDescent="0.25">
      <c r="A6799" s="417">
        <v>41548</v>
      </c>
      <c r="B6799" s="418">
        <v>2.3148148148148151E-3</v>
      </c>
      <c r="C6799" s="421" t="s">
        <v>1948</v>
      </c>
    </row>
    <row r="6800" spans="1:3" x14ac:dyDescent="0.25">
      <c r="A6800" s="417">
        <v>41548</v>
      </c>
      <c r="B6800" s="418">
        <v>2.3263888888888887E-3</v>
      </c>
      <c r="C6800" s="421" t="s">
        <v>1624</v>
      </c>
    </row>
    <row r="6801" spans="1:3" x14ac:dyDescent="0.25">
      <c r="A6801" s="417">
        <v>41548</v>
      </c>
      <c r="B6801" s="418">
        <v>2.3611111111111111E-3</v>
      </c>
      <c r="C6801" s="421" t="s">
        <v>1949</v>
      </c>
    </row>
    <row r="6802" spans="1:3" x14ac:dyDescent="0.25">
      <c r="A6802" s="417">
        <v>41548</v>
      </c>
      <c r="B6802" s="418">
        <v>2.4074074074074076E-3</v>
      </c>
      <c r="C6802" s="421" t="s">
        <v>1950</v>
      </c>
    </row>
    <row r="6803" spans="1:3" x14ac:dyDescent="0.25">
      <c r="A6803" s="417">
        <v>41548</v>
      </c>
      <c r="B6803" s="418">
        <v>2.4189814814814816E-3</v>
      </c>
      <c r="C6803" s="421" t="s">
        <v>1320</v>
      </c>
    </row>
    <row r="6804" spans="1:3" x14ac:dyDescent="0.25">
      <c r="A6804" s="417">
        <v>41548</v>
      </c>
      <c r="B6804" s="418">
        <v>2.488425925925926E-3</v>
      </c>
      <c r="C6804" s="421" t="s">
        <v>1951</v>
      </c>
    </row>
    <row r="6805" spans="1:3" x14ac:dyDescent="0.25">
      <c r="A6805" s="417">
        <v>41548</v>
      </c>
      <c r="B6805" s="418">
        <v>2.488425925925926E-3</v>
      </c>
      <c r="C6805" s="421" t="s">
        <v>1952</v>
      </c>
    </row>
    <row r="6806" spans="1:3" x14ac:dyDescent="0.25">
      <c r="A6806" s="417">
        <v>41548</v>
      </c>
      <c r="B6806" s="418">
        <v>2.488425925925926E-3</v>
      </c>
      <c r="C6806" s="421" t="s">
        <v>1953</v>
      </c>
    </row>
    <row r="6807" spans="1:3" x14ac:dyDescent="0.25">
      <c r="A6807" s="417">
        <v>41548</v>
      </c>
      <c r="B6807" s="418">
        <v>2.488425925925926E-3</v>
      </c>
      <c r="C6807" s="421" t="s">
        <v>1954</v>
      </c>
    </row>
    <row r="6808" spans="1:3" x14ac:dyDescent="0.25">
      <c r="A6808" s="417">
        <v>41548</v>
      </c>
      <c r="B6808" s="418">
        <v>2.5000000000000001E-3</v>
      </c>
      <c r="C6808" s="421" t="s">
        <v>1446</v>
      </c>
    </row>
    <row r="6809" spans="1:3" x14ac:dyDescent="0.25">
      <c r="A6809" s="417">
        <v>41548</v>
      </c>
      <c r="B6809" s="418">
        <v>2.6041666666666665E-3</v>
      </c>
      <c r="C6809" s="421" t="s">
        <v>1955</v>
      </c>
    </row>
    <row r="6810" spans="1:3" x14ac:dyDescent="0.25">
      <c r="A6810" s="417">
        <v>41548</v>
      </c>
      <c r="B6810" s="418">
        <v>2.615740740740741E-3</v>
      </c>
      <c r="C6810" s="421" t="s">
        <v>1389</v>
      </c>
    </row>
    <row r="6811" spans="1:3" x14ac:dyDescent="0.25">
      <c r="A6811" s="417">
        <v>41548</v>
      </c>
      <c r="B6811" s="418">
        <v>2.615740740740741E-3</v>
      </c>
      <c r="C6811" s="421" t="s">
        <v>1448</v>
      </c>
    </row>
    <row r="6812" spans="1:3" x14ac:dyDescent="0.25">
      <c r="A6812" s="417">
        <v>41548</v>
      </c>
      <c r="B6812" s="418">
        <v>2.627314814814815E-3</v>
      </c>
      <c r="C6812" s="421" t="s">
        <v>1450</v>
      </c>
    </row>
    <row r="6813" spans="1:3" x14ac:dyDescent="0.25">
      <c r="A6813" s="417">
        <v>41548</v>
      </c>
      <c r="B6813" s="418">
        <v>2.627314814814815E-3</v>
      </c>
      <c r="C6813" s="421" t="s">
        <v>1450</v>
      </c>
    </row>
    <row r="6814" spans="1:3" x14ac:dyDescent="0.25">
      <c r="A6814" s="417">
        <v>41548</v>
      </c>
      <c r="B6814" s="418">
        <v>2.627314814814815E-3</v>
      </c>
      <c r="C6814" s="421" t="s">
        <v>1450</v>
      </c>
    </row>
    <row r="6815" spans="1:3" x14ac:dyDescent="0.25">
      <c r="A6815" s="417">
        <v>41548</v>
      </c>
      <c r="B6815" s="418">
        <v>2.627314814814815E-3</v>
      </c>
      <c r="C6815" s="421" t="s">
        <v>1450</v>
      </c>
    </row>
    <row r="6816" spans="1:3" x14ac:dyDescent="0.25">
      <c r="A6816" s="417">
        <v>41548</v>
      </c>
      <c r="B6816" s="418">
        <v>2.627314814814815E-3</v>
      </c>
      <c r="C6816" s="421" t="s">
        <v>1450</v>
      </c>
    </row>
    <row r="6817" spans="1:3" x14ac:dyDescent="0.25">
      <c r="A6817" s="417">
        <v>41548</v>
      </c>
      <c r="B6817" s="418">
        <v>2.627314814814815E-3</v>
      </c>
      <c r="C6817" s="421" t="s">
        <v>1450</v>
      </c>
    </row>
    <row r="6818" spans="1:3" x14ac:dyDescent="0.25">
      <c r="A6818" s="417">
        <v>41548</v>
      </c>
      <c r="B6818" s="418">
        <v>2.627314814814815E-3</v>
      </c>
      <c r="C6818" s="421" t="s">
        <v>1450</v>
      </c>
    </row>
    <row r="6819" spans="1:3" x14ac:dyDescent="0.25">
      <c r="A6819" s="417">
        <v>41548</v>
      </c>
      <c r="B6819" s="418">
        <v>2.8703703703703708E-3</v>
      </c>
      <c r="C6819" s="421" t="s">
        <v>1448</v>
      </c>
    </row>
    <row r="6820" spans="1:3" x14ac:dyDescent="0.25">
      <c r="A6820" s="417">
        <v>41548</v>
      </c>
      <c r="B6820" s="418">
        <v>2.9398148148148148E-3</v>
      </c>
      <c r="C6820" s="421" t="s">
        <v>1399</v>
      </c>
    </row>
    <row r="6821" spans="1:3" x14ac:dyDescent="0.25">
      <c r="A6821" s="417">
        <v>41548</v>
      </c>
      <c r="B6821" s="418">
        <v>2.9976851851851848E-3</v>
      </c>
      <c r="C6821" s="421" t="s">
        <v>1309</v>
      </c>
    </row>
    <row r="6822" spans="1:3" x14ac:dyDescent="0.25">
      <c r="A6822" s="417">
        <v>41548</v>
      </c>
      <c r="B6822" s="418">
        <v>3.0092592592592588E-3</v>
      </c>
      <c r="C6822" s="421" t="s">
        <v>1830</v>
      </c>
    </row>
    <row r="6823" spans="1:3" x14ac:dyDescent="0.25">
      <c r="A6823" s="417">
        <v>41548</v>
      </c>
      <c r="B6823" s="418">
        <v>3.0092592592592588E-3</v>
      </c>
      <c r="C6823" s="421" t="s">
        <v>1307</v>
      </c>
    </row>
    <row r="6824" spans="1:3" x14ac:dyDescent="0.25">
      <c r="A6824" s="417">
        <v>41548</v>
      </c>
      <c r="B6824" s="418">
        <v>1.5358796296296296E-2</v>
      </c>
      <c r="C6824" s="421" t="s">
        <v>1956</v>
      </c>
    </row>
    <row r="6825" spans="1:3" ht="45" x14ac:dyDescent="0.25">
      <c r="A6825" s="417">
        <v>41548</v>
      </c>
      <c r="B6825" s="418">
        <v>1.726851851851852E-2</v>
      </c>
      <c r="C6825" s="946" t="s">
        <v>1957</v>
      </c>
    </row>
    <row r="6826" spans="1:3" ht="45" x14ac:dyDescent="0.25">
      <c r="A6826" s="417">
        <v>41548</v>
      </c>
      <c r="B6826" s="418">
        <v>2.2662037037037036E-2</v>
      </c>
      <c r="C6826" s="946" t="s">
        <v>1957</v>
      </c>
    </row>
    <row r="6827" spans="1:3" ht="45" x14ac:dyDescent="0.25">
      <c r="A6827" s="417">
        <v>41548</v>
      </c>
      <c r="B6827" s="418">
        <v>3.0567129629629628E-2</v>
      </c>
      <c r="C6827" s="946" t="s">
        <v>1958</v>
      </c>
    </row>
    <row r="6828" spans="1:3" ht="45" x14ac:dyDescent="0.25">
      <c r="A6828" s="417">
        <v>41548</v>
      </c>
      <c r="B6828" s="418">
        <v>3.3773148148148149E-2</v>
      </c>
      <c r="C6828" s="946" t="s">
        <v>1959</v>
      </c>
    </row>
    <row r="6829" spans="1:3" ht="45" x14ac:dyDescent="0.25">
      <c r="A6829" s="417">
        <v>41548</v>
      </c>
      <c r="B6829" s="418">
        <v>3.5266203703703702E-2</v>
      </c>
      <c r="C6829" s="946" t="s">
        <v>1960</v>
      </c>
    </row>
    <row r="6830" spans="1:3" ht="45" x14ac:dyDescent="0.25">
      <c r="A6830" s="417">
        <v>41548</v>
      </c>
      <c r="B6830" s="418">
        <v>3.5509259259259261E-2</v>
      </c>
      <c r="C6830" s="946" t="s">
        <v>1961</v>
      </c>
    </row>
    <row r="6831" spans="1:3" x14ac:dyDescent="0.25">
      <c r="A6831" s="417">
        <v>41548</v>
      </c>
      <c r="B6831" s="418">
        <v>3.6620370370370373E-2</v>
      </c>
      <c r="C6831" s="421" t="s">
        <v>1956</v>
      </c>
    </row>
    <row r="6832" spans="1:3" x14ac:dyDescent="0.25">
      <c r="A6832" s="417">
        <v>41548</v>
      </c>
      <c r="B6832" s="418">
        <v>3.6863425925925931E-2</v>
      </c>
      <c r="C6832" s="421" t="s">
        <v>1307</v>
      </c>
    </row>
    <row r="6833" spans="1:3" x14ac:dyDescent="0.25">
      <c r="A6833" s="417">
        <v>41548</v>
      </c>
      <c r="B6833" s="418">
        <v>3.6874999999999998E-2</v>
      </c>
      <c r="C6833" s="421" t="s">
        <v>1308</v>
      </c>
    </row>
    <row r="6834" spans="1:3" x14ac:dyDescent="0.25">
      <c r="A6834" s="417">
        <v>41548</v>
      </c>
      <c r="B6834" s="418">
        <v>3.6874999999999998E-2</v>
      </c>
      <c r="C6834" s="421" t="s">
        <v>1309</v>
      </c>
    </row>
    <row r="6835" spans="1:3" x14ac:dyDescent="0.25">
      <c r="A6835" s="417">
        <v>41548</v>
      </c>
      <c r="B6835" s="418">
        <v>3.6874999999999998E-2</v>
      </c>
      <c r="C6835" s="421" t="s">
        <v>1310</v>
      </c>
    </row>
    <row r="6836" spans="1:3" x14ac:dyDescent="0.25">
      <c r="A6836" s="417">
        <v>41548</v>
      </c>
      <c r="B6836" s="418">
        <v>3.6874999999999998E-2</v>
      </c>
      <c r="C6836" s="421" t="s">
        <v>1311</v>
      </c>
    </row>
    <row r="6837" spans="1:3" x14ac:dyDescent="0.25">
      <c r="A6837" s="417">
        <v>41548</v>
      </c>
      <c r="B6837" s="418">
        <v>3.6874999999999998E-2</v>
      </c>
      <c r="C6837" s="421" t="s">
        <v>1312</v>
      </c>
    </row>
    <row r="6838" spans="1:3" x14ac:dyDescent="0.25">
      <c r="A6838" s="417">
        <v>41548</v>
      </c>
      <c r="B6838" s="418">
        <v>3.6874999999999998E-2</v>
      </c>
      <c r="C6838" s="421" t="s">
        <v>1313</v>
      </c>
    </row>
    <row r="6839" spans="1:3" x14ac:dyDescent="0.25">
      <c r="A6839" s="417">
        <v>41548</v>
      </c>
      <c r="B6839" s="418">
        <v>3.6874999999999998E-2</v>
      </c>
      <c r="C6839" s="421" t="s">
        <v>1310</v>
      </c>
    </row>
    <row r="6840" spans="1:3" x14ac:dyDescent="0.25">
      <c r="A6840" s="417">
        <v>41548</v>
      </c>
      <c r="B6840" s="418">
        <v>3.6874999999999998E-2</v>
      </c>
      <c r="C6840" s="421" t="s">
        <v>1314</v>
      </c>
    </row>
    <row r="6841" spans="1:3" x14ac:dyDescent="0.25">
      <c r="A6841" s="417">
        <v>41548</v>
      </c>
      <c r="B6841" s="418">
        <v>3.6874999999999998E-2</v>
      </c>
      <c r="C6841" s="421" t="s">
        <v>1315</v>
      </c>
    </row>
    <row r="6842" spans="1:3" x14ac:dyDescent="0.25">
      <c r="A6842" s="417">
        <v>41548</v>
      </c>
      <c r="B6842" s="418">
        <v>3.6886574074074079E-2</v>
      </c>
      <c r="C6842" s="421" t="s">
        <v>1460</v>
      </c>
    </row>
    <row r="6843" spans="1:3" x14ac:dyDescent="0.25">
      <c r="A6843" s="417">
        <v>41548</v>
      </c>
      <c r="B6843" s="418">
        <v>3.6886574074074079E-2</v>
      </c>
      <c r="C6843" s="421" t="s">
        <v>1461</v>
      </c>
    </row>
    <row r="6844" spans="1:3" x14ac:dyDescent="0.25">
      <c r="A6844" s="417">
        <v>41548</v>
      </c>
      <c r="B6844" s="418">
        <v>3.6886574074074079E-2</v>
      </c>
      <c r="C6844" s="421" t="s">
        <v>1310</v>
      </c>
    </row>
    <row r="6845" spans="1:3" x14ac:dyDescent="0.25">
      <c r="A6845" s="417">
        <v>41548</v>
      </c>
      <c r="B6845" s="418">
        <v>3.6886574074074079E-2</v>
      </c>
      <c r="C6845" s="421" t="s">
        <v>1462</v>
      </c>
    </row>
    <row r="6846" spans="1:3" x14ac:dyDescent="0.25">
      <c r="A6846" s="417">
        <v>41548</v>
      </c>
      <c r="B6846" s="418">
        <v>3.6886574074074079E-2</v>
      </c>
      <c r="C6846" s="421" t="s">
        <v>1316</v>
      </c>
    </row>
    <row r="6847" spans="1:3" x14ac:dyDescent="0.25">
      <c r="A6847" s="417">
        <v>41548</v>
      </c>
      <c r="B6847" s="418">
        <v>3.6886574074074079E-2</v>
      </c>
      <c r="C6847" s="421" t="s">
        <v>1316</v>
      </c>
    </row>
    <row r="6848" spans="1:3" x14ac:dyDescent="0.25">
      <c r="A6848" s="417">
        <v>41548</v>
      </c>
      <c r="B6848" s="418">
        <v>3.6886574074074079E-2</v>
      </c>
      <c r="C6848" s="421" t="s">
        <v>1317</v>
      </c>
    </row>
    <row r="6849" spans="1:3" x14ac:dyDescent="0.25">
      <c r="A6849" s="417">
        <v>41548</v>
      </c>
      <c r="B6849" s="418">
        <v>3.6886574074074079E-2</v>
      </c>
      <c r="C6849" s="421" t="s">
        <v>1309</v>
      </c>
    </row>
    <row r="6850" spans="1:3" x14ac:dyDescent="0.25">
      <c r="A6850" s="417">
        <v>41548</v>
      </c>
      <c r="B6850" s="418">
        <v>3.6886574074074079E-2</v>
      </c>
      <c r="C6850" s="421" t="s">
        <v>1318</v>
      </c>
    </row>
    <row r="6851" spans="1:3" x14ac:dyDescent="0.25">
      <c r="A6851" s="417">
        <v>41548</v>
      </c>
      <c r="B6851" s="418">
        <v>3.6886574074074079E-2</v>
      </c>
      <c r="C6851" s="421" t="s">
        <v>1319</v>
      </c>
    </row>
    <row r="6852" spans="1:3" x14ac:dyDescent="0.25">
      <c r="A6852" s="417">
        <v>41548</v>
      </c>
      <c r="B6852" s="418">
        <v>3.6886574074074079E-2</v>
      </c>
      <c r="C6852" s="421" t="s">
        <v>1320</v>
      </c>
    </row>
    <row r="6853" spans="1:3" x14ac:dyDescent="0.25">
      <c r="A6853" s="417">
        <v>41548</v>
      </c>
      <c r="B6853" s="418">
        <v>3.6886574074074079E-2</v>
      </c>
      <c r="C6853" s="421" t="s">
        <v>1318</v>
      </c>
    </row>
    <row r="6854" spans="1:3" x14ac:dyDescent="0.25">
      <c r="A6854" s="417">
        <v>41548</v>
      </c>
      <c r="B6854" s="418">
        <v>3.6886574074074079E-2</v>
      </c>
      <c r="C6854" s="421" t="s">
        <v>1307</v>
      </c>
    </row>
    <row r="6855" spans="1:3" x14ac:dyDescent="0.25">
      <c r="A6855" s="417">
        <v>41548</v>
      </c>
      <c r="B6855" s="418">
        <v>3.6886574074074079E-2</v>
      </c>
      <c r="C6855" s="421" t="s">
        <v>1321</v>
      </c>
    </row>
    <row r="6856" spans="1:3" x14ac:dyDescent="0.25">
      <c r="A6856" s="417">
        <v>41548</v>
      </c>
      <c r="B6856" s="418">
        <v>3.6886574074074079E-2</v>
      </c>
      <c r="C6856" s="421" t="s">
        <v>1322</v>
      </c>
    </row>
    <row r="6857" spans="1:3" x14ac:dyDescent="0.25">
      <c r="A6857" s="417">
        <v>41548</v>
      </c>
      <c r="B6857" s="418">
        <v>3.6886574074074079E-2</v>
      </c>
      <c r="C6857" s="421" t="s">
        <v>1322</v>
      </c>
    </row>
    <row r="6858" spans="1:3" x14ac:dyDescent="0.25">
      <c r="A6858" s="417">
        <v>41548</v>
      </c>
      <c r="B6858" s="418">
        <v>3.6886574074074079E-2</v>
      </c>
      <c r="C6858" s="421" t="s">
        <v>1323</v>
      </c>
    </row>
    <row r="6859" spans="1:3" x14ac:dyDescent="0.25">
      <c r="A6859" s="417">
        <v>41548</v>
      </c>
      <c r="B6859" s="418">
        <v>3.6886574074074079E-2</v>
      </c>
      <c r="C6859" s="421" t="s">
        <v>1324</v>
      </c>
    </row>
    <row r="6860" spans="1:3" x14ac:dyDescent="0.25">
      <c r="A6860" s="417">
        <v>41548</v>
      </c>
      <c r="B6860" s="418">
        <v>3.6886574074074079E-2</v>
      </c>
      <c r="C6860" s="421" t="s">
        <v>1310</v>
      </c>
    </row>
    <row r="6861" spans="1:3" x14ac:dyDescent="0.25">
      <c r="A6861" s="417">
        <v>41548</v>
      </c>
      <c r="B6861" s="418">
        <v>3.6886574074074079E-2</v>
      </c>
      <c r="C6861" s="421" t="s">
        <v>1325</v>
      </c>
    </row>
    <row r="6862" spans="1:3" x14ac:dyDescent="0.25">
      <c r="A6862" s="417">
        <v>41548</v>
      </c>
      <c r="B6862" s="418">
        <v>3.6886574074074079E-2</v>
      </c>
      <c r="C6862" s="421" t="s">
        <v>1326</v>
      </c>
    </row>
    <row r="6863" spans="1:3" x14ac:dyDescent="0.25">
      <c r="A6863" s="417">
        <v>41548</v>
      </c>
      <c r="B6863" s="418">
        <v>3.6886574074074079E-2</v>
      </c>
      <c r="C6863" s="421" t="s">
        <v>1238</v>
      </c>
    </row>
    <row r="6864" spans="1:3" x14ac:dyDescent="0.25">
      <c r="A6864" s="417">
        <v>41548</v>
      </c>
      <c r="B6864" s="418">
        <v>3.6898148148148145E-2</v>
      </c>
      <c r="C6864" s="421" t="s">
        <v>1327</v>
      </c>
    </row>
    <row r="6865" spans="1:3" x14ac:dyDescent="0.25">
      <c r="A6865" s="417">
        <v>41548</v>
      </c>
      <c r="B6865" s="418">
        <v>3.6898148148148145E-2</v>
      </c>
      <c r="C6865" s="421" t="s">
        <v>1323</v>
      </c>
    </row>
    <row r="6866" spans="1:3" x14ac:dyDescent="0.25">
      <c r="A6866" s="417">
        <v>41548</v>
      </c>
      <c r="B6866" s="418">
        <v>3.6898148148148145E-2</v>
      </c>
      <c r="C6866" s="421" t="s">
        <v>1342</v>
      </c>
    </row>
    <row r="6867" spans="1:3" x14ac:dyDescent="0.25">
      <c r="A6867" s="417">
        <v>41548</v>
      </c>
      <c r="B6867" s="418">
        <v>3.6898148148148145E-2</v>
      </c>
      <c r="C6867" s="421" t="s">
        <v>1343</v>
      </c>
    </row>
    <row r="6868" spans="1:3" x14ac:dyDescent="0.25">
      <c r="A6868" s="417">
        <v>41548</v>
      </c>
      <c r="B6868" s="418">
        <v>3.6898148148148145E-2</v>
      </c>
      <c r="C6868" s="421" t="s">
        <v>1344</v>
      </c>
    </row>
    <row r="6869" spans="1:3" x14ac:dyDescent="0.25">
      <c r="A6869" s="417">
        <v>41548</v>
      </c>
      <c r="B6869" s="418">
        <v>3.6898148148148145E-2</v>
      </c>
      <c r="C6869" s="421" t="s">
        <v>1344</v>
      </c>
    </row>
    <row r="6870" spans="1:3" x14ac:dyDescent="0.25">
      <c r="A6870" s="417">
        <v>41548</v>
      </c>
      <c r="B6870" s="418">
        <v>3.6898148148148145E-2</v>
      </c>
      <c r="C6870" s="421" t="s">
        <v>1310</v>
      </c>
    </row>
    <row r="6871" spans="1:3" x14ac:dyDescent="0.25">
      <c r="A6871" s="417">
        <v>41548</v>
      </c>
      <c r="B6871" s="418">
        <v>3.6898148148148145E-2</v>
      </c>
      <c r="C6871" s="421" t="s">
        <v>1345</v>
      </c>
    </row>
    <row r="6872" spans="1:3" x14ac:dyDescent="0.25">
      <c r="A6872" s="417">
        <v>41548</v>
      </c>
      <c r="B6872" s="418">
        <v>3.6898148148148145E-2</v>
      </c>
      <c r="C6872" s="421" t="s">
        <v>1346</v>
      </c>
    </row>
    <row r="6873" spans="1:3" x14ac:dyDescent="0.25">
      <c r="A6873" s="417">
        <v>41548</v>
      </c>
      <c r="B6873" s="418">
        <v>3.6898148148148145E-2</v>
      </c>
      <c r="C6873" s="421" t="s">
        <v>1347</v>
      </c>
    </row>
    <row r="6874" spans="1:3" x14ac:dyDescent="0.25">
      <c r="A6874" s="417">
        <v>41548</v>
      </c>
      <c r="B6874" s="418">
        <v>3.6898148148148145E-2</v>
      </c>
      <c r="C6874" s="421" t="s">
        <v>1348</v>
      </c>
    </row>
    <row r="6875" spans="1:3" x14ac:dyDescent="0.25">
      <c r="A6875" s="417">
        <v>41548</v>
      </c>
      <c r="B6875" s="418">
        <v>3.6898148148148145E-2</v>
      </c>
      <c r="C6875" s="421" t="s">
        <v>1349</v>
      </c>
    </row>
    <row r="6876" spans="1:3" x14ac:dyDescent="0.25">
      <c r="A6876" s="417">
        <v>41548</v>
      </c>
      <c r="B6876" s="418">
        <v>3.6898148148148145E-2</v>
      </c>
      <c r="C6876" s="421" t="s">
        <v>1349</v>
      </c>
    </row>
    <row r="6877" spans="1:3" x14ac:dyDescent="0.25">
      <c r="A6877" s="417">
        <v>41548</v>
      </c>
      <c r="B6877" s="418">
        <v>3.6898148148148145E-2</v>
      </c>
      <c r="C6877" s="421" t="s">
        <v>1348</v>
      </c>
    </row>
    <row r="6878" spans="1:3" x14ac:dyDescent="0.25">
      <c r="A6878" s="417">
        <v>41548</v>
      </c>
      <c r="B6878" s="418">
        <v>3.6898148148148145E-2</v>
      </c>
      <c r="C6878" s="421" t="s">
        <v>1350</v>
      </c>
    </row>
    <row r="6879" spans="1:3" x14ac:dyDescent="0.25">
      <c r="A6879" s="417">
        <v>41548</v>
      </c>
      <c r="B6879" s="418">
        <v>3.6898148148148145E-2</v>
      </c>
      <c r="C6879" s="421" t="s">
        <v>1351</v>
      </c>
    </row>
    <row r="6880" spans="1:3" x14ac:dyDescent="0.25">
      <c r="A6880" s="417">
        <v>41548</v>
      </c>
      <c r="B6880" s="418">
        <v>3.6898148148148145E-2</v>
      </c>
      <c r="C6880" s="421" t="s">
        <v>1352</v>
      </c>
    </row>
    <row r="6881" spans="1:3" x14ac:dyDescent="0.25">
      <c r="A6881" s="417">
        <v>41548</v>
      </c>
      <c r="B6881" s="418">
        <v>3.6898148148148145E-2</v>
      </c>
      <c r="C6881" s="421" t="s">
        <v>1768</v>
      </c>
    </row>
    <row r="6882" spans="1:3" x14ac:dyDescent="0.25">
      <c r="A6882" s="417">
        <v>41548</v>
      </c>
      <c r="B6882" s="418">
        <v>3.6898148148148145E-2</v>
      </c>
      <c r="C6882" s="421" t="s">
        <v>1353</v>
      </c>
    </row>
    <row r="6883" spans="1:3" x14ac:dyDescent="0.25">
      <c r="A6883" s="417">
        <v>41548</v>
      </c>
      <c r="B6883" s="418">
        <v>3.6898148148148145E-2</v>
      </c>
      <c r="C6883" s="421" t="s">
        <v>1354</v>
      </c>
    </row>
    <row r="6884" spans="1:3" x14ac:dyDescent="0.25">
      <c r="A6884" s="417">
        <v>41548</v>
      </c>
      <c r="B6884" s="418">
        <v>3.6898148148148145E-2</v>
      </c>
      <c r="C6884" s="421" t="s">
        <v>1357</v>
      </c>
    </row>
    <row r="6885" spans="1:3" x14ac:dyDescent="0.25">
      <c r="A6885" s="417">
        <v>41548</v>
      </c>
      <c r="B6885" s="418">
        <v>3.6898148148148145E-2</v>
      </c>
      <c r="C6885" s="421" t="s">
        <v>1358</v>
      </c>
    </row>
    <row r="6886" spans="1:3" x14ac:dyDescent="0.25">
      <c r="A6886" s="417">
        <v>41548</v>
      </c>
      <c r="B6886" s="418">
        <v>3.6898148148148145E-2</v>
      </c>
      <c r="C6886" s="421" t="s">
        <v>1359</v>
      </c>
    </row>
    <row r="6887" spans="1:3" x14ac:dyDescent="0.25">
      <c r="A6887" s="417">
        <v>41548</v>
      </c>
      <c r="B6887" s="418">
        <v>3.6898148148148145E-2</v>
      </c>
      <c r="C6887" s="421" t="s">
        <v>1360</v>
      </c>
    </row>
    <row r="6888" spans="1:3" x14ac:dyDescent="0.25">
      <c r="A6888" s="417">
        <v>41548</v>
      </c>
      <c r="B6888" s="418">
        <v>3.6898148148148145E-2</v>
      </c>
      <c r="C6888" s="421" t="s">
        <v>1361</v>
      </c>
    </row>
    <row r="6889" spans="1:3" x14ac:dyDescent="0.25">
      <c r="A6889" s="417">
        <v>41548</v>
      </c>
      <c r="B6889" s="418">
        <v>3.6898148148148145E-2</v>
      </c>
      <c r="C6889" s="421" t="s">
        <v>1317</v>
      </c>
    </row>
    <row r="6890" spans="1:3" x14ac:dyDescent="0.25">
      <c r="A6890" s="417">
        <v>41548</v>
      </c>
      <c r="B6890" s="418">
        <v>3.6898148148148145E-2</v>
      </c>
      <c r="C6890" s="421" t="s">
        <v>1537</v>
      </c>
    </row>
    <row r="6891" spans="1:3" x14ac:dyDescent="0.25">
      <c r="A6891" s="417">
        <v>41548</v>
      </c>
      <c r="B6891" s="418">
        <v>3.6898148148148145E-2</v>
      </c>
      <c r="C6891" s="421" t="s">
        <v>1363</v>
      </c>
    </row>
    <row r="6892" spans="1:3" x14ac:dyDescent="0.25">
      <c r="A6892" s="417">
        <v>41548</v>
      </c>
      <c r="B6892" s="418">
        <v>3.6898148148148145E-2</v>
      </c>
      <c r="C6892" s="421" t="s">
        <v>1364</v>
      </c>
    </row>
    <row r="6893" spans="1:3" x14ac:dyDescent="0.25">
      <c r="A6893" s="417">
        <v>41548</v>
      </c>
      <c r="B6893" s="418">
        <v>3.6898148148148145E-2</v>
      </c>
      <c r="C6893" s="421" t="s">
        <v>1365</v>
      </c>
    </row>
    <row r="6894" spans="1:3" x14ac:dyDescent="0.25">
      <c r="A6894" s="417">
        <v>41548</v>
      </c>
      <c r="B6894" s="418">
        <v>3.6898148148148145E-2</v>
      </c>
      <c r="C6894" s="421" t="s">
        <v>1365</v>
      </c>
    </row>
    <row r="6895" spans="1:3" x14ac:dyDescent="0.25">
      <c r="A6895" s="417">
        <v>41548</v>
      </c>
      <c r="B6895" s="418">
        <v>3.6898148148148145E-2</v>
      </c>
      <c r="C6895" s="421" t="s">
        <v>1320</v>
      </c>
    </row>
    <row r="6896" spans="1:3" x14ac:dyDescent="0.25">
      <c r="A6896" s="417">
        <v>41548</v>
      </c>
      <c r="B6896" s="418">
        <v>3.6898148148148145E-2</v>
      </c>
      <c r="C6896" s="421" t="s">
        <v>1962</v>
      </c>
    </row>
    <row r="6897" spans="1:3" ht="60" x14ac:dyDescent="0.25">
      <c r="A6897" s="417">
        <v>41548</v>
      </c>
      <c r="B6897" s="418">
        <v>3.6898148148148145E-2</v>
      </c>
      <c r="C6897" s="946" t="s">
        <v>1963</v>
      </c>
    </row>
    <row r="6898" spans="1:3" x14ac:dyDescent="0.25">
      <c r="A6898" s="417">
        <v>41548</v>
      </c>
      <c r="B6898" s="418">
        <v>3.6967592592592594E-2</v>
      </c>
      <c r="C6898" s="421" t="s">
        <v>1367</v>
      </c>
    </row>
    <row r="6899" spans="1:3" x14ac:dyDescent="0.25">
      <c r="A6899" s="417">
        <v>41548</v>
      </c>
      <c r="B6899" s="418">
        <v>3.6967592592592594E-2</v>
      </c>
      <c r="C6899" s="421" t="s">
        <v>1344</v>
      </c>
    </row>
    <row r="6900" spans="1:3" x14ac:dyDescent="0.25">
      <c r="A6900" s="417">
        <v>41548</v>
      </c>
      <c r="B6900" s="418">
        <v>3.6967592592592594E-2</v>
      </c>
      <c r="C6900" s="421" t="s">
        <v>1368</v>
      </c>
    </row>
    <row r="6901" spans="1:3" x14ac:dyDescent="0.25">
      <c r="A6901" s="417">
        <v>41548</v>
      </c>
      <c r="B6901" s="418">
        <v>3.6967592592592594E-2</v>
      </c>
      <c r="C6901" s="421" t="s">
        <v>1369</v>
      </c>
    </row>
    <row r="6902" spans="1:3" x14ac:dyDescent="0.25">
      <c r="A6902" s="417">
        <v>41548</v>
      </c>
      <c r="B6902" s="418">
        <v>3.6967592592592594E-2</v>
      </c>
      <c r="C6902" s="421" t="s">
        <v>1307</v>
      </c>
    </row>
    <row r="6903" spans="1:3" x14ac:dyDescent="0.25">
      <c r="A6903" s="417">
        <v>41548</v>
      </c>
      <c r="B6903" s="418">
        <v>3.6967592592592594E-2</v>
      </c>
      <c r="C6903" s="421" t="s">
        <v>1370</v>
      </c>
    </row>
    <row r="6904" spans="1:3" x14ac:dyDescent="0.25">
      <c r="A6904" s="417">
        <v>41548</v>
      </c>
      <c r="B6904" s="418">
        <v>3.6967592592592594E-2</v>
      </c>
      <c r="C6904" s="421" t="s">
        <v>1371</v>
      </c>
    </row>
    <row r="6905" spans="1:3" x14ac:dyDescent="0.25">
      <c r="A6905" s="417">
        <v>41548</v>
      </c>
      <c r="B6905" s="418">
        <v>3.6967592592592594E-2</v>
      </c>
      <c r="C6905" s="421" t="s">
        <v>1344</v>
      </c>
    </row>
    <row r="6906" spans="1:3" x14ac:dyDescent="0.25">
      <c r="A6906" s="417">
        <v>41548</v>
      </c>
      <c r="B6906" s="418">
        <v>3.6967592592592594E-2</v>
      </c>
      <c r="C6906" s="421" t="s">
        <v>1317</v>
      </c>
    </row>
    <row r="6907" spans="1:3" x14ac:dyDescent="0.25">
      <c r="A6907" s="417">
        <v>41548</v>
      </c>
      <c r="B6907" s="418">
        <v>3.6967592592592594E-2</v>
      </c>
      <c r="C6907" s="421" t="s">
        <v>1463</v>
      </c>
    </row>
    <row r="6908" spans="1:3" x14ac:dyDescent="0.25">
      <c r="A6908" s="417">
        <v>41548</v>
      </c>
      <c r="B6908" s="418">
        <v>3.6967592592592594E-2</v>
      </c>
      <c r="C6908" s="421" t="s">
        <v>1373</v>
      </c>
    </row>
    <row r="6909" spans="1:3" x14ac:dyDescent="0.25">
      <c r="A6909" s="417">
        <v>41548</v>
      </c>
      <c r="B6909" s="418">
        <v>3.6967592592592594E-2</v>
      </c>
      <c r="C6909" s="421" t="s">
        <v>1308</v>
      </c>
    </row>
    <row r="6910" spans="1:3" x14ac:dyDescent="0.25">
      <c r="A6910" s="417">
        <v>41548</v>
      </c>
      <c r="B6910" s="418">
        <v>3.6979166666666667E-2</v>
      </c>
      <c r="C6910" s="421" t="s">
        <v>1374</v>
      </c>
    </row>
    <row r="6911" spans="1:3" x14ac:dyDescent="0.25">
      <c r="A6911" s="417">
        <v>41548</v>
      </c>
      <c r="B6911" s="418">
        <v>3.6979166666666667E-2</v>
      </c>
      <c r="C6911" s="421" t="s">
        <v>1375</v>
      </c>
    </row>
    <row r="6912" spans="1:3" x14ac:dyDescent="0.25">
      <c r="A6912" s="417">
        <v>41548</v>
      </c>
      <c r="B6912" s="418">
        <v>3.6979166666666667E-2</v>
      </c>
      <c r="C6912" s="421" t="s">
        <v>1376</v>
      </c>
    </row>
    <row r="6913" spans="1:3" x14ac:dyDescent="0.25">
      <c r="A6913" s="417">
        <v>41548</v>
      </c>
      <c r="B6913" s="418">
        <v>3.6979166666666667E-2</v>
      </c>
      <c r="C6913" s="421" t="s">
        <v>1377</v>
      </c>
    </row>
    <row r="6914" spans="1:3" x14ac:dyDescent="0.25">
      <c r="A6914" s="417">
        <v>41548</v>
      </c>
      <c r="B6914" s="418">
        <v>3.6979166666666667E-2</v>
      </c>
      <c r="C6914" s="421" t="s">
        <v>1326</v>
      </c>
    </row>
    <row r="6915" spans="1:3" x14ac:dyDescent="0.25">
      <c r="A6915" s="417">
        <v>41548</v>
      </c>
      <c r="B6915" s="418">
        <v>3.6979166666666667E-2</v>
      </c>
      <c r="C6915" s="421" t="s">
        <v>1755</v>
      </c>
    </row>
    <row r="6916" spans="1:3" x14ac:dyDescent="0.25">
      <c r="A6916" s="417">
        <v>41548</v>
      </c>
      <c r="B6916" s="418">
        <v>3.6979166666666667E-2</v>
      </c>
      <c r="C6916" s="421" t="s">
        <v>1380</v>
      </c>
    </row>
    <row r="6917" spans="1:3" x14ac:dyDescent="0.25">
      <c r="A6917" s="417">
        <v>41548</v>
      </c>
      <c r="B6917" s="418">
        <v>3.6979166666666667E-2</v>
      </c>
      <c r="C6917" s="421" t="s">
        <v>1381</v>
      </c>
    </row>
    <row r="6918" spans="1:3" x14ac:dyDescent="0.25">
      <c r="A6918" s="417">
        <v>41548</v>
      </c>
      <c r="B6918" s="418">
        <v>3.6979166666666667E-2</v>
      </c>
      <c r="C6918" s="421" t="s">
        <v>1382</v>
      </c>
    </row>
    <row r="6919" spans="1:3" x14ac:dyDescent="0.25">
      <c r="A6919" s="417">
        <v>41548</v>
      </c>
      <c r="B6919" s="418">
        <v>3.6979166666666667E-2</v>
      </c>
      <c r="C6919" s="421" t="s">
        <v>1383</v>
      </c>
    </row>
    <row r="6920" spans="1:3" x14ac:dyDescent="0.25">
      <c r="A6920" s="417">
        <v>41548</v>
      </c>
      <c r="B6920" s="418">
        <v>3.6979166666666667E-2</v>
      </c>
      <c r="C6920" s="421" t="s">
        <v>1352</v>
      </c>
    </row>
    <row r="6921" spans="1:3" x14ac:dyDescent="0.25">
      <c r="A6921" s="417">
        <v>41548</v>
      </c>
      <c r="B6921" s="418">
        <v>3.6979166666666667E-2</v>
      </c>
      <c r="C6921" s="421" t="s">
        <v>1384</v>
      </c>
    </row>
    <row r="6922" spans="1:3" x14ac:dyDescent="0.25">
      <c r="A6922" s="417">
        <v>41548</v>
      </c>
      <c r="B6922" s="418">
        <v>3.6979166666666667E-2</v>
      </c>
      <c r="C6922" s="421" t="s">
        <v>1385</v>
      </c>
    </row>
    <row r="6923" spans="1:3" x14ac:dyDescent="0.25">
      <c r="A6923" s="417">
        <v>41548</v>
      </c>
      <c r="B6923" s="418">
        <v>3.6979166666666667E-2</v>
      </c>
      <c r="C6923" s="421" t="s">
        <v>1385</v>
      </c>
    </row>
    <row r="6924" spans="1:3" x14ac:dyDescent="0.25">
      <c r="A6924" s="417">
        <v>41548</v>
      </c>
      <c r="B6924" s="418">
        <v>3.6979166666666667E-2</v>
      </c>
      <c r="C6924" s="421" t="s">
        <v>1386</v>
      </c>
    </row>
    <row r="6925" spans="1:3" x14ac:dyDescent="0.25">
      <c r="A6925" s="417">
        <v>41548</v>
      </c>
      <c r="B6925" s="418">
        <v>3.6979166666666667E-2</v>
      </c>
      <c r="C6925" s="421" t="s">
        <v>1387</v>
      </c>
    </row>
    <row r="6926" spans="1:3" x14ac:dyDescent="0.25">
      <c r="A6926" s="417">
        <v>41548</v>
      </c>
      <c r="B6926" s="418">
        <v>3.6979166666666667E-2</v>
      </c>
      <c r="C6926" s="421" t="s">
        <v>1387</v>
      </c>
    </row>
    <row r="6927" spans="1:3" x14ac:dyDescent="0.25">
      <c r="A6927" s="417">
        <v>41548</v>
      </c>
      <c r="B6927" s="418">
        <v>3.6979166666666667E-2</v>
      </c>
      <c r="C6927" s="421" t="s">
        <v>1318</v>
      </c>
    </row>
    <row r="6928" spans="1:3" x14ac:dyDescent="0.25">
      <c r="A6928" s="417">
        <v>41548</v>
      </c>
      <c r="B6928" s="418">
        <v>3.6979166666666667E-2</v>
      </c>
      <c r="C6928" s="421" t="s">
        <v>1388</v>
      </c>
    </row>
    <row r="6929" spans="1:3" x14ac:dyDescent="0.25">
      <c r="A6929" s="417">
        <v>41548</v>
      </c>
      <c r="B6929" s="418">
        <v>3.6979166666666667E-2</v>
      </c>
      <c r="C6929" s="421" t="s">
        <v>1390</v>
      </c>
    </row>
    <row r="6930" spans="1:3" x14ac:dyDescent="0.25">
      <c r="A6930" s="417">
        <v>41548</v>
      </c>
      <c r="B6930" s="418">
        <v>3.6979166666666667E-2</v>
      </c>
      <c r="C6930" s="421" t="s">
        <v>1391</v>
      </c>
    </row>
    <row r="6931" spans="1:3" x14ac:dyDescent="0.25">
      <c r="A6931" s="417">
        <v>41548</v>
      </c>
      <c r="B6931" s="418">
        <v>3.6979166666666667E-2</v>
      </c>
      <c r="C6931" s="421" t="s">
        <v>1392</v>
      </c>
    </row>
    <row r="6932" spans="1:3" x14ac:dyDescent="0.25">
      <c r="A6932" s="417">
        <v>41548</v>
      </c>
      <c r="B6932" s="418">
        <v>3.6979166666666667E-2</v>
      </c>
      <c r="C6932" s="421" t="s">
        <v>1795</v>
      </c>
    </row>
    <row r="6933" spans="1:3" x14ac:dyDescent="0.25">
      <c r="A6933" s="417">
        <v>41548</v>
      </c>
      <c r="B6933" s="418">
        <v>3.6990740740740741E-2</v>
      </c>
      <c r="C6933" s="421" t="s">
        <v>1393</v>
      </c>
    </row>
    <row r="6934" spans="1:3" x14ac:dyDescent="0.25">
      <c r="A6934" s="417">
        <v>41548</v>
      </c>
      <c r="B6934" s="418">
        <v>3.6990740740740741E-2</v>
      </c>
      <c r="C6934" s="421" t="s">
        <v>1394</v>
      </c>
    </row>
    <row r="6935" spans="1:3" x14ac:dyDescent="0.25">
      <c r="A6935" s="417">
        <v>41548</v>
      </c>
      <c r="B6935" s="418">
        <v>3.6990740740740741E-2</v>
      </c>
      <c r="C6935" s="421" t="s">
        <v>1392</v>
      </c>
    </row>
    <row r="6936" spans="1:3" x14ac:dyDescent="0.25">
      <c r="A6936" s="417">
        <v>41548</v>
      </c>
      <c r="B6936" s="418">
        <v>3.6990740740740741E-2</v>
      </c>
      <c r="C6936" s="421" t="s">
        <v>1395</v>
      </c>
    </row>
    <row r="6937" spans="1:3" x14ac:dyDescent="0.25">
      <c r="A6937" s="417">
        <v>41548</v>
      </c>
      <c r="B6937" s="418">
        <v>3.6990740740740741E-2</v>
      </c>
      <c r="C6937" s="421" t="s">
        <v>1396</v>
      </c>
    </row>
    <row r="6938" spans="1:3" x14ac:dyDescent="0.25">
      <c r="A6938" s="417">
        <v>41548</v>
      </c>
      <c r="B6938" s="418">
        <v>3.6990740740740741E-2</v>
      </c>
      <c r="C6938" s="421" t="s">
        <v>1363</v>
      </c>
    </row>
    <row r="6939" spans="1:3" x14ac:dyDescent="0.25">
      <c r="A6939" s="417">
        <v>41548</v>
      </c>
      <c r="B6939" s="418">
        <v>3.6990740740740741E-2</v>
      </c>
      <c r="C6939" s="421" t="s">
        <v>1346</v>
      </c>
    </row>
    <row r="6940" spans="1:3" x14ac:dyDescent="0.25">
      <c r="A6940" s="417">
        <v>41548</v>
      </c>
      <c r="B6940" s="418">
        <v>3.6990740740740741E-2</v>
      </c>
      <c r="C6940" s="421" t="s">
        <v>1397</v>
      </c>
    </row>
    <row r="6941" spans="1:3" x14ac:dyDescent="0.25">
      <c r="A6941" s="417">
        <v>41548</v>
      </c>
      <c r="B6941" s="418">
        <v>3.6990740740740741E-2</v>
      </c>
      <c r="C6941" s="421" t="s">
        <v>1381</v>
      </c>
    </row>
    <row r="6942" spans="1:3" x14ac:dyDescent="0.25">
      <c r="A6942" s="417">
        <v>41548</v>
      </c>
      <c r="B6942" s="418">
        <v>3.6990740740740741E-2</v>
      </c>
      <c r="C6942" s="421" t="s">
        <v>1398</v>
      </c>
    </row>
    <row r="6943" spans="1:3" x14ac:dyDescent="0.25">
      <c r="A6943" s="417">
        <v>41548</v>
      </c>
      <c r="B6943" s="418">
        <v>3.6990740740740741E-2</v>
      </c>
      <c r="C6943" s="421" t="s">
        <v>1399</v>
      </c>
    </row>
    <row r="6944" spans="1:3" x14ac:dyDescent="0.25">
      <c r="A6944" s="417">
        <v>41548</v>
      </c>
      <c r="B6944" s="418">
        <v>3.6990740740740741E-2</v>
      </c>
      <c r="C6944" s="421" t="s">
        <v>1400</v>
      </c>
    </row>
    <row r="6945" spans="1:3" x14ac:dyDescent="0.25">
      <c r="A6945" s="417">
        <v>41548</v>
      </c>
      <c r="B6945" s="418">
        <v>3.6990740740740741E-2</v>
      </c>
      <c r="C6945" s="421" t="s">
        <v>1400</v>
      </c>
    </row>
    <row r="6946" spans="1:3" x14ac:dyDescent="0.25">
      <c r="A6946" s="417">
        <v>41548</v>
      </c>
      <c r="B6946" s="418">
        <v>3.6990740740740741E-2</v>
      </c>
      <c r="C6946" s="421" t="s">
        <v>1373</v>
      </c>
    </row>
    <row r="6947" spans="1:3" x14ac:dyDescent="0.25">
      <c r="A6947" s="417">
        <v>41548</v>
      </c>
      <c r="B6947" s="418">
        <v>3.6990740740740741E-2</v>
      </c>
      <c r="C6947" s="421" t="s">
        <v>1353</v>
      </c>
    </row>
    <row r="6948" spans="1:3" x14ac:dyDescent="0.25">
      <c r="A6948" s="417">
        <v>41548</v>
      </c>
      <c r="B6948" s="418">
        <v>3.6990740740740741E-2</v>
      </c>
      <c r="C6948" s="421" t="s">
        <v>1353</v>
      </c>
    </row>
    <row r="6949" spans="1:3" x14ac:dyDescent="0.25">
      <c r="A6949" s="417">
        <v>41548</v>
      </c>
      <c r="B6949" s="418">
        <v>3.6990740740740741E-2</v>
      </c>
      <c r="C6949" s="421" t="s">
        <v>1401</v>
      </c>
    </row>
    <row r="6950" spans="1:3" x14ac:dyDescent="0.25">
      <c r="A6950" s="417">
        <v>41548</v>
      </c>
      <c r="B6950" s="418">
        <v>3.6990740740740741E-2</v>
      </c>
      <c r="C6950" s="421" t="s">
        <v>1392</v>
      </c>
    </row>
    <row r="6951" spans="1:3" x14ac:dyDescent="0.25">
      <c r="A6951" s="417">
        <v>41548</v>
      </c>
      <c r="B6951" s="418">
        <v>3.6990740740740741E-2</v>
      </c>
      <c r="C6951" s="421" t="s">
        <v>1403</v>
      </c>
    </row>
    <row r="6952" spans="1:3" x14ac:dyDescent="0.25">
      <c r="A6952" s="417">
        <v>41548</v>
      </c>
      <c r="B6952" s="418">
        <v>3.6990740740740741E-2</v>
      </c>
      <c r="C6952" s="421" t="s">
        <v>1403</v>
      </c>
    </row>
    <row r="6953" spans="1:3" x14ac:dyDescent="0.25">
      <c r="A6953" s="417">
        <v>41548</v>
      </c>
      <c r="B6953" s="418">
        <v>3.6990740740740741E-2</v>
      </c>
      <c r="C6953" s="421" t="s">
        <v>1403</v>
      </c>
    </row>
    <row r="6954" spans="1:3" x14ac:dyDescent="0.25">
      <c r="A6954" s="417">
        <v>41548</v>
      </c>
      <c r="B6954" s="418">
        <v>3.6990740740740741E-2</v>
      </c>
      <c r="C6954" s="421" t="s">
        <v>1364</v>
      </c>
    </row>
    <row r="6955" spans="1:3" x14ac:dyDescent="0.25">
      <c r="A6955" s="417">
        <v>41548</v>
      </c>
      <c r="B6955" s="418">
        <v>3.6990740740740741E-2</v>
      </c>
      <c r="C6955" s="421" t="s">
        <v>1364</v>
      </c>
    </row>
    <row r="6956" spans="1:3" x14ac:dyDescent="0.25">
      <c r="A6956" s="417">
        <v>41548</v>
      </c>
      <c r="B6956" s="418">
        <v>3.7002314814814814E-2</v>
      </c>
      <c r="C6956" s="421" t="s">
        <v>1381</v>
      </c>
    </row>
    <row r="6957" spans="1:3" x14ac:dyDescent="0.25">
      <c r="A6957" s="417">
        <v>41548</v>
      </c>
      <c r="B6957" s="418">
        <v>3.7002314814814814E-2</v>
      </c>
      <c r="C6957" s="421" t="s">
        <v>1364</v>
      </c>
    </row>
    <row r="6958" spans="1:3" x14ac:dyDescent="0.25">
      <c r="A6958" s="417">
        <v>41548</v>
      </c>
      <c r="B6958" s="418">
        <v>3.7002314814814814E-2</v>
      </c>
      <c r="C6958" s="421" t="s">
        <v>1480</v>
      </c>
    </row>
    <row r="6959" spans="1:3" x14ac:dyDescent="0.25">
      <c r="A6959" s="417">
        <v>41548</v>
      </c>
      <c r="B6959" s="418">
        <v>3.7002314814814814E-2</v>
      </c>
      <c r="C6959" s="421" t="s">
        <v>1480</v>
      </c>
    </row>
    <row r="6960" spans="1:3" x14ac:dyDescent="0.25">
      <c r="A6960" s="417">
        <v>41548</v>
      </c>
      <c r="B6960" s="418">
        <v>3.7002314814814814E-2</v>
      </c>
      <c r="C6960" s="421" t="s">
        <v>1480</v>
      </c>
    </row>
    <row r="6961" spans="1:3" x14ac:dyDescent="0.25">
      <c r="A6961" s="417">
        <v>41548</v>
      </c>
      <c r="B6961" s="418">
        <v>3.7002314814814814E-2</v>
      </c>
      <c r="C6961" s="421" t="s">
        <v>1964</v>
      </c>
    </row>
    <row r="6962" spans="1:3" x14ac:dyDescent="0.25">
      <c r="A6962" s="417">
        <v>41548</v>
      </c>
      <c r="B6962" s="418">
        <v>3.7002314814814814E-2</v>
      </c>
      <c r="C6962" s="421" t="s">
        <v>1541</v>
      </c>
    </row>
    <row r="6963" spans="1:3" x14ac:dyDescent="0.25">
      <c r="A6963" s="417">
        <v>41548</v>
      </c>
      <c r="B6963" s="418">
        <v>3.7002314814814814E-2</v>
      </c>
      <c r="C6963" s="421" t="s">
        <v>1346</v>
      </c>
    </row>
    <row r="6964" spans="1:3" x14ac:dyDescent="0.25">
      <c r="A6964" s="417">
        <v>41548</v>
      </c>
      <c r="B6964" s="418">
        <v>3.7002314814814814E-2</v>
      </c>
      <c r="C6964" s="421" t="s">
        <v>1405</v>
      </c>
    </row>
    <row r="6965" spans="1:3" x14ac:dyDescent="0.25">
      <c r="A6965" s="417">
        <v>41548</v>
      </c>
      <c r="B6965" s="418">
        <v>3.7002314814814814E-2</v>
      </c>
      <c r="C6965" s="421" t="s">
        <v>1406</v>
      </c>
    </row>
    <row r="6966" spans="1:3" x14ac:dyDescent="0.25">
      <c r="A6966" s="417">
        <v>41548</v>
      </c>
      <c r="B6966" s="418">
        <v>3.7060185185185189E-2</v>
      </c>
      <c r="C6966" s="421" t="s">
        <v>1965</v>
      </c>
    </row>
    <row r="6967" spans="1:3" x14ac:dyDescent="0.25">
      <c r="A6967" s="417">
        <v>41548</v>
      </c>
      <c r="B6967" s="418">
        <v>3.7071759259259256E-2</v>
      </c>
      <c r="C6967" s="421" t="s">
        <v>1318</v>
      </c>
    </row>
    <row r="6968" spans="1:3" x14ac:dyDescent="0.25">
      <c r="A6968" s="417">
        <v>41548</v>
      </c>
      <c r="B6968" s="418">
        <v>3.7094907407407403E-2</v>
      </c>
      <c r="C6968" s="421" t="s">
        <v>1368</v>
      </c>
    </row>
    <row r="6969" spans="1:3" x14ac:dyDescent="0.25">
      <c r="A6969" s="417">
        <v>41548</v>
      </c>
      <c r="B6969" s="418">
        <v>3.7094907407407403E-2</v>
      </c>
      <c r="C6969" s="421" t="s">
        <v>1368</v>
      </c>
    </row>
    <row r="6970" spans="1:3" x14ac:dyDescent="0.25">
      <c r="A6970" s="417">
        <v>41548</v>
      </c>
      <c r="B6970" s="418">
        <v>3.7094907407407403E-2</v>
      </c>
      <c r="C6970" s="421" t="s">
        <v>1368</v>
      </c>
    </row>
    <row r="6971" spans="1:3" x14ac:dyDescent="0.25">
      <c r="A6971" s="417">
        <v>41548</v>
      </c>
      <c r="B6971" s="418">
        <v>3.7094907407407403E-2</v>
      </c>
      <c r="C6971" s="421" t="s">
        <v>1368</v>
      </c>
    </row>
    <row r="6972" spans="1:3" x14ac:dyDescent="0.25">
      <c r="A6972" s="417">
        <v>41548</v>
      </c>
      <c r="B6972" s="418">
        <v>3.7094907407407403E-2</v>
      </c>
      <c r="C6972" s="421" t="s">
        <v>1368</v>
      </c>
    </row>
    <row r="6973" spans="1:3" x14ac:dyDescent="0.25">
      <c r="A6973" s="417">
        <v>41548</v>
      </c>
      <c r="B6973" s="418">
        <v>3.7094907407407403E-2</v>
      </c>
      <c r="C6973" s="421" t="s">
        <v>1409</v>
      </c>
    </row>
    <row r="6974" spans="1:3" x14ac:dyDescent="0.25">
      <c r="A6974" s="417">
        <v>41548</v>
      </c>
      <c r="B6974" s="418">
        <v>3.7094907407407403E-2</v>
      </c>
      <c r="C6974" s="421" t="s">
        <v>1308</v>
      </c>
    </row>
    <row r="6975" spans="1:3" x14ac:dyDescent="0.25">
      <c r="A6975" s="417">
        <v>41548</v>
      </c>
      <c r="B6975" s="418">
        <v>3.7118055555555557E-2</v>
      </c>
      <c r="C6975" s="421" t="s">
        <v>1410</v>
      </c>
    </row>
    <row r="6976" spans="1:3" x14ac:dyDescent="0.25">
      <c r="A6976" s="417">
        <v>41548</v>
      </c>
      <c r="B6976" s="418">
        <v>3.7118055555555557E-2</v>
      </c>
      <c r="C6976" s="421" t="s">
        <v>1410</v>
      </c>
    </row>
    <row r="6977" spans="1:3" x14ac:dyDescent="0.25">
      <c r="A6977" s="417">
        <v>41548</v>
      </c>
      <c r="B6977" s="418">
        <v>3.712962962962963E-2</v>
      </c>
      <c r="C6977" s="421" t="s">
        <v>1411</v>
      </c>
    </row>
    <row r="6978" spans="1:3" x14ac:dyDescent="0.25">
      <c r="A6978" s="417">
        <v>41548</v>
      </c>
      <c r="B6978" s="418">
        <v>3.7141203703703704E-2</v>
      </c>
      <c r="C6978" s="421" t="s">
        <v>1966</v>
      </c>
    </row>
    <row r="6979" spans="1:3" x14ac:dyDescent="0.25">
      <c r="A6979" s="417">
        <v>41548</v>
      </c>
      <c r="B6979" s="418">
        <v>3.7164351851851851E-2</v>
      </c>
      <c r="C6979" s="421" t="s">
        <v>1413</v>
      </c>
    </row>
    <row r="6980" spans="1:3" x14ac:dyDescent="0.25">
      <c r="A6980" s="417">
        <v>41548</v>
      </c>
      <c r="B6980" s="418">
        <v>3.7164351851851851E-2</v>
      </c>
      <c r="C6980" s="421" t="s">
        <v>1414</v>
      </c>
    </row>
    <row r="6981" spans="1:3" x14ac:dyDescent="0.25">
      <c r="A6981" s="417">
        <v>41548</v>
      </c>
      <c r="B6981" s="418">
        <v>3.7175925925925925E-2</v>
      </c>
      <c r="C6981" s="421" t="s">
        <v>1373</v>
      </c>
    </row>
    <row r="6982" spans="1:3" x14ac:dyDescent="0.25">
      <c r="A6982" s="417">
        <v>41548</v>
      </c>
      <c r="B6982" s="418">
        <v>3.7187499999999998E-2</v>
      </c>
      <c r="C6982" s="421" t="s">
        <v>1967</v>
      </c>
    </row>
    <row r="6983" spans="1:3" x14ac:dyDescent="0.25">
      <c r="A6983" s="417">
        <v>41548</v>
      </c>
      <c r="B6983" s="418">
        <v>3.7280092592592594E-2</v>
      </c>
      <c r="C6983" s="421" t="s">
        <v>1409</v>
      </c>
    </row>
    <row r="6984" spans="1:3" x14ac:dyDescent="0.25">
      <c r="A6984" s="417">
        <v>41548</v>
      </c>
      <c r="B6984" s="418">
        <v>3.7291666666666667E-2</v>
      </c>
      <c r="C6984" s="421" t="s">
        <v>1416</v>
      </c>
    </row>
    <row r="6985" spans="1:3" x14ac:dyDescent="0.25">
      <c r="A6985" s="417">
        <v>41548</v>
      </c>
      <c r="B6985" s="418">
        <v>3.7303240740740741E-2</v>
      </c>
      <c r="C6985" s="421" t="s">
        <v>1542</v>
      </c>
    </row>
    <row r="6986" spans="1:3" x14ac:dyDescent="0.25">
      <c r="A6986" s="417">
        <v>41548</v>
      </c>
      <c r="B6986" s="418">
        <v>3.7303240740740741E-2</v>
      </c>
      <c r="C6986" s="421" t="s">
        <v>1348</v>
      </c>
    </row>
    <row r="6987" spans="1:3" x14ac:dyDescent="0.25">
      <c r="A6987" s="417">
        <v>41548</v>
      </c>
      <c r="B6987" s="418">
        <v>3.7303240740740741E-2</v>
      </c>
      <c r="C6987" s="421" t="s">
        <v>1419</v>
      </c>
    </row>
    <row r="6988" spans="1:3" x14ac:dyDescent="0.25">
      <c r="A6988" s="417">
        <v>41548</v>
      </c>
      <c r="B6988" s="418">
        <v>3.7303240740740741E-2</v>
      </c>
      <c r="C6988" s="421" t="s">
        <v>1419</v>
      </c>
    </row>
    <row r="6989" spans="1:3" x14ac:dyDescent="0.25">
      <c r="A6989" s="417">
        <v>41548</v>
      </c>
      <c r="B6989" s="418">
        <v>3.7314814814814815E-2</v>
      </c>
      <c r="C6989" s="421" t="s">
        <v>1420</v>
      </c>
    </row>
    <row r="6990" spans="1:3" x14ac:dyDescent="0.25">
      <c r="A6990" s="417">
        <v>41548</v>
      </c>
      <c r="B6990" s="418">
        <v>3.7361111111111109E-2</v>
      </c>
      <c r="C6990" s="421" t="s">
        <v>1968</v>
      </c>
    </row>
    <row r="6991" spans="1:3" x14ac:dyDescent="0.25">
      <c r="A6991" s="417">
        <v>41548</v>
      </c>
      <c r="B6991" s="418">
        <v>3.7361111111111109E-2</v>
      </c>
      <c r="C6991" s="421" t="s">
        <v>1969</v>
      </c>
    </row>
    <row r="6992" spans="1:3" x14ac:dyDescent="0.25">
      <c r="A6992" s="417">
        <v>41548</v>
      </c>
      <c r="B6992" s="418">
        <v>3.7361111111111109E-2</v>
      </c>
      <c r="C6992" s="421" t="s">
        <v>1970</v>
      </c>
    </row>
    <row r="6993" spans="1:3" x14ac:dyDescent="0.25">
      <c r="A6993" s="417">
        <v>41548</v>
      </c>
      <c r="B6993" s="418">
        <v>3.7384259259259263E-2</v>
      </c>
      <c r="C6993" s="421" t="s">
        <v>1971</v>
      </c>
    </row>
    <row r="6994" spans="1:3" x14ac:dyDescent="0.25">
      <c r="A6994" s="417">
        <v>41548</v>
      </c>
      <c r="B6994" s="418">
        <v>3.7395833333333336E-2</v>
      </c>
      <c r="C6994" s="421" t="s">
        <v>1719</v>
      </c>
    </row>
    <row r="6995" spans="1:3" x14ac:dyDescent="0.25">
      <c r="A6995" s="417">
        <v>41548</v>
      </c>
      <c r="B6995" s="418">
        <v>3.740740740740741E-2</v>
      </c>
      <c r="C6995" s="421" t="s">
        <v>1972</v>
      </c>
    </row>
    <row r="6996" spans="1:3" x14ac:dyDescent="0.25">
      <c r="A6996" s="417">
        <v>41548</v>
      </c>
      <c r="B6996" s="418">
        <v>3.740740740740741E-2</v>
      </c>
      <c r="C6996" s="421" t="s">
        <v>1973</v>
      </c>
    </row>
    <row r="6997" spans="1:3" x14ac:dyDescent="0.25">
      <c r="A6997" s="417">
        <v>41548</v>
      </c>
      <c r="B6997" s="418">
        <v>3.740740740740741E-2</v>
      </c>
      <c r="C6997" s="421" t="s">
        <v>1974</v>
      </c>
    </row>
    <row r="6998" spans="1:3" x14ac:dyDescent="0.25">
      <c r="A6998" s="417">
        <v>41548</v>
      </c>
      <c r="B6998" s="418">
        <v>3.7418981481481477E-2</v>
      </c>
      <c r="C6998" s="421" t="s">
        <v>1320</v>
      </c>
    </row>
    <row r="6999" spans="1:3" x14ac:dyDescent="0.25">
      <c r="A6999" s="417">
        <v>41548</v>
      </c>
      <c r="B6999" s="418">
        <v>3.7430555555555557E-2</v>
      </c>
      <c r="C6999" s="421" t="s">
        <v>1429</v>
      </c>
    </row>
    <row r="7000" spans="1:3" x14ac:dyDescent="0.25">
      <c r="A7000" s="417">
        <v>41548</v>
      </c>
      <c r="B7000" s="418">
        <v>3.7442129629629624E-2</v>
      </c>
      <c r="C7000" s="421" t="s">
        <v>1430</v>
      </c>
    </row>
    <row r="7001" spans="1:3" x14ac:dyDescent="0.25">
      <c r="A7001" s="417">
        <v>41548</v>
      </c>
      <c r="B7001" s="418">
        <v>3.7453703703703704E-2</v>
      </c>
      <c r="C7001" s="421" t="s">
        <v>1975</v>
      </c>
    </row>
    <row r="7002" spans="1:3" x14ac:dyDescent="0.25">
      <c r="A7002" s="417">
        <v>41548</v>
      </c>
      <c r="B7002" s="418">
        <v>3.7511574074074072E-2</v>
      </c>
      <c r="C7002" s="421" t="s">
        <v>1308</v>
      </c>
    </row>
    <row r="7003" spans="1:3" x14ac:dyDescent="0.25">
      <c r="A7003" s="417">
        <v>41548</v>
      </c>
      <c r="B7003" s="418">
        <v>3.7523148148148146E-2</v>
      </c>
      <c r="C7003" s="421" t="s">
        <v>1360</v>
      </c>
    </row>
    <row r="7004" spans="1:3" x14ac:dyDescent="0.25">
      <c r="A7004" s="417">
        <v>41548</v>
      </c>
      <c r="B7004" s="418">
        <v>3.7523148148148146E-2</v>
      </c>
      <c r="C7004" s="421" t="s">
        <v>1432</v>
      </c>
    </row>
    <row r="7005" spans="1:3" x14ac:dyDescent="0.25">
      <c r="A7005" s="417">
        <v>41548</v>
      </c>
      <c r="B7005" s="418">
        <v>3.7523148148148146E-2</v>
      </c>
      <c r="C7005" s="421" t="s">
        <v>1432</v>
      </c>
    </row>
    <row r="7006" spans="1:3" x14ac:dyDescent="0.25">
      <c r="A7006" s="417">
        <v>41548</v>
      </c>
      <c r="B7006" s="418">
        <v>3.7523148148148146E-2</v>
      </c>
      <c r="C7006" s="421" t="s">
        <v>1432</v>
      </c>
    </row>
    <row r="7007" spans="1:3" x14ac:dyDescent="0.25">
      <c r="A7007" s="417">
        <v>41548</v>
      </c>
      <c r="B7007" s="418">
        <v>3.7523148148148146E-2</v>
      </c>
      <c r="C7007" s="421" t="s">
        <v>1822</v>
      </c>
    </row>
    <row r="7008" spans="1:3" x14ac:dyDescent="0.25">
      <c r="A7008" s="417">
        <v>41548</v>
      </c>
      <c r="B7008" s="418">
        <v>3.7534722222222219E-2</v>
      </c>
      <c r="C7008" s="421" t="s">
        <v>1413</v>
      </c>
    </row>
    <row r="7009" spans="1:3" x14ac:dyDescent="0.25">
      <c r="A7009" s="417">
        <v>41548</v>
      </c>
      <c r="B7009" s="418">
        <v>3.7557870370370373E-2</v>
      </c>
      <c r="C7009" s="421" t="s">
        <v>1976</v>
      </c>
    </row>
    <row r="7010" spans="1:3" x14ac:dyDescent="0.25">
      <c r="A7010" s="417">
        <v>41548</v>
      </c>
      <c r="B7010" s="418">
        <v>3.7557870370370373E-2</v>
      </c>
      <c r="C7010" s="421" t="s">
        <v>1977</v>
      </c>
    </row>
    <row r="7011" spans="1:3" x14ac:dyDescent="0.25">
      <c r="A7011" s="417">
        <v>41548</v>
      </c>
      <c r="B7011" s="418">
        <v>3.7557870370370373E-2</v>
      </c>
      <c r="C7011" s="421" t="s">
        <v>1978</v>
      </c>
    </row>
    <row r="7012" spans="1:3" x14ac:dyDescent="0.25">
      <c r="A7012" s="417">
        <v>41548</v>
      </c>
      <c r="B7012" s="418">
        <v>3.7557870370370373E-2</v>
      </c>
      <c r="C7012" s="421" t="s">
        <v>1979</v>
      </c>
    </row>
    <row r="7013" spans="1:3" x14ac:dyDescent="0.25">
      <c r="A7013" s="417">
        <v>41548</v>
      </c>
      <c r="B7013" s="418">
        <v>3.7557870370370373E-2</v>
      </c>
      <c r="C7013" s="421" t="s">
        <v>1980</v>
      </c>
    </row>
    <row r="7014" spans="1:3" x14ac:dyDescent="0.25">
      <c r="A7014" s="417">
        <v>41548</v>
      </c>
      <c r="B7014" s="418">
        <v>3.7557870370370373E-2</v>
      </c>
      <c r="C7014" s="421" t="s">
        <v>1981</v>
      </c>
    </row>
    <row r="7015" spans="1:3" x14ac:dyDescent="0.25">
      <c r="A7015" s="417">
        <v>41548</v>
      </c>
      <c r="B7015" s="418">
        <v>3.7581018518518521E-2</v>
      </c>
      <c r="C7015" s="421" t="s">
        <v>1913</v>
      </c>
    </row>
    <row r="7016" spans="1:3" x14ac:dyDescent="0.25">
      <c r="A7016" s="417">
        <v>41548</v>
      </c>
      <c r="B7016" s="418">
        <v>3.7638888888888895E-2</v>
      </c>
      <c r="C7016" s="421" t="s">
        <v>1690</v>
      </c>
    </row>
    <row r="7017" spans="1:3" x14ac:dyDescent="0.25">
      <c r="A7017" s="417">
        <v>41548</v>
      </c>
      <c r="B7017" s="418">
        <v>3.770833333333333E-2</v>
      </c>
      <c r="C7017" s="421" t="s">
        <v>1982</v>
      </c>
    </row>
    <row r="7018" spans="1:3" x14ac:dyDescent="0.25">
      <c r="A7018" s="417">
        <v>41548</v>
      </c>
      <c r="B7018" s="418">
        <v>3.7731481481481484E-2</v>
      </c>
      <c r="C7018" s="421" t="s">
        <v>1320</v>
      </c>
    </row>
    <row r="7019" spans="1:3" x14ac:dyDescent="0.25">
      <c r="A7019" s="417">
        <v>41548</v>
      </c>
      <c r="B7019" s="418">
        <v>3.7800925925925925E-2</v>
      </c>
      <c r="C7019" s="421" t="s">
        <v>1983</v>
      </c>
    </row>
    <row r="7020" spans="1:3" x14ac:dyDescent="0.25">
      <c r="A7020" s="417">
        <v>41548</v>
      </c>
      <c r="B7020" s="418">
        <v>3.7800925925925925E-2</v>
      </c>
      <c r="C7020" s="421" t="s">
        <v>1984</v>
      </c>
    </row>
    <row r="7021" spans="1:3" x14ac:dyDescent="0.25">
      <c r="A7021" s="417">
        <v>41548</v>
      </c>
      <c r="B7021" s="418">
        <v>3.7800925925925925E-2</v>
      </c>
      <c r="C7021" s="421" t="s">
        <v>1985</v>
      </c>
    </row>
    <row r="7022" spans="1:3" x14ac:dyDescent="0.25">
      <c r="A7022" s="417">
        <v>41548</v>
      </c>
      <c r="B7022" s="418">
        <v>3.7800925925925925E-2</v>
      </c>
      <c r="C7022" s="421" t="s">
        <v>1986</v>
      </c>
    </row>
    <row r="7023" spans="1:3" x14ac:dyDescent="0.25">
      <c r="A7023" s="417">
        <v>41548</v>
      </c>
      <c r="B7023" s="418">
        <v>3.7824074074074072E-2</v>
      </c>
      <c r="C7023" s="421" t="s">
        <v>1446</v>
      </c>
    </row>
    <row r="7024" spans="1:3" x14ac:dyDescent="0.25">
      <c r="A7024" s="417">
        <v>41548</v>
      </c>
      <c r="B7024" s="418">
        <v>3.8009259259259263E-2</v>
      </c>
      <c r="C7024" s="421" t="s">
        <v>1987</v>
      </c>
    </row>
    <row r="7025" spans="1:3" x14ac:dyDescent="0.25">
      <c r="A7025" s="417">
        <v>41548</v>
      </c>
      <c r="B7025" s="418">
        <v>3.802083333333333E-2</v>
      </c>
      <c r="C7025" s="421" t="s">
        <v>1389</v>
      </c>
    </row>
    <row r="7026" spans="1:3" x14ac:dyDescent="0.25">
      <c r="A7026" s="417">
        <v>41548</v>
      </c>
      <c r="B7026" s="418">
        <v>3.8032407407407411E-2</v>
      </c>
      <c r="C7026" s="421" t="s">
        <v>1448</v>
      </c>
    </row>
    <row r="7027" spans="1:3" x14ac:dyDescent="0.25">
      <c r="A7027" s="417">
        <v>41548</v>
      </c>
      <c r="B7027" s="418">
        <v>3.8055555555555558E-2</v>
      </c>
      <c r="C7027" s="421" t="s">
        <v>1450</v>
      </c>
    </row>
    <row r="7028" spans="1:3" x14ac:dyDescent="0.25">
      <c r="A7028" s="417">
        <v>41548</v>
      </c>
      <c r="B7028" s="418">
        <v>3.8055555555555558E-2</v>
      </c>
      <c r="C7028" s="421" t="s">
        <v>1450</v>
      </c>
    </row>
    <row r="7029" spans="1:3" x14ac:dyDescent="0.25">
      <c r="A7029" s="417">
        <v>41548</v>
      </c>
      <c r="B7029" s="418">
        <v>3.8055555555555558E-2</v>
      </c>
      <c r="C7029" s="421" t="s">
        <v>1450</v>
      </c>
    </row>
    <row r="7030" spans="1:3" x14ac:dyDescent="0.25">
      <c r="A7030" s="417">
        <v>41548</v>
      </c>
      <c r="B7030" s="418">
        <v>3.8055555555555558E-2</v>
      </c>
      <c r="C7030" s="421" t="s">
        <v>1450</v>
      </c>
    </row>
    <row r="7031" spans="1:3" x14ac:dyDescent="0.25">
      <c r="A7031" s="417">
        <v>41548</v>
      </c>
      <c r="B7031" s="418">
        <v>3.8055555555555558E-2</v>
      </c>
      <c r="C7031" s="421" t="s">
        <v>1450</v>
      </c>
    </row>
    <row r="7032" spans="1:3" x14ac:dyDescent="0.25">
      <c r="A7032" s="417">
        <v>41548</v>
      </c>
      <c r="B7032" s="418">
        <v>3.8055555555555558E-2</v>
      </c>
      <c r="C7032" s="421" t="s">
        <v>1450</v>
      </c>
    </row>
    <row r="7033" spans="1:3" x14ac:dyDescent="0.25">
      <c r="A7033" s="417">
        <v>41548</v>
      </c>
      <c r="B7033" s="418">
        <v>3.8055555555555558E-2</v>
      </c>
      <c r="C7033" s="421" t="s">
        <v>1450</v>
      </c>
    </row>
    <row r="7034" spans="1:3" x14ac:dyDescent="0.25">
      <c r="A7034" s="417">
        <v>41548</v>
      </c>
      <c r="B7034" s="418">
        <v>3.8101851851851852E-2</v>
      </c>
      <c r="C7034" s="421" t="s">
        <v>1988</v>
      </c>
    </row>
    <row r="7035" spans="1:3" x14ac:dyDescent="0.25">
      <c r="A7035" s="417">
        <v>41548</v>
      </c>
      <c r="B7035" s="418">
        <v>3.8310185185185183E-2</v>
      </c>
      <c r="C7035" s="421" t="s">
        <v>1448</v>
      </c>
    </row>
    <row r="7036" spans="1:3" x14ac:dyDescent="0.25">
      <c r="A7036" s="417">
        <v>41548</v>
      </c>
      <c r="B7036" s="418">
        <v>3.8333333333333337E-2</v>
      </c>
      <c r="C7036" s="421" t="s">
        <v>1399</v>
      </c>
    </row>
    <row r="7037" spans="1:3" x14ac:dyDescent="0.25">
      <c r="A7037" s="417">
        <v>41548</v>
      </c>
      <c r="B7037" s="418">
        <v>3.8368055555555551E-2</v>
      </c>
      <c r="C7037" s="421" t="s">
        <v>1309</v>
      </c>
    </row>
    <row r="7038" spans="1:3" x14ac:dyDescent="0.25">
      <c r="A7038" s="417">
        <v>41548</v>
      </c>
      <c r="B7038" s="418">
        <v>3.8368055555555551E-2</v>
      </c>
      <c r="C7038" s="421" t="s">
        <v>1830</v>
      </c>
    </row>
    <row r="7039" spans="1:3" x14ac:dyDescent="0.25">
      <c r="A7039" s="417">
        <v>41548</v>
      </c>
      <c r="B7039" s="418">
        <v>3.8368055555555551E-2</v>
      </c>
      <c r="C7039" s="421" t="s">
        <v>1307</v>
      </c>
    </row>
    <row r="7040" spans="1:3" x14ac:dyDescent="0.25">
      <c r="A7040" s="417">
        <v>41548</v>
      </c>
      <c r="B7040" s="418">
        <v>4.1087962962962958E-2</v>
      </c>
      <c r="C7040" s="421" t="s">
        <v>1956</v>
      </c>
    </row>
    <row r="7041" spans="1:3" x14ac:dyDescent="0.25">
      <c r="A7041" s="417">
        <v>41548</v>
      </c>
      <c r="B7041" s="418">
        <v>4.1793981481481481E-2</v>
      </c>
      <c r="C7041" s="421" t="s">
        <v>1307</v>
      </c>
    </row>
    <row r="7042" spans="1:3" x14ac:dyDescent="0.25">
      <c r="A7042" s="417">
        <v>41548</v>
      </c>
      <c r="B7042" s="418">
        <v>4.1793981481481481E-2</v>
      </c>
      <c r="C7042" s="421" t="s">
        <v>1308</v>
      </c>
    </row>
    <row r="7043" spans="1:3" x14ac:dyDescent="0.25">
      <c r="A7043" s="417">
        <v>41548</v>
      </c>
      <c r="B7043" s="418">
        <v>4.1793981481481481E-2</v>
      </c>
      <c r="C7043" s="421" t="s">
        <v>1309</v>
      </c>
    </row>
    <row r="7044" spans="1:3" x14ac:dyDescent="0.25">
      <c r="A7044" s="417">
        <v>41548</v>
      </c>
      <c r="B7044" s="418">
        <v>4.1793981481481481E-2</v>
      </c>
      <c r="C7044" s="421" t="s">
        <v>1310</v>
      </c>
    </row>
    <row r="7045" spans="1:3" x14ac:dyDescent="0.25">
      <c r="A7045" s="417">
        <v>41548</v>
      </c>
      <c r="B7045" s="418">
        <v>4.1793981481481481E-2</v>
      </c>
      <c r="C7045" s="421" t="s">
        <v>1311</v>
      </c>
    </row>
    <row r="7046" spans="1:3" x14ac:dyDescent="0.25">
      <c r="A7046" s="417">
        <v>41548</v>
      </c>
      <c r="B7046" s="418">
        <v>4.1793981481481481E-2</v>
      </c>
      <c r="C7046" s="421" t="s">
        <v>1312</v>
      </c>
    </row>
    <row r="7047" spans="1:3" x14ac:dyDescent="0.25">
      <c r="A7047" s="417">
        <v>41548</v>
      </c>
      <c r="B7047" s="418">
        <v>4.1793981481481481E-2</v>
      </c>
      <c r="C7047" s="421" t="s">
        <v>1313</v>
      </c>
    </row>
    <row r="7048" spans="1:3" x14ac:dyDescent="0.25">
      <c r="A7048" s="417">
        <v>41548</v>
      </c>
      <c r="B7048" s="418">
        <v>4.1793981481481481E-2</v>
      </c>
      <c r="C7048" s="421" t="s">
        <v>1310</v>
      </c>
    </row>
    <row r="7049" spans="1:3" x14ac:dyDescent="0.25">
      <c r="A7049" s="417">
        <v>41548</v>
      </c>
      <c r="B7049" s="418">
        <v>4.1793981481481481E-2</v>
      </c>
      <c r="C7049" s="421" t="s">
        <v>1314</v>
      </c>
    </row>
    <row r="7050" spans="1:3" x14ac:dyDescent="0.25">
      <c r="A7050" s="417">
        <v>41548</v>
      </c>
      <c r="B7050" s="418">
        <v>4.1793981481481481E-2</v>
      </c>
      <c r="C7050" s="421" t="s">
        <v>1315</v>
      </c>
    </row>
    <row r="7051" spans="1:3" x14ac:dyDescent="0.25">
      <c r="A7051" s="417">
        <v>41548</v>
      </c>
      <c r="B7051" s="418">
        <v>4.1793981481481481E-2</v>
      </c>
      <c r="C7051" s="421" t="s">
        <v>1460</v>
      </c>
    </row>
    <row r="7052" spans="1:3" x14ac:dyDescent="0.25">
      <c r="A7052" s="417">
        <v>41548</v>
      </c>
      <c r="B7052" s="418">
        <v>4.1793981481481481E-2</v>
      </c>
      <c r="C7052" s="421" t="s">
        <v>1461</v>
      </c>
    </row>
    <row r="7053" spans="1:3" x14ac:dyDescent="0.25">
      <c r="A7053" s="417">
        <v>41548</v>
      </c>
      <c r="B7053" s="418">
        <v>4.1793981481481481E-2</v>
      </c>
      <c r="C7053" s="421" t="s">
        <v>1310</v>
      </c>
    </row>
    <row r="7054" spans="1:3" x14ac:dyDescent="0.25">
      <c r="A7054" s="417">
        <v>41548</v>
      </c>
      <c r="B7054" s="418">
        <v>4.1793981481481481E-2</v>
      </c>
      <c r="C7054" s="421" t="s">
        <v>1462</v>
      </c>
    </row>
    <row r="7055" spans="1:3" x14ac:dyDescent="0.25">
      <c r="A7055" s="417">
        <v>41548</v>
      </c>
      <c r="B7055" s="418">
        <v>4.1793981481481481E-2</v>
      </c>
      <c r="C7055" s="421" t="s">
        <v>1316</v>
      </c>
    </row>
    <row r="7056" spans="1:3" x14ac:dyDescent="0.25">
      <c r="A7056" s="417">
        <v>41548</v>
      </c>
      <c r="B7056" s="418">
        <v>4.1793981481481481E-2</v>
      </c>
      <c r="C7056" s="421" t="s">
        <v>1316</v>
      </c>
    </row>
    <row r="7057" spans="1:3" x14ac:dyDescent="0.25">
      <c r="A7057" s="417">
        <v>41548</v>
      </c>
      <c r="B7057" s="418">
        <v>4.1793981481481481E-2</v>
      </c>
      <c r="C7057" s="421" t="s">
        <v>1317</v>
      </c>
    </row>
    <row r="7058" spans="1:3" x14ac:dyDescent="0.25">
      <c r="A7058" s="417">
        <v>41548</v>
      </c>
      <c r="B7058" s="418">
        <v>4.1793981481481481E-2</v>
      </c>
      <c r="C7058" s="421" t="s">
        <v>1309</v>
      </c>
    </row>
    <row r="7059" spans="1:3" x14ac:dyDescent="0.25">
      <c r="A7059" s="417">
        <v>41548</v>
      </c>
      <c r="B7059" s="418">
        <v>4.1793981481481481E-2</v>
      </c>
      <c r="C7059" s="421" t="s">
        <v>1318</v>
      </c>
    </row>
    <row r="7060" spans="1:3" x14ac:dyDescent="0.25">
      <c r="A7060" s="417">
        <v>41548</v>
      </c>
      <c r="B7060" s="418">
        <v>4.1793981481481481E-2</v>
      </c>
      <c r="C7060" s="421" t="s">
        <v>1319</v>
      </c>
    </row>
    <row r="7061" spans="1:3" x14ac:dyDescent="0.25">
      <c r="A7061" s="417">
        <v>41548</v>
      </c>
      <c r="B7061" s="418">
        <v>4.1793981481481481E-2</v>
      </c>
      <c r="C7061" s="421" t="s">
        <v>1320</v>
      </c>
    </row>
    <row r="7062" spans="1:3" x14ac:dyDescent="0.25">
      <c r="A7062" s="417">
        <v>41548</v>
      </c>
      <c r="B7062" s="418">
        <v>4.1793981481481481E-2</v>
      </c>
      <c r="C7062" s="421" t="s">
        <v>1318</v>
      </c>
    </row>
    <row r="7063" spans="1:3" x14ac:dyDescent="0.25">
      <c r="A7063" s="417">
        <v>41548</v>
      </c>
      <c r="B7063" s="418">
        <v>4.1793981481481481E-2</v>
      </c>
      <c r="C7063" s="421" t="s">
        <v>1307</v>
      </c>
    </row>
    <row r="7064" spans="1:3" x14ac:dyDescent="0.25">
      <c r="A7064" s="417">
        <v>41548</v>
      </c>
      <c r="B7064" s="418">
        <v>4.1805555555555561E-2</v>
      </c>
      <c r="C7064" s="421" t="s">
        <v>1321</v>
      </c>
    </row>
    <row r="7065" spans="1:3" x14ac:dyDescent="0.25">
      <c r="A7065" s="417">
        <v>41548</v>
      </c>
      <c r="B7065" s="418">
        <v>4.1805555555555561E-2</v>
      </c>
      <c r="C7065" s="421" t="s">
        <v>1322</v>
      </c>
    </row>
    <row r="7066" spans="1:3" x14ac:dyDescent="0.25">
      <c r="A7066" s="417">
        <v>41548</v>
      </c>
      <c r="B7066" s="418">
        <v>4.1805555555555561E-2</v>
      </c>
      <c r="C7066" s="421" t="s">
        <v>1322</v>
      </c>
    </row>
    <row r="7067" spans="1:3" x14ac:dyDescent="0.25">
      <c r="A7067" s="417">
        <v>41548</v>
      </c>
      <c r="B7067" s="418">
        <v>4.1805555555555561E-2</v>
      </c>
      <c r="C7067" s="421" t="s">
        <v>1323</v>
      </c>
    </row>
    <row r="7068" spans="1:3" x14ac:dyDescent="0.25">
      <c r="A7068" s="417">
        <v>41548</v>
      </c>
      <c r="B7068" s="418">
        <v>4.1805555555555561E-2</v>
      </c>
      <c r="C7068" s="421" t="s">
        <v>1324</v>
      </c>
    </row>
    <row r="7069" spans="1:3" x14ac:dyDescent="0.25">
      <c r="A7069" s="417">
        <v>41548</v>
      </c>
      <c r="B7069" s="418">
        <v>4.1805555555555561E-2</v>
      </c>
      <c r="C7069" s="421" t="s">
        <v>1310</v>
      </c>
    </row>
    <row r="7070" spans="1:3" x14ac:dyDescent="0.25">
      <c r="A7070" s="417">
        <v>41548</v>
      </c>
      <c r="B7070" s="418">
        <v>4.1805555555555561E-2</v>
      </c>
      <c r="C7070" s="421" t="s">
        <v>1325</v>
      </c>
    </row>
    <row r="7071" spans="1:3" x14ac:dyDescent="0.25">
      <c r="A7071" s="417">
        <v>41548</v>
      </c>
      <c r="B7071" s="418">
        <v>4.1805555555555561E-2</v>
      </c>
      <c r="C7071" s="421" t="s">
        <v>1326</v>
      </c>
    </row>
    <row r="7072" spans="1:3" x14ac:dyDescent="0.25">
      <c r="A7072" s="417">
        <v>41548</v>
      </c>
      <c r="B7072" s="418">
        <v>4.1805555555555561E-2</v>
      </c>
      <c r="C7072" s="421" t="s">
        <v>1238</v>
      </c>
    </row>
    <row r="7073" spans="1:3" x14ac:dyDescent="0.25">
      <c r="A7073" s="417">
        <v>41548</v>
      </c>
      <c r="B7073" s="418">
        <v>4.1805555555555561E-2</v>
      </c>
      <c r="C7073" s="421" t="s">
        <v>1327</v>
      </c>
    </row>
    <row r="7074" spans="1:3" x14ac:dyDescent="0.25">
      <c r="A7074" s="417">
        <v>41548</v>
      </c>
      <c r="B7074" s="418">
        <v>4.1805555555555561E-2</v>
      </c>
      <c r="C7074" s="421" t="s">
        <v>1323</v>
      </c>
    </row>
    <row r="7075" spans="1:3" x14ac:dyDescent="0.25">
      <c r="A7075" s="417">
        <v>41548</v>
      </c>
      <c r="B7075" s="418">
        <v>4.1805555555555561E-2</v>
      </c>
      <c r="C7075" s="421" t="s">
        <v>1342</v>
      </c>
    </row>
    <row r="7076" spans="1:3" x14ac:dyDescent="0.25">
      <c r="A7076" s="417">
        <v>41548</v>
      </c>
      <c r="B7076" s="418">
        <v>4.1805555555555561E-2</v>
      </c>
      <c r="C7076" s="421" t="s">
        <v>1343</v>
      </c>
    </row>
    <row r="7077" spans="1:3" x14ac:dyDescent="0.25">
      <c r="A7077" s="417">
        <v>41548</v>
      </c>
      <c r="B7077" s="418">
        <v>4.1805555555555561E-2</v>
      </c>
      <c r="C7077" s="421" t="s">
        <v>1344</v>
      </c>
    </row>
    <row r="7078" spans="1:3" x14ac:dyDescent="0.25">
      <c r="A7078" s="417">
        <v>41548</v>
      </c>
      <c r="B7078" s="418">
        <v>4.1805555555555561E-2</v>
      </c>
      <c r="C7078" s="421" t="s">
        <v>1344</v>
      </c>
    </row>
    <row r="7079" spans="1:3" x14ac:dyDescent="0.25">
      <c r="A7079" s="417">
        <v>41548</v>
      </c>
      <c r="B7079" s="418">
        <v>4.1805555555555561E-2</v>
      </c>
      <c r="C7079" s="421" t="s">
        <v>1310</v>
      </c>
    </row>
    <row r="7080" spans="1:3" x14ac:dyDescent="0.25">
      <c r="A7080" s="417">
        <v>41548</v>
      </c>
      <c r="B7080" s="418">
        <v>4.1805555555555561E-2</v>
      </c>
      <c r="C7080" s="421" t="s">
        <v>1345</v>
      </c>
    </row>
    <row r="7081" spans="1:3" x14ac:dyDescent="0.25">
      <c r="A7081" s="417">
        <v>41548</v>
      </c>
      <c r="B7081" s="418">
        <v>4.1805555555555561E-2</v>
      </c>
      <c r="C7081" s="421" t="s">
        <v>1346</v>
      </c>
    </row>
    <row r="7082" spans="1:3" x14ac:dyDescent="0.25">
      <c r="A7082" s="417">
        <v>41548</v>
      </c>
      <c r="B7082" s="418">
        <v>4.1805555555555561E-2</v>
      </c>
      <c r="C7082" s="421" t="s">
        <v>1347</v>
      </c>
    </row>
    <row r="7083" spans="1:3" x14ac:dyDescent="0.25">
      <c r="A7083" s="417">
        <v>41548</v>
      </c>
      <c r="B7083" s="418">
        <v>4.1805555555555561E-2</v>
      </c>
      <c r="C7083" s="421" t="s">
        <v>1348</v>
      </c>
    </row>
    <row r="7084" spans="1:3" x14ac:dyDescent="0.25">
      <c r="A7084" s="417">
        <v>41548</v>
      </c>
      <c r="B7084" s="418">
        <v>4.1805555555555561E-2</v>
      </c>
      <c r="C7084" s="421" t="s">
        <v>1349</v>
      </c>
    </row>
    <row r="7085" spans="1:3" x14ac:dyDescent="0.25">
      <c r="A7085" s="417">
        <v>41548</v>
      </c>
      <c r="B7085" s="418">
        <v>4.1805555555555561E-2</v>
      </c>
      <c r="C7085" s="421" t="s">
        <v>1349</v>
      </c>
    </row>
    <row r="7086" spans="1:3" x14ac:dyDescent="0.25">
      <c r="A7086" s="417">
        <v>41548</v>
      </c>
      <c r="B7086" s="418">
        <v>4.1805555555555561E-2</v>
      </c>
      <c r="C7086" s="421" t="s">
        <v>1348</v>
      </c>
    </row>
    <row r="7087" spans="1:3" x14ac:dyDescent="0.25">
      <c r="A7087" s="417">
        <v>41548</v>
      </c>
      <c r="B7087" s="418">
        <v>4.1805555555555561E-2</v>
      </c>
      <c r="C7087" s="421" t="s">
        <v>1350</v>
      </c>
    </row>
    <row r="7088" spans="1:3" x14ac:dyDescent="0.25">
      <c r="A7088" s="417">
        <v>41548</v>
      </c>
      <c r="B7088" s="418">
        <v>4.1805555555555561E-2</v>
      </c>
      <c r="C7088" s="421" t="s">
        <v>1351</v>
      </c>
    </row>
    <row r="7089" spans="1:3" x14ac:dyDescent="0.25">
      <c r="A7089" s="417">
        <v>41548</v>
      </c>
      <c r="B7089" s="418">
        <v>4.1805555555555561E-2</v>
      </c>
      <c r="C7089" s="421" t="s">
        <v>1352</v>
      </c>
    </row>
    <row r="7090" spans="1:3" x14ac:dyDescent="0.25">
      <c r="A7090" s="417">
        <v>41548</v>
      </c>
      <c r="B7090" s="418">
        <v>4.1805555555555561E-2</v>
      </c>
      <c r="C7090" s="421" t="s">
        <v>1768</v>
      </c>
    </row>
    <row r="7091" spans="1:3" x14ac:dyDescent="0.25">
      <c r="A7091" s="417">
        <v>41548</v>
      </c>
      <c r="B7091" s="418">
        <v>4.1805555555555561E-2</v>
      </c>
      <c r="C7091" s="421" t="s">
        <v>1353</v>
      </c>
    </row>
    <row r="7092" spans="1:3" x14ac:dyDescent="0.25">
      <c r="A7092" s="417">
        <v>41548</v>
      </c>
      <c r="B7092" s="418">
        <v>4.1805555555555561E-2</v>
      </c>
      <c r="C7092" s="421" t="s">
        <v>1354</v>
      </c>
    </row>
    <row r="7093" spans="1:3" x14ac:dyDescent="0.25">
      <c r="A7093" s="417">
        <v>41548</v>
      </c>
      <c r="B7093" s="418">
        <v>4.1805555555555561E-2</v>
      </c>
      <c r="C7093" s="421" t="s">
        <v>1357</v>
      </c>
    </row>
    <row r="7094" spans="1:3" x14ac:dyDescent="0.25">
      <c r="A7094" s="417">
        <v>41548</v>
      </c>
      <c r="B7094" s="418">
        <v>4.1805555555555561E-2</v>
      </c>
      <c r="C7094" s="421" t="s">
        <v>1358</v>
      </c>
    </row>
    <row r="7095" spans="1:3" x14ac:dyDescent="0.25">
      <c r="A7095" s="417">
        <v>41548</v>
      </c>
      <c r="B7095" s="418">
        <v>4.1805555555555561E-2</v>
      </c>
      <c r="C7095" s="421" t="s">
        <v>1359</v>
      </c>
    </row>
    <row r="7096" spans="1:3" x14ac:dyDescent="0.25">
      <c r="A7096" s="417">
        <v>41548</v>
      </c>
      <c r="B7096" s="418">
        <v>4.1805555555555561E-2</v>
      </c>
      <c r="C7096" s="421" t="s">
        <v>1360</v>
      </c>
    </row>
    <row r="7097" spans="1:3" x14ac:dyDescent="0.25">
      <c r="A7097" s="417">
        <v>41548</v>
      </c>
      <c r="B7097" s="418">
        <v>4.1805555555555561E-2</v>
      </c>
      <c r="C7097" s="421" t="s">
        <v>1361</v>
      </c>
    </row>
    <row r="7098" spans="1:3" x14ac:dyDescent="0.25">
      <c r="A7098" s="417">
        <v>41548</v>
      </c>
      <c r="B7098" s="418">
        <v>4.1805555555555561E-2</v>
      </c>
      <c r="C7098" s="421" t="s">
        <v>1317</v>
      </c>
    </row>
    <row r="7099" spans="1:3" x14ac:dyDescent="0.25">
      <c r="A7099" s="417">
        <v>41548</v>
      </c>
      <c r="B7099" s="418">
        <v>4.1805555555555561E-2</v>
      </c>
      <c r="C7099" s="421" t="s">
        <v>1537</v>
      </c>
    </row>
    <row r="7100" spans="1:3" x14ac:dyDescent="0.25">
      <c r="A7100" s="417">
        <v>41548</v>
      </c>
      <c r="B7100" s="418">
        <v>4.1805555555555561E-2</v>
      </c>
      <c r="C7100" s="421" t="s">
        <v>1363</v>
      </c>
    </row>
    <row r="7101" spans="1:3" x14ac:dyDescent="0.25">
      <c r="A7101" s="417">
        <v>41548</v>
      </c>
      <c r="B7101" s="418">
        <v>4.1805555555555561E-2</v>
      </c>
      <c r="C7101" s="421" t="s">
        <v>1364</v>
      </c>
    </row>
    <row r="7102" spans="1:3" x14ac:dyDescent="0.25">
      <c r="A7102" s="417">
        <v>41548</v>
      </c>
      <c r="B7102" s="418">
        <v>4.1805555555555561E-2</v>
      </c>
      <c r="C7102" s="421" t="s">
        <v>1365</v>
      </c>
    </row>
    <row r="7103" spans="1:3" x14ac:dyDescent="0.25">
      <c r="A7103" s="417">
        <v>41548</v>
      </c>
      <c r="B7103" s="418">
        <v>4.1805555555555561E-2</v>
      </c>
      <c r="C7103" s="421" t="s">
        <v>1365</v>
      </c>
    </row>
    <row r="7104" spans="1:3" x14ac:dyDescent="0.25">
      <c r="A7104" s="417">
        <v>41548</v>
      </c>
      <c r="B7104" s="418">
        <v>4.1805555555555561E-2</v>
      </c>
      <c r="C7104" s="421" t="s">
        <v>1320</v>
      </c>
    </row>
    <row r="7105" spans="1:3" x14ac:dyDescent="0.25">
      <c r="A7105" s="417">
        <v>41548</v>
      </c>
      <c r="B7105" s="418">
        <v>4.1805555555555561E-2</v>
      </c>
      <c r="C7105" s="421" t="s">
        <v>1962</v>
      </c>
    </row>
    <row r="7106" spans="1:3" ht="60" x14ac:dyDescent="0.25">
      <c r="A7106" s="417">
        <v>41548</v>
      </c>
      <c r="B7106" s="418">
        <v>4.1805555555555561E-2</v>
      </c>
      <c r="C7106" s="946" t="s">
        <v>1963</v>
      </c>
    </row>
    <row r="7107" spans="1:3" x14ac:dyDescent="0.25">
      <c r="A7107" s="417">
        <v>41548</v>
      </c>
      <c r="B7107" s="418">
        <v>4.1863425925925929E-2</v>
      </c>
      <c r="C7107" s="421" t="s">
        <v>1367</v>
      </c>
    </row>
    <row r="7108" spans="1:3" x14ac:dyDescent="0.25">
      <c r="A7108" s="417">
        <v>41548</v>
      </c>
      <c r="B7108" s="418">
        <v>4.1863425925925929E-2</v>
      </c>
      <c r="C7108" s="421" t="s">
        <v>1344</v>
      </c>
    </row>
    <row r="7109" spans="1:3" x14ac:dyDescent="0.25">
      <c r="A7109" s="417">
        <v>41548</v>
      </c>
      <c r="B7109" s="418">
        <v>4.1863425925925929E-2</v>
      </c>
      <c r="C7109" s="421" t="s">
        <v>1368</v>
      </c>
    </row>
    <row r="7110" spans="1:3" x14ac:dyDescent="0.25">
      <c r="A7110" s="417">
        <v>41548</v>
      </c>
      <c r="B7110" s="418">
        <v>4.1863425925925929E-2</v>
      </c>
      <c r="C7110" s="421" t="s">
        <v>1369</v>
      </c>
    </row>
    <row r="7111" spans="1:3" x14ac:dyDescent="0.25">
      <c r="A7111" s="417">
        <v>41548</v>
      </c>
      <c r="B7111" s="418">
        <v>4.1863425925925929E-2</v>
      </c>
      <c r="C7111" s="421" t="s">
        <v>1307</v>
      </c>
    </row>
    <row r="7112" spans="1:3" x14ac:dyDescent="0.25">
      <c r="A7112" s="417">
        <v>41548</v>
      </c>
      <c r="B7112" s="418">
        <v>4.1863425925925929E-2</v>
      </c>
      <c r="C7112" s="421" t="s">
        <v>1370</v>
      </c>
    </row>
    <row r="7113" spans="1:3" x14ac:dyDescent="0.25">
      <c r="A7113" s="417">
        <v>41548</v>
      </c>
      <c r="B7113" s="418">
        <v>4.1863425925925929E-2</v>
      </c>
      <c r="C7113" s="421" t="s">
        <v>1371</v>
      </c>
    </row>
    <row r="7114" spans="1:3" x14ac:dyDescent="0.25">
      <c r="A7114" s="417">
        <v>41548</v>
      </c>
      <c r="B7114" s="418">
        <v>4.1863425925925929E-2</v>
      </c>
      <c r="C7114" s="421" t="s">
        <v>1344</v>
      </c>
    </row>
    <row r="7115" spans="1:3" x14ac:dyDescent="0.25">
      <c r="A7115" s="417">
        <v>41548</v>
      </c>
      <c r="B7115" s="418">
        <v>4.1863425925925929E-2</v>
      </c>
      <c r="C7115" s="421" t="s">
        <v>1317</v>
      </c>
    </row>
    <row r="7116" spans="1:3" x14ac:dyDescent="0.25">
      <c r="A7116" s="417">
        <v>41548</v>
      </c>
      <c r="B7116" s="418">
        <v>4.1863425925925929E-2</v>
      </c>
      <c r="C7116" s="421" t="s">
        <v>1463</v>
      </c>
    </row>
    <row r="7117" spans="1:3" x14ac:dyDescent="0.25">
      <c r="A7117" s="417">
        <v>41548</v>
      </c>
      <c r="B7117" s="418">
        <v>4.1863425925925929E-2</v>
      </c>
      <c r="C7117" s="421" t="s">
        <v>1373</v>
      </c>
    </row>
    <row r="7118" spans="1:3" x14ac:dyDescent="0.25">
      <c r="A7118" s="417">
        <v>41548</v>
      </c>
      <c r="B7118" s="418">
        <v>4.1863425925925929E-2</v>
      </c>
      <c r="C7118" s="421" t="s">
        <v>1308</v>
      </c>
    </row>
    <row r="7119" spans="1:3" x14ac:dyDescent="0.25">
      <c r="A7119" s="417">
        <v>41548</v>
      </c>
      <c r="B7119" s="418">
        <v>4.1874999999999996E-2</v>
      </c>
      <c r="C7119" s="421" t="s">
        <v>1374</v>
      </c>
    </row>
    <row r="7120" spans="1:3" x14ac:dyDescent="0.25">
      <c r="A7120" s="417">
        <v>41548</v>
      </c>
      <c r="B7120" s="418">
        <v>4.1874999999999996E-2</v>
      </c>
      <c r="C7120" s="421" t="s">
        <v>1375</v>
      </c>
    </row>
    <row r="7121" spans="1:3" x14ac:dyDescent="0.25">
      <c r="A7121" s="417">
        <v>41548</v>
      </c>
      <c r="B7121" s="418">
        <v>4.1874999999999996E-2</v>
      </c>
      <c r="C7121" s="421" t="s">
        <v>1376</v>
      </c>
    </row>
    <row r="7122" spans="1:3" x14ac:dyDescent="0.25">
      <c r="A7122" s="417">
        <v>41548</v>
      </c>
      <c r="B7122" s="418">
        <v>4.1874999999999996E-2</v>
      </c>
      <c r="C7122" s="421" t="s">
        <v>1377</v>
      </c>
    </row>
    <row r="7123" spans="1:3" x14ac:dyDescent="0.25">
      <c r="A7123" s="417">
        <v>41548</v>
      </c>
      <c r="B7123" s="418">
        <v>4.1874999999999996E-2</v>
      </c>
      <c r="C7123" s="421" t="s">
        <v>1326</v>
      </c>
    </row>
    <row r="7124" spans="1:3" x14ac:dyDescent="0.25">
      <c r="A7124" s="417">
        <v>41548</v>
      </c>
      <c r="B7124" s="418">
        <v>4.1874999999999996E-2</v>
      </c>
      <c r="C7124" s="421" t="s">
        <v>1755</v>
      </c>
    </row>
    <row r="7125" spans="1:3" x14ac:dyDescent="0.25">
      <c r="A7125" s="417">
        <v>41548</v>
      </c>
      <c r="B7125" s="418">
        <v>4.1874999999999996E-2</v>
      </c>
      <c r="C7125" s="421" t="s">
        <v>1380</v>
      </c>
    </row>
    <row r="7126" spans="1:3" x14ac:dyDescent="0.25">
      <c r="A7126" s="417">
        <v>41548</v>
      </c>
      <c r="B7126" s="418">
        <v>4.1874999999999996E-2</v>
      </c>
      <c r="C7126" s="421" t="s">
        <v>1381</v>
      </c>
    </row>
    <row r="7127" spans="1:3" x14ac:dyDescent="0.25">
      <c r="A7127" s="417">
        <v>41548</v>
      </c>
      <c r="B7127" s="418">
        <v>4.1874999999999996E-2</v>
      </c>
      <c r="C7127" s="421" t="s">
        <v>1382</v>
      </c>
    </row>
    <row r="7128" spans="1:3" x14ac:dyDescent="0.25">
      <c r="A7128" s="417">
        <v>41548</v>
      </c>
      <c r="B7128" s="418">
        <v>4.1874999999999996E-2</v>
      </c>
      <c r="C7128" s="421" t="s">
        <v>1383</v>
      </c>
    </row>
    <row r="7129" spans="1:3" x14ac:dyDescent="0.25">
      <c r="A7129" s="417">
        <v>41548</v>
      </c>
      <c r="B7129" s="418">
        <v>4.1874999999999996E-2</v>
      </c>
      <c r="C7129" s="421" t="s">
        <v>1352</v>
      </c>
    </row>
    <row r="7130" spans="1:3" x14ac:dyDescent="0.25">
      <c r="A7130" s="417">
        <v>41548</v>
      </c>
      <c r="B7130" s="418">
        <v>4.1874999999999996E-2</v>
      </c>
      <c r="C7130" s="421" t="s">
        <v>1384</v>
      </c>
    </row>
    <row r="7131" spans="1:3" x14ac:dyDescent="0.25">
      <c r="A7131" s="417">
        <v>41548</v>
      </c>
      <c r="B7131" s="418">
        <v>4.1874999999999996E-2</v>
      </c>
      <c r="C7131" s="421" t="s">
        <v>1385</v>
      </c>
    </row>
    <row r="7132" spans="1:3" x14ac:dyDescent="0.25">
      <c r="A7132" s="417">
        <v>41548</v>
      </c>
      <c r="B7132" s="418">
        <v>4.1874999999999996E-2</v>
      </c>
      <c r="C7132" s="421" t="s">
        <v>1385</v>
      </c>
    </row>
    <row r="7133" spans="1:3" x14ac:dyDescent="0.25">
      <c r="A7133" s="417">
        <v>41548</v>
      </c>
      <c r="B7133" s="418">
        <v>4.1874999999999996E-2</v>
      </c>
      <c r="C7133" s="421" t="s">
        <v>1386</v>
      </c>
    </row>
    <row r="7134" spans="1:3" x14ac:dyDescent="0.25">
      <c r="A7134" s="417">
        <v>41548</v>
      </c>
      <c r="B7134" s="418">
        <v>4.1874999999999996E-2</v>
      </c>
      <c r="C7134" s="421" t="s">
        <v>1387</v>
      </c>
    </row>
    <row r="7135" spans="1:3" x14ac:dyDescent="0.25">
      <c r="A7135" s="417">
        <v>41548</v>
      </c>
      <c r="B7135" s="418">
        <v>4.1874999999999996E-2</v>
      </c>
      <c r="C7135" s="421" t="s">
        <v>1387</v>
      </c>
    </row>
    <row r="7136" spans="1:3" x14ac:dyDescent="0.25">
      <c r="A7136" s="417">
        <v>41548</v>
      </c>
      <c r="B7136" s="418">
        <v>4.1874999999999996E-2</v>
      </c>
      <c r="C7136" s="421" t="s">
        <v>1318</v>
      </c>
    </row>
    <row r="7137" spans="1:3" x14ac:dyDescent="0.25">
      <c r="A7137" s="417">
        <v>41548</v>
      </c>
      <c r="B7137" s="418">
        <v>4.1874999999999996E-2</v>
      </c>
      <c r="C7137" s="421" t="s">
        <v>1388</v>
      </c>
    </row>
    <row r="7138" spans="1:3" x14ac:dyDescent="0.25">
      <c r="A7138" s="417">
        <v>41548</v>
      </c>
      <c r="B7138" s="418">
        <v>4.1874999999999996E-2</v>
      </c>
      <c r="C7138" s="421" t="s">
        <v>1390</v>
      </c>
    </row>
    <row r="7139" spans="1:3" x14ac:dyDescent="0.25">
      <c r="A7139" s="417">
        <v>41548</v>
      </c>
      <c r="B7139" s="418">
        <v>4.1874999999999996E-2</v>
      </c>
      <c r="C7139" s="421" t="s">
        <v>1391</v>
      </c>
    </row>
    <row r="7140" spans="1:3" x14ac:dyDescent="0.25">
      <c r="A7140" s="417">
        <v>41548</v>
      </c>
      <c r="B7140" s="418">
        <v>4.1874999999999996E-2</v>
      </c>
      <c r="C7140" s="421" t="s">
        <v>1392</v>
      </c>
    </row>
    <row r="7141" spans="1:3" x14ac:dyDescent="0.25">
      <c r="A7141" s="417">
        <v>41548</v>
      </c>
      <c r="B7141" s="418">
        <v>4.1874999999999996E-2</v>
      </c>
      <c r="C7141" s="421" t="s">
        <v>1795</v>
      </c>
    </row>
    <row r="7142" spans="1:3" x14ac:dyDescent="0.25">
      <c r="A7142" s="417">
        <v>41548</v>
      </c>
      <c r="B7142" s="418">
        <v>4.1874999999999996E-2</v>
      </c>
      <c r="C7142" s="421" t="s">
        <v>1393</v>
      </c>
    </row>
    <row r="7143" spans="1:3" x14ac:dyDescent="0.25">
      <c r="A7143" s="417">
        <v>41548</v>
      </c>
      <c r="B7143" s="418">
        <v>4.1874999999999996E-2</v>
      </c>
      <c r="C7143" s="421" t="s">
        <v>1394</v>
      </c>
    </row>
    <row r="7144" spans="1:3" x14ac:dyDescent="0.25">
      <c r="A7144" s="417">
        <v>41548</v>
      </c>
      <c r="B7144" s="418">
        <v>4.1874999999999996E-2</v>
      </c>
      <c r="C7144" s="421" t="s">
        <v>1392</v>
      </c>
    </row>
    <row r="7145" spans="1:3" x14ac:dyDescent="0.25">
      <c r="A7145" s="417">
        <v>41548</v>
      </c>
      <c r="B7145" s="418">
        <v>4.1874999999999996E-2</v>
      </c>
      <c r="C7145" s="421" t="s">
        <v>1395</v>
      </c>
    </row>
    <row r="7146" spans="1:3" x14ac:dyDescent="0.25">
      <c r="A7146" s="417">
        <v>41548</v>
      </c>
      <c r="B7146" s="418">
        <v>4.1874999999999996E-2</v>
      </c>
      <c r="C7146" s="421" t="s">
        <v>1396</v>
      </c>
    </row>
    <row r="7147" spans="1:3" x14ac:dyDescent="0.25">
      <c r="A7147" s="417">
        <v>41548</v>
      </c>
      <c r="B7147" s="418">
        <v>4.1874999999999996E-2</v>
      </c>
      <c r="C7147" s="421" t="s">
        <v>1363</v>
      </c>
    </row>
    <row r="7148" spans="1:3" x14ac:dyDescent="0.25">
      <c r="A7148" s="417">
        <v>41548</v>
      </c>
      <c r="B7148" s="418">
        <v>4.1874999999999996E-2</v>
      </c>
      <c r="C7148" s="421" t="s">
        <v>1346</v>
      </c>
    </row>
    <row r="7149" spans="1:3" x14ac:dyDescent="0.25">
      <c r="A7149" s="417">
        <v>41548</v>
      </c>
      <c r="B7149" s="418">
        <v>4.1874999999999996E-2</v>
      </c>
      <c r="C7149" s="421" t="s">
        <v>1397</v>
      </c>
    </row>
    <row r="7150" spans="1:3" x14ac:dyDescent="0.25">
      <c r="A7150" s="417">
        <v>41548</v>
      </c>
      <c r="B7150" s="418">
        <v>4.1874999999999996E-2</v>
      </c>
      <c r="C7150" s="421" t="s">
        <v>1381</v>
      </c>
    </row>
    <row r="7151" spans="1:3" x14ac:dyDescent="0.25">
      <c r="A7151" s="417">
        <v>41548</v>
      </c>
      <c r="B7151" s="418">
        <v>4.1874999999999996E-2</v>
      </c>
      <c r="C7151" s="421" t="s">
        <v>1398</v>
      </c>
    </row>
    <row r="7152" spans="1:3" x14ac:dyDescent="0.25">
      <c r="A7152" s="417">
        <v>41548</v>
      </c>
      <c r="B7152" s="418">
        <v>4.1874999999999996E-2</v>
      </c>
      <c r="C7152" s="421" t="s">
        <v>1399</v>
      </c>
    </row>
    <row r="7153" spans="1:3" x14ac:dyDescent="0.25">
      <c r="A7153" s="417">
        <v>41548</v>
      </c>
      <c r="B7153" s="418">
        <v>4.1874999999999996E-2</v>
      </c>
      <c r="C7153" s="421" t="s">
        <v>1400</v>
      </c>
    </row>
    <row r="7154" spans="1:3" x14ac:dyDescent="0.25">
      <c r="A7154" s="417">
        <v>41548</v>
      </c>
      <c r="B7154" s="418">
        <v>4.1874999999999996E-2</v>
      </c>
      <c r="C7154" s="421" t="s">
        <v>1400</v>
      </c>
    </row>
    <row r="7155" spans="1:3" x14ac:dyDescent="0.25">
      <c r="A7155" s="417">
        <v>41548</v>
      </c>
      <c r="B7155" s="418">
        <v>4.1874999999999996E-2</v>
      </c>
      <c r="C7155" s="421" t="s">
        <v>1373</v>
      </c>
    </row>
    <row r="7156" spans="1:3" x14ac:dyDescent="0.25">
      <c r="A7156" s="417">
        <v>41548</v>
      </c>
      <c r="B7156" s="418">
        <v>4.1874999999999996E-2</v>
      </c>
      <c r="C7156" s="421" t="s">
        <v>1353</v>
      </c>
    </row>
    <row r="7157" spans="1:3" x14ac:dyDescent="0.25">
      <c r="A7157" s="417">
        <v>41548</v>
      </c>
      <c r="B7157" s="418">
        <v>4.1874999999999996E-2</v>
      </c>
      <c r="C7157" s="421" t="s">
        <v>1353</v>
      </c>
    </row>
    <row r="7158" spans="1:3" x14ac:dyDescent="0.25">
      <c r="A7158" s="417">
        <v>41548</v>
      </c>
      <c r="B7158" s="418">
        <v>4.1874999999999996E-2</v>
      </c>
      <c r="C7158" s="421" t="s">
        <v>1401</v>
      </c>
    </row>
    <row r="7159" spans="1:3" x14ac:dyDescent="0.25">
      <c r="A7159" s="417">
        <v>41548</v>
      </c>
      <c r="B7159" s="418">
        <v>4.1874999999999996E-2</v>
      </c>
      <c r="C7159" s="421" t="s">
        <v>1392</v>
      </c>
    </row>
    <row r="7160" spans="1:3" x14ac:dyDescent="0.25">
      <c r="A7160" s="417">
        <v>41548</v>
      </c>
      <c r="B7160" s="418">
        <v>4.1874999999999996E-2</v>
      </c>
      <c r="C7160" s="421" t="s">
        <v>1403</v>
      </c>
    </row>
    <row r="7161" spans="1:3" x14ac:dyDescent="0.25">
      <c r="A7161" s="417">
        <v>41548</v>
      </c>
      <c r="B7161" s="418">
        <v>4.1874999999999996E-2</v>
      </c>
      <c r="C7161" s="421" t="s">
        <v>1403</v>
      </c>
    </row>
    <row r="7162" spans="1:3" x14ac:dyDescent="0.25">
      <c r="A7162" s="417">
        <v>41548</v>
      </c>
      <c r="B7162" s="418">
        <v>4.1874999999999996E-2</v>
      </c>
      <c r="C7162" s="421" t="s">
        <v>1403</v>
      </c>
    </row>
    <row r="7163" spans="1:3" x14ac:dyDescent="0.25">
      <c r="A7163" s="417">
        <v>41548</v>
      </c>
      <c r="B7163" s="418">
        <v>4.1874999999999996E-2</v>
      </c>
      <c r="C7163" s="421" t="s">
        <v>1364</v>
      </c>
    </row>
    <row r="7164" spans="1:3" x14ac:dyDescent="0.25">
      <c r="A7164" s="417">
        <v>41548</v>
      </c>
      <c r="B7164" s="418">
        <v>4.1874999999999996E-2</v>
      </c>
      <c r="C7164" s="421" t="s">
        <v>1364</v>
      </c>
    </row>
    <row r="7165" spans="1:3" x14ac:dyDescent="0.25">
      <c r="A7165" s="417">
        <v>41548</v>
      </c>
      <c r="B7165" s="418">
        <v>4.1886574074074069E-2</v>
      </c>
      <c r="C7165" s="421" t="s">
        <v>1381</v>
      </c>
    </row>
    <row r="7166" spans="1:3" x14ac:dyDescent="0.25">
      <c r="A7166" s="417">
        <v>41548</v>
      </c>
      <c r="B7166" s="418">
        <v>4.1886574074074069E-2</v>
      </c>
      <c r="C7166" s="421" t="s">
        <v>1364</v>
      </c>
    </row>
    <row r="7167" spans="1:3" x14ac:dyDescent="0.25">
      <c r="A7167" s="417">
        <v>41548</v>
      </c>
      <c r="B7167" s="418">
        <v>4.1886574074074069E-2</v>
      </c>
      <c r="C7167" s="421" t="s">
        <v>1480</v>
      </c>
    </row>
    <row r="7168" spans="1:3" x14ac:dyDescent="0.25">
      <c r="A7168" s="417">
        <v>41548</v>
      </c>
      <c r="B7168" s="418">
        <v>4.1886574074074069E-2</v>
      </c>
      <c r="C7168" s="421" t="s">
        <v>1480</v>
      </c>
    </row>
    <row r="7169" spans="1:3" x14ac:dyDescent="0.25">
      <c r="A7169" s="417">
        <v>41548</v>
      </c>
      <c r="B7169" s="418">
        <v>4.1886574074074069E-2</v>
      </c>
      <c r="C7169" s="421" t="s">
        <v>1480</v>
      </c>
    </row>
    <row r="7170" spans="1:3" x14ac:dyDescent="0.25">
      <c r="A7170" s="417">
        <v>41548</v>
      </c>
      <c r="B7170" s="418">
        <v>4.1886574074074069E-2</v>
      </c>
      <c r="C7170" s="421" t="s">
        <v>1964</v>
      </c>
    </row>
    <row r="7171" spans="1:3" x14ac:dyDescent="0.25">
      <c r="A7171" s="417">
        <v>41548</v>
      </c>
      <c r="B7171" s="418">
        <v>4.1886574074074069E-2</v>
      </c>
      <c r="C7171" s="421" t="s">
        <v>1541</v>
      </c>
    </row>
    <row r="7172" spans="1:3" x14ac:dyDescent="0.25">
      <c r="A7172" s="417">
        <v>41548</v>
      </c>
      <c r="B7172" s="418">
        <v>4.1886574074074069E-2</v>
      </c>
      <c r="C7172" s="421" t="s">
        <v>1346</v>
      </c>
    </row>
    <row r="7173" spans="1:3" x14ac:dyDescent="0.25">
      <c r="A7173" s="417">
        <v>41548</v>
      </c>
      <c r="B7173" s="418">
        <v>4.1886574074074069E-2</v>
      </c>
      <c r="C7173" s="421" t="s">
        <v>1405</v>
      </c>
    </row>
    <row r="7174" spans="1:3" x14ac:dyDescent="0.25">
      <c r="A7174" s="417">
        <v>41548</v>
      </c>
      <c r="B7174" s="418">
        <v>4.1886574074074069E-2</v>
      </c>
      <c r="C7174" s="421" t="s">
        <v>1406</v>
      </c>
    </row>
    <row r="7175" spans="1:3" x14ac:dyDescent="0.25">
      <c r="A7175" s="417">
        <v>41548</v>
      </c>
      <c r="B7175" s="418">
        <v>4.1921296296296297E-2</v>
      </c>
      <c r="C7175" s="421" t="s">
        <v>1965</v>
      </c>
    </row>
    <row r="7176" spans="1:3" x14ac:dyDescent="0.25">
      <c r="A7176" s="417">
        <v>41548</v>
      </c>
      <c r="B7176" s="418">
        <v>4.1921296296296297E-2</v>
      </c>
      <c r="C7176" s="421" t="s">
        <v>1318</v>
      </c>
    </row>
    <row r="7177" spans="1:3" x14ac:dyDescent="0.25">
      <c r="A7177" s="417">
        <v>41548</v>
      </c>
      <c r="B7177" s="418">
        <v>4.1932870370370377E-2</v>
      </c>
      <c r="C7177" s="421" t="s">
        <v>1368</v>
      </c>
    </row>
    <row r="7178" spans="1:3" x14ac:dyDescent="0.25">
      <c r="A7178" s="417">
        <v>41548</v>
      </c>
      <c r="B7178" s="418">
        <v>4.1932870370370377E-2</v>
      </c>
      <c r="C7178" s="421" t="s">
        <v>1368</v>
      </c>
    </row>
    <row r="7179" spans="1:3" x14ac:dyDescent="0.25">
      <c r="A7179" s="417">
        <v>41548</v>
      </c>
      <c r="B7179" s="418">
        <v>4.1932870370370377E-2</v>
      </c>
      <c r="C7179" s="421" t="s">
        <v>1368</v>
      </c>
    </row>
    <row r="7180" spans="1:3" x14ac:dyDescent="0.25">
      <c r="A7180" s="417">
        <v>41548</v>
      </c>
      <c r="B7180" s="418">
        <v>4.1932870370370377E-2</v>
      </c>
      <c r="C7180" s="421" t="s">
        <v>1368</v>
      </c>
    </row>
    <row r="7181" spans="1:3" x14ac:dyDescent="0.25">
      <c r="A7181" s="417">
        <v>41548</v>
      </c>
      <c r="B7181" s="418">
        <v>4.1932870370370377E-2</v>
      </c>
      <c r="C7181" s="421" t="s">
        <v>1368</v>
      </c>
    </row>
    <row r="7182" spans="1:3" x14ac:dyDescent="0.25">
      <c r="A7182" s="417">
        <v>41548</v>
      </c>
      <c r="B7182" s="418">
        <v>4.1932870370370377E-2</v>
      </c>
      <c r="C7182" s="421" t="s">
        <v>1409</v>
      </c>
    </row>
    <row r="7183" spans="1:3" x14ac:dyDescent="0.25">
      <c r="A7183" s="417">
        <v>41548</v>
      </c>
      <c r="B7183" s="418">
        <v>4.1944444444444444E-2</v>
      </c>
      <c r="C7183" s="421" t="s">
        <v>1308</v>
      </c>
    </row>
    <row r="7184" spans="1:3" x14ac:dyDescent="0.25">
      <c r="A7184" s="417">
        <v>41548</v>
      </c>
      <c r="B7184" s="418">
        <v>4.1956018518518517E-2</v>
      </c>
      <c r="C7184" s="421" t="s">
        <v>1410</v>
      </c>
    </row>
    <row r="7185" spans="1:3" x14ac:dyDescent="0.25">
      <c r="A7185" s="417">
        <v>41548</v>
      </c>
      <c r="B7185" s="418">
        <v>4.1956018518518517E-2</v>
      </c>
      <c r="C7185" s="421" t="s">
        <v>1410</v>
      </c>
    </row>
    <row r="7186" spans="1:3" x14ac:dyDescent="0.25">
      <c r="A7186" s="417">
        <v>41548</v>
      </c>
      <c r="B7186" s="418">
        <v>4.1956018518518517E-2</v>
      </c>
      <c r="C7186" s="421" t="s">
        <v>1411</v>
      </c>
    </row>
    <row r="7187" spans="1:3" x14ac:dyDescent="0.25">
      <c r="A7187" s="417">
        <v>41548</v>
      </c>
      <c r="B7187" s="418">
        <v>4.1967592592592591E-2</v>
      </c>
      <c r="C7187" s="421" t="s">
        <v>1966</v>
      </c>
    </row>
    <row r="7188" spans="1:3" x14ac:dyDescent="0.25">
      <c r="A7188" s="417">
        <v>41548</v>
      </c>
      <c r="B7188" s="418">
        <v>4.1979166666666672E-2</v>
      </c>
      <c r="C7188" s="421" t="s">
        <v>1413</v>
      </c>
    </row>
    <row r="7189" spans="1:3" x14ac:dyDescent="0.25">
      <c r="A7189" s="417">
        <v>41548</v>
      </c>
      <c r="B7189" s="418">
        <v>4.1979166666666672E-2</v>
      </c>
      <c r="C7189" s="421" t="s">
        <v>1414</v>
      </c>
    </row>
    <row r="7190" spans="1:3" x14ac:dyDescent="0.25">
      <c r="A7190" s="417">
        <v>41548</v>
      </c>
      <c r="B7190" s="418">
        <v>4.1990740740740745E-2</v>
      </c>
      <c r="C7190" s="421" t="s">
        <v>1373</v>
      </c>
    </row>
    <row r="7191" spans="1:3" x14ac:dyDescent="0.25">
      <c r="A7191" s="417">
        <v>41548</v>
      </c>
      <c r="B7191" s="418">
        <v>4.1990740740740745E-2</v>
      </c>
      <c r="C7191" s="421" t="s">
        <v>1967</v>
      </c>
    </row>
    <row r="7192" spans="1:3" x14ac:dyDescent="0.25">
      <c r="A7192" s="417">
        <v>41548</v>
      </c>
      <c r="B7192" s="418">
        <v>4.2048611111111113E-2</v>
      </c>
      <c r="C7192" s="421" t="s">
        <v>1409</v>
      </c>
    </row>
    <row r="7193" spans="1:3" x14ac:dyDescent="0.25">
      <c r="A7193" s="417">
        <v>41548</v>
      </c>
      <c r="B7193" s="418">
        <v>4.2048611111111113E-2</v>
      </c>
      <c r="C7193" s="421" t="s">
        <v>1416</v>
      </c>
    </row>
    <row r="7194" spans="1:3" x14ac:dyDescent="0.25">
      <c r="A7194" s="417">
        <v>41548</v>
      </c>
      <c r="B7194" s="418">
        <v>4.206018518518518E-2</v>
      </c>
      <c r="C7194" s="421" t="s">
        <v>1542</v>
      </c>
    </row>
    <row r="7195" spans="1:3" x14ac:dyDescent="0.25">
      <c r="A7195" s="417">
        <v>41548</v>
      </c>
      <c r="B7195" s="418">
        <v>4.206018518518518E-2</v>
      </c>
      <c r="C7195" s="421" t="s">
        <v>1348</v>
      </c>
    </row>
    <row r="7196" spans="1:3" x14ac:dyDescent="0.25">
      <c r="A7196" s="417">
        <v>41548</v>
      </c>
      <c r="B7196" s="418">
        <v>4.206018518518518E-2</v>
      </c>
      <c r="C7196" s="421" t="s">
        <v>1419</v>
      </c>
    </row>
    <row r="7197" spans="1:3" x14ac:dyDescent="0.25">
      <c r="A7197" s="417">
        <v>41548</v>
      </c>
      <c r="B7197" s="418">
        <v>4.206018518518518E-2</v>
      </c>
      <c r="C7197" s="421" t="s">
        <v>1419</v>
      </c>
    </row>
    <row r="7198" spans="1:3" x14ac:dyDescent="0.25">
      <c r="A7198" s="417">
        <v>41548</v>
      </c>
      <c r="B7198" s="418">
        <v>4.207175925925926E-2</v>
      </c>
      <c r="C7198" s="421" t="s">
        <v>1420</v>
      </c>
    </row>
    <row r="7199" spans="1:3" x14ac:dyDescent="0.25">
      <c r="A7199" s="417">
        <v>41548</v>
      </c>
      <c r="B7199" s="418">
        <v>4.2094907407407407E-2</v>
      </c>
      <c r="C7199" s="421" t="s">
        <v>1968</v>
      </c>
    </row>
    <row r="7200" spans="1:3" x14ac:dyDescent="0.25">
      <c r="A7200" s="417">
        <v>41548</v>
      </c>
      <c r="B7200" s="418">
        <v>4.2094907407407407E-2</v>
      </c>
      <c r="C7200" s="421" t="s">
        <v>1969</v>
      </c>
    </row>
    <row r="7201" spans="1:3" x14ac:dyDescent="0.25">
      <c r="A7201" s="417">
        <v>41548</v>
      </c>
      <c r="B7201" s="418">
        <v>4.2094907407407407E-2</v>
      </c>
      <c r="C7201" s="421" t="s">
        <v>1970</v>
      </c>
    </row>
    <row r="7202" spans="1:3" x14ac:dyDescent="0.25">
      <c r="A7202" s="417">
        <v>41548</v>
      </c>
      <c r="B7202" s="418">
        <v>4.2106481481481488E-2</v>
      </c>
      <c r="C7202" s="421" t="s">
        <v>1971</v>
      </c>
    </row>
    <row r="7203" spans="1:3" x14ac:dyDescent="0.25">
      <c r="A7203" s="417">
        <v>41548</v>
      </c>
      <c r="B7203" s="418">
        <v>4.2118055555555554E-2</v>
      </c>
      <c r="C7203" s="421" t="s">
        <v>1719</v>
      </c>
    </row>
    <row r="7204" spans="1:3" x14ac:dyDescent="0.25">
      <c r="A7204" s="417">
        <v>41548</v>
      </c>
      <c r="B7204" s="418">
        <v>4.2118055555555554E-2</v>
      </c>
      <c r="C7204" s="421" t="s">
        <v>1972</v>
      </c>
    </row>
    <row r="7205" spans="1:3" x14ac:dyDescent="0.25">
      <c r="A7205" s="417">
        <v>41548</v>
      </c>
      <c r="B7205" s="418">
        <v>4.2118055555555554E-2</v>
      </c>
      <c r="C7205" s="421" t="s">
        <v>1973</v>
      </c>
    </row>
    <row r="7206" spans="1:3" x14ac:dyDescent="0.25">
      <c r="A7206" s="417">
        <v>41548</v>
      </c>
      <c r="B7206" s="418">
        <v>4.2118055555555554E-2</v>
      </c>
      <c r="C7206" s="421" t="s">
        <v>1974</v>
      </c>
    </row>
    <row r="7207" spans="1:3" x14ac:dyDescent="0.25">
      <c r="A7207" s="417">
        <v>41548</v>
      </c>
      <c r="B7207" s="418">
        <v>4.2129629629629628E-2</v>
      </c>
      <c r="C7207" s="421" t="s">
        <v>1320</v>
      </c>
    </row>
    <row r="7208" spans="1:3" x14ac:dyDescent="0.25">
      <c r="A7208" s="417">
        <v>41548</v>
      </c>
      <c r="B7208" s="418">
        <v>4.2141203703703702E-2</v>
      </c>
      <c r="C7208" s="421" t="s">
        <v>1429</v>
      </c>
    </row>
    <row r="7209" spans="1:3" x14ac:dyDescent="0.25">
      <c r="A7209" s="417">
        <v>41548</v>
      </c>
      <c r="B7209" s="418">
        <v>4.2141203703703702E-2</v>
      </c>
      <c r="C7209" s="421" t="s">
        <v>1430</v>
      </c>
    </row>
    <row r="7210" spans="1:3" x14ac:dyDescent="0.25">
      <c r="A7210" s="417">
        <v>41548</v>
      </c>
      <c r="B7210" s="418">
        <v>4.2152777777777782E-2</v>
      </c>
      <c r="C7210" s="421" t="s">
        <v>1975</v>
      </c>
    </row>
    <row r="7211" spans="1:3" x14ac:dyDescent="0.25">
      <c r="A7211" s="417">
        <v>41548</v>
      </c>
      <c r="B7211" s="418">
        <v>4.2187499999999996E-2</v>
      </c>
      <c r="C7211" s="421" t="s">
        <v>1308</v>
      </c>
    </row>
    <row r="7212" spans="1:3" x14ac:dyDescent="0.25">
      <c r="A7212" s="417">
        <v>41548</v>
      </c>
      <c r="B7212" s="418">
        <v>4.2187499999999996E-2</v>
      </c>
      <c r="C7212" s="421" t="s">
        <v>1360</v>
      </c>
    </row>
    <row r="7213" spans="1:3" x14ac:dyDescent="0.25">
      <c r="A7213" s="417">
        <v>41548</v>
      </c>
      <c r="B7213" s="418">
        <v>4.2199074074074076E-2</v>
      </c>
      <c r="C7213" s="421" t="s">
        <v>1432</v>
      </c>
    </row>
    <row r="7214" spans="1:3" x14ac:dyDescent="0.25">
      <c r="A7214" s="417">
        <v>41548</v>
      </c>
      <c r="B7214" s="418">
        <v>4.2199074074074076E-2</v>
      </c>
      <c r="C7214" s="421" t="s">
        <v>1432</v>
      </c>
    </row>
    <row r="7215" spans="1:3" x14ac:dyDescent="0.25">
      <c r="A7215" s="417">
        <v>41548</v>
      </c>
      <c r="B7215" s="418">
        <v>4.2199074074074076E-2</v>
      </c>
      <c r="C7215" s="421" t="s">
        <v>1432</v>
      </c>
    </row>
    <row r="7216" spans="1:3" x14ac:dyDescent="0.25">
      <c r="A7216" s="417">
        <v>41548</v>
      </c>
      <c r="B7216" s="418">
        <v>4.2199074074074076E-2</v>
      </c>
      <c r="C7216" s="421" t="s">
        <v>1822</v>
      </c>
    </row>
    <row r="7217" spans="1:3" x14ac:dyDescent="0.25">
      <c r="A7217" s="417">
        <v>41548</v>
      </c>
      <c r="B7217" s="418">
        <v>4.2199074074074076E-2</v>
      </c>
      <c r="C7217" s="421" t="s">
        <v>1413</v>
      </c>
    </row>
    <row r="7218" spans="1:3" x14ac:dyDescent="0.25">
      <c r="A7218" s="417">
        <v>41548</v>
      </c>
      <c r="B7218" s="418">
        <v>4.221064814814815E-2</v>
      </c>
      <c r="C7218" s="421" t="s">
        <v>1976</v>
      </c>
    </row>
    <row r="7219" spans="1:3" x14ac:dyDescent="0.25">
      <c r="A7219" s="417">
        <v>41548</v>
      </c>
      <c r="B7219" s="418">
        <v>4.221064814814815E-2</v>
      </c>
      <c r="C7219" s="421" t="s">
        <v>1977</v>
      </c>
    </row>
    <row r="7220" spans="1:3" x14ac:dyDescent="0.25">
      <c r="A7220" s="417">
        <v>41548</v>
      </c>
      <c r="B7220" s="418">
        <v>4.221064814814815E-2</v>
      </c>
      <c r="C7220" s="421" t="s">
        <v>1978</v>
      </c>
    </row>
    <row r="7221" spans="1:3" x14ac:dyDescent="0.25">
      <c r="A7221" s="417">
        <v>41548</v>
      </c>
      <c r="B7221" s="418">
        <v>4.221064814814815E-2</v>
      </c>
      <c r="C7221" s="421" t="s">
        <v>1979</v>
      </c>
    </row>
    <row r="7222" spans="1:3" x14ac:dyDescent="0.25">
      <c r="A7222" s="417">
        <v>41548</v>
      </c>
      <c r="B7222" s="418">
        <v>4.221064814814815E-2</v>
      </c>
      <c r="C7222" s="421" t="s">
        <v>1980</v>
      </c>
    </row>
    <row r="7223" spans="1:3" x14ac:dyDescent="0.25">
      <c r="A7223" s="417">
        <v>41548</v>
      </c>
      <c r="B7223" s="418">
        <v>4.221064814814815E-2</v>
      </c>
      <c r="C7223" s="421" t="s">
        <v>1981</v>
      </c>
    </row>
    <row r="7224" spans="1:3" x14ac:dyDescent="0.25">
      <c r="A7224" s="417">
        <v>41548</v>
      </c>
      <c r="B7224" s="418">
        <v>4.2222222222222223E-2</v>
      </c>
      <c r="C7224" s="421" t="s">
        <v>1913</v>
      </c>
    </row>
    <row r="7225" spans="1:3" x14ac:dyDescent="0.25">
      <c r="A7225" s="417">
        <v>41548</v>
      </c>
      <c r="B7225" s="418">
        <v>4.2256944444444444E-2</v>
      </c>
      <c r="C7225" s="421" t="s">
        <v>1690</v>
      </c>
    </row>
    <row r="7226" spans="1:3" x14ac:dyDescent="0.25">
      <c r="A7226" s="417">
        <v>41548</v>
      </c>
      <c r="B7226" s="418">
        <v>4.2303240740740738E-2</v>
      </c>
      <c r="C7226" s="421" t="s">
        <v>1982</v>
      </c>
    </row>
    <row r="7227" spans="1:3" x14ac:dyDescent="0.25">
      <c r="A7227" s="417">
        <v>41548</v>
      </c>
      <c r="B7227" s="418">
        <v>4.2314814814814812E-2</v>
      </c>
      <c r="C7227" s="421" t="s">
        <v>1320</v>
      </c>
    </row>
    <row r="7228" spans="1:3" x14ac:dyDescent="0.25">
      <c r="A7228" s="417">
        <v>41548</v>
      </c>
      <c r="B7228" s="418">
        <v>4.238425925925926E-2</v>
      </c>
      <c r="C7228" s="421" t="s">
        <v>1983</v>
      </c>
    </row>
    <row r="7229" spans="1:3" x14ac:dyDescent="0.25">
      <c r="A7229" s="417">
        <v>41548</v>
      </c>
      <c r="B7229" s="418">
        <v>4.238425925925926E-2</v>
      </c>
      <c r="C7229" s="421" t="s">
        <v>1984</v>
      </c>
    </row>
    <row r="7230" spans="1:3" x14ac:dyDescent="0.25">
      <c r="A7230" s="417">
        <v>41548</v>
      </c>
      <c r="B7230" s="418">
        <v>4.238425925925926E-2</v>
      </c>
      <c r="C7230" s="421" t="s">
        <v>1985</v>
      </c>
    </row>
    <row r="7231" spans="1:3" x14ac:dyDescent="0.25">
      <c r="A7231" s="417">
        <v>41548</v>
      </c>
      <c r="B7231" s="418">
        <v>4.238425925925926E-2</v>
      </c>
      <c r="C7231" s="421" t="s">
        <v>1986</v>
      </c>
    </row>
    <row r="7232" spans="1:3" x14ac:dyDescent="0.25">
      <c r="A7232" s="417">
        <v>41548</v>
      </c>
      <c r="B7232" s="418">
        <v>4.2407407407407401E-2</v>
      </c>
      <c r="C7232" s="421" t="s">
        <v>1446</v>
      </c>
    </row>
    <row r="7233" spans="1:3" x14ac:dyDescent="0.25">
      <c r="A7233" s="417">
        <v>41548</v>
      </c>
      <c r="B7233" s="418">
        <v>4.2511574074074077E-2</v>
      </c>
      <c r="C7233" s="421" t="s">
        <v>1987</v>
      </c>
    </row>
    <row r="7234" spans="1:3" x14ac:dyDescent="0.25">
      <c r="A7234" s="417">
        <v>41548</v>
      </c>
      <c r="B7234" s="418">
        <v>4.2511574074074077E-2</v>
      </c>
      <c r="C7234" s="421" t="s">
        <v>1389</v>
      </c>
    </row>
    <row r="7235" spans="1:3" x14ac:dyDescent="0.25">
      <c r="A7235" s="417">
        <v>41548</v>
      </c>
      <c r="B7235" s="418">
        <v>4.252314814814815E-2</v>
      </c>
      <c r="C7235" s="421" t="s">
        <v>1448</v>
      </c>
    </row>
    <row r="7236" spans="1:3" x14ac:dyDescent="0.25">
      <c r="A7236" s="417">
        <v>41548</v>
      </c>
      <c r="B7236" s="418">
        <v>4.2534722222222217E-2</v>
      </c>
      <c r="C7236" s="421" t="s">
        <v>1450</v>
      </c>
    </row>
    <row r="7237" spans="1:3" x14ac:dyDescent="0.25">
      <c r="A7237" s="417">
        <v>41548</v>
      </c>
      <c r="B7237" s="418">
        <v>4.2534722222222217E-2</v>
      </c>
      <c r="C7237" s="421" t="s">
        <v>1450</v>
      </c>
    </row>
    <row r="7238" spans="1:3" x14ac:dyDescent="0.25">
      <c r="A7238" s="417">
        <v>41548</v>
      </c>
      <c r="B7238" s="418">
        <v>4.2534722222222217E-2</v>
      </c>
      <c r="C7238" s="421" t="s">
        <v>1450</v>
      </c>
    </row>
    <row r="7239" spans="1:3" x14ac:dyDescent="0.25">
      <c r="A7239" s="417">
        <v>41548</v>
      </c>
      <c r="B7239" s="418">
        <v>4.2534722222222217E-2</v>
      </c>
      <c r="C7239" s="421" t="s">
        <v>1450</v>
      </c>
    </row>
    <row r="7240" spans="1:3" x14ac:dyDescent="0.25">
      <c r="A7240" s="417">
        <v>41548</v>
      </c>
      <c r="B7240" s="418">
        <v>4.2534722222222217E-2</v>
      </c>
      <c r="C7240" s="421" t="s">
        <v>1450</v>
      </c>
    </row>
    <row r="7241" spans="1:3" x14ac:dyDescent="0.25">
      <c r="A7241" s="417">
        <v>41548</v>
      </c>
      <c r="B7241" s="418">
        <v>4.2534722222222217E-2</v>
      </c>
      <c r="C7241" s="421" t="s">
        <v>1450</v>
      </c>
    </row>
    <row r="7242" spans="1:3" x14ac:dyDescent="0.25">
      <c r="A7242" s="417">
        <v>41548</v>
      </c>
      <c r="B7242" s="418">
        <v>4.2534722222222217E-2</v>
      </c>
      <c r="C7242" s="421" t="s">
        <v>1450</v>
      </c>
    </row>
    <row r="7243" spans="1:3" x14ac:dyDescent="0.25">
      <c r="A7243" s="417">
        <v>41548</v>
      </c>
      <c r="B7243" s="418">
        <v>4.2557870370370371E-2</v>
      </c>
      <c r="C7243" s="421" t="s">
        <v>1988</v>
      </c>
    </row>
    <row r="7244" spans="1:3" x14ac:dyDescent="0.25">
      <c r="A7244" s="417">
        <v>41548</v>
      </c>
      <c r="B7244" s="418">
        <v>4.2766203703703702E-2</v>
      </c>
      <c r="C7244" s="421" t="s">
        <v>1448</v>
      </c>
    </row>
    <row r="7245" spans="1:3" x14ac:dyDescent="0.25">
      <c r="A7245" s="417">
        <v>41548</v>
      </c>
      <c r="B7245" s="418">
        <v>4.2789351851851849E-2</v>
      </c>
      <c r="C7245" s="421" t="s">
        <v>1399</v>
      </c>
    </row>
    <row r="7246" spans="1:3" x14ac:dyDescent="0.25">
      <c r="A7246" s="417">
        <v>41548</v>
      </c>
      <c r="B7246" s="418">
        <v>4.2812500000000003E-2</v>
      </c>
      <c r="C7246" s="421" t="s">
        <v>1309</v>
      </c>
    </row>
    <row r="7247" spans="1:3" x14ac:dyDescent="0.25">
      <c r="A7247" s="417">
        <v>41548</v>
      </c>
      <c r="B7247" s="418">
        <v>4.282407407407407E-2</v>
      </c>
      <c r="C7247" s="421" t="s">
        <v>1830</v>
      </c>
    </row>
    <row r="7248" spans="1:3" x14ac:dyDescent="0.25">
      <c r="A7248" s="417">
        <v>41548</v>
      </c>
      <c r="B7248" s="418">
        <v>4.282407407407407E-2</v>
      </c>
      <c r="C7248" s="421" t="s">
        <v>1307</v>
      </c>
    </row>
    <row r="7249" spans="1:3" x14ac:dyDescent="0.25">
      <c r="A7249" s="417">
        <v>41548</v>
      </c>
      <c r="B7249" s="418">
        <v>4.2939814814814813E-2</v>
      </c>
      <c r="C7249" s="421" t="s">
        <v>1758</v>
      </c>
    </row>
    <row r="7250" spans="1:3" x14ac:dyDescent="0.25">
      <c r="A7250" s="417">
        <v>41548</v>
      </c>
      <c r="B7250" s="418">
        <v>4.2939814814814813E-2</v>
      </c>
      <c r="C7250" s="421" t="s">
        <v>1989</v>
      </c>
    </row>
    <row r="7251" spans="1:3" x14ac:dyDescent="0.25">
      <c r="A7251" s="417">
        <v>41548</v>
      </c>
      <c r="B7251" s="418">
        <v>4.2951388888888886E-2</v>
      </c>
      <c r="C7251" s="421" t="s">
        <v>1990</v>
      </c>
    </row>
    <row r="7252" spans="1:3" x14ac:dyDescent="0.25">
      <c r="A7252" s="417">
        <v>41548</v>
      </c>
      <c r="B7252" s="418">
        <v>4.2951388888888886E-2</v>
      </c>
      <c r="C7252" s="421" t="s">
        <v>1991</v>
      </c>
    </row>
    <row r="7253" spans="1:3" ht="30" x14ac:dyDescent="0.25">
      <c r="A7253" s="417">
        <v>41548</v>
      </c>
      <c r="B7253" s="418">
        <v>5.393518518518519E-2</v>
      </c>
      <c r="C7253" s="946" t="s">
        <v>1992</v>
      </c>
    </row>
    <row r="7254" spans="1:3" ht="45" x14ac:dyDescent="0.25">
      <c r="A7254" s="417">
        <v>41548</v>
      </c>
      <c r="B7254" s="418">
        <v>5.4895833333333331E-2</v>
      </c>
      <c r="C7254" s="946" t="s">
        <v>1993</v>
      </c>
    </row>
    <row r="7255" spans="1:3" ht="30" x14ac:dyDescent="0.25">
      <c r="A7255" s="417">
        <v>41548</v>
      </c>
      <c r="B7255" s="418">
        <v>5.5381944444444442E-2</v>
      </c>
      <c r="C7255" s="946" t="s">
        <v>1994</v>
      </c>
    </row>
    <row r="7256" spans="1:3" ht="45" x14ac:dyDescent="0.25">
      <c r="A7256" s="417">
        <v>41548</v>
      </c>
      <c r="B7256" s="418">
        <v>5.6712962962962965E-2</v>
      </c>
      <c r="C7256" s="946" t="s">
        <v>1995</v>
      </c>
    </row>
    <row r="7257" spans="1:3" x14ac:dyDescent="0.25">
      <c r="A7257" s="417">
        <v>41548</v>
      </c>
      <c r="B7257" s="418">
        <v>5.7453703703703701E-2</v>
      </c>
      <c r="C7257" s="421" t="s">
        <v>1307</v>
      </c>
    </row>
    <row r="7258" spans="1:3" x14ac:dyDescent="0.25">
      <c r="A7258" s="417">
        <v>41548</v>
      </c>
      <c r="B7258" s="418">
        <v>5.7453703703703701E-2</v>
      </c>
      <c r="C7258" s="421" t="s">
        <v>1308</v>
      </c>
    </row>
    <row r="7259" spans="1:3" x14ac:dyDescent="0.25">
      <c r="A7259" s="417">
        <v>41548</v>
      </c>
      <c r="B7259" s="418">
        <v>5.7453703703703701E-2</v>
      </c>
      <c r="C7259" s="421" t="s">
        <v>1309</v>
      </c>
    </row>
    <row r="7260" spans="1:3" x14ac:dyDescent="0.25">
      <c r="A7260" s="417">
        <v>41548</v>
      </c>
      <c r="B7260" s="418">
        <v>5.7465277777777775E-2</v>
      </c>
      <c r="C7260" s="421" t="s">
        <v>1310</v>
      </c>
    </row>
    <row r="7261" spans="1:3" x14ac:dyDescent="0.25">
      <c r="A7261" s="417">
        <v>41548</v>
      </c>
      <c r="B7261" s="418">
        <v>5.7465277777777775E-2</v>
      </c>
      <c r="C7261" s="421" t="s">
        <v>1311</v>
      </c>
    </row>
    <row r="7262" spans="1:3" x14ac:dyDescent="0.25">
      <c r="A7262" s="417">
        <v>41548</v>
      </c>
      <c r="B7262" s="418">
        <v>5.7465277777777775E-2</v>
      </c>
      <c r="C7262" s="421" t="s">
        <v>1312</v>
      </c>
    </row>
    <row r="7263" spans="1:3" x14ac:dyDescent="0.25">
      <c r="A7263" s="417">
        <v>41548</v>
      </c>
      <c r="B7263" s="418">
        <v>5.7465277777777775E-2</v>
      </c>
      <c r="C7263" s="421" t="s">
        <v>1313</v>
      </c>
    </row>
    <row r="7264" spans="1:3" x14ac:dyDescent="0.25">
      <c r="A7264" s="417">
        <v>41548</v>
      </c>
      <c r="B7264" s="418">
        <v>5.7465277777777775E-2</v>
      </c>
      <c r="C7264" s="421" t="s">
        <v>1310</v>
      </c>
    </row>
    <row r="7265" spans="1:3" x14ac:dyDescent="0.25">
      <c r="A7265" s="417">
        <v>41548</v>
      </c>
      <c r="B7265" s="418">
        <v>5.7465277777777775E-2</v>
      </c>
      <c r="C7265" s="421" t="s">
        <v>1314</v>
      </c>
    </row>
    <row r="7266" spans="1:3" x14ac:dyDescent="0.25">
      <c r="A7266" s="417">
        <v>41548</v>
      </c>
      <c r="B7266" s="418">
        <v>5.7465277777777775E-2</v>
      </c>
      <c r="C7266" s="421" t="s">
        <v>1315</v>
      </c>
    </row>
    <row r="7267" spans="1:3" x14ac:dyDescent="0.25">
      <c r="A7267" s="417">
        <v>41548</v>
      </c>
      <c r="B7267" s="418">
        <v>5.7465277777777775E-2</v>
      </c>
      <c r="C7267" s="421" t="s">
        <v>1460</v>
      </c>
    </row>
    <row r="7268" spans="1:3" x14ac:dyDescent="0.25">
      <c r="A7268" s="417">
        <v>41548</v>
      </c>
      <c r="B7268" s="418">
        <v>5.7465277777777775E-2</v>
      </c>
      <c r="C7268" s="421" t="s">
        <v>1461</v>
      </c>
    </row>
    <row r="7269" spans="1:3" x14ac:dyDescent="0.25">
      <c r="A7269" s="417">
        <v>41548</v>
      </c>
      <c r="B7269" s="418">
        <v>5.7465277777777775E-2</v>
      </c>
      <c r="C7269" s="421" t="s">
        <v>1310</v>
      </c>
    </row>
    <row r="7270" spans="1:3" x14ac:dyDescent="0.25">
      <c r="A7270" s="417">
        <v>41548</v>
      </c>
      <c r="B7270" s="418">
        <v>5.7465277777777775E-2</v>
      </c>
      <c r="C7270" s="421" t="s">
        <v>1462</v>
      </c>
    </row>
    <row r="7271" spans="1:3" x14ac:dyDescent="0.25">
      <c r="A7271" s="417">
        <v>41548</v>
      </c>
      <c r="B7271" s="418">
        <v>5.7465277777777775E-2</v>
      </c>
      <c r="C7271" s="421" t="s">
        <v>1316</v>
      </c>
    </row>
    <row r="7272" spans="1:3" x14ac:dyDescent="0.25">
      <c r="A7272" s="417">
        <v>41548</v>
      </c>
      <c r="B7272" s="418">
        <v>5.7465277777777775E-2</v>
      </c>
      <c r="C7272" s="421" t="s">
        <v>1316</v>
      </c>
    </row>
    <row r="7273" spans="1:3" x14ac:dyDescent="0.25">
      <c r="A7273" s="417">
        <v>41548</v>
      </c>
      <c r="B7273" s="418">
        <v>5.7465277777777775E-2</v>
      </c>
      <c r="C7273" s="421" t="s">
        <v>1317</v>
      </c>
    </row>
    <row r="7274" spans="1:3" x14ac:dyDescent="0.25">
      <c r="A7274" s="417">
        <v>41548</v>
      </c>
      <c r="B7274" s="418">
        <v>5.7465277777777775E-2</v>
      </c>
      <c r="C7274" s="421" t="s">
        <v>1309</v>
      </c>
    </row>
    <row r="7275" spans="1:3" x14ac:dyDescent="0.25">
      <c r="A7275" s="417">
        <v>41548</v>
      </c>
      <c r="B7275" s="418">
        <v>5.7465277777777775E-2</v>
      </c>
      <c r="C7275" s="421" t="s">
        <v>1318</v>
      </c>
    </row>
    <row r="7276" spans="1:3" x14ac:dyDescent="0.25">
      <c r="A7276" s="417">
        <v>41548</v>
      </c>
      <c r="B7276" s="418">
        <v>5.7465277777777775E-2</v>
      </c>
      <c r="C7276" s="421" t="s">
        <v>1319</v>
      </c>
    </row>
    <row r="7277" spans="1:3" x14ac:dyDescent="0.25">
      <c r="A7277" s="417">
        <v>41548</v>
      </c>
      <c r="B7277" s="418">
        <v>5.7465277777777775E-2</v>
      </c>
      <c r="C7277" s="421" t="s">
        <v>1320</v>
      </c>
    </row>
    <row r="7278" spans="1:3" x14ac:dyDescent="0.25">
      <c r="A7278" s="417">
        <v>41548</v>
      </c>
      <c r="B7278" s="418">
        <v>5.7465277777777775E-2</v>
      </c>
      <c r="C7278" s="421" t="s">
        <v>1318</v>
      </c>
    </row>
    <row r="7279" spans="1:3" x14ac:dyDescent="0.25">
      <c r="A7279" s="417">
        <v>41548</v>
      </c>
      <c r="B7279" s="418">
        <v>5.7465277777777775E-2</v>
      </c>
      <c r="C7279" s="421" t="s">
        <v>1307</v>
      </c>
    </row>
    <row r="7280" spans="1:3" x14ac:dyDescent="0.25">
      <c r="A7280" s="417">
        <v>41548</v>
      </c>
      <c r="B7280" s="418">
        <v>5.7465277777777775E-2</v>
      </c>
      <c r="C7280" s="421" t="s">
        <v>1321</v>
      </c>
    </row>
    <row r="7281" spans="1:3" x14ac:dyDescent="0.25">
      <c r="A7281" s="417">
        <v>41548</v>
      </c>
      <c r="B7281" s="418">
        <v>5.7465277777777775E-2</v>
      </c>
      <c r="C7281" s="421" t="s">
        <v>1322</v>
      </c>
    </row>
    <row r="7282" spans="1:3" x14ac:dyDescent="0.25">
      <c r="A7282" s="417">
        <v>41548</v>
      </c>
      <c r="B7282" s="418">
        <v>5.7465277777777775E-2</v>
      </c>
      <c r="C7282" s="421" t="s">
        <v>1322</v>
      </c>
    </row>
    <row r="7283" spans="1:3" x14ac:dyDescent="0.25">
      <c r="A7283" s="417">
        <v>41548</v>
      </c>
      <c r="B7283" s="418">
        <v>5.7465277777777775E-2</v>
      </c>
      <c r="C7283" s="421" t="s">
        <v>1323</v>
      </c>
    </row>
    <row r="7284" spans="1:3" x14ac:dyDescent="0.25">
      <c r="A7284" s="417">
        <v>41548</v>
      </c>
      <c r="B7284" s="418">
        <v>5.7465277777777775E-2</v>
      </c>
      <c r="C7284" s="421" t="s">
        <v>1324</v>
      </c>
    </row>
    <row r="7285" spans="1:3" x14ac:dyDescent="0.25">
      <c r="A7285" s="417">
        <v>41548</v>
      </c>
      <c r="B7285" s="418">
        <v>5.7465277777777775E-2</v>
      </c>
      <c r="C7285" s="421" t="s">
        <v>1310</v>
      </c>
    </row>
    <row r="7286" spans="1:3" x14ac:dyDescent="0.25">
      <c r="A7286" s="417">
        <v>41548</v>
      </c>
      <c r="B7286" s="418">
        <v>5.7465277777777775E-2</v>
      </c>
      <c r="C7286" s="421" t="s">
        <v>1325</v>
      </c>
    </row>
    <row r="7287" spans="1:3" x14ac:dyDescent="0.25">
      <c r="A7287" s="417">
        <v>41548</v>
      </c>
      <c r="B7287" s="418">
        <v>5.7465277777777775E-2</v>
      </c>
      <c r="C7287" s="421" t="s">
        <v>1326</v>
      </c>
    </row>
    <row r="7288" spans="1:3" x14ac:dyDescent="0.25">
      <c r="A7288" s="417">
        <v>41548</v>
      </c>
      <c r="B7288" s="418">
        <v>5.7465277777777775E-2</v>
      </c>
      <c r="C7288" s="421" t="s">
        <v>1238</v>
      </c>
    </row>
    <row r="7289" spans="1:3" x14ac:dyDescent="0.25">
      <c r="A7289" s="417">
        <v>41548</v>
      </c>
      <c r="B7289" s="418">
        <v>5.7476851851851855E-2</v>
      </c>
      <c r="C7289" s="421" t="s">
        <v>1327</v>
      </c>
    </row>
    <row r="7290" spans="1:3" x14ac:dyDescent="0.25">
      <c r="A7290" s="417">
        <v>41548</v>
      </c>
      <c r="B7290" s="418">
        <v>5.7476851851851855E-2</v>
      </c>
      <c r="C7290" s="421" t="s">
        <v>1323</v>
      </c>
    </row>
    <row r="7291" spans="1:3" x14ac:dyDescent="0.25">
      <c r="A7291" s="417">
        <v>41548</v>
      </c>
      <c r="B7291" s="418">
        <v>5.7476851851851855E-2</v>
      </c>
      <c r="C7291" s="421" t="s">
        <v>1342</v>
      </c>
    </row>
    <row r="7292" spans="1:3" x14ac:dyDescent="0.25">
      <c r="A7292" s="417">
        <v>41548</v>
      </c>
      <c r="B7292" s="418">
        <v>5.7476851851851855E-2</v>
      </c>
      <c r="C7292" s="421" t="s">
        <v>1343</v>
      </c>
    </row>
    <row r="7293" spans="1:3" x14ac:dyDescent="0.25">
      <c r="A7293" s="417">
        <v>41548</v>
      </c>
      <c r="B7293" s="418">
        <v>5.7476851851851855E-2</v>
      </c>
      <c r="C7293" s="421" t="s">
        <v>1344</v>
      </c>
    </row>
    <row r="7294" spans="1:3" x14ac:dyDescent="0.25">
      <c r="A7294" s="417">
        <v>41548</v>
      </c>
      <c r="B7294" s="418">
        <v>5.7476851851851855E-2</v>
      </c>
      <c r="C7294" s="421" t="s">
        <v>1344</v>
      </c>
    </row>
    <row r="7295" spans="1:3" x14ac:dyDescent="0.25">
      <c r="A7295" s="417">
        <v>41548</v>
      </c>
      <c r="B7295" s="418">
        <v>5.7476851851851855E-2</v>
      </c>
      <c r="C7295" s="421" t="s">
        <v>1310</v>
      </c>
    </row>
    <row r="7296" spans="1:3" x14ac:dyDescent="0.25">
      <c r="A7296" s="417">
        <v>41548</v>
      </c>
      <c r="B7296" s="418">
        <v>5.7476851851851855E-2</v>
      </c>
      <c r="C7296" s="421" t="s">
        <v>1345</v>
      </c>
    </row>
    <row r="7297" spans="1:3" x14ac:dyDescent="0.25">
      <c r="A7297" s="417">
        <v>41548</v>
      </c>
      <c r="B7297" s="418">
        <v>5.7476851851851855E-2</v>
      </c>
      <c r="C7297" s="421" t="s">
        <v>1346</v>
      </c>
    </row>
    <row r="7298" spans="1:3" x14ac:dyDescent="0.25">
      <c r="A7298" s="417">
        <v>41548</v>
      </c>
      <c r="B7298" s="418">
        <v>5.7476851851851855E-2</v>
      </c>
      <c r="C7298" s="421" t="s">
        <v>1347</v>
      </c>
    </row>
    <row r="7299" spans="1:3" x14ac:dyDescent="0.25">
      <c r="A7299" s="417">
        <v>41548</v>
      </c>
      <c r="B7299" s="418">
        <v>5.7476851851851855E-2</v>
      </c>
      <c r="C7299" s="421" t="s">
        <v>1348</v>
      </c>
    </row>
    <row r="7300" spans="1:3" x14ac:dyDescent="0.25">
      <c r="A7300" s="417">
        <v>41548</v>
      </c>
      <c r="B7300" s="418">
        <v>5.7476851851851855E-2</v>
      </c>
      <c r="C7300" s="421" t="s">
        <v>1349</v>
      </c>
    </row>
    <row r="7301" spans="1:3" x14ac:dyDescent="0.25">
      <c r="A7301" s="417">
        <v>41548</v>
      </c>
      <c r="B7301" s="418">
        <v>5.7476851851851855E-2</v>
      </c>
      <c r="C7301" s="421" t="s">
        <v>1349</v>
      </c>
    </row>
    <row r="7302" spans="1:3" x14ac:dyDescent="0.25">
      <c r="A7302" s="417">
        <v>41548</v>
      </c>
      <c r="B7302" s="418">
        <v>5.7476851851851855E-2</v>
      </c>
      <c r="C7302" s="421" t="s">
        <v>1348</v>
      </c>
    </row>
    <row r="7303" spans="1:3" x14ac:dyDescent="0.25">
      <c r="A7303" s="417">
        <v>41548</v>
      </c>
      <c r="B7303" s="418">
        <v>5.7476851851851855E-2</v>
      </c>
      <c r="C7303" s="421" t="s">
        <v>1350</v>
      </c>
    </row>
    <row r="7304" spans="1:3" x14ac:dyDescent="0.25">
      <c r="A7304" s="417">
        <v>41548</v>
      </c>
      <c r="B7304" s="418">
        <v>5.7476851851851855E-2</v>
      </c>
      <c r="C7304" s="421" t="s">
        <v>1351</v>
      </c>
    </row>
    <row r="7305" spans="1:3" x14ac:dyDescent="0.25">
      <c r="A7305" s="417">
        <v>41548</v>
      </c>
      <c r="B7305" s="418">
        <v>5.7476851851851855E-2</v>
      </c>
      <c r="C7305" s="421" t="s">
        <v>1352</v>
      </c>
    </row>
    <row r="7306" spans="1:3" x14ac:dyDescent="0.25">
      <c r="A7306" s="417">
        <v>41548</v>
      </c>
      <c r="B7306" s="418">
        <v>5.7476851851851855E-2</v>
      </c>
      <c r="C7306" s="421" t="s">
        <v>1768</v>
      </c>
    </row>
    <row r="7307" spans="1:3" x14ac:dyDescent="0.25">
      <c r="A7307" s="417">
        <v>41548</v>
      </c>
      <c r="B7307" s="418">
        <v>5.7476851851851855E-2</v>
      </c>
      <c r="C7307" s="421" t="s">
        <v>1353</v>
      </c>
    </row>
    <row r="7308" spans="1:3" x14ac:dyDescent="0.25">
      <c r="A7308" s="417">
        <v>41548</v>
      </c>
      <c r="B7308" s="418">
        <v>5.7476851851851855E-2</v>
      </c>
      <c r="C7308" s="421" t="s">
        <v>1354</v>
      </c>
    </row>
    <row r="7309" spans="1:3" x14ac:dyDescent="0.25">
      <c r="A7309" s="417">
        <v>41548</v>
      </c>
      <c r="B7309" s="418">
        <v>5.7476851851851855E-2</v>
      </c>
      <c r="C7309" s="421" t="s">
        <v>1357</v>
      </c>
    </row>
    <row r="7310" spans="1:3" x14ac:dyDescent="0.25">
      <c r="A7310" s="417">
        <v>41548</v>
      </c>
      <c r="B7310" s="418">
        <v>5.7476851851851855E-2</v>
      </c>
      <c r="C7310" s="421" t="s">
        <v>1358</v>
      </c>
    </row>
    <row r="7311" spans="1:3" x14ac:dyDescent="0.25">
      <c r="A7311" s="417">
        <v>41548</v>
      </c>
      <c r="B7311" s="418">
        <v>5.7476851851851855E-2</v>
      </c>
      <c r="C7311" s="421" t="s">
        <v>1359</v>
      </c>
    </row>
    <row r="7312" spans="1:3" x14ac:dyDescent="0.25">
      <c r="A7312" s="417">
        <v>41548</v>
      </c>
      <c r="B7312" s="418">
        <v>5.7476851851851855E-2</v>
      </c>
      <c r="C7312" s="421" t="s">
        <v>1360</v>
      </c>
    </row>
    <row r="7313" spans="1:3" x14ac:dyDescent="0.25">
      <c r="A7313" s="417">
        <v>41548</v>
      </c>
      <c r="B7313" s="418">
        <v>5.7476851851851855E-2</v>
      </c>
      <c r="C7313" s="421" t="s">
        <v>1361</v>
      </c>
    </row>
    <row r="7314" spans="1:3" x14ac:dyDescent="0.25">
      <c r="A7314" s="417">
        <v>41548</v>
      </c>
      <c r="B7314" s="418">
        <v>5.7476851851851855E-2</v>
      </c>
      <c r="C7314" s="421" t="s">
        <v>1317</v>
      </c>
    </row>
    <row r="7315" spans="1:3" x14ac:dyDescent="0.25">
      <c r="A7315" s="417">
        <v>41548</v>
      </c>
      <c r="B7315" s="418">
        <v>5.7476851851851855E-2</v>
      </c>
      <c r="C7315" s="421" t="s">
        <v>1537</v>
      </c>
    </row>
    <row r="7316" spans="1:3" x14ac:dyDescent="0.25">
      <c r="A7316" s="417">
        <v>41548</v>
      </c>
      <c r="B7316" s="418">
        <v>5.7476851851851855E-2</v>
      </c>
      <c r="C7316" s="421" t="s">
        <v>1363</v>
      </c>
    </row>
    <row r="7317" spans="1:3" x14ac:dyDescent="0.25">
      <c r="A7317" s="417">
        <v>41548</v>
      </c>
      <c r="B7317" s="418">
        <v>5.7476851851851855E-2</v>
      </c>
      <c r="C7317" s="421" t="s">
        <v>1364</v>
      </c>
    </row>
    <row r="7318" spans="1:3" x14ac:dyDescent="0.25">
      <c r="A7318" s="417">
        <v>41548</v>
      </c>
      <c r="B7318" s="418">
        <v>5.7476851851851855E-2</v>
      </c>
      <c r="C7318" s="421" t="s">
        <v>1365</v>
      </c>
    </row>
    <row r="7319" spans="1:3" x14ac:dyDescent="0.25">
      <c r="A7319" s="417">
        <v>41548</v>
      </c>
      <c r="B7319" s="418">
        <v>5.7476851851851855E-2</v>
      </c>
      <c r="C7319" s="421" t="s">
        <v>1365</v>
      </c>
    </row>
    <row r="7320" spans="1:3" x14ac:dyDescent="0.25">
      <c r="A7320" s="417">
        <v>41548</v>
      </c>
      <c r="B7320" s="418">
        <v>5.7476851851851855E-2</v>
      </c>
      <c r="C7320" s="421" t="s">
        <v>1320</v>
      </c>
    </row>
    <row r="7321" spans="1:3" x14ac:dyDescent="0.25">
      <c r="A7321" s="417">
        <v>41548</v>
      </c>
      <c r="B7321" s="418">
        <v>5.7476851851851855E-2</v>
      </c>
      <c r="C7321" s="421" t="s">
        <v>1962</v>
      </c>
    </row>
    <row r="7322" spans="1:3" ht="60" x14ac:dyDescent="0.25">
      <c r="A7322" s="417">
        <v>41548</v>
      </c>
      <c r="B7322" s="418">
        <v>5.7476851851851855E-2</v>
      </c>
      <c r="C7322" s="946" t="s">
        <v>1963</v>
      </c>
    </row>
    <row r="7323" spans="1:3" x14ac:dyDescent="0.25">
      <c r="A7323" s="417">
        <v>41548</v>
      </c>
      <c r="B7323" s="418">
        <v>5.752314814814815E-2</v>
      </c>
      <c r="C7323" s="421" t="s">
        <v>1367</v>
      </c>
    </row>
    <row r="7324" spans="1:3" x14ac:dyDescent="0.25">
      <c r="A7324" s="417">
        <v>41548</v>
      </c>
      <c r="B7324" s="418">
        <v>5.752314814814815E-2</v>
      </c>
      <c r="C7324" s="421" t="s">
        <v>1344</v>
      </c>
    </row>
    <row r="7325" spans="1:3" x14ac:dyDescent="0.25">
      <c r="A7325" s="417">
        <v>41548</v>
      </c>
      <c r="B7325" s="418">
        <v>5.752314814814815E-2</v>
      </c>
      <c r="C7325" s="421" t="s">
        <v>1368</v>
      </c>
    </row>
    <row r="7326" spans="1:3" x14ac:dyDescent="0.25">
      <c r="A7326" s="417">
        <v>41548</v>
      </c>
      <c r="B7326" s="418">
        <v>5.752314814814815E-2</v>
      </c>
      <c r="C7326" s="421" t="s">
        <v>1369</v>
      </c>
    </row>
    <row r="7327" spans="1:3" x14ac:dyDescent="0.25">
      <c r="A7327" s="417">
        <v>41548</v>
      </c>
      <c r="B7327" s="418">
        <v>5.752314814814815E-2</v>
      </c>
      <c r="C7327" s="421" t="s">
        <v>1307</v>
      </c>
    </row>
    <row r="7328" spans="1:3" x14ac:dyDescent="0.25">
      <c r="A7328" s="417">
        <v>41548</v>
      </c>
      <c r="B7328" s="418">
        <v>5.752314814814815E-2</v>
      </c>
      <c r="C7328" s="421" t="s">
        <v>1370</v>
      </c>
    </row>
    <row r="7329" spans="1:3" x14ac:dyDescent="0.25">
      <c r="A7329" s="417">
        <v>41548</v>
      </c>
      <c r="B7329" s="418">
        <v>5.752314814814815E-2</v>
      </c>
      <c r="C7329" s="421" t="s">
        <v>1371</v>
      </c>
    </row>
    <row r="7330" spans="1:3" x14ac:dyDescent="0.25">
      <c r="A7330" s="417">
        <v>41548</v>
      </c>
      <c r="B7330" s="418">
        <v>5.752314814814815E-2</v>
      </c>
      <c r="C7330" s="421" t="s">
        <v>1344</v>
      </c>
    </row>
    <row r="7331" spans="1:3" x14ac:dyDescent="0.25">
      <c r="A7331" s="417">
        <v>41548</v>
      </c>
      <c r="B7331" s="418">
        <v>5.752314814814815E-2</v>
      </c>
      <c r="C7331" s="421" t="s">
        <v>1317</v>
      </c>
    </row>
    <row r="7332" spans="1:3" x14ac:dyDescent="0.25">
      <c r="A7332" s="417">
        <v>41548</v>
      </c>
      <c r="B7332" s="418">
        <v>5.752314814814815E-2</v>
      </c>
      <c r="C7332" s="421" t="s">
        <v>1463</v>
      </c>
    </row>
    <row r="7333" spans="1:3" x14ac:dyDescent="0.25">
      <c r="A7333" s="417">
        <v>41548</v>
      </c>
      <c r="B7333" s="418">
        <v>5.752314814814815E-2</v>
      </c>
      <c r="C7333" s="421" t="s">
        <v>1373</v>
      </c>
    </row>
    <row r="7334" spans="1:3" x14ac:dyDescent="0.25">
      <c r="A7334" s="417">
        <v>41548</v>
      </c>
      <c r="B7334" s="418">
        <v>5.752314814814815E-2</v>
      </c>
      <c r="C7334" s="421" t="s">
        <v>1308</v>
      </c>
    </row>
    <row r="7335" spans="1:3" x14ac:dyDescent="0.25">
      <c r="A7335" s="417">
        <v>41548</v>
      </c>
      <c r="B7335" s="418">
        <v>5.752314814814815E-2</v>
      </c>
      <c r="C7335" s="421" t="s">
        <v>1374</v>
      </c>
    </row>
    <row r="7336" spans="1:3" x14ac:dyDescent="0.25">
      <c r="A7336" s="417">
        <v>41548</v>
      </c>
      <c r="B7336" s="418">
        <v>5.752314814814815E-2</v>
      </c>
      <c r="C7336" s="421" t="s">
        <v>1375</v>
      </c>
    </row>
    <row r="7337" spans="1:3" x14ac:dyDescent="0.25">
      <c r="A7337" s="417">
        <v>41548</v>
      </c>
      <c r="B7337" s="418">
        <v>5.752314814814815E-2</v>
      </c>
      <c r="C7337" s="421" t="s">
        <v>1376</v>
      </c>
    </row>
    <row r="7338" spans="1:3" x14ac:dyDescent="0.25">
      <c r="A7338" s="417">
        <v>41548</v>
      </c>
      <c r="B7338" s="418">
        <v>5.752314814814815E-2</v>
      </c>
      <c r="C7338" s="421" t="s">
        <v>1377</v>
      </c>
    </row>
    <row r="7339" spans="1:3" x14ac:dyDescent="0.25">
      <c r="A7339" s="417">
        <v>41548</v>
      </c>
      <c r="B7339" s="418">
        <v>5.752314814814815E-2</v>
      </c>
      <c r="C7339" s="421" t="s">
        <v>1326</v>
      </c>
    </row>
    <row r="7340" spans="1:3" x14ac:dyDescent="0.25">
      <c r="A7340" s="417">
        <v>41548</v>
      </c>
      <c r="B7340" s="418">
        <v>5.752314814814815E-2</v>
      </c>
      <c r="C7340" s="421" t="s">
        <v>1755</v>
      </c>
    </row>
    <row r="7341" spans="1:3" x14ac:dyDescent="0.25">
      <c r="A7341" s="417">
        <v>41548</v>
      </c>
      <c r="B7341" s="418">
        <v>5.752314814814815E-2</v>
      </c>
      <c r="C7341" s="421" t="s">
        <v>1380</v>
      </c>
    </row>
    <row r="7342" spans="1:3" x14ac:dyDescent="0.25">
      <c r="A7342" s="417">
        <v>41548</v>
      </c>
      <c r="B7342" s="418">
        <v>5.752314814814815E-2</v>
      </c>
      <c r="C7342" s="421" t="s">
        <v>1381</v>
      </c>
    </row>
    <row r="7343" spans="1:3" x14ac:dyDescent="0.25">
      <c r="A7343" s="417">
        <v>41548</v>
      </c>
      <c r="B7343" s="418">
        <v>5.752314814814815E-2</v>
      </c>
      <c r="C7343" s="421" t="s">
        <v>1382</v>
      </c>
    </row>
    <row r="7344" spans="1:3" x14ac:dyDescent="0.25">
      <c r="A7344" s="417">
        <v>41548</v>
      </c>
      <c r="B7344" s="418">
        <v>5.752314814814815E-2</v>
      </c>
      <c r="C7344" s="421" t="s">
        <v>1383</v>
      </c>
    </row>
    <row r="7345" spans="1:3" x14ac:dyDescent="0.25">
      <c r="A7345" s="417">
        <v>41548</v>
      </c>
      <c r="B7345" s="418">
        <v>5.752314814814815E-2</v>
      </c>
      <c r="C7345" s="421" t="s">
        <v>1352</v>
      </c>
    </row>
    <row r="7346" spans="1:3" x14ac:dyDescent="0.25">
      <c r="A7346" s="417">
        <v>41548</v>
      </c>
      <c r="B7346" s="418">
        <v>5.752314814814815E-2</v>
      </c>
      <c r="C7346" s="421" t="s">
        <v>1384</v>
      </c>
    </row>
    <row r="7347" spans="1:3" x14ac:dyDescent="0.25">
      <c r="A7347" s="417">
        <v>41548</v>
      </c>
      <c r="B7347" s="418">
        <v>5.752314814814815E-2</v>
      </c>
      <c r="C7347" s="421" t="s">
        <v>1385</v>
      </c>
    </row>
    <row r="7348" spans="1:3" x14ac:dyDescent="0.25">
      <c r="A7348" s="417">
        <v>41548</v>
      </c>
      <c r="B7348" s="418">
        <v>5.752314814814815E-2</v>
      </c>
      <c r="C7348" s="421" t="s">
        <v>1385</v>
      </c>
    </row>
    <row r="7349" spans="1:3" x14ac:dyDescent="0.25">
      <c r="A7349" s="417">
        <v>41548</v>
      </c>
      <c r="B7349" s="418">
        <v>5.752314814814815E-2</v>
      </c>
      <c r="C7349" s="421" t="s">
        <v>1386</v>
      </c>
    </row>
    <row r="7350" spans="1:3" x14ac:dyDescent="0.25">
      <c r="A7350" s="417">
        <v>41548</v>
      </c>
      <c r="B7350" s="418">
        <v>5.752314814814815E-2</v>
      </c>
      <c r="C7350" s="421" t="s">
        <v>1387</v>
      </c>
    </row>
    <row r="7351" spans="1:3" x14ac:dyDescent="0.25">
      <c r="A7351" s="417">
        <v>41548</v>
      </c>
      <c r="B7351" s="418">
        <v>5.752314814814815E-2</v>
      </c>
      <c r="C7351" s="421" t="s">
        <v>1387</v>
      </c>
    </row>
    <row r="7352" spans="1:3" x14ac:dyDescent="0.25">
      <c r="A7352" s="417">
        <v>41548</v>
      </c>
      <c r="B7352" s="418">
        <v>5.752314814814815E-2</v>
      </c>
      <c r="C7352" s="421" t="s">
        <v>1318</v>
      </c>
    </row>
    <row r="7353" spans="1:3" x14ac:dyDescent="0.25">
      <c r="A7353" s="417">
        <v>41548</v>
      </c>
      <c r="B7353" s="418">
        <v>5.752314814814815E-2</v>
      </c>
      <c r="C7353" s="421" t="s">
        <v>1388</v>
      </c>
    </row>
    <row r="7354" spans="1:3" x14ac:dyDescent="0.25">
      <c r="A7354" s="417">
        <v>41548</v>
      </c>
      <c r="B7354" s="418">
        <v>5.752314814814815E-2</v>
      </c>
      <c r="C7354" s="421" t="s">
        <v>1390</v>
      </c>
    </row>
    <row r="7355" spans="1:3" x14ac:dyDescent="0.25">
      <c r="A7355" s="417">
        <v>41548</v>
      </c>
      <c r="B7355" s="418">
        <v>5.752314814814815E-2</v>
      </c>
      <c r="C7355" s="421" t="s">
        <v>1391</v>
      </c>
    </row>
    <row r="7356" spans="1:3" x14ac:dyDescent="0.25">
      <c r="A7356" s="417">
        <v>41548</v>
      </c>
      <c r="B7356" s="418">
        <v>5.752314814814815E-2</v>
      </c>
      <c r="C7356" s="421" t="s">
        <v>1392</v>
      </c>
    </row>
    <row r="7357" spans="1:3" x14ac:dyDescent="0.25">
      <c r="A7357" s="417">
        <v>41548</v>
      </c>
      <c r="B7357" s="418">
        <v>5.752314814814815E-2</v>
      </c>
      <c r="C7357" s="421" t="s">
        <v>1795</v>
      </c>
    </row>
    <row r="7358" spans="1:3" x14ac:dyDescent="0.25">
      <c r="A7358" s="417">
        <v>41548</v>
      </c>
      <c r="B7358" s="418">
        <v>5.7534722222222223E-2</v>
      </c>
      <c r="C7358" s="421" t="s">
        <v>1393</v>
      </c>
    </row>
    <row r="7359" spans="1:3" x14ac:dyDescent="0.25">
      <c r="A7359" s="417">
        <v>41548</v>
      </c>
      <c r="B7359" s="418">
        <v>5.7534722222222223E-2</v>
      </c>
      <c r="C7359" s="421" t="s">
        <v>1394</v>
      </c>
    </row>
    <row r="7360" spans="1:3" x14ac:dyDescent="0.25">
      <c r="A7360" s="417">
        <v>41548</v>
      </c>
      <c r="B7360" s="418">
        <v>5.7534722222222223E-2</v>
      </c>
      <c r="C7360" s="421" t="s">
        <v>1392</v>
      </c>
    </row>
    <row r="7361" spans="1:3" x14ac:dyDescent="0.25">
      <c r="A7361" s="417">
        <v>41548</v>
      </c>
      <c r="B7361" s="418">
        <v>5.7534722222222223E-2</v>
      </c>
      <c r="C7361" s="421" t="s">
        <v>1395</v>
      </c>
    </row>
    <row r="7362" spans="1:3" x14ac:dyDescent="0.25">
      <c r="A7362" s="417">
        <v>41548</v>
      </c>
      <c r="B7362" s="418">
        <v>5.7534722222222223E-2</v>
      </c>
      <c r="C7362" s="421" t="s">
        <v>1396</v>
      </c>
    </row>
    <row r="7363" spans="1:3" x14ac:dyDescent="0.25">
      <c r="A7363" s="417">
        <v>41548</v>
      </c>
      <c r="B7363" s="418">
        <v>5.7534722222222223E-2</v>
      </c>
      <c r="C7363" s="421" t="s">
        <v>1363</v>
      </c>
    </row>
    <row r="7364" spans="1:3" x14ac:dyDescent="0.25">
      <c r="A7364" s="417">
        <v>41548</v>
      </c>
      <c r="B7364" s="418">
        <v>5.7534722222222223E-2</v>
      </c>
      <c r="C7364" s="421" t="s">
        <v>1346</v>
      </c>
    </row>
    <row r="7365" spans="1:3" x14ac:dyDescent="0.25">
      <c r="A7365" s="417">
        <v>41548</v>
      </c>
      <c r="B7365" s="418">
        <v>5.7534722222222223E-2</v>
      </c>
      <c r="C7365" s="421" t="s">
        <v>1397</v>
      </c>
    </row>
    <row r="7366" spans="1:3" x14ac:dyDescent="0.25">
      <c r="A7366" s="417">
        <v>41548</v>
      </c>
      <c r="B7366" s="418">
        <v>5.7534722222222223E-2</v>
      </c>
      <c r="C7366" s="421" t="s">
        <v>1381</v>
      </c>
    </row>
    <row r="7367" spans="1:3" x14ac:dyDescent="0.25">
      <c r="A7367" s="417">
        <v>41548</v>
      </c>
      <c r="B7367" s="418">
        <v>5.7534722222222223E-2</v>
      </c>
      <c r="C7367" s="421" t="s">
        <v>1398</v>
      </c>
    </row>
    <row r="7368" spans="1:3" x14ac:dyDescent="0.25">
      <c r="A7368" s="417">
        <v>41548</v>
      </c>
      <c r="B7368" s="418">
        <v>5.7534722222222223E-2</v>
      </c>
      <c r="C7368" s="421" t="s">
        <v>1399</v>
      </c>
    </row>
    <row r="7369" spans="1:3" x14ac:dyDescent="0.25">
      <c r="A7369" s="417">
        <v>41548</v>
      </c>
      <c r="B7369" s="418">
        <v>5.7534722222222223E-2</v>
      </c>
      <c r="C7369" s="421" t="s">
        <v>1400</v>
      </c>
    </row>
    <row r="7370" spans="1:3" x14ac:dyDescent="0.25">
      <c r="A7370" s="417">
        <v>41548</v>
      </c>
      <c r="B7370" s="418">
        <v>5.7534722222222223E-2</v>
      </c>
      <c r="C7370" s="421" t="s">
        <v>1400</v>
      </c>
    </row>
    <row r="7371" spans="1:3" x14ac:dyDescent="0.25">
      <c r="A7371" s="417">
        <v>41548</v>
      </c>
      <c r="B7371" s="418">
        <v>5.7534722222222223E-2</v>
      </c>
      <c r="C7371" s="421" t="s">
        <v>1373</v>
      </c>
    </row>
    <row r="7372" spans="1:3" x14ac:dyDescent="0.25">
      <c r="A7372" s="417">
        <v>41548</v>
      </c>
      <c r="B7372" s="418">
        <v>5.7534722222222223E-2</v>
      </c>
      <c r="C7372" s="421" t="s">
        <v>1353</v>
      </c>
    </row>
    <row r="7373" spans="1:3" x14ac:dyDescent="0.25">
      <c r="A7373" s="417">
        <v>41548</v>
      </c>
      <c r="B7373" s="418">
        <v>5.7534722222222223E-2</v>
      </c>
      <c r="C7373" s="421" t="s">
        <v>1353</v>
      </c>
    </row>
    <row r="7374" spans="1:3" x14ac:dyDescent="0.25">
      <c r="A7374" s="417">
        <v>41548</v>
      </c>
      <c r="B7374" s="418">
        <v>5.7534722222222223E-2</v>
      </c>
      <c r="C7374" s="421" t="s">
        <v>1401</v>
      </c>
    </row>
    <row r="7375" spans="1:3" x14ac:dyDescent="0.25">
      <c r="A7375" s="417">
        <v>41548</v>
      </c>
      <c r="B7375" s="418">
        <v>5.7534722222222223E-2</v>
      </c>
      <c r="C7375" s="421" t="s">
        <v>1392</v>
      </c>
    </row>
    <row r="7376" spans="1:3" x14ac:dyDescent="0.25">
      <c r="A7376" s="417">
        <v>41548</v>
      </c>
      <c r="B7376" s="418">
        <v>5.7534722222222223E-2</v>
      </c>
      <c r="C7376" s="421" t="s">
        <v>1403</v>
      </c>
    </row>
    <row r="7377" spans="1:3" x14ac:dyDescent="0.25">
      <c r="A7377" s="417">
        <v>41548</v>
      </c>
      <c r="B7377" s="418">
        <v>5.7534722222222223E-2</v>
      </c>
      <c r="C7377" s="421" t="s">
        <v>1403</v>
      </c>
    </row>
    <row r="7378" spans="1:3" x14ac:dyDescent="0.25">
      <c r="A7378" s="417">
        <v>41548</v>
      </c>
      <c r="B7378" s="418">
        <v>5.7534722222222223E-2</v>
      </c>
      <c r="C7378" s="421" t="s">
        <v>1403</v>
      </c>
    </row>
    <row r="7379" spans="1:3" x14ac:dyDescent="0.25">
      <c r="A7379" s="417">
        <v>41548</v>
      </c>
      <c r="B7379" s="418">
        <v>5.7534722222222223E-2</v>
      </c>
      <c r="C7379" s="421" t="s">
        <v>1364</v>
      </c>
    </row>
    <row r="7380" spans="1:3" x14ac:dyDescent="0.25">
      <c r="A7380" s="417">
        <v>41548</v>
      </c>
      <c r="B7380" s="418">
        <v>5.7534722222222223E-2</v>
      </c>
      <c r="C7380" s="421" t="s">
        <v>1364</v>
      </c>
    </row>
    <row r="7381" spans="1:3" x14ac:dyDescent="0.25">
      <c r="A7381" s="417">
        <v>41548</v>
      </c>
      <c r="B7381" s="418">
        <v>5.7534722222222223E-2</v>
      </c>
      <c r="C7381" s="421" t="s">
        <v>1381</v>
      </c>
    </row>
    <row r="7382" spans="1:3" x14ac:dyDescent="0.25">
      <c r="A7382" s="417">
        <v>41548</v>
      </c>
      <c r="B7382" s="418">
        <v>5.7534722222222223E-2</v>
      </c>
      <c r="C7382" s="421" t="s">
        <v>1364</v>
      </c>
    </row>
    <row r="7383" spans="1:3" x14ac:dyDescent="0.25">
      <c r="A7383" s="417">
        <v>41548</v>
      </c>
      <c r="B7383" s="418">
        <v>5.7534722222222223E-2</v>
      </c>
      <c r="C7383" s="421" t="s">
        <v>1480</v>
      </c>
    </row>
    <row r="7384" spans="1:3" x14ac:dyDescent="0.25">
      <c r="A7384" s="417">
        <v>41548</v>
      </c>
      <c r="B7384" s="418">
        <v>5.7534722222222223E-2</v>
      </c>
      <c r="C7384" s="421" t="s">
        <v>1480</v>
      </c>
    </row>
    <row r="7385" spans="1:3" x14ac:dyDescent="0.25">
      <c r="A7385" s="417">
        <v>41548</v>
      </c>
      <c r="B7385" s="418">
        <v>5.7534722222222223E-2</v>
      </c>
      <c r="C7385" s="421" t="s">
        <v>1480</v>
      </c>
    </row>
    <row r="7386" spans="1:3" x14ac:dyDescent="0.25">
      <c r="A7386" s="417">
        <v>41548</v>
      </c>
      <c r="B7386" s="418">
        <v>5.7534722222222223E-2</v>
      </c>
      <c r="C7386" s="421" t="s">
        <v>1996</v>
      </c>
    </row>
    <row r="7387" spans="1:3" x14ac:dyDescent="0.25">
      <c r="A7387" s="417">
        <v>41548</v>
      </c>
      <c r="B7387" s="418">
        <v>5.7534722222222223E-2</v>
      </c>
      <c r="C7387" s="421" t="s">
        <v>1541</v>
      </c>
    </row>
    <row r="7388" spans="1:3" x14ac:dyDescent="0.25">
      <c r="A7388" s="417">
        <v>41548</v>
      </c>
      <c r="B7388" s="418">
        <v>5.7534722222222223E-2</v>
      </c>
      <c r="C7388" s="421" t="s">
        <v>1346</v>
      </c>
    </row>
    <row r="7389" spans="1:3" x14ac:dyDescent="0.25">
      <c r="A7389" s="417">
        <v>41548</v>
      </c>
      <c r="B7389" s="418">
        <v>5.7534722222222223E-2</v>
      </c>
      <c r="C7389" s="421" t="s">
        <v>1405</v>
      </c>
    </row>
    <row r="7390" spans="1:3" x14ac:dyDescent="0.25">
      <c r="A7390" s="417">
        <v>41548</v>
      </c>
      <c r="B7390" s="418">
        <v>5.7534722222222223E-2</v>
      </c>
      <c r="C7390" s="421" t="s">
        <v>1406</v>
      </c>
    </row>
    <row r="7391" spans="1:3" x14ac:dyDescent="0.25">
      <c r="A7391" s="417">
        <v>41548</v>
      </c>
      <c r="B7391" s="418">
        <v>5.7569444444444444E-2</v>
      </c>
      <c r="C7391" s="421" t="s">
        <v>1997</v>
      </c>
    </row>
    <row r="7392" spans="1:3" x14ac:dyDescent="0.25">
      <c r="A7392" s="417">
        <v>41548</v>
      </c>
      <c r="B7392" s="418">
        <v>5.7569444444444444E-2</v>
      </c>
      <c r="C7392" s="421" t="s">
        <v>1318</v>
      </c>
    </row>
    <row r="7393" spans="1:3" x14ac:dyDescent="0.25">
      <c r="A7393" s="417">
        <v>41548</v>
      </c>
      <c r="B7393" s="418">
        <v>5.7592592592592591E-2</v>
      </c>
      <c r="C7393" s="421" t="s">
        <v>1368</v>
      </c>
    </row>
    <row r="7394" spans="1:3" x14ac:dyDescent="0.25">
      <c r="A7394" s="417">
        <v>41548</v>
      </c>
      <c r="B7394" s="418">
        <v>5.7592592592592591E-2</v>
      </c>
      <c r="C7394" s="421" t="s">
        <v>1368</v>
      </c>
    </row>
    <row r="7395" spans="1:3" x14ac:dyDescent="0.25">
      <c r="A7395" s="417">
        <v>41548</v>
      </c>
      <c r="B7395" s="418">
        <v>5.7592592592592591E-2</v>
      </c>
      <c r="C7395" s="421" t="s">
        <v>1368</v>
      </c>
    </row>
    <row r="7396" spans="1:3" x14ac:dyDescent="0.25">
      <c r="A7396" s="417">
        <v>41548</v>
      </c>
      <c r="B7396" s="418">
        <v>5.7592592592592591E-2</v>
      </c>
      <c r="C7396" s="421" t="s">
        <v>1368</v>
      </c>
    </row>
    <row r="7397" spans="1:3" x14ac:dyDescent="0.25">
      <c r="A7397" s="417">
        <v>41548</v>
      </c>
      <c r="B7397" s="418">
        <v>5.7592592592592591E-2</v>
      </c>
      <c r="C7397" s="421" t="s">
        <v>1368</v>
      </c>
    </row>
    <row r="7398" spans="1:3" x14ac:dyDescent="0.25">
      <c r="A7398" s="417">
        <v>41548</v>
      </c>
      <c r="B7398" s="418">
        <v>5.7592592592592591E-2</v>
      </c>
      <c r="C7398" s="421" t="s">
        <v>1409</v>
      </c>
    </row>
    <row r="7399" spans="1:3" x14ac:dyDescent="0.25">
      <c r="A7399" s="417">
        <v>41548</v>
      </c>
      <c r="B7399" s="418">
        <v>5.7592592592592591E-2</v>
      </c>
      <c r="C7399" s="421" t="s">
        <v>1308</v>
      </c>
    </row>
    <row r="7400" spans="1:3" x14ac:dyDescent="0.25">
      <c r="A7400" s="417">
        <v>41548</v>
      </c>
      <c r="B7400" s="418">
        <v>5.7604166666666672E-2</v>
      </c>
      <c r="C7400" s="421" t="s">
        <v>1410</v>
      </c>
    </row>
    <row r="7401" spans="1:3" x14ac:dyDescent="0.25">
      <c r="A7401" s="417">
        <v>41548</v>
      </c>
      <c r="B7401" s="418">
        <v>5.7604166666666672E-2</v>
      </c>
      <c r="C7401" s="421" t="s">
        <v>1410</v>
      </c>
    </row>
    <row r="7402" spans="1:3" x14ac:dyDescent="0.25">
      <c r="A7402" s="417">
        <v>41548</v>
      </c>
      <c r="B7402" s="418">
        <v>5.7604166666666672E-2</v>
      </c>
      <c r="C7402" s="421" t="s">
        <v>1411</v>
      </c>
    </row>
    <row r="7403" spans="1:3" x14ac:dyDescent="0.25">
      <c r="A7403" s="417">
        <v>41548</v>
      </c>
      <c r="B7403" s="418">
        <v>5.7615740740740738E-2</v>
      </c>
      <c r="C7403" s="421" t="s">
        <v>1998</v>
      </c>
    </row>
    <row r="7404" spans="1:3" x14ac:dyDescent="0.25">
      <c r="A7404" s="417">
        <v>41548</v>
      </c>
      <c r="B7404" s="418">
        <v>5.7627314814814812E-2</v>
      </c>
      <c r="C7404" s="421" t="s">
        <v>1413</v>
      </c>
    </row>
    <row r="7405" spans="1:3" x14ac:dyDescent="0.25">
      <c r="A7405" s="417">
        <v>41548</v>
      </c>
      <c r="B7405" s="418">
        <v>5.7627314814814812E-2</v>
      </c>
      <c r="C7405" s="421" t="s">
        <v>1414</v>
      </c>
    </row>
    <row r="7406" spans="1:3" x14ac:dyDescent="0.25">
      <c r="A7406" s="417">
        <v>41548</v>
      </c>
      <c r="B7406" s="418">
        <v>5.7638888888888885E-2</v>
      </c>
      <c r="C7406" s="421" t="s">
        <v>1373</v>
      </c>
    </row>
    <row r="7407" spans="1:3" x14ac:dyDescent="0.25">
      <c r="A7407" s="417">
        <v>41548</v>
      </c>
      <c r="B7407" s="418">
        <v>5.7638888888888885E-2</v>
      </c>
      <c r="C7407" s="421" t="s">
        <v>1999</v>
      </c>
    </row>
    <row r="7408" spans="1:3" x14ac:dyDescent="0.25">
      <c r="A7408" s="417">
        <v>41548</v>
      </c>
      <c r="B7408" s="418">
        <v>5.769675925925926E-2</v>
      </c>
      <c r="C7408" s="421" t="s">
        <v>1409</v>
      </c>
    </row>
    <row r="7409" spans="1:3" x14ac:dyDescent="0.25">
      <c r="A7409" s="417">
        <v>41548</v>
      </c>
      <c r="B7409" s="418">
        <v>5.769675925925926E-2</v>
      </c>
      <c r="C7409" s="421" t="s">
        <v>1416</v>
      </c>
    </row>
    <row r="7410" spans="1:3" x14ac:dyDescent="0.25">
      <c r="A7410" s="417">
        <v>41548</v>
      </c>
      <c r="B7410" s="418">
        <v>5.7708333333333334E-2</v>
      </c>
      <c r="C7410" s="421" t="s">
        <v>2000</v>
      </c>
    </row>
    <row r="7411" spans="1:3" x14ac:dyDescent="0.25">
      <c r="A7411" s="417">
        <v>41548</v>
      </c>
      <c r="B7411" s="418">
        <v>5.7708333333333334E-2</v>
      </c>
      <c r="C7411" s="421" t="s">
        <v>1348</v>
      </c>
    </row>
    <row r="7412" spans="1:3" x14ac:dyDescent="0.25">
      <c r="A7412" s="417">
        <v>41548</v>
      </c>
      <c r="B7412" s="418">
        <v>5.7708333333333334E-2</v>
      </c>
      <c r="C7412" s="421" t="s">
        <v>1419</v>
      </c>
    </row>
    <row r="7413" spans="1:3" x14ac:dyDescent="0.25">
      <c r="A7413" s="417">
        <v>41548</v>
      </c>
      <c r="B7413" s="418">
        <v>5.7708333333333334E-2</v>
      </c>
      <c r="C7413" s="421" t="s">
        <v>1419</v>
      </c>
    </row>
    <row r="7414" spans="1:3" x14ac:dyDescent="0.25">
      <c r="A7414" s="417">
        <v>41548</v>
      </c>
      <c r="B7414" s="418">
        <v>5.7719907407407407E-2</v>
      </c>
      <c r="C7414" s="421" t="s">
        <v>1420</v>
      </c>
    </row>
    <row r="7415" spans="1:3" x14ac:dyDescent="0.25">
      <c r="A7415" s="417">
        <v>41548</v>
      </c>
      <c r="B7415" s="418">
        <v>5.7743055555555554E-2</v>
      </c>
      <c r="C7415" s="421" t="s">
        <v>2001</v>
      </c>
    </row>
    <row r="7416" spans="1:3" x14ac:dyDescent="0.25">
      <c r="A7416" s="417">
        <v>41548</v>
      </c>
      <c r="B7416" s="418">
        <v>5.7743055555555554E-2</v>
      </c>
      <c r="C7416" s="421" t="s">
        <v>2002</v>
      </c>
    </row>
    <row r="7417" spans="1:3" x14ac:dyDescent="0.25">
      <c r="A7417" s="417">
        <v>41548</v>
      </c>
      <c r="B7417" s="418">
        <v>5.7743055555555554E-2</v>
      </c>
      <c r="C7417" s="421" t="s">
        <v>2003</v>
      </c>
    </row>
    <row r="7418" spans="1:3" x14ac:dyDescent="0.25">
      <c r="A7418" s="417">
        <v>41548</v>
      </c>
      <c r="B7418" s="418">
        <v>5.7754629629629628E-2</v>
      </c>
      <c r="C7418" s="421" t="s">
        <v>2004</v>
      </c>
    </row>
    <row r="7419" spans="1:3" x14ac:dyDescent="0.25">
      <c r="A7419" s="417">
        <v>41548</v>
      </c>
      <c r="B7419" s="418">
        <v>5.7766203703703702E-2</v>
      </c>
      <c r="C7419" s="421" t="s">
        <v>2005</v>
      </c>
    </row>
    <row r="7420" spans="1:3" x14ac:dyDescent="0.25">
      <c r="A7420" s="417">
        <v>41548</v>
      </c>
      <c r="B7420" s="418">
        <v>5.7766203703703702E-2</v>
      </c>
      <c r="C7420" s="421" t="s">
        <v>2006</v>
      </c>
    </row>
    <row r="7421" spans="1:3" x14ac:dyDescent="0.25">
      <c r="A7421" s="417">
        <v>41548</v>
      </c>
      <c r="B7421" s="418">
        <v>5.7766203703703702E-2</v>
      </c>
      <c r="C7421" s="421" t="s">
        <v>2007</v>
      </c>
    </row>
    <row r="7422" spans="1:3" x14ac:dyDescent="0.25">
      <c r="A7422" s="417">
        <v>41548</v>
      </c>
      <c r="B7422" s="418">
        <v>5.7766203703703702E-2</v>
      </c>
      <c r="C7422" s="421" t="s">
        <v>2008</v>
      </c>
    </row>
    <row r="7423" spans="1:3" x14ac:dyDescent="0.25">
      <c r="A7423" s="417">
        <v>41548</v>
      </c>
      <c r="B7423" s="418">
        <v>5.7766203703703702E-2</v>
      </c>
      <c r="C7423" s="421" t="s">
        <v>1320</v>
      </c>
    </row>
    <row r="7424" spans="1:3" x14ac:dyDescent="0.25">
      <c r="A7424" s="417">
        <v>41548</v>
      </c>
      <c r="B7424" s="418">
        <v>5.7777777777777782E-2</v>
      </c>
      <c r="C7424" s="421" t="s">
        <v>1429</v>
      </c>
    </row>
    <row r="7425" spans="1:3" x14ac:dyDescent="0.25">
      <c r="A7425" s="417">
        <v>41548</v>
      </c>
      <c r="B7425" s="418">
        <v>5.7789351851851856E-2</v>
      </c>
      <c r="C7425" s="421" t="s">
        <v>1430</v>
      </c>
    </row>
    <row r="7426" spans="1:3" x14ac:dyDescent="0.25">
      <c r="A7426" s="417">
        <v>41548</v>
      </c>
      <c r="B7426" s="418">
        <v>5.7800925925925929E-2</v>
      </c>
      <c r="C7426" s="421" t="s">
        <v>2009</v>
      </c>
    </row>
    <row r="7427" spans="1:3" x14ac:dyDescent="0.25">
      <c r="A7427" s="417">
        <v>41548</v>
      </c>
      <c r="B7427" s="418">
        <v>5.7824074074074076E-2</v>
      </c>
      <c r="C7427" s="421" t="s">
        <v>1308</v>
      </c>
    </row>
    <row r="7428" spans="1:3" x14ac:dyDescent="0.25">
      <c r="A7428" s="417">
        <v>41548</v>
      </c>
      <c r="B7428" s="418">
        <v>5.783564814814815E-2</v>
      </c>
      <c r="C7428" s="421" t="s">
        <v>1360</v>
      </c>
    </row>
    <row r="7429" spans="1:3" x14ac:dyDescent="0.25">
      <c r="A7429" s="417">
        <v>41548</v>
      </c>
      <c r="B7429" s="418">
        <v>5.783564814814815E-2</v>
      </c>
      <c r="C7429" s="421" t="s">
        <v>1432</v>
      </c>
    </row>
    <row r="7430" spans="1:3" x14ac:dyDescent="0.25">
      <c r="A7430" s="417">
        <v>41548</v>
      </c>
      <c r="B7430" s="418">
        <v>5.783564814814815E-2</v>
      </c>
      <c r="C7430" s="421" t="s">
        <v>1432</v>
      </c>
    </row>
    <row r="7431" spans="1:3" x14ac:dyDescent="0.25">
      <c r="A7431" s="417">
        <v>41548</v>
      </c>
      <c r="B7431" s="418">
        <v>5.783564814814815E-2</v>
      </c>
      <c r="C7431" s="421" t="s">
        <v>1432</v>
      </c>
    </row>
    <row r="7432" spans="1:3" x14ac:dyDescent="0.25">
      <c r="A7432" s="417">
        <v>41548</v>
      </c>
      <c r="B7432" s="418">
        <v>5.783564814814815E-2</v>
      </c>
      <c r="C7432" s="421" t="s">
        <v>1822</v>
      </c>
    </row>
    <row r="7433" spans="1:3" x14ac:dyDescent="0.25">
      <c r="A7433" s="417">
        <v>41548</v>
      </c>
      <c r="B7433" s="418">
        <v>5.783564814814815E-2</v>
      </c>
      <c r="C7433" s="421" t="s">
        <v>1413</v>
      </c>
    </row>
    <row r="7434" spans="1:3" x14ac:dyDescent="0.25">
      <c r="A7434" s="417">
        <v>41548</v>
      </c>
      <c r="B7434" s="418">
        <v>5.785879629629629E-2</v>
      </c>
      <c r="C7434" s="421" t="s">
        <v>2010</v>
      </c>
    </row>
    <row r="7435" spans="1:3" x14ac:dyDescent="0.25">
      <c r="A7435" s="417">
        <v>41548</v>
      </c>
      <c r="B7435" s="418">
        <v>5.785879629629629E-2</v>
      </c>
      <c r="C7435" s="421" t="s">
        <v>2011</v>
      </c>
    </row>
    <row r="7436" spans="1:3" x14ac:dyDescent="0.25">
      <c r="A7436" s="417">
        <v>41548</v>
      </c>
      <c r="B7436" s="418">
        <v>5.785879629629629E-2</v>
      </c>
      <c r="C7436" s="421" t="s">
        <v>2012</v>
      </c>
    </row>
    <row r="7437" spans="1:3" x14ac:dyDescent="0.25">
      <c r="A7437" s="417">
        <v>41548</v>
      </c>
      <c r="B7437" s="418">
        <v>5.785879629629629E-2</v>
      </c>
      <c r="C7437" s="421" t="s">
        <v>2013</v>
      </c>
    </row>
    <row r="7438" spans="1:3" x14ac:dyDescent="0.25">
      <c r="A7438" s="417">
        <v>41548</v>
      </c>
      <c r="B7438" s="418">
        <v>5.785879629629629E-2</v>
      </c>
      <c r="C7438" s="421" t="s">
        <v>2014</v>
      </c>
    </row>
    <row r="7439" spans="1:3" x14ac:dyDescent="0.25">
      <c r="A7439" s="417">
        <v>41548</v>
      </c>
      <c r="B7439" s="418">
        <v>5.785879629629629E-2</v>
      </c>
      <c r="C7439" s="421" t="s">
        <v>1875</v>
      </c>
    </row>
    <row r="7440" spans="1:3" x14ac:dyDescent="0.25">
      <c r="A7440" s="417">
        <v>41548</v>
      </c>
      <c r="B7440" s="418">
        <v>5.7870370370370371E-2</v>
      </c>
      <c r="C7440" s="421" t="s">
        <v>2015</v>
      </c>
    </row>
    <row r="7441" spans="1:3" x14ac:dyDescent="0.25">
      <c r="A7441" s="417">
        <v>41548</v>
      </c>
      <c r="B7441" s="418">
        <v>5.7905092592592598E-2</v>
      </c>
      <c r="C7441" s="421" t="s">
        <v>1689</v>
      </c>
    </row>
    <row r="7442" spans="1:3" x14ac:dyDescent="0.25">
      <c r="A7442" s="417">
        <v>41548</v>
      </c>
      <c r="B7442" s="418">
        <v>5.7951388888888893E-2</v>
      </c>
      <c r="C7442" s="421" t="s">
        <v>2016</v>
      </c>
    </row>
    <row r="7443" spans="1:3" x14ac:dyDescent="0.25">
      <c r="A7443" s="417">
        <v>41548</v>
      </c>
      <c r="B7443" s="418">
        <v>5.7962962962962959E-2</v>
      </c>
      <c r="C7443" s="421" t="s">
        <v>1320</v>
      </c>
    </row>
    <row r="7444" spans="1:3" x14ac:dyDescent="0.25">
      <c r="A7444" s="417">
        <v>41548</v>
      </c>
      <c r="B7444" s="418">
        <v>5.8032407407407414E-2</v>
      </c>
      <c r="C7444" s="421" t="s">
        <v>2017</v>
      </c>
    </row>
    <row r="7445" spans="1:3" x14ac:dyDescent="0.25">
      <c r="A7445" s="417">
        <v>41548</v>
      </c>
      <c r="B7445" s="418">
        <v>5.8032407407407414E-2</v>
      </c>
      <c r="C7445" s="421" t="s">
        <v>2018</v>
      </c>
    </row>
    <row r="7446" spans="1:3" x14ac:dyDescent="0.25">
      <c r="A7446" s="417">
        <v>41548</v>
      </c>
      <c r="B7446" s="418">
        <v>5.8032407407407414E-2</v>
      </c>
      <c r="C7446" s="421" t="s">
        <v>2019</v>
      </c>
    </row>
    <row r="7447" spans="1:3" x14ac:dyDescent="0.25">
      <c r="A7447" s="417">
        <v>41548</v>
      </c>
      <c r="B7447" s="418">
        <v>5.8032407407407414E-2</v>
      </c>
      <c r="C7447" s="421" t="s">
        <v>2020</v>
      </c>
    </row>
    <row r="7448" spans="1:3" x14ac:dyDescent="0.25">
      <c r="A7448" s="417">
        <v>41548</v>
      </c>
      <c r="B7448" s="418">
        <v>5.8055555555555555E-2</v>
      </c>
      <c r="C7448" s="421" t="s">
        <v>1446</v>
      </c>
    </row>
    <row r="7449" spans="1:3" x14ac:dyDescent="0.25">
      <c r="A7449" s="417">
        <v>41548</v>
      </c>
      <c r="B7449" s="418">
        <v>5.8159722222222217E-2</v>
      </c>
      <c r="C7449" s="421" t="s">
        <v>2021</v>
      </c>
    </row>
    <row r="7450" spans="1:3" x14ac:dyDescent="0.25">
      <c r="A7450" s="417">
        <v>41548</v>
      </c>
      <c r="B7450" s="418">
        <v>5.8171296296296297E-2</v>
      </c>
      <c r="C7450" s="421" t="s">
        <v>1389</v>
      </c>
    </row>
    <row r="7451" spans="1:3" x14ac:dyDescent="0.25">
      <c r="A7451" s="417">
        <v>41548</v>
      </c>
      <c r="B7451" s="418">
        <v>5.8171296296296297E-2</v>
      </c>
      <c r="C7451" s="421" t="s">
        <v>1448</v>
      </c>
    </row>
    <row r="7452" spans="1:3" x14ac:dyDescent="0.25">
      <c r="A7452" s="417">
        <v>41548</v>
      </c>
      <c r="B7452" s="418">
        <v>5.8182870370370371E-2</v>
      </c>
      <c r="C7452" s="421" t="s">
        <v>1450</v>
      </c>
    </row>
    <row r="7453" spans="1:3" x14ac:dyDescent="0.25">
      <c r="A7453" s="417">
        <v>41548</v>
      </c>
      <c r="B7453" s="418">
        <v>5.8182870370370371E-2</v>
      </c>
      <c r="C7453" s="421" t="s">
        <v>1450</v>
      </c>
    </row>
    <row r="7454" spans="1:3" x14ac:dyDescent="0.25">
      <c r="A7454" s="417">
        <v>41548</v>
      </c>
      <c r="B7454" s="418">
        <v>5.8182870370370371E-2</v>
      </c>
      <c r="C7454" s="421" t="s">
        <v>1450</v>
      </c>
    </row>
    <row r="7455" spans="1:3" x14ac:dyDescent="0.25">
      <c r="A7455" s="417">
        <v>41548</v>
      </c>
      <c r="B7455" s="418">
        <v>5.8182870370370371E-2</v>
      </c>
      <c r="C7455" s="421" t="s">
        <v>1450</v>
      </c>
    </row>
    <row r="7456" spans="1:3" x14ac:dyDescent="0.25">
      <c r="A7456" s="417">
        <v>41548</v>
      </c>
      <c r="B7456" s="418">
        <v>5.8182870370370371E-2</v>
      </c>
      <c r="C7456" s="421" t="s">
        <v>1450</v>
      </c>
    </row>
    <row r="7457" spans="1:3" x14ac:dyDescent="0.25">
      <c r="A7457" s="417">
        <v>41548</v>
      </c>
      <c r="B7457" s="418">
        <v>5.8182870370370371E-2</v>
      </c>
      <c r="C7457" s="421" t="s">
        <v>1450</v>
      </c>
    </row>
    <row r="7458" spans="1:3" x14ac:dyDescent="0.25">
      <c r="A7458" s="417">
        <v>41548</v>
      </c>
      <c r="B7458" s="418">
        <v>5.8182870370370371E-2</v>
      </c>
      <c r="C7458" s="421" t="s">
        <v>1450</v>
      </c>
    </row>
    <row r="7459" spans="1:3" x14ac:dyDescent="0.25">
      <c r="A7459" s="417">
        <v>41548</v>
      </c>
      <c r="B7459" s="418">
        <v>5.8217592592592592E-2</v>
      </c>
      <c r="C7459" s="421" t="s">
        <v>1988</v>
      </c>
    </row>
    <row r="7460" spans="1:3" x14ac:dyDescent="0.25">
      <c r="A7460" s="417">
        <v>41548</v>
      </c>
      <c r="B7460" s="418">
        <v>5.842592592592593E-2</v>
      </c>
      <c r="C7460" s="421" t="s">
        <v>1448</v>
      </c>
    </row>
    <row r="7461" spans="1:3" x14ac:dyDescent="0.25">
      <c r="A7461" s="417">
        <v>41548</v>
      </c>
      <c r="B7461" s="418">
        <v>5.844907407407407E-2</v>
      </c>
      <c r="C7461" s="421" t="s">
        <v>1399</v>
      </c>
    </row>
    <row r="7462" spans="1:3" x14ac:dyDescent="0.25">
      <c r="A7462" s="417">
        <v>41548</v>
      </c>
      <c r="B7462" s="418">
        <v>5.8495370370370371E-2</v>
      </c>
      <c r="C7462" s="421" t="s">
        <v>1309</v>
      </c>
    </row>
    <row r="7463" spans="1:3" x14ac:dyDescent="0.25">
      <c r="A7463" s="417">
        <v>41548</v>
      </c>
      <c r="B7463" s="418">
        <v>5.8495370370370371E-2</v>
      </c>
      <c r="C7463" s="421" t="s">
        <v>1830</v>
      </c>
    </row>
    <row r="7464" spans="1:3" x14ac:dyDescent="0.25">
      <c r="A7464" s="417">
        <v>41548</v>
      </c>
      <c r="B7464" s="418">
        <v>5.8495370370370371E-2</v>
      </c>
      <c r="C7464" s="421" t="s">
        <v>1307</v>
      </c>
    </row>
    <row r="7465" spans="1:3" x14ac:dyDescent="0.25">
      <c r="A7465" s="417">
        <v>41548</v>
      </c>
      <c r="B7465" s="418">
        <v>5.859953703703704E-2</v>
      </c>
      <c r="C7465" s="421" t="s">
        <v>1758</v>
      </c>
    </row>
    <row r="7466" spans="1:3" x14ac:dyDescent="0.25">
      <c r="A7466" s="417">
        <v>41548</v>
      </c>
      <c r="B7466" s="418">
        <v>5.859953703703704E-2</v>
      </c>
      <c r="C7466" s="421" t="s">
        <v>2022</v>
      </c>
    </row>
    <row r="7467" spans="1:3" x14ac:dyDescent="0.25">
      <c r="A7467" s="417">
        <v>41548</v>
      </c>
      <c r="B7467" s="418">
        <v>5.8611111111111114E-2</v>
      </c>
      <c r="C7467" s="421" t="s">
        <v>2023</v>
      </c>
    </row>
    <row r="7468" spans="1:3" x14ac:dyDescent="0.25">
      <c r="A7468" s="417">
        <v>41548</v>
      </c>
      <c r="B7468" s="418">
        <v>5.8611111111111114E-2</v>
      </c>
      <c r="C7468" s="421" t="s">
        <v>1991</v>
      </c>
    </row>
    <row r="7469" spans="1:3" x14ac:dyDescent="0.25">
      <c r="A7469" s="417">
        <v>41548</v>
      </c>
      <c r="B7469" s="418">
        <v>6.2071759259259257E-2</v>
      </c>
      <c r="C7469" s="421" t="s">
        <v>1307</v>
      </c>
    </row>
    <row r="7470" spans="1:3" x14ac:dyDescent="0.25">
      <c r="A7470" s="417">
        <v>41548</v>
      </c>
      <c r="B7470" s="418">
        <v>6.2083333333333331E-2</v>
      </c>
      <c r="C7470" s="421" t="s">
        <v>1308</v>
      </c>
    </row>
    <row r="7471" spans="1:3" x14ac:dyDescent="0.25">
      <c r="A7471" s="417">
        <v>41548</v>
      </c>
      <c r="B7471" s="418">
        <v>6.2083333333333331E-2</v>
      </c>
      <c r="C7471" s="421" t="s">
        <v>1309</v>
      </c>
    </row>
    <row r="7472" spans="1:3" x14ac:dyDescent="0.25">
      <c r="A7472" s="417">
        <v>41548</v>
      </c>
      <c r="B7472" s="418">
        <v>6.2083333333333331E-2</v>
      </c>
      <c r="C7472" s="421" t="s">
        <v>1310</v>
      </c>
    </row>
    <row r="7473" spans="1:3" x14ac:dyDescent="0.25">
      <c r="A7473" s="417">
        <v>41548</v>
      </c>
      <c r="B7473" s="418">
        <v>6.2083333333333331E-2</v>
      </c>
      <c r="C7473" s="421" t="s">
        <v>1311</v>
      </c>
    </row>
    <row r="7474" spans="1:3" x14ac:dyDescent="0.25">
      <c r="A7474" s="417">
        <v>41548</v>
      </c>
      <c r="B7474" s="418">
        <v>6.2083333333333331E-2</v>
      </c>
      <c r="C7474" s="421" t="s">
        <v>1312</v>
      </c>
    </row>
    <row r="7475" spans="1:3" x14ac:dyDescent="0.25">
      <c r="A7475" s="417">
        <v>41548</v>
      </c>
      <c r="B7475" s="418">
        <v>6.2083333333333331E-2</v>
      </c>
      <c r="C7475" s="421" t="s">
        <v>1313</v>
      </c>
    </row>
    <row r="7476" spans="1:3" x14ac:dyDescent="0.25">
      <c r="A7476" s="417">
        <v>41548</v>
      </c>
      <c r="B7476" s="418">
        <v>6.2083333333333331E-2</v>
      </c>
      <c r="C7476" s="421" t="s">
        <v>1310</v>
      </c>
    </row>
    <row r="7477" spans="1:3" x14ac:dyDescent="0.25">
      <c r="A7477" s="417">
        <v>41548</v>
      </c>
      <c r="B7477" s="418">
        <v>6.2083333333333331E-2</v>
      </c>
      <c r="C7477" s="421" t="s">
        <v>1314</v>
      </c>
    </row>
    <row r="7478" spans="1:3" x14ac:dyDescent="0.25">
      <c r="A7478" s="417">
        <v>41548</v>
      </c>
      <c r="B7478" s="418">
        <v>6.2083333333333331E-2</v>
      </c>
      <c r="C7478" s="421" t="s">
        <v>1315</v>
      </c>
    </row>
    <row r="7479" spans="1:3" x14ac:dyDescent="0.25">
      <c r="A7479" s="417">
        <v>41548</v>
      </c>
      <c r="B7479" s="418">
        <v>6.2083333333333331E-2</v>
      </c>
      <c r="C7479" s="421" t="s">
        <v>1460</v>
      </c>
    </row>
    <row r="7480" spans="1:3" x14ac:dyDescent="0.25">
      <c r="A7480" s="417">
        <v>41548</v>
      </c>
      <c r="B7480" s="418">
        <v>6.2083333333333331E-2</v>
      </c>
      <c r="C7480" s="421" t="s">
        <v>1461</v>
      </c>
    </row>
    <row r="7481" spans="1:3" x14ac:dyDescent="0.25">
      <c r="A7481" s="417">
        <v>41548</v>
      </c>
      <c r="B7481" s="418">
        <v>6.2083333333333331E-2</v>
      </c>
      <c r="C7481" s="421" t="s">
        <v>1310</v>
      </c>
    </row>
    <row r="7482" spans="1:3" x14ac:dyDescent="0.25">
      <c r="A7482" s="417">
        <v>41548</v>
      </c>
      <c r="B7482" s="418">
        <v>6.2083333333333331E-2</v>
      </c>
      <c r="C7482" s="421" t="s">
        <v>1462</v>
      </c>
    </row>
    <row r="7483" spans="1:3" x14ac:dyDescent="0.25">
      <c r="A7483" s="417">
        <v>41548</v>
      </c>
      <c r="B7483" s="418">
        <v>6.2083333333333331E-2</v>
      </c>
      <c r="C7483" s="421" t="s">
        <v>1316</v>
      </c>
    </row>
    <row r="7484" spans="1:3" x14ac:dyDescent="0.25">
      <c r="A7484" s="417">
        <v>41548</v>
      </c>
      <c r="B7484" s="418">
        <v>6.2083333333333331E-2</v>
      </c>
      <c r="C7484" s="421" t="s">
        <v>1316</v>
      </c>
    </row>
    <row r="7485" spans="1:3" x14ac:dyDescent="0.25">
      <c r="A7485" s="417">
        <v>41548</v>
      </c>
      <c r="B7485" s="418">
        <v>6.2083333333333331E-2</v>
      </c>
      <c r="C7485" s="421" t="s">
        <v>1317</v>
      </c>
    </row>
    <row r="7486" spans="1:3" x14ac:dyDescent="0.25">
      <c r="A7486" s="417">
        <v>41548</v>
      </c>
      <c r="B7486" s="418">
        <v>6.2083333333333331E-2</v>
      </c>
      <c r="C7486" s="421" t="s">
        <v>1309</v>
      </c>
    </row>
    <row r="7487" spans="1:3" x14ac:dyDescent="0.25">
      <c r="A7487" s="417">
        <v>41548</v>
      </c>
      <c r="B7487" s="418">
        <v>6.2083333333333331E-2</v>
      </c>
      <c r="C7487" s="421" t="s">
        <v>1318</v>
      </c>
    </row>
    <row r="7488" spans="1:3" x14ac:dyDescent="0.25">
      <c r="A7488" s="417">
        <v>41548</v>
      </c>
      <c r="B7488" s="418">
        <v>6.2083333333333331E-2</v>
      </c>
      <c r="C7488" s="421" t="s">
        <v>1319</v>
      </c>
    </row>
    <row r="7489" spans="1:3" x14ac:dyDescent="0.25">
      <c r="A7489" s="417">
        <v>41548</v>
      </c>
      <c r="B7489" s="418">
        <v>6.2083333333333331E-2</v>
      </c>
      <c r="C7489" s="421" t="s">
        <v>1320</v>
      </c>
    </row>
    <row r="7490" spans="1:3" x14ac:dyDescent="0.25">
      <c r="A7490" s="417">
        <v>41548</v>
      </c>
      <c r="B7490" s="418">
        <v>6.2083333333333331E-2</v>
      </c>
      <c r="C7490" s="421" t="s">
        <v>1318</v>
      </c>
    </row>
    <row r="7491" spans="1:3" x14ac:dyDescent="0.25">
      <c r="A7491" s="417">
        <v>41548</v>
      </c>
      <c r="B7491" s="418">
        <v>6.2083333333333331E-2</v>
      </c>
      <c r="C7491" s="421" t="s">
        <v>1307</v>
      </c>
    </row>
    <row r="7492" spans="1:3" x14ac:dyDescent="0.25">
      <c r="A7492" s="417">
        <v>41548</v>
      </c>
      <c r="B7492" s="418">
        <v>6.2094907407407411E-2</v>
      </c>
      <c r="C7492" s="421" t="s">
        <v>1321</v>
      </c>
    </row>
    <row r="7493" spans="1:3" x14ac:dyDescent="0.25">
      <c r="A7493" s="417">
        <v>41548</v>
      </c>
      <c r="B7493" s="418">
        <v>6.2094907407407411E-2</v>
      </c>
      <c r="C7493" s="421" t="s">
        <v>1322</v>
      </c>
    </row>
    <row r="7494" spans="1:3" x14ac:dyDescent="0.25">
      <c r="A7494" s="417">
        <v>41548</v>
      </c>
      <c r="B7494" s="418">
        <v>6.2094907407407411E-2</v>
      </c>
      <c r="C7494" s="421" t="s">
        <v>1322</v>
      </c>
    </row>
    <row r="7495" spans="1:3" x14ac:dyDescent="0.25">
      <c r="A7495" s="417">
        <v>41548</v>
      </c>
      <c r="B7495" s="418">
        <v>6.2094907407407411E-2</v>
      </c>
      <c r="C7495" s="421" t="s">
        <v>1323</v>
      </c>
    </row>
    <row r="7496" spans="1:3" x14ac:dyDescent="0.25">
      <c r="A7496" s="417">
        <v>41548</v>
      </c>
      <c r="B7496" s="418">
        <v>6.2094907407407411E-2</v>
      </c>
      <c r="C7496" s="421" t="s">
        <v>1324</v>
      </c>
    </row>
    <row r="7497" spans="1:3" x14ac:dyDescent="0.25">
      <c r="A7497" s="417">
        <v>41548</v>
      </c>
      <c r="B7497" s="418">
        <v>6.2094907407407411E-2</v>
      </c>
      <c r="C7497" s="421" t="s">
        <v>1310</v>
      </c>
    </row>
    <row r="7498" spans="1:3" x14ac:dyDescent="0.25">
      <c r="A7498" s="417">
        <v>41548</v>
      </c>
      <c r="B7498" s="418">
        <v>6.2094907407407411E-2</v>
      </c>
      <c r="C7498" s="421" t="s">
        <v>1325</v>
      </c>
    </row>
    <row r="7499" spans="1:3" x14ac:dyDescent="0.25">
      <c r="A7499" s="417">
        <v>41548</v>
      </c>
      <c r="B7499" s="418">
        <v>6.2094907407407411E-2</v>
      </c>
      <c r="C7499" s="421" t="s">
        <v>1326</v>
      </c>
    </row>
    <row r="7500" spans="1:3" x14ac:dyDescent="0.25">
      <c r="A7500" s="417">
        <v>41548</v>
      </c>
      <c r="B7500" s="418">
        <v>6.2094907407407411E-2</v>
      </c>
      <c r="C7500" s="421" t="s">
        <v>1238</v>
      </c>
    </row>
    <row r="7501" spans="1:3" x14ac:dyDescent="0.25">
      <c r="A7501" s="417">
        <v>41548</v>
      </c>
      <c r="B7501" s="418">
        <v>6.2094907407407411E-2</v>
      </c>
      <c r="C7501" s="421" t="s">
        <v>1327</v>
      </c>
    </row>
    <row r="7502" spans="1:3" x14ac:dyDescent="0.25">
      <c r="A7502" s="417">
        <v>41548</v>
      </c>
      <c r="B7502" s="418">
        <v>6.2094907407407411E-2</v>
      </c>
      <c r="C7502" s="421" t="s">
        <v>1323</v>
      </c>
    </row>
    <row r="7503" spans="1:3" x14ac:dyDescent="0.25">
      <c r="A7503" s="417">
        <v>41548</v>
      </c>
      <c r="B7503" s="418">
        <v>6.2094907407407411E-2</v>
      </c>
      <c r="C7503" s="421" t="s">
        <v>1342</v>
      </c>
    </row>
    <row r="7504" spans="1:3" x14ac:dyDescent="0.25">
      <c r="A7504" s="417">
        <v>41548</v>
      </c>
      <c r="B7504" s="418">
        <v>6.2094907407407411E-2</v>
      </c>
      <c r="C7504" s="421" t="s">
        <v>1343</v>
      </c>
    </row>
    <row r="7505" spans="1:3" x14ac:dyDescent="0.25">
      <c r="A7505" s="417">
        <v>41548</v>
      </c>
      <c r="B7505" s="418">
        <v>6.2094907407407411E-2</v>
      </c>
      <c r="C7505" s="421" t="s">
        <v>1344</v>
      </c>
    </row>
    <row r="7506" spans="1:3" x14ac:dyDescent="0.25">
      <c r="A7506" s="417">
        <v>41548</v>
      </c>
      <c r="B7506" s="418">
        <v>6.2094907407407411E-2</v>
      </c>
      <c r="C7506" s="421" t="s">
        <v>1344</v>
      </c>
    </row>
    <row r="7507" spans="1:3" x14ac:dyDescent="0.25">
      <c r="A7507" s="417">
        <v>41548</v>
      </c>
      <c r="B7507" s="418">
        <v>6.2094907407407411E-2</v>
      </c>
      <c r="C7507" s="421" t="s">
        <v>1310</v>
      </c>
    </row>
    <row r="7508" spans="1:3" x14ac:dyDescent="0.25">
      <c r="A7508" s="417">
        <v>41548</v>
      </c>
      <c r="B7508" s="418">
        <v>6.2094907407407411E-2</v>
      </c>
      <c r="C7508" s="421" t="s">
        <v>1345</v>
      </c>
    </row>
    <row r="7509" spans="1:3" x14ac:dyDescent="0.25">
      <c r="A7509" s="417">
        <v>41548</v>
      </c>
      <c r="B7509" s="418">
        <v>6.2094907407407411E-2</v>
      </c>
      <c r="C7509" s="421" t="s">
        <v>1346</v>
      </c>
    </row>
    <row r="7510" spans="1:3" x14ac:dyDescent="0.25">
      <c r="A7510" s="417">
        <v>41548</v>
      </c>
      <c r="B7510" s="418">
        <v>6.2094907407407411E-2</v>
      </c>
      <c r="C7510" s="421" t="s">
        <v>1347</v>
      </c>
    </row>
    <row r="7511" spans="1:3" x14ac:dyDescent="0.25">
      <c r="A7511" s="417">
        <v>41548</v>
      </c>
      <c r="B7511" s="418">
        <v>6.2094907407407411E-2</v>
      </c>
      <c r="C7511" s="421" t="s">
        <v>1348</v>
      </c>
    </row>
    <row r="7512" spans="1:3" x14ac:dyDescent="0.25">
      <c r="A7512" s="417">
        <v>41548</v>
      </c>
      <c r="B7512" s="418">
        <v>6.2094907407407411E-2</v>
      </c>
      <c r="C7512" s="421" t="s">
        <v>1349</v>
      </c>
    </row>
    <row r="7513" spans="1:3" x14ac:dyDescent="0.25">
      <c r="A7513" s="417">
        <v>41548</v>
      </c>
      <c r="B7513" s="418">
        <v>6.2094907407407411E-2</v>
      </c>
      <c r="C7513" s="421" t="s">
        <v>1349</v>
      </c>
    </row>
    <row r="7514" spans="1:3" x14ac:dyDescent="0.25">
      <c r="A7514" s="417">
        <v>41548</v>
      </c>
      <c r="B7514" s="418">
        <v>6.2094907407407411E-2</v>
      </c>
      <c r="C7514" s="421" t="s">
        <v>1348</v>
      </c>
    </row>
    <row r="7515" spans="1:3" x14ac:dyDescent="0.25">
      <c r="A7515" s="417">
        <v>41548</v>
      </c>
      <c r="B7515" s="418">
        <v>6.2094907407407411E-2</v>
      </c>
      <c r="C7515" s="421" t="s">
        <v>1350</v>
      </c>
    </row>
    <row r="7516" spans="1:3" x14ac:dyDescent="0.25">
      <c r="A7516" s="417">
        <v>41548</v>
      </c>
      <c r="B7516" s="418">
        <v>6.2094907407407411E-2</v>
      </c>
      <c r="C7516" s="421" t="s">
        <v>1351</v>
      </c>
    </row>
    <row r="7517" spans="1:3" x14ac:dyDescent="0.25">
      <c r="A7517" s="417">
        <v>41548</v>
      </c>
      <c r="B7517" s="418">
        <v>6.2094907407407411E-2</v>
      </c>
      <c r="C7517" s="421" t="s">
        <v>1352</v>
      </c>
    </row>
    <row r="7518" spans="1:3" x14ac:dyDescent="0.25">
      <c r="A7518" s="417">
        <v>41548</v>
      </c>
      <c r="B7518" s="418">
        <v>6.2094907407407411E-2</v>
      </c>
      <c r="C7518" s="421" t="s">
        <v>1768</v>
      </c>
    </row>
    <row r="7519" spans="1:3" x14ac:dyDescent="0.25">
      <c r="A7519" s="417">
        <v>41548</v>
      </c>
      <c r="B7519" s="418">
        <v>6.2094907407407411E-2</v>
      </c>
      <c r="C7519" s="421" t="s">
        <v>1353</v>
      </c>
    </row>
    <row r="7520" spans="1:3" x14ac:dyDescent="0.25">
      <c r="A7520" s="417">
        <v>41548</v>
      </c>
      <c r="B7520" s="418">
        <v>6.2094907407407411E-2</v>
      </c>
      <c r="C7520" s="421" t="s">
        <v>1354</v>
      </c>
    </row>
    <row r="7521" spans="1:3" x14ac:dyDescent="0.25">
      <c r="A7521" s="417">
        <v>41548</v>
      </c>
      <c r="B7521" s="418">
        <v>6.2094907407407411E-2</v>
      </c>
      <c r="C7521" s="421" t="s">
        <v>1357</v>
      </c>
    </row>
    <row r="7522" spans="1:3" x14ac:dyDescent="0.25">
      <c r="A7522" s="417">
        <v>41548</v>
      </c>
      <c r="B7522" s="418">
        <v>6.2094907407407411E-2</v>
      </c>
      <c r="C7522" s="421" t="s">
        <v>1358</v>
      </c>
    </row>
    <row r="7523" spans="1:3" x14ac:dyDescent="0.25">
      <c r="A7523" s="417">
        <v>41548</v>
      </c>
      <c r="B7523" s="418">
        <v>6.2094907407407411E-2</v>
      </c>
      <c r="C7523" s="421" t="s">
        <v>1359</v>
      </c>
    </row>
    <row r="7524" spans="1:3" x14ac:dyDescent="0.25">
      <c r="A7524" s="417">
        <v>41548</v>
      </c>
      <c r="B7524" s="418">
        <v>6.2094907407407411E-2</v>
      </c>
      <c r="C7524" s="421" t="s">
        <v>1360</v>
      </c>
    </row>
    <row r="7525" spans="1:3" x14ac:dyDescent="0.25">
      <c r="A7525" s="417">
        <v>41548</v>
      </c>
      <c r="B7525" s="418">
        <v>6.2094907407407411E-2</v>
      </c>
      <c r="C7525" s="421" t="s">
        <v>1361</v>
      </c>
    </row>
    <row r="7526" spans="1:3" x14ac:dyDescent="0.25">
      <c r="A7526" s="417">
        <v>41548</v>
      </c>
      <c r="B7526" s="418">
        <v>6.2094907407407411E-2</v>
      </c>
      <c r="C7526" s="421" t="s">
        <v>1317</v>
      </c>
    </row>
    <row r="7527" spans="1:3" x14ac:dyDescent="0.25">
      <c r="A7527" s="417">
        <v>41548</v>
      </c>
      <c r="B7527" s="418">
        <v>6.2094907407407411E-2</v>
      </c>
      <c r="C7527" s="421" t="s">
        <v>1537</v>
      </c>
    </row>
    <row r="7528" spans="1:3" x14ac:dyDescent="0.25">
      <c r="A7528" s="417">
        <v>41548</v>
      </c>
      <c r="B7528" s="418">
        <v>6.2094907407407411E-2</v>
      </c>
      <c r="C7528" s="421" t="s">
        <v>1363</v>
      </c>
    </row>
    <row r="7529" spans="1:3" x14ac:dyDescent="0.25">
      <c r="A7529" s="417">
        <v>41548</v>
      </c>
      <c r="B7529" s="418">
        <v>6.2094907407407411E-2</v>
      </c>
      <c r="C7529" s="421" t="s">
        <v>1364</v>
      </c>
    </row>
    <row r="7530" spans="1:3" x14ac:dyDescent="0.25">
      <c r="A7530" s="417">
        <v>41548</v>
      </c>
      <c r="B7530" s="418">
        <v>6.2094907407407411E-2</v>
      </c>
      <c r="C7530" s="421" t="s">
        <v>1365</v>
      </c>
    </row>
    <row r="7531" spans="1:3" x14ac:dyDescent="0.25">
      <c r="A7531" s="417">
        <v>41548</v>
      </c>
      <c r="B7531" s="418">
        <v>6.2094907407407411E-2</v>
      </c>
      <c r="C7531" s="421" t="s">
        <v>1365</v>
      </c>
    </row>
    <row r="7532" spans="1:3" x14ac:dyDescent="0.25">
      <c r="A7532" s="417">
        <v>41548</v>
      </c>
      <c r="B7532" s="418">
        <v>6.2094907407407411E-2</v>
      </c>
      <c r="C7532" s="421" t="s">
        <v>1320</v>
      </c>
    </row>
    <row r="7533" spans="1:3" x14ac:dyDescent="0.25">
      <c r="A7533" s="417">
        <v>41548</v>
      </c>
      <c r="B7533" s="418">
        <v>6.2094907407407411E-2</v>
      </c>
      <c r="C7533" s="421" t="s">
        <v>1962</v>
      </c>
    </row>
    <row r="7534" spans="1:3" ht="60" x14ac:dyDescent="0.25">
      <c r="A7534" s="417">
        <v>41548</v>
      </c>
      <c r="B7534" s="418">
        <v>6.2094907407407411E-2</v>
      </c>
      <c r="C7534" s="946" t="s">
        <v>1963</v>
      </c>
    </row>
    <row r="7535" spans="1:3" x14ac:dyDescent="0.25">
      <c r="A7535" s="417">
        <v>41548</v>
      </c>
      <c r="B7535" s="418">
        <v>6.2337962962962963E-2</v>
      </c>
      <c r="C7535" s="421" t="s">
        <v>1367</v>
      </c>
    </row>
    <row r="7536" spans="1:3" x14ac:dyDescent="0.25">
      <c r="A7536" s="417">
        <v>41548</v>
      </c>
      <c r="B7536" s="418">
        <v>6.2337962962962963E-2</v>
      </c>
      <c r="C7536" s="421" t="s">
        <v>1344</v>
      </c>
    </row>
    <row r="7537" spans="1:3" x14ac:dyDescent="0.25">
      <c r="A7537" s="417">
        <v>41548</v>
      </c>
      <c r="B7537" s="418">
        <v>6.2337962962962963E-2</v>
      </c>
      <c r="C7537" s="421" t="s">
        <v>1368</v>
      </c>
    </row>
    <row r="7538" spans="1:3" x14ac:dyDescent="0.25">
      <c r="A7538" s="417">
        <v>41548</v>
      </c>
      <c r="B7538" s="418">
        <v>6.2337962962962963E-2</v>
      </c>
      <c r="C7538" s="421" t="s">
        <v>1369</v>
      </c>
    </row>
    <row r="7539" spans="1:3" x14ac:dyDescent="0.25">
      <c r="A7539" s="417">
        <v>41548</v>
      </c>
      <c r="B7539" s="418">
        <v>6.2337962962962963E-2</v>
      </c>
      <c r="C7539" s="421" t="s">
        <v>1307</v>
      </c>
    </row>
    <row r="7540" spans="1:3" x14ac:dyDescent="0.25">
      <c r="A7540" s="417">
        <v>41548</v>
      </c>
      <c r="B7540" s="418">
        <v>6.2337962962962963E-2</v>
      </c>
      <c r="C7540" s="421" t="s">
        <v>1370</v>
      </c>
    </row>
    <row r="7541" spans="1:3" x14ac:dyDescent="0.25">
      <c r="A7541" s="417">
        <v>41548</v>
      </c>
      <c r="B7541" s="418">
        <v>6.2337962962962963E-2</v>
      </c>
      <c r="C7541" s="421" t="s">
        <v>1371</v>
      </c>
    </row>
    <row r="7542" spans="1:3" x14ac:dyDescent="0.25">
      <c r="A7542" s="417">
        <v>41548</v>
      </c>
      <c r="B7542" s="418">
        <v>6.2337962962962963E-2</v>
      </c>
      <c r="C7542" s="421" t="s">
        <v>1344</v>
      </c>
    </row>
    <row r="7543" spans="1:3" x14ac:dyDescent="0.25">
      <c r="A7543" s="417">
        <v>41548</v>
      </c>
      <c r="B7543" s="418">
        <v>6.2337962962962963E-2</v>
      </c>
      <c r="C7543" s="421" t="s">
        <v>1317</v>
      </c>
    </row>
    <row r="7544" spans="1:3" x14ac:dyDescent="0.25">
      <c r="A7544" s="417">
        <v>41548</v>
      </c>
      <c r="B7544" s="418">
        <v>6.2337962962962963E-2</v>
      </c>
      <c r="C7544" s="421" t="s">
        <v>1463</v>
      </c>
    </row>
    <row r="7545" spans="1:3" x14ac:dyDescent="0.25">
      <c r="A7545" s="417">
        <v>41548</v>
      </c>
      <c r="B7545" s="418">
        <v>6.2337962962962963E-2</v>
      </c>
      <c r="C7545" s="421" t="s">
        <v>1373</v>
      </c>
    </row>
    <row r="7546" spans="1:3" x14ac:dyDescent="0.25">
      <c r="A7546" s="417">
        <v>41548</v>
      </c>
      <c r="B7546" s="418">
        <v>6.2337962962962963E-2</v>
      </c>
      <c r="C7546" s="421" t="s">
        <v>1308</v>
      </c>
    </row>
    <row r="7547" spans="1:3" x14ac:dyDescent="0.25">
      <c r="A7547" s="417">
        <v>41548</v>
      </c>
      <c r="B7547" s="418">
        <v>6.2349537037037044E-2</v>
      </c>
      <c r="C7547" s="421" t="s">
        <v>1374</v>
      </c>
    </row>
    <row r="7548" spans="1:3" x14ac:dyDescent="0.25">
      <c r="A7548" s="417">
        <v>41548</v>
      </c>
      <c r="B7548" s="418">
        <v>6.2349537037037044E-2</v>
      </c>
      <c r="C7548" s="421" t="s">
        <v>1375</v>
      </c>
    </row>
    <row r="7549" spans="1:3" x14ac:dyDescent="0.25">
      <c r="A7549" s="417">
        <v>41548</v>
      </c>
      <c r="B7549" s="418">
        <v>6.2349537037037044E-2</v>
      </c>
      <c r="C7549" s="421" t="s">
        <v>1376</v>
      </c>
    </row>
    <row r="7550" spans="1:3" x14ac:dyDescent="0.25">
      <c r="A7550" s="417">
        <v>41548</v>
      </c>
      <c r="B7550" s="418">
        <v>6.2349537037037044E-2</v>
      </c>
      <c r="C7550" s="421" t="s">
        <v>1377</v>
      </c>
    </row>
    <row r="7551" spans="1:3" x14ac:dyDescent="0.25">
      <c r="A7551" s="417">
        <v>41548</v>
      </c>
      <c r="B7551" s="418">
        <v>6.2349537037037044E-2</v>
      </c>
      <c r="C7551" s="421" t="s">
        <v>1326</v>
      </c>
    </row>
    <row r="7552" spans="1:3" x14ac:dyDescent="0.25">
      <c r="A7552" s="417">
        <v>41548</v>
      </c>
      <c r="B7552" s="418">
        <v>6.2349537037037044E-2</v>
      </c>
      <c r="C7552" s="421" t="s">
        <v>1755</v>
      </c>
    </row>
    <row r="7553" spans="1:3" x14ac:dyDescent="0.25">
      <c r="A7553" s="417">
        <v>41548</v>
      </c>
      <c r="B7553" s="418">
        <v>6.2349537037037044E-2</v>
      </c>
      <c r="C7553" s="421" t="s">
        <v>1380</v>
      </c>
    </row>
    <row r="7554" spans="1:3" x14ac:dyDescent="0.25">
      <c r="A7554" s="417">
        <v>41548</v>
      </c>
      <c r="B7554" s="418">
        <v>6.2349537037037044E-2</v>
      </c>
      <c r="C7554" s="421" t="s">
        <v>1381</v>
      </c>
    </row>
    <row r="7555" spans="1:3" x14ac:dyDescent="0.25">
      <c r="A7555" s="417">
        <v>41548</v>
      </c>
      <c r="B7555" s="418">
        <v>6.2349537037037044E-2</v>
      </c>
      <c r="C7555" s="421" t="s">
        <v>1382</v>
      </c>
    </row>
    <row r="7556" spans="1:3" x14ac:dyDescent="0.25">
      <c r="A7556" s="417">
        <v>41548</v>
      </c>
      <c r="B7556" s="418">
        <v>6.2349537037037044E-2</v>
      </c>
      <c r="C7556" s="421" t="s">
        <v>1383</v>
      </c>
    </row>
    <row r="7557" spans="1:3" x14ac:dyDescent="0.25">
      <c r="A7557" s="417">
        <v>41548</v>
      </c>
      <c r="B7557" s="418">
        <v>6.2349537037037044E-2</v>
      </c>
      <c r="C7557" s="421" t="s">
        <v>1352</v>
      </c>
    </row>
    <row r="7558" spans="1:3" x14ac:dyDescent="0.25">
      <c r="A7558" s="417">
        <v>41548</v>
      </c>
      <c r="B7558" s="418">
        <v>6.2349537037037044E-2</v>
      </c>
      <c r="C7558" s="421" t="s">
        <v>1384</v>
      </c>
    </row>
    <row r="7559" spans="1:3" x14ac:dyDescent="0.25">
      <c r="A7559" s="417">
        <v>41548</v>
      </c>
      <c r="B7559" s="418">
        <v>6.2349537037037044E-2</v>
      </c>
      <c r="C7559" s="421" t="s">
        <v>1385</v>
      </c>
    </row>
    <row r="7560" spans="1:3" x14ac:dyDescent="0.25">
      <c r="A7560" s="417">
        <v>41548</v>
      </c>
      <c r="B7560" s="418">
        <v>6.2349537037037044E-2</v>
      </c>
      <c r="C7560" s="421" t="s">
        <v>1385</v>
      </c>
    </row>
    <row r="7561" spans="1:3" x14ac:dyDescent="0.25">
      <c r="A7561" s="417">
        <v>41548</v>
      </c>
      <c r="B7561" s="418">
        <v>6.2349537037037044E-2</v>
      </c>
      <c r="C7561" s="421" t="s">
        <v>1386</v>
      </c>
    </row>
    <row r="7562" spans="1:3" x14ac:dyDescent="0.25">
      <c r="A7562" s="417">
        <v>41548</v>
      </c>
      <c r="B7562" s="418">
        <v>6.2349537037037044E-2</v>
      </c>
      <c r="C7562" s="421" t="s">
        <v>1387</v>
      </c>
    </row>
    <row r="7563" spans="1:3" x14ac:dyDescent="0.25">
      <c r="A7563" s="417">
        <v>41548</v>
      </c>
      <c r="B7563" s="418">
        <v>6.2349537037037044E-2</v>
      </c>
      <c r="C7563" s="421" t="s">
        <v>1387</v>
      </c>
    </row>
    <row r="7564" spans="1:3" x14ac:dyDescent="0.25">
      <c r="A7564" s="417">
        <v>41548</v>
      </c>
      <c r="B7564" s="418">
        <v>6.2349537037037044E-2</v>
      </c>
      <c r="C7564" s="421" t="s">
        <v>1318</v>
      </c>
    </row>
    <row r="7565" spans="1:3" x14ac:dyDescent="0.25">
      <c r="A7565" s="417">
        <v>41548</v>
      </c>
      <c r="B7565" s="418">
        <v>6.2349537037037044E-2</v>
      </c>
      <c r="C7565" s="421" t="s">
        <v>1388</v>
      </c>
    </row>
    <row r="7566" spans="1:3" x14ac:dyDescent="0.25">
      <c r="A7566" s="417">
        <v>41548</v>
      </c>
      <c r="B7566" s="418">
        <v>6.2349537037037044E-2</v>
      </c>
      <c r="C7566" s="421" t="s">
        <v>1390</v>
      </c>
    </row>
    <row r="7567" spans="1:3" x14ac:dyDescent="0.25">
      <c r="A7567" s="417">
        <v>41548</v>
      </c>
      <c r="B7567" s="418">
        <v>6.2349537037037044E-2</v>
      </c>
      <c r="C7567" s="421" t="s">
        <v>1391</v>
      </c>
    </row>
    <row r="7568" spans="1:3" x14ac:dyDescent="0.25">
      <c r="A7568" s="417">
        <v>41548</v>
      </c>
      <c r="B7568" s="418">
        <v>6.2349537037037044E-2</v>
      </c>
      <c r="C7568" s="421" t="s">
        <v>1392</v>
      </c>
    </row>
    <row r="7569" spans="1:3" x14ac:dyDescent="0.25">
      <c r="A7569" s="417">
        <v>41548</v>
      </c>
      <c r="B7569" s="418">
        <v>6.2349537037037044E-2</v>
      </c>
      <c r="C7569" s="421" t="s">
        <v>1795</v>
      </c>
    </row>
    <row r="7570" spans="1:3" x14ac:dyDescent="0.25">
      <c r="A7570" s="417">
        <v>41548</v>
      </c>
      <c r="B7570" s="418">
        <v>6.2349537037037044E-2</v>
      </c>
      <c r="C7570" s="421" t="s">
        <v>1393</v>
      </c>
    </row>
    <row r="7571" spans="1:3" x14ac:dyDescent="0.25">
      <c r="A7571" s="417">
        <v>41548</v>
      </c>
      <c r="B7571" s="418">
        <v>6.2349537037037044E-2</v>
      </c>
      <c r="C7571" s="421" t="s">
        <v>1394</v>
      </c>
    </row>
    <row r="7572" spans="1:3" x14ac:dyDescent="0.25">
      <c r="A7572" s="417">
        <v>41548</v>
      </c>
      <c r="B7572" s="418">
        <v>6.2349537037037044E-2</v>
      </c>
      <c r="C7572" s="421" t="s">
        <v>1392</v>
      </c>
    </row>
    <row r="7573" spans="1:3" x14ac:dyDescent="0.25">
      <c r="A7573" s="417">
        <v>41548</v>
      </c>
      <c r="B7573" s="418">
        <v>6.2349537037037044E-2</v>
      </c>
      <c r="C7573" s="421" t="s">
        <v>1395</v>
      </c>
    </row>
    <row r="7574" spans="1:3" x14ac:dyDescent="0.25">
      <c r="A7574" s="417">
        <v>41548</v>
      </c>
      <c r="B7574" s="418">
        <v>6.2349537037037044E-2</v>
      </c>
      <c r="C7574" s="421" t="s">
        <v>1396</v>
      </c>
    </row>
    <row r="7575" spans="1:3" x14ac:dyDescent="0.25">
      <c r="A7575" s="417">
        <v>41548</v>
      </c>
      <c r="B7575" s="418">
        <v>6.2349537037037044E-2</v>
      </c>
      <c r="C7575" s="421" t="s">
        <v>1363</v>
      </c>
    </row>
    <row r="7576" spans="1:3" x14ac:dyDescent="0.25">
      <c r="A7576" s="417">
        <v>41548</v>
      </c>
      <c r="B7576" s="418">
        <v>6.2349537037037044E-2</v>
      </c>
      <c r="C7576" s="421" t="s">
        <v>1346</v>
      </c>
    </row>
    <row r="7577" spans="1:3" x14ac:dyDescent="0.25">
      <c r="A7577" s="417">
        <v>41548</v>
      </c>
      <c r="B7577" s="418">
        <v>6.2349537037037044E-2</v>
      </c>
      <c r="C7577" s="421" t="s">
        <v>1397</v>
      </c>
    </row>
    <row r="7578" spans="1:3" x14ac:dyDescent="0.25">
      <c r="A7578" s="417">
        <v>41548</v>
      </c>
      <c r="B7578" s="418">
        <v>6.2349537037037044E-2</v>
      </c>
      <c r="C7578" s="421" t="s">
        <v>1381</v>
      </c>
    </row>
    <row r="7579" spans="1:3" x14ac:dyDescent="0.25">
      <c r="A7579" s="417">
        <v>41548</v>
      </c>
      <c r="B7579" s="418">
        <v>6.2349537037037044E-2</v>
      </c>
      <c r="C7579" s="421" t="s">
        <v>1398</v>
      </c>
    </row>
    <row r="7580" spans="1:3" x14ac:dyDescent="0.25">
      <c r="A7580" s="417">
        <v>41548</v>
      </c>
      <c r="B7580" s="418">
        <v>6.2349537037037044E-2</v>
      </c>
      <c r="C7580" s="421" t="s">
        <v>1399</v>
      </c>
    </row>
    <row r="7581" spans="1:3" x14ac:dyDescent="0.25">
      <c r="A7581" s="417">
        <v>41548</v>
      </c>
      <c r="B7581" s="418">
        <v>6.2349537037037044E-2</v>
      </c>
      <c r="C7581" s="421" t="s">
        <v>1400</v>
      </c>
    </row>
    <row r="7582" spans="1:3" x14ac:dyDescent="0.25">
      <c r="A7582" s="417">
        <v>41548</v>
      </c>
      <c r="B7582" s="418">
        <v>6.2349537037037044E-2</v>
      </c>
      <c r="C7582" s="421" t="s">
        <v>1400</v>
      </c>
    </row>
    <row r="7583" spans="1:3" x14ac:dyDescent="0.25">
      <c r="A7583" s="417">
        <v>41548</v>
      </c>
      <c r="B7583" s="418">
        <v>6.2349537037037044E-2</v>
      </c>
      <c r="C7583" s="421" t="s">
        <v>1373</v>
      </c>
    </row>
    <row r="7584" spans="1:3" x14ac:dyDescent="0.25">
      <c r="A7584" s="417">
        <v>41548</v>
      </c>
      <c r="B7584" s="418">
        <v>6.2349537037037044E-2</v>
      </c>
      <c r="C7584" s="421" t="s">
        <v>1353</v>
      </c>
    </row>
    <row r="7585" spans="1:3" x14ac:dyDescent="0.25">
      <c r="A7585" s="417">
        <v>41548</v>
      </c>
      <c r="B7585" s="418">
        <v>6.2349537037037044E-2</v>
      </c>
      <c r="C7585" s="421" t="s">
        <v>1353</v>
      </c>
    </row>
    <row r="7586" spans="1:3" x14ac:dyDescent="0.25">
      <c r="A7586" s="417">
        <v>41548</v>
      </c>
      <c r="B7586" s="418">
        <v>6.2349537037037044E-2</v>
      </c>
      <c r="C7586" s="421" t="s">
        <v>1401</v>
      </c>
    </row>
    <row r="7587" spans="1:3" x14ac:dyDescent="0.25">
      <c r="A7587" s="417">
        <v>41548</v>
      </c>
      <c r="B7587" s="418">
        <v>6.2349537037037044E-2</v>
      </c>
      <c r="C7587" s="421" t="s">
        <v>1392</v>
      </c>
    </row>
    <row r="7588" spans="1:3" x14ac:dyDescent="0.25">
      <c r="A7588" s="417">
        <v>41548</v>
      </c>
      <c r="B7588" s="418">
        <v>6.2349537037037044E-2</v>
      </c>
      <c r="C7588" s="421" t="s">
        <v>1403</v>
      </c>
    </row>
    <row r="7589" spans="1:3" x14ac:dyDescent="0.25">
      <c r="A7589" s="417">
        <v>41548</v>
      </c>
      <c r="B7589" s="418">
        <v>6.2349537037037044E-2</v>
      </c>
      <c r="C7589" s="421" t="s">
        <v>1403</v>
      </c>
    </row>
    <row r="7590" spans="1:3" x14ac:dyDescent="0.25">
      <c r="A7590" s="417">
        <v>41548</v>
      </c>
      <c r="B7590" s="418">
        <v>6.2349537037037044E-2</v>
      </c>
      <c r="C7590" s="421" t="s">
        <v>1403</v>
      </c>
    </row>
    <row r="7591" spans="1:3" x14ac:dyDescent="0.25">
      <c r="A7591" s="417">
        <v>41548</v>
      </c>
      <c r="B7591" s="418">
        <v>6.2349537037037044E-2</v>
      </c>
      <c r="C7591" s="421" t="s">
        <v>1364</v>
      </c>
    </row>
    <row r="7592" spans="1:3" x14ac:dyDescent="0.25">
      <c r="A7592" s="417">
        <v>41548</v>
      </c>
      <c r="B7592" s="418">
        <v>6.2349537037037044E-2</v>
      </c>
      <c r="C7592" s="421" t="s">
        <v>1364</v>
      </c>
    </row>
    <row r="7593" spans="1:3" x14ac:dyDescent="0.25">
      <c r="A7593" s="417">
        <v>41548</v>
      </c>
      <c r="B7593" s="418">
        <v>6.2349537037037044E-2</v>
      </c>
      <c r="C7593" s="421" t="s">
        <v>1381</v>
      </c>
    </row>
    <row r="7594" spans="1:3" x14ac:dyDescent="0.25">
      <c r="A7594" s="417">
        <v>41548</v>
      </c>
      <c r="B7594" s="418">
        <v>6.2349537037037044E-2</v>
      </c>
      <c r="C7594" s="421" t="s">
        <v>1364</v>
      </c>
    </row>
    <row r="7595" spans="1:3" x14ac:dyDescent="0.25">
      <c r="A7595" s="417">
        <v>41548</v>
      </c>
      <c r="B7595" s="418">
        <v>6.2349537037037044E-2</v>
      </c>
      <c r="C7595" s="421" t="s">
        <v>1480</v>
      </c>
    </row>
    <row r="7596" spans="1:3" x14ac:dyDescent="0.25">
      <c r="A7596" s="417">
        <v>41548</v>
      </c>
      <c r="B7596" s="418">
        <v>6.2349537037037044E-2</v>
      </c>
      <c r="C7596" s="421" t="s">
        <v>1480</v>
      </c>
    </row>
    <row r="7597" spans="1:3" x14ac:dyDescent="0.25">
      <c r="A7597" s="417">
        <v>41548</v>
      </c>
      <c r="B7597" s="418">
        <v>6.2349537037037044E-2</v>
      </c>
      <c r="C7597" s="421" t="s">
        <v>1480</v>
      </c>
    </row>
    <row r="7598" spans="1:3" x14ac:dyDescent="0.25">
      <c r="A7598" s="417">
        <v>41548</v>
      </c>
      <c r="B7598" s="418">
        <v>6.2349537037037044E-2</v>
      </c>
      <c r="C7598" s="421" t="s">
        <v>1996</v>
      </c>
    </row>
    <row r="7599" spans="1:3" x14ac:dyDescent="0.25">
      <c r="A7599" s="417">
        <v>41548</v>
      </c>
      <c r="B7599" s="418">
        <v>6.2349537037037044E-2</v>
      </c>
      <c r="C7599" s="421" t="s">
        <v>1541</v>
      </c>
    </row>
    <row r="7600" spans="1:3" x14ac:dyDescent="0.25">
      <c r="A7600" s="417">
        <v>41548</v>
      </c>
      <c r="B7600" s="418">
        <v>6.236111111111111E-2</v>
      </c>
      <c r="C7600" s="421" t="s">
        <v>1346</v>
      </c>
    </row>
    <row r="7601" spans="1:3" x14ac:dyDescent="0.25">
      <c r="A7601" s="417">
        <v>41548</v>
      </c>
      <c r="B7601" s="418">
        <v>6.236111111111111E-2</v>
      </c>
      <c r="C7601" s="421" t="s">
        <v>1405</v>
      </c>
    </row>
    <row r="7602" spans="1:3" x14ac:dyDescent="0.25">
      <c r="A7602" s="417">
        <v>41548</v>
      </c>
      <c r="B7602" s="418">
        <v>6.236111111111111E-2</v>
      </c>
      <c r="C7602" s="421" t="s">
        <v>1406</v>
      </c>
    </row>
    <row r="7603" spans="1:3" x14ac:dyDescent="0.25">
      <c r="A7603" s="417">
        <v>41548</v>
      </c>
      <c r="B7603" s="418">
        <v>6.2384259259259257E-2</v>
      </c>
      <c r="C7603" s="421" t="s">
        <v>1997</v>
      </c>
    </row>
    <row r="7604" spans="1:3" x14ac:dyDescent="0.25">
      <c r="A7604" s="417">
        <v>41548</v>
      </c>
      <c r="B7604" s="418">
        <v>6.2384259259259257E-2</v>
      </c>
      <c r="C7604" s="421" t="s">
        <v>1318</v>
      </c>
    </row>
    <row r="7605" spans="1:3" x14ac:dyDescent="0.25">
      <c r="A7605" s="417">
        <v>41548</v>
      </c>
      <c r="B7605" s="418">
        <v>6.2407407407407411E-2</v>
      </c>
      <c r="C7605" s="421" t="s">
        <v>1368</v>
      </c>
    </row>
    <row r="7606" spans="1:3" x14ac:dyDescent="0.25">
      <c r="A7606" s="417">
        <v>41548</v>
      </c>
      <c r="B7606" s="418">
        <v>6.2407407407407411E-2</v>
      </c>
      <c r="C7606" s="421" t="s">
        <v>1368</v>
      </c>
    </row>
    <row r="7607" spans="1:3" x14ac:dyDescent="0.25">
      <c r="A7607" s="417">
        <v>41548</v>
      </c>
      <c r="B7607" s="418">
        <v>6.2407407407407411E-2</v>
      </c>
      <c r="C7607" s="421" t="s">
        <v>1368</v>
      </c>
    </row>
    <row r="7608" spans="1:3" x14ac:dyDescent="0.25">
      <c r="A7608" s="417">
        <v>41548</v>
      </c>
      <c r="B7608" s="418">
        <v>6.2407407407407411E-2</v>
      </c>
      <c r="C7608" s="421" t="s">
        <v>1368</v>
      </c>
    </row>
    <row r="7609" spans="1:3" x14ac:dyDescent="0.25">
      <c r="A7609" s="417">
        <v>41548</v>
      </c>
      <c r="B7609" s="418">
        <v>6.2407407407407411E-2</v>
      </c>
      <c r="C7609" s="421" t="s">
        <v>1368</v>
      </c>
    </row>
    <row r="7610" spans="1:3" x14ac:dyDescent="0.25">
      <c r="A7610" s="417">
        <v>41548</v>
      </c>
      <c r="B7610" s="418">
        <v>6.2407407407407411E-2</v>
      </c>
      <c r="C7610" s="421" t="s">
        <v>1409</v>
      </c>
    </row>
    <row r="7611" spans="1:3" x14ac:dyDescent="0.25">
      <c r="A7611" s="417">
        <v>41548</v>
      </c>
      <c r="B7611" s="418">
        <v>6.2407407407407411E-2</v>
      </c>
      <c r="C7611" s="421" t="s">
        <v>1308</v>
      </c>
    </row>
    <row r="7612" spans="1:3" x14ac:dyDescent="0.25">
      <c r="A7612" s="417">
        <v>41548</v>
      </c>
      <c r="B7612" s="418">
        <v>6.2418981481481478E-2</v>
      </c>
      <c r="C7612" s="421" t="s">
        <v>1410</v>
      </c>
    </row>
    <row r="7613" spans="1:3" x14ac:dyDescent="0.25">
      <c r="A7613" s="417">
        <v>41548</v>
      </c>
      <c r="B7613" s="418">
        <v>6.2418981481481478E-2</v>
      </c>
      <c r="C7613" s="421" t="s">
        <v>1410</v>
      </c>
    </row>
    <row r="7614" spans="1:3" x14ac:dyDescent="0.25">
      <c r="A7614" s="417">
        <v>41548</v>
      </c>
      <c r="B7614" s="418">
        <v>6.2418981481481478E-2</v>
      </c>
      <c r="C7614" s="421" t="s">
        <v>1411</v>
      </c>
    </row>
    <row r="7615" spans="1:3" x14ac:dyDescent="0.25">
      <c r="A7615" s="417">
        <v>41548</v>
      </c>
      <c r="B7615" s="418">
        <v>6.2430555555555552E-2</v>
      </c>
      <c r="C7615" s="421" t="s">
        <v>1998</v>
      </c>
    </row>
    <row r="7616" spans="1:3" x14ac:dyDescent="0.25">
      <c r="A7616" s="417">
        <v>41548</v>
      </c>
      <c r="B7616" s="418">
        <v>6.2442129629629632E-2</v>
      </c>
      <c r="C7616" s="421" t="s">
        <v>1413</v>
      </c>
    </row>
    <row r="7617" spans="1:3" x14ac:dyDescent="0.25">
      <c r="A7617" s="417">
        <v>41548</v>
      </c>
      <c r="B7617" s="418">
        <v>6.2442129629629632E-2</v>
      </c>
      <c r="C7617" s="421" t="s">
        <v>1414</v>
      </c>
    </row>
    <row r="7618" spans="1:3" x14ac:dyDescent="0.25">
      <c r="A7618" s="417">
        <v>41548</v>
      </c>
      <c r="B7618" s="418">
        <v>6.2453703703703706E-2</v>
      </c>
      <c r="C7618" s="421" t="s">
        <v>1373</v>
      </c>
    </row>
    <row r="7619" spans="1:3" x14ac:dyDescent="0.25">
      <c r="A7619" s="417">
        <v>41548</v>
      </c>
      <c r="B7619" s="418">
        <v>6.2453703703703706E-2</v>
      </c>
      <c r="C7619" s="421" t="s">
        <v>1999</v>
      </c>
    </row>
    <row r="7620" spans="1:3" x14ac:dyDescent="0.25">
      <c r="A7620" s="417">
        <v>41548</v>
      </c>
      <c r="B7620" s="418">
        <v>6.2511574074074081E-2</v>
      </c>
      <c r="C7620" s="421" t="s">
        <v>1409</v>
      </c>
    </row>
    <row r="7621" spans="1:3" x14ac:dyDescent="0.25">
      <c r="A7621" s="417">
        <v>41548</v>
      </c>
      <c r="B7621" s="418">
        <v>6.2523148148148147E-2</v>
      </c>
      <c r="C7621" s="421" t="s">
        <v>1416</v>
      </c>
    </row>
    <row r="7622" spans="1:3" x14ac:dyDescent="0.25">
      <c r="A7622" s="417">
        <v>41548</v>
      </c>
      <c r="B7622" s="418">
        <v>6.2523148148148147E-2</v>
      </c>
      <c r="C7622" s="421" t="s">
        <v>2000</v>
      </c>
    </row>
    <row r="7623" spans="1:3" x14ac:dyDescent="0.25">
      <c r="A7623" s="417">
        <v>41548</v>
      </c>
      <c r="B7623" s="418">
        <v>6.2523148148148147E-2</v>
      </c>
      <c r="C7623" s="421" t="s">
        <v>1348</v>
      </c>
    </row>
    <row r="7624" spans="1:3" x14ac:dyDescent="0.25">
      <c r="A7624" s="417">
        <v>41548</v>
      </c>
      <c r="B7624" s="418">
        <v>6.2523148148148147E-2</v>
      </c>
      <c r="C7624" s="421" t="s">
        <v>1419</v>
      </c>
    </row>
    <row r="7625" spans="1:3" x14ac:dyDescent="0.25">
      <c r="A7625" s="417">
        <v>41548</v>
      </c>
      <c r="B7625" s="418">
        <v>6.2523148148148147E-2</v>
      </c>
      <c r="C7625" s="421" t="s">
        <v>1419</v>
      </c>
    </row>
    <row r="7626" spans="1:3" x14ac:dyDescent="0.25">
      <c r="A7626" s="417">
        <v>41548</v>
      </c>
      <c r="B7626" s="418">
        <v>6.2534722222222228E-2</v>
      </c>
      <c r="C7626" s="421" t="s">
        <v>1420</v>
      </c>
    </row>
    <row r="7627" spans="1:3" x14ac:dyDescent="0.25">
      <c r="A7627" s="417">
        <v>41548</v>
      </c>
      <c r="B7627" s="418">
        <v>6.2557870370370375E-2</v>
      </c>
      <c r="C7627" s="421" t="s">
        <v>2001</v>
      </c>
    </row>
    <row r="7628" spans="1:3" x14ac:dyDescent="0.25">
      <c r="A7628" s="417">
        <v>41548</v>
      </c>
      <c r="B7628" s="418">
        <v>6.2557870370370375E-2</v>
      </c>
      <c r="C7628" s="421" t="s">
        <v>2002</v>
      </c>
    </row>
    <row r="7629" spans="1:3" x14ac:dyDescent="0.25">
      <c r="A7629" s="417">
        <v>41548</v>
      </c>
      <c r="B7629" s="418">
        <v>6.2557870370370375E-2</v>
      </c>
      <c r="C7629" s="421" t="s">
        <v>2003</v>
      </c>
    </row>
    <row r="7630" spans="1:3" x14ac:dyDescent="0.25">
      <c r="A7630" s="417">
        <v>41548</v>
      </c>
      <c r="B7630" s="418">
        <v>6.2569444444444441E-2</v>
      </c>
      <c r="C7630" s="421" t="s">
        <v>2004</v>
      </c>
    </row>
    <row r="7631" spans="1:3" x14ac:dyDescent="0.25">
      <c r="A7631" s="417">
        <v>41548</v>
      </c>
      <c r="B7631" s="418">
        <v>6.2581018518518508E-2</v>
      </c>
      <c r="C7631" s="421" t="s">
        <v>2005</v>
      </c>
    </row>
    <row r="7632" spans="1:3" x14ac:dyDescent="0.25">
      <c r="A7632" s="417">
        <v>41548</v>
      </c>
      <c r="B7632" s="418">
        <v>6.2581018518518508E-2</v>
      </c>
      <c r="C7632" s="421" t="s">
        <v>2006</v>
      </c>
    </row>
    <row r="7633" spans="1:3" x14ac:dyDescent="0.25">
      <c r="A7633" s="417">
        <v>41548</v>
      </c>
      <c r="B7633" s="418">
        <v>6.2581018518518508E-2</v>
      </c>
      <c r="C7633" s="421" t="s">
        <v>2007</v>
      </c>
    </row>
    <row r="7634" spans="1:3" x14ac:dyDescent="0.25">
      <c r="A7634" s="417">
        <v>41548</v>
      </c>
      <c r="B7634" s="418">
        <v>6.2581018518518508E-2</v>
      </c>
      <c r="C7634" s="421" t="s">
        <v>2008</v>
      </c>
    </row>
    <row r="7635" spans="1:3" x14ac:dyDescent="0.25">
      <c r="A7635" s="417">
        <v>41548</v>
      </c>
      <c r="B7635" s="418">
        <v>6.2592592592592589E-2</v>
      </c>
      <c r="C7635" s="421" t="s">
        <v>1320</v>
      </c>
    </row>
    <row r="7636" spans="1:3" x14ac:dyDescent="0.25">
      <c r="A7636" s="417">
        <v>41548</v>
      </c>
      <c r="B7636" s="418">
        <v>6.2604166666666669E-2</v>
      </c>
      <c r="C7636" s="421" t="s">
        <v>1429</v>
      </c>
    </row>
    <row r="7637" spans="1:3" x14ac:dyDescent="0.25">
      <c r="A7637" s="417">
        <v>41548</v>
      </c>
      <c r="B7637" s="418">
        <v>6.2604166666666669E-2</v>
      </c>
      <c r="C7637" s="421" t="s">
        <v>1430</v>
      </c>
    </row>
    <row r="7638" spans="1:3" x14ac:dyDescent="0.25">
      <c r="A7638" s="417">
        <v>41548</v>
      </c>
      <c r="B7638" s="418">
        <v>6.2615740740740736E-2</v>
      </c>
      <c r="C7638" s="421" t="s">
        <v>2009</v>
      </c>
    </row>
    <row r="7639" spans="1:3" x14ac:dyDescent="0.25">
      <c r="A7639" s="417">
        <v>41548</v>
      </c>
      <c r="B7639" s="418">
        <v>6.2650462962962963E-2</v>
      </c>
      <c r="C7639" s="421" t="s">
        <v>1308</v>
      </c>
    </row>
    <row r="7640" spans="1:3" x14ac:dyDescent="0.25">
      <c r="A7640" s="417">
        <v>41548</v>
      </c>
      <c r="B7640" s="418">
        <v>6.2650462962962963E-2</v>
      </c>
      <c r="C7640" s="421" t="s">
        <v>1360</v>
      </c>
    </row>
    <row r="7641" spans="1:3" x14ac:dyDescent="0.25">
      <c r="A7641" s="417">
        <v>41548</v>
      </c>
      <c r="B7641" s="418">
        <v>6.2662037037037044E-2</v>
      </c>
      <c r="C7641" s="421" t="s">
        <v>1432</v>
      </c>
    </row>
    <row r="7642" spans="1:3" x14ac:dyDescent="0.25">
      <c r="A7642" s="417">
        <v>41548</v>
      </c>
      <c r="B7642" s="418">
        <v>6.2662037037037044E-2</v>
      </c>
      <c r="C7642" s="421" t="s">
        <v>1432</v>
      </c>
    </row>
    <row r="7643" spans="1:3" x14ac:dyDescent="0.25">
      <c r="A7643" s="417">
        <v>41548</v>
      </c>
      <c r="B7643" s="418">
        <v>6.2662037037037044E-2</v>
      </c>
      <c r="C7643" s="421" t="s">
        <v>1432</v>
      </c>
    </row>
    <row r="7644" spans="1:3" x14ac:dyDescent="0.25">
      <c r="A7644" s="417">
        <v>41548</v>
      </c>
      <c r="B7644" s="418">
        <v>6.2662037037037044E-2</v>
      </c>
      <c r="C7644" s="421" t="s">
        <v>1822</v>
      </c>
    </row>
    <row r="7645" spans="1:3" x14ac:dyDescent="0.25">
      <c r="A7645" s="417">
        <v>41548</v>
      </c>
      <c r="B7645" s="418">
        <v>6.2662037037037044E-2</v>
      </c>
      <c r="C7645" s="421" t="s">
        <v>1413</v>
      </c>
    </row>
    <row r="7646" spans="1:3" x14ac:dyDescent="0.25">
      <c r="A7646" s="417">
        <v>41548</v>
      </c>
      <c r="B7646" s="418">
        <v>6.267361111111111E-2</v>
      </c>
      <c r="C7646" s="421" t="s">
        <v>2010</v>
      </c>
    </row>
    <row r="7647" spans="1:3" x14ac:dyDescent="0.25">
      <c r="A7647" s="417">
        <v>41548</v>
      </c>
      <c r="B7647" s="418">
        <v>6.267361111111111E-2</v>
      </c>
      <c r="C7647" s="421" t="s">
        <v>2011</v>
      </c>
    </row>
    <row r="7648" spans="1:3" x14ac:dyDescent="0.25">
      <c r="A7648" s="417">
        <v>41548</v>
      </c>
      <c r="B7648" s="418">
        <v>6.267361111111111E-2</v>
      </c>
      <c r="C7648" s="421" t="s">
        <v>2012</v>
      </c>
    </row>
    <row r="7649" spans="1:3" x14ac:dyDescent="0.25">
      <c r="A7649" s="417">
        <v>41548</v>
      </c>
      <c r="B7649" s="418">
        <v>6.267361111111111E-2</v>
      </c>
      <c r="C7649" s="421" t="s">
        <v>2013</v>
      </c>
    </row>
    <row r="7650" spans="1:3" x14ac:dyDescent="0.25">
      <c r="A7650" s="417">
        <v>41548</v>
      </c>
      <c r="B7650" s="418">
        <v>6.267361111111111E-2</v>
      </c>
      <c r="C7650" s="421" t="s">
        <v>2014</v>
      </c>
    </row>
    <row r="7651" spans="1:3" x14ac:dyDescent="0.25">
      <c r="A7651" s="417">
        <v>41548</v>
      </c>
      <c r="B7651" s="418">
        <v>6.267361111111111E-2</v>
      </c>
      <c r="C7651" s="421" t="s">
        <v>1875</v>
      </c>
    </row>
    <row r="7652" spans="1:3" x14ac:dyDescent="0.25">
      <c r="A7652" s="417">
        <v>41548</v>
      </c>
      <c r="B7652" s="418">
        <v>6.2696759259259258E-2</v>
      </c>
      <c r="C7652" s="421" t="s">
        <v>2015</v>
      </c>
    </row>
    <row r="7653" spans="1:3" x14ac:dyDescent="0.25">
      <c r="A7653" s="417">
        <v>41548</v>
      </c>
      <c r="B7653" s="418">
        <v>6.2719907407407405E-2</v>
      </c>
      <c r="C7653" s="421" t="s">
        <v>1689</v>
      </c>
    </row>
    <row r="7654" spans="1:3" x14ac:dyDescent="0.25">
      <c r="A7654" s="417">
        <v>41548</v>
      </c>
      <c r="B7654" s="418">
        <v>6.2766203703703713E-2</v>
      </c>
      <c r="C7654" s="421" t="s">
        <v>2016</v>
      </c>
    </row>
    <row r="7655" spans="1:3" x14ac:dyDescent="0.25">
      <c r="A7655" s="417">
        <v>41548</v>
      </c>
      <c r="B7655" s="418">
        <v>6.277777777777778E-2</v>
      </c>
      <c r="C7655" s="421" t="s">
        <v>1320</v>
      </c>
    </row>
    <row r="7656" spans="1:3" x14ac:dyDescent="0.25">
      <c r="A7656" s="417">
        <v>41548</v>
      </c>
      <c r="B7656" s="418">
        <v>6.2847222222222221E-2</v>
      </c>
      <c r="C7656" s="421" t="s">
        <v>2017</v>
      </c>
    </row>
    <row r="7657" spans="1:3" x14ac:dyDescent="0.25">
      <c r="A7657" s="417">
        <v>41548</v>
      </c>
      <c r="B7657" s="418">
        <v>6.2847222222222221E-2</v>
      </c>
      <c r="C7657" s="421" t="s">
        <v>2018</v>
      </c>
    </row>
    <row r="7658" spans="1:3" x14ac:dyDescent="0.25">
      <c r="A7658" s="417">
        <v>41548</v>
      </c>
      <c r="B7658" s="418">
        <v>6.2847222222222221E-2</v>
      </c>
      <c r="C7658" s="421" t="s">
        <v>2019</v>
      </c>
    </row>
    <row r="7659" spans="1:3" x14ac:dyDescent="0.25">
      <c r="A7659" s="417">
        <v>41548</v>
      </c>
      <c r="B7659" s="418">
        <v>6.2847222222222221E-2</v>
      </c>
      <c r="C7659" s="421" t="s">
        <v>2020</v>
      </c>
    </row>
    <row r="7660" spans="1:3" x14ac:dyDescent="0.25">
      <c r="A7660" s="417">
        <v>41548</v>
      </c>
      <c r="B7660" s="418">
        <v>6.2870370370370368E-2</v>
      </c>
      <c r="C7660" s="421" t="s">
        <v>1446</v>
      </c>
    </row>
    <row r="7661" spans="1:3" x14ac:dyDescent="0.25">
      <c r="A7661" s="417">
        <v>41548</v>
      </c>
      <c r="B7661" s="418">
        <v>6.2974537037037037E-2</v>
      </c>
      <c r="C7661" s="421" t="s">
        <v>2021</v>
      </c>
    </row>
    <row r="7662" spans="1:3" x14ac:dyDescent="0.25">
      <c r="A7662" s="417">
        <v>41548</v>
      </c>
      <c r="B7662" s="418">
        <v>6.2974537037037037E-2</v>
      </c>
      <c r="C7662" s="421" t="s">
        <v>1389</v>
      </c>
    </row>
    <row r="7663" spans="1:3" x14ac:dyDescent="0.25">
      <c r="A7663" s="417">
        <v>41548</v>
      </c>
      <c r="B7663" s="418">
        <v>6.2986111111111118E-2</v>
      </c>
      <c r="C7663" s="421" t="s">
        <v>1448</v>
      </c>
    </row>
    <row r="7664" spans="1:3" x14ac:dyDescent="0.25">
      <c r="A7664" s="417">
        <v>41548</v>
      </c>
      <c r="B7664" s="418">
        <v>6.2997685185185184E-2</v>
      </c>
      <c r="C7664" s="421" t="s">
        <v>1450</v>
      </c>
    </row>
    <row r="7665" spans="1:3" x14ac:dyDescent="0.25">
      <c r="A7665" s="417">
        <v>41548</v>
      </c>
      <c r="B7665" s="418">
        <v>6.2997685185185184E-2</v>
      </c>
      <c r="C7665" s="421" t="s">
        <v>1450</v>
      </c>
    </row>
    <row r="7666" spans="1:3" x14ac:dyDescent="0.25">
      <c r="A7666" s="417">
        <v>41548</v>
      </c>
      <c r="B7666" s="418">
        <v>6.2997685185185184E-2</v>
      </c>
      <c r="C7666" s="421" t="s">
        <v>1450</v>
      </c>
    </row>
    <row r="7667" spans="1:3" x14ac:dyDescent="0.25">
      <c r="A7667" s="417">
        <v>41548</v>
      </c>
      <c r="B7667" s="418">
        <v>6.2997685185185184E-2</v>
      </c>
      <c r="C7667" s="421" t="s">
        <v>1450</v>
      </c>
    </row>
    <row r="7668" spans="1:3" x14ac:dyDescent="0.25">
      <c r="A7668" s="417">
        <v>41548</v>
      </c>
      <c r="B7668" s="418">
        <v>6.2997685185185184E-2</v>
      </c>
      <c r="C7668" s="421" t="s">
        <v>1450</v>
      </c>
    </row>
    <row r="7669" spans="1:3" x14ac:dyDescent="0.25">
      <c r="A7669" s="417">
        <v>41548</v>
      </c>
      <c r="B7669" s="418">
        <v>6.2997685185185184E-2</v>
      </c>
      <c r="C7669" s="421" t="s">
        <v>1450</v>
      </c>
    </row>
    <row r="7670" spans="1:3" x14ac:dyDescent="0.25">
      <c r="A7670" s="417">
        <v>41548</v>
      </c>
      <c r="B7670" s="418">
        <v>6.2997685185185184E-2</v>
      </c>
      <c r="C7670" s="421" t="s">
        <v>1450</v>
      </c>
    </row>
    <row r="7671" spans="1:3" x14ac:dyDescent="0.25">
      <c r="A7671" s="417">
        <v>41548</v>
      </c>
      <c r="B7671" s="418">
        <v>6.3032407407407412E-2</v>
      </c>
      <c r="C7671" s="421" t="s">
        <v>1988</v>
      </c>
    </row>
    <row r="7672" spans="1:3" x14ac:dyDescent="0.25">
      <c r="A7672" s="417">
        <v>41548</v>
      </c>
      <c r="B7672" s="418">
        <v>6.4212962962962958E-2</v>
      </c>
      <c r="C7672" s="421" t="s">
        <v>1448</v>
      </c>
    </row>
    <row r="7673" spans="1:3" x14ac:dyDescent="0.25">
      <c r="A7673" s="417">
        <v>41548</v>
      </c>
      <c r="B7673" s="418">
        <v>6.4282407407407413E-2</v>
      </c>
      <c r="C7673" s="421" t="s">
        <v>1399</v>
      </c>
    </row>
    <row r="7674" spans="1:3" x14ac:dyDescent="0.25">
      <c r="A7674" s="417">
        <v>41548</v>
      </c>
      <c r="B7674" s="418">
        <v>6.4328703703703707E-2</v>
      </c>
      <c r="C7674" s="421" t="s">
        <v>1309</v>
      </c>
    </row>
    <row r="7675" spans="1:3" x14ac:dyDescent="0.25">
      <c r="A7675" s="417">
        <v>41548</v>
      </c>
      <c r="B7675" s="418">
        <v>6.4351851851851841E-2</v>
      </c>
      <c r="C7675" s="421" t="s">
        <v>1830</v>
      </c>
    </row>
    <row r="7676" spans="1:3" x14ac:dyDescent="0.25">
      <c r="A7676" s="417">
        <v>41548</v>
      </c>
      <c r="B7676" s="418">
        <v>6.4351851851851841E-2</v>
      </c>
      <c r="C7676" s="421" t="s">
        <v>1307</v>
      </c>
    </row>
    <row r="7677" spans="1:3" x14ac:dyDescent="0.25">
      <c r="A7677" s="417">
        <v>41548</v>
      </c>
      <c r="B7677" s="418">
        <v>6.4699074074074062E-2</v>
      </c>
      <c r="C7677" s="421" t="s">
        <v>1758</v>
      </c>
    </row>
    <row r="7678" spans="1:3" x14ac:dyDescent="0.25">
      <c r="A7678" s="417">
        <v>41548</v>
      </c>
      <c r="B7678" s="418">
        <v>6.4710648148148142E-2</v>
      </c>
      <c r="C7678" s="421" t="s">
        <v>2022</v>
      </c>
    </row>
    <row r="7679" spans="1:3" x14ac:dyDescent="0.25">
      <c r="A7679" s="417">
        <v>41548</v>
      </c>
      <c r="B7679" s="418">
        <v>6.4722222222222223E-2</v>
      </c>
      <c r="C7679" s="421" t="s">
        <v>2023</v>
      </c>
    </row>
    <row r="7680" spans="1:3" x14ac:dyDescent="0.25">
      <c r="A7680" s="417">
        <v>41548</v>
      </c>
      <c r="B7680" s="418">
        <v>6.4733796296296289E-2</v>
      </c>
      <c r="C7680" s="421" t="s">
        <v>1991</v>
      </c>
    </row>
    <row r="7681" spans="1:3" ht="30" x14ac:dyDescent="0.25">
      <c r="A7681" s="417">
        <v>41548</v>
      </c>
      <c r="B7681" s="418">
        <v>7.1678240740740737E-2</v>
      </c>
      <c r="C7681" s="946" t="s">
        <v>2024</v>
      </c>
    </row>
    <row r="7682" spans="1:3" ht="45" x14ac:dyDescent="0.25">
      <c r="A7682" s="417">
        <v>41548</v>
      </c>
      <c r="B7682" s="418">
        <v>7.2777777777777775E-2</v>
      </c>
      <c r="C7682" s="946" t="s">
        <v>2025</v>
      </c>
    </row>
    <row r="7683" spans="1:3" ht="30" x14ac:dyDescent="0.25">
      <c r="A7683" s="417">
        <v>41548</v>
      </c>
      <c r="B7683" s="418">
        <v>7.3344907407407414E-2</v>
      </c>
      <c r="C7683" s="946" t="s">
        <v>2026</v>
      </c>
    </row>
    <row r="7684" spans="1:3" x14ac:dyDescent="0.25">
      <c r="A7684" s="417">
        <v>41548</v>
      </c>
      <c r="B7684" s="418">
        <v>7.7372685185185183E-2</v>
      </c>
      <c r="C7684" s="421" t="s">
        <v>2027</v>
      </c>
    </row>
    <row r="7685" spans="1:3" ht="60" x14ac:dyDescent="0.25">
      <c r="A7685" s="417">
        <v>41548</v>
      </c>
      <c r="B7685" s="418">
        <v>7.7372685185185183E-2</v>
      </c>
      <c r="C7685" s="946" t="s">
        <v>2028</v>
      </c>
    </row>
    <row r="7686" spans="1:3" x14ac:dyDescent="0.25">
      <c r="A7686" s="417">
        <v>41548</v>
      </c>
      <c r="B7686" s="418">
        <v>7.7511574074074066E-2</v>
      </c>
      <c r="C7686" s="421" t="s">
        <v>2027</v>
      </c>
    </row>
    <row r="7687" spans="1:3" ht="60" x14ac:dyDescent="0.25">
      <c r="A7687" s="417">
        <v>41548</v>
      </c>
      <c r="B7687" s="418">
        <v>7.7511574074074066E-2</v>
      </c>
      <c r="C7687" s="946" t="s">
        <v>2029</v>
      </c>
    </row>
    <row r="7688" spans="1:3" x14ac:dyDescent="0.25">
      <c r="A7688" s="417">
        <v>41548</v>
      </c>
      <c r="B7688" s="418">
        <v>7.7650462962962963E-2</v>
      </c>
      <c r="C7688" s="421" t="s">
        <v>2027</v>
      </c>
    </row>
    <row r="7689" spans="1:3" ht="60" x14ac:dyDescent="0.25">
      <c r="A7689" s="417">
        <v>41548</v>
      </c>
      <c r="B7689" s="418">
        <v>7.7650462962962963E-2</v>
      </c>
      <c r="C7689" s="946" t="s">
        <v>2030</v>
      </c>
    </row>
    <row r="7690" spans="1:3" x14ac:dyDescent="0.25">
      <c r="A7690" s="417">
        <v>41548</v>
      </c>
      <c r="B7690" s="418">
        <v>7.7662037037037043E-2</v>
      </c>
      <c r="C7690" s="421" t="s">
        <v>2027</v>
      </c>
    </row>
    <row r="7691" spans="1:3" ht="60" x14ac:dyDescent="0.25">
      <c r="A7691" s="417">
        <v>41548</v>
      </c>
      <c r="B7691" s="418">
        <v>7.7662037037037043E-2</v>
      </c>
      <c r="C7691" s="946" t="s">
        <v>2031</v>
      </c>
    </row>
    <row r="7692" spans="1:3" x14ac:dyDescent="0.25">
      <c r="A7692" s="417">
        <v>41548</v>
      </c>
      <c r="B7692" s="418">
        <v>7.768518518518519E-2</v>
      </c>
      <c r="C7692" s="421" t="s">
        <v>2027</v>
      </c>
    </row>
    <row r="7693" spans="1:3" ht="60" x14ac:dyDescent="0.25">
      <c r="A7693" s="417">
        <v>41548</v>
      </c>
      <c r="B7693" s="418">
        <v>7.768518518518519E-2</v>
      </c>
      <c r="C7693" s="946" t="s">
        <v>2032</v>
      </c>
    </row>
    <row r="7694" spans="1:3" x14ac:dyDescent="0.25">
      <c r="A7694" s="417">
        <v>41548</v>
      </c>
      <c r="B7694" s="418">
        <v>7.7754629629629632E-2</v>
      </c>
      <c r="C7694" s="421" t="s">
        <v>2027</v>
      </c>
    </row>
    <row r="7695" spans="1:3" ht="60" x14ac:dyDescent="0.25">
      <c r="A7695" s="417">
        <v>41548</v>
      </c>
      <c r="B7695" s="418">
        <v>7.7754629629629632E-2</v>
      </c>
      <c r="C7695" s="946" t="s">
        <v>2033</v>
      </c>
    </row>
    <row r="7696" spans="1:3" x14ac:dyDescent="0.25">
      <c r="A7696" s="417">
        <v>41548</v>
      </c>
      <c r="B7696" s="418">
        <v>7.7766203703703699E-2</v>
      </c>
      <c r="C7696" s="421" t="s">
        <v>2027</v>
      </c>
    </row>
    <row r="7697" spans="1:3" ht="60" x14ac:dyDescent="0.25">
      <c r="A7697" s="417">
        <v>41548</v>
      </c>
      <c r="B7697" s="418">
        <v>7.7766203703703699E-2</v>
      </c>
      <c r="C7697" s="946" t="s">
        <v>2034</v>
      </c>
    </row>
    <row r="7698" spans="1:3" x14ac:dyDescent="0.25">
      <c r="A7698" s="417">
        <v>41548</v>
      </c>
      <c r="B7698" s="418">
        <v>7.7777777777777779E-2</v>
      </c>
      <c r="C7698" s="421" t="s">
        <v>2027</v>
      </c>
    </row>
    <row r="7699" spans="1:3" ht="60" x14ac:dyDescent="0.25">
      <c r="A7699" s="417">
        <v>41548</v>
      </c>
      <c r="B7699" s="418">
        <v>7.7777777777777779E-2</v>
      </c>
      <c r="C7699" s="946" t="s">
        <v>2035</v>
      </c>
    </row>
    <row r="7700" spans="1:3" x14ac:dyDescent="0.25">
      <c r="A7700" s="417">
        <v>41548</v>
      </c>
      <c r="B7700" s="418">
        <v>7.778935185185186E-2</v>
      </c>
      <c r="C7700" s="421" t="s">
        <v>2027</v>
      </c>
    </row>
    <row r="7701" spans="1:3" ht="60" x14ac:dyDescent="0.25">
      <c r="A7701" s="417">
        <v>41548</v>
      </c>
      <c r="B7701" s="418">
        <v>7.778935185185186E-2</v>
      </c>
      <c r="C7701" s="946" t="s">
        <v>2036</v>
      </c>
    </row>
    <row r="7702" spans="1:3" x14ac:dyDescent="0.25">
      <c r="A7702" s="417">
        <v>41548</v>
      </c>
      <c r="B7702" s="418">
        <v>7.7800925925925926E-2</v>
      </c>
      <c r="C7702" s="421" t="s">
        <v>2027</v>
      </c>
    </row>
    <row r="7703" spans="1:3" ht="60" x14ac:dyDescent="0.25">
      <c r="A7703" s="417">
        <v>41548</v>
      </c>
      <c r="B7703" s="418">
        <v>7.7800925925925926E-2</v>
      </c>
      <c r="C7703" s="946" t="s">
        <v>2037</v>
      </c>
    </row>
    <row r="7704" spans="1:3" x14ac:dyDescent="0.25">
      <c r="A7704" s="417">
        <v>41548</v>
      </c>
      <c r="B7704" s="418">
        <v>7.7800925925925926E-2</v>
      </c>
      <c r="C7704" s="421" t="s">
        <v>2027</v>
      </c>
    </row>
    <row r="7705" spans="1:3" ht="60" x14ac:dyDescent="0.25">
      <c r="A7705" s="417">
        <v>41548</v>
      </c>
      <c r="B7705" s="418">
        <v>7.7800925925925926E-2</v>
      </c>
      <c r="C7705" s="946" t="s">
        <v>2038</v>
      </c>
    </row>
    <row r="7706" spans="1:3" x14ac:dyDescent="0.25">
      <c r="A7706" s="417">
        <v>41548</v>
      </c>
      <c r="B7706" s="418">
        <v>7.7812499999999993E-2</v>
      </c>
      <c r="C7706" s="421" t="s">
        <v>2027</v>
      </c>
    </row>
    <row r="7707" spans="1:3" ht="60" x14ac:dyDescent="0.25">
      <c r="A7707" s="417">
        <v>41548</v>
      </c>
      <c r="B7707" s="418">
        <v>7.7812499999999993E-2</v>
      </c>
      <c r="C7707" s="946" t="s">
        <v>2039</v>
      </c>
    </row>
    <row r="7708" spans="1:3" x14ac:dyDescent="0.25">
      <c r="A7708" s="417">
        <v>41548</v>
      </c>
      <c r="B7708" s="418">
        <v>7.7824074074074087E-2</v>
      </c>
      <c r="C7708" s="421" t="s">
        <v>2027</v>
      </c>
    </row>
    <row r="7709" spans="1:3" ht="60" x14ac:dyDescent="0.25">
      <c r="A7709" s="417">
        <v>41548</v>
      </c>
      <c r="B7709" s="418">
        <v>7.7824074074074087E-2</v>
      </c>
      <c r="C7709" s="946" t="s">
        <v>2040</v>
      </c>
    </row>
    <row r="7710" spans="1:3" x14ac:dyDescent="0.25">
      <c r="A7710" s="417">
        <v>41548</v>
      </c>
      <c r="B7710" s="418">
        <v>7.7835648148148154E-2</v>
      </c>
      <c r="C7710" s="421" t="s">
        <v>2027</v>
      </c>
    </row>
    <row r="7711" spans="1:3" ht="60" x14ac:dyDescent="0.25">
      <c r="A7711" s="417">
        <v>41548</v>
      </c>
      <c r="B7711" s="418">
        <v>7.7835648148148154E-2</v>
      </c>
      <c r="C7711" s="946" t="s">
        <v>2041</v>
      </c>
    </row>
    <row r="7712" spans="1:3" x14ac:dyDescent="0.25">
      <c r="A7712" s="417">
        <v>41548</v>
      </c>
      <c r="B7712" s="418">
        <v>7.7870370370370368E-2</v>
      </c>
      <c r="C7712" s="421" t="s">
        <v>2027</v>
      </c>
    </row>
    <row r="7713" spans="1:3" ht="60" x14ac:dyDescent="0.25">
      <c r="A7713" s="417">
        <v>41548</v>
      </c>
      <c r="B7713" s="418">
        <v>7.7870370370370368E-2</v>
      </c>
      <c r="C7713" s="946" t="s">
        <v>2042</v>
      </c>
    </row>
    <row r="7714" spans="1:3" x14ac:dyDescent="0.25">
      <c r="A7714" s="417">
        <v>41548</v>
      </c>
      <c r="B7714" s="418">
        <v>7.7881944444444448E-2</v>
      </c>
      <c r="C7714" s="421" t="s">
        <v>2027</v>
      </c>
    </row>
    <row r="7715" spans="1:3" ht="60" x14ac:dyDescent="0.25">
      <c r="A7715" s="417">
        <v>41548</v>
      </c>
      <c r="B7715" s="418">
        <v>7.7881944444444448E-2</v>
      </c>
      <c r="C7715" s="946" t="s">
        <v>2043</v>
      </c>
    </row>
    <row r="7716" spans="1:3" x14ac:dyDescent="0.25">
      <c r="A7716" s="417">
        <v>41548</v>
      </c>
      <c r="B7716" s="418">
        <v>7.7881944444444448E-2</v>
      </c>
      <c r="C7716" s="421" t="s">
        <v>2027</v>
      </c>
    </row>
    <row r="7717" spans="1:3" ht="60" x14ac:dyDescent="0.25">
      <c r="A7717" s="417">
        <v>41548</v>
      </c>
      <c r="B7717" s="418">
        <v>7.7881944444444448E-2</v>
      </c>
      <c r="C7717" s="946" t="s">
        <v>2044</v>
      </c>
    </row>
    <row r="7718" spans="1:3" x14ac:dyDescent="0.25">
      <c r="A7718" s="417">
        <v>41548</v>
      </c>
      <c r="B7718" s="418">
        <v>7.7881944444444448E-2</v>
      </c>
      <c r="C7718" s="421" t="s">
        <v>2027</v>
      </c>
    </row>
    <row r="7719" spans="1:3" ht="60" x14ac:dyDescent="0.25">
      <c r="A7719" s="417">
        <v>41548</v>
      </c>
      <c r="B7719" s="418">
        <v>7.7881944444444448E-2</v>
      </c>
      <c r="C7719" s="946" t="s">
        <v>2045</v>
      </c>
    </row>
    <row r="7720" spans="1:3" x14ac:dyDescent="0.25">
      <c r="A7720" s="417">
        <v>41548</v>
      </c>
      <c r="B7720" s="418">
        <v>7.7893518518518515E-2</v>
      </c>
      <c r="C7720" s="421" t="s">
        <v>2027</v>
      </c>
    </row>
    <row r="7721" spans="1:3" ht="60" x14ac:dyDescent="0.25">
      <c r="A7721" s="417">
        <v>41548</v>
      </c>
      <c r="B7721" s="418">
        <v>7.7893518518518515E-2</v>
      </c>
      <c r="C7721" s="946" t="s">
        <v>2046</v>
      </c>
    </row>
    <row r="7722" spans="1:3" x14ac:dyDescent="0.25">
      <c r="A7722" s="417">
        <v>41548</v>
      </c>
      <c r="B7722" s="418">
        <v>7.7893518518518515E-2</v>
      </c>
      <c r="C7722" s="421" t="s">
        <v>2027</v>
      </c>
    </row>
    <row r="7723" spans="1:3" ht="60" x14ac:dyDescent="0.25">
      <c r="A7723" s="417">
        <v>41548</v>
      </c>
      <c r="B7723" s="418">
        <v>7.7893518518518515E-2</v>
      </c>
      <c r="C7723" s="946" t="s">
        <v>2047</v>
      </c>
    </row>
    <row r="7724" spans="1:3" x14ac:dyDescent="0.25">
      <c r="A7724" s="417">
        <v>41548</v>
      </c>
      <c r="B7724" s="418">
        <v>7.7893518518518515E-2</v>
      </c>
      <c r="C7724" s="421" t="s">
        <v>2027</v>
      </c>
    </row>
    <row r="7725" spans="1:3" ht="60" x14ac:dyDescent="0.25">
      <c r="A7725" s="417">
        <v>41548</v>
      </c>
      <c r="B7725" s="418">
        <v>7.7893518518518515E-2</v>
      </c>
      <c r="C7725" s="946" t="s">
        <v>2048</v>
      </c>
    </row>
    <row r="7726" spans="1:3" x14ac:dyDescent="0.25">
      <c r="A7726" s="417">
        <v>41548</v>
      </c>
      <c r="B7726" s="418">
        <v>7.7893518518518515E-2</v>
      </c>
      <c r="C7726" s="421" t="s">
        <v>2027</v>
      </c>
    </row>
    <row r="7727" spans="1:3" ht="60" x14ac:dyDescent="0.25">
      <c r="A7727" s="417">
        <v>41548</v>
      </c>
      <c r="B7727" s="418">
        <v>7.7893518518518515E-2</v>
      </c>
      <c r="C7727" s="946" t="s">
        <v>2049</v>
      </c>
    </row>
    <row r="7728" spans="1:3" x14ac:dyDescent="0.25">
      <c r="A7728" s="417">
        <v>41548</v>
      </c>
      <c r="B7728" s="418">
        <v>7.7905092592592595E-2</v>
      </c>
      <c r="C7728" s="421" t="s">
        <v>2027</v>
      </c>
    </row>
    <row r="7729" spans="1:3" ht="60" x14ac:dyDescent="0.25">
      <c r="A7729" s="417">
        <v>41548</v>
      </c>
      <c r="B7729" s="418">
        <v>7.7905092592592595E-2</v>
      </c>
      <c r="C7729" s="946" t="s">
        <v>2050</v>
      </c>
    </row>
    <row r="7730" spans="1:3" x14ac:dyDescent="0.25">
      <c r="A7730" s="417">
        <v>41548</v>
      </c>
      <c r="B7730" s="418">
        <v>7.7905092592592595E-2</v>
      </c>
      <c r="C7730" s="421" t="s">
        <v>2027</v>
      </c>
    </row>
    <row r="7731" spans="1:3" ht="60" x14ac:dyDescent="0.25">
      <c r="A7731" s="417">
        <v>41548</v>
      </c>
      <c r="B7731" s="418">
        <v>7.7905092592592595E-2</v>
      </c>
      <c r="C7731" s="946" t="s">
        <v>2051</v>
      </c>
    </row>
    <row r="7732" spans="1:3" x14ac:dyDescent="0.25">
      <c r="A7732" s="417">
        <v>41548</v>
      </c>
      <c r="B7732" s="418">
        <v>7.8020833333333331E-2</v>
      </c>
      <c r="C7732" s="421" t="s">
        <v>2027</v>
      </c>
    </row>
    <row r="7733" spans="1:3" ht="60" x14ac:dyDescent="0.25">
      <c r="A7733" s="417">
        <v>41548</v>
      </c>
      <c r="B7733" s="418">
        <v>7.8020833333333331E-2</v>
      </c>
      <c r="C7733" s="946" t="s">
        <v>2052</v>
      </c>
    </row>
    <row r="7734" spans="1:3" x14ac:dyDescent="0.25">
      <c r="A7734" s="417">
        <v>41548</v>
      </c>
      <c r="B7734" s="418">
        <v>7.8032407407407411E-2</v>
      </c>
      <c r="C7734" s="421" t="s">
        <v>2027</v>
      </c>
    </row>
    <row r="7735" spans="1:3" ht="60" x14ac:dyDescent="0.25">
      <c r="A7735" s="417">
        <v>41548</v>
      </c>
      <c r="B7735" s="418">
        <v>7.8032407407407411E-2</v>
      </c>
      <c r="C7735" s="946" t="s">
        <v>2053</v>
      </c>
    </row>
    <row r="7736" spans="1:3" ht="45" x14ac:dyDescent="0.25">
      <c r="A7736" s="417">
        <v>41548</v>
      </c>
      <c r="B7736" s="418">
        <v>8.0868055555555554E-2</v>
      </c>
      <c r="C7736" s="946" t="s">
        <v>2054</v>
      </c>
    </row>
    <row r="7737" spans="1:3" ht="45" x14ac:dyDescent="0.25">
      <c r="A7737" s="417">
        <v>41552</v>
      </c>
      <c r="B7737" s="418">
        <v>0.92060185185185184</v>
      </c>
      <c r="C7737" s="946" t="s">
        <v>2055</v>
      </c>
    </row>
    <row r="7738" spans="1:3" ht="45" x14ac:dyDescent="0.25">
      <c r="A7738" s="417">
        <v>41552</v>
      </c>
      <c r="B7738" s="418">
        <v>0.92072916666666671</v>
      </c>
      <c r="C7738" s="946" t="s">
        <v>2056</v>
      </c>
    </row>
    <row r="7739" spans="1:3" ht="45" x14ac:dyDescent="0.25">
      <c r="A7739" s="417">
        <v>41552</v>
      </c>
      <c r="B7739" s="418">
        <v>0.92186342592592585</v>
      </c>
      <c r="C7739" s="946" t="s">
        <v>2057</v>
      </c>
    </row>
    <row r="7740" spans="1:3" ht="45" x14ac:dyDescent="0.25">
      <c r="A7740" s="417">
        <v>41552</v>
      </c>
      <c r="B7740" s="418">
        <v>0.92186342592592585</v>
      </c>
      <c r="C7740" s="946" t="s">
        <v>2058</v>
      </c>
    </row>
    <row r="7741" spans="1:3" ht="45" x14ac:dyDescent="0.25">
      <c r="A7741" s="417">
        <v>41552</v>
      </c>
      <c r="B7741" s="418">
        <v>0.92353009259259267</v>
      </c>
      <c r="C7741" s="946" t="s">
        <v>2059</v>
      </c>
    </row>
    <row r="7742" spans="1:3" ht="30" x14ac:dyDescent="0.25">
      <c r="A7742" s="417">
        <v>41552</v>
      </c>
      <c r="B7742" s="418">
        <v>0.92569444444444438</v>
      </c>
      <c r="C7742" s="946" t="s">
        <v>2060</v>
      </c>
    </row>
    <row r="7743" spans="1:3" ht="45" x14ac:dyDescent="0.25">
      <c r="A7743" s="417">
        <v>41552</v>
      </c>
      <c r="B7743" s="418">
        <v>0.92686342592592597</v>
      </c>
      <c r="C7743" s="946" t="s">
        <v>2061</v>
      </c>
    </row>
    <row r="7744" spans="1:3" ht="30" x14ac:dyDescent="0.25">
      <c r="A7744" s="417">
        <v>41552</v>
      </c>
      <c r="B7744" s="418">
        <v>0.92732638888888885</v>
      </c>
      <c r="C7744" s="946" t="s">
        <v>2062</v>
      </c>
    </row>
    <row r="7745" spans="1:3" ht="45" x14ac:dyDescent="0.25">
      <c r="A7745" s="417">
        <v>41552</v>
      </c>
      <c r="B7745" s="418">
        <v>0.92825231481481485</v>
      </c>
      <c r="C7745" s="946" t="s">
        <v>2063</v>
      </c>
    </row>
    <row r="7746" spans="1:3" ht="30" x14ac:dyDescent="0.25">
      <c r="A7746" s="417">
        <v>41552</v>
      </c>
      <c r="B7746" s="418">
        <v>0.92833333333333334</v>
      </c>
      <c r="C7746" s="946" t="s">
        <v>2064</v>
      </c>
    </row>
    <row r="7747" spans="1:3" ht="45" x14ac:dyDescent="0.25">
      <c r="A7747" s="417">
        <v>41552</v>
      </c>
      <c r="B7747" s="418">
        <v>0.92843749999999992</v>
      </c>
      <c r="C7747" s="946" t="s">
        <v>2065</v>
      </c>
    </row>
    <row r="7748" spans="1:3" ht="30" x14ac:dyDescent="0.25">
      <c r="A7748" s="417">
        <v>41552</v>
      </c>
      <c r="B7748" s="418">
        <v>0.92982638888888891</v>
      </c>
      <c r="C7748" s="946" t="s">
        <v>2060</v>
      </c>
    </row>
    <row r="7749" spans="1:3" ht="45" x14ac:dyDescent="0.25">
      <c r="A7749" s="417">
        <v>41552</v>
      </c>
      <c r="B7749" s="418">
        <v>0.93057870370370377</v>
      </c>
      <c r="C7749" s="946" t="s">
        <v>2066</v>
      </c>
    </row>
    <row r="7750" spans="1:3" ht="30" x14ac:dyDescent="0.25">
      <c r="A7750" s="417">
        <v>41552</v>
      </c>
      <c r="B7750" s="418">
        <v>0.93114583333333334</v>
      </c>
      <c r="C7750" s="946" t="s">
        <v>2067</v>
      </c>
    </row>
    <row r="7751" spans="1:3" ht="45" x14ac:dyDescent="0.25">
      <c r="A7751" s="417">
        <v>41552</v>
      </c>
      <c r="B7751" s="418">
        <v>0.9328819444444445</v>
      </c>
      <c r="C7751" s="946" t="s">
        <v>2068</v>
      </c>
    </row>
    <row r="7752" spans="1:3" ht="45" x14ac:dyDescent="0.25">
      <c r="A7752" s="417">
        <v>41552</v>
      </c>
      <c r="B7752" s="418">
        <v>0.93289351851851843</v>
      </c>
      <c r="C7752" s="946" t="s">
        <v>2069</v>
      </c>
    </row>
    <row r="7753" spans="1:3" ht="45" x14ac:dyDescent="0.25">
      <c r="A7753" s="417">
        <v>41552</v>
      </c>
      <c r="B7753" s="418">
        <v>0.94006944444444451</v>
      </c>
      <c r="C7753" s="946" t="s">
        <v>2070</v>
      </c>
    </row>
    <row r="7754" spans="1:3" ht="45" x14ac:dyDescent="0.25">
      <c r="A7754" s="417">
        <v>41552</v>
      </c>
      <c r="B7754" s="418">
        <v>0.94008101851851855</v>
      </c>
      <c r="C7754" s="946" t="s">
        <v>2071</v>
      </c>
    </row>
    <row r="7755" spans="1:3" ht="45" x14ac:dyDescent="0.25">
      <c r="A7755" s="417">
        <v>41552</v>
      </c>
      <c r="B7755" s="418">
        <v>0.94221064814814814</v>
      </c>
      <c r="C7755" s="946" t="s">
        <v>2072</v>
      </c>
    </row>
    <row r="7756" spans="1:3" ht="45" x14ac:dyDescent="0.25">
      <c r="A7756" s="417">
        <v>41552</v>
      </c>
      <c r="B7756" s="418">
        <v>0.94226851851851856</v>
      </c>
      <c r="C7756" s="946" t="s">
        <v>2073</v>
      </c>
    </row>
    <row r="7757" spans="1:3" ht="45" x14ac:dyDescent="0.25">
      <c r="A7757" s="417">
        <v>41552</v>
      </c>
      <c r="B7757" s="418">
        <v>0.94327546296296294</v>
      </c>
      <c r="C7757" s="946" t="s">
        <v>2074</v>
      </c>
    </row>
    <row r="7758" spans="1:3" ht="45" x14ac:dyDescent="0.25">
      <c r="A7758" s="417">
        <v>41552</v>
      </c>
      <c r="B7758" s="418">
        <v>0.94328703703703709</v>
      </c>
      <c r="C7758" s="946" t="s">
        <v>2075</v>
      </c>
    </row>
    <row r="7759" spans="1:3" ht="45" x14ac:dyDescent="0.25">
      <c r="A7759" s="417">
        <v>41552</v>
      </c>
      <c r="B7759" s="418">
        <v>0.9455324074074074</v>
      </c>
      <c r="C7759" s="946" t="s">
        <v>2063</v>
      </c>
    </row>
    <row r="7760" spans="1:3" ht="30" x14ac:dyDescent="0.25">
      <c r="A7760" s="417">
        <v>41552</v>
      </c>
      <c r="B7760" s="418">
        <v>0.9456134259259259</v>
      </c>
      <c r="C7760" s="946" t="s">
        <v>2076</v>
      </c>
    </row>
    <row r="7761" spans="1:3" ht="45" x14ac:dyDescent="0.25">
      <c r="A7761" s="417">
        <v>41552</v>
      </c>
      <c r="B7761" s="418">
        <v>0.94570601851851854</v>
      </c>
      <c r="C7761" s="946" t="s">
        <v>2077</v>
      </c>
    </row>
    <row r="7762" spans="1:3" ht="30" x14ac:dyDescent="0.25">
      <c r="A7762" s="417">
        <v>41552</v>
      </c>
      <c r="B7762" s="418">
        <v>0.94663194444444443</v>
      </c>
      <c r="C7762" s="946" t="s">
        <v>2078</v>
      </c>
    </row>
    <row r="7763" spans="1:3" x14ac:dyDescent="0.25">
      <c r="A7763" s="417">
        <v>41552</v>
      </c>
      <c r="B7763" s="418">
        <v>0.94668981481481485</v>
      </c>
      <c r="C7763" s="421" t="s">
        <v>2079</v>
      </c>
    </row>
    <row r="7764" spans="1:3" x14ac:dyDescent="0.25">
      <c r="A7764" s="417">
        <v>41552</v>
      </c>
      <c r="B7764" s="418">
        <v>0.94671296296296292</v>
      </c>
      <c r="C7764" s="421" t="s">
        <v>1307</v>
      </c>
    </row>
    <row r="7765" spans="1:3" x14ac:dyDescent="0.25">
      <c r="A7765" s="417">
        <v>41552</v>
      </c>
      <c r="B7765" s="418">
        <v>0.94671296296296292</v>
      </c>
      <c r="C7765" s="421" t="s">
        <v>1308</v>
      </c>
    </row>
    <row r="7766" spans="1:3" x14ac:dyDescent="0.25">
      <c r="A7766" s="417">
        <v>41552</v>
      </c>
      <c r="B7766" s="418">
        <v>0.94671296296296292</v>
      </c>
      <c r="C7766" s="421" t="s">
        <v>1309</v>
      </c>
    </row>
    <row r="7767" spans="1:3" x14ac:dyDescent="0.25">
      <c r="A7767" s="417">
        <v>41552</v>
      </c>
      <c r="B7767" s="418">
        <v>0.94671296296296292</v>
      </c>
      <c r="C7767" s="421" t="s">
        <v>1310</v>
      </c>
    </row>
    <row r="7768" spans="1:3" x14ac:dyDescent="0.25">
      <c r="A7768" s="417">
        <v>41552</v>
      </c>
      <c r="B7768" s="418">
        <v>0.94671296296296292</v>
      </c>
      <c r="C7768" s="421" t="s">
        <v>1311</v>
      </c>
    </row>
    <row r="7769" spans="1:3" x14ac:dyDescent="0.25">
      <c r="A7769" s="417">
        <v>41552</v>
      </c>
      <c r="B7769" s="418">
        <v>0.94671296296296292</v>
      </c>
      <c r="C7769" s="421" t="s">
        <v>1312</v>
      </c>
    </row>
    <row r="7770" spans="1:3" x14ac:dyDescent="0.25">
      <c r="A7770" s="417">
        <v>41552</v>
      </c>
      <c r="B7770" s="418">
        <v>0.94671296296296292</v>
      </c>
      <c r="C7770" s="421" t="s">
        <v>1313</v>
      </c>
    </row>
    <row r="7771" spans="1:3" x14ac:dyDescent="0.25">
      <c r="A7771" s="417">
        <v>41552</v>
      </c>
      <c r="B7771" s="418">
        <v>0.94671296296296292</v>
      </c>
      <c r="C7771" s="421" t="s">
        <v>1310</v>
      </c>
    </row>
    <row r="7772" spans="1:3" x14ac:dyDescent="0.25">
      <c r="A7772" s="417">
        <v>41552</v>
      </c>
      <c r="B7772" s="418">
        <v>0.94671296296296292</v>
      </c>
      <c r="C7772" s="421" t="s">
        <v>1314</v>
      </c>
    </row>
    <row r="7773" spans="1:3" x14ac:dyDescent="0.25">
      <c r="A7773" s="417">
        <v>41552</v>
      </c>
      <c r="B7773" s="418">
        <v>0.94671296296296292</v>
      </c>
      <c r="C7773" s="421" t="s">
        <v>1315</v>
      </c>
    </row>
    <row r="7774" spans="1:3" x14ac:dyDescent="0.25">
      <c r="A7774" s="417">
        <v>41552</v>
      </c>
      <c r="B7774" s="418">
        <v>0.94671296296296292</v>
      </c>
      <c r="C7774" s="421" t="s">
        <v>2080</v>
      </c>
    </row>
    <row r="7775" spans="1:3" x14ac:dyDescent="0.25">
      <c r="A7775" s="417">
        <v>41552</v>
      </c>
      <c r="B7775" s="418">
        <v>0.94671296296296292</v>
      </c>
      <c r="C7775" s="421" t="s">
        <v>1355</v>
      </c>
    </row>
    <row r="7776" spans="1:3" x14ac:dyDescent="0.25">
      <c r="A7776" s="417">
        <v>41552</v>
      </c>
      <c r="B7776" s="418">
        <v>0.94671296296296292</v>
      </c>
      <c r="C7776" s="421" t="s">
        <v>1238</v>
      </c>
    </row>
    <row r="7777" spans="1:3" x14ac:dyDescent="0.25">
      <c r="A7777" s="417">
        <v>41552</v>
      </c>
      <c r="B7777" s="418">
        <v>0.94672453703703707</v>
      </c>
      <c r="C7777" s="421" t="s">
        <v>1537</v>
      </c>
    </row>
    <row r="7778" spans="1:3" x14ac:dyDescent="0.25">
      <c r="A7778" s="417">
        <v>41552</v>
      </c>
      <c r="B7778" s="418">
        <v>0.94672453703703707</v>
      </c>
      <c r="C7778" s="421" t="s">
        <v>2081</v>
      </c>
    </row>
    <row r="7779" spans="1:3" x14ac:dyDescent="0.25">
      <c r="A7779" s="417">
        <v>41552</v>
      </c>
      <c r="B7779" s="418">
        <v>0.94672453703703707</v>
      </c>
      <c r="C7779" s="421" t="s">
        <v>1962</v>
      </c>
    </row>
    <row r="7780" spans="1:3" ht="60" x14ac:dyDescent="0.25">
      <c r="A7780" s="417">
        <v>41552</v>
      </c>
      <c r="B7780" s="418">
        <v>0.94672453703703707</v>
      </c>
      <c r="C7780" s="946" t="s">
        <v>2082</v>
      </c>
    </row>
    <row r="7781" spans="1:3" x14ac:dyDescent="0.25">
      <c r="A7781" s="417">
        <v>41552</v>
      </c>
      <c r="B7781" s="418">
        <v>0.94680555555555557</v>
      </c>
      <c r="C7781" s="421" t="s">
        <v>1385</v>
      </c>
    </row>
    <row r="7782" spans="1:3" x14ac:dyDescent="0.25">
      <c r="A7782" s="417">
        <v>41552</v>
      </c>
      <c r="B7782" s="418">
        <v>0.94680555555555557</v>
      </c>
      <c r="C7782" s="421" t="s">
        <v>1385</v>
      </c>
    </row>
    <row r="7783" spans="1:3" x14ac:dyDescent="0.25">
      <c r="A7783" s="417">
        <v>41552</v>
      </c>
      <c r="B7783" s="418">
        <v>0.94680555555555557</v>
      </c>
      <c r="C7783" s="421" t="s">
        <v>1386</v>
      </c>
    </row>
    <row r="7784" spans="1:3" x14ac:dyDescent="0.25">
      <c r="A7784" s="417">
        <v>41552</v>
      </c>
      <c r="B7784" s="418">
        <v>0.94680555555555557</v>
      </c>
      <c r="C7784" s="421" t="s">
        <v>1387</v>
      </c>
    </row>
    <row r="7785" spans="1:3" x14ac:dyDescent="0.25">
      <c r="A7785" s="417">
        <v>41552</v>
      </c>
      <c r="B7785" s="418">
        <v>0.94680555555555557</v>
      </c>
      <c r="C7785" s="421" t="s">
        <v>1387</v>
      </c>
    </row>
    <row r="7786" spans="1:3" x14ac:dyDescent="0.25">
      <c r="A7786" s="417">
        <v>41552</v>
      </c>
      <c r="B7786" s="418">
        <v>0.94680555555555557</v>
      </c>
      <c r="C7786" s="421" t="s">
        <v>1318</v>
      </c>
    </row>
    <row r="7787" spans="1:3" x14ac:dyDescent="0.25">
      <c r="A7787" s="417">
        <v>41552</v>
      </c>
      <c r="B7787" s="418">
        <v>0.94680555555555557</v>
      </c>
      <c r="C7787" s="421" t="s">
        <v>1388</v>
      </c>
    </row>
    <row r="7788" spans="1:3" x14ac:dyDescent="0.25">
      <c r="A7788" s="417">
        <v>41552</v>
      </c>
      <c r="B7788" s="418">
        <v>0.94680555555555557</v>
      </c>
      <c r="C7788" s="421" t="s">
        <v>1390</v>
      </c>
    </row>
    <row r="7789" spans="1:3" x14ac:dyDescent="0.25">
      <c r="A7789" s="417">
        <v>41552</v>
      </c>
      <c r="B7789" s="418">
        <v>0.94680555555555557</v>
      </c>
      <c r="C7789" s="421" t="s">
        <v>1391</v>
      </c>
    </row>
    <row r="7790" spans="1:3" x14ac:dyDescent="0.25">
      <c r="A7790" s="417">
        <v>41552</v>
      </c>
      <c r="B7790" s="418">
        <v>0.94680555555555557</v>
      </c>
      <c r="C7790" s="421" t="s">
        <v>1392</v>
      </c>
    </row>
    <row r="7791" spans="1:3" x14ac:dyDescent="0.25">
      <c r="A7791" s="417">
        <v>41552</v>
      </c>
      <c r="B7791" s="418">
        <v>0.94680555555555557</v>
      </c>
      <c r="C7791" s="421" t="s">
        <v>1795</v>
      </c>
    </row>
    <row r="7792" spans="1:3" x14ac:dyDescent="0.25">
      <c r="A7792" s="417">
        <v>41552</v>
      </c>
      <c r="B7792" s="418">
        <v>0.94680555555555557</v>
      </c>
      <c r="C7792" s="421" t="s">
        <v>1393</v>
      </c>
    </row>
    <row r="7793" spans="1:3" x14ac:dyDescent="0.25">
      <c r="A7793" s="417">
        <v>41552</v>
      </c>
      <c r="B7793" s="418">
        <v>0.94680555555555557</v>
      </c>
      <c r="C7793" s="421" t="s">
        <v>1394</v>
      </c>
    </row>
    <row r="7794" spans="1:3" x14ac:dyDescent="0.25">
      <c r="A7794" s="417">
        <v>41552</v>
      </c>
      <c r="B7794" s="418">
        <v>0.94680555555555557</v>
      </c>
      <c r="C7794" s="421" t="s">
        <v>1392</v>
      </c>
    </row>
    <row r="7795" spans="1:3" x14ac:dyDescent="0.25">
      <c r="A7795" s="417">
        <v>41552</v>
      </c>
      <c r="B7795" s="418">
        <v>0.94680555555555557</v>
      </c>
      <c r="C7795" s="421" t="s">
        <v>1395</v>
      </c>
    </row>
    <row r="7796" spans="1:3" x14ac:dyDescent="0.25">
      <c r="A7796" s="417">
        <v>41552</v>
      </c>
      <c r="B7796" s="418">
        <v>0.94680555555555557</v>
      </c>
      <c r="C7796" s="421" t="s">
        <v>1396</v>
      </c>
    </row>
    <row r="7797" spans="1:3" x14ac:dyDescent="0.25">
      <c r="A7797" s="417">
        <v>41552</v>
      </c>
      <c r="B7797" s="418">
        <v>0.94680555555555557</v>
      </c>
      <c r="C7797" s="421" t="s">
        <v>1363</v>
      </c>
    </row>
    <row r="7798" spans="1:3" x14ac:dyDescent="0.25">
      <c r="A7798" s="417">
        <v>41552</v>
      </c>
      <c r="B7798" s="418">
        <v>0.94680555555555557</v>
      </c>
      <c r="C7798" s="421" t="s">
        <v>1346</v>
      </c>
    </row>
    <row r="7799" spans="1:3" x14ac:dyDescent="0.25">
      <c r="A7799" s="417">
        <v>41552</v>
      </c>
      <c r="B7799" s="418">
        <v>0.94680555555555557</v>
      </c>
      <c r="C7799" s="421" t="s">
        <v>1346</v>
      </c>
    </row>
    <row r="7800" spans="1:3" x14ac:dyDescent="0.25">
      <c r="A7800" s="417">
        <v>41552</v>
      </c>
      <c r="B7800" s="418">
        <v>0.94680555555555557</v>
      </c>
      <c r="C7800" s="421" t="s">
        <v>1397</v>
      </c>
    </row>
    <row r="7801" spans="1:3" x14ac:dyDescent="0.25">
      <c r="A7801" s="417">
        <v>41552</v>
      </c>
      <c r="B7801" s="418">
        <v>0.94680555555555557</v>
      </c>
      <c r="C7801" s="421" t="s">
        <v>1381</v>
      </c>
    </row>
    <row r="7802" spans="1:3" x14ac:dyDescent="0.25">
      <c r="A7802" s="417">
        <v>41552</v>
      </c>
      <c r="B7802" s="418">
        <v>0.94680555555555557</v>
      </c>
      <c r="C7802" s="421" t="s">
        <v>1398</v>
      </c>
    </row>
    <row r="7803" spans="1:3" x14ac:dyDescent="0.25">
      <c r="A7803" s="417">
        <v>41552</v>
      </c>
      <c r="B7803" s="418">
        <v>0.94680555555555557</v>
      </c>
      <c r="C7803" s="421" t="s">
        <v>1399</v>
      </c>
    </row>
    <row r="7804" spans="1:3" x14ac:dyDescent="0.25">
      <c r="A7804" s="417">
        <v>41552</v>
      </c>
      <c r="B7804" s="418">
        <v>0.94680555555555557</v>
      </c>
      <c r="C7804" s="421" t="s">
        <v>1400</v>
      </c>
    </row>
    <row r="7805" spans="1:3" x14ac:dyDescent="0.25">
      <c r="A7805" s="417">
        <v>41552</v>
      </c>
      <c r="B7805" s="418">
        <v>0.94680555555555557</v>
      </c>
      <c r="C7805" s="421" t="s">
        <v>1400</v>
      </c>
    </row>
    <row r="7806" spans="1:3" x14ac:dyDescent="0.25">
      <c r="A7806" s="417">
        <v>41552</v>
      </c>
      <c r="B7806" s="418">
        <v>0.94680555555555557</v>
      </c>
      <c r="C7806" s="421" t="s">
        <v>1373</v>
      </c>
    </row>
    <row r="7807" spans="1:3" x14ac:dyDescent="0.25">
      <c r="A7807" s="417">
        <v>41552</v>
      </c>
      <c r="B7807" s="418">
        <v>0.94680555555555557</v>
      </c>
      <c r="C7807" s="421" t="s">
        <v>1353</v>
      </c>
    </row>
    <row r="7808" spans="1:3" x14ac:dyDescent="0.25">
      <c r="A7808" s="417">
        <v>41552</v>
      </c>
      <c r="B7808" s="418">
        <v>0.94680555555555557</v>
      </c>
      <c r="C7808" s="421" t="s">
        <v>1353</v>
      </c>
    </row>
    <row r="7809" spans="1:3" x14ac:dyDescent="0.25">
      <c r="A7809" s="417">
        <v>41552</v>
      </c>
      <c r="B7809" s="418">
        <v>0.94681712962962961</v>
      </c>
      <c r="C7809" s="421" t="s">
        <v>1401</v>
      </c>
    </row>
    <row r="7810" spans="1:3" x14ac:dyDescent="0.25">
      <c r="A7810" s="417">
        <v>41552</v>
      </c>
      <c r="B7810" s="418">
        <v>0.94681712962962961</v>
      </c>
      <c r="C7810" s="421" t="s">
        <v>1392</v>
      </c>
    </row>
    <row r="7811" spans="1:3" x14ac:dyDescent="0.25">
      <c r="A7811" s="417">
        <v>41552</v>
      </c>
      <c r="B7811" s="418">
        <v>0.94681712962962961</v>
      </c>
      <c r="C7811" s="421" t="s">
        <v>1403</v>
      </c>
    </row>
    <row r="7812" spans="1:3" x14ac:dyDescent="0.25">
      <c r="A7812" s="417">
        <v>41552</v>
      </c>
      <c r="B7812" s="418">
        <v>0.94681712962962961</v>
      </c>
      <c r="C7812" s="421" t="s">
        <v>1403</v>
      </c>
    </row>
    <row r="7813" spans="1:3" x14ac:dyDescent="0.25">
      <c r="A7813" s="417">
        <v>41552</v>
      </c>
      <c r="B7813" s="418">
        <v>0.94681712962962961</v>
      </c>
      <c r="C7813" s="421" t="s">
        <v>1403</v>
      </c>
    </row>
    <row r="7814" spans="1:3" x14ac:dyDescent="0.25">
      <c r="A7814" s="417">
        <v>41552</v>
      </c>
      <c r="B7814" s="418">
        <v>0.94681712962962961</v>
      </c>
      <c r="C7814" s="421" t="s">
        <v>1364</v>
      </c>
    </row>
    <row r="7815" spans="1:3" x14ac:dyDescent="0.25">
      <c r="A7815" s="417">
        <v>41552</v>
      </c>
      <c r="B7815" s="418">
        <v>0.94681712962962961</v>
      </c>
      <c r="C7815" s="421" t="s">
        <v>1364</v>
      </c>
    </row>
    <row r="7816" spans="1:3" x14ac:dyDescent="0.25">
      <c r="A7816" s="417">
        <v>41552</v>
      </c>
      <c r="B7816" s="418">
        <v>0.94681712962962961</v>
      </c>
      <c r="C7816" s="421" t="s">
        <v>1311</v>
      </c>
    </row>
    <row r="7817" spans="1:3" x14ac:dyDescent="0.25">
      <c r="A7817" s="417">
        <v>41552</v>
      </c>
      <c r="B7817" s="418">
        <v>0.94681712962962961</v>
      </c>
      <c r="C7817" s="421" t="s">
        <v>1364</v>
      </c>
    </row>
    <row r="7818" spans="1:3" x14ac:dyDescent="0.25">
      <c r="A7818" s="417">
        <v>41552</v>
      </c>
      <c r="B7818" s="418">
        <v>0.94681712962962961</v>
      </c>
      <c r="C7818" s="421" t="s">
        <v>1480</v>
      </c>
    </row>
    <row r="7819" spans="1:3" x14ac:dyDescent="0.25">
      <c r="A7819" s="417">
        <v>41552</v>
      </c>
      <c r="B7819" s="418">
        <v>0.94681712962962961</v>
      </c>
      <c r="C7819" s="421" t="s">
        <v>1480</v>
      </c>
    </row>
    <row r="7820" spans="1:3" x14ac:dyDescent="0.25">
      <c r="A7820" s="417">
        <v>41552</v>
      </c>
      <c r="B7820" s="418">
        <v>0.94681712962962961</v>
      </c>
      <c r="C7820" s="421" t="s">
        <v>1480</v>
      </c>
    </row>
    <row r="7821" spans="1:3" x14ac:dyDescent="0.25">
      <c r="A7821" s="417">
        <v>41552</v>
      </c>
      <c r="B7821" s="418">
        <v>0.94681712962962961</v>
      </c>
      <c r="C7821" s="421" t="s">
        <v>2083</v>
      </c>
    </row>
    <row r="7822" spans="1:3" x14ac:dyDescent="0.25">
      <c r="A7822" s="417">
        <v>41552</v>
      </c>
      <c r="B7822" s="418">
        <v>0.94681712962962961</v>
      </c>
      <c r="C7822" s="421" t="s">
        <v>1541</v>
      </c>
    </row>
    <row r="7823" spans="1:3" x14ac:dyDescent="0.25">
      <c r="A7823" s="417">
        <v>41552</v>
      </c>
      <c r="B7823" s="418">
        <v>0.94681712962962961</v>
      </c>
      <c r="C7823" s="421" t="s">
        <v>1541</v>
      </c>
    </row>
    <row r="7824" spans="1:3" x14ac:dyDescent="0.25">
      <c r="A7824" s="417">
        <v>41552</v>
      </c>
      <c r="B7824" s="418">
        <v>0.94681712962962961</v>
      </c>
      <c r="C7824" s="421" t="s">
        <v>1346</v>
      </c>
    </row>
    <row r="7825" spans="1:3" x14ac:dyDescent="0.25">
      <c r="A7825" s="417">
        <v>41552</v>
      </c>
      <c r="B7825" s="418">
        <v>0.94681712962962961</v>
      </c>
      <c r="C7825" s="421" t="s">
        <v>1405</v>
      </c>
    </row>
    <row r="7826" spans="1:3" x14ac:dyDescent="0.25">
      <c r="A7826" s="417">
        <v>41552</v>
      </c>
      <c r="B7826" s="418">
        <v>0.94681712962962961</v>
      </c>
      <c r="C7826" s="421" t="s">
        <v>1406</v>
      </c>
    </row>
    <row r="7827" spans="1:3" x14ac:dyDescent="0.25">
      <c r="A7827" s="417">
        <v>41552</v>
      </c>
      <c r="B7827" s="418">
        <v>0.94681712962962961</v>
      </c>
      <c r="C7827" s="421" t="s">
        <v>2084</v>
      </c>
    </row>
    <row r="7828" spans="1:3" x14ac:dyDescent="0.25">
      <c r="A7828" s="417">
        <v>41552</v>
      </c>
      <c r="B7828" s="418">
        <v>0.94681712962962961</v>
      </c>
      <c r="C7828" s="421" t="s">
        <v>1318</v>
      </c>
    </row>
    <row r="7829" spans="1:3" x14ac:dyDescent="0.25">
      <c r="A7829" s="417">
        <v>41552</v>
      </c>
      <c r="B7829" s="418">
        <v>0.94681712962962961</v>
      </c>
      <c r="C7829" s="421" t="s">
        <v>1368</v>
      </c>
    </row>
    <row r="7830" spans="1:3" x14ac:dyDescent="0.25">
      <c r="A7830" s="417">
        <v>41552</v>
      </c>
      <c r="B7830" s="418">
        <v>0.94681712962962961</v>
      </c>
      <c r="C7830" s="421" t="s">
        <v>1368</v>
      </c>
    </row>
    <row r="7831" spans="1:3" x14ac:dyDescent="0.25">
      <c r="A7831" s="417">
        <v>41552</v>
      </c>
      <c r="B7831" s="418">
        <v>0.94681712962962961</v>
      </c>
      <c r="C7831" s="421" t="s">
        <v>1368</v>
      </c>
    </row>
    <row r="7832" spans="1:3" x14ac:dyDescent="0.25">
      <c r="A7832" s="417">
        <v>41552</v>
      </c>
      <c r="B7832" s="418">
        <v>0.94681712962962961</v>
      </c>
      <c r="C7832" s="421" t="s">
        <v>1368</v>
      </c>
    </row>
    <row r="7833" spans="1:3" x14ac:dyDescent="0.25">
      <c r="A7833" s="417">
        <v>41552</v>
      </c>
      <c r="B7833" s="418">
        <v>0.94681712962962961</v>
      </c>
      <c r="C7833" s="421" t="s">
        <v>1368</v>
      </c>
    </row>
    <row r="7834" spans="1:3" x14ac:dyDescent="0.25">
      <c r="A7834" s="417">
        <v>41552</v>
      </c>
      <c r="B7834" s="418">
        <v>0.94681712962962961</v>
      </c>
      <c r="C7834" s="421" t="s">
        <v>1409</v>
      </c>
    </row>
    <row r="7835" spans="1:3" x14ac:dyDescent="0.25">
      <c r="A7835" s="417">
        <v>41552</v>
      </c>
      <c r="B7835" s="418">
        <v>0.94681712962962961</v>
      </c>
      <c r="C7835" s="421" t="s">
        <v>1308</v>
      </c>
    </row>
    <row r="7836" spans="1:3" x14ac:dyDescent="0.25">
      <c r="A7836" s="417">
        <v>41552</v>
      </c>
      <c r="B7836" s="418">
        <v>0.94681712962962961</v>
      </c>
      <c r="C7836" s="421" t="s">
        <v>1410</v>
      </c>
    </row>
    <row r="7837" spans="1:3" x14ac:dyDescent="0.25">
      <c r="A7837" s="417">
        <v>41552</v>
      </c>
      <c r="B7837" s="418">
        <v>0.94681712962962961</v>
      </c>
      <c r="C7837" s="421" t="s">
        <v>1410</v>
      </c>
    </row>
    <row r="7838" spans="1:3" x14ac:dyDescent="0.25">
      <c r="A7838" s="417">
        <v>41552</v>
      </c>
      <c r="B7838" s="418">
        <v>0.94681712962962961</v>
      </c>
      <c r="C7838" s="421" t="s">
        <v>1411</v>
      </c>
    </row>
    <row r="7839" spans="1:3" x14ac:dyDescent="0.25">
      <c r="A7839" s="417">
        <v>41552</v>
      </c>
      <c r="B7839" s="418">
        <v>0.94681712962962961</v>
      </c>
      <c r="C7839" s="421" t="s">
        <v>2085</v>
      </c>
    </row>
    <row r="7840" spans="1:3" x14ac:dyDescent="0.25">
      <c r="A7840" s="417">
        <v>41552</v>
      </c>
      <c r="B7840" s="418">
        <v>0.94681712962962961</v>
      </c>
      <c r="C7840" s="421" t="s">
        <v>1413</v>
      </c>
    </row>
    <row r="7841" spans="1:3" x14ac:dyDescent="0.25">
      <c r="A7841" s="417">
        <v>41552</v>
      </c>
      <c r="B7841" s="418">
        <v>0.94682870370370376</v>
      </c>
      <c r="C7841" s="421" t="s">
        <v>1414</v>
      </c>
    </row>
    <row r="7842" spans="1:3" x14ac:dyDescent="0.25">
      <c r="A7842" s="417">
        <v>41552</v>
      </c>
      <c r="B7842" s="418">
        <v>0.94682870370370376</v>
      </c>
      <c r="C7842" s="421" t="s">
        <v>1373</v>
      </c>
    </row>
    <row r="7843" spans="1:3" x14ac:dyDescent="0.25">
      <c r="A7843" s="417">
        <v>41552</v>
      </c>
      <c r="B7843" s="418">
        <v>0.94682870370370376</v>
      </c>
      <c r="C7843" s="421" t="s">
        <v>2086</v>
      </c>
    </row>
    <row r="7844" spans="1:3" x14ac:dyDescent="0.25">
      <c r="A7844" s="417">
        <v>41552</v>
      </c>
      <c r="B7844" s="418">
        <v>0.94684027777777768</v>
      </c>
      <c r="C7844" s="421" t="s">
        <v>1409</v>
      </c>
    </row>
    <row r="7845" spans="1:3" x14ac:dyDescent="0.25">
      <c r="A7845" s="417">
        <v>41552</v>
      </c>
      <c r="B7845" s="418">
        <v>0.94684027777777768</v>
      </c>
      <c r="C7845" s="421" t="s">
        <v>1416</v>
      </c>
    </row>
    <row r="7846" spans="1:3" x14ac:dyDescent="0.25">
      <c r="A7846" s="417">
        <v>41552</v>
      </c>
      <c r="B7846" s="418">
        <v>0.94684027777777768</v>
      </c>
      <c r="C7846" s="421" t="s">
        <v>2087</v>
      </c>
    </row>
    <row r="7847" spans="1:3" x14ac:dyDescent="0.25">
      <c r="A7847" s="417">
        <v>41552</v>
      </c>
      <c r="B7847" s="418">
        <v>0.94684027777777768</v>
      </c>
      <c r="C7847" s="421" t="s">
        <v>1348</v>
      </c>
    </row>
    <row r="7848" spans="1:3" x14ac:dyDescent="0.25">
      <c r="A7848" s="417">
        <v>41552</v>
      </c>
      <c r="B7848" s="418">
        <v>0.94684027777777768</v>
      </c>
      <c r="C7848" s="421" t="s">
        <v>1419</v>
      </c>
    </row>
    <row r="7849" spans="1:3" x14ac:dyDescent="0.25">
      <c r="A7849" s="417">
        <v>41552</v>
      </c>
      <c r="B7849" s="418">
        <v>0.94684027777777768</v>
      </c>
      <c r="C7849" s="421" t="s">
        <v>1419</v>
      </c>
    </row>
    <row r="7850" spans="1:3" x14ac:dyDescent="0.25">
      <c r="A7850" s="417">
        <v>41552</v>
      </c>
      <c r="B7850" s="418">
        <v>0.94684027777777768</v>
      </c>
      <c r="C7850" s="421" t="s">
        <v>1420</v>
      </c>
    </row>
    <row r="7851" spans="1:3" x14ac:dyDescent="0.25">
      <c r="A7851" s="417">
        <v>41552</v>
      </c>
      <c r="B7851" s="418">
        <v>0.94685185185185183</v>
      </c>
      <c r="C7851" s="421" t="s">
        <v>2088</v>
      </c>
    </row>
    <row r="7852" spans="1:3" x14ac:dyDescent="0.25">
      <c r="A7852" s="417">
        <v>41552</v>
      </c>
      <c r="B7852" s="418">
        <v>0.94685185185185183</v>
      </c>
      <c r="C7852" s="421" t="s">
        <v>2089</v>
      </c>
    </row>
    <row r="7853" spans="1:3" x14ac:dyDescent="0.25">
      <c r="A7853" s="417">
        <v>41552</v>
      </c>
      <c r="B7853" s="418">
        <v>0.94685185185185183</v>
      </c>
      <c r="C7853" s="421" t="s">
        <v>2090</v>
      </c>
    </row>
    <row r="7854" spans="1:3" x14ac:dyDescent="0.25">
      <c r="A7854" s="417">
        <v>41552</v>
      </c>
      <c r="B7854" s="418">
        <v>0.94685185185185183</v>
      </c>
      <c r="C7854" s="421" t="s">
        <v>2091</v>
      </c>
    </row>
    <row r="7855" spans="1:3" x14ac:dyDescent="0.25">
      <c r="A7855" s="417">
        <v>41552</v>
      </c>
      <c r="B7855" s="418">
        <v>0.94685185185185183</v>
      </c>
      <c r="C7855" s="421" t="s">
        <v>2092</v>
      </c>
    </row>
    <row r="7856" spans="1:3" x14ac:dyDescent="0.25">
      <c r="A7856" s="417">
        <v>41552</v>
      </c>
      <c r="B7856" s="418">
        <v>0.94685185185185183</v>
      </c>
      <c r="C7856" s="421" t="s">
        <v>2093</v>
      </c>
    </row>
    <row r="7857" spans="1:3" x14ac:dyDescent="0.25">
      <c r="A7857" s="417">
        <v>41552</v>
      </c>
      <c r="B7857" s="418">
        <v>0.94685185185185183</v>
      </c>
      <c r="C7857" s="421" t="s">
        <v>2094</v>
      </c>
    </row>
    <row r="7858" spans="1:3" x14ac:dyDescent="0.25">
      <c r="A7858" s="417">
        <v>41552</v>
      </c>
      <c r="B7858" s="418">
        <v>0.94685185185185183</v>
      </c>
      <c r="C7858" s="421" t="s">
        <v>2095</v>
      </c>
    </row>
    <row r="7859" spans="1:3" x14ac:dyDescent="0.25">
      <c r="A7859" s="417">
        <v>41552</v>
      </c>
      <c r="B7859" s="418">
        <v>0.94685185185185183</v>
      </c>
      <c r="C7859" s="421" t="s">
        <v>1320</v>
      </c>
    </row>
    <row r="7860" spans="1:3" x14ac:dyDescent="0.25">
      <c r="A7860" s="417">
        <v>41552</v>
      </c>
      <c r="B7860" s="418">
        <v>0.94685185185185183</v>
      </c>
      <c r="C7860" s="421" t="s">
        <v>1429</v>
      </c>
    </row>
    <row r="7861" spans="1:3" x14ac:dyDescent="0.25">
      <c r="A7861" s="417">
        <v>41552</v>
      </c>
      <c r="B7861" s="418">
        <v>0.94685185185185183</v>
      </c>
      <c r="C7861" s="421" t="s">
        <v>1430</v>
      </c>
    </row>
    <row r="7862" spans="1:3" x14ac:dyDescent="0.25">
      <c r="A7862" s="417">
        <v>41552</v>
      </c>
      <c r="B7862" s="418">
        <v>0.94685185185185183</v>
      </c>
      <c r="C7862" s="421" t="s">
        <v>2096</v>
      </c>
    </row>
    <row r="7863" spans="1:3" x14ac:dyDescent="0.25">
      <c r="A7863" s="417">
        <v>41552</v>
      </c>
      <c r="B7863" s="418">
        <v>0.94685185185185183</v>
      </c>
      <c r="C7863" s="421" t="s">
        <v>1308</v>
      </c>
    </row>
    <row r="7864" spans="1:3" x14ac:dyDescent="0.25">
      <c r="A7864" s="417">
        <v>41552</v>
      </c>
      <c r="B7864" s="418">
        <v>0.94685185185185183</v>
      </c>
      <c r="C7864" s="421" t="s">
        <v>1432</v>
      </c>
    </row>
    <row r="7865" spans="1:3" x14ac:dyDescent="0.25">
      <c r="A7865" s="417">
        <v>41552</v>
      </c>
      <c r="B7865" s="418">
        <v>0.94685185185185183</v>
      </c>
      <c r="C7865" s="421" t="s">
        <v>1432</v>
      </c>
    </row>
    <row r="7866" spans="1:3" x14ac:dyDescent="0.25">
      <c r="A7866" s="417">
        <v>41552</v>
      </c>
      <c r="B7866" s="418">
        <v>0.94685185185185183</v>
      </c>
      <c r="C7866" s="421" t="s">
        <v>1432</v>
      </c>
    </row>
    <row r="7867" spans="1:3" x14ac:dyDescent="0.25">
      <c r="A7867" s="417">
        <v>41552</v>
      </c>
      <c r="B7867" s="418">
        <v>0.94685185185185183</v>
      </c>
      <c r="C7867" s="421" t="s">
        <v>1822</v>
      </c>
    </row>
    <row r="7868" spans="1:3" x14ac:dyDescent="0.25">
      <c r="A7868" s="417">
        <v>41552</v>
      </c>
      <c r="B7868" s="418">
        <v>0.94685185185185183</v>
      </c>
      <c r="C7868" s="421" t="s">
        <v>1413</v>
      </c>
    </row>
    <row r="7869" spans="1:3" x14ac:dyDescent="0.25">
      <c r="A7869" s="417">
        <v>41552</v>
      </c>
      <c r="B7869" s="418">
        <v>0.94685185185185183</v>
      </c>
      <c r="C7869" s="421" t="s">
        <v>2097</v>
      </c>
    </row>
    <row r="7870" spans="1:3" x14ac:dyDescent="0.25">
      <c r="A7870" s="417">
        <v>41552</v>
      </c>
      <c r="B7870" s="418">
        <v>0.94685185185185183</v>
      </c>
      <c r="C7870" s="421" t="s">
        <v>2098</v>
      </c>
    </row>
    <row r="7871" spans="1:3" x14ac:dyDescent="0.25">
      <c r="A7871" s="417">
        <v>41552</v>
      </c>
      <c r="B7871" s="418">
        <v>0.94685185185185183</v>
      </c>
      <c r="C7871" s="421" t="s">
        <v>2099</v>
      </c>
    </row>
    <row r="7872" spans="1:3" x14ac:dyDescent="0.25">
      <c r="A7872" s="417">
        <v>41552</v>
      </c>
      <c r="B7872" s="418">
        <v>0.94685185185185183</v>
      </c>
      <c r="C7872" s="421" t="s">
        <v>2100</v>
      </c>
    </row>
    <row r="7873" spans="1:3" x14ac:dyDescent="0.25">
      <c r="A7873" s="417">
        <v>41552</v>
      </c>
      <c r="B7873" s="418">
        <v>0.94685185185185183</v>
      </c>
      <c r="C7873" s="421" t="s">
        <v>2101</v>
      </c>
    </row>
    <row r="7874" spans="1:3" x14ac:dyDescent="0.25">
      <c r="A7874" s="417">
        <v>41552</v>
      </c>
      <c r="B7874" s="418">
        <v>0.94685185185185183</v>
      </c>
      <c r="C7874" s="421" t="s">
        <v>2102</v>
      </c>
    </row>
    <row r="7875" spans="1:3" x14ac:dyDescent="0.25">
      <c r="A7875" s="417">
        <v>41552</v>
      </c>
      <c r="B7875" s="418">
        <v>0.94686342592592598</v>
      </c>
      <c r="C7875" s="421" t="s">
        <v>2103</v>
      </c>
    </row>
    <row r="7876" spans="1:3" x14ac:dyDescent="0.25">
      <c r="A7876" s="417">
        <v>41552</v>
      </c>
      <c r="B7876" s="418">
        <v>0.94686342592592598</v>
      </c>
      <c r="C7876" s="421" t="s">
        <v>2104</v>
      </c>
    </row>
    <row r="7877" spans="1:3" x14ac:dyDescent="0.25">
      <c r="A7877" s="417">
        <v>41552</v>
      </c>
      <c r="B7877" s="418">
        <v>0.94686342592592598</v>
      </c>
      <c r="C7877" s="421" t="s">
        <v>2105</v>
      </c>
    </row>
    <row r="7878" spans="1:3" x14ac:dyDescent="0.25">
      <c r="A7878" s="417">
        <v>41552</v>
      </c>
      <c r="B7878" s="418">
        <v>0.94686342592592598</v>
      </c>
      <c r="C7878" s="421" t="s">
        <v>1320</v>
      </c>
    </row>
    <row r="7879" spans="1:3" x14ac:dyDescent="0.25">
      <c r="A7879" s="417">
        <v>41552</v>
      </c>
      <c r="B7879" s="418">
        <v>0.94686342592592598</v>
      </c>
      <c r="C7879" s="421" t="s">
        <v>2106</v>
      </c>
    </row>
    <row r="7880" spans="1:3" x14ac:dyDescent="0.25">
      <c r="A7880" s="417">
        <v>41552</v>
      </c>
      <c r="B7880" s="418">
        <v>0.94686342592592598</v>
      </c>
      <c r="C7880" s="421" t="s">
        <v>2107</v>
      </c>
    </row>
    <row r="7881" spans="1:3" x14ac:dyDescent="0.25">
      <c r="A7881" s="417">
        <v>41552</v>
      </c>
      <c r="B7881" s="418">
        <v>0.94686342592592598</v>
      </c>
      <c r="C7881" s="421" t="s">
        <v>2108</v>
      </c>
    </row>
    <row r="7882" spans="1:3" x14ac:dyDescent="0.25">
      <c r="A7882" s="417">
        <v>41552</v>
      </c>
      <c r="B7882" s="418">
        <v>0.94686342592592598</v>
      </c>
      <c r="C7882" s="421" t="s">
        <v>2109</v>
      </c>
    </row>
    <row r="7883" spans="1:3" x14ac:dyDescent="0.25">
      <c r="A7883" s="417">
        <v>41552</v>
      </c>
      <c r="B7883" s="418">
        <v>0.94686342592592598</v>
      </c>
      <c r="C7883" s="421" t="s">
        <v>2110</v>
      </c>
    </row>
    <row r="7884" spans="1:3" x14ac:dyDescent="0.25">
      <c r="A7884" s="417">
        <v>41552</v>
      </c>
      <c r="B7884" s="418">
        <v>0.94686342592592598</v>
      </c>
      <c r="C7884" s="421" t="s">
        <v>1446</v>
      </c>
    </row>
    <row r="7885" spans="1:3" x14ac:dyDescent="0.25">
      <c r="A7885" s="417">
        <v>41552</v>
      </c>
      <c r="B7885" s="418">
        <v>0.94686342592592598</v>
      </c>
      <c r="C7885" s="421" t="s">
        <v>2111</v>
      </c>
    </row>
    <row r="7886" spans="1:3" x14ac:dyDescent="0.25">
      <c r="A7886" s="417">
        <v>41552</v>
      </c>
      <c r="B7886" s="418">
        <v>0.94686342592592598</v>
      </c>
      <c r="C7886" s="421" t="s">
        <v>1389</v>
      </c>
    </row>
    <row r="7887" spans="1:3" x14ac:dyDescent="0.25">
      <c r="A7887" s="417">
        <v>41552</v>
      </c>
      <c r="B7887" s="418">
        <v>0.94686342592592598</v>
      </c>
      <c r="C7887" s="421" t="s">
        <v>1448</v>
      </c>
    </row>
    <row r="7888" spans="1:3" x14ac:dyDescent="0.25">
      <c r="A7888" s="417">
        <v>41552</v>
      </c>
      <c r="B7888" s="418">
        <v>0.94686342592592598</v>
      </c>
      <c r="C7888" s="421" t="s">
        <v>1450</v>
      </c>
    </row>
    <row r="7889" spans="1:3" x14ac:dyDescent="0.25">
      <c r="A7889" s="417">
        <v>41552</v>
      </c>
      <c r="B7889" s="418">
        <v>0.94686342592592598</v>
      </c>
      <c r="C7889" s="421" t="s">
        <v>1450</v>
      </c>
    </row>
    <row r="7890" spans="1:3" x14ac:dyDescent="0.25">
      <c r="A7890" s="417">
        <v>41552</v>
      </c>
      <c r="B7890" s="418">
        <v>0.94686342592592598</v>
      </c>
      <c r="C7890" s="421" t="s">
        <v>1450</v>
      </c>
    </row>
    <row r="7891" spans="1:3" x14ac:dyDescent="0.25">
      <c r="A7891" s="417">
        <v>41552</v>
      </c>
      <c r="B7891" s="418">
        <v>0.94686342592592598</v>
      </c>
      <c r="C7891" s="421" t="s">
        <v>1450</v>
      </c>
    </row>
    <row r="7892" spans="1:3" x14ac:dyDescent="0.25">
      <c r="A7892" s="417">
        <v>41552</v>
      </c>
      <c r="B7892" s="418">
        <v>0.94686342592592598</v>
      </c>
      <c r="C7892" s="421" t="s">
        <v>1450</v>
      </c>
    </row>
    <row r="7893" spans="1:3" x14ac:dyDescent="0.25">
      <c r="A7893" s="417">
        <v>41552</v>
      </c>
      <c r="B7893" s="418">
        <v>0.94686342592592598</v>
      </c>
      <c r="C7893" s="421" t="s">
        <v>1450</v>
      </c>
    </row>
    <row r="7894" spans="1:3" x14ac:dyDescent="0.25">
      <c r="A7894" s="417">
        <v>41552</v>
      </c>
      <c r="B7894" s="418">
        <v>0.94686342592592598</v>
      </c>
      <c r="C7894" s="421" t="s">
        <v>1450</v>
      </c>
    </row>
    <row r="7895" spans="1:3" x14ac:dyDescent="0.25">
      <c r="A7895" s="417">
        <v>41552</v>
      </c>
      <c r="B7895" s="418">
        <v>0.94687500000000002</v>
      </c>
      <c r="C7895" s="421" t="s">
        <v>1988</v>
      </c>
    </row>
    <row r="7896" spans="1:3" x14ac:dyDescent="0.25">
      <c r="A7896" s="417">
        <v>41552</v>
      </c>
      <c r="B7896" s="418">
        <v>0.94695601851851852</v>
      </c>
      <c r="C7896" s="421" t="s">
        <v>1988</v>
      </c>
    </row>
    <row r="7897" spans="1:3" x14ac:dyDescent="0.25">
      <c r="A7897" s="417">
        <v>41552</v>
      </c>
      <c r="B7897" s="418">
        <v>0.94702546296296297</v>
      </c>
      <c r="C7897" s="421" t="s">
        <v>1448</v>
      </c>
    </row>
    <row r="7898" spans="1:3" x14ac:dyDescent="0.25">
      <c r="A7898" s="417">
        <v>41552</v>
      </c>
      <c r="B7898" s="418">
        <v>0.94702546296296297</v>
      </c>
      <c r="C7898" s="421" t="s">
        <v>1399</v>
      </c>
    </row>
    <row r="7899" spans="1:3" x14ac:dyDescent="0.25">
      <c r="A7899" s="417">
        <v>41552</v>
      </c>
      <c r="B7899" s="418">
        <v>0.94702546296296297</v>
      </c>
      <c r="C7899" s="421" t="s">
        <v>1309</v>
      </c>
    </row>
    <row r="7900" spans="1:3" x14ac:dyDescent="0.25">
      <c r="A7900" s="417">
        <v>41552</v>
      </c>
      <c r="B7900" s="418">
        <v>0.94702546296296297</v>
      </c>
      <c r="C7900" s="421" t="s">
        <v>2112</v>
      </c>
    </row>
    <row r="7901" spans="1:3" x14ac:dyDescent="0.25">
      <c r="A7901" s="417">
        <v>41552</v>
      </c>
      <c r="B7901" s="418">
        <v>0.94702546296296297</v>
      </c>
      <c r="C7901" s="421" t="s">
        <v>2113</v>
      </c>
    </row>
    <row r="7902" spans="1:3" x14ac:dyDescent="0.25">
      <c r="A7902" s="417">
        <v>41552</v>
      </c>
      <c r="B7902" s="418">
        <v>0.9515162037037036</v>
      </c>
      <c r="C7902" s="421" t="s">
        <v>1635</v>
      </c>
    </row>
    <row r="7903" spans="1:3" x14ac:dyDescent="0.25">
      <c r="A7903" s="417">
        <v>41552</v>
      </c>
      <c r="B7903" s="418">
        <v>0.95152777777777775</v>
      </c>
      <c r="C7903" s="421" t="s">
        <v>2114</v>
      </c>
    </row>
    <row r="7904" spans="1:3" x14ac:dyDescent="0.25">
      <c r="A7904" s="417">
        <v>41552</v>
      </c>
      <c r="B7904" s="418">
        <v>0.95152777777777775</v>
      </c>
      <c r="C7904" s="421" t="s">
        <v>2023</v>
      </c>
    </row>
    <row r="7905" spans="1:3" x14ac:dyDescent="0.25">
      <c r="A7905" s="417">
        <v>41552</v>
      </c>
      <c r="B7905" s="418">
        <v>0.9515393518518519</v>
      </c>
      <c r="C7905" s="421" t="s">
        <v>2115</v>
      </c>
    </row>
    <row r="7906" spans="1:3" ht="45" x14ac:dyDescent="0.25">
      <c r="A7906" s="417">
        <v>41552</v>
      </c>
      <c r="B7906" s="418">
        <v>0.97037037037037033</v>
      </c>
      <c r="C7906" s="946" t="s">
        <v>2063</v>
      </c>
    </row>
    <row r="7907" spans="1:3" ht="30" x14ac:dyDescent="0.25">
      <c r="A7907" s="417">
        <v>41552</v>
      </c>
      <c r="B7907" s="418">
        <v>0.97054398148148147</v>
      </c>
      <c r="C7907" s="946" t="s">
        <v>2116</v>
      </c>
    </row>
    <row r="7908" spans="1:3" ht="45" x14ac:dyDescent="0.25">
      <c r="A7908" s="417">
        <v>41552</v>
      </c>
      <c r="B7908" s="418">
        <v>0.9706597222222223</v>
      </c>
      <c r="C7908" s="946" t="s">
        <v>2117</v>
      </c>
    </row>
    <row r="7909" spans="1:3" ht="45" x14ac:dyDescent="0.25">
      <c r="A7909" s="417">
        <v>41552</v>
      </c>
      <c r="B7909" s="418">
        <v>0.97192129629629631</v>
      </c>
      <c r="C7909" s="946" t="s">
        <v>2118</v>
      </c>
    </row>
    <row r="7910" spans="1:3" ht="30" x14ac:dyDescent="0.25">
      <c r="A7910" s="417">
        <v>41552</v>
      </c>
      <c r="B7910" s="418">
        <v>0.97317129629629628</v>
      </c>
      <c r="C7910" s="946" t="s">
        <v>2119</v>
      </c>
    </row>
    <row r="7911" spans="1:3" ht="45" x14ac:dyDescent="0.25">
      <c r="A7911" s="417">
        <v>41552</v>
      </c>
      <c r="B7911" s="418">
        <v>0.9740509259259259</v>
      </c>
      <c r="C7911" s="946" t="s">
        <v>2120</v>
      </c>
    </row>
    <row r="7912" spans="1:3" ht="30" x14ac:dyDescent="0.25">
      <c r="A7912" s="417">
        <v>41552</v>
      </c>
      <c r="B7912" s="418">
        <v>0.97454861111111113</v>
      </c>
      <c r="C7912" s="946" t="s">
        <v>2121</v>
      </c>
    </row>
    <row r="7913" spans="1:3" ht="30" x14ac:dyDescent="0.25">
      <c r="A7913" s="417">
        <v>41552</v>
      </c>
      <c r="B7913" s="418">
        <v>0.97662037037037042</v>
      </c>
      <c r="C7913" s="946" t="s">
        <v>2122</v>
      </c>
    </row>
    <row r="7914" spans="1:3" ht="45" x14ac:dyDescent="0.25">
      <c r="A7914" s="417">
        <v>41552</v>
      </c>
      <c r="B7914" s="418">
        <v>0.97759259259259268</v>
      </c>
      <c r="C7914" s="946" t="s">
        <v>2123</v>
      </c>
    </row>
    <row r="7915" spans="1:3" ht="30" x14ac:dyDescent="0.25">
      <c r="A7915" s="417">
        <v>41552</v>
      </c>
      <c r="B7915" s="418">
        <v>0.97809027777777768</v>
      </c>
      <c r="C7915" s="946" t="s">
        <v>2124</v>
      </c>
    </row>
    <row r="7916" spans="1:3" ht="45" x14ac:dyDescent="0.25">
      <c r="A7916" s="417">
        <v>41553</v>
      </c>
      <c r="B7916" s="418">
        <v>4.0925925925925928E-2</v>
      </c>
      <c r="C7916" s="946" t="s">
        <v>2125</v>
      </c>
    </row>
    <row r="7917" spans="1:3" ht="45" x14ac:dyDescent="0.25">
      <c r="A7917" s="417">
        <v>41553</v>
      </c>
      <c r="B7917" s="418">
        <v>4.3217592592592592E-2</v>
      </c>
      <c r="C7917" s="946" t="s">
        <v>2126</v>
      </c>
    </row>
    <row r="7918" spans="1:3" ht="45" x14ac:dyDescent="0.25">
      <c r="A7918" s="417">
        <v>41553</v>
      </c>
      <c r="B7918" s="418">
        <v>6.9270833333333337E-2</v>
      </c>
      <c r="C7918" s="946" t="s">
        <v>2127</v>
      </c>
    </row>
    <row r="7919" spans="1:3" ht="45" x14ac:dyDescent="0.25">
      <c r="A7919" s="417">
        <v>41553</v>
      </c>
      <c r="B7919" s="418">
        <v>6.9664351851851852E-2</v>
      </c>
      <c r="C7919" s="946" t="s">
        <v>2128</v>
      </c>
    </row>
    <row r="7920" spans="1:3" ht="30" x14ac:dyDescent="0.25">
      <c r="A7920" s="417">
        <v>41553</v>
      </c>
      <c r="B7920" s="418">
        <v>0.11261574074074072</v>
      </c>
      <c r="C7920" s="946" t="s">
        <v>2129</v>
      </c>
    </row>
    <row r="7921" spans="1:3" ht="45" x14ac:dyDescent="0.25">
      <c r="A7921" s="417">
        <v>41553</v>
      </c>
      <c r="B7921" s="418">
        <v>0.11290509259259258</v>
      </c>
      <c r="C7921" s="946" t="s">
        <v>2130</v>
      </c>
    </row>
    <row r="7922" spans="1:3" ht="30" x14ac:dyDescent="0.25">
      <c r="A7922" s="417">
        <v>41553</v>
      </c>
      <c r="B7922" s="418">
        <v>0.14469907407407409</v>
      </c>
      <c r="C7922" s="946" t="s">
        <v>2129</v>
      </c>
    </row>
    <row r="7923" spans="1:3" ht="45" x14ac:dyDescent="0.25">
      <c r="A7923" s="417">
        <v>41553</v>
      </c>
      <c r="B7923" s="418">
        <v>0.14508101851851851</v>
      </c>
      <c r="C7923" s="946" t="s">
        <v>2131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150" activePane="bottomRight" state="frozen"/>
      <selection pane="topRight" activeCell="B1" sqref="B1"/>
      <selection pane="bottomLeft" activeCell="A3" sqref="A3"/>
      <selection pane="bottomRight" activeCell="L160" sqref="L160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6" width="11.28515625" style="398" customWidth="1"/>
    <col min="17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3" s="423" customFormat="1" ht="15.75" thickBot="1" x14ac:dyDescent="0.3">
      <c r="A1" s="422">
        <v>41517</v>
      </c>
    </row>
    <row r="2" spans="1:43" s="423" customFormat="1" ht="19.5" x14ac:dyDescent="0.3">
      <c r="C2" s="424" t="s">
        <v>738</v>
      </c>
    </row>
    <row r="3" spans="1:43" s="423" customFormat="1" x14ac:dyDescent="0.25"/>
    <row r="4" spans="1:43" s="423" customFormat="1" x14ac:dyDescent="0.25">
      <c r="A4" s="423" t="s">
        <v>1198</v>
      </c>
    </row>
    <row r="5" spans="1:43" s="423" customFormat="1" ht="15.75" thickBot="1" x14ac:dyDescent="0.3">
      <c r="A5" s="867">
        <v>41517</v>
      </c>
      <c r="B5" s="423" t="s">
        <v>1212</v>
      </c>
    </row>
    <row r="6" spans="1:43" s="441" customFormat="1" ht="23.25" thickBot="1" x14ac:dyDescent="0.3">
      <c r="A6" s="425" t="s">
        <v>739</v>
      </c>
      <c r="B6" s="901" t="s">
        <v>740</v>
      </c>
      <c r="C6" s="788" t="s">
        <v>57</v>
      </c>
      <c r="D6" s="788" t="s">
        <v>741</v>
      </c>
      <c r="E6" s="788" t="s">
        <v>76</v>
      </c>
      <c r="F6" s="902"/>
      <c r="G6" s="903" t="s">
        <v>35</v>
      </c>
      <c r="H6" s="904" t="s">
        <v>38</v>
      </c>
      <c r="I6" s="903" t="s">
        <v>742</v>
      </c>
      <c r="J6" s="905" t="s">
        <v>51</v>
      </c>
      <c r="K6" s="906" t="s">
        <v>743</v>
      </c>
      <c r="L6" s="906" t="s">
        <v>744</v>
      </c>
      <c r="M6" s="906" t="s">
        <v>745</v>
      </c>
      <c r="N6" s="907" t="s">
        <v>746</v>
      </c>
      <c r="O6" s="907" t="s">
        <v>747</v>
      </c>
      <c r="P6" s="907" t="s">
        <v>748</v>
      </c>
      <c r="Q6" s="907" t="s">
        <v>749</v>
      </c>
      <c r="R6" s="907" t="s">
        <v>750</v>
      </c>
      <c r="S6" s="906" t="s">
        <v>751</v>
      </c>
      <c r="T6" s="905" t="s">
        <v>752</v>
      </c>
      <c r="U6" s="905" t="s">
        <v>753</v>
      </c>
      <c r="V6" s="905" t="s">
        <v>754</v>
      </c>
      <c r="W6" s="905" t="s">
        <v>108</v>
      </c>
      <c r="X6" s="905" t="s">
        <v>755</v>
      </c>
      <c r="Y6" s="905" t="s">
        <v>756</v>
      </c>
      <c r="Z6" s="903" t="s">
        <v>757</v>
      </c>
      <c r="AA6" s="905" t="s">
        <v>758</v>
      </c>
      <c r="AB6" s="906" t="s">
        <v>759</v>
      </c>
      <c r="AC6" s="905" t="s">
        <v>760</v>
      </c>
      <c r="AD6" s="908" t="s">
        <v>761</v>
      </c>
      <c r="AE6" s="910" t="s">
        <v>1243</v>
      </c>
      <c r="AF6" s="865" t="s">
        <v>1211</v>
      </c>
      <c r="AG6" s="909" t="s">
        <v>762</v>
      </c>
      <c r="AH6" s="428" t="s">
        <v>400</v>
      </c>
      <c r="AI6" s="429" t="s">
        <v>763</v>
      </c>
      <c r="AJ6" s="429" t="s">
        <v>764</v>
      </c>
      <c r="AK6" s="429" t="s">
        <v>414</v>
      </c>
      <c r="AL6" s="429" t="s">
        <v>411</v>
      </c>
      <c r="AM6" s="428" t="s">
        <v>765</v>
      </c>
      <c r="AP6" s="428" t="s">
        <v>766</v>
      </c>
    </row>
    <row r="7" spans="1:43" s="423" customFormat="1" x14ac:dyDescent="0.25">
      <c r="A7" s="430" t="s">
        <v>1213</v>
      </c>
      <c r="B7" s="431" t="s">
        <v>172</v>
      </c>
      <c r="C7" s="432" t="str">
        <f>IF(D7="","",1)</f>
        <v/>
      </c>
      <c r="D7" s="433"/>
      <c r="E7" s="433"/>
      <c r="F7" s="434" t="str">
        <f>TRIM(G7)&amp;TRIM(AE7)&amp;ROUND(S7/1000,0)</f>
        <v>CopyHdr0</v>
      </c>
      <c r="AE7" s="912" t="s">
        <v>768</v>
      </c>
      <c r="AF7" s="609" t="s">
        <v>768</v>
      </c>
      <c r="AG7" s="435" t="s">
        <v>768</v>
      </c>
      <c r="AH7" s="435" t="s">
        <v>768</v>
      </c>
      <c r="AI7" s="435" t="s">
        <v>768</v>
      </c>
      <c r="AJ7" s="435" t="s">
        <v>768</v>
      </c>
      <c r="AK7" s="435" t="s">
        <v>768</v>
      </c>
      <c r="AL7" s="435" t="s">
        <v>768</v>
      </c>
      <c r="AM7" s="435" t="s">
        <v>768</v>
      </c>
      <c r="AP7" s="435" t="s">
        <v>768</v>
      </c>
    </row>
    <row r="8" spans="1:43" s="423" customFormat="1" x14ac:dyDescent="0.25">
      <c r="A8" s="425" t="s">
        <v>769</v>
      </c>
      <c r="B8" s="436">
        <v>0.5</v>
      </c>
      <c r="C8" s="436">
        <v>1.2</v>
      </c>
      <c r="D8" s="436">
        <v>0.5</v>
      </c>
      <c r="E8" s="436">
        <v>0.5</v>
      </c>
      <c r="F8" s="437">
        <v>0.3</v>
      </c>
      <c r="G8" s="438">
        <v>14</v>
      </c>
      <c r="H8" s="438">
        <v>8</v>
      </c>
      <c r="I8" s="438">
        <v>12.8</v>
      </c>
      <c r="J8" s="438">
        <v>22</v>
      </c>
      <c r="K8" s="438">
        <v>0</v>
      </c>
      <c r="L8" s="438">
        <v>0</v>
      </c>
      <c r="M8" s="438">
        <v>0</v>
      </c>
      <c r="N8" s="438">
        <v>0</v>
      </c>
      <c r="O8" s="438">
        <v>0</v>
      </c>
      <c r="P8" s="438">
        <v>0</v>
      </c>
      <c r="Q8" s="438">
        <v>0</v>
      </c>
      <c r="R8" s="438">
        <v>0</v>
      </c>
      <c r="S8" s="438">
        <v>10</v>
      </c>
      <c r="T8" s="438">
        <v>40</v>
      </c>
      <c r="U8" s="438">
        <v>0</v>
      </c>
      <c r="V8" s="438">
        <v>0</v>
      </c>
      <c r="W8" s="438">
        <v>10</v>
      </c>
      <c r="X8" s="438">
        <v>0</v>
      </c>
      <c r="Y8" s="438">
        <v>0</v>
      </c>
      <c r="Z8" s="438">
        <v>8</v>
      </c>
      <c r="AA8" s="438">
        <v>8</v>
      </c>
      <c r="AB8" s="438">
        <v>10</v>
      </c>
      <c r="AC8" s="438">
        <v>5</v>
      </c>
      <c r="AD8" s="438">
        <v>15</v>
      </c>
      <c r="AE8" s="911" t="s">
        <v>1244</v>
      </c>
      <c r="AF8" s="866" t="s">
        <v>923</v>
      </c>
      <c r="AG8" s="423">
        <v>8</v>
      </c>
      <c r="AH8" s="436">
        <v>10</v>
      </c>
      <c r="AI8" s="436">
        <v>1</v>
      </c>
      <c r="AJ8" s="436">
        <v>1</v>
      </c>
      <c r="AK8" s="436">
        <v>1</v>
      </c>
      <c r="AL8" s="436">
        <v>1</v>
      </c>
      <c r="AM8" s="436" t="s">
        <v>770</v>
      </c>
      <c r="AP8" s="436" t="s">
        <v>770</v>
      </c>
    </row>
    <row r="9" spans="1:43" s="423" customFormat="1" x14ac:dyDescent="0.25">
      <c r="A9" s="425" t="s">
        <v>771</v>
      </c>
      <c r="B9" s="436">
        <v>30</v>
      </c>
      <c r="C9" s="436"/>
      <c r="D9" s="436">
        <v>5</v>
      </c>
      <c r="E9" s="436">
        <v>3</v>
      </c>
      <c r="F9" s="437"/>
      <c r="G9" s="436"/>
      <c r="H9" s="436"/>
      <c r="K9" s="436"/>
      <c r="L9" s="438"/>
      <c r="M9" s="438"/>
      <c r="N9" s="438"/>
      <c r="O9" s="438"/>
      <c r="P9" s="438"/>
      <c r="Q9" s="438"/>
      <c r="R9" s="438"/>
      <c r="S9" s="438"/>
      <c r="T9" s="438"/>
      <c r="U9" s="439"/>
      <c r="V9" s="438"/>
      <c r="W9" s="438"/>
      <c r="X9" s="438"/>
      <c r="Y9" s="438"/>
      <c r="Z9" s="438"/>
      <c r="AA9" s="438"/>
      <c r="AE9" s="912">
        <v>9</v>
      </c>
      <c r="AF9" s="609" t="str">
        <f>Process!F80</f>
        <v>HANDL_PaidInSF</v>
      </c>
      <c r="AG9" s="436">
        <v>8</v>
      </c>
      <c r="AH9" s="436">
        <v>19</v>
      </c>
      <c r="AI9" s="436">
        <f>COLUMN(AH9)-1</f>
        <v>33</v>
      </c>
      <c r="AJ9" s="436">
        <f>AI9</f>
        <v>33</v>
      </c>
      <c r="AK9" s="436">
        <f>AI9</f>
        <v>33</v>
      </c>
      <c r="AL9" s="436">
        <f>AI9</f>
        <v>33</v>
      </c>
      <c r="AM9" s="436">
        <v>5</v>
      </c>
      <c r="AP9" s="436">
        <v>5</v>
      </c>
    </row>
    <row r="10" spans="1:43" s="441" customFormat="1" ht="38.25" x14ac:dyDescent="0.25">
      <c r="A10" s="425" t="s">
        <v>772</v>
      </c>
      <c r="B10" s="440"/>
      <c r="C10" s="440"/>
      <c r="D10" s="440"/>
      <c r="E10" s="440"/>
      <c r="G10" s="440"/>
      <c r="H10" s="440"/>
      <c r="K10" s="440"/>
      <c r="L10" s="442"/>
      <c r="M10" s="442"/>
      <c r="N10" s="442"/>
      <c r="O10" s="442"/>
      <c r="P10" s="442"/>
      <c r="Q10" s="442"/>
      <c r="R10" s="442"/>
      <c r="S10" s="442"/>
      <c r="T10" s="442"/>
      <c r="U10" s="443"/>
      <c r="V10" s="442"/>
      <c r="W10" s="442"/>
      <c r="X10" s="442"/>
      <c r="Y10" s="442"/>
      <c r="Z10" s="442"/>
      <c r="AA10" s="442"/>
      <c r="AE10" s="913" t="s">
        <v>1245</v>
      </c>
      <c r="AF10" s="864"/>
      <c r="AG10" s="440" t="s">
        <v>773</v>
      </c>
      <c r="AH10" s="444" t="s">
        <v>774</v>
      </c>
      <c r="AI10" s="445" t="s">
        <v>775</v>
      </c>
      <c r="AJ10" s="445" t="s">
        <v>776</v>
      </c>
      <c r="AK10" s="445" t="s">
        <v>777</v>
      </c>
      <c r="AL10" s="445" t="s">
        <v>778</v>
      </c>
      <c r="AM10" s="446"/>
      <c r="AP10" s="446" t="s">
        <v>779</v>
      </c>
    </row>
    <row r="11" spans="1:43" s="423" customFormat="1" x14ac:dyDescent="0.25">
      <c r="A11" s="425" t="s">
        <v>780</v>
      </c>
      <c r="B11" s="447" t="s">
        <v>781</v>
      </c>
      <c r="C11" s="447"/>
      <c r="D11" s="447" t="s">
        <v>782</v>
      </c>
      <c r="E11" s="447" t="s">
        <v>783</v>
      </c>
      <c r="F11" s="437"/>
      <c r="G11" s="436"/>
      <c r="H11" s="436"/>
      <c r="K11" s="436"/>
      <c r="L11" s="438"/>
      <c r="M11" s="438"/>
      <c r="N11" s="438"/>
      <c r="O11" s="438"/>
      <c r="P11" s="438"/>
      <c r="Q11" s="438"/>
      <c r="R11" s="438"/>
      <c r="S11" s="438"/>
      <c r="T11" s="438"/>
      <c r="U11" s="439"/>
      <c r="V11" s="438"/>
      <c r="W11" s="438"/>
      <c r="X11" s="438"/>
      <c r="Y11" s="438"/>
      <c r="Z11" s="438"/>
      <c r="AA11" s="438"/>
      <c r="AE11" s="914" t="s">
        <v>1251</v>
      </c>
      <c r="AF11" s="608"/>
      <c r="AM11" s="447" t="s">
        <v>784</v>
      </c>
      <c r="AP11" s="447" t="s">
        <v>784</v>
      </c>
    </row>
    <row r="12" spans="1:43" s="423" customFormat="1" x14ac:dyDescent="0.25">
      <c r="Z12" s="438"/>
    </row>
    <row r="13" spans="1:43" s="423" customFormat="1" x14ac:dyDescent="0.25">
      <c r="A13" s="486" t="s">
        <v>1510</v>
      </c>
      <c r="Z13" s="438"/>
    </row>
    <row r="14" spans="1:43" s="423" customFormat="1" x14ac:dyDescent="0.25">
      <c r="A14" s="949" t="s">
        <v>31</v>
      </c>
      <c r="B14" s="609">
        <v>30</v>
      </c>
      <c r="C14" s="447"/>
      <c r="D14" s="447"/>
      <c r="E14" s="447"/>
      <c r="F14" s="447"/>
      <c r="G14" s="437"/>
      <c r="H14" s="436"/>
      <c r="I14" s="436"/>
      <c r="L14" s="436"/>
      <c r="M14" s="438"/>
      <c r="N14" s="438"/>
      <c r="O14" s="438"/>
      <c r="P14" s="438"/>
      <c r="Q14" s="438"/>
      <c r="R14" s="438"/>
      <c r="S14" s="438"/>
      <c r="T14" s="438"/>
      <c r="U14" s="438"/>
      <c r="V14" s="439"/>
      <c r="W14" s="438"/>
      <c r="X14" s="438"/>
      <c r="Y14" s="438"/>
      <c r="Z14" s="438"/>
      <c r="AA14" s="438"/>
      <c r="AB14" s="438"/>
      <c r="AF14" s="914"/>
      <c r="AG14" s="608"/>
      <c r="AN14" s="447"/>
      <c r="AQ14" s="447"/>
    </row>
    <row r="15" spans="1:43" s="423" customFormat="1" x14ac:dyDescent="0.25">
      <c r="Z15" s="438"/>
    </row>
    <row r="16" spans="1:43" s="423" customFormat="1" ht="15.75" thickBot="1" x14ac:dyDescent="0.3">
      <c r="A16" s="423" t="s">
        <v>785</v>
      </c>
      <c r="Z16" s="438"/>
    </row>
    <row r="17" spans="1:43" s="448" customFormat="1" ht="15.75" thickBot="1" x14ac:dyDescent="0.3">
      <c r="F17" s="449"/>
      <c r="G17" s="450"/>
      <c r="H17" s="449"/>
      <c r="I17" s="451" t="s">
        <v>786</v>
      </c>
      <c r="J17" s="452"/>
      <c r="K17" s="453"/>
      <c r="L17" s="454"/>
      <c r="M17" s="454"/>
      <c r="N17" s="454"/>
      <c r="O17" s="454"/>
      <c r="P17" s="454"/>
      <c r="Q17" s="454"/>
      <c r="R17" s="455">
        <f>SUM(R$2:R15)</f>
        <v>0</v>
      </c>
      <c r="S17" s="456"/>
      <c r="V17" s="457" t="s">
        <v>787</v>
      </c>
      <c r="W17" s="458"/>
      <c r="X17" s="458"/>
      <c r="Y17" s="459">
        <f>1 - COUNTIF(A$2:A15,"")/COUNTA(A$2:A15)</f>
        <v>0.6</v>
      </c>
      <c r="Z17" s="457" t="s">
        <v>788</v>
      </c>
      <c r="AA17" s="455">
        <f>R17-SUMIF(B$2:B15,"1",R$2:R15)</f>
        <v>0</v>
      </c>
      <c r="AB17" s="460" t="e">
        <f>AA17/R17</f>
        <v>#DIV/0!</v>
      </c>
      <c r="AC17" s="461" t="e">
        <f>1-AB17</f>
        <v>#DIV/0!</v>
      </c>
    </row>
    <row r="18" spans="1:43" s="423" customFormat="1" x14ac:dyDescent="0.25">
      <c r="P18" s="454"/>
    </row>
    <row r="19" spans="1:43" s="423" customFormat="1" x14ac:dyDescent="0.25">
      <c r="A19" s="423" t="s">
        <v>789</v>
      </c>
      <c r="P19" s="454"/>
    </row>
    <row r="20" spans="1:43" s="423" customFormat="1" x14ac:dyDescent="0.25">
      <c r="B20" s="423" t="s">
        <v>790</v>
      </c>
      <c r="P20" s="454"/>
    </row>
    <row r="21" spans="1:43" s="550" customFormat="1" ht="15.75" thickBot="1" x14ac:dyDescent="0.3">
      <c r="B21" s="550" t="s">
        <v>1508</v>
      </c>
      <c r="P21" s="454"/>
    </row>
    <row r="22" spans="1:43" s="440" customFormat="1" ht="60.75" thickBot="1" x14ac:dyDescent="0.3">
      <c r="A22" s="425" t="s">
        <v>739</v>
      </c>
      <c r="B22" s="462" t="s">
        <v>791</v>
      </c>
      <c r="C22" s="463" t="s">
        <v>792</v>
      </c>
      <c r="D22" s="463" t="s">
        <v>793</v>
      </c>
      <c r="E22" s="464" t="s">
        <v>794</v>
      </c>
      <c r="F22" s="465" t="s">
        <v>795</v>
      </c>
      <c r="G22" s="466" t="s">
        <v>796</v>
      </c>
      <c r="H22" s="467" t="s">
        <v>797</v>
      </c>
      <c r="I22" s="468"/>
      <c r="J22" s="948" t="s">
        <v>1507</v>
      </c>
      <c r="K22" s="470" t="s">
        <v>43</v>
      </c>
      <c r="L22" s="470"/>
      <c r="M22" s="471" t="s">
        <v>46</v>
      </c>
      <c r="N22" s="469" t="s">
        <v>753</v>
      </c>
      <c r="O22" s="469" t="s">
        <v>108</v>
      </c>
      <c r="P22" s="469" t="s">
        <v>798</v>
      </c>
      <c r="Q22" s="469" t="s">
        <v>799</v>
      </c>
      <c r="R22" s="469" t="s">
        <v>800</v>
      </c>
      <c r="S22" s="469" t="s">
        <v>801</v>
      </c>
      <c r="T22" s="470" t="s">
        <v>802</v>
      </c>
      <c r="U22" s="472" t="s">
        <v>803</v>
      </c>
      <c r="V22" s="472" t="s">
        <v>804</v>
      </c>
      <c r="W22" s="472" t="s">
        <v>805</v>
      </c>
      <c r="X22" s="469" t="s">
        <v>806</v>
      </c>
      <c r="Y22" s="469" t="s">
        <v>807</v>
      </c>
      <c r="Z22" s="469" t="s">
        <v>761</v>
      </c>
      <c r="AA22" s="469" t="s">
        <v>808</v>
      </c>
    </row>
    <row r="23" spans="1:43" s="423" customFormat="1" ht="18" customHeight="1" x14ac:dyDescent="0.25">
      <c r="A23" s="430" t="s">
        <v>1213</v>
      </c>
      <c r="B23" s="473" t="s">
        <v>168</v>
      </c>
      <c r="C23" s="474" t="s">
        <v>809</v>
      </c>
      <c r="D23" s="475"/>
      <c r="E23" s="476">
        <v>1</v>
      </c>
      <c r="F23" s="477" t="str">
        <f>IF(AND(U23=W23,W23&gt;0),"1","")</f>
        <v/>
      </c>
      <c r="G23" s="478" t="str">
        <f>IF(U23=V23,"1","")</f>
        <v/>
      </c>
      <c r="H23" s="479"/>
      <c r="I23" s="480" t="str">
        <f>IF(S23="",TRIM(K23),TRIM(MID(S23,9,55))&amp;"/"&amp;TRIM(K23))</f>
        <v>2009-1-065</v>
      </c>
      <c r="J23" s="912" t="s">
        <v>768</v>
      </c>
      <c r="K23" s="482" t="s">
        <v>810</v>
      </c>
      <c r="L23" s="482"/>
      <c r="M23" s="483">
        <v>40058</v>
      </c>
      <c r="N23" s="481" t="s">
        <v>251</v>
      </c>
      <c r="O23" s="481" t="s">
        <v>373</v>
      </c>
      <c r="P23" s="481"/>
      <c r="Q23" s="481"/>
      <c r="R23" s="481" t="s">
        <v>811</v>
      </c>
      <c r="S23" s="481"/>
      <c r="T23" s="482" t="s">
        <v>812</v>
      </c>
      <c r="U23" s="484">
        <v>324000</v>
      </c>
      <c r="V23" s="484">
        <v>0</v>
      </c>
      <c r="W23" s="484">
        <v>0</v>
      </c>
      <c r="X23" s="481" t="s">
        <v>392</v>
      </c>
      <c r="Y23" s="485"/>
      <c r="Z23" s="485" t="s">
        <v>813</v>
      </c>
      <c r="AA23" s="481" t="s">
        <v>814</v>
      </c>
    </row>
    <row r="24" spans="1:43" s="423" customFormat="1" x14ac:dyDescent="0.25">
      <c r="A24" s="425" t="s">
        <v>769</v>
      </c>
      <c r="B24" s="436">
        <v>0.5</v>
      </c>
      <c r="C24" s="436">
        <v>8</v>
      </c>
      <c r="D24" s="423">
        <v>6</v>
      </c>
      <c r="E24" s="436">
        <v>5</v>
      </c>
      <c r="F24" s="437">
        <v>2</v>
      </c>
      <c r="G24" s="436">
        <v>2</v>
      </c>
      <c r="H24" s="436">
        <v>2</v>
      </c>
      <c r="I24" s="436">
        <v>0.5</v>
      </c>
      <c r="J24" s="911" t="s">
        <v>1509</v>
      </c>
      <c r="K24" s="436">
        <v>10</v>
      </c>
      <c r="L24" s="686">
        <v>0.7</v>
      </c>
      <c r="M24" s="686">
        <v>10</v>
      </c>
      <c r="N24" s="686">
        <v>7</v>
      </c>
      <c r="O24" s="686">
        <v>10</v>
      </c>
      <c r="P24" s="436">
        <v>20</v>
      </c>
      <c r="Q24" s="686">
        <v>12</v>
      </c>
      <c r="R24" s="686">
        <v>12</v>
      </c>
      <c r="S24" s="438">
        <v>10</v>
      </c>
      <c r="T24" s="438">
        <v>8</v>
      </c>
      <c r="U24" s="439">
        <v>12</v>
      </c>
      <c r="V24" s="438">
        <v>11</v>
      </c>
      <c r="W24" s="438">
        <v>11</v>
      </c>
      <c r="X24" s="438">
        <v>10</v>
      </c>
      <c r="Y24" s="438">
        <v>12</v>
      </c>
      <c r="Z24" s="438">
        <v>20</v>
      </c>
      <c r="AA24" s="438">
        <v>10</v>
      </c>
    </row>
    <row r="25" spans="1:43" s="423" customFormat="1" x14ac:dyDescent="0.25">
      <c r="A25" s="425" t="s">
        <v>771</v>
      </c>
      <c r="B25" s="436">
        <v>9</v>
      </c>
      <c r="C25" s="436">
        <v>8</v>
      </c>
      <c r="D25" s="423">
        <v>8</v>
      </c>
      <c r="E25" s="436"/>
      <c r="F25" s="437"/>
      <c r="G25" s="436"/>
      <c r="H25" s="436">
        <v>8</v>
      </c>
      <c r="J25" s="912">
        <v>15</v>
      </c>
      <c r="K25" s="436"/>
      <c r="L25" s="438"/>
      <c r="M25" s="438"/>
      <c r="N25" s="438"/>
      <c r="O25" s="438"/>
      <c r="P25" s="440"/>
      <c r="Q25" s="438"/>
      <c r="R25" s="438"/>
      <c r="S25" s="438"/>
      <c r="T25" s="438"/>
      <c r="U25" s="439"/>
      <c r="V25" s="438"/>
      <c r="W25" s="438"/>
      <c r="X25" s="438"/>
      <c r="Y25" s="438"/>
      <c r="Z25" s="438"/>
      <c r="AA25" s="438"/>
    </row>
    <row r="26" spans="1:43" s="423" customFormat="1" x14ac:dyDescent="0.25">
      <c r="A26" s="425" t="s">
        <v>772</v>
      </c>
      <c r="B26" s="436"/>
      <c r="C26" s="436"/>
      <c r="E26" s="436"/>
      <c r="F26" s="437"/>
      <c r="G26" s="436"/>
      <c r="H26" s="436"/>
      <c r="J26" s="913" t="s">
        <v>1245</v>
      </c>
      <c r="K26" s="436"/>
      <c r="L26" s="438"/>
      <c r="M26" s="438"/>
      <c r="N26" s="438"/>
      <c r="O26" s="438"/>
      <c r="Q26" s="438"/>
      <c r="R26" s="438"/>
      <c r="S26" s="438"/>
      <c r="T26" s="438"/>
      <c r="U26" s="439"/>
      <c r="V26" s="438"/>
      <c r="W26" s="438"/>
      <c r="X26" s="438"/>
      <c r="Y26" s="438"/>
      <c r="Z26" s="438"/>
      <c r="AA26" s="438"/>
    </row>
    <row r="27" spans="1:43" s="423" customFormat="1" x14ac:dyDescent="0.25">
      <c r="A27" s="425" t="s">
        <v>780</v>
      </c>
      <c r="B27" s="436" t="s">
        <v>781</v>
      </c>
      <c r="C27" s="436" t="s">
        <v>815</v>
      </c>
      <c r="D27" s="423" t="s">
        <v>816</v>
      </c>
      <c r="E27" s="436"/>
      <c r="F27" s="437"/>
      <c r="G27" s="436"/>
      <c r="H27" s="436" t="s">
        <v>817</v>
      </c>
      <c r="J27" s="914" t="s">
        <v>1251</v>
      </c>
      <c r="K27" s="436"/>
      <c r="L27" s="438"/>
      <c r="M27" s="438"/>
      <c r="N27" s="438"/>
      <c r="O27" s="438"/>
      <c r="Q27" s="438"/>
      <c r="R27" s="438"/>
      <c r="S27" s="438"/>
      <c r="T27" s="438"/>
      <c r="U27" s="439"/>
      <c r="V27" s="438"/>
      <c r="W27" s="438"/>
      <c r="X27" s="438"/>
      <c r="Y27" s="438"/>
      <c r="Z27" s="438"/>
      <c r="AA27" s="438"/>
    </row>
    <row r="28" spans="1:43" s="423" customFormat="1" x14ac:dyDescent="0.25">
      <c r="Z28" s="438"/>
    </row>
    <row r="29" spans="1:43" s="423" customFormat="1" x14ac:dyDescent="0.25">
      <c r="A29" s="486" t="s">
        <v>1512</v>
      </c>
      <c r="Z29" s="438"/>
    </row>
    <row r="30" spans="1:43" s="423" customFormat="1" x14ac:dyDescent="0.25">
      <c r="A30" s="949" t="s">
        <v>40</v>
      </c>
      <c r="B30" s="609">
        <v>9</v>
      </c>
      <c r="C30" s="447"/>
      <c r="D30" s="447"/>
      <c r="E30" s="447"/>
      <c r="F30" s="447"/>
      <c r="G30" s="437"/>
      <c r="H30" s="436"/>
      <c r="I30" s="436"/>
      <c r="L30" s="436"/>
      <c r="M30" s="438"/>
      <c r="N30" s="438"/>
      <c r="O30" s="438"/>
      <c r="P30" s="438"/>
      <c r="Q30" s="438"/>
      <c r="R30" s="438"/>
      <c r="S30" s="438"/>
      <c r="T30" s="438"/>
      <c r="U30" s="438"/>
      <c r="V30" s="439"/>
      <c r="W30" s="438"/>
      <c r="X30" s="438"/>
      <c r="Y30" s="438"/>
      <c r="Z30" s="438"/>
      <c r="AA30" s="438"/>
      <c r="AB30" s="438"/>
      <c r="AF30" s="914"/>
      <c r="AG30" s="608"/>
      <c r="AN30" s="447"/>
      <c r="AQ30" s="447"/>
    </row>
    <row r="31" spans="1:43" s="423" customFormat="1" x14ac:dyDescent="0.25">
      <c r="A31" s="436"/>
      <c r="B31" s="436"/>
      <c r="D31" s="436"/>
      <c r="E31" s="437"/>
      <c r="F31" s="438"/>
      <c r="G31" s="438"/>
      <c r="H31" s="438"/>
      <c r="I31" s="438"/>
      <c r="J31" s="438"/>
      <c r="K31" s="438"/>
      <c r="L31" s="438"/>
      <c r="M31" s="438"/>
      <c r="N31" s="438"/>
      <c r="O31" s="438"/>
      <c r="P31" s="438"/>
      <c r="Q31" s="438"/>
      <c r="R31" s="438"/>
      <c r="S31" s="438"/>
      <c r="T31" s="438"/>
      <c r="U31" s="438"/>
      <c r="V31" s="438"/>
      <c r="W31" s="438"/>
      <c r="X31" s="438"/>
      <c r="Y31" s="438"/>
      <c r="Z31" s="438"/>
    </row>
    <row r="32" spans="1:43" s="423" customFormat="1" x14ac:dyDescent="0.25">
      <c r="A32" s="423" t="s">
        <v>818</v>
      </c>
    </row>
    <row r="33" spans="1:26" s="423" customFormat="1" ht="15.75" thickBot="1" x14ac:dyDescent="0.3">
      <c r="A33" s="486">
        <v>41504</v>
      </c>
      <c r="B33" s="423" t="s">
        <v>819</v>
      </c>
    </row>
    <row r="34" spans="1:26" s="503" customFormat="1" ht="15" customHeight="1" x14ac:dyDescent="0.25">
      <c r="A34" s="487"/>
      <c r="B34" s="488" t="s">
        <v>820</v>
      </c>
      <c r="C34" s="489">
        <f>COUNTIF(B$1:B32,B34)</f>
        <v>0</v>
      </c>
      <c r="D34" s="490" t="e">
        <f>C34/C39</f>
        <v>#DIV/0!</v>
      </c>
      <c r="E34" s="491"/>
      <c r="F34" s="492"/>
      <c r="G34" s="493"/>
      <c r="H34" s="493"/>
      <c r="I34" s="494"/>
      <c r="J34" s="495">
        <f>SUMIF(B$2:B32,B34,T$2:T32)</f>
        <v>0</v>
      </c>
      <c r="K34" s="496"/>
      <c r="L34" s="497" t="e">
        <f>J34/J39</f>
        <v>#DIV/0!</v>
      </c>
      <c r="M34" s="498"/>
      <c r="N34" s="498"/>
      <c r="O34" s="498"/>
      <c r="P34" s="499"/>
      <c r="Q34" s="499"/>
      <c r="R34" s="499"/>
      <c r="S34" s="500" t="s">
        <v>786</v>
      </c>
      <c r="T34" s="501">
        <f>SUM(T$1:T33)</f>
        <v>48</v>
      </c>
      <c r="U34" s="501">
        <f>SUM(U$1:U33)</f>
        <v>324012</v>
      </c>
      <c r="V34" s="501">
        <f>SUM(V$1:V33)</f>
        <v>11</v>
      </c>
      <c r="W34" s="499" t="s">
        <v>821</v>
      </c>
      <c r="X34" s="502"/>
      <c r="Y34" s="502"/>
      <c r="Z34" s="499"/>
    </row>
    <row r="35" spans="1:26" s="503" customFormat="1" ht="15" customHeight="1" x14ac:dyDescent="0.25">
      <c r="A35" s="487"/>
      <c r="B35" s="504" t="s">
        <v>822</v>
      </c>
      <c r="C35" s="505">
        <f>COUNTIF(B$1:B32,B35)</f>
        <v>0</v>
      </c>
      <c r="D35" s="506" t="e">
        <f>C35/C39</f>
        <v>#DIV/0!</v>
      </c>
      <c r="E35" s="491"/>
      <c r="F35" s="492"/>
      <c r="G35" s="493"/>
      <c r="H35" s="493"/>
      <c r="I35" s="494"/>
      <c r="J35" s="507">
        <f>SUMIF(B$2:B32,B35,T$2:T32)</f>
        <v>0</v>
      </c>
      <c r="K35" s="508"/>
      <c r="L35" s="509" t="e">
        <f>J35/J39</f>
        <v>#DIV/0!</v>
      </c>
      <c r="M35" s="498"/>
      <c r="N35" s="498"/>
      <c r="O35" s="498"/>
      <c r="S35" s="510"/>
      <c r="T35" s="511"/>
      <c r="U35" s="511"/>
      <c r="V35" s="511"/>
      <c r="X35" s="512"/>
      <c r="Y35" s="512"/>
    </row>
    <row r="36" spans="1:26" s="503" customFormat="1" ht="15" customHeight="1" x14ac:dyDescent="0.25">
      <c r="A36" s="487"/>
      <c r="B36" s="513" t="s">
        <v>823</v>
      </c>
      <c r="C36" s="514">
        <f>COUNTIF(B$1:B32,B36)</f>
        <v>0</v>
      </c>
      <c r="D36" s="515" t="e">
        <f>C36/C39</f>
        <v>#DIV/0!</v>
      </c>
      <c r="E36" s="491"/>
      <c r="F36" s="492"/>
      <c r="G36" s="493"/>
      <c r="H36" s="493"/>
      <c r="I36" s="494"/>
      <c r="J36" s="516">
        <f>SUMIF(B$2:B32,B36,T$2:T32)</f>
        <v>0</v>
      </c>
      <c r="K36" s="517"/>
      <c r="L36" s="518" t="e">
        <f>J36/J39</f>
        <v>#DIV/0!</v>
      </c>
      <c r="M36" s="519"/>
      <c r="N36" s="498"/>
      <c r="O36" s="498"/>
      <c r="S36" s="510"/>
      <c r="T36" s="511"/>
      <c r="U36" s="511"/>
      <c r="V36" s="511"/>
      <c r="X36" s="512"/>
      <c r="Y36" s="512"/>
    </row>
    <row r="37" spans="1:26" s="503" customFormat="1" ht="15" customHeight="1" thickBot="1" x14ac:dyDescent="0.3">
      <c r="A37" s="487"/>
      <c r="B37" s="520" t="s">
        <v>824</v>
      </c>
      <c r="C37" s="521">
        <f>COUNTIF(B$1:B32,B37)</f>
        <v>0</v>
      </c>
      <c r="D37" s="522" t="e">
        <f>C37/C39</f>
        <v>#DIV/0!</v>
      </c>
      <c r="E37" s="491"/>
      <c r="F37" s="492"/>
      <c r="G37" s="493"/>
      <c r="H37" s="493"/>
      <c r="I37" s="494"/>
      <c r="J37" s="523">
        <f>SUMIF(B$2:B32,B37,T$2:T32)</f>
        <v>0</v>
      </c>
      <c r="K37" s="524"/>
      <c r="L37" s="525" t="e">
        <f>J37/J39</f>
        <v>#DIV/0!</v>
      </c>
      <c r="M37" s="519"/>
      <c r="N37" s="498"/>
      <c r="O37" s="498"/>
      <c r="S37" s="510"/>
      <c r="T37" s="511"/>
      <c r="U37" s="511"/>
      <c r="V37" s="511"/>
      <c r="X37" s="512"/>
      <c r="Y37" s="512"/>
    </row>
    <row r="38" spans="1:26" s="503" customFormat="1" ht="15" customHeight="1" thickTop="1" thickBot="1" x14ac:dyDescent="0.3">
      <c r="A38" s="526"/>
      <c r="B38" s="527" t="s">
        <v>809</v>
      </c>
      <c r="C38" s="528">
        <f>COUNTIF(B$1:B32,B38)</f>
        <v>0</v>
      </c>
      <c r="D38" s="529" t="e">
        <f>C38/C39</f>
        <v>#DIV/0!</v>
      </c>
      <c r="E38" s="530"/>
      <c r="F38" s="531"/>
      <c r="G38" s="532"/>
      <c r="H38" s="532"/>
      <c r="I38" s="533"/>
      <c r="J38" s="534">
        <f>SUMIF(B$2:B32,B38,T$2:T32)</f>
        <v>0</v>
      </c>
      <c r="K38" s="535"/>
      <c r="L38" s="536" t="e">
        <f>J38/J39</f>
        <v>#DIV/0!</v>
      </c>
      <c r="M38" s="537"/>
      <c r="N38" s="537"/>
      <c r="O38" s="537"/>
      <c r="S38" s="510"/>
      <c r="T38" s="511"/>
      <c r="U38" s="511"/>
      <c r="V38" s="511"/>
      <c r="X38" s="512"/>
      <c r="Y38" s="512"/>
    </row>
    <row r="39" spans="1:26" s="503" customFormat="1" ht="15" customHeight="1" x14ac:dyDescent="0.25">
      <c r="A39" s="487"/>
      <c r="B39" s="538"/>
      <c r="C39" s="539">
        <f>SUM(C34:C38)</f>
        <v>0</v>
      </c>
      <c r="D39" s="540"/>
      <c r="E39" s="491"/>
      <c r="F39" s="492"/>
      <c r="G39" s="493"/>
      <c r="H39" s="493"/>
      <c r="I39" s="494"/>
      <c r="J39" s="541">
        <f>SUM(J34:J38)</f>
        <v>0</v>
      </c>
      <c r="K39" s="542"/>
      <c r="L39" s="543"/>
      <c r="M39" s="519"/>
      <c r="N39" s="498"/>
      <c r="O39" s="498"/>
      <c r="S39" s="510"/>
      <c r="T39" s="511"/>
      <c r="U39" s="511"/>
      <c r="V39" s="511"/>
      <c r="X39" s="512"/>
      <c r="Y39" s="512"/>
    </row>
    <row r="40" spans="1:26" s="423" customFormat="1" x14ac:dyDescent="0.25">
      <c r="A40" s="436"/>
      <c r="B40" s="436"/>
      <c r="D40" s="436"/>
      <c r="E40" s="437"/>
      <c r="F40" s="438"/>
      <c r="G40" s="438"/>
      <c r="H40" s="438"/>
      <c r="I40" s="438"/>
      <c r="J40" s="438"/>
      <c r="K40" s="438"/>
      <c r="L40" s="438"/>
      <c r="M40" s="438"/>
      <c r="N40" s="438"/>
      <c r="O40" s="438"/>
      <c r="P40" s="438"/>
      <c r="Q40" s="438"/>
      <c r="R40" s="438"/>
      <c r="S40" s="438"/>
      <c r="T40" s="438"/>
      <c r="U40" s="438"/>
      <c r="V40" s="438"/>
      <c r="W40" s="438"/>
      <c r="X40" s="438"/>
      <c r="Y40" s="438"/>
      <c r="Z40" s="438"/>
    </row>
    <row r="41" spans="1:26" s="423" customFormat="1" x14ac:dyDescent="0.25">
      <c r="A41" s="544" t="s">
        <v>1200</v>
      </c>
    </row>
    <row r="42" spans="1:26" s="423" customFormat="1" ht="17.25" x14ac:dyDescent="0.4">
      <c r="A42" s="425" t="s">
        <v>739</v>
      </c>
      <c r="B42" s="545" t="s">
        <v>740</v>
      </c>
      <c r="C42" s="546"/>
    </row>
    <row r="43" spans="1:26" s="423" customFormat="1" ht="17.25" x14ac:dyDescent="0.4">
      <c r="A43" s="430" t="s">
        <v>1213</v>
      </c>
      <c r="B43" s="547"/>
      <c r="C43" s="546"/>
    </row>
    <row r="44" spans="1:26" s="423" customFormat="1" x14ac:dyDescent="0.25">
      <c r="A44" s="425" t="s">
        <v>769</v>
      </c>
      <c r="B44" s="436">
        <v>0.5</v>
      </c>
      <c r="C44" s="436"/>
    </row>
    <row r="45" spans="1:26" s="423" customFormat="1" x14ac:dyDescent="0.25">
      <c r="A45" s="425" t="s">
        <v>771</v>
      </c>
      <c r="B45" s="436">
        <v>3</v>
      </c>
      <c r="C45" s="436"/>
    </row>
    <row r="46" spans="1:26" s="423" customFormat="1" x14ac:dyDescent="0.25">
      <c r="A46" s="425" t="s">
        <v>772</v>
      </c>
      <c r="B46" s="436"/>
      <c r="C46" s="436"/>
    </row>
    <row r="47" spans="1:26" s="423" customFormat="1" x14ac:dyDescent="0.25">
      <c r="A47" s="425" t="s">
        <v>780</v>
      </c>
      <c r="B47" s="436" t="s">
        <v>781</v>
      </c>
      <c r="C47" s="436"/>
    </row>
    <row r="48" spans="1:26" s="423" customFormat="1" x14ac:dyDescent="0.25">
      <c r="A48" s="436"/>
      <c r="B48" s="436"/>
      <c r="D48" s="436"/>
      <c r="E48" s="437"/>
      <c r="F48" s="438"/>
      <c r="G48" s="438"/>
      <c r="H48" s="438"/>
      <c r="I48" s="438"/>
      <c r="J48" s="438"/>
      <c r="K48" s="438"/>
      <c r="L48" s="438"/>
      <c r="M48" s="438"/>
      <c r="N48" s="438"/>
      <c r="O48" s="438"/>
      <c r="P48" s="438"/>
      <c r="Q48" s="438"/>
      <c r="R48" s="438"/>
      <c r="S48" s="438"/>
      <c r="T48" s="438"/>
      <c r="U48" s="438"/>
      <c r="V48" s="438"/>
      <c r="W48" s="438"/>
      <c r="X48" s="438"/>
      <c r="Y48" s="438"/>
      <c r="Z48" s="438"/>
    </row>
    <row r="49" spans="1:11" s="423" customFormat="1" x14ac:dyDescent="0.25">
      <c r="A49" s="544" t="s">
        <v>1201</v>
      </c>
    </row>
    <row r="50" spans="1:11" s="423" customFormat="1" ht="15.75" thickBot="1" x14ac:dyDescent="0.3">
      <c r="A50" s="850"/>
      <c r="B50" s="545"/>
      <c r="C50" s="950" t="s">
        <v>1580</v>
      </c>
      <c r="D50" s="838"/>
      <c r="E50" s="839" t="s">
        <v>1202</v>
      </c>
      <c r="F50" s="840">
        <f>COUNTA(D$2:D48)</f>
        <v>13</v>
      </c>
      <c r="G50" s="838"/>
      <c r="H50" s="838"/>
      <c r="I50" s="838"/>
    </row>
    <row r="51" spans="1:11" s="423" customFormat="1" ht="15.75" thickBot="1" x14ac:dyDescent="0.3">
      <c r="A51" s="851"/>
      <c r="B51" s="851"/>
      <c r="C51" s="951" t="s">
        <v>1581</v>
      </c>
      <c r="D51" s="841"/>
      <c r="E51" s="839" t="s">
        <v>1203</v>
      </c>
      <c r="F51" s="840">
        <f>F50-I51</f>
        <v>-5</v>
      </c>
      <c r="G51" s="842" t="s">
        <v>1204</v>
      </c>
      <c r="H51" s="843">
        <f>1-F51/F50</f>
        <v>1.3846153846153846</v>
      </c>
      <c r="I51" s="844">
        <f>COUNTIF(A$2:A48,"")</f>
        <v>18</v>
      </c>
      <c r="K51" s="840"/>
    </row>
    <row r="52" spans="1:11" s="423" customFormat="1" x14ac:dyDescent="0.25">
      <c r="A52" s="850"/>
    </row>
    <row r="53" spans="1:11" s="548" customFormat="1" ht="7.5" customHeight="1" x14ac:dyDescent="0.25">
      <c r="D53" s="549"/>
      <c r="E53" s="549"/>
    </row>
    <row r="54" spans="1:11" s="550" customFormat="1" ht="19.5" x14ac:dyDescent="0.3">
      <c r="A54" s="423"/>
      <c r="C54" s="551" t="s">
        <v>825</v>
      </c>
    </row>
    <row r="55" spans="1:11" s="550" customFormat="1" x14ac:dyDescent="0.25"/>
    <row r="56" spans="1:11" s="550" customFormat="1" ht="15.75" thickBot="1" x14ac:dyDescent="0.3">
      <c r="A56" s="550" t="s">
        <v>826</v>
      </c>
    </row>
    <row r="57" spans="1:11" s="550" customFormat="1" ht="17.25" x14ac:dyDescent="0.4">
      <c r="A57" s="977" t="s">
        <v>31</v>
      </c>
      <c r="B57" s="425" t="s">
        <v>739</v>
      </c>
      <c r="C57" s="546" t="s">
        <v>827</v>
      </c>
      <c r="D57" s="552" t="s">
        <v>828</v>
      </c>
      <c r="G57" s="550" t="s">
        <v>829</v>
      </c>
    </row>
    <row r="58" spans="1:11" s="550" customFormat="1" x14ac:dyDescent="0.25">
      <c r="A58" s="978"/>
      <c r="B58" s="430" t="s">
        <v>767</v>
      </c>
      <c r="C58" s="553">
        <v>4240</v>
      </c>
      <c r="D58" s="554" t="str">
        <f>IF(F58="&lt;&lt;ПУСТО&gt;&gt;",E58&amp;ROUND(H58/1000,0),F58&amp;E58&amp;ROUND(H58/1000,0))</f>
        <v>0</v>
      </c>
      <c r="G58" s="550" t="s">
        <v>830</v>
      </c>
    </row>
    <row r="59" spans="1:11" s="550" customFormat="1" x14ac:dyDescent="0.25">
      <c r="A59" s="978"/>
      <c r="B59" s="425" t="s">
        <v>769</v>
      </c>
      <c r="C59" s="555">
        <v>8</v>
      </c>
      <c r="D59" s="555">
        <v>1</v>
      </c>
      <c r="G59" s="550" t="s">
        <v>831</v>
      </c>
    </row>
    <row r="60" spans="1:11" s="550" customFormat="1" x14ac:dyDescent="0.25">
      <c r="A60" s="978"/>
      <c r="B60" s="425" t="s">
        <v>771</v>
      </c>
      <c r="C60" s="555">
        <v>2</v>
      </c>
      <c r="D60" s="555"/>
    </row>
    <row r="61" spans="1:11" s="550" customFormat="1" x14ac:dyDescent="0.25">
      <c r="A61" s="978"/>
      <c r="B61" s="425" t="s">
        <v>772</v>
      </c>
      <c r="C61" s="555"/>
      <c r="D61" s="555"/>
    </row>
    <row r="62" spans="1:11" s="550" customFormat="1" ht="15.75" thickBot="1" x14ac:dyDescent="0.3">
      <c r="A62" s="979"/>
      <c r="B62" s="425" t="s">
        <v>780</v>
      </c>
      <c r="C62" s="555" t="s">
        <v>832</v>
      </c>
      <c r="D62" s="555"/>
      <c r="G62" s="423" t="s">
        <v>833</v>
      </c>
    </row>
    <row r="63" spans="1:11" s="550" customFormat="1" x14ac:dyDescent="0.25"/>
    <row r="64" spans="1:11" s="550" customFormat="1" ht="15.75" thickBot="1" x14ac:dyDescent="0.3">
      <c r="A64" s="550" t="s">
        <v>834</v>
      </c>
    </row>
    <row r="65" spans="1:8" s="550" customFormat="1" x14ac:dyDescent="0.25">
      <c r="A65" s="556">
        <f>(SUMIF(A$2:A62,"",F$2:F62)-F65)/1000000</f>
        <v>7.9999999999999996E-6</v>
      </c>
      <c r="B65" s="557"/>
      <c r="C65" s="558" t="s">
        <v>60</v>
      </c>
      <c r="E65" s="559" t="s">
        <v>835</v>
      </c>
      <c r="F65" s="560">
        <f>SUMIF(I$54:I59,"Наталья Константиновна Лидер",F$54:F59)</f>
        <v>0</v>
      </c>
    </row>
    <row r="66" spans="1:8" s="550" customFormat="1" ht="15.75" thickBot="1" x14ac:dyDescent="0.3">
      <c r="A66" s="561">
        <f>COUNTIF(A$2:A62,"")-F66</f>
        <v>29</v>
      </c>
      <c r="B66" s="557"/>
      <c r="C66" s="558" t="s">
        <v>836</v>
      </c>
      <c r="E66" s="562"/>
      <c r="F66" s="563">
        <f>COUNTIF(I$54:I67,"Наталья Константиновна Лидер")</f>
        <v>0</v>
      </c>
    </row>
    <row r="67" spans="1:8" s="550" customFormat="1" x14ac:dyDescent="0.25"/>
    <row r="68" spans="1:8" s="550" customFormat="1" x14ac:dyDescent="0.25">
      <c r="A68" s="550" t="s">
        <v>837</v>
      </c>
    </row>
    <row r="69" spans="1:8" s="550" customFormat="1" ht="15.75" thickBot="1" x14ac:dyDescent="0.3">
      <c r="B69" s="550" t="s">
        <v>838</v>
      </c>
    </row>
    <row r="70" spans="1:8" s="550" customFormat="1" ht="17.25" x14ac:dyDescent="0.4">
      <c r="A70" s="977" t="s">
        <v>40</v>
      </c>
      <c r="B70" s="425" t="s">
        <v>739</v>
      </c>
      <c r="C70" s="546" t="s">
        <v>827</v>
      </c>
      <c r="D70" s="546" t="s">
        <v>839</v>
      </c>
      <c r="G70" s="550" t="s">
        <v>829</v>
      </c>
    </row>
    <row r="71" spans="1:8" s="550" customFormat="1" x14ac:dyDescent="0.25">
      <c r="A71" s="978"/>
      <c r="B71" s="430" t="s">
        <v>1213</v>
      </c>
      <c r="C71" s="547">
        <f>O71</f>
        <v>0</v>
      </c>
      <c r="D71" s="564" t="str">
        <f>IF(G71="",F71,G71&amp;"/"&amp;F71)</f>
        <v>Match=&lt;номер строки Договора1С&gt;/</v>
      </c>
      <c r="G71" s="550" t="s">
        <v>840</v>
      </c>
    </row>
    <row r="72" spans="1:8" s="550" customFormat="1" x14ac:dyDescent="0.25">
      <c r="A72" s="978"/>
      <c r="B72" s="425" t="s">
        <v>769</v>
      </c>
      <c r="C72" s="550">
        <v>10</v>
      </c>
      <c r="D72" s="555">
        <v>1</v>
      </c>
      <c r="F72" s="565" t="str">
        <f>"/=""Не состоялся"":"&amp;F73</f>
        <v>/="Не состоялся":/="Договор расторгнут"</v>
      </c>
      <c r="G72" s="550" t="s">
        <v>841</v>
      </c>
    </row>
    <row r="73" spans="1:8" s="423" customFormat="1" x14ac:dyDescent="0.25">
      <c r="A73" s="978"/>
      <c r="B73" s="425" t="s">
        <v>771</v>
      </c>
      <c r="C73" s="436">
        <v>2</v>
      </c>
      <c r="D73" s="436"/>
      <c r="F73" s="566" t="s">
        <v>842</v>
      </c>
    </row>
    <row r="74" spans="1:8" s="423" customFormat="1" x14ac:dyDescent="0.25">
      <c r="A74" s="978"/>
      <c r="B74" s="425" t="s">
        <v>772</v>
      </c>
      <c r="C74" s="436"/>
      <c r="D74" s="436"/>
    </row>
    <row r="75" spans="1:8" s="423" customFormat="1" ht="15.75" thickBot="1" x14ac:dyDescent="0.3">
      <c r="A75" s="979"/>
      <c r="B75" s="425" t="s">
        <v>780</v>
      </c>
      <c r="C75" s="436" t="s">
        <v>843</v>
      </c>
      <c r="D75" s="436"/>
      <c r="F75" s="555" t="str">
        <f>"10/="""":"&amp;F72</f>
        <v>10/="":/="Не состоялся":/="Договор расторгнут"</v>
      </c>
      <c r="G75" s="423" t="s">
        <v>844</v>
      </c>
    </row>
    <row r="76" spans="1:8" s="550" customFormat="1" x14ac:dyDescent="0.25">
      <c r="E76" s="423"/>
      <c r="H76" s="423"/>
    </row>
    <row r="77" spans="1:8" s="550" customFormat="1" x14ac:dyDescent="0.25">
      <c r="A77" s="550" t="s">
        <v>845</v>
      </c>
      <c r="E77" s="423"/>
      <c r="H77" s="423"/>
    </row>
    <row r="78" spans="1:8" s="550" customFormat="1" ht="15.75" thickBot="1" x14ac:dyDescent="0.3">
      <c r="B78" s="550" t="s">
        <v>846</v>
      </c>
    </row>
    <row r="79" spans="1:8" s="550" customFormat="1" ht="15.75" thickBot="1" x14ac:dyDescent="0.3">
      <c r="A79" s="567">
        <f>COUNTIF(A$2:A73,"")-COUNTIF(M$2:M70,"Не состоялся")-COUNTIF(M$2:M70,"Договор расторгнут")</f>
        <v>35</v>
      </c>
      <c r="B79" s="557"/>
    </row>
    <row r="80" spans="1:8" s="550" customFormat="1" x14ac:dyDescent="0.25">
      <c r="B80" s="557"/>
    </row>
    <row r="81" spans="1:38" s="550" customFormat="1" x14ac:dyDescent="0.25">
      <c r="A81" s="550" t="s">
        <v>847</v>
      </c>
    </row>
    <row r="82" spans="1:38" s="550" customFormat="1" x14ac:dyDescent="0.25">
      <c r="A82" s="568" t="s">
        <v>848</v>
      </c>
      <c r="B82" s="568" t="s">
        <v>849</v>
      </c>
      <c r="C82" s="568" t="s">
        <v>850</v>
      </c>
      <c r="D82" s="568" t="s">
        <v>851</v>
      </c>
      <c r="E82" s="568" t="s">
        <v>852</v>
      </c>
      <c r="F82" s="568" t="s">
        <v>853</v>
      </c>
      <c r="G82" s="568" t="s">
        <v>854</v>
      </c>
      <c r="H82" s="568" t="s">
        <v>855</v>
      </c>
      <c r="I82" s="568" t="s">
        <v>856</v>
      </c>
    </row>
    <row r="83" spans="1:38" s="550" customFormat="1" x14ac:dyDescent="0.25">
      <c r="A83" s="550" t="s">
        <v>857</v>
      </c>
      <c r="B83" s="550" t="s">
        <v>858</v>
      </c>
      <c r="D83" s="555" t="s">
        <v>57</v>
      </c>
      <c r="E83" s="555">
        <v>1</v>
      </c>
      <c r="F83" s="550" t="s">
        <v>859</v>
      </c>
      <c r="G83" s="550" t="s">
        <v>860</v>
      </c>
      <c r="H83" s="550" t="s">
        <v>31</v>
      </c>
      <c r="I83" s="550" t="s">
        <v>861</v>
      </c>
    </row>
    <row r="84" spans="1:38" s="548" customFormat="1" ht="7.5" customHeight="1" x14ac:dyDescent="0.25">
      <c r="D84" s="549"/>
      <c r="E84" s="549"/>
    </row>
    <row r="85" spans="1:38" s="550" customFormat="1" ht="19.5" x14ac:dyDescent="0.3">
      <c r="A85" s="423"/>
      <c r="C85" s="551" t="s">
        <v>862</v>
      </c>
      <c r="I85" s="550">
        <f>C91</f>
        <v>5</v>
      </c>
    </row>
    <row r="86" spans="1:38" s="423" customFormat="1" x14ac:dyDescent="0.25"/>
    <row r="87" spans="1:38" s="423" customFormat="1" x14ac:dyDescent="0.25">
      <c r="A87" s="423" t="s">
        <v>863</v>
      </c>
    </row>
    <row r="88" spans="1:38" s="423" customFormat="1" ht="25.5" x14ac:dyDescent="0.25">
      <c r="A88" s="425" t="s">
        <v>739</v>
      </c>
      <c r="B88" s="569" t="s">
        <v>864</v>
      </c>
      <c r="C88" s="569" t="s">
        <v>865</v>
      </c>
      <c r="D88" s="570" t="s">
        <v>866</v>
      </c>
      <c r="E88" s="571" t="s">
        <v>867</v>
      </c>
      <c r="F88" s="572" t="s">
        <v>868</v>
      </c>
      <c r="G88" s="569" t="s">
        <v>108</v>
      </c>
      <c r="H88" s="569" t="s">
        <v>798</v>
      </c>
      <c r="I88" s="569" t="s">
        <v>869</v>
      </c>
      <c r="J88" s="569" t="s">
        <v>757</v>
      </c>
      <c r="L88" s="573" t="s">
        <v>870</v>
      </c>
      <c r="M88" s="574" t="s">
        <v>871</v>
      </c>
      <c r="N88" s="575"/>
      <c r="O88" s="576" t="s">
        <v>101</v>
      </c>
      <c r="P88" s="577" t="s">
        <v>872</v>
      </c>
      <c r="Q88" s="576" t="s">
        <v>105</v>
      </c>
      <c r="R88" s="576" t="s">
        <v>51</v>
      </c>
      <c r="S88" s="576" t="s">
        <v>108</v>
      </c>
      <c r="T88" s="578" t="s">
        <v>110</v>
      </c>
      <c r="U88" s="579" t="s">
        <v>873</v>
      </c>
      <c r="V88" s="580" t="s">
        <v>874</v>
      </c>
      <c r="W88" s="576" t="s">
        <v>875</v>
      </c>
      <c r="X88" s="581" t="s">
        <v>93</v>
      </c>
      <c r="Y88" s="582" t="s">
        <v>93</v>
      </c>
      <c r="Z88" s="582" t="s">
        <v>93</v>
      </c>
      <c r="AA88" s="582" t="s">
        <v>93</v>
      </c>
      <c r="AB88" s="576" t="s">
        <v>93</v>
      </c>
      <c r="AC88" s="576" t="s">
        <v>876</v>
      </c>
      <c r="AD88" s="576" t="s">
        <v>93</v>
      </c>
      <c r="AE88" s="576"/>
      <c r="AF88" s="576" t="s">
        <v>93</v>
      </c>
      <c r="AG88" s="583" t="s">
        <v>877</v>
      </c>
      <c r="AH88" s="584" t="s">
        <v>93</v>
      </c>
      <c r="AI88" s="576" t="s">
        <v>93</v>
      </c>
      <c r="AJ88" s="576" t="s">
        <v>93</v>
      </c>
      <c r="AK88" s="585" t="s">
        <v>878</v>
      </c>
      <c r="AL88" s="586"/>
    </row>
    <row r="89" spans="1:38" s="423" customFormat="1" x14ac:dyDescent="0.25">
      <c r="A89" s="430" t="s">
        <v>1213</v>
      </c>
      <c r="B89" s="587"/>
      <c r="C89" s="588"/>
      <c r="D89" s="589">
        <v>41367</v>
      </c>
      <c r="E89" s="590" t="s">
        <v>879</v>
      </c>
      <c r="F89" s="591">
        <f>T89</f>
        <v>0</v>
      </c>
      <c r="G89" s="436"/>
      <c r="H89" s="437"/>
    </row>
    <row r="90" spans="1:38" s="423" customFormat="1" x14ac:dyDescent="0.25">
      <c r="A90" s="425" t="s">
        <v>769</v>
      </c>
      <c r="B90" s="436">
        <v>1</v>
      </c>
      <c r="C90" s="436">
        <v>5</v>
      </c>
      <c r="D90" s="436">
        <v>8</v>
      </c>
      <c r="E90" s="436">
        <v>13</v>
      </c>
      <c r="F90" s="436">
        <v>14</v>
      </c>
      <c r="G90" s="436">
        <v>11</v>
      </c>
      <c r="H90" s="437">
        <v>20</v>
      </c>
      <c r="I90" s="438">
        <v>15</v>
      </c>
      <c r="J90" s="438">
        <v>10</v>
      </c>
      <c r="K90" s="438">
        <v>6</v>
      </c>
      <c r="L90" s="438">
        <v>6</v>
      </c>
      <c r="M90" s="438">
        <v>10</v>
      </c>
      <c r="N90" s="438">
        <v>1</v>
      </c>
      <c r="O90" s="438">
        <v>45</v>
      </c>
      <c r="P90" s="438"/>
      <c r="Q90" s="438">
        <v>13</v>
      </c>
      <c r="R90" s="438">
        <v>16</v>
      </c>
      <c r="S90" s="438">
        <v>10</v>
      </c>
      <c r="T90" s="438">
        <v>10</v>
      </c>
      <c r="U90" s="438">
        <v>10</v>
      </c>
      <c r="V90" s="438">
        <v>10</v>
      </c>
      <c r="W90" s="438">
        <v>10</v>
      </c>
      <c r="X90" s="438">
        <v>10</v>
      </c>
      <c r="Y90" s="438">
        <v>0</v>
      </c>
      <c r="Z90" s="438">
        <v>0</v>
      </c>
      <c r="AA90" s="438">
        <v>0</v>
      </c>
      <c r="AB90" s="438">
        <v>0</v>
      </c>
      <c r="AC90" s="438">
        <v>0</v>
      </c>
      <c r="AD90" s="438">
        <v>0</v>
      </c>
      <c r="AE90" s="438"/>
      <c r="AF90" s="438">
        <v>0</v>
      </c>
      <c r="AG90" s="438">
        <v>0</v>
      </c>
      <c r="AH90" s="438">
        <v>0</v>
      </c>
      <c r="AI90" s="438">
        <v>0</v>
      </c>
      <c r="AJ90" s="438">
        <v>0</v>
      </c>
      <c r="AK90" s="438">
        <v>0</v>
      </c>
      <c r="AL90" s="438">
        <v>0</v>
      </c>
    </row>
    <row r="91" spans="1:38" s="423" customFormat="1" x14ac:dyDescent="0.25">
      <c r="A91" s="425" t="s">
        <v>771</v>
      </c>
      <c r="B91" s="436">
        <v>5</v>
      </c>
      <c r="C91" s="436">
        <v>5</v>
      </c>
      <c r="D91" s="436" t="s">
        <v>880</v>
      </c>
      <c r="E91" s="436">
        <v>5</v>
      </c>
      <c r="F91" s="436"/>
      <c r="G91" s="436">
        <v>5</v>
      </c>
      <c r="H91" s="423">
        <v>5</v>
      </c>
      <c r="I91" s="423">
        <v>1</v>
      </c>
      <c r="J91" s="436">
        <v>1</v>
      </c>
      <c r="K91" s="437">
        <v>-1</v>
      </c>
      <c r="L91" s="436"/>
      <c r="O91" s="436"/>
      <c r="P91" s="436"/>
      <c r="Q91" s="438"/>
      <c r="R91" s="438"/>
      <c r="S91" s="438"/>
      <c r="T91" s="438"/>
      <c r="U91" s="438"/>
      <c r="V91" s="438"/>
      <c r="W91" s="438"/>
      <c r="X91" s="438"/>
      <c r="Y91" s="438"/>
      <c r="Z91" s="439"/>
      <c r="AA91" s="438"/>
      <c r="AB91" s="438"/>
      <c r="AC91" s="438"/>
      <c r="AD91" s="438"/>
      <c r="AE91" s="438"/>
      <c r="AF91" s="438"/>
      <c r="AG91" s="438"/>
    </row>
    <row r="92" spans="1:38" s="423" customFormat="1" x14ac:dyDescent="0.25">
      <c r="A92" s="425" t="s">
        <v>772</v>
      </c>
      <c r="B92" s="436"/>
      <c r="C92" s="436"/>
      <c r="D92" s="436"/>
      <c r="E92" s="436"/>
      <c r="F92" s="436"/>
      <c r="G92" s="436"/>
      <c r="J92" s="436"/>
      <c r="K92" s="437"/>
      <c r="L92" s="436"/>
      <c r="O92" s="436" t="s">
        <v>881</v>
      </c>
      <c r="P92" s="436"/>
      <c r="Q92" s="438"/>
      <c r="R92" s="438"/>
      <c r="S92" s="438"/>
      <c r="T92" s="438"/>
      <c r="U92" s="438"/>
      <c r="V92" s="438"/>
      <c r="W92" s="438"/>
      <c r="X92" s="438"/>
      <c r="Y92" s="438"/>
      <c r="Z92" s="439"/>
      <c r="AA92" s="438"/>
      <c r="AB92" s="438"/>
      <c r="AC92" s="438"/>
      <c r="AD92" s="438"/>
      <c r="AE92" s="438"/>
      <c r="AF92" s="438"/>
      <c r="AG92" s="438"/>
    </row>
    <row r="93" spans="1:38" s="423" customFormat="1" x14ac:dyDescent="0.25">
      <c r="A93" s="425" t="s">
        <v>780</v>
      </c>
      <c r="B93" s="436" t="s">
        <v>882</v>
      </c>
      <c r="C93" s="436" t="s">
        <v>883</v>
      </c>
      <c r="D93" s="447" t="s">
        <v>884</v>
      </c>
      <c r="E93" s="447" t="s">
        <v>885</v>
      </c>
      <c r="F93" s="447"/>
      <c r="G93" s="436" t="s">
        <v>886</v>
      </c>
      <c r="H93" s="592" t="s">
        <v>887</v>
      </c>
      <c r="I93" s="436" t="s">
        <v>888</v>
      </c>
      <c r="J93" s="436" t="s">
        <v>889</v>
      </c>
      <c r="K93" s="436"/>
      <c r="L93" s="436"/>
      <c r="O93" s="436"/>
      <c r="P93" s="436"/>
      <c r="Q93" s="438"/>
      <c r="R93" s="438"/>
      <c r="S93" s="438"/>
      <c r="T93" s="438"/>
      <c r="U93" s="438"/>
      <c r="V93" s="438"/>
      <c r="W93" s="438"/>
      <c r="X93" s="438"/>
      <c r="Y93" s="438"/>
      <c r="Z93" s="439"/>
      <c r="AA93" s="438"/>
      <c r="AB93" s="438"/>
      <c r="AC93" s="438"/>
      <c r="AD93" s="438"/>
      <c r="AE93" s="438"/>
      <c r="AF93" s="438"/>
      <c r="AG93" s="438"/>
    </row>
    <row r="94" spans="1:38" s="423" customFormat="1" x14ac:dyDescent="0.25">
      <c r="N94" s="423" t="s">
        <v>890</v>
      </c>
    </row>
    <row r="95" spans="1:38" s="423" customFormat="1" x14ac:dyDescent="0.25">
      <c r="A95" s="423" t="s">
        <v>891</v>
      </c>
    </row>
    <row r="96" spans="1:38" s="423" customFormat="1" ht="25.5" x14ac:dyDescent="0.25">
      <c r="A96" s="425" t="s">
        <v>739</v>
      </c>
      <c r="B96" s="569" t="s">
        <v>864</v>
      </c>
      <c r="C96" s="569" t="s">
        <v>865</v>
      </c>
      <c r="D96" s="570" t="s">
        <v>866</v>
      </c>
      <c r="E96" s="571" t="s">
        <v>867</v>
      </c>
      <c r="F96" s="572" t="s">
        <v>868</v>
      </c>
      <c r="G96" s="569" t="s">
        <v>108</v>
      </c>
      <c r="H96" s="569" t="s">
        <v>798</v>
      </c>
      <c r="I96" s="569" t="s">
        <v>869</v>
      </c>
      <c r="J96" s="569" t="s">
        <v>757</v>
      </c>
      <c r="L96" s="573" t="s">
        <v>870</v>
      </c>
      <c r="M96" s="574" t="s">
        <v>871</v>
      </c>
      <c r="N96" s="575"/>
      <c r="O96" s="576" t="s">
        <v>101</v>
      </c>
      <c r="P96" s="577" t="s">
        <v>872</v>
      </c>
      <c r="Q96" s="576" t="s">
        <v>105</v>
      </c>
      <c r="R96" s="576" t="s">
        <v>51</v>
      </c>
      <c r="S96" s="576" t="s">
        <v>108</v>
      </c>
      <c r="T96" s="578" t="s">
        <v>110</v>
      </c>
      <c r="U96" s="579" t="s">
        <v>873</v>
      </c>
      <c r="V96" s="580" t="s">
        <v>874</v>
      </c>
      <c r="W96" s="576" t="s">
        <v>875</v>
      </c>
      <c r="X96" s="581" t="s">
        <v>93</v>
      </c>
      <c r="Y96" s="582" t="s">
        <v>93</v>
      </c>
      <c r="Z96" s="582" t="s">
        <v>93</v>
      </c>
      <c r="AA96" s="582" t="s">
        <v>93</v>
      </c>
      <c r="AB96" s="576" t="s">
        <v>93</v>
      </c>
      <c r="AC96" s="576" t="s">
        <v>876</v>
      </c>
      <c r="AD96" s="576" t="s">
        <v>93</v>
      </c>
      <c r="AE96" s="576"/>
      <c r="AF96" s="576" t="s">
        <v>93</v>
      </c>
      <c r="AG96" s="583" t="s">
        <v>877</v>
      </c>
      <c r="AH96" s="584" t="s">
        <v>93</v>
      </c>
      <c r="AI96" s="576" t="s">
        <v>93</v>
      </c>
      <c r="AJ96" s="576" t="s">
        <v>93</v>
      </c>
      <c r="AK96" s="585" t="s">
        <v>878</v>
      </c>
      <c r="AL96" s="586"/>
    </row>
    <row r="97" spans="1:38" s="423" customFormat="1" x14ac:dyDescent="0.25">
      <c r="A97" s="430" t="s">
        <v>1213</v>
      </c>
      <c r="B97" s="587"/>
      <c r="C97" s="588"/>
      <c r="D97" s="589">
        <v>41367</v>
      </c>
      <c r="E97" s="590" t="s">
        <v>879</v>
      </c>
      <c r="F97" s="591">
        <f>T97</f>
        <v>0</v>
      </c>
      <c r="G97" s="436"/>
      <c r="H97" s="437"/>
    </row>
    <row r="98" spans="1:38" s="423" customFormat="1" x14ac:dyDescent="0.25">
      <c r="A98" s="425" t="s">
        <v>769</v>
      </c>
      <c r="B98" s="436">
        <v>1</v>
      </c>
      <c r="C98" s="436">
        <v>5</v>
      </c>
      <c r="D98" s="436">
        <v>8</v>
      </c>
      <c r="E98" s="436">
        <v>13</v>
      </c>
      <c r="F98" s="436">
        <v>14</v>
      </c>
      <c r="G98" s="436">
        <v>11</v>
      </c>
      <c r="H98" s="437">
        <v>20</v>
      </c>
      <c r="I98" s="438">
        <v>15</v>
      </c>
      <c r="J98" s="438">
        <v>10</v>
      </c>
      <c r="K98" s="438">
        <v>6</v>
      </c>
      <c r="L98" s="438">
        <v>6</v>
      </c>
      <c r="M98" s="438">
        <v>10</v>
      </c>
      <c r="N98" s="438">
        <v>1</v>
      </c>
      <c r="O98" s="438">
        <v>45</v>
      </c>
      <c r="P98" s="438"/>
      <c r="Q98" s="438">
        <v>13</v>
      </c>
      <c r="R98" s="438">
        <v>16</v>
      </c>
      <c r="S98" s="438">
        <v>10</v>
      </c>
      <c r="T98" s="438">
        <v>10</v>
      </c>
      <c r="U98" s="438">
        <v>10</v>
      </c>
      <c r="V98" s="438">
        <v>10</v>
      </c>
      <c r="W98" s="438">
        <v>10</v>
      </c>
      <c r="X98" s="438">
        <v>10</v>
      </c>
      <c r="Y98" s="438">
        <v>0</v>
      </c>
      <c r="Z98" s="438">
        <v>0</v>
      </c>
      <c r="AA98" s="438">
        <v>0</v>
      </c>
      <c r="AB98" s="438">
        <v>0</v>
      </c>
      <c r="AC98" s="438">
        <v>0</v>
      </c>
      <c r="AD98" s="438">
        <v>0</v>
      </c>
      <c r="AE98" s="438"/>
      <c r="AF98" s="438">
        <v>0</v>
      </c>
      <c r="AG98" s="438">
        <v>0</v>
      </c>
      <c r="AH98" s="438">
        <v>0</v>
      </c>
      <c r="AI98" s="438">
        <v>0</v>
      </c>
      <c r="AJ98" s="438">
        <v>0</v>
      </c>
      <c r="AK98" s="438">
        <v>0</v>
      </c>
      <c r="AL98" s="438">
        <v>0</v>
      </c>
    </row>
    <row r="99" spans="1:38" s="423" customFormat="1" x14ac:dyDescent="0.25">
      <c r="A99" s="425" t="s">
        <v>771</v>
      </c>
      <c r="B99" s="436">
        <v>5</v>
      </c>
      <c r="C99" s="436">
        <v>5</v>
      </c>
      <c r="D99" s="436" t="s">
        <v>880</v>
      </c>
      <c r="E99" s="436">
        <v>5</v>
      </c>
      <c r="F99" s="436"/>
      <c r="G99" s="436">
        <v>5</v>
      </c>
      <c r="H99" s="423">
        <v>5</v>
      </c>
      <c r="I99" s="423">
        <v>1</v>
      </c>
      <c r="J99" s="436">
        <v>1</v>
      </c>
      <c r="K99" s="437">
        <v>-1</v>
      </c>
      <c r="L99" s="436"/>
      <c r="O99" s="436"/>
      <c r="P99" s="436"/>
      <c r="Q99" s="438"/>
      <c r="R99" s="438"/>
      <c r="S99" s="438"/>
      <c r="T99" s="438"/>
      <c r="U99" s="438"/>
      <c r="V99" s="438"/>
      <c r="W99" s="438"/>
      <c r="X99" s="438"/>
      <c r="Y99" s="438"/>
      <c r="Z99" s="439"/>
      <c r="AA99" s="438"/>
      <c r="AB99" s="438"/>
      <c r="AC99" s="438"/>
      <c r="AD99" s="438"/>
      <c r="AE99" s="438"/>
      <c r="AF99" s="438"/>
      <c r="AG99" s="438"/>
    </row>
    <row r="100" spans="1:38" s="423" customFormat="1" x14ac:dyDescent="0.25">
      <c r="A100" s="425" t="s">
        <v>772</v>
      </c>
      <c r="B100" s="436"/>
      <c r="C100" s="436"/>
      <c r="D100" s="436"/>
      <c r="E100" s="436"/>
      <c r="F100" s="436"/>
      <c r="G100" s="436"/>
      <c r="J100" s="436"/>
      <c r="K100" s="437"/>
      <c r="L100" s="436"/>
      <c r="O100" s="436" t="s">
        <v>881</v>
      </c>
      <c r="P100" s="436"/>
      <c r="Q100" s="438"/>
      <c r="R100" s="438"/>
      <c r="S100" s="438"/>
      <c r="T100" s="438"/>
      <c r="U100" s="438"/>
      <c r="V100" s="438"/>
      <c r="W100" s="438"/>
      <c r="X100" s="438"/>
      <c r="Y100" s="438"/>
      <c r="Z100" s="439"/>
      <c r="AA100" s="438"/>
      <c r="AB100" s="438"/>
      <c r="AC100" s="438"/>
      <c r="AD100" s="438"/>
      <c r="AE100" s="438"/>
      <c r="AF100" s="438"/>
      <c r="AG100" s="438"/>
    </row>
    <row r="101" spans="1:38" s="423" customFormat="1" x14ac:dyDescent="0.25">
      <c r="A101" s="425" t="s">
        <v>780</v>
      </c>
      <c r="B101" s="436" t="s">
        <v>882</v>
      </c>
      <c r="C101" s="436" t="s">
        <v>883</v>
      </c>
      <c r="D101" s="447" t="s">
        <v>884</v>
      </c>
      <c r="E101" s="447" t="s">
        <v>885</v>
      </c>
      <c r="F101" s="447"/>
      <c r="G101" s="436" t="s">
        <v>886</v>
      </c>
      <c r="H101" s="592" t="s">
        <v>887</v>
      </c>
      <c r="I101" s="436" t="s">
        <v>888</v>
      </c>
      <c r="J101" s="436" t="s">
        <v>889</v>
      </c>
      <c r="K101" s="436"/>
      <c r="L101" s="436"/>
      <c r="O101" s="436"/>
      <c r="P101" s="436"/>
      <c r="Q101" s="438"/>
      <c r="R101" s="438"/>
      <c r="S101" s="438"/>
      <c r="T101" s="438"/>
      <c r="U101" s="438"/>
      <c r="V101" s="438"/>
      <c r="W101" s="438"/>
      <c r="X101" s="438"/>
      <c r="Y101" s="438"/>
      <c r="Z101" s="439"/>
      <c r="AA101" s="438"/>
      <c r="AB101" s="438"/>
      <c r="AC101" s="438"/>
      <c r="AD101" s="438"/>
      <c r="AE101" s="438"/>
      <c r="AF101" s="438"/>
      <c r="AG101" s="438"/>
    </row>
    <row r="102" spans="1:38" s="423" customFormat="1" x14ac:dyDescent="0.25">
      <c r="N102" s="423" t="s">
        <v>890</v>
      </c>
    </row>
    <row r="103" spans="1:38" s="423" customFormat="1" ht="15.75" thickBot="1" x14ac:dyDescent="0.3">
      <c r="A103" s="423" t="s">
        <v>892</v>
      </c>
      <c r="F103" s="423">
        <v>5</v>
      </c>
      <c r="I103" s="423">
        <v>8</v>
      </c>
      <c r="P103" s="423">
        <v>10</v>
      </c>
      <c r="T103" s="423">
        <v>14</v>
      </c>
    </row>
    <row r="104" spans="1:38" s="423" customFormat="1" ht="75" x14ac:dyDescent="0.25">
      <c r="A104" s="593" t="s">
        <v>82</v>
      </c>
      <c r="B104" s="594" t="s">
        <v>893</v>
      </c>
      <c r="C104" s="569" t="s">
        <v>742</v>
      </c>
      <c r="D104" s="569" t="s">
        <v>894</v>
      </c>
      <c r="E104" s="569" t="s">
        <v>895</v>
      </c>
      <c r="F104" s="569" t="s">
        <v>108</v>
      </c>
      <c r="G104" s="569" t="s">
        <v>864</v>
      </c>
      <c r="H104" s="569" t="s">
        <v>869</v>
      </c>
      <c r="I104" s="569" t="s">
        <v>405</v>
      </c>
      <c r="J104" s="569" t="s">
        <v>757</v>
      </c>
      <c r="K104" s="569"/>
      <c r="L104" s="569"/>
      <c r="M104" s="569" t="s">
        <v>896</v>
      </c>
      <c r="N104" s="595" t="s">
        <v>125</v>
      </c>
      <c r="O104" s="569" t="s">
        <v>897</v>
      </c>
      <c r="P104" s="569" t="s">
        <v>898</v>
      </c>
      <c r="Q104" s="596" t="s">
        <v>899</v>
      </c>
      <c r="R104" s="596" t="s">
        <v>89</v>
      </c>
      <c r="S104" s="597" t="s">
        <v>91</v>
      </c>
      <c r="T104" s="596" t="s">
        <v>97</v>
      </c>
      <c r="U104" s="598" t="s">
        <v>93</v>
      </c>
      <c r="V104" s="598" t="s">
        <v>95</v>
      </c>
      <c r="W104" s="598" t="s">
        <v>900</v>
      </c>
      <c r="X104" s="598" t="s">
        <v>901</v>
      </c>
      <c r="Y104" s="598" t="s">
        <v>902</v>
      </c>
    </row>
    <row r="105" spans="1:38" s="423" customFormat="1" x14ac:dyDescent="0.25">
      <c r="A105" s="599"/>
      <c r="B105" s="430" t="s">
        <v>1213</v>
      </c>
      <c r="D105" s="600"/>
      <c r="M105" s="437"/>
      <c r="N105" s="432"/>
      <c r="O105" s="433"/>
      <c r="P105" s="433"/>
      <c r="Q105" s="436" t="s">
        <v>768</v>
      </c>
      <c r="R105" s="436" t="s">
        <v>768</v>
      </c>
      <c r="S105" s="436" t="s">
        <v>768</v>
      </c>
      <c r="T105" s="436" t="s">
        <v>768</v>
      </c>
      <c r="U105" s="436" t="s">
        <v>768</v>
      </c>
      <c r="V105" s="436" t="s">
        <v>768</v>
      </c>
      <c r="W105" s="436" t="s">
        <v>768</v>
      </c>
      <c r="X105" s="436" t="s">
        <v>768</v>
      </c>
      <c r="Y105" s="436" t="s">
        <v>768</v>
      </c>
    </row>
    <row r="106" spans="1:38" s="423" customFormat="1" x14ac:dyDescent="0.25">
      <c r="A106" s="599"/>
      <c r="B106" s="425" t="s">
        <v>769</v>
      </c>
      <c r="C106" s="436">
        <v>9</v>
      </c>
      <c r="D106" s="436">
        <v>5</v>
      </c>
      <c r="E106" s="436">
        <v>22</v>
      </c>
      <c r="F106" s="436">
        <v>10</v>
      </c>
      <c r="G106" s="436">
        <v>1</v>
      </c>
      <c r="H106" s="436">
        <v>15</v>
      </c>
      <c r="I106" s="436">
        <v>10</v>
      </c>
      <c r="J106" s="436">
        <v>8</v>
      </c>
      <c r="K106" s="436">
        <v>1</v>
      </c>
      <c r="L106" s="436">
        <v>1</v>
      </c>
      <c r="M106" s="436">
        <v>12</v>
      </c>
      <c r="N106" s="436">
        <v>14</v>
      </c>
      <c r="O106" s="436">
        <v>12</v>
      </c>
      <c r="P106" s="436">
        <v>8</v>
      </c>
      <c r="Q106" s="436">
        <v>47</v>
      </c>
      <c r="R106" s="436">
        <v>44</v>
      </c>
      <c r="S106" s="436">
        <v>8</v>
      </c>
      <c r="T106" s="436">
        <v>44</v>
      </c>
      <c r="U106" s="436">
        <v>9</v>
      </c>
      <c r="V106" s="436">
        <v>25</v>
      </c>
      <c r="W106" s="436">
        <v>22</v>
      </c>
      <c r="X106" s="436">
        <v>0</v>
      </c>
      <c r="Y106" s="438">
        <v>0</v>
      </c>
    </row>
    <row r="107" spans="1:38" s="423" customFormat="1" x14ac:dyDescent="0.25">
      <c r="A107" s="599"/>
      <c r="B107" s="425" t="s">
        <v>771</v>
      </c>
      <c r="C107" s="436">
        <v>15</v>
      </c>
      <c r="D107" s="436">
        <v>19</v>
      </c>
      <c r="E107" s="436">
        <v>2</v>
      </c>
      <c r="G107" s="423">
        <v>-1</v>
      </c>
      <c r="M107" s="436"/>
      <c r="N107" s="436"/>
      <c r="O107" s="436"/>
      <c r="P107" s="436"/>
      <c r="T107" s="436"/>
      <c r="U107" s="438"/>
      <c r="V107" s="438"/>
      <c r="W107" s="438"/>
      <c r="X107" s="438"/>
      <c r="Y107" s="438"/>
    </row>
    <row r="108" spans="1:38" s="423" customFormat="1" ht="30" x14ac:dyDescent="0.25">
      <c r="A108" s="599"/>
      <c r="B108" s="425" t="s">
        <v>772</v>
      </c>
      <c r="C108" s="436" t="s">
        <v>903</v>
      </c>
      <c r="D108" s="601" t="s">
        <v>904</v>
      </c>
      <c r="E108" s="602" t="s">
        <v>905</v>
      </c>
      <c r="G108" s="436"/>
      <c r="M108" s="436"/>
      <c r="N108" s="436"/>
      <c r="O108" s="436"/>
      <c r="P108" s="436"/>
      <c r="Q108" s="436"/>
      <c r="T108" s="436"/>
      <c r="U108" s="438"/>
      <c r="V108" s="438"/>
      <c r="W108" s="438"/>
      <c r="X108" s="438"/>
      <c r="Y108" s="438"/>
      <c r="Z108" s="438"/>
      <c r="AA108" s="438"/>
      <c r="AB108" s="438"/>
      <c r="AC108" s="438"/>
      <c r="AD108" s="439"/>
      <c r="AE108" s="439"/>
      <c r="AF108" s="438"/>
      <c r="AG108" s="438"/>
      <c r="AH108" s="438"/>
      <c r="AI108" s="438"/>
      <c r="AJ108" s="438"/>
      <c r="AK108" s="438"/>
    </row>
    <row r="109" spans="1:38" s="423" customFormat="1" x14ac:dyDescent="0.25">
      <c r="A109" s="599"/>
      <c r="B109" s="425" t="s">
        <v>780</v>
      </c>
      <c r="D109" s="437"/>
      <c r="E109" s="436"/>
      <c r="F109" s="436"/>
      <c r="H109" s="436"/>
      <c r="K109" s="436"/>
      <c r="L109" s="438"/>
      <c r="M109" s="447"/>
      <c r="N109" s="447"/>
      <c r="O109" s="447"/>
      <c r="P109" s="447"/>
      <c r="Q109" s="438"/>
      <c r="R109" s="438"/>
      <c r="S109" s="438"/>
      <c r="T109" s="438"/>
      <c r="U109" s="438"/>
      <c r="V109" s="438"/>
      <c r="W109" s="438"/>
      <c r="X109" s="438"/>
      <c r="Y109" s="439"/>
      <c r="Z109" s="438"/>
      <c r="AA109" s="438"/>
      <c r="AB109" s="438"/>
      <c r="AC109" s="438"/>
      <c r="AD109" s="438"/>
      <c r="AE109" s="438"/>
      <c r="AF109" s="438"/>
    </row>
    <row r="111" spans="1:38" x14ac:dyDescent="0.25">
      <c r="D111" s="423">
        <v>5</v>
      </c>
      <c r="E111" s="423">
        <v>5</v>
      </c>
      <c r="J111" s="436"/>
      <c r="K111" s="436">
        <v>5</v>
      </c>
      <c r="L111" s="423">
        <v>5</v>
      </c>
      <c r="M111" s="437">
        <v>-1</v>
      </c>
      <c r="N111" s="436"/>
      <c r="O111" s="436"/>
      <c r="P111" s="436"/>
    </row>
    <row r="112" spans="1:38" ht="36.75" x14ac:dyDescent="0.25">
      <c r="D112" s="602" t="s">
        <v>905</v>
      </c>
      <c r="E112" s="602" t="s">
        <v>906</v>
      </c>
      <c r="F112" s="436" t="s">
        <v>903</v>
      </c>
      <c r="K112" s="603" t="s">
        <v>907</v>
      </c>
      <c r="L112" s="603" t="s">
        <v>908</v>
      </c>
      <c r="M112" s="603"/>
      <c r="N112" s="603"/>
      <c r="O112" s="603"/>
      <c r="P112" s="603"/>
    </row>
    <row r="114" spans="1:27" s="548" customFormat="1" ht="7.5" customHeight="1" x14ac:dyDescent="0.25">
      <c r="D114" s="549"/>
      <c r="E114" s="549"/>
    </row>
    <row r="115" spans="1:27" s="550" customFormat="1" ht="19.5" x14ac:dyDescent="0.3">
      <c r="A115" s="423"/>
      <c r="C115" s="551" t="s">
        <v>909</v>
      </c>
      <c r="I115" s="550">
        <f>G154</f>
        <v>0</v>
      </c>
    </row>
    <row r="117" spans="1:27" ht="15.75" thickBot="1" x14ac:dyDescent="0.3">
      <c r="A117" s="604" t="s">
        <v>910</v>
      </c>
    </row>
    <row r="118" spans="1:27" ht="16.5" thickBot="1" x14ac:dyDescent="0.3">
      <c r="A118" s="605">
        <v>40954</v>
      </c>
      <c r="B118" s="606" t="s">
        <v>736</v>
      </c>
      <c r="D118" s="607">
        <v>1</v>
      </c>
    </row>
    <row r="119" spans="1:27" s="423" customFormat="1" x14ac:dyDescent="0.25">
      <c r="A119" s="447"/>
      <c r="B119" s="447"/>
      <c r="C119" s="447"/>
      <c r="D119" s="447"/>
      <c r="E119" s="447"/>
      <c r="F119" s="437"/>
      <c r="G119" s="436"/>
      <c r="H119" s="436"/>
      <c r="K119" s="436"/>
      <c r="L119" s="438"/>
      <c r="M119" s="438"/>
      <c r="N119" s="438"/>
      <c r="O119" s="438"/>
      <c r="P119" s="438"/>
      <c r="Q119" s="438"/>
      <c r="R119" s="438"/>
      <c r="S119" s="438"/>
      <c r="T119" s="438"/>
      <c r="U119" s="439"/>
      <c r="V119" s="438"/>
      <c r="W119" s="438"/>
      <c r="X119" s="438"/>
      <c r="Y119" s="438"/>
      <c r="Z119" s="438"/>
      <c r="AA119" s="438"/>
    </row>
    <row r="120" spans="1:27" s="608" customFormat="1" ht="7.5" customHeight="1" x14ac:dyDescent="0.25">
      <c r="D120" s="609"/>
      <c r="E120" s="609"/>
    </row>
    <row r="121" spans="1:27" s="423" customFormat="1" ht="19.5" x14ac:dyDescent="0.3">
      <c r="C121" s="424" t="s">
        <v>911</v>
      </c>
    </row>
    <row r="123" spans="1:27" ht="15.75" thickBot="1" x14ac:dyDescent="0.3">
      <c r="A123" s="604" t="s">
        <v>912</v>
      </c>
    </row>
    <row r="124" spans="1:27" ht="15.75" thickBot="1" x14ac:dyDescent="0.3">
      <c r="A124" s="425" t="s">
        <v>913</v>
      </c>
      <c r="B124" s="610" t="s">
        <v>914</v>
      </c>
      <c r="C124" s="610" t="s">
        <v>4</v>
      </c>
      <c r="D124" s="610" t="s">
        <v>915</v>
      </c>
      <c r="E124" s="610" t="s">
        <v>916</v>
      </c>
      <c r="F124" s="610" t="s">
        <v>917</v>
      </c>
      <c r="G124" s="610" t="s">
        <v>918</v>
      </c>
      <c r="H124" s="611" t="s">
        <v>919</v>
      </c>
      <c r="I124" s="612" t="s">
        <v>920</v>
      </c>
      <c r="J124" s="612" t="s">
        <v>921</v>
      </c>
    </row>
    <row r="125" spans="1:27" s="613" customFormat="1" x14ac:dyDescent="0.25">
      <c r="A125" s="430" t="s">
        <v>916</v>
      </c>
      <c r="J125" s="614"/>
      <c r="K125" s="614"/>
      <c r="L125" s="615"/>
      <c r="M125" s="616"/>
      <c r="N125" s="617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</row>
    <row r="126" spans="1:27" x14ac:dyDescent="0.25">
      <c r="A126" s="425" t="s">
        <v>922</v>
      </c>
      <c r="B126" s="614" t="s">
        <v>923</v>
      </c>
      <c r="C126" s="614" t="s">
        <v>924</v>
      </c>
      <c r="D126" s="614" t="s">
        <v>923</v>
      </c>
      <c r="E126" s="614" t="s">
        <v>80</v>
      </c>
      <c r="F126" s="614" t="s">
        <v>770</v>
      </c>
      <c r="G126" s="614" t="s">
        <v>923</v>
      </c>
      <c r="H126" s="614" t="s">
        <v>923</v>
      </c>
      <c r="I126" s="614" t="s">
        <v>925</v>
      </c>
      <c r="J126" s="614" t="s">
        <v>925</v>
      </c>
      <c r="K126" s="614"/>
      <c r="L126" s="614"/>
      <c r="M126" s="614"/>
      <c r="N126" s="614"/>
    </row>
    <row r="127" spans="1:27" x14ac:dyDescent="0.25">
      <c r="A127" s="425" t="s">
        <v>926</v>
      </c>
      <c r="B127" s="614" t="s">
        <v>119</v>
      </c>
      <c r="C127" s="614" t="s">
        <v>33</v>
      </c>
      <c r="D127" s="614" t="s">
        <v>185</v>
      </c>
      <c r="E127" s="614" t="s">
        <v>927</v>
      </c>
      <c r="F127" s="614" t="s">
        <v>244</v>
      </c>
      <c r="G127" s="614" t="s">
        <v>928</v>
      </c>
      <c r="H127" s="618" t="s">
        <v>156</v>
      </c>
      <c r="I127" s="619" t="s">
        <v>929</v>
      </c>
      <c r="J127" s="614" t="s">
        <v>59</v>
      </c>
      <c r="K127" s="614"/>
      <c r="L127" s="614"/>
      <c r="M127" s="614"/>
      <c r="N127" s="614"/>
    </row>
    <row r="128" spans="1:27" x14ac:dyDescent="0.25">
      <c r="A128" s="425" t="s">
        <v>930</v>
      </c>
      <c r="E128" s="398" t="s">
        <v>931</v>
      </c>
      <c r="H128" s="398" t="s">
        <v>932</v>
      </c>
      <c r="I128" s="620"/>
      <c r="J128" s="621"/>
      <c r="N128" s="621"/>
      <c r="O128" s="621"/>
      <c r="P128" s="622"/>
      <c r="Q128" s="621"/>
    </row>
    <row r="129" spans="1:31" x14ac:dyDescent="0.25">
      <c r="A129" s="425" t="s">
        <v>933</v>
      </c>
      <c r="E129" s="623"/>
      <c r="H129" s="623" t="s">
        <v>934</v>
      </c>
      <c r="I129" s="624" t="s">
        <v>935</v>
      </c>
      <c r="J129" s="436"/>
      <c r="O129" s="625"/>
      <c r="S129" s="626"/>
      <c r="T129" s="626"/>
      <c r="U129" s="626"/>
      <c r="V129" s="626"/>
      <c r="W129" s="626"/>
    </row>
    <row r="131" spans="1:31" ht="15.75" thickBot="1" x14ac:dyDescent="0.3">
      <c r="A131" s="604" t="s">
        <v>936</v>
      </c>
    </row>
    <row r="132" spans="1:31" ht="15.75" thickBot="1" x14ac:dyDescent="0.3">
      <c r="A132" s="425" t="s">
        <v>913</v>
      </c>
      <c r="B132" s="610" t="s">
        <v>914</v>
      </c>
      <c r="C132" s="610" t="s">
        <v>4</v>
      </c>
      <c r="D132" s="610" t="s">
        <v>915</v>
      </c>
      <c r="E132" s="610" t="s">
        <v>916</v>
      </c>
      <c r="F132" s="610" t="s">
        <v>917</v>
      </c>
      <c r="G132" s="610" t="s">
        <v>918</v>
      </c>
      <c r="H132" s="611" t="s">
        <v>919</v>
      </c>
      <c r="I132" s="612" t="s">
        <v>920</v>
      </c>
      <c r="J132" s="612" t="s">
        <v>921</v>
      </c>
    </row>
    <row r="133" spans="1:31" s="613" customFormat="1" x14ac:dyDescent="0.25">
      <c r="A133" s="430" t="s">
        <v>916</v>
      </c>
      <c r="J133" s="614"/>
      <c r="K133" s="614"/>
      <c r="L133" s="615"/>
      <c r="M133" s="616"/>
      <c r="N133" s="617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</row>
    <row r="134" spans="1:31" x14ac:dyDescent="0.25">
      <c r="A134" s="425" t="s">
        <v>922</v>
      </c>
      <c r="B134" s="614" t="s">
        <v>923</v>
      </c>
      <c r="C134" s="614" t="s">
        <v>924</v>
      </c>
      <c r="D134" s="614" t="s">
        <v>923</v>
      </c>
      <c r="E134" s="614" t="s">
        <v>80</v>
      </c>
      <c r="F134" s="614" t="s">
        <v>770</v>
      </c>
      <c r="G134" s="614" t="s">
        <v>923</v>
      </c>
      <c r="H134" s="614" t="s">
        <v>923</v>
      </c>
      <c r="I134" s="614" t="s">
        <v>925</v>
      </c>
      <c r="J134" s="614" t="s">
        <v>925</v>
      </c>
      <c r="K134" s="614"/>
      <c r="L134" s="614"/>
      <c r="M134" s="614"/>
      <c r="N134" s="614"/>
    </row>
    <row r="135" spans="1:31" x14ac:dyDescent="0.25">
      <c r="A135" s="425" t="s">
        <v>926</v>
      </c>
      <c r="B135" s="614" t="s">
        <v>119</v>
      </c>
      <c r="C135" s="614" t="s">
        <v>33</v>
      </c>
      <c r="D135" s="614" t="s">
        <v>185</v>
      </c>
      <c r="E135" s="614" t="s">
        <v>927</v>
      </c>
      <c r="F135" s="614" t="s">
        <v>244</v>
      </c>
      <c r="G135" s="614" t="s">
        <v>928</v>
      </c>
      <c r="H135" s="618" t="s">
        <v>156</v>
      </c>
      <c r="I135" s="627" t="s">
        <v>937</v>
      </c>
      <c r="J135" s="614" t="s">
        <v>59</v>
      </c>
      <c r="K135" s="614"/>
      <c r="L135" s="614"/>
      <c r="M135" s="614"/>
      <c r="N135" s="614"/>
    </row>
    <row r="136" spans="1:31" x14ac:dyDescent="0.25">
      <c r="A136" s="425" t="s">
        <v>930</v>
      </c>
      <c r="B136" s="398" t="s">
        <v>938</v>
      </c>
      <c r="E136" s="398" t="s">
        <v>931</v>
      </c>
      <c r="H136" s="398" t="s">
        <v>932</v>
      </c>
      <c r="I136" s="628" t="s">
        <v>939</v>
      </c>
      <c r="J136" s="621"/>
      <c r="N136" s="621"/>
      <c r="O136" s="621"/>
      <c r="P136" s="622"/>
      <c r="Q136" s="621"/>
    </row>
    <row r="137" spans="1:31" x14ac:dyDescent="0.25">
      <c r="A137" s="425" t="s">
        <v>933</v>
      </c>
      <c r="E137" s="623"/>
      <c r="H137" s="623" t="s">
        <v>934</v>
      </c>
      <c r="I137" s="629"/>
      <c r="J137" s="436"/>
      <c r="O137" s="625"/>
      <c r="S137" s="626"/>
      <c r="T137" s="626"/>
      <c r="U137" s="626"/>
      <c r="V137" s="626"/>
      <c r="W137" s="626"/>
    </row>
    <row r="139" spans="1:31" ht="15.75" thickBot="1" x14ac:dyDescent="0.3">
      <c r="A139" s="604" t="s">
        <v>940</v>
      </c>
    </row>
    <row r="140" spans="1:31" s="375" customFormat="1" ht="15.75" thickBot="1" x14ac:dyDescent="0.3">
      <c r="A140" s="425" t="s">
        <v>913</v>
      </c>
      <c r="B140" s="630" t="s">
        <v>941</v>
      </c>
      <c r="C140" s="630" t="s">
        <v>4</v>
      </c>
      <c r="D140" s="631" t="s">
        <v>942</v>
      </c>
      <c r="E140" s="632" t="s">
        <v>246</v>
      </c>
      <c r="F140" s="631" t="s">
        <v>943</v>
      </c>
      <c r="G140" s="633" t="s">
        <v>273</v>
      </c>
      <c r="H140" s="631" t="s">
        <v>944</v>
      </c>
      <c r="I140" s="633" t="s">
        <v>945</v>
      </c>
      <c r="J140" s="632" t="s">
        <v>946</v>
      </c>
      <c r="K140" s="633" t="s">
        <v>947</v>
      </c>
      <c r="L140" s="631" t="s">
        <v>948</v>
      </c>
      <c r="M140" s="634" t="s">
        <v>916</v>
      </c>
      <c r="N140" s="635" t="s">
        <v>389</v>
      </c>
      <c r="O140" s="636" t="s">
        <v>390</v>
      </c>
      <c r="P140" s="636" t="s">
        <v>949</v>
      </c>
      <c r="Q140" s="636" t="s">
        <v>950</v>
      </c>
      <c r="R140" s="637" t="s">
        <v>951</v>
      </c>
      <c r="S140" s="637" t="s">
        <v>952</v>
      </c>
      <c r="T140" s="637" t="s">
        <v>953</v>
      </c>
      <c r="U140" s="637" t="s">
        <v>954</v>
      </c>
      <c r="V140" s="637" t="s">
        <v>955</v>
      </c>
      <c r="AE140" s="863"/>
    </row>
    <row r="141" spans="1:31" s="613" customFormat="1" x14ac:dyDescent="0.25">
      <c r="A141" s="430" t="s">
        <v>916</v>
      </c>
      <c r="B141" s="616" t="s">
        <v>956</v>
      </c>
      <c r="C141" s="638">
        <v>40918</v>
      </c>
      <c r="D141" s="615" t="s">
        <v>251</v>
      </c>
      <c r="E141" s="639"/>
      <c r="F141" s="615" t="s">
        <v>365</v>
      </c>
      <c r="G141" s="640"/>
      <c r="H141" s="615" t="s">
        <v>957</v>
      </c>
      <c r="I141" s="641"/>
      <c r="J141" s="615" t="s">
        <v>958</v>
      </c>
      <c r="K141" s="615"/>
      <c r="L141" s="616" t="s">
        <v>812</v>
      </c>
      <c r="M141" s="617">
        <v>130000</v>
      </c>
      <c r="N141" s="642" t="s">
        <v>392</v>
      </c>
      <c r="O141" s="643" t="s">
        <v>393</v>
      </c>
      <c r="P141" s="644"/>
      <c r="Q141" s="645"/>
      <c r="R141" s="646"/>
      <c r="S141" s="646"/>
      <c r="T141" s="646"/>
      <c r="U141" s="646"/>
      <c r="V141" s="646"/>
      <c r="W141" s="375"/>
    </row>
    <row r="142" spans="1:31" x14ac:dyDescent="0.25">
      <c r="A142" s="425" t="s">
        <v>922</v>
      </c>
      <c r="B142" s="614" t="s">
        <v>923</v>
      </c>
      <c r="C142" s="614" t="s">
        <v>923</v>
      </c>
      <c r="D142" s="614" t="s">
        <v>959</v>
      </c>
      <c r="E142" s="614" t="s">
        <v>960</v>
      </c>
      <c r="F142" s="614" t="s">
        <v>959</v>
      </c>
      <c r="G142" s="614" t="s">
        <v>960</v>
      </c>
      <c r="H142" s="614" t="s">
        <v>923</v>
      </c>
      <c r="I142" s="614" t="s">
        <v>960</v>
      </c>
      <c r="J142" s="614" t="s">
        <v>959</v>
      </c>
      <c r="K142" s="614" t="s">
        <v>923</v>
      </c>
      <c r="L142" s="614" t="s">
        <v>164</v>
      </c>
      <c r="M142" s="614" t="s">
        <v>175</v>
      </c>
      <c r="N142" s="614" t="s">
        <v>33</v>
      </c>
      <c r="O142" s="614" t="s">
        <v>59</v>
      </c>
      <c r="P142" s="614" t="s">
        <v>165</v>
      </c>
      <c r="Q142" s="614" t="s">
        <v>59</v>
      </c>
      <c r="R142" s="614" t="s">
        <v>80</v>
      </c>
      <c r="S142" s="614" t="s">
        <v>80</v>
      </c>
      <c r="T142" s="614" t="s">
        <v>959</v>
      </c>
      <c r="U142" s="614" t="s">
        <v>165</v>
      </c>
      <c r="V142" s="614" t="s">
        <v>165</v>
      </c>
    </row>
    <row r="143" spans="1:31" x14ac:dyDescent="0.25">
      <c r="A143" s="425" t="s">
        <v>926</v>
      </c>
      <c r="B143" s="614">
        <v>10</v>
      </c>
      <c r="C143" s="614">
        <v>12</v>
      </c>
      <c r="D143" s="614" t="s">
        <v>961</v>
      </c>
      <c r="E143" s="614" t="s">
        <v>961</v>
      </c>
      <c r="F143" s="614" t="s">
        <v>83</v>
      </c>
      <c r="G143" s="614" t="s">
        <v>83</v>
      </c>
      <c r="H143" s="614" t="s">
        <v>243</v>
      </c>
      <c r="I143" s="614" t="s">
        <v>168</v>
      </c>
      <c r="J143" s="614" t="s">
        <v>962</v>
      </c>
      <c r="K143" s="614">
        <v>18</v>
      </c>
      <c r="L143" s="614" t="s">
        <v>963</v>
      </c>
      <c r="M143" s="614" t="s">
        <v>77</v>
      </c>
      <c r="N143" s="614" t="s">
        <v>964</v>
      </c>
      <c r="O143" s="614" t="s">
        <v>964</v>
      </c>
      <c r="P143" s="614" t="s">
        <v>964</v>
      </c>
      <c r="Q143" s="614">
        <v>12</v>
      </c>
      <c r="R143" s="614" t="s">
        <v>168</v>
      </c>
      <c r="S143" s="614" t="s">
        <v>168</v>
      </c>
      <c r="T143" s="614" t="s">
        <v>168</v>
      </c>
      <c r="U143" s="614" t="s">
        <v>168</v>
      </c>
      <c r="V143" s="614" t="s">
        <v>168</v>
      </c>
    </row>
    <row r="144" spans="1:31" x14ac:dyDescent="0.25">
      <c r="A144" s="425" t="s">
        <v>930</v>
      </c>
      <c r="E144" s="623" t="s">
        <v>965</v>
      </c>
      <c r="G144" s="623" t="s">
        <v>966</v>
      </c>
      <c r="I144" s="621"/>
      <c r="K144" s="623" t="s">
        <v>947</v>
      </c>
      <c r="M144" s="621" t="s">
        <v>931</v>
      </c>
      <c r="N144" s="621"/>
      <c r="O144" s="622" t="s">
        <v>967</v>
      </c>
      <c r="P144" s="621" t="s">
        <v>968</v>
      </c>
    </row>
    <row r="145" spans="1:26" x14ac:dyDescent="0.25">
      <c r="A145" s="425" t="s">
        <v>933</v>
      </c>
      <c r="E145" s="623"/>
      <c r="G145" s="623"/>
      <c r="I145" s="436"/>
      <c r="K145" s="626" t="s">
        <v>934</v>
      </c>
      <c r="N145" s="625"/>
      <c r="R145" s="626" t="s">
        <v>969</v>
      </c>
      <c r="S145" s="626" t="s">
        <v>970</v>
      </c>
      <c r="T145" s="626" t="s">
        <v>971</v>
      </c>
      <c r="U145" s="626" t="s">
        <v>972</v>
      </c>
      <c r="V145" s="626" t="s">
        <v>973</v>
      </c>
    </row>
    <row r="147" spans="1:26" ht="15.75" thickBot="1" x14ac:dyDescent="0.3">
      <c r="A147" s="604" t="s">
        <v>1227</v>
      </c>
      <c r="B147" s="604"/>
      <c r="C147" s="604"/>
      <c r="D147" s="604"/>
      <c r="E147" s="604"/>
      <c r="F147" s="604"/>
      <c r="G147" s="604"/>
      <c r="H147" s="604"/>
      <c r="I147" s="604"/>
      <c r="J147" s="604"/>
      <c r="P147" s="604"/>
      <c r="Q147" s="604"/>
    </row>
    <row r="148" spans="1:26" ht="15.75" thickBot="1" x14ac:dyDescent="0.3">
      <c r="A148" s="876" t="s">
        <v>155</v>
      </c>
      <c r="B148" s="425" t="s">
        <v>913</v>
      </c>
      <c r="C148" s="610" t="s">
        <v>974</v>
      </c>
      <c r="D148" s="610" t="s">
        <v>766</v>
      </c>
      <c r="E148" s="610" t="s">
        <v>975</v>
      </c>
      <c r="F148" s="610" t="s">
        <v>976</v>
      </c>
      <c r="G148" s="610" t="s">
        <v>916</v>
      </c>
      <c r="H148" s="610" t="s">
        <v>977</v>
      </c>
      <c r="I148" s="610" t="s">
        <v>978</v>
      </c>
      <c r="J148" s="610" t="s">
        <v>979</v>
      </c>
      <c r="K148" s="610" t="s">
        <v>980</v>
      </c>
      <c r="L148" s="610" t="s">
        <v>981</v>
      </c>
      <c r="M148" s="610" t="s">
        <v>982</v>
      </c>
      <c r="N148" s="610" t="s">
        <v>983</v>
      </c>
      <c r="P148" s="610" t="s">
        <v>978</v>
      </c>
      <c r="Q148" s="610" t="s">
        <v>979</v>
      </c>
      <c r="R148" s="610" t="s">
        <v>980</v>
      </c>
      <c r="S148" s="610" t="s">
        <v>981</v>
      </c>
      <c r="T148" s="610" t="s">
        <v>982</v>
      </c>
      <c r="U148" s="610" t="s">
        <v>983</v>
      </c>
    </row>
    <row r="149" spans="1:26" s="613" customFormat="1" x14ac:dyDescent="0.25">
      <c r="A149" s="877"/>
      <c r="B149" s="430" t="s">
        <v>916</v>
      </c>
      <c r="C149" s="647" t="s">
        <v>984</v>
      </c>
      <c r="D149" s="638" t="s">
        <v>985</v>
      </c>
      <c r="E149" s="648" t="s">
        <v>986</v>
      </c>
      <c r="F149" s="639"/>
      <c r="G149" s="649">
        <v>2298687.7200000002</v>
      </c>
      <c r="H149" s="640"/>
      <c r="I149" s="650" t="s">
        <v>454</v>
      </c>
      <c r="J149" s="651" t="s">
        <v>987</v>
      </c>
      <c r="K149" s="650"/>
      <c r="L149" s="650"/>
      <c r="M149" s="652"/>
      <c r="N149" s="653"/>
      <c r="O149" s="398"/>
      <c r="P149" s="615" t="s">
        <v>454</v>
      </c>
      <c r="Q149" s="654"/>
      <c r="R149" s="615" t="s">
        <v>988</v>
      </c>
      <c r="S149" s="615" t="s">
        <v>454</v>
      </c>
      <c r="T149" s="616" t="s">
        <v>333</v>
      </c>
      <c r="U149" s="617" t="s">
        <v>989</v>
      </c>
      <c r="V149" s="398"/>
      <c r="W149" s="398"/>
      <c r="X149" s="398"/>
      <c r="Y149" s="398"/>
    </row>
    <row r="150" spans="1:26" x14ac:dyDescent="0.25">
      <c r="A150" s="877"/>
      <c r="B150" s="425" t="s">
        <v>922</v>
      </c>
      <c r="C150" s="614" t="s">
        <v>243</v>
      </c>
      <c r="D150" s="614" t="s">
        <v>990</v>
      </c>
      <c r="E150" s="614" t="s">
        <v>175</v>
      </c>
      <c r="F150" s="614" t="s">
        <v>243</v>
      </c>
      <c r="G150" s="614" t="s">
        <v>243</v>
      </c>
      <c r="H150" s="614" t="s">
        <v>59</v>
      </c>
      <c r="I150" s="655"/>
      <c r="J150" s="656"/>
      <c r="K150" s="614"/>
      <c r="L150" s="614"/>
      <c r="M150" s="614"/>
      <c r="N150" s="614"/>
      <c r="P150" s="614">
        <v>10</v>
      </c>
      <c r="Q150" s="614" t="s">
        <v>80</v>
      </c>
      <c r="R150" s="614" t="s">
        <v>33</v>
      </c>
      <c r="S150" s="614" t="s">
        <v>175</v>
      </c>
      <c r="T150" s="614" t="s">
        <v>80</v>
      </c>
      <c r="U150" s="614" t="s">
        <v>80</v>
      </c>
    </row>
    <row r="151" spans="1:26" x14ac:dyDescent="0.25">
      <c r="A151" s="877"/>
      <c r="B151" s="425" t="s">
        <v>926</v>
      </c>
      <c r="C151" s="614" t="s">
        <v>59</v>
      </c>
      <c r="D151" s="614" t="s">
        <v>59</v>
      </c>
      <c r="E151" s="614" t="s">
        <v>83</v>
      </c>
      <c r="F151" s="614" t="s">
        <v>77</v>
      </c>
      <c r="G151" s="614" t="s">
        <v>928</v>
      </c>
      <c r="H151" s="614" t="s">
        <v>964</v>
      </c>
      <c r="I151" s="655" t="s">
        <v>963</v>
      </c>
      <c r="J151" s="656"/>
      <c r="K151" s="614"/>
      <c r="L151" s="614"/>
      <c r="M151" s="614"/>
      <c r="N151" s="614"/>
      <c r="P151" s="614" t="s">
        <v>80</v>
      </c>
      <c r="Q151" s="614" t="s">
        <v>80</v>
      </c>
      <c r="R151" s="614"/>
      <c r="S151" s="614" t="s">
        <v>80</v>
      </c>
      <c r="T151" s="614" t="s">
        <v>244</v>
      </c>
      <c r="U151" s="614" t="s">
        <v>166</v>
      </c>
    </row>
    <row r="152" spans="1:26" x14ac:dyDescent="0.25">
      <c r="A152" s="877"/>
      <c r="B152" s="425" t="s">
        <v>930</v>
      </c>
      <c r="D152" s="623" t="s">
        <v>991</v>
      </c>
      <c r="F152" s="623" t="s">
        <v>992</v>
      </c>
      <c r="G152" s="657" t="s">
        <v>993</v>
      </c>
      <c r="H152" s="623" t="s">
        <v>967</v>
      </c>
      <c r="I152" s="658" t="s">
        <v>994</v>
      </c>
      <c r="K152" s="659"/>
      <c r="L152" s="658"/>
      <c r="M152" s="658"/>
      <c r="N152" s="660"/>
      <c r="P152" s="623" t="s">
        <v>995</v>
      </c>
      <c r="Q152" s="658" t="s">
        <v>996</v>
      </c>
      <c r="R152" s="659"/>
      <c r="S152" s="658" t="s">
        <v>997</v>
      </c>
      <c r="T152" s="658" t="s">
        <v>998</v>
      </c>
      <c r="U152" s="660"/>
    </row>
    <row r="153" spans="1:26" x14ac:dyDescent="0.25">
      <c r="A153" s="877"/>
      <c r="B153" s="425" t="s">
        <v>933</v>
      </c>
      <c r="D153" s="398" t="s">
        <v>999</v>
      </c>
      <c r="F153" s="623"/>
      <c r="H153" s="623"/>
      <c r="J153" s="661"/>
      <c r="L153" s="626"/>
      <c r="Q153" s="436"/>
      <c r="S153" s="626"/>
      <c r="U153" s="398" t="s">
        <v>1000</v>
      </c>
    </row>
    <row r="155" spans="1:26" ht="15.75" thickBot="1" x14ac:dyDescent="0.3">
      <c r="A155" s="604" t="s">
        <v>1226</v>
      </c>
      <c r="B155" s="604"/>
      <c r="C155" s="604"/>
      <c r="D155" s="604"/>
      <c r="E155" s="604"/>
      <c r="F155" s="604"/>
      <c r="G155" s="604"/>
      <c r="H155" s="604"/>
      <c r="I155" s="604"/>
      <c r="J155" s="604"/>
      <c r="P155" s="604"/>
      <c r="Q155" s="604"/>
    </row>
    <row r="156" spans="1:26" ht="15.75" thickBot="1" x14ac:dyDescent="0.3">
      <c r="A156" s="980" t="s">
        <v>31</v>
      </c>
      <c r="B156" s="425" t="s">
        <v>913</v>
      </c>
      <c r="C156" s="610" t="s">
        <v>974</v>
      </c>
      <c r="D156" s="610" t="s">
        <v>766</v>
      </c>
      <c r="E156" s="610" t="s">
        <v>975</v>
      </c>
      <c r="F156" s="881" t="s">
        <v>943</v>
      </c>
      <c r="G156" s="610" t="s">
        <v>976</v>
      </c>
      <c r="H156" s="610" t="s">
        <v>916</v>
      </c>
      <c r="I156" s="610" t="s">
        <v>977</v>
      </c>
      <c r="J156" s="610" t="s">
        <v>978</v>
      </c>
      <c r="K156" s="610" t="s">
        <v>979</v>
      </c>
      <c r="L156" s="610" t="s">
        <v>980</v>
      </c>
      <c r="M156" s="610" t="s">
        <v>981</v>
      </c>
      <c r="N156" s="610" t="s">
        <v>982</v>
      </c>
      <c r="O156" s="610" t="s">
        <v>983</v>
      </c>
      <c r="Q156" s="610" t="s">
        <v>978</v>
      </c>
      <c r="R156" s="610" t="s">
        <v>979</v>
      </c>
      <c r="S156" s="610" t="s">
        <v>980</v>
      </c>
      <c r="T156" s="610" t="s">
        <v>981</v>
      </c>
      <c r="U156" s="610" t="s">
        <v>982</v>
      </c>
      <c r="V156" s="610" t="s">
        <v>983</v>
      </c>
    </row>
    <row r="157" spans="1:26" s="613" customFormat="1" x14ac:dyDescent="0.25">
      <c r="A157" s="981"/>
      <c r="B157" s="430" t="s">
        <v>916</v>
      </c>
      <c r="C157" s="647" t="s">
        <v>984</v>
      </c>
      <c r="D157" s="879" t="s">
        <v>985</v>
      </c>
      <c r="E157" s="952" t="s">
        <v>986</v>
      </c>
      <c r="F157" s="882" t="s">
        <v>364</v>
      </c>
      <c r="G157" s="883" t="s">
        <v>367</v>
      </c>
      <c r="H157" s="955">
        <v>2298687.7200000002</v>
      </c>
      <c r="I157" s="640"/>
      <c r="J157" s="623" t="s">
        <v>454</v>
      </c>
      <c r="K157" s="651" t="s">
        <v>987</v>
      </c>
      <c r="L157" s="615" t="s">
        <v>988</v>
      </c>
      <c r="M157" s="663" t="s">
        <v>415</v>
      </c>
      <c r="N157" s="616" t="s">
        <v>369</v>
      </c>
      <c r="O157" s="653"/>
      <c r="P157" s="398"/>
      <c r="Q157" s="615" t="s">
        <v>454</v>
      </c>
      <c r="R157" s="654"/>
      <c r="S157" s="615" t="s">
        <v>988</v>
      </c>
      <c r="T157" s="615" t="s">
        <v>454</v>
      </c>
      <c r="U157" s="616" t="s">
        <v>333</v>
      </c>
      <c r="V157" s="617" t="s">
        <v>989</v>
      </c>
      <c r="W157" s="398"/>
      <c r="X157" s="398"/>
      <c r="Y157" s="398"/>
      <c r="Z157" s="398"/>
    </row>
    <row r="158" spans="1:26" x14ac:dyDescent="0.25">
      <c r="A158" s="981"/>
      <c r="B158" s="425" t="s">
        <v>922</v>
      </c>
      <c r="C158" s="878" t="s">
        <v>1228</v>
      </c>
      <c r="D158" s="880" t="s">
        <v>1229</v>
      </c>
      <c r="E158" s="880" t="s">
        <v>1051</v>
      </c>
      <c r="F158" s="878" t="s">
        <v>1051</v>
      </c>
      <c r="G158" s="878" t="s">
        <v>1228</v>
      </c>
      <c r="H158" s="614" t="s">
        <v>243</v>
      </c>
      <c r="I158" s="614" t="s">
        <v>59</v>
      </c>
      <c r="J158" s="656"/>
      <c r="K158" s="656"/>
      <c r="L158" s="614" t="s">
        <v>33</v>
      </c>
      <c r="N158" s="656"/>
      <c r="O158" s="614"/>
      <c r="Q158" s="614">
        <v>10</v>
      </c>
      <c r="R158" s="614" t="s">
        <v>80</v>
      </c>
      <c r="S158" s="614" t="s">
        <v>33</v>
      </c>
      <c r="T158" s="614" t="s">
        <v>175</v>
      </c>
      <c r="U158" s="614" t="s">
        <v>80</v>
      </c>
      <c r="V158" s="614" t="s">
        <v>80</v>
      </c>
    </row>
    <row r="159" spans="1:26" x14ac:dyDescent="0.25">
      <c r="A159" s="981"/>
      <c r="B159" s="425" t="s">
        <v>926</v>
      </c>
      <c r="C159" s="878" t="s">
        <v>168</v>
      </c>
      <c r="D159" s="619" t="s">
        <v>929</v>
      </c>
      <c r="E159" s="880" t="s">
        <v>1831</v>
      </c>
      <c r="F159" s="878" t="s">
        <v>928</v>
      </c>
      <c r="G159" s="878" t="s">
        <v>1230</v>
      </c>
      <c r="H159" s="880" t="s">
        <v>1832</v>
      </c>
      <c r="I159" s="614" t="s">
        <v>964</v>
      </c>
      <c r="J159" s="872" t="s">
        <v>244</v>
      </c>
      <c r="K159" s="656"/>
      <c r="L159" s="878" t="s">
        <v>244</v>
      </c>
      <c r="M159" s="878" t="s">
        <v>244</v>
      </c>
      <c r="N159" s="872" t="s">
        <v>928</v>
      </c>
      <c r="O159" s="614"/>
      <c r="Q159" s="614" t="s">
        <v>80</v>
      </c>
      <c r="R159" s="614" t="s">
        <v>80</v>
      </c>
      <c r="S159" s="614"/>
      <c r="T159" s="614" t="s">
        <v>80</v>
      </c>
      <c r="U159" s="614" t="s">
        <v>244</v>
      </c>
      <c r="V159" s="614" t="s">
        <v>166</v>
      </c>
    </row>
    <row r="160" spans="1:26" ht="75" x14ac:dyDescent="0.25">
      <c r="A160" s="981"/>
      <c r="B160" s="425" t="s">
        <v>930</v>
      </c>
      <c r="C160" s="773"/>
      <c r="D160" s="885"/>
      <c r="E160" s="953"/>
      <c r="F160" s="947"/>
      <c r="G160" s="886" t="s">
        <v>992</v>
      </c>
      <c r="H160" s="887" t="s">
        <v>1231</v>
      </c>
      <c r="I160" s="886" t="s">
        <v>967</v>
      </c>
      <c r="J160" s="886" t="s">
        <v>978</v>
      </c>
      <c r="K160" s="888" t="s">
        <v>1010</v>
      </c>
      <c r="L160" s="748" t="s">
        <v>1011</v>
      </c>
      <c r="M160" s="892" t="s">
        <v>1234</v>
      </c>
      <c r="N160" s="894" t="s">
        <v>1235</v>
      </c>
      <c r="O160" s="890"/>
      <c r="P160" s="773"/>
      <c r="Q160" s="886" t="s">
        <v>995</v>
      </c>
      <c r="R160" s="889" t="s">
        <v>996</v>
      </c>
      <c r="S160" s="891"/>
      <c r="T160" s="889" t="s">
        <v>997</v>
      </c>
      <c r="U160" s="889" t="s">
        <v>998</v>
      </c>
      <c r="V160" s="890"/>
      <c r="W160" s="773"/>
    </row>
    <row r="161" spans="1:25" x14ac:dyDescent="0.25">
      <c r="A161" s="981"/>
      <c r="B161" s="425" t="s">
        <v>933</v>
      </c>
      <c r="D161" s="624"/>
      <c r="E161" s="620"/>
      <c r="G161" s="623"/>
      <c r="H161" s="620"/>
      <c r="I161" s="623"/>
      <c r="J161" s="671"/>
      <c r="K161" s="661"/>
      <c r="R161" s="436"/>
      <c r="T161" s="626"/>
      <c r="V161" s="398" t="s">
        <v>1000</v>
      </c>
    </row>
    <row r="163" spans="1:25" ht="15.75" thickBot="1" x14ac:dyDescent="0.3">
      <c r="A163" s="604" t="s">
        <v>1001</v>
      </c>
      <c r="B163" s="604"/>
      <c r="C163" s="604"/>
      <c r="D163" s="604"/>
      <c r="E163" s="604"/>
      <c r="F163" s="604"/>
      <c r="G163" s="604"/>
      <c r="H163" s="604"/>
      <c r="I163" s="604"/>
      <c r="J163" s="604"/>
    </row>
    <row r="164" spans="1:25" ht="15.75" thickBot="1" x14ac:dyDescent="0.3">
      <c r="A164" s="593" t="s">
        <v>31</v>
      </c>
      <c r="B164" s="425" t="s">
        <v>913</v>
      </c>
      <c r="C164" s="610" t="s">
        <v>974</v>
      </c>
      <c r="D164" s="610" t="s">
        <v>766</v>
      </c>
      <c r="E164" s="610" t="s">
        <v>975</v>
      </c>
      <c r="F164" s="610" t="s">
        <v>976</v>
      </c>
      <c r="G164" s="610" t="s">
        <v>916</v>
      </c>
      <c r="H164" s="610" t="s">
        <v>977</v>
      </c>
      <c r="I164" s="610" t="s">
        <v>978</v>
      </c>
      <c r="J164" s="610" t="s">
        <v>979</v>
      </c>
      <c r="K164" s="610" t="s">
        <v>980</v>
      </c>
      <c r="L164" s="610" t="s">
        <v>981</v>
      </c>
      <c r="M164" s="610" t="s">
        <v>982</v>
      </c>
      <c r="N164" s="610" t="s">
        <v>983</v>
      </c>
      <c r="Q164" s="394" t="s">
        <v>420</v>
      </c>
    </row>
    <row r="165" spans="1:25" s="613" customFormat="1" x14ac:dyDescent="0.25">
      <c r="A165" s="599"/>
      <c r="B165" s="430" t="s">
        <v>916</v>
      </c>
      <c r="C165" s="647" t="s">
        <v>984</v>
      </c>
      <c r="D165" s="638" t="s">
        <v>985</v>
      </c>
      <c r="E165" s="648" t="s">
        <v>986</v>
      </c>
      <c r="F165" s="639"/>
      <c r="G165" s="649">
        <v>2298687.7200000002</v>
      </c>
      <c r="H165" s="640"/>
      <c r="I165" s="662" t="s">
        <v>357</v>
      </c>
      <c r="J165" s="651" t="s">
        <v>987</v>
      </c>
      <c r="K165" s="663" t="s">
        <v>1002</v>
      </c>
      <c r="L165" s="663" t="s">
        <v>415</v>
      </c>
      <c r="M165" s="664" t="s">
        <v>283</v>
      </c>
      <c r="N165" s="653"/>
      <c r="O165" s="398"/>
      <c r="P165" s="398"/>
      <c r="Q165" s="394" t="s">
        <v>408</v>
      </c>
      <c r="R165" s="398"/>
      <c r="S165" s="398"/>
      <c r="T165" s="398"/>
      <c r="U165" s="398"/>
      <c r="V165" s="398"/>
      <c r="W165" s="398"/>
      <c r="X165" s="398"/>
      <c r="Y165" s="398"/>
    </row>
    <row r="166" spans="1:25" x14ac:dyDescent="0.25">
      <c r="A166" s="599"/>
      <c r="B166" s="425" t="s">
        <v>922</v>
      </c>
      <c r="C166" s="614" t="s">
        <v>243</v>
      </c>
      <c r="D166" s="614" t="s">
        <v>990</v>
      </c>
      <c r="E166" s="614" t="s">
        <v>175</v>
      </c>
      <c r="F166" s="614" t="s">
        <v>243</v>
      </c>
      <c r="G166" s="614" t="s">
        <v>243</v>
      </c>
      <c r="H166" s="614" t="s">
        <v>59</v>
      </c>
      <c r="I166" s="614" t="s">
        <v>937</v>
      </c>
      <c r="J166" s="656"/>
      <c r="K166" s="614"/>
      <c r="M166" s="614" t="s">
        <v>185</v>
      </c>
      <c r="N166" s="614"/>
      <c r="Q166" s="394" t="s">
        <v>411</v>
      </c>
    </row>
    <row r="167" spans="1:25" x14ac:dyDescent="0.25">
      <c r="A167" s="599"/>
      <c r="B167" s="425" t="s">
        <v>926</v>
      </c>
      <c r="C167" s="614" t="s">
        <v>168</v>
      </c>
      <c r="D167" s="614" t="s">
        <v>1003</v>
      </c>
      <c r="E167" s="656" t="s">
        <v>33</v>
      </c>
      <c r="F167" s="656" t="s">
        <v>928</v>
      </c>
      <c r="G167" s="614" t="s">
        <v>1004</v>
      </c>
      <c r="H167" s="614" t="s">
        <v>1005</v>
      </c>
      <c r="I167" s="614" t="s">
        <v>1006</v>
      </c>
      <c r="J167" s="656" t="s">
        <v>168</v>
      </c>
      <c r="K167" s="878" t="s">
        <v>1233</v>
      </c>
      <c r="L167" s="878" t="s">
        <v>1233</v>
      </c>
      <c r="M167" s="614" t="s">
        <v>928</v>
      </c>
      <c r="N167" s="614"/>
      <c r="Q167" s="394" t="s">
        <v>336</v>
      </c>
    </row>
    <row r="168" spans="1:25" ht="60" x14ac:dyDescent="0.25">
      <c r="A168" s="599"/>
      <c r="B168" s="425" t="s">
        <v>930</v>
      </c>
      <c r="C168" s="872" t="s">
        <v>1007</v>
      </c>
      <c r="D168" s="656" t="s">
        <v>1008</v>
      </c>
      <c r="E168" s="623"/>
      <c r="F168" s="665" t="s">
        <v>992</v>
      </c>
      <c r="G168" s="656" t="s">
        <v>1007</v>
      </c>
      <c r="H168" s="656" t="s">
        <v>967</v>
      </c>
      <c r="I168" s="666" t="s">
        <v>1009</v>
      </c>
      <c r="J168" s="667" t="s">
        <v>1010</v>
      </c>
      <c r="K168" s="668" t="s">
        <v>1011</v>
      </c>
      <c r="M168" s="669" t="s">
        <v>1235</v>
      </c>
      <c r="N168" s="660"/>
      <c r="Q168" s="394" t="s">
        <v>455</v>
      </c>
    </row>
    <row r="169" spans="1:25" x14ac:dyDescent="0.25">
      <c r="A169" s="599"/>
      <c r="B169" s="425" t="s">
        <v>933</v>
      </c>
      <c r="E169" s="621"/>
      <c r="F169" s="623"/>
      <c r="H169" s="623"/>
      <c r="I169" s="623"/>
      <c r="J169" s="661"/>
      <c r="M169" s="670"/>
    </row>
    <row r="170" spans="1:25" x14ac:dyDescent="0.25">
      <c r="I170" s="671"/>
    </row>
    <row r="171" spans="1:25" x14ac:dyDescent="0.25">
      <c r="A171" s="672" t="s">
        <v>1012</v>
      </c>
      <c r="B171" s="604"/>
      <c r="C171" s="604"/>
      <c r="D171" s="604"/>
      <c r="E171" s="604"/>
      <c r="F171" s="604"/>
      <c r="G171" s="604"/>
      <c r="H171" s="604"/>
      <c r="I171" s="604"/>
      <c r="J171" s="604"/>
    </row>
    <row r="172" spans="1:25" ht="15.75" thickBot="1" x14ac:dyDescent="0.3">
      <c r="A172" s="833">
        <v>41529</v>
      </c>
      <c r="B172" s="900" t="s">
        <v>1240</v>
      </c>
      <c r="C172" s="604"/>
      <c r="D172" s="604"/>
      <c r="E172" s="604"/>
      <c r="F172" s="604"/>
      <c r="G172" s="604"/>
      <c r="H172" s="604"/>
      <c r="I172" s="604"/>
      <c r="J172" s="604"/>
    </row>
    <row r="173" spans="1:25" ht="15.75" thickBot="1" x14ac:dyDescent="0.3">
      <c r="A173" s="980" t="s">
        <v>31</v>
      </c>
      <c r="B173" s="425" t="s">
        <v>913</v>
      </c>
      <c r="C173" s="611" t="s">
        <v>919</v>
      </c>
      <c r="D173" s="611" t="s">
        <v>765</v>
      </c>
      <c r="L173" s="673"/>
    </row>
    <row r="174" spans="1:25" x14ac:dyDescent="0.25">
      <c r="A174" s="981"/>
      <c r="B174" s="430" t="s">
        <v>916</v>
      </c>
      <c r="C174" s="613"/>
      <c r="D174" s="613"/>
    </row>
    <row r="175" spans="1:25" x14ac:dyDescent="0.25">
      <c r="A175" s="981"/>
      <c r="B175" s="425" t="s">
        <v>922</v>
      </c>
      <c r="C175" s="878" t="s">
        <v>1228</v>
      </c>
      <c r="D175" s="878" t="s">
        <v>1228</v>
      </c>
    </row>
    <row r="176" spans="1:25" x14ac:dyDescent="0.25">
      <c r="A176" s="981"/>
      <c r="B176" s="425" t="s">
        <v>926</v>
      </c>
      <c r="C176" s="618" t="s">
        <v>156</v>
      </c>
      <c r="D176" s="619" t="s">
        <v>929</v>
      </c>
    </row>
    <row r="177" spans="1:22" x14ac:dyDescent="0.25">
      <c r="A177" s="981"/>
      <c r="B177" s="425" t="s">
        <v>930</v>
      </c>
      <c r="C177" s="621" t="s">
        <v>932</v>
      </c>
    </row>
    <row r="178" spans="1:22" x14ac:dyDescent="0.25">
      <c r="A178" s="981"/>
      <c r="B178" s="425" t="s">
        <v>933</v>
      </c>
      <c r="C178" s="623" t="s">
        <v>1146</v>
      </c>
    </row>
    <row r="180" spans="1:22" ht="15.75" thickBot="1" x14ac:dyDescent="0.3">
      <c r="A180" s="604" t="s">
        <v>1013</v>
      </c>
      <c r="B180" s="604"/>
      <c r="C180" s="604"/>
      <c r="D180" s="604"/>
      <c r="E180" s="604"/>
      <c r="F180" s="604"/>
      <c r="G180" s="604"/>
      <c r="H180" s="604"/>
      <c r="I180" s="604"/>
      <c r="J180" s="604"/>
    </row>
    <row r="181" spans="1:22" ht="15.75" thickBot="1" x14ac:dyDescent="0.3">
      <c r="A181" s="611" t="s">
        <v>1014</v>
      </c>
      <c r="B181" s="611" t="s">
        <v>1015</v>
      </c>
      <c r="J181" s="673"/>
    </row>
    <row r="183" spans="1:22" ht="15.75" thickBot="1" x14ac:dyDescent="0.3">
      <c r="A183" s="672" t="s">
        <v>1215</v>
      </c>
      <c r="B183" s="674"/>
      <c r="C183" s="674"/>
      <c r="D183" s="674"/>
      <c r="E183" s="674"/>
      <c r="F183" s="604"/>
      <c r="G183" s="604"/>
      <c r="H183" s="604"/>
      <c r="I183" s="604"/>
      <c r="J183" s="604"/>
    </row>
    <row r="184" spans="1:22" ht="15.75" thickBot="1" x14ac:dyDescent="0.3">
      <c r="A184" s="610" t="s">
        <v>1016</v>
      </c>
      <c r="B184" s="610" t="s">
        <v>1017</v>
      </c>
      <c r="C184" s="610" t="s">
        <v>976</v>
      </c>
      <c r="D184" s="610" t="s">
        <v>1018</v>
      </c>
      <c r="E184" s="610" t="s">
        <v>951</v>
      </c>
      <c r="F184" s="610" t="s">
        <v>952</v>
      </c>
      <c r="G184" s="610" t="s">
        <v>953</v>
      </c>
      <c r="H184" s="610" t="s">
        <v>954</v>
      </c>
      <c r="I184" s="610" t="s">
        <v>955</v>
      </c>
      <c r="J184" s="610" t="s">
        <v>1019</v>
      </c>
      <c r="K184" s="610" t="s">
        <v>1020</v>
      </c>
      <c r="L184" s="610" t="s">
        <v>1021</v>
      </c>
      <c r="M184" s="610" t="s">
        <v>1022</v>
      </c>
      <c r="N184" s="610" t="s">
        <v>1023</v>
      </c>
      <c r="O184" s="610" t="s">
        <v>1024</v>
      </c>
      <c r="P184" s="610" t="s">
        <v>1025</v>
      </c>
      <c r="Q184" s="610" t="s">
        <v>1026</v>
      </c>
      <c r="R184" s="610" t="s">
        <v>1027</v>
      </c>
      <c r="S184" s="610" t="s">
        <v>1028</v>
      </c>
      <c r="T184" s="610" t="s">
        <v>1029</v>
      </c>
      <c r="U184" s="610" t="s">
        <v>1030</v>
      </c>
      <c r="V184" s="675" t="s">
        <v>1031</v>
      </c>
    </row>
    <row r="186" spans="1:22" ht="15.75" thickBot="1" x14ac:dyDescent="0.3">
      <c r="A186" s="604" t="s">
        <v>1032</v>
      </c>
    </row>
    <row r="187" spans="1:22" ht="15.75" thickBot="1" x14ac:dyDescent="0.3">
      <c r="A187" s="610" t="s">
        <v>68</v>
      </c>
      <c r="B187" s="610" t="s">
        <v>895</v>
      </c>
      <c r="C187" s="610" t="s">
        <v>1018</v>
      </c>
      <c r="D187" s="610" t="s">
        <v>1023</v>
      </c>
      <c r="E187" s="610" t="s">
        <v>951</v>
      </c>
      <c r="F187" s="610" t="s">
        <v>952</v>
      </c>
      <c r="G187" s="610" t="s">
        <v>953</v>
      </c>
      <c r="H187" s="610" t="s">
        <v>954</v>
      </c>
      <c r="I187" s="610" t="s">
        <v>955</v>
      </c>
      <c r="J187" s="610" t="s">
        <v>1026</v>
      </c>
      <c r="K187" s="610" t="s">
        <v>1027</v>
      </c>
      <c r="L187" s="610" t="s">
        <v>1028</v>
      </c>
      <c r="M187" s="610" t="s">
        <v>1029</v>
      </c>
      <c r="N187" s="610" t="s">
        <v>1030</v>
      </c>
    </row>
    <row r="189" spans="1:22" ht="15.75" thickBot="1" x14ac:dyDescent="0.3">
      <c r="A189" s="604" t="s">
        <v>1033</v>
      </c>
    </row>
    <row r="190" spans="1:22" ht="15.75" thickBot="1" x14ac:dyDescent="0.3">
      <c r="A190" s="610" t="s">
        <v>1034</v>
      </c>
      <c r="B190" s="610" t="s">
        <v>895</v>
      </c>
      <c r="C190" s="610" t="s">
        <v>1035</v>
      </c>
    </row>
    <row r="191" spans="1:22" x14ac:dyDescent="0.25">
      <c r="A191" s="421" t="s">
        <v>243</v>
      </c>
      <c r="B191" s="421" t="s">
        <v>1036</v>
      </c>
      <c r="C191" s="421" t="s">
        <v>927</v>
      </c>
    </row>
    <row r="192" spans="1:22" x14ac:dyDescent="0.25">
      <c r="I192" s="671"/>
    </row>
    <row r="193" spans="1:14" ht="15.75" thickBot="1" x14ac:dyDescent="0.3">
      <c r="A193" s="833" t="s">
        <v>1253</v>
      </c>
      <c r="B193" s="604"/>
      <c r="C193" s="604"/>
      <c r="D193" s="604"/>
      <c r="E193" s="604"/>
      <c r="F193" s="604"/>
      <c r="G193" s="604"/>
      <c r="H193" s="604"/>
      <c r="I193" s="604"/>
      <c r="J193" s="604"/>
    </row>
    <row r="194" spans="1:14" x14ac:dyDescent="0.25">
      <c r="A194" s="982" t="s">
        <v>1250</v>
      </c>
      <c r="B194" s="425" t="s">
        <v>913</v>
      </c>
      <c r="C194" s="935" t="s">
        <v>1254</v>
      </c>
      <c r="D194" s="936" t="s">
        <v>1248</v>
      </c>
      <c r="L194" s="673"/>
    </row>
    <row r="195" spans="1:14" x14ac:dyDescent="0.25">
      <c r="A195" s="983"/>
      <c r="B195" s="430" t="s">
        <v>916</v>
      </c>
      <c r="C195" s="933" t="s">
        <v>768</v>
      </c>
      <c r="D195" s="934" t="s">
        <v>768</v>
      </c>
    </row>
    <row r="196" spans="1:14" x14ac:dyDescent="0.25">
      <c r="A196" s="983"/>
      <c r="B196" s="425" t="s">
        <v>922</v>
      </c>
      <c r="C196" s="878" t="s">
        <v>1255</v>
      </c>
      <c r="D196" s="878" t="s">
        <v>1256</v>
      </c>
    </row>
    <row r="197" spans="1:14" x14ac:dyDescent="0.25">
      <c r="A197" s="983"/>
      <c r="B197" s="425" t="s">
        <v>926</v>
      </c>
      <c r="C197" s="619" t="s">
        <v>929</v>
      </c>
      <c r="D197" s="932" t="s">
        <v>165</v>
      </c>
    </row>
    <row r="198" spans="1:14" x14ac:dyDescent="0.25">
      <c r="A198" s="983"/>
      <c r="B198" s="425" t="s">
        <v>930</v>
      </c>
      <c r="C198" s="621"/>
    </row>
    <row r="199" spans="1:14" x14ac:dyDescent="0.25">
      <c r="A199" s="983"/>
      <c r="B199" s="425" t="s">
        <v>933</v>
      </c>
      <c r="C199" s="623"/>
    </row>
    <row r="200" spans="1:14" ht="15.75" thickBot="1" x14ac:dyDescent="0.3">
      <c r="A200" s="421"/>
      <c r="B200" s="421"/>
    </row>
    <row r="201" spans="1:14" ht="15.75" thickBot="1" x14ac:dyDescent="0.3">
      <c r="A201" s="676" t="s">
        <v>1037</v>
      </c>
      <c r="B201" s="421"/>
      <c r="I201" s="677" t="s">
        <v>110</v>
      </c>
      <c r="N201" s="678" t="s">
        <v>875</v>
      </c>
    </row>
    <row r="202" spans="1:14" s="423" customFormat="1" ht="25.5" x14ac:dyDescent="0.25">
      <c r="A202" s="425" t="s">
        <v>739</v>
      </c>
      <c r="B202" s="679" t="s">
        <v>1038</v>
      </c>
      <c r="C202" s="569" t="s">
        <v>1039</v>
      </c>
      <c r="D202" s="680" t="s">
        <v>1040</v>
      </c>
      <c r="E202" s="680" t="s">
        <v>1041</v>
      </c>
      <c r="F202" s="681" t="s">
        <v>1042</v>
      </c>
      <c r="G202" s="681" t="s">
        <v>1043</v>
      </c>
      <c r="H202" s="681" t="s">
        <v>1044</v>
      </c>
      <c r="I202" s="682" t="s">
        <v>1045</v>
      </c>
      <c r="J202" s="683" t="s">
        <v>1046</v>
      </c>
      <c r="K202" s="684" t="s">
        <v>1047</v>
      </c>
      <c r="L202" s="685" t="s">
        <v>1048</v>
      </c>
      <c r="M202" s="685" t="s">
        <v>1049</v>
      </c>
      <c r="N202" s="685" t="s">
        <v>259</v>
      </c>
    </row>
    <row r="203" spans="1:14" s="423" customFormat="1" x14ac:dyDescent="0.25">
      <c r="A203" s="430" t="s">
        <v>1213</v>
      </c>
      <c r="B203" s="587"/>
      <c r="C203" s="588"/>
    </row>
    <row r="204" spans="1:14" s="423" customFormat="1" x14ac:dyDescent="0.25">
      <c r="A204" s="425" t="s">
        <v>769</v>
      </c>
      <c r="B204" s="436">
        <v>1</v>
      </c>
      <c r="C204" s="436">
        <v>5</v>
      </c>
      <c r="D204" s="686">
        <v>45</v>
      </c>
      <c r="E204" s="686">
        <v>5</v>
      </c>
      <c r="F204" s="686">
        <v>7</v>
      </c>
      <c r="G204" s="686">
        <v>16</v>
      </c>
      <c r="H204" s="686">
        <v>10</v>
      </c>
      <c r="I204" s="686" t="s">
        <v>1050</v>
      </c>
      <c r="J204" s="686" t="s">
        <v>1051</v>
      </c>
      <c r="K204" s="686">
        <v>10</v>
      </c>
      <c r="L204" s="686" t="s">
        <v>1052</v>
      </c>
      <c r="M204" s="686" t="s">
        <v>923</v>
      </c>
      <c r="N204" s="686" t="s">
        <v>923</v>
      </c>
    </row>
    <row r="205" spans="1:14" s="423" customFormat="1" x14ac:dyDescent="0.25">
      <c r="A205" s="425" t="s">
        <v>771</v>
      </c>
      <c r="B205" s="687" t="s">
        <v>1053</v>
      </c>
      <c r="C205" s="436" t="s">
        <v>1054</v>
      </c>
      <c r="D205" s="436">
        <v>13</v>
      </c>
      <c r="E205" s="436">
        <v>14</v>
      </c>
      <c r="F205" s="436">
        <v>15</v>
      </c>
      <c r="G205" s="436">
        <v>16</v>
      </c>
      <c r="H205" s="436">
        <v>17</v>
      </c>
      <c r="I205" s="436">
        <v>18</v>
      </c>
      <c r="J205" s="436">
        <v>19</v>
      </c>
      <c r="K205" s="436">
        <v>20</v>
      </c>
      <c r="L205" s="436">
        <v>21</v>
      </c>
      <c r="M205" s="436">
        <v>22</v>
      </c>
      <c r="N205" s="436">
        <v>23</v>
      </c>
    </row>
    <row r="206" spans="1:14" s="614" customFormat="1" x14ac:dyDescent="0.25">
      <c r="A206" s="688" t="s">
        <v>772</v>
      </c>
      <c r="L206" s="614" t="s">
        <v>931</v>
      </c>
      <c r="M206" s="614" t="s">
        <v>931</v>
      </c>
      <c r="N206" s="614" t="s">
        <v>1055</v>
      </c>
    </row>
    <row r="207" spans="1:14" s="421" customFormat="1" x14ac:dyDescent="0.25">
      <c r="A207" s="425" t="s">
        <v>780</v>
      </c>
      <c r="C207" s="421" t="s">
        <v>1056</v>
      </c>
    </row>
    <row r="209" spans="1:39" s="423" customFormat="1" ht="25.5" x14ac:dyDescent="0.25">
      <c r="A209" s="425" t="s">
        <v>739</v>
      </c>
      <c r="B209" s="569" t="s">
        <v>1057</v>
      </c>
      <c r="C209" s="569" t="s">
        <v>1058</v>
      </c>
      <c r="D209" s="569" t="s">
        <v>1039</v>
      </c>
      <c r="E209" s="570" t="s">
        <v>866</v>
      </c>
      <c r="F209" s="571" t="s">
        <v>867</v>
      </c>
      <c r="G209" s="572" t="s">
        <v>868</v>
      </c>
      <c r="H209" s="569" t="s">
        <v>1059</v>
      </c>
      <c r="I209" s="569" t="s">
        <v>798</v>
      </c>
      <c r="J209" s="569" t="s">
        <v>869</v>
      </c>
      <c r="K209" s="569" t="s">
        <v>1060</v>
      </c>
      <c r="M209" s="573" t="s">
        <v>870</v>
      </c>
      <c r="N209" s="574" t="s">
        <v>871</v>
      </c>
      <c r="O209" s="575"/>
      <c r="P209" s="576" t="s">
        <v>101</v>
      </c>
      <c r="Q209" s="577" t="s">
        <v>872</v>
      </c>
      <c r="R209" s="576" t="s">
        <v>105</v>
      </c>
      <c r="S209" s="576" t="s">
        <v>51</v>
      </c>
      <c r="T209" s="576" t="s">
        <v>108</v>
      </c>
      <c r="U209" s="578" t="s">
        <v>110</v>
      </c>
      <c r="V209" s="579" t="s">
        <v>873</v>
      </c>
      <c r="W209" s="580" t="s">
        <v>874</v>
      </c>
      <c r="X209" s="576" t="s">
        <v>875</v>
      </c>
      <c r="Y209" s="581" t="s">
        <v>93</v>
      </c>
      <c r="Z209" s="582" t="s">
        <v>93</v>
      </c>
      <c r="AA209" s="582" t="s">
        <v>93</v>
      </c>
      <c r="AB209" s="582" t="s">
        <v>93</v>
      </c>
      <c r="AC209" s="576" t="s">
        <v>93</v>
      </c>
      <c r="AD209" s="576" t="s">
        <v>876</v>
      </c>
      <c r="AE209" s="576"/>
      <c r="AF209" s="576" t="s">
        <v>93</v>
      </c>
      <c r="AG209" s="576" t="s">
        <v>93</v>
      </c>
      <c r="AH209" s="583" t="s">
        <v>877</v>
      </c>
      <c r="AI209" s="584" t="s">
        <v>93</v>
      </c>
      <c r="AJ209" s="576" t="s">
        <v>93</v>
      </c>
      <c r="AK209" s="576" t="s">
        <v>93</v>
      </c>
      <c r="AL209" s="585" t="s">
        <v>878</v>
      </c>
      <c r="AM209" s="586"/>
    </row>
    <row r="210" spans="1:39" s="423" customFormat="1" x14ac:dyDescent="0.25">
      <c r="A210" s="430" t="s">
        <v>767</v>
      </c>
      <c r="B210" s="587"/>
      <c r="C210" s="587" t="str">
        <f>IF(B210&lt;&gt;"",1,"")</f>
        <v/>
      </c>
      <c r="D210" s="588"/>
      <c r="E210" s="689"/>
      <c r="F210" s="432"/>
      <c r="G210" s="591">
        <f>U210</f>
        <v>0</v>
      </c>
      <c r="H210" s="433"/>
      <c r="I210" s="437"/>
    </row>
    <row r="211" spans="1:39" s="423" customFormat="1" x14ac:dyDescent="0.25">
      <c r="A211" s="425" t="s">
        <v>769</v>
      </c>
      <c r="B211" s="436">
        <v>1</v>
      </c>
      <c r="C211" s="436"/>
      <c r="D211" s="436">
        <v>5</v>
      </c>
      <c r="E211" s="436">
        <v>8</v>
      </c>
      <c r="F211" s="436">
        <v>13</v>
      </c>
      <c r="G211" s="436">
        <v>14</v>
      </c>
      <c r="H211" s="436">
        <v>11</v>
      </c>
      <c r="I211" s="437">
        <v>20</v>
      </c>
      <c r="J211" s="438">
        <v>15</v>
      </c>
      <c r="K211" s="438">
        <v>10</v>
      </c>
      <c r="L211" s="438">
        <v>6</v>
      </c>
      <c r="M211" s="438">
        <v>6</v>
      </c>
      <c r="N211" s="438">
        <v>10</v>
      </c>
      <c r="O211" s="438">
        <v>1</v>
      </c>
      <c r="P211" s="438">
        <v>45</v>
      </c>
      <c r="Q211" s="438"/>
      <c r="R211" s="438">
        <v>13</v>
      </c>
      <c r="S211" s="438">
        <v>16</v>
      </c>
      <c r="T211" s="438">
        <v>10</v>
      </c>
      <c r="U211" s="438">
        <v>10</v>
      </c>
      <c r="V211" s="438">
        <v>10</v>
      </c>
      <c r="W211" s="438">
        <v>10</v>
      </c>
      <c r="X211" s="438">
        <v>10</v>
      </c>
      <c r="Y211" s="438">
        <v>10</v>
      </c>
      <c r="Z211" s="438">
        <v>0</v>
      </c>
      <c r="AA211" s="438">
        <v>0</v>
      </c>
      <c r="AB211" s="438">
        <v>0</v>
      </c>
      <c r="AC211" s="438">
        <v>0</v>
      </c>
      <c r="AD211" s="438">
        <v>0</v>
      </c>
      <c r="AE211" s="438"/>
      <c r="AF211" s="438">
        <v>0</v>
      </c>
      <c r="AG211" s="438">
        <v>0</v>
      </c>
      <c r="AH211" s="438">
        <v>0</v>
      </c>
      <c r="AI211" s="438">
        <v>0</v>
      </c>
      <c r="AJ211" s="438">
        <v>0</v>
      </c>
      <c r="AK211" s="438">
        <v>0</v>
      </c>
      <c r="AL211" s="438">
        <v>0</v>
      </c>
      <c r="AM211" s="438">
        <v>0</v>
      </c>
    </row>
    <row r="212" spans="1:39" s="423" customFormat="1" x14ac:dyDescent="0.25">
      <c r="A212" s="425" t="s">
        <v>771</v>
      </c>
      <c r="B212" s="436">
        <v>5</v>
      </c>
      <c r="C212" s="436"/>
      <c r="D212" s="436">
        <v>1</v>
      </c>
      <c r="E212" s="436">
        <v>2</v>
      </c>
      <c r="F212" s="436">
        <v>2</v>
      </c>
      <c r="G212" s="436"/>
      <c r="H212" s="436">
        <v>2</v>
      </c>
      <c r="I212" s="423">
        <v>2</v>
      </c>
      <c r="J212" s="423">
        <v>2</v>
      </c>
      <c r="K212" s="436">
        <v>2</v>
      </c>
      <c r="L212" s="437">
        <v>-1</v>
      </c>
      <c r="M212" s="436"/>
      <c r="P212" s="436"/>
      <c r="Q212" s="436"/>
      <c r="R212" s="438"/>
      <c r="S212" s="438"/>
      <c r="T212" s="438"/>
      <c r="U212" s="438"/>
      <c r="V212" s="438"/>
      <c r="W212" s="438"/>
      <c r="X212" s="438"/>
      <c r="Y212" s="438"/>
      <c r="Z212" s="438"/>
      <c r="AA212" s="439"/>
      <c r="AB212" s="438"/>
      <c r="AC212" s="438"/>
      <c r="AD212" s="438"/>
      <c r="AE212" s="438"/>
      <c r="AF212" s="438"/>
      <c r="AG212" s="438"/>
      <c r="AH212" s="438"/>
    </row>
    <row r="213" spans="1:39" s="423" customFormat="1" ht="44.25" customHeight="1" x14ac:dyDescent="0.25">
      <c r="A213" s="425" t="s">
        <v>772</v>
      </c>
      <c r="B213" s="690"/>
      <c r="C213" s="691" t="s">
        <v>1061</v>
      </c>
      <c r="D213" s="692" t="s">
        <v>1062</v>
      </c>
      <c r="E213" s="693" t="s">
        <v>1063</v>
      </c>
      <c r="F213" s="693" t="s">
        <v>1064</v>
      </c>
      <c r="G213" s="436"/>
      <c r="H213" s="693" t="s">
        <v>906</v>
      </c>
      <c r="I213" s="693" t="s">
        <v>905</v>
      </c>
      <c r="J213" s="690" t="s">
        <v>908</v>
      </c>
      <c r="K213" s="690" t="s">
        <v>1065</v>
      </c>
      <c r="L213" s="436"/>
      <c r="M213" s="436"/>
      <c r="P213" s="694" t="s">
        <v>881</v>
      </c>
      <c r="Q213" s="694"/>
      <c r="R213" s="438"/>
      <c r="S213" s="438"/>
      <c r="T213" s="438"/>
      <c r="U213" s="438"/>
      <c r="V213" s="438"/>
      <c r="W213" s="438"/>
      <c r="X213" s="438"/>
      <c r="Y213" s="438"/>
      <c r="Z213" s="438"/>
      <c r="AA213" s="439"/>
      <c r="AB213" s="438"/>
      <c r="AC213" s="438"/>
      <c r="AD213" s="438"/>
      <c r="AE213" s="438"/>
      <c r="AF213" s="438"/>
      <c r="AG213" s="438"/>
      <c r="AH213" s="438"/>
    </row>
    <row r="214" spans="1:39" s="423" customFormat="1" x14ac:dyDescent="0.25">
      <c r="A214" s="425" t="s">
        <v>780</v>
      </c>
      <c r="B214" s="436" t="s">
        <v>882</v>
      </c>
      <c r="C214" s="436"/>
      <c r="D214" s="436"/>
      <c r="E214" s="447"/>
      <c r="F214" s="447"/>
      <c r="G214" s="447"/>
      <c r="H214" s="447"/>
      <c r="I214" s="437"/>
      <c r="J214" s="436"/>
      <c r="K214" s="436"/>
      <c r="L214" s="436"/>
      <c r="M214" s="436"/>
      <c r="P214" s="436"/>
      <c r="Q214" s="436"/>
      <c r="R214" s="438"/>
      <c r="S214" s="438"/>
      <c r="T214" s="438"/>
      <c r="U214" s="438"/>
      <c r="V214" s="438"/>
      <c r="W214" s="438"/>
      <c r="X214" s="438"/>
      <c r="Y214" s="438"/>
      <c r="Z214" s="438"/>
      <c r="AA214" s="439"/>
      <c r="AB214" s="438"/>
      <c r="AC214" s="438"/>
      <c r="AD214" s="438"/>
      <c r="AE214" s="438"/>
      <c r="AF214" s="438"/>
      <c r="AG214" s="438"/>
      <c r="AH214" s="438"/>
    </row>
    <row r="216" spans="1:39" ht="15.75" thickBot="1" x14ac:dyDescent="0.3">
      <c r="A216" s="676" t="s">
        <v>1066</v>
      </c>
      <c r="B216" s="421"/>
    </row>
    <row r="217" spans="1:39" ht="29.25" customHeight="1" thickBot="1" x14ac:dyDescent="0.3">
      <c r="A217" s="425" t="s">
        <v>739</v>
      </c>
      <c r="B217" s="695" t="s">
        <v>1067</v>
      </c>
      <c r="C217" s="695" t="s">
        <v>1068</v>
      </c>
      <c r="D217" s="695" t="s">
        <v>1069</v>
      </c>
      <c r="E217" s="695" t="s">
        <v>867</v>
      </c>
      <c r="F217" s="695" t="s">
        <v>108</v>
      </c>
      <c r="G217" s="695" t="s">
        <v>798</v>
      </c>
      <c r="H217" s="695" t="s">
        <v>126</v>
      </c>
      <c r="I217" s="695" t="s">
        <v>1070</v>
      </c>
      <c r="J217" s="695" t="s">
        <v>1071</v>
      </c>
      <c r="K217" s="695" t="s">
        <v>1072</v>
      </c>
      <c r="L217" s="696" t="s">
        <v>921</v>
      </c>
      <c r="M217" s="695" t="s">
        <v>1073</v>
      </c>
    </row>
    <row r="218" spans="1:39" s="421" customFormat="1" x14ac:dyDescent="0.25">
      <c r="A218" s="430" t="s">
        <v>1213</v>
      </c>
      <c r="B218" s="421" t="s">
        <v>1074</v>
      </c>
      <c r="C218" s="421" t="s">
        <v>1075</v>
      </c>
      <c r="D218" s="421" t="s">
        <v>1076</v>
      </c>
      <c r="E218" s="432" t="s">
        <v>1077</v>
      </c>
      <c r="F218" s="421" t="s">
        <v>384</v>
      </c>
      <c r="G218" s="421" t="s">
        <v>1078</v>
      </c>
      <c r="H218" s="421" t="s">
        <v>1079</v>
      </c>
      <c r="I218" s="421" t="s">
        <v>1080</v>
      </c>
      <c r="J218" s="421" t="s">
        <v>1081</v>
      </c>
      <c r="K218" s="614" t="s">
        <v>168</v>
      </c>
      <c r="L218" s="697" t="str">
        <f>H218&amp;" "&amp;C218&amp;" "&amp;B218</f>
        <v>394-1234567 7749/169409 04.04.2013 14:26:36</v>
      </c>
      <c r="M218" s="614" t="s">
        <v>168</v>
      </c>
      <c r="N218" s="398"/>
    </row>
    <row r="219" spans="1:39" s="421" customFormat="1" x14ac:dyDescent="0.25">
      <c r="A219" s="425" t="s">
        <v>769</v>
      </c>
      <c r="B219" s="614" t="s">
        <v>937</v>
      </c>
      <c r="C219" s="614" t="s">
        <v>1051</v>
      </c>
      <c r="D219" s="614" t="s">
        <v>164</v>
      </c>
      <c r="E219" s="614" t="s">
        <v>927</v>
      </c>
      <c r="F219" s="614" t="s">
        <v>80</v>
      </c>
      <c r="G219" s="614" t="s">
        <v>50</v>
      </c>
      <c r="H219" s="614" t="s">
        <v>175</v>
      </c>
      <c r="I219" s="614" t="s">
        <v>164</v>
      </c>
      <c r="J219" s="614" t="s">
        <v>50</v>
      </c>
      <c r="K219" s="614" t="s">
        <v>1082</v>
      </c>
      <c r="L219" s="698" t="s">
        <v>1083</v>
      </c>
      <c r="M219" s="614" t="s">
        <v>1084</v>
      </c>
      <c r="N219" s="398"/>
    </row>
    <row r="220" spans="1:39" s="421" customFormat="1" x14ac:dyDescent="0.25">
      <c r="A220" s="425" t="s">
        <v>771</v>
      </c>
      <c r="B220" s="421" t="s">
        <v>168</v>
      </c>
      <c r="C220" s="421" t="s">
        <v>168</v>
      </c>
      <c r="D220" s="614" t="s">
        <v>880</v>
      </c>
      <c r="E220" s="614" t="s">
        <v>880</v>
      </c>
      <c r="F220" s="614" t="s">
        <v>880</v>
      </c>
      <c r="G220" s="614" t="s">
        <v>880</v>
      </c>
      <c r="H220" s="699" t="s">
        <v>1053</v>
      </c>
      <c r="I220" s="614" t="s">
        <v>1085</v>
      </c>
      <c r="J220" s="699" t="s">
        <v>1086</v>
      </c>
      <c r="K220" s="699" t="s">
        <v>1087</v>
      </c>
      <c r="L220" s="699" t="s">
        <v>1088</v>
      </c>
      <c r="M220" s="421" t="s">
        <v>168</v>
      </c>
      <c r="N220" s="398"/>
    </row>
    <row r="221" spans="1:39" s="421" customFormat="1" x14ac:dyDescent="0.25">
      <c r="A221" s="688" t="s">
        <v>772</v>
      </c>
      <c r="B221" s="421" t="s">
        <v>1089</v>
      </c>
      <c r="C221" s="871" t="s">
        <v>1090</v>
      </c>
      <c r="L221" s="700"/>
      <c r="N221" s="398"/>
    </row>
    <row r="222" spans="1:39" s="421" customFormat="1" x14ac:dyDescent="0.25">
      <c r="A222" s="425" t="s">
        <v>780</v>
      </c>
      <c r="D222" s="701" t="s">
        <v>882</v>
      </c>
      <c r="E222" s="421" t="s">
        <v>1091</v>
      </c>
      <c r="F222" s="421" t="s">
        <v>1092</v>
      </c>
      <c r="G222" s="421" t="s">
        <v>1093</v>
      </c>
      <c r="I222" s="702" t="s">
        <v>1094</v>
      </c>
      <c r="L222" s="703"/>
    </row>
    <row r="224" spans="1:39" x14ac:dyDescent="0.25">
      <c r="A224" s="676" t="s">
        <v>1095</v>
      </c>
      <c r="B224" s="421"/>
    </row>
    <row r="225" spans="1:18" s="423" customFormat="1" x14ac:dyDescent="0.25">
      <c r="A225" s="425" t="s">
        <v>739</v>
      </c>
      <c r="B225" s="704" t="s">
        <v>126</v>
      </c>
      <c r="C225" s="705" t="s">
        <v>1096</v>
      </c>
      <c r="D225" s="614"/>
      <c r="E225" s="614"/>
      <c r="F225" s="614"/>
      <c r="G225" s="398"/>
      <c r="H225" s="398"/>
      <c r="I225" s="398"/>
      <c r="J225" s="398"/>
      <c r="K225" s="398"/>
      <c r="L225" s="398"/>
      <c r="M225" s="398"/>
      <c r="N225" s="398"/>
    </row>
    <row r="226" spans="1:18" s="423" customFormat="1" x14ac:dyDescent="0.25">
      <c r="A226" s="430" t="s">
        <v>1213</v>
      </c>
      <c r="B226" s="706"/>
      <c r="C226" s="706"/>
      <c r="D226" s="614"/>
      <c r="E226" s="614"/>
      <c r="F226" s="614"/>
      <c r="G226" s="398"/>
      <c r="H226" s="398"/>
      <c r="I226" s="398"/>
      <c r="J226" s="398"/>
      <c r="K226" s="398"/>
      <c r="L226" s="398"/>
      <c r="M226" s="398"/>
      <c r="N226" s="398"/>
    </row>
    <row r="227" spans="1:18" s="423" customFormat="1" x14ac:dyDescent="0.25">
      <c r="A227" s="425" t="s">
        <v>769</v>
      </c>
      <c r="B227" s="436" t="s">
        <v>1097</v>
      </c>
      <c r="C227" s="436" t="s">
        <v>923</v>
      </c>
      <c r="D227" s="614"/>
      <c r="E227" s="614"/>
      <c r="F227" s="614"/>
      <c r="G227" s="398"/>
      <c r="H227" s="398"/>
      <c r="I227" s="398"/>
      <c r="J227" s="398"/>
      <c r="K227" s="398"/>
      <c r="L227" s="398"/>
      <c r="M227" s="398"/>
      <c r="N227" s="398"/>
    </row>
    <row r="228" spans="1:18" s="423" customFormat="1" x14ac:dyDescent="0.25">
      <c r="A228" s="425" t="s">
        <v>771</v>
      </c>
      <c r="B228" s="661">
        <v>4</v>
      </c>
      <c r="C228" s="661">
        <v>7</v>
      </c>
      <c r="D228" s="614"/>
      <c r="E228" s="614"/>
      <c r="F228" s="614"/>
      <c r="G228" s="398"/>
      <c r="H228" s="398"/>
      <c r="I228" s="398"/>
      <c r="J228" s="398"/>
      <c r="K228" s="398"/>
      <c r="L228" s="398"/>
      <c r="M228" s="398"/>
      <c r="N228" s="398"/>
    </row>
    <row r="229" spans="1:18" s="614" customFormat="1" x14ac:dyDescent="0.25">
      <c r="A229" s="688" t="s">
        <v>772</v>
      </c>
      <c r="B229" s="614" t="s">
        <v>1098</v>
      </c>
      <c r="C229" s="694" t="s">
        <v>1099</v>
      </c>
      <c r="G229" s="398"/>
      <c r="H229" s="398"/>
      <c r="I229" s="398"/>
      <c r="J229" s="398"/>
      <c r="K229" s="398"/>
      <c r="L229" s="398"/>
      <c r="M229" s="398"/>
      <c r="N229" s="398"/>
    </row>
    <row r="230" spans="1:18" s="421" customFormat="1" x14ac:dyDescent="0.25">
      <c r="A230" s="425" t="s">
        <v>780</v>
      </c>
      <c r="C230" s="614"/>
      <c r="D230" s="614"/>
      <c r="E230" s="614"/>
      <c r="F230" s="614"/>
      <c r="G230" s="398"/>
      <c r="H230" s="398"/>
      <c r="I230" s="398"/>
      <c r="J230" s="398"/>
      <c r="K230" s="398"/>
      <c r="L230" s="398"/>
      <c r="M230" s="398"/>
      <c r="N230" s="398"/>
    </row>
    <row r="232" spans="1:18" x14ac:dyDescent="0.25">
      <c r="A232" s="676" t="s">
        <v>1100</v>
      </c>
      <c r="B232" s="421"/>
    </row>
    <row r="233" spans="1:18" s="423" customFormat="1" x14ac:dyDescent="0.25">
      <c r="A233" s="425" t="s">
        <v>739</v>
      </c>
      <c r="B233" s="707" t="s">
        <v>126</v>
      </c>
      <c r="C233" s="707" t="s">
        <v>1101</v>
      </c>
      <c r="D233" s="707" t="s">
        <v>1102</v>
      </c>
      <c r="E233" s="707" t="s">
        <v>1103</v>
      </c>
      <c r="F233" s="707" t="s">
        <v>1104</v>
      </c>
      <c r="G233" s="707" t="s">
        <v>1105</v>
      </c>
      <c r="H233" s="707" t="s">
        <v>1106</v>
      </c>
      <c r="I233" s="707" t="s">
        <v>1107</v>
      </c>
      <c r="J233" s="707" t="s">
        <v>1108</v>
      </c>
      <c r="K233" s="707" t="s">
        <v>419</v>
      </c>
      <c r="L233" s="707" t="s">
        <v>1109</v>
      </c>
      <c r="M233" s="707" t="s">
        <v>1110</v>
      </c>
      <c r="N233" s="707" t="s">
        <v>1111</v>
      </c>
      <c r="O233" s="707" t="s">
        <v>1112</v>
      </c>
      <c r="P233" s="707" t="s">
        <v>1113</v>
      </c>
      <c r="Q233" s="707" t="s">
        <v>1114</v>
      </c>
      <c r="R233" s="707" t="s">
        <v>1115</v>
      </c>
    </row>
    <row r="234" spans="1:18" s="423" customFormat="1" x14ac:dyDescent="0.25">
      <c r="A234" s="430" t="s">
        <v>1213</v>
      </c>
      <c r="B234" s="687" t="s">
        <v>1116</v>
      </c>
      <c r="C234" s="687" t="s">
        <v>1117</v>
      </c>
      <c r="D234" s="687"/>
      <c r="E234" s="687"/>
      <c r="F234" s="687"/>
      <c r="G234" s="687"/>
      <c r="H234" s="687"/>
      <c r="I234" s="687"/>
      <c r="J234" s="687"/>
      <c r="K234" s="687"/>
      <c r="L234" s="687" t="s">
        <v>1117</v>
      </c>
      <c r="M234" s="687"/>
      <c r="N234" s="687"/>
      <c r="O234" s="687" t="s">
        <v>1117</v>
      </c>
      <c r="P234" s="687"/>
      <c r="Q234" s="687"/>
      <c r="R234" s="687"/>
    </row>
    <row r="235" spans="1:18" s="423" customFormat="1" x14ac:dyDescent="0.25">
      <c r="A235" s="425" t="s">
        <v>769</v>
      </c>
      <c r="B235" s="436" t="s">
        <v>1097</v>
      </c>
      <c r="C235" s="436" t="s">
        <v>1097</v>
      </c>
      <c r="D235" s="436" t="s">
        <v>1097</v>
      </c>
      <c r="E235" s="436" t="s">
        <v>923</v>
      </c>
      <c r="F235" s="436" t="s">
        <v>770</v>
      </c>
      <c r="G235" s="436" t="s">
        <v>1118</v>
      </c>
      <c r="H235" s="436" t="s">
        <v>1119</v>
      </c>
      <c r="I235" s="436" t="s">
        <v>923</v>
      </c>
      <c r="J235" s="436" t="s">
        <v>923</v>
      </c>
      <c r="K235" s="436" t="s">
        <v>1119</v>
      </c>
      <c r="L235" s="436">
        <v>1</v>
      </c>
      <c r="M235" s="436" t="s">
        <v>923</v>
      </c>
      <c r="N235" s="436" t="s">
        <v>925</v>
      </c>
      <c r="O235" s="436" t="s">
        <v>925</v>
      </c>
      <c r="P235" s="436" t="s">
        <v>925</v>
      </c>
      <c r="Q235" s="436" t="s">
        <v>925</v>
      </c>
      <c r="R235" s="436" t="s">
        <v>925</v>
      </c>
    </row>
    <row r="236" spans="1:18" s="423" customFormat="1" x14ac:dyDescent="0.25">
      <c r="A236" s="425" t="s">
        <v>771</v>
      </c>
      <c r="B236" s="661"/>
      <c r="C236" s="661"/>
      <c r="D236" s="614"/>
      <c r="E236" s="614"/>
      <c r="F236" s="614"/>
      <c r="G236" s="614"/>
      <c r="H236" s="614"/>
      <c r="I236" s="614"/>
      <c r="J236" s="614"/>
      <c r="K236" s="398"/>
      <c r="L236" s="614"/>
      <c r="M236" s="614"/>
      <c r="N236" s="614"/>
      <c r="O236" s="614"/>
      <c r="P236" s="614"/>
      <c r="Q236" s="614"/>
      <c r="R236" s="398"/>
    </row>
    <row r="237" spans="1:18" s="614" customFormat="1" x14ac:dyDescent="0.25">
      <c r="A237" s="688" t="s">
        <v>772</v>
      </c>
      <c r="F237" s="398"/>
      <c r="G237" s="398"/>
      <c r="H237" s="398"/>
      <c r="I237" s="398"/>
      <c r="J237" s="398"/>
      <c r="K237" s="398"/>
      <c r="L237" s="398"/>
      <c r="M237" s="398"/>
    </row>
    <row r="238" spans="1:18" s="421" customFormat="1" x14ac:dyDescent="0.25">
      <c r="A238" s="425" t="s">
        <v>780</v>
      </c>
      <c r="C238" s="614"/>
      <c r="D238" s="614"/>
      <c r="E238" s="614"/>
      <c r="F238" s="398"/>
      <c r="G238" s="398"/>
      <c r="H238" s="398"/>
      <c r="I238" s="398"/>
      <c r="J238" s="398"/>
      <c r="K238" s="398"/>
      <c r="L238" s="398"/>
      <c r="M238" s="398"/>
    </row>
    <row r="239" spans="1:18" s="709" customFormat="1" x14ac:dyDescent="0.25">
      <c r="A239" s="708"/>
      <c r="C239" s="656"/>
      <c r="D239" s="656"/>
      <c r="E239" s="656"/>
      <c r="F239" s="671"/>
      <c r="G239" s="671"/>
      <c r="H239" s="671"/>
      <c r="I239" s="671"/>
      <c r="J239" s="671"/>
      <c r="K239" s="671"/>
      <c r="L239" s="671"/>
      <c r="M239" s="671"/>
    </row>
    <row r="240" spans="1:18" x14ac:dyDescent="0.25">
      <c r="A240" s="676" t="s">
        <v>1120</v>
      </c>
      <c r="B240" s="421"/>
    </row>
    <row r="241" spans="1:48" s="423" customFormat="1" x14ac:dyDescent="0.25">
      <c r="A241" s="425" t="s">
        <v>739</v>
      </c>
      <c r="B241" s="707" t="s">
        <v>126</v>
      </c>
      <c r="C241" s="707" t="s">
        <v>1101</v>
      </c>
      <c r="D241" s="707" t="s">
        <v>1102</v>
      </c>
      <c r="E241" s="707" t="s">
        <v>1103</v>
      </c>
      <c r="F241" s="707" t="s">
        <v>1104</v>
      </c>
      <c r="G241" s="707" t="s">
        <v>1105</v>
      </c>
      <c r="H241" s="707" t="s">
        <v>1106</v>
      </c>
      <c r="I241" s="707" t="s">
        <v>1107</v>
      </c>
      <c r="J241" s="707" t="s">
        <v>1108</v>
      </c>
      <c r="K241" s="707" t="s">
        <v>419</v>
      </c>
      <c r="L241" s="707" t="s">
        <v>1109</v>
      </c>
      <c r="M241" s="707" t="s">
        <v>1110</v>
      </c>
      <c r="N241" s="707" t="s">
        <v>1111</v>
      </c>
      <c r="O241" s="707" t="s">
        <v>1112</v>
      </c>
      <c r="P241" s="707" t="s">
        <v>1113</v>
      </c>
      <c r="Q241" s="707" t="s">
        <v>1114</v>
      </c>
      <c r="R241" s="707" t="s">
        <v>1115</v>
      </c>
    </row>
    <row r="242" spans="1:48" s="423" customFormat="1" x14ac:dyDescent="0.25">
      <c r="A242" s="430" t="s">
        <v>1213</v>
      </c>
      <c r="B242" s="687" t="s">
        <v>1116</v>
      </c>
      <c r="C242" s="687" t="s">
        <v>1117</v>
      </c>
      <c r="D242" s="687"/>
      <c r="E242" s="687"/>
      <c r="F242" s="687"/>
      <c r="G242" s="687"/>
      <c r="H242" s="687"/>
      <c r="I242" s="687"/>
      <c r="J242" s="687"/>
      <c r="K242" s="687"/>
      <c r="L242" s="687" t="s">
        <v>1117</v>
      </c>
      <c r="M242" s="687"/>
      <c r="N242" s="687"/>
      <c r="O242" s="687" t="s">
        <v>1117</v>
      </c>
      <c r="P242" s="687"/>
      <c r="Q242" s="687"/>
      <c r="R242" s="687"/>
    </row>
    <row r="243" spans="1:48" s="423" customFormat="1" x14ac:dyDescent="0.25">
      <c r="A243" s="425" t="s">
        <v>769</v>
      </c>
      <c r="B243" s="436" t="s">
        <v>1097</v>
      </c>
      <c r="C243" s="436" t="s">
        <v>1097</v>
      </c>
      <c r="D243" s="436" t="s">
        <v>1097</v>
      </c>
      <c r="E243" s="436" t="s">
        <v>923</v>
      </c>
      <c r="F243" s="436" t="s">
        <v>770</v>
      </c>
      <c r="G243" s="436" t="s">
        <v>1118</v>
      </c>
      <c r="H243" s="436" t="s">
        <v>1119</v>
      </c>
      <c r="I243" s="436" t="s">
        <v>923</v>
      </c>
      <c r="J243" s="436" t="s">
        <v>923</v>
      </c>
      <c r="K243" s="436" t="s">
        <v>1119</v>
      </c>
      <c r="L243" s="436">
        <v>1</v>
      </c>
      <c r="M243" s="436" t="s">
        <v>923</v>
      </c>
      <c r="N243" s="436" t="s">
        <v>925</v>
      </c>
      <c r="O243" s="436" t="s">
        <v>925</v>
      </c>
      <c r="P243" s="436" t="s">
        <v>925</v>
      </c>
      <c r="Q243" s="436" t="s">
        <v>925</v>
      </c>
      <c r="R243" s="436" t="s">
        <v>925</v>
      </c>
    </row>
    <row r="244" spans="1:48" s="423" customFormat="1" x14ac:dyDescent="0.25">
      <c r="A244" s="425" t="s">
        <v>771</v>
      </c>
      <c r="B244" s="661"/>
      <c r="C244" s="661"/>
      <c r="D244" s="614"/>
      <c r="E244" s="614"/>
      <c r="F244" s="614"/>
      <c r="G244" s="614"/>
      <c r="H244" s="614"/>
      <c r="I244" s="614"/>
      <c r="J244" s="614"/>
      <c r="K244" s="398"/>
      <c r="L244" s="614"/>
      <c r="M244" s="614"/>
      <c r="N244" s="614"/>
      <c r="O244" s="614"/>
      <c r="P244" s="614"/>
      <c r="Q244" s="614"/>
      <c r="R244" s="398"/>
    </row>
    <row r="245" spans="1:48" s="614" customFormat="1" x14ac:dyDescent="0.25">
      <c r="A245" s="688" t="s">
        <v>772</v>
      </c>
      <c r="F245" s="398"/>
      <c r="G245" s="398"/>
      <c r="H245" s="398"/>
      <c r="I245" s="398"/>
      <c r="J245" s="398"/>
      <c r="K245" s="398"/>
      <c r="L245" s="398"/>
      <c r="M245" s="398"/>
    </row>
    <row r="246" spans="1:48" s="421" customFormat="1" x14ac:dyDescent="0.25">
      <c r="A246" s="425" t="s">
        <v>780</v>
      </c>
      <c r="C246" s="614"/>
      <c r="D246" s="614"/>
      <c r="E246" s="614"/>
      <c r="F246" s="398"/>
      <c r="G246" s="398"/>
      <c r="H246" s="398"/>
      <c r="I246" s="398"/>
      <c r="J246" s="398"/>
      <c r="K246" s="398"/>
      <c r="L246" s="398"/>
      <c r="M246" s="398"/>
    </row>
    <row r="247" spans="1:48" s="709" customFormat="1" x14ac:dyDescent="0.25">
      <c r="A247" s="708"/>
      <c r="C247" s="656"/>
      <c r="D247" s="656"/>
      <c r="E247" s="656"/>
      <c r="F247" s="671"/>
      <c r="G247" s="671"/>
      <c r="H247" s="671"/>
      <c r="I247" s="671"/>
      <c r="J247" s="671"/>
      <c r="K247" s="671"/>
      <c r="L247" s="671"/>
      <c r="M247" s="671"/>
    </row>
    <row r="248" spans="1:48" ht="15.75" thickBot="1" x14ac:dyDescent="0.3">
      <c r="A248" s="676" t="s">
        <v>1121</v>
      </c>
      <c r="G248" s="621"/>
    </row>
    <row r="249" spans="1:48" ht="71.25" thickBot="1" x14ac:dyDescent="0.3">
      <c r="A249" s="710" t="s">
        <v>1122</v>
      </c>
      <c r="B249" s="711" t="s">
        <v>1123</v>
      </c>
      <c r="C249" s="712">
        <v>40057</v>
      </c>
      <c r="D249" s="712">
        <v>40087</v>
      </c>
      <c r="E249" s="712">
        <v>40118</v>
      </c>
      <c r="F249" s="712">
        <v>40148</v>
      </c>
      <c r="G249" s="713" t="s">
        <v>1124</v>
      </c>
      <c r="H249" s="712">
        <v>40179</v>
      </c>
      <c r="I249" s="712">
        <v>40210</v>
      </c>
      <c r="J249" s="712">
        <v>40238</v>
      </c>
      <c r="K249" s="712">
        <v>40269</v>
      </c>
      <c r="L249" s="712">
        <v>40299</v>
      </c>
      <c r="M249" s="712">
        <v>40330</v>
      </c>
      <c r="N249" s="712">
        <v>40360</v>
      </c>
      <c r="O249" s="712">
        <v>40391</v>
      </c>
      <c r="P249" s="712">
        <v>40422</v>
      </c>
      <c r="Q249" s="712">
        <v>40452</v>
      </c>
      <c r="R249" s="712">
        <v>40483</v>
      </c>
      <c r="S249" s="712">
        <v>40513</v>
      </c>
      <c r="T249" s="713" t="s">
        <v>1125</v>
      </c>
      <c r="U249" s="712">
        <v>40544</v>
      </c>
      <c r="V249" s="712">
        <v>40575</v>
      </c>
      <c r="W249" s="712">
        <v>40603</v>
      </c>
      <c r="X249" s="712">
        <v>40634</v>
      </c>
      <c r="Y249" s="712">
        <v>40664</v>
      </c>
      <c r="Z249" s="712">
        <v>40695</v>
      </c>
      <c r="AA249" s="712">
        <v>40725</v>
      </c>
      <c r="AB249" s="712">
        <v>40756</v>
      </c>
      <c r="AC249" s="712">
        <v>40787</v>
      </c>
      <c r="AD249" s="712">
        <v>40817</v>
      </c>
      <c r="AE249" s="712"/>
      <c r="AF249" s="712">
        <v>40848</v>
      </c>
      <c r="AG249" s="712">
        <v>40878</v>
      </c>
      <c r="AH249" s="713" t="s">
        <v>1126</v>
      </c>
      <c r="AI249" s="712">
        <v>40909</v>
      </c>
      <c r="AJ249" s="712">
        <v>40940</v>
      </c>
      <c r="AK249" s="712">
        <v>40969</v>
      </c>
      <c r="AL249" s="712">
        <v>41000</v>
      </c>
      <c r="AM249" s="712">
        <v>41030</v>
      </c>
      <c r="AN249" s="712">
        <v>41061</v>
      </c>
      <c r="AO249" s="712">
        <v>41091</v>
      </c>
      <c r="AP249" s="712">
        <v>41122</v>
      </c>
      <c r="AQ249" s="712">
        <v>41153</v>
      </c>
      <c r="AR249" s="712">
        <v>41183</v>
      </c>
      <c r="AS249" s="712">
        <v>41214</v>
      </c>
      <c r="AT249" s="712">
        <v>41244</v>
      </c>
      <c r="AU249" s="713" t="s">
        <v>1127</v>
      </c>
      <c r="AV249" s="714" t="s">
        <v>1128</v>
      </c>
    </row>
    <row r="250" spans="1:48" x14ac:dyDescent="0.25">
      <c r="A250" s="715" t="s">
        <v>624</v>
      </c>
      <c r="B250" s="716" t="s">
        <v>623</v>
      </c>
      <c r="C250" s="717"/>
      <c r="D250" s="717"/>
      <c r="E250" s="717"/>
      <c r="F250" s="718"/>
      <c r="G250" s="719">
        <f t="shared" ref="G250:G282" si="0">SUM(C250:F250)</f>
        <v>0</v>
      </c>
      <c r="H250" s="717"/>
      <c r="I250" s="717"/>
      <c r="J250" s="717"/>
      <c r="K250" s="717"/>
      <c r="L250" s="717"/>
      <c r="M250" s="717"/>
      <c r="N250" s="717"/>
      <c r="O250" s="717"/>
      <c r="P250" s="717"/>
      <c r="Q250" s="717"/>
      <c r="R250" s="717"/>
      <c r="S250" s="717"/>
      <c r="T250" s="719">
        <f t="shared" ref="T250:T282" si="1">SUM(H250:S250)</f>
        <v>0</v>
      </c>
      <c r="U250" s="717"/>
      <c r="V250" s="717"/>
      <c r="W250" s="717"/>
      <c r="X250" s="717"/>
      <c r="Y250" s="717"/>
      <c r="Z250" s="717"/>
      <c r="AA250" s="717"/>
      <c r="AB250" s="717"/>
      <c r="AC250" s="717"/>
      <c r="AD250" s="717"/>
      <c r="AE250" s="717"/>
      <c r="AF250" s="717"/>
      <c r="AG250" s="717"/>
      <c r="AH250" s="719">
        <f t="shared" ref="AH250:AH282" si="2">SUM(U250:AG250)</f>
        <v>0</v>
      </c>
      <c r="AI250" s="717"/>
      <c r="AJ250" s="717"/>
      <c r="AK250" s="717"/>
      <c r="AL250" s="717"/>
      <c r="AM250" s="717"/>
      <c r="AN250" s="717"/>
      <c r="AO250" s="717"/>
      <c r="AP250" s="717"/>
      <c r="AQ250" s="717"/>
      <c r="AR250" s="717"/>
      <c r="AS250" s="717"/>
      <c r="AT250" s="717"/>
      <c r="AU250" s="719">
        <f t="shared" ref="AU250:AU282" si="3">SUM(AI250:AT250)</f>
        <v>0</v>
      </c>
      <c r="AV250" s="720">
        <f t="shared" ref="AV250:AV282" si="4">G250+T250+AH250+AU250</f>
        <v>0</v>
      </c>
    </row>
    <row r="251" spans="1:48" x14ac:dyDescent="0.25">
      <c r="A251" s="715" t="s">
        <v>624</v>
      </c>
      <c r="B251" s="716" t="s">
        <v>627</v>
      </c>
      <c r="C251" s="721"/>
      <c r="D251" s="721"/>
      <c r="E251" s="721"/>
      <c r="F251" s="722"/>
      <c r="G251" s="723">
        <f t="shared" si="0"/>
        <v>0</v>
      </c>
      <c r="H251" s="721"/>
      <c r="I251" s="721"/>
      <c r="J251" s="721"/>
      <c r="K251" s="721"/>
      <c r="L251" s="721"/>
      <c r="M251" s="721"/>
      <c r="N251" s="721"/>
      <c r="O251" s="721"/>
      <c r="P251" s="721"/>
      <c r="Q251" s="721"/>
      <c r="R251" s="721"/>
      <c r="S251" s="721"/>
      <c r="T251" s="723">
        <f t="shared" si="1"/>
        <v>0</v>
      </c>
      <c r="U251" s="721"/>
      <c r="V251" s="721"/>
      <c r="W251" s="721"/>
      <c r="X251" s="721"/>
      <c r="Y251" s="721"/>
      <c r="Z251" s="721"/>
      <c r="AA251" s="721"/>
      <c r="AB251" s="721"/>
      <c r="AC251" s="721"/>
      <c r="AD251" s="721"/>
      <c r="AE251" s="721"/>
      <c r="AF251" s="721"/>
      <c r="AG251" s="721"/>
      <c r="AH251" s="723">
        <f t="shared" si="2"/>
        <v>0</v>
      </c>
      <c r="AI251" s="721"/>
      <c r="AJ251" s="721"/>
      <c r="AK251" s="721"/>
      <c r="AL251" s="721"/>
      <c r="AM251" s="721"/>
      <c r="AN251" s="721"/>
      <c r="AO251" s="721"/>
      <c r="AP251" s="721"/>
      <c r="AQ251" s="721"/>
      <c r="AR251" s="721"/>
      <c r="AS251" s="721"/>
      <c r="AT251" s="721"/>
      <c r="AU251" s="723">
        <f t="shared" si="3"/>
        <v>0</v>
      </c>
      <c r="AV251" s="720">
        <f t="shared" si="4"/>
        <v>0</v>
      </c>
    </row>
    <row r="252" spans="1:48" x14ac:dyDescent="0.25">
      <c r="A252" s="715" t="s">
        <v>624</v>
      </c>
      <c r="B252" s="716" t="s">
        <v>630</v>
      </c>
      <c r="C252" s="721"/>
      <c r="D252" s="721"/>
      <c r="E252" s="721"/>
      <c r="F252" s="722"/>
      <c r="G252" s="723">
        <f t="shared" si="0"/>
        <v>0</v>
      </c>
      <c r="H252" s="721"/>
      <c r="I252" s="721"/>
      <c r="J252" s="721"/>
      <c r="K252" s="721"/>
      <c r="L252" s="721"/>
      <c r="M252" s="721"/>
      <c r="N252" s="721"/>
      <c r="O252" s="721"/>
      <c r="P252" s="721"/>
      <c r="Q252" s="721"/>
      <c r="R252" s="721"/>
      <c r="S252" s="721"/>
      <c r="T252" s="723">
        <f t="shared" si="1"/>
        <v>0</v>
      </c>
      <c r="U252" s="721"/>
      <c r="V252" s="721"/>
      <c r="W252" s="721"/>
      <c r="X252" s="721"/>
      <c r="Y252" s="721"/>
      <c r="Z252" s="721"/>
      <c r="AA252" s="721"/>
      <c r="AB252" s="721"/>
      <c r="AC252" s="721"/>
      <c r="AD252" s="721"/>
      <c r="AE252" s="721"/>
      <c r="AF252" s="721"/>
      <c r="AG252" s="721"/>
      <c r="AH252" s="723">
        <f t="shared" si="2"/>
        <v>0</v>
      </c>
      <c r="AI252" s="721"/>
      <c r="AJ252" s="721"/>
      <c r="AK252" s="721"/>
      <c r="AL252" s="721"/>
      <c r="AM252" s="721"/>
      <c r="AN252" s="721"/>
      <c r="AO252" s="721"/>
      <c r="AP252" s="721"/>
      <c r="AQ252" s="721"/>
      <c r="AR252" s="721"/>
      <c r="AS252" s="721"/>
      <c r="AT252" s="721"/>
      <c r="AU252" s="723">
        <f t="shared" si="3"/>
        <v>0</v>
      </c>
      <c r="AV252" s="720">
        <f t="shared" si="4"/>
        <v>0</v>
      </c>
    </row>
    <row r="253" spans="1:48" x14ac:dyDescent="0.25">
      <c r="A253" s="724" t="s">
        <v>624</v>
      </c>
      <c r="B253" s="716" t="s">
        <v>632</v>
      </c>
      <c r="C253" s="721"/>
      <c r="D253" s="721"/>
      <c r="E253" s="721"/>
      <c r="F253" s="722"/>
      <c r="G253" s="723">
        <f t="shared" si="0"/>
        <v>0</v>
      </c>
      <c r="H253" s="721"/>
      <c r="I253" s="721"/>
      <c r="J253" s="721"/>
      <c r="K253" s="721"/>
      <c r="L253" s="721"/>
      <c r="M253" s="721"/>
      <c r="N253" s="721"/>
      <c r="O253" s="721"/>
      <c r="P253" s="721"/>
      <c r="Q253" s="721"/>
      <c r="R253" s="721"/>
      <c r="S253" s="721"/>
      <c r="T253" s="723">
        <f t="shared" si="1"/>
        <v>0</v>
      </c>
      <c r="U253" s="721"/>
      <c r="V253" s="721"/>
      <c r="W253" s="721"/>
      <c r="X253" s="721"/>
      <c r="Y253" s="721"/>
      <c r="Z253" s="721"/>
      <c r="AA253" s="721"/>
      <c r="AB253" s="721"/>
      <c r="AC253" s="721"/>
      <c r="AD253" s="721"/>
      <c r="AE253" s="721"/>
      <c r="AF253" s="721"/>
      <c r="AG253" s="721"/>
      <c r="AH253" s="723">
        <f t="shared" si="2"/>
        <v>0</v>
      </c>
      <c r="AI253" s="721"/>
      <c r="AJ253" s="721"/>
      <c r="AK253" s="721"/>
      <c r="AL253" s="721"/>
      <c r="AM253" s="721"/>
      <c r="AN253" s="721"/>
      <c r="AO253" s="721"/>
      <c r="AP253" s="721"/>
      <c r="AQ253" s="721"/>
      <c r="AR253" s="721"/>
      <c r="AS253" s="721"/>
      <c r="AT253" s="721"/>
      <c r="AU253" s="723">
        <f t="shared" si="3"/>
        <v>0</v>
      </c>
      <c r="AV253" s="720">
        <f t="shared" si="4"/>
        <v>0</v>
      </c>
    </row>
    <row r="254" spans="1:48" x14ac:dyDescent="0.25">
      <c r="A254" s="715" t="s">
        <v>624</v>
      </c>
      <c r="B254" s="716" t="s">
        <v>634</v>
      </c>
      <c r="C254" s="721"/>
      <c r="D254" s="721"/>
      <c r="E254" s="721"/>
      <c r="F254" s="722"/>
      <c r="G254" s="723">
        <f t="shared" si="0"/>
        <v>0</v>
      </c>
      <c r="H254" s="721"/>
      <c r="I254" s="721"/>
      <c r="J254" s="721"/>
      <c r="K254" s="721"/>
      <c r="L254" s="721"/>
      <c r="M254" s="721"/>
      <c r="N254" s="721"/>
      <c r="O254" s="721"/>
      <c r="P254" s="721"/>
      <c r="Q254" s="721"/>
      <c r="R254" s="721"/>
      <c r="S254" s="721"/>
      <c r="T254" s="723">
        <f t="shared" si="1"/>
        <v>0</v>
      </c>
      <c r="U254" s="721"/>
      <c r="V254" s="721"/>
      <c r="W254" s="721"/>
      <c r="X254" s="721"/>
      <c r="Y254" s="721"/>
      <c r="Z254" s="721"/>
      <c r="AA254" s="721"/>
      <c r="AB254" s="721"/>
      <c r="AC254" s="721"/>
      <c r="AD254" s="721"/>
      <c r="AE254" s="721"/>
      <c r="AF254" s="721"/>
      <c r="AG254" s="721"/>
      <c r="AH254" s="723">
        <f t="shared" si="2"/>
        <v>0</v>
      </c>
      <c r="AI254" s="721"/>
      <c r="AJ254" s="721"/>
      <c r="AK254" s="721"/>
      <c r="AL254" s="721"/>
      <c r="AM254" s="721"/>
      <c r="AN254" s="721"/>
      <c r="AO254" s="721"/>
      <c r="AP254" s="721"/>
      <c r="AQ254" s="721"/>
      <c r="AR254" s="721"/>
      <c r="AS254" s="721"/>
      <c r="AT254" s="721"/>
      <c r="AU254" s="723">
        <f t="shared" si="3"/>
        <v>0</v>
      </c>
      <c r="AV254" s="720">
        <f t="shared" si="4"/>
        <v>0</v>
      </c>
    </row>
    <row r="255" spans="1:48" x14ac:dyDescent="0.25">
      <c r="A255" s="715" t="s">
        <v>624</v>
      </c>
      <c r="B255" s="716" t="s">
        <v>637</v>
      </c>
      <c r="C255" s="721"/>
      <c r="D255" s="721"/>
      <c r="E255" s="721"/>
      <c r="F255" s="722"/>
      <c r="G255" s="723">
        <f t="shared" si="0"/>
        <v>0</v>
      </c>
      <c r="H255" s="721"/>
      <c r="I255" s="721"/>
      <c r="J255" s="721"/>
      <c r="K255" s="721"/>
      <c r="L255" s="721"/>
      <c r="M255" s="721"/>
      <c r="N255" s="721"/>
      <c r="O255" s="721"/>
      <c r="P255" s="721"/>
      <c r="Q255" s="721"/>
      <c r="R255" s="721"/>
      <c r="S255" s="721"/>
      <c r="T255" s="723">
        <f t="shared" si="1"/>
        <v>0</v>
      </c>
      <c r="U255" s="721"/>
      <c r="V255" s="721"/>
      <c r="W255" s="721"/>
      <c r="X255" s="721"/>
      <c r="Y255" s="721"/>
      <c r="Z255" s="721"/>
      <c r="AA255" s="721"/>
      <c r="AB255" s="721"/>
      <c r="AC255" s="721"/>
      <c r="AD255" s="721"/>
      <c r="AE255" s="721"/>
      <c r="AF255" s="721"/>
      <c r="AG255" s="721"/>
      <c r="AH255" s="723">
        <f t="shared" si="2"/>
        <v>0</v>
      </c>
      <c r="AI255" s="721"/>
      <c r="AJ255" s="721"/>
      <c r="AK255" s="721"/>
      <c r="AL255" s="721"/>
      <c r="AM255" s="721"/>
      <c r="AN255" s="721"/>
      <c r="AO255" s="721"/>
      <c r="AP255" s="721"/>
      <c r="AQ255" s="721"/>
      <c r="AR255" s="721"/>
      <c r="AS255" s="721"/>
      <c r="AT255" s="721"/>
      <c r="AU255" s="723">
        <f t="shared" si="3"/>
        <v>0</v>
      </c>
      <c r="AV255" s="720">
        <f t="shared" si="4"/>
        <v>0</v>
      </c>
    </row>
    <row r="256" spans="1:48" x14ac:dyDescent="0.25">
      <c r="A256" s="715" t="s">
        <v>624</v>
      </c>
      <c r="B256" s="716" t="s">
        <v>640</v>
      </c>
      <c r="C256" s="721"/>
      <c r="D256" s="721"/>
      <c r="E256" s="721"/>
      <c r="F256" s="722"/>
      <c r="G256" s="723">
        <f t="shared" si="0"/>
        <v>0</v>
      </c>
      <c r="H256" s="721"/>
      <c r="I256" s="721"/>
      <c r="J256" s="721"/>
      <c r="K256" s="721"/>
      <c r="L256" s="721"/>
      <c r="M256" s="721"/>
      <c r="N256" s="721"/>
      <c r="O256" s="721"/>
      <c r="P256" s="721"/>
      <c r="Q256" s="721"/>
      <c r="R256" s="721"/>
      <c r="S256" s="721"/>
      <c r="T256" s="723">
        <f t="shared" si="1"/>
        <v>0</v>
      </c>
      <c r="U256" s="721"/>
      <c r="V256" s="721"/>
      <c r="W256" s="721"/>
      <c r="X256" s="721"/>
      <c r="Y256" s="721"/>
      <c r="Z256" s="721"/>
      <c r="AA256" s="721"/>
      <c r="AB256" s="721"/>
      <c r="AC256" s="721"/>
      <c r="AD256" s="721"/>
      <c r="AE256" s="721"/>
      <c r="AF256" s="721"/>
      <c r="AG256" s="721"/>
      <c r="AH256" s="723">
        <f t="shared" si="2"/>
        <v>0</v>
      </c>
      <c r="AI256" s="721"/>
      <c r="AJ256" s="721"/>
      <c r="AK256" s="721"/>
      <c r="AL256" s="721"/>
      <c r="AM256" s="721"/>
      <c r="AN256" s="721"/>
      <c r="AO256" s="721"/>
      <c r="AP256" s="721"/>
      <c r="AQ256" s="721"/>
      <c r="AR256" s="721"/>
      <c r="AS256" s="721"/>
      <c r="AT256" s="721"/>
      <c r="AU256" s="723">
        <f t="shared" si="3"/>
        <v>0</v>
      </c>
      <c r="AV256" s="720">
        <f t="shared" si="4"/>
        <v>0</v>
      </c>
    </row>
    <row r="257" spans="1:48" x14ac:dyDescent="0.25">
      <c r="A257" s="715" t="s">
        <v>624</v>
      </c>
      <c r="B257" s="716" t="s">
        <v>635</v>
      </c>
      <c r="C257" s="721"/>
      <c r="D257" s="721"/>
      <c r="E257" s="721"/>
      <c r="F257" s="722"/>
      <c r="G257" s="723">
        <f t="shared" si="0"/>
        <v>0</v>
      </c>
      <c r="H257" s="721"/>
      <c r="I257" s="721"/>
      <c r="J257" s="721"/>
      <c r="K257" s="721"/>
      <c r="L257" s="721"/>
      <c r="M257" s="721"/>
      <c r="N257" s="721"/>
      <c r="O257" s="721"/>
      <c r="P257" s="721"/>
      <c r="Q257" s="721"/>
      <c r="R257" s="721"/>
      <c r="S257" s="721"/>
      <c r="T257" s="723">
        <f t="shared" si="1"/>
        <v>0</v>
      </c>
      <c r="U257" s="721"/>
      <c r="V257" s="721"/>
      <c r="W257" s="721"/>
      <c r="X257" s="721"/>
      <c r="Y257" s="721"/>
      <c r="Z257" s="721"/>
      <c r="AA257" s="721"/>
      <c r="AB257" s="721"/>
      <c r="AC257" s="721"/>
      <c r="AD257" s="721"/>
      <c r="AE257" s="721"/>
      <c r="AF257" s="721"/>
      <c r="AG257" s="721"/>
      <c r="AH257" s="723">
        <f t="shared" si="2"/>
        <v>0</v>
      </c>
      <c r="AI257" s="721"/>
      <c r="AJ257" s="721"/>
      <c r="AK257" s="721"/>
      <c r="AL257" s="721"/>
      <c r="AM257" s="721"/>
      <c r="AN257" s="721"/>
      <c r="AO257" s="721"/>
      <c r="AP257" s="721"/>
      <c r="AQ257" s="721"/>
      <c r="AR257" s="721"/>
      <c r="AS257" s="721"/>
      <c r="AT257" s="721"/>
      <c r="AU257" s="723">
        <f t="shared" si="3"/>
        <v>0</v>
      </c>
      <c r="AV257" s="720">
        <f t="shared" si="4"/>
        <v>0</v>
      </c>
    </row>
    <row r="258" spans="1:48" x14ac:dyDescent="0.25">
      <c r="A258" s="715" t="s">
        <v>624</v>
      </c>
      <c r="B258" s="716" t="s">
        <v>645</v>
      </c>
      <c r="C258" s="721"/>
      <c r="D258" s="721"/>
      <c r="E258" s="721"/>
      <c r="F258" s="722"/>
      <c r="G258" s="723">
        <f t="shared" si="0"/>
        <v>0</v>
      </c>
      <c r="H258" s="721"/>
      <c r="I258" s="721"/>
      <c r="J258" s="721"/>
      <c r="K258" s="721"/>
      <c r="L258" s="721"/>
      <c r="M258" s="721"/>
      <c r="N258" s="721"/>
      <c r="O258" s="721"/>
      <c r="P258" s="721"/>
      <c r="Q258" s="721"/>
      <c r="R258" s="721"/>
      <c r="S258" s="721"/>
      <c r="T258" s="723">
        <f t="shared" si="1"/>
        <v>0</v>
      </c>
      <c r="U258" s="721"/>
      <c r="V258" s="721"/>
      <c r="W258" s="721"/>
      <c r="X258" s="721"/>
      <c r="Y258" s="721"/>
      <c r="Z258" s="721"/>
      <c r="AA258" s="721"/>
      <c r="AB258" s="721"/>
      <c r="AC258" s="721"/>
      <c r="AD258" s="721"/>
      <c r="AE258" s="721"/>
      <c r="AF258" s="721"/>
      <c r="AG258" s="721"/>
      <c r="AH258" s="723">
        <f t="shared" si="2"/>
        <v>0</v>
      </c>
      <c r="AI258" s="721"/>
      <c r="AJ258" s="721"/>
      <c r="AK258" s="721"/>
      <c r="AL258" s="721"/>
      <c r="AM258" s="721"/>
      <c r="AN258" s="721"/>
      <c r="AO258" s="721"/>
      <c r="AP258" s="721"/>
      <c r="AQ258" s="721"/>
      <c r="AR258" s="721"/>
      <c r="AS258" s="721"/>
      <c r="AT258" s="721"/>
      <c r="AU258" s="723">
        <f t="shared" si="3"/>
        <v>0</v>
      </c>
      <c r="AV258" s="720">
        <f t="shared" si="4"/>
        <v>0</v>
      </c>
    </row>
    <row r="259" spans="1:48" x14ac:dyDescent="0.25">
      <c r="A259" s="715" t="s">
        <v>624</v>
      </c>
      <c r="B259" s="716" t="s">
        <v>647</v>
      </c>
      <c r="C259" s="721"/>
      <c r="D259" s="721"/>
      <c r="E259" s="721"/>
      <c r="F259" s="722"/>
      <c r="G259" s="723">
        <f t="shared" si="0"/>
        <v>0</v>
      </c>
      <c r="H259" s="721"/>
      <c r="I259" s="721"/>
      <c r="J259" s="721"/>
      <c r="K259" s="721"/>
      <c r="L259" s="721"/>
      <c r="M259" s="721"/>
      <c r="N259" s="721"/>
      <c r="O259" s="721"/>
      <c r="P259" s="721"/>
      <c r="Q259" s="721"/>
      <c r="R259" s="721"/>
      <c r="S259" s="721"/>
      <c r="T259" s="723">
        <f t="shared" si="1"/>
        <v>0</v>
      </c>
      <c r="U259" s="721"/>
      <c r="V259" s="721"/>
      <c r="W259" s="721"/>
      <c r="X259" s="721"/>
      <c r="Y259" s="721"/>
      <c r="Z259" s="721"/>
      <c r="AA259" s="721"/>
      <c r="AB259" s="721"/>
      <c r="AC259" s="721"/>
      <c r="AD259" s="721"/>
      <c r="AE259" s="721"/>
      <c r="AF259" s="721"/>
      <c r="AG259" s="721"/>
      <c r="AH259" s="723">
        <f t="shared" si="2"/>
        <v>0</v>
      </c>
      <c r="AI259" s="721"/>
      <c r="AJ259" s="721"/>
      <c r="AK259" s="721"/>
      <c r="AL259" s="721"/>
      <c r="AM259" s="721"/>
      <c r="AN259" s="721"/>
      <c r="AO259" s="721"/>
      <c r="AP259" s="721"/>
      <c r="AQ259" s="721"/>
      <c r="AR259" s="721"/>
      <c r="AS259" s="721"/>
      <c r="AT259" s="721"/>
      <c r="AU259" s="723">
        <f t="shared" si="3"/>
        <v>0</v>
      </c>
      <c r="AV259" s="720">
        <f t="shared" si="4"/>
        <v>0</v>
      </c>
    </row>
    <row r="260" spans="1:48" x14ac:dyDescent="0.25">
      <c r="A260" s="715" t="s">
        <v>624</v>
      </c>
      <c r="B260" s="716" t="s">
        <v>649</v>
      </c>
      <c r="C260" s="721"/>
      <c r="D260" s="721"/>
      <c r="E260" s="721"/>
      <c r="F260" s="722"/>
      <c r="G260" s="723">
        <f t="shared" si="0"/>
        <v>0</v>
      </c>
      <c r="H260" s="721"/>
      <c r="I260" s="721"/>
      <c r="J260" s="721"/>
      <c r="K260" s="721"/>
      <c r="L260" s="721"/>
      <c r="M260" s="721"/>
      <c r="N260" s="721"/>
      <c r="O260" s="721"/>
      <c r="P260" s="721"/>
      <c r="Q260" s="721"/>
      <c r="R260" s="721"/>
      <c r="S260" s="721"/>
      <c r="T260" s="723">
        <f t="shared" si="1"/>
        <v>0</v>
      </c>
      <c r="U260" s="721"/>
      <c r="V260" s="721"/>
      <c r="W260" s="721"/>
      <c r="X260" s="721"/>
      <c r="Y260" s="721"/>
      <c r="Z260" s="721"/>
      <c r="AA260" s="721"/>
      <c r="AB260" s="721"/>
      <c r="AC260" s="721"/>
      <c r="AD260" s="721"/>
      <c r="AE260" s="721"/>
      <c r="AF260" s="721"/>
      <c r="AG260" s="721"/>
      <c r="AH260" s="723">
        <f t="shared" si="2"/>
        <v>0</v>
      </c>
      <c r="AI260" s="721"/>
      <c r="AJ260" s="721"/>
      <c r="AK260" s="721"/>
      <c r="AL260" s="721"/>
      <c r="AM260" s="721"/>
      <c r="AN260" s="721"/>
      <c r="AO260" s="721"/>
      <c r="AP260" s="721"/>
      <c r="AQ260" s="721"/>
      <c r="AR260" s="721"/>
      <c r="AS260" s="721"/>
      <c r="AT260" s="721"/>
      <c r="AU260" s="723">
        <f t="shared" si="3"/>
        <v>0</v>
      </c>
      <c r="AV260" s="720">
        <f t="shared" si="4"/>
        <v>0</v>
      </c>
    </row>
    <row r="261" spans="1:48" x14ac:dyDescent="0.25">
      <c r="A261" s="715" t="s">
        <v>624</v>
      </c>
      <c r="B261" s="716" t="s">
        <v>651</v>
      </c>
      <c r="C261" s="721"/>
      <c r="D261" s="721"/>
      <c r="E261" s="721"/>
      <c r="F261" s="722"/>
      <c r="G261" s="723">
        <f t="shared" si="0"/>
        <v>0</v>
      </c>
      <c r="H261" s="721"/>
      <c r="I261" s="721"/>
      <c r="J261" s="721"/>
      <c r="K261" s="721"/>
      <c r="L261" s="721"/>
      <c r="M261" s="721"/>
      <c r="N261" s="721"/>
      <c r="O261" s="721"/>
      <c r="P261" s="721"/>
      <c r="Q261" s="721"/>
      <c r="R261" s="721"/>
      <c r="S261" s="721"/>
      <c r="T261" s="723">
        <f t="shared" si="1"/>
        <v>0</v>
      </c>
      <c r="U261" s="721"/>
      <c r="V261" s="721"/>
      <c r="W261" s="721"/>
      <c r="X261" s="721"/>
      <c r="Y261" s="721"/>
      <c r="Z261" s="721"/>
      <c r="AA261" s="721"/>
      <c r="AB261" s="721"/>
      <c r="AC261" s="721"/>
      <c r="AD261" s="721"/>
      <c r="AE261" s="721"/>
      <c r="AF261" s="721"/>
      <c r="AG261" s="721"/>
      <c r="AH261" s="723">
        <f t="shared" si="2"/>
        <v>0</v>
      </c>
      <c r="AI261" s="721"/>
      <c r="AJ261" s="721"/>
      <c r="AK261" s="721"/>
      <c r="AL261" s="721"/>
      <c r="AM261" s="721"/>
      <c r="AN261" s="721"/>
      <c r="AO261" s="721"/>
      <c r="AP261" s="721"/>
      <c r="AQ261" s="721"/>
      <c r="AR261" s="721"/>
      <c r="AS261" s="721"/>
      <c r="AT261" s="721"/>
      <c r="AU261" s="723">
        <f t="shared" si="3"/>
        <v>0</v>
      </c>
      <c r="AV261" s="720">
        <f t="shared" si="4"/>
        <v>0</v>
      </c>
    </row>
    <row r="262" spans="1:48" x14ac:dyDescent="0.25">
      <c r="A262" s="715" t="s">
        <v>654</v>
      </c>
      <c r="B262" s="716" t="s">
        <v>653</v>
      </c>
      <c r="C262" s="721"/>
      <c r="D262" s="721"/>
      <c r="E262" s="721"/>
      <c r="F262" s="722"/>
      <c r="G262" s="723">
        <f t="shared" si="0"/>
        <v>0</v>
      </c>
      <c r="H262" s="721"/>
      <c r="I262" s="721"/>
      <c r="J262" s="721"/>
      <c r="K262" s="721"/>
      <c r="L262" s="721"/>
      <c r="M262" s="721"/>
      <c r="N262" s="721"/>
      <c r="O262" s="721"/>
      <c r="P262" s="721"/>
      <c r="Q262" s="721"/>
      <c r="R262" s="721"/>
      <c r="S262" s="721"/>
      <c r="T262" s="723">
        <f t="shared" si="1"/>
        <v>0</v>
      </c>
      <c r="U262" s="721"/>
      <c r="V262" s="721"/>
      <c r="W262" s="721"/>
      <c r="X262" s="721"/>
      <c r="Y262" s="721"/>
      <c r="Z262" s="721"/>
      <c r="AA262" s="721"/>
      <c r="AB262" s="721"/>
      <c r="AC262" s="721"/>
      <c r="AD262" s="721"/>
      <c r="AE262" s="721"/>
      <c r="AF262" s="721"/>
      <c r="AG262" s="721"/>
      <c r="AH262" s="723">
        <f t="shared" si="2"/>
        <v>0</v>
      </c>
      <c r="AI262" s="721"/>
      <c r="AJ262" s="721"/>
      <c r="AK262" s="721"/>
      <c r="AL262" s="721"/>
      <c r="AM262" s="721"/>
      <c r="AN262" s="721"/>
      <c r="AO262" s="721"/>
      <c r="AP262" s="721"/>
      <c r="AQ262" s="721"/>
      <c r="AR262" s="721"/>
      <c r="AS262" s="721"/>
      <c r="AT262" s="721"/>
      <c r="AU262" s="723">
        <f t="shared" si="3"/>
        <v>0</v>
      </c>
      <c r="AV262" s="720">
        <f t="shared" si="4"/>
        <v>0</v>
      </c>
    </row>
    <row r="263" spans="1:48" x14ac:dyDescent="0.25">
      <c r="A263" s="715" t="s">
        <v>654</v>
      </c>
      <c r="B263" s="716" t="s">
        <v>657</v>
      </c>
      <c r="C263" s="721"/>
      <c r="D263" s="721"/>
      <c r="E263" s="721"/>
      <c r="F263" s="722"/>
      <c r="G263" s="723">
        <f t="shared" si="0"/>
        <v>0</v>
      </c>
      <c r="H263" s="721"/>
      <c r="I263" s="721"/>
      <c r="J263" s="721"/>
      <c r="K263" s="721"/>
      <c r="L263" s="721"/>
      <c r="M263" s="721"/>
      <c r="N263" s="721"/>
      <c r="O263" s="721"/>
      <c r="P263" s="721"/>
      <c r="Q263" s="721"/>
      <c r="R263" s="721"/>
      <c r="S263" s="721"/>
      <c r="T263" s="723">
        <f t="shared" si="1"/>
        <v>0</v>
      </c>
      <c r="U263" s="721"/>
      <c r="V263" s="721"/>
      <c r="W263" s="721"/>
      <c r="X263" s="721"/>
      <c r="Y263" s="721"/>
      <c r="Z263" s="721"/>
      <c r="AA263" s="721"/>
      <c r="AB263" s="721"/>
      <c r="AC263" s="721"/>
      <c r="AD263" s="721"/>
      <c r="AE263" s="721"/>
      <c r="AF263" s="721"/>
      <c r="AG263" s="721"/>
      <c r="AH263" s="723">
        <f t="shared" si="2"/>
        <v>0</v>
      </c>
      <c r="AI263" s="721"/>
      <c r="AJ263" s="721"/>
      <c r="AK263" s="721"/>
      <c r="AL263" s="721"/>
      <c r="AM263" s="721"/>
      <c r="AN263" s="721"/>
      <c r="AO263" s="721"/>
      <c r="AP263" s="721"/>
      <c r="AQ263" s="721"/>
      <c r="AR263" s="721"/>
      <c r="AS263" s="721"/>
      <c r="AT263" s="721"/>
      <c r="AU263" s="723">
        <f t="shared" si="3"/>
        <v>0</v>
      </c>
      <c r="AV263" s="720">
        <f t="shared" si="4"/>
        <v>0</v>
      </c>
    </row>
    <row r="264" spans="1:48" x14ac:dyDescent="0.25">
      <c r="A264" s="724" t="s">
        <v>660</v>
      </c>
      <c r="B264" s="716" t="s">
        <v>655</v>
      </c>
      <c r="C264" s="721"/>
      <c r="D264" s="721"/>
      <c r="E264" s="721"/>
      <c r="F264" s="722"/>
      <c r="G264" s="723">
        <f t="shared" si="0"/>
        <v>0</v>
      </c>
      <c r="H264" s="721"/>
      <c r="I264" s="721"/>
      <c r="J264" s="721"/>
      <c r="K264" s="721"/>
      <c r="L264" s="721"/>
      <c r="M264" s="721"/>
      <c r="N264" s="721"/>
      <c r="O264" s="721"/>
      <c r="P264" s="721"/>
      <c r="Q264" s="721"/>
      <c r="R264" s="721"/>
      <c r="S264" s="721"/>
      <c r="T264" s="723">
        <f t="shared" si="1"/>
        <v>0</v>
      </c>
      <c r="U264" s="721"/>
      <c r="V264" s="721"/>
      <c r="W264" s="721"/>
      <c r="X264" s="721"/>
      <c r="Y264" s="721"/>
      <c r="Z264" s="721"/>
      <c r="AA264" s="721"/>
      <c r="AB264" s="721"/>
      <c r="AC264" s="721"/>
      <c r="AD264" s="721"/>
      <c r="AE264" s="721"/>
      <c r="AF264" s="721"/>
      <c r="AG264" s="721"/>
      <c r="AH264" s="723">
        <f t="shared" si="2"/>
        <v>0</v>
      </c>
      <c r="AI264" s="721"/>
      <c r="AJ264" s="721"/>
      <c r="AK264" s="721"/>
      <c r="AL264" s="721"/>
      <c r="AM264" s="721"/>
      <c r="AN264" s="721"/>
      <c r="AO264" s="721"/>
      <c r="AP264" s="721"/>
      <c r="AQ264" s="721"/>
      <c r="AR264" s="721"/>
      <c r="AS264" s="721"/>
      <c r="AT264" s="721"/>
      <c r="AU264" s="723">
        <f t="shared" si="3"/>
        <v>0</v>
      </c>
      <c r="AV264" s="720">
        <f t="shared" si="4"/>
        <v>0</v>
      </c>
    </row>
    <row r="265" spans="1:48" x14ac:dyDescent="0.25">
      <c r="A265" s="724" t="s">
        <v>660</v>
      </c>
      <c r="B265" s="716" t="s">
        <v>641</v>
      </c>
      <c r="C265" s="721"/>
      <c r="D265" s="721"/>
      <c r="E265" s="721"/>
      <c r="F265" s="722"/>
      <c r="G265" s="723">
        <f t="shared" si="0"/>
        <v>0</v>
      </c>
      <c r="H265" s="721"/>
      <c r="I265" s="721"/>
      <c r="J265" s="721"/>
      <c r="K265" s="721"/>
      <c r="L265" s="721"/>
      <c r="M265" s="721"/>
      <c r="N265" s="721"/>
      <c r="O265" s="721"/>
      <c r="P265" s="721"/>
      <c r="Q265" s="721"/>
      <c r="R265" s="721"/>
      <c r="S265" s="721"/>
      <c r="T265" s="723">
        <f t="shared" si="1"/>
        <v>0</v>
      </c>
      <c r="U265" s="721"/>
      <c r="V265" s="721"/>
      <c r="W265" s="721"/>
      <c r="X265" s="721"/>
      <c r="Y265" s="721"/>
      <c r="Z265" s="721"/>
      <c r="AA265" s="721"/>
      <c r="AB265" s="721"/>
      <c r="AC265" s="721"/>
      <c r="AD265" s="721"/>
      <c r="AE265" s="721"/>
      <c r="AF265" s="721"/>
      <c r="AG265" s="721"/>
      <c r="AH265" s="723">
        <f t="shared" si="2"/>
        <v>0</v>
      </c>
      <c r="AI265" s="721"/>
      <c r="AJ265" s="721"/>
      <c r="AK265" s="721"/>
      <c r="AL265" s="721"/>
      <c r="AM265" s="721"/>
      <c r="AN265" s="721"/>
      <c r="AO265" s="721"/>
      <c r="AP265" s="721"/>
      <c r="AQ265" s="721"/>
      <c r="AR265" s="721"/>
      <c r="AS265" s="721"/>
      <c r="AT265" s="721"/>
      <c r="AU265" s="723">
        <f t="shared" si="3"/>
        <v>0</v>
      </c>
      <c r="AV265" s="720">
        <f t="shared" si="4"/>
        <v>0</v>
      </c>
    </row>
    <row r="266" spans="1:48" x14ac:dyDescent="0.25">
      <c r="A266" s="724" t="s">
        <v>660</v>
      </c>
      <c r="B266" s="716" t="s">
        <v>664</v>
      </c>
      <c r="C266" s="721"/>
      <c r="D266" s="721"/>
      <c r="E266" s="721"/>
      <c r="F266" s="722"/>
      <c r="G266" s="723">
        <f t="shared" si="0"/>
        <v>0</v>
      </c>
      <c r="H266" s="721"/>
      <c r="I266" s="721"/>
      <c r="J266" s="721"/>
      <c r="K266" s="721"/>
      <c r="L266" s="721"/>
      <c r="M266" s="721"/>
      <c r="N266" s="721"/>
      <c r="O266" s="721"/>
      <c r="P266" s="721"/>
      <c r="Q266" s="721"/>
      <c r="R266" s="721"/>
      <c r="S266" s="721"/>
      <c r="T266" s="723">
        <f t="shared" si="1"/>
        <v>0</v>
      </c>
      <c r="U266" s="721"/>
      <c r="V266" s="721"/>
      <c r="W266" s="721"/>
      <c r="X266" s="721"/>
      <c r="Y266" s="721"/>
      <c r="Z266" s="721"/>
      <c r="AA266" s="721"/>
      <c r="AB266" s="721"/>
      <c r="AC266" s="721"/>
      <c r="AD266" s="721"/>
      <c r="AE266" s="721"/>
      <c r="AF266" s="721"/>
      <c r="AG266" s="721"/>
      <c r="AH266" s="723">
        <f t="shared" si="2"/>
        <v>0</v>
      </c>
      <c r="AI266" s="721"/>
      <c r="AJ266" s="721"/>
      <c r="AK266" s="721"/>
      <c r="AL266" s="721"/>
      <c r="AM266" s="721"/>
      <c r="AN266" s="721"/>
      <c r="AO266" s="721"/>
      <c r="AP266" s="721"/>
      <c r="AQ266" s="721"/>
      <c r="AR266" s="721"/>
      <c r="AS266" s="721"/>
      <c r="AT266" s="721"/>
      <c r="AU266" s="723">
        <f t="shared" si="3"/>
        <v>0</v>
      </c>
      <c r="AV266" s="720">
        <f t="shared" si="4"/>
        <v>0</v>
      </c>
    </row>
    <row r="267" spans="1:48" x14ac:dyDescent="0.25">
      <c r="A267" s="715" t="s">
        <v>660</v>
      </c>
      <c r="B267" s="716" t="s">
        <v>666</v>
      </c>
      <c r="C267" s="721"/>
      <c r="D267" s="721"/>
      <c r="E267" s="721"/>
      <c r="F267" s="722"/>
      <c r="G267" s="723">
        <f t="shared" si="0"/>
        <v>0</v>
      </c>
      <c r="H267" s="721"/>
      <c r="I267" s="721"/>
      <c r="J267" s="721"/>
      <c r="K267" s="721"/>
      <c r="L267" s="721"/>
      <c r="M267" s="721"/>
      <c r="N267" s="721"/>
      <c r="O267" s="721"/>
      <c r="P267" s="721"/>
      <c r="Q267" s="721"/>
      <c r="R267" s="721"/>
      <c r="S267" s="721"/>
      <c r="T267" s="723">
        <f t="shared" si="1"/>
        <v>0</v>
      </c>
      <c r="U267" s="721"/>
      <c r="V267" s="721"/>
      <c r="W267" s="721"/>
      <c r="X267" s="721"/>
      <c r="Y267" s="721"/>
      <c r="Z267" s="721"/>
      <c r="AA267" s="721"/>
      <c r="AB267" s="721"/>
      <c r="AC267" s="721"/>
      <c r="AD267" s="721"/>
      <c r="AE267" s="721"/>
      <c r="AF267" s="721"/>
      <c r="AG267" s="721"/>
      <c r="AH267" s="723">
        <f t="shared" si="2"/>
        <v>0</v>
      </c>
      <c r="AI267" s="721"/>
      <c r="AJ267" s="721"/>
      <c r="AK267" s="721"/>
      <c r="AL267" s="721"/>
      <c r="AM267" s="721"/>
      <c r="AN267" s="721"/>
      <c r="AO267" s="721"/>
      <c r="AP267" s="721"/>
      <c r="AQ267" s="721"/>
      <c r="AR267" s="721"/>
      <c r="AS267" s="721"/>
      <c r="AT267" s="721"/>
      <c r="AU267" s="723">
        <f t="shared" si="3"/>
        <v>0</v>
      </c>
      <c r="AV267" s="720">
        <f t="shared" si="4"/>
        <v>0</v>
      </c>
    </row>
    <row r="268" spans="1:48" x14ac:dyDescent="0.25">
      <c r="A268" s="715" t="s">
        <v>660</v>
      </c>
      <c r="B268" s="716" t="s">
        <v>668</v>
      </c>
      <c r="C268" s="721"/>
      <c r="D268" s="721"/>
      <c r="E268" s="721"/>
      <c r="F268" s="722"/>
      <c r="G268" s="723">
        <f t="shared" si="0"/>
        <v>0</v>
      </c>
      <c r="H268" s="721"/>
      <c r="I268" s="721"/>
      <c r="J268" s="721"/>
      <c r="K268" s="721"/>
      <c r="L268" s="721"/>
      <c r="M268" s="721"/>
      <c r="N268" s="721"/>
      <c r="O268" s="721"/>
      <c r="P268" s="721"/>
      <c r="Q268" s="721"/>
      <c r="R268" s="721"/>
      <c r="S268" s="721"/>
      <c r="T268" s="723">
        <f t="shared" si="1"/>
        <v>0</v>
      </c>
      <c r="U268" s="721"/>
      <c r="V268" s="721"/>
      <c r="W268" s="721"/>
      <c r="X268" s="721"/>
      <c r="Y268" s="721"/>
      <c r="Z268" s="721"/>
      <c r="AA268" s="721"/>
      <c r="AB268" s="721"/>
      <c r="AC268" s="721"/>
      <c r="AD268" s="721"/>
      <c r="AE268" s="721"/>
      <c r="AF268" s="721"/>
      <c r="AG268" s="721"/>
      <c r="AH268" s="723">
        <f t="shared" si="2"/>
        <v>0</v>
      </c>
      <c r="AI268" s="721"/>
      <c r="AJ268" s="721"/>
      <c r="AK268" s="721"/>
      <c r="AL268" s="721"/>
      <c r="AM268" s="721"/>
      <c r="AN268" s="721"/>
      <c r="AO268" s="721"/>
      <c r="AP268" s="721"/>
      <c r="AQ268" s="721"/>
      <c r="AR268" s="721"/>
      <c r="AS268" s="721"/>
      <c r="AT268" s="721"/>
      <c r="AU268" s="723">
        <f t="shared" si="3"/>
        <v>0</v>
      </c>
      <c r="AV268" s="720">
        <f t="shared" si="4"/>
        <v>0</v>
      </c>
    </row>
    <row r="269" spans="1:48" x14ac:dyDescent="0.25">
      <c r="A269" s="715" t="s">
        <v>660</v>
      </c>
      <c r="B269" s="716" t="s">
        <v>670</v>
      </c>
      <c r="C269" s="721"/>
      <c r="D269" s="721"/>
      <c r="E269" s="721"/>
      <c r="F269" s="722"/>
      <c r="G269" s="723">
        <f t="shared" si="0"/>
        <v>0</v>
      </c>
      <c r="H269" s="721"/>
      <c r="I269" s="721"/>
      <c r="J269" s="721"/>
      <c r="K269" s="721"/>
      <c r="L269" s="721"/>
      <c r="M269" s="721"/>
      <c r="N269" s="721"/>
      <c r="O269" s="721"/>
      <c r="P269" s="721"/>
      <c r="Q269" s="721"/>
      <c r="R269" s="721"/>
      <c r="S269" s="721"/>
      <c r="T269" s="723">
        <f t="shared" si="1"/>
        <v>0</v>
      </c>
      <c r="U269" s="721"/>
      <c r="V269" s="721"/>
      <c r="W269" s="721"/>
      <c r="X269" s="721"/>
      <c r="Y269" s="721"/>
      <c r="Z269" s="721"/>
      <c r="AA269" s="721"/>
      <c r="AB269" s="721"/>
      <c r="AC269" s="721"/>
      <c r="AD269" s="721"/>
      <c r="AE269" s="721"/>
      <c r="AF269" s="721"/>
      <c r="AG269" s="721"/>
      <c r="AH269" s="723">
        <f t="shared" si="2"/>
        <v>0</v>
      </c>
      <c r="AI269" s="721"/>
      <c r="AJ269" s="721"/>
      <c r="AK269" s="721"/>
      <c r="AL269" s="721"/>
      <c r="AM269" s="721"/>
      <c r="AN269" s="721"/>
      <c r="AO269" s="721"/>
      <c r="AP269" s="721"/>
      <c r="AQ269" s="721"/>
      <c r="AR269" s="721"/>
      <c r="AS269" s="721"/>
      <c r="AT269" s="721"/>
      <c r="AU269" s="723">
        <f t="shared" si="3"/>
        <v>0</v>
      </c>
      <c r="AV269" s="720">
        <f t="shared" si="4"/>
        <v>0</v>
      </c>
    </row>
    <row r="270" spans="1:48" x14ac:dyDescent="0.25">
      <c r="A270" s="724" t="s">
        <v>660</v>
      </c>
      <c r="B270" s="716" t="s">
        <v>672</v>
      </c>
      <c r="C270" s="721"/>
      <c r="D270" s="721"/>
      <c r="E270" s="721"/>
      <c r="F270" s="722"/>
      <c r="G270" s="723">
        <f t="shared" si="0"/>
        <v>0</v>
      </c>
      <c r="H270" s="721"/>
      <c r="I270" s="721"/>
      <c r="J270" s="721"/>
      <c r="K270" s="721"/>
      <c r="L270" s="721"/>
      <c r="M270" s="721"/>
      <c r="N270" s="721"/>
      <c r="O270" s="721"/>
      <c r="P270" s="721"/>
      <c r="Q270" s="721"/>
      <c r="R270" s="721"/>
      <c r="S270" s="721"/>
      <c r="T270" s="723">
        <f t="shared" si="1"/>
        <v>0</v>
      </c>
      <c r="U270" s="721"/>
      <c r="V270" s="721"/>
      <c r="W270" s="721"/>
      <c r="X270" s="721"/>
      <c r="Y270" s="721"/>
      <c r="Z270" s="721"/>
      <c r="AA270" s="721"/>
      <c r="AB270" s="721"/>
      <c r="AC270" s="721"/>
      <c r="AD270" s="721"/>
      <c r="AE270" s="721"/>
      <c r="AF270" s="721"/>
      <c r="AG270" s="721"/>
      <c r="AH270" s="723">
        <f t="shared" si="2"/>
        <v>0</v>
      </c>
      <c r="AI270" s="721"/>
      <c r="AJ270" s="721"/>
      <c r="AK270" s="721"/>
      <c r="AL270" s="721"/>
      <c r="AM270" s="721"/>
      <c r="AN270" s="721"/>
      <c r="AO270" s="721"/>
      <c r="AP270" s="721"/>
      <c r="AQ270" s="721"/>
      <c r="AR270" s="721"/>
      <c r="AS270" s="721"/>
      <c r="AT270" s="721"/>
      <c r="AU270" s="723">
        <f t="shared" si="3"/>
        <v>0</v>
      </c>
      <c r="AV270" s="720">
        <f t="shared" si="4"/>
        <v>0</v>
      </c>
    </row>
    <row r="271" spans="1:48" x14ac:dyDescent="0.25">
      <c r="A271" s="715" t="s">
        <v>660</v>
      </c>
      <c r="B271" s="716" t="s">
        <v>659</v>
      </c>
      <c r="C271" s="721"/>
      <c r="D271" s="721"/>
      <c r="E271" s="721"/>
      <c r="F271" s="722"/>
      <c r="G271" s="723">
        <f t="shared" si="0"/>
        <v>0</v>
      </c>
      <c r="H271" s="721"/>
      <c r="I271" s="721"/>
      <c r="J271" s="721"/>
      <c r="K271" s="721"/>
      <c r="L271" s="721"/>
      <c r="M271" s="721"/>
      <c r="N271" s="721"/>
      <c r="O271" s="721"/>
      <c r="P271" s="721"/>
      <c r="Q271" s="721"/>
      <c r="R271" s="721"/>
      <c r="S271" s="721"/>
      <c r="T271" s="723">
        <f t="shared" si="1"/>
        <v>0</v>
      </c>
      <c r="U271" s="721"/>
      <c r="V271" s="721"/>
      <c r="W271" s="721"/>
      <c r="X271" s="721"/>
      <c r="Y271" s="721"/>
      <c r="Z271" s="721"/>
      <c r="AA271" s="721"/>
      <c r="AB271" s="721"/>
      <c r="AC271" s="721"/>
      <c r="AD271" s="721"/>
      <c r="AE271" s="721"/>
      <c r="AF271" s="721"/>
      <c r="AG271" s="721"/>
      <c r="AH271" s="723">
        <f t="shared" si="2"/>
        <v>0</v>
      </c>
      <c r="AI271" s="721"/>
      <c r="AJ271" s="721"/>
      <c r="AK271" s="721"/>
      <c r="AL271" s="721"/>
      <c r="AM271" s="721"/>
      <c r="AN271" s="721"/>
      <c r="AO271" s="721"/>
      <c r="AP271" s="721"/>
      <c r="AQ271" s="721"/>
      <c r="AR271" s="721"/>
      <c r="AS271" s="721"/>
      <c r="AT271" s="721"/>
      <c r="AU271" s="723">
        <f t="shared" si="3"/>
        <v>0</v>
      </c>
      <c r="AV271" s="720">
        <f t="shared" si="4"/>
        <v>0</v>
      </c>
    </row>
    <row r="272" spans="1:48" x14ac:dyDescent="0.25">
      <c r="A272" s="715" t="s">
        <v>660</v>
      </c>
      <c r="B272" s="716" t="s">
        <v>674</v>
      </c>
      <c r="C272" s="721"/>
      <c r="D272" s="721"/>
      <c r="E272" s="721"/>
      <c r="F272" s="722"/>
      <c r="G272" s="723">
        <f t="shared" si="0"/>
        <v>0</v>
      </c>
      <c r="H272" s="721"/>
      <c r="I272" s="721"/>
      <c r="J272" s="721"/>
      <c r="K272" s="721"/>
      <c r="L272" s="721"/>
      <c r="M272" s="721"/>
      <c r="N272" s="721"/>
      <c r="O272" s="721"/>
      <c r="P272" s="721"/>
      <c r="Q272" s="721"/>
      <c r="R272" s="721"/>
      <c r="S272" s="721"/>
      <c r="T272" s="723">
        <f t="shared" si="1"/>
        <v>0</v>
      </c>
      <c r="U272" s="721"/>
      <c r="V272" s="721"/>
      <c r="W272" s="721"/>
      <c r="X272" s="721"/>
      <c r="Y272" s="721"/>
      <c r="Z272" s="721"/>
      <c r="AA272" s="721"/>
      <c r="AB272" s="721"/>
      <c r="AC272" s="721"/>
      <c r="AD272" s="721"/>
      <c r="AE272" s="721"/>
      <c r="AF272" s="721"/>
      <c r="AG272" s="721"/>
      <c r="AH272" s="723">
        <f t="shared" si="2"/>
        <v>0</v>
      </c>
      <c r="AI272" s="721"/>
      <c r="AJ272" s="721"/>
      <c r="AK272" s="721"/>
      <c r="AL272" s="721"/>
      <c r="AM272" s="721"/>
      <c r="AN272" s="721"/>
      <c r="AO272" s="721"/>
      <c r="AP272" s="721"/>
      <c r="AQ272" s="721"/>
      <c r="AR272" s="721"/>
      <c r="AS272" s="721"/>
      <c r="AT272" s="721"/>
      <c r="AU272" s="723">
        <f t="shared" si="3"/>
        <v>0</v>
      </c>
      <c r="AV272" s="720">
        <f t="shared" si="4"/>
        <v>0</v>
      </c>
    </row>
    <row r="273" spans="1:48" x14ac:dyDescent="0.25">
      <c r="A273" s="715" t="s">
        <v>677</v>
      </c>
      <c r="B273" s="716" t="s">
        <v>676</v>
      </c>
      <c r="C273" s="721"/>
      <c r="D273" s="721"/>
      <c r="E273" s="721"/>
      <c r="F273" s="722"/>
      <c r="G273" s="723">
        <f t="shared" si="0"/>
        <v>0</v>
      </c>
      <c r="H273" s="721"/>
      <c r="I273" s="721"/>
      <c r="J273" s="721"/>
      <c r="K273" s="721"/>
      <c r="L273" s="721"/>
      <c r="M273" s="721"/>
      <c r="N273" s="721"/>
      <c r="O273" s="721"/>
      <c r="P273" s="721"/>
      <c r="Q273" s="721"/>
      <c r="R273" s="721"/>
      <c r="S273" s="721"/>
      <c r="T273" s="723">
        <f t="shared" si="1"/>
        <v>0</v>
      </c>
      <c r="U273" s="721"/>
      <c r="V273" s="721"/>
      <c r="W273" s="721"/>
      <c r="X273" s="721"/>
      <c r="Y273" s="721"/>
      <c r="Z273" s="721"/>
      <c r="AA273" s="721"/>
      <c r="AB273" s="721"/>
      <c r="AC273" s="721"/>
      <c r="AD273" s="721"/>
      <c r="AE273" s="721"/>
      <c r="AF273" s="721"/>
      <c r="AG273" s="721"/>
      <c r="AH273" s="723">
        <f t="shared" si="2"/>
        <v>0</v>
      </c>
      <c r="AI273" s="721"/>
      <c r="AJ273" s="721"/>
      <c r="AK273" s="721"/>
      <c r="AL273" s="721"/>
      <c r="AM273" s="721"/>
      <c r="AN273" s="721"/>
      <c r="AO273" s="721"/>
      <c r="AP273" s="721"/>
      <c r="AQ273" s="721"/>
      <c r="AR273" s="721"/>
      <c r="AS273" s="721"/>
      <c r="AT273" s="721"/>
      <c r="AU273" s="723">
        <f t="shared" si="3"/>
        <v>0</v>
      </c>
      <c r="AV273" s="720">
        <f t="shared" si="4"/>
        <v>0</v>
      </c>
    </row>
    <row r="274" spans="1:48" x14ac:dyDescent="0.25">
      <c r="A274" s="715" t="s">
        <v>677</v>
      </c>
      <c r="B274" s="716" t="s">
        <v>625</v>
      </c>
      <c r="C274" s="721"/>
      <c r="D274" s="721"/>
      <c r="E274" s="721"/>
      <c r="F274" s="722"/>
      <c r="G274" s="723">
        <f t="shared" si="0"/>
        <v>0</v>
      </c>
      <c r="H274" s="721"/>
      <c r="I274" s="721"/>
      <c r="J274" s="721"/>
      <c r="K274" s="721"/>
      <c r="L274" s="721"/>
      <c r="M274" s="721"/>
      <c r="N274" s="721"/>
      <c r="O274" s="721"/>
      <c r="P274" s="721"/>
      <c r="Q274" s="721"/>
      <c r="R274" s="721"/>
      <c r="S274" s="721"/>
      <c r="T274" s="723">
        <f t="shared" si="1"/>
        <v>0</v>
      </c>
      <c r="U274" s="721"/>
      <c r="V274" s="721"/>
      <c r="W274" s="721"/>
      <c r="X274" s="721"/>
      <c r="Y274" s="721"/>
      <c r="Z274" s="721"/>
      <c r="AA274" s="721"/>
      <c r="AB274" s="721"/>
      <c r="AC274" s="721"/>
      <c r="AD274" s="721"/>
      <c r="AE274" s="721"/>
      <c r="AF274" s="721"/>
      <c r="AG274" s="721"/>
      <c r="AH274" s="723">
        <f t="shared" si="2"/>
        <v>0</v>
      </c>
      <c r="AI274" s="721"/>
      <c r="AJ274" s="721"/>
      <c r="AK274" s="721"/>
      <c r="AL274" s="721"/>
      <c r="AM274" s="721"/>
      <c r="AN274" s="721"/>
      <c r="AO274" s="721"/>
      <c r="AP274" s="721"/>
      <c r="AQ274" s="721"/>
      <c r="AR274" s="721"/>
      <c r="AS274" s="721"/>
      <c r="AT274" s="721"/>
      <c r="AU274" s="723">
        <f t="shared" si="3"/>
        <v>0</v>
      </c>
      <c r="AV274" s="720">
        <f t="shared" si="4"/>
        <v>0</v>
      </c>
    </row>
    <row r="275" spans="1:48" x14ac:dyDescent="0.25">
      <c r="A275" s="715" t="s">
        <v>677</v>
      </c>
      <c r="B275" s="716" t="s">
        <v>680</v>
      </c>
      <c r="C275" s="721"/>
      <c r="D275" s="721"/>
      <c r="E275" s="721"/>
      <c r="F275" s="722"/>
      <c r="G275" s="723">
        <f t="shared" si="0"/>
        <v>0</v>
      </c>
      <c r="H275" s="721"/>
      <c r="I275" s="721"/>
      <c r="J275" s="721"/>
      <c r="K275" s="721"/>
      <c r="L275" s="721"/>
      <c r="M275" s="721"/>
      <c r="N275" s="721"/>
      <c r="O275" s="721"/>
      <c r="P275" s="721"/>
      <c r="Q275" s="721"/>
      <c r="R275" s="721"/>
      <c r="S275" s="721"/>
      <c r="T275" s="723">
        <f t="shared" si="1"/>
        <v>0</v>
      </c>
      <c r="U275" s="721"/>
      <c r="V275" s="721"/>
      <c r="W275" s="721"/>
      <c r="X275" s="721"/>
      <c r="Y275" s="721"/>
      <c r="Z275" s="721"/>
      <c r="AA275" s="721"/>
      <c r="AB275" s="721"/>
      <c r="AC275" s="721"/>
      <c r="AD275" s="721"/>
      <c r="AE275" s="721"/>
      <c r="AF275" s="721"/>
      <c r="AG275" s="721"/>
      <c r="AH275" s="723">
        <f t="shared" si="2"/>
        <v>0</v>
      </c>
      <c r="AI275" s="721"/>
      <c r="AJ275" s="721"/>
      <c r="AK275" s="721"/>
      <c r="AL275" s="721"/>
      <c r="AM275" s="721"/>
      <c r="AN275" s="721"/>
      <c r="AO275" s="721"/>
      <c r="AP275" s="721"/>
      <c r="AQ275" s="721"/>
      <c r="AR275" s="721"/>
      <c r="AS275" s="721"/>
      <c r="AT275" s="721"/>
      <c r="AU275" s="723">
        <f t="shared" si="3"/>
        <v>0</v>
      </c>
      <c r="AV275" s="720">
        <f t="shared" si="4"/>
        <v>0</v>
      </c>
    </row>
    <row r="276" spans="1:48" x14ac:dyDescent="0.25">
      <c r="A276" s="715" t="s">
        <v>677</v>
      </c>
      <c r="B276" s="716" t="s">
        <v>682</v>
      </c>
      <c r="C276" s="721"/>
      <c r="D276" s="721"/>
      <c r="E276" s="721"/>
      <c r="F276" s="722"/>
      <c r="G276" s="723">
        <f t="shared" si="0"/>
        <v>0</v>
      </c>
      <c r="H276" s="721"/>
      <c r="I276" s="721"/>
      <c r="J276" s="721"/>
      <c r="K276" s="721"/>
      <c r="L276" s="721"/>
      <c r="M276" s="721"/>
      <c r="N276" s="721"/>
      <c r="O276" s="721"/>
      <c r="P276" s="721"/>
      <c r="Q276" s="721"/>
      <c r="R276" s="721"/>
      <c r="S276" s="721"/>
      <c r="T276" s="723">
        <f t="shared" si="1"/>
        <v>0</v>
      </c>
      <c r="U276" s="721"/>
      <c r="V276" s="721"/>
      <c r="W276" s="721"/>
      <c r="X276" s="721"/>
      <c r="Y276" s="721"/>
      <c r="Z276" s="721"/>
      <c r="AA276" s="721"/>
      <c r="AB276" s="721"/>
      <c r="AC276" s="721"/>
      <c r="AD276" s="721"/>
      <c r="AE276" s="721"/>
      <c r="AF276" s="721"/>
      <c r="AG276" s="721"/>
      <c r="AH276" s="723">
        <f t="shared" si="2"/>
        <v>0</v>
      </c>
      <c r="AI276" s="721"/>
      <c r="AJ276" s="721"/>
      <c r="AK276" s="721"/>
      <c r="AL276" s="721"/>
      <c r="AM276" s="721"/>
      <c r="AN276" s="721"/>
      <c r="AO276" s="721"/>
      <c r="AP276" s="721"/>
      <c r="AQ276" s="721"/>
      <c r="AR276" s="721"/>
      <c r="AS276" s="721"/>
      <c r="AT276" s="721"/>
      <c r="AU276" s="723">
        <f t="shared" si="3"/>
        <v>0</v>
      </c>
      <c r="AV276" s="720">
        <f t="shared" si="4"/>
        <v>0</v>
      </c>
    </row>
    <row r="277" spans="1:48" x14ac:dyDescent="0.25">
      <c r="A277" s="715" t="s">
        <v>677</v>
      </c>
      <c r="B277" s="716" t="s">
        <v>638</v>
      </c>
      <c r="C277" s="721"/>
      <c r="D277" s="721"/>
      <c r="E277" s="721"/>
      <c r="F277" s="722"/>
      <c r="G277" s="723">
        <f t="shared" si="0"/>
        <v>0</v>
      </c>
      <c r="H277" s="721"/>
      <c r="I277" s="721"/>
      <c r="J277" s="721"/>
      <c r="K277" s="721"/>
      <c r="L277" s="721"/>
      <c r="M277" s="721"/>
      <c r="N277" s="721"/>
      <c r="O277" s="721"/>
      <c r="P277" s="721"/>
      <c r="Q277" s="721"/>
      <c r="R277" s="721"/>
      <c r="S277" s="721"/>
      <c r="T277" s="723">
        <f t="shared" si="1"/>
        <v>0</v>
      </c>
      <c r="U277" s="721"/>
      <c r="V277" s="721"/>
      <c r="W277" s="721"/>
      <c r="X277" s="721"/>
      <c r="Y277" s="721"/>
      <c r="Z277" s="721"/>
      <c r="AA277" s="721"/>
      <c r="AB277" s="721"/>
      <c r="AC277" s="721"/>
      <c r="AD277" s="721"/>
      <c r="AE277" s="721"/>
      <c r="AF277" s="721"/>
      <c r="AG277" s="721"/>
      <c r="AH277" s="723">
        <f t="shared" si="2"/>
        <v>0</v>
      </c>
      <c r="AI277" s="721"/>
      <c r="AJ277" s="721"/>
      <c r="AK277" s="721"/>
      <c r="AL277" s="721"/>
      <c r="AM277" s="721"/>
      <c r="AN277" s="721"/>
      <c r="AO277" s="721"/>
      <c r="AP277" s="721"/>
      <c r="AQ277" s="721"/>
      <c r="AR277" s="721"/>
      <c r="AS277" s="721"/>
      <c r="AT277" s="721"/>
      <c r="AU277" s="723">
        <f t="shared" si="3"/>
        <v>0</v>
      </c>
      <c r="AV277" s="720">
        <f t="shared" si="4"/>
        <v>0</v>
      </c>
    </row>
    <row r="278" spans="1:48" x14ac:dyDescent="0.25">
      <c r="A278" s="715" t="s">
        <v>677</v>
      </c>
      <c r="B278" s="716" t="s">
        <v>685</v>
      </c>
      <c r="C278" s="721"/>
      <c r="D278" s="721"/>
      <c r="E278" s="721"/>
      <c r="F278" s="722"/>
      <c r="G278" s="723">
        <f t="shared" si="0"/>
        <v>0</v>
      </c>
      <c r="H278" s="721"/>
      <c r="I278" s="721"/>
      <c r="J278" s="721"/>
      <c r="K278" s="721"/>
      <c r="L278" s="721"/>
      <c r="M278" s="721"/>
      <c r="N278" s="721"/>
      <c r="O278" s="721"/>
      <c r="P278" s="721"/>
      <c r="Q278" s="721"/>
      <c r="R278" s="721"/>
      <c r="S278" s="721"/>
      <c r="T278" s="723">
        <f t="shared" si="1"/>
        <v>0</v>
      </c>
      <c r="U278" s="721"/>
      <c r="V278" s="721"/>
      <c r="W278" s="721"/>
      <c r="X278" s="721"/>
      <c r="Y278" s="721"/>
      <c r="Z278" s="721"/>
      <c r="AA278" s="721"/>
      <c r="AB278" s="721"/>
      <c r="AC278" s="721"/>
      <c r="AD278" s="721"/>
      <c r="AE278" s="721"/>
      <c r="AF278" s="721"/>
      <c r="AG278" s="721"/>
      <c r="AH278" s="723">
        <f t="shared" si="2"/>
        <v>0</v>
      </c>
      <c r="AI278" s="721"/>
      <c r="AJ278" s="721"/>
      <c r="AK278" s="721"/>
      <c r="AL278" s="721"/>
      <c r="AM278" s="721"/>
      <c r="AN278" s="721"/>
      <c r="AO278" s="721"/>
      <c r="AP278" s="721"/>
      <c r="AQ278" s="721"/>
      <c r="AR278" s="721"/>
      <c r="AS278" s="721"/>
      <c r="AT278" s="721"/>
      <c r="AU278" s="723">
        <f t="shared" si="3"/>
        <v>0</v>
      </c>
      <c r="AV278" s="720">
        <f t="shared" si="4"/>
        <v>0</v>
      </c>
    </row>
    <row r="279" spans="1:48" x14ac:dyDescent="0.25">
      <c r="A279" s="715" t="s">
        <v>677</v>
      </c>
      <c r="B279" s="716" t="s">
        <v>687</v>
      </c>
      <c r="C279" s="721"/>
      <c r="D279" s="721"/>
      <c r="E279" s="721"/>
      <c r="F279" s="722"/>
      <c r="G279" s="723">
        <f t="shared" si="0"/>
        <v>0</v>
      </c>
      <c r="H279" s="721"/>
      <c r="I279" s="721"/>
      <c r="J279" s="721"/>
      <c r="K279" s="721"/>
      <c r="L279" s="721"/>
      <c r="M279" s="721"/>
      <c r="N279" s="721"/>
      <c r="O279" s="721"/>
      <c r="P279" s="721"/>
      <c r="Q279" s="721"/>
      <c r="R279" s="721"/>
      <c r="S279" s="721"/>
      <c r="T279" s="723">
        <f t="shared" si="1"/>
        <v>0</v>
      </c>
      <c r="U279" s="721"/>
      <c r="V279" s="721"/>
      <c r="W279" s="721"/>
      <c r="X279" s="721"/>
      <c r="Y279" s="721"/>
      <c r="Z279" s="721"/>
      <c r="AA279" s="721"/>
      <c r="AB279" s="721"/>
      <c r="AC279" s="721"/>
      <c r="AD279" s="721"/>
      <c r="AE279" s="721"/>
      <c r="AF279" s="721"/>
      <c r="AG279" s="721"/>
      <c r="AH279" s="723">
        <f t="shared" si="2"/>
        <v>0</v>
      </c>
      <c r="AI279" s="721"/>
      <c r="AJ279" s="721"/>
      <c r="AK279" s="721"/>
      <c r="AL279" s="721"/>
      <c r="AM279" s="721"/>
      <c r="AN279" s="721"/>
      <c r="AO279" s="721"/>
      <c r="AP279" s="721"/>
      <c r="AQ279" s="721"/>
      <c r="AR279" s="721"/>
      <c r="AS279" s="721"/>
      <c r="AT279" s="721"/>
      <c r="AU279" s="723">
        <f t="shared" si="3"/>
        <v>0</v>
      </c>
      <c r="AV279" s="720">
        <f t="shared" si="4"/>
        <v>0</v>
      </c>
    </row>
    <row r="280" spans="1:48" x14ac:dyDescent="0.25">
      <c r="A280" s="715" t="s">
        <v>689</v>
      </c>
      <c r="B280" s="716" t="s">
        <v>689</v>
      </c>
      <c r="C280" s="721"/>
      <c r="D280" s="721"/>
      <c r="E280" s="721"/>
      <c r="F280" s="722"/>
      <c r="G280" s="723">
        <f t="shared" si="0"/>
        <v>0</v>
      </c>
      <c r="H280" s="721"/>
      <c r="I280" s="721"/>
      <c r="J280" s="721"/>
      <c r="K280" s="721"/>
      <c r="L280" s="721"/>
      <c r="M280" s="721"/>
      <c r="N280" s="721"/>
      <c r="O280" s="721"/>
      <c r="P280" s="721"/>
      <c r="Q280" s="721"/>
      <c r="R280" s="721"/>
      <c r="S280" s="721"/>
      <c r="T280" s="723">
        <f t="shared" si="1"/>
        <v>0</v>
      </c>
      <c r="U280" s="721"/>
      <c r="V280" s="721"/>
      <c r="W280" s="721"/>
      <c r="X280" s="721"/>
      <c r="Y280" s="721"/>
      <c r="Z280" s="721"/>
      <c r="AA280" s="721"/>
      <c r="AB280" s="721"/>
      <c r="AC280" s="721"/>
      <c r="AD280" s="721"/>
      <c r="AE280" s="721"/>
      <c r="AF280" s="721"/>
      <c r="AG280" s="721"/>
      <c r="AH280" s="723">
        <f t="shared" si="2"/>
        <v>0</v>
      </c>
      <c r="AI280" s="721"/>
      <c r="AJ280" s="721"/>
      <c r="AK280" s="721"/>
      <c r="AL280" s="721"/>
      <c r="AM280" s="721"/>
      <c r="AN280" s="721"/>
      <c r="AO280" s="721"/>
      <c r="AP280" s="721"/>
      <c r="AQ280" s="721"/>
      <c r="AR280" s="721"/>
      <c r="AS280" s="721"/>
      <c r="AT280" s="721"/>
      <c r="AU280" s="723">
        <f t="shared" si="3"/>
        <v>0</v>
      </c>
      <c r="AV280" s="720">
        <f t="shared" si="4"/>
        <v>0</v>
      </c>
    </row>
    <row r="281" spans="1:48" x14ac:dyDescent="0.25">
      <c r="A281" s="715" t="s">
        <v>628</v>
      </c>
      <c r="B281" s="716" t="s">
        <v>628</v>
      </c>
      <c r="C281" s="721"/>
      <c r="D281" s="721"/>
      <c r="E281" s="721"/>
      <c r="F281" s="722"/>
      <c r="G281" s="723">
        <f t="shared" si="0"/>
        <v>0</v>
      </c>
      <c r="H281" s="721"/>
      <c r="I281" s="721"/>
      <c r="J281" s="721"/>
      <c r="K281" s="721"/>
      <c r="L281" s="721"/>
      <c r="M281" s="721"/>
      <c r="N281" s="721"/>
      <c r="O281" s="721"/>
      <c r="P281" s="721"/>
      <c r="Q281" s="721"/>
      <c r="R281" s="721"/>
      <c r="S281" s="721"/>
      <c r="T281" s="723">
        <f t="shared" si="1"/>
        <v>0</v>
      </c>
      <c r="U281" s="721"/>
      <c r="V281" s="721"/>
      <c r="W281" s="721"/>
      <c r="X281" s="721"/>
      <c r="Y281" s="721"/>
      <c r="Z281" s="721"/>
      <c r="AA281" s="721"/>
      <c r="AB281" s="721"/>
      <c r="AC281" s="721"/>
      <c r="AD281" s="721"/>
      <c r="AE281" s="721"/>
      <c r="AF281" s="721"/>
      <c r="AG281" s="721"/>
      <c r="AH281" s="723">
        <f t="shared" si="2"/>
        <v>0</v>
      </c>
      <c r="AI281" s="721"/>
      <c r="AJ281" s="721"/>
      <c r="AK281" s="721"/>
      <c r="AL281" s="721"/>
      <c r="AM281" s="721"/>
      <c r="AN281" s="721"/>
      <c r="AO281" s="721"/>
      <c r="AP281" s="721"/>
      <c r="AQ281" s="721"/>
      <c r="AR281" s="721"/>
      <c r="AS281" s="721"/>
      <c r="AT281" s="721"/>
      <c r="AU281" s="723">
        <f t="shared" si="3"/>
        <v>0</v>
      </c>
      <c r="AV281" s="720">
        <f t="shared" si="4"/>
        <v>0</v>
      </c>
    </row>
    <row r="282" spans="1:48" ht="15.75" thickBot="1" x14ac:dyDescent="0.3">
      <c r="A282" s="725" t="s">
        <v>643</v>
      </c>
      <c r="B282" s="726" t="s">
        <v>643</v>
      </c>
      <c r="C282" s="727"/>
      <c r="D282" s="727"/>
      <c r="E282" s="727"/>
      <c r="F282" s="728"/>
      <c r="G282" s="729">
        <f t="shared" si="0"/>
        <v>0</v>
      </c>
      <c r="H282" s="727"/>
      <c r="I282" s="727"/>
      <c r="J282" s="727"/>
      <c r="K282" s="727"/>
      <c r="L282" s="727"/>
      <c r="M282" s="727"/>
      <c r="N282" s="727"/>
      <c r="O282" s="727"/>
      <c r="P282" s="727"/>
      <c r="Q282" s="727"/>
      <c r="R282" s="727"/>
      <c r="S282" s="727"/>
      <c r="T282" s="729">
        <f t="shared" si="1"/>
        <v>0</v>
      </c>
      <c r="U282" s="727"/>
      <c r="V282" s="727"/>
      <c r="W282" s="727"/>
      <c r="X282" s="727"/>
      <c r="Y282" s="727"/>
      <c r="Z282" s="727"/>
      <c r="AA282" s="727"/>
      <c r="AB282" s="727"/>
      <c r="AC282" s="727"/>
      <c r="AD282" s="727"/>
      <c r="AE282" s="727"/>
      <c r="AF282" s="727"/>
      <c r="AG282" s="727"/>
      <c r="AH282" s="729">
        <f t="shared" si="2"/>
        <v>0</v>
      </c>
      <c r="AI282" s="727"/>
      <c r="AJ282" s="727"/>
      <c r="AK282" s="727"/>
      <c r="AL282" s="727"/>
      <c r="AM282" s="727"/>
      <c r="AN282" s="727"/>
      <c r="AO282" s="727"/>
      <c r="AP282" s="727"/>
      <c r="AQ282" s="727"/>
      <c r="AR282" s="727"/>
      <c r="AS282" s="727"/>
      <c r="AT282" s="727"/>
      <c r="AU282" s="729">
        <f t="shared" si="3"/>
        <v>0</v>
      </c>
      <c r="AV282" s="730">
        <f t="shared" si="4"/>
        <v>0</v>
      </c>
    </row>
    <row r="283" spans="1:48" ht="15.75" thickBot="1" x14ac:dyDescent="0.3">
      <c r="A283" s="621"/>
      <c r="B283" s="731" t="s">
        <v>1129</v>
      </c>
      <c r="C283" s="732">
        <f t="shared" ref="C283:AV283" si="5">SUM(C250:C282)</f>
        <v>0</v>
      </c>
      <c r="D283" s="732">
        <f t="shared" si="5"/>
        <v>0</v>
      </c>
      <c r="E283" s="732">
        <f t="shared" si="5"/>
        <v>0</v>
      </c>
      <c r="F283" s="732">
        <f t="shared" si="5"/>
        <v>0</v>
      </c>
      <c r="G283" s="733">
        <f t="shared" si="5"/>
        <v>0</v>
      </c>
      <c r="H283" s="732">
        <f t="shared" si="5"/>
        <v>0</v>
      </c>
      <c r="I283" s="732">
        <f t="shared" si="5"/>
        <v>0</v>
      </c>
      <c r="J283" s="732">
        <f t="shared" si="5"/>
        <v>0</v>
      </c>
      <c r="K283" s="732">
        <f t="shared" si="5"/>
        <v>0</v>
      </c>
      <c r="L283" s="732">
        <f t="shared" si="5"/>
        <v>0</v>
      </c>
      <c r="M283" s="732">
        <f t="shared" si="5"/>
        <v>0</v>
      </c>
      <c r="N283" s="732">
        <f t="shared" si="5"/>
        <v>0</v>
      </c>
      <c r="O283" s="732">
        <f t="shared" si="5"/>
        <v>0</v>
      </c>
      <c r="P283" s="732">
        <f t="shared" si="5"/>
        <v>0</v>
      </c>
      <c r="Q283" s="732">
        <f t="shared" si="5"/>
        <v>0</v>
      </c>
      <c r="R283" s="732">
        <f t="shared" si="5"/>
        <v>0</v>
      </c>
      <c r="S283" s="732">
        <f t="shared" si="5"/>
        <v>0</v>
      </c>
      <c r="T283" s="733">
        <f t="shared" si="5"/>
        <v>0</v>
      </c>
      <c r="U283" s="732">
        <f t="shared" si="5"/>
        <v>0</v>
      </c>
      <c r="V283" s="732">
        <f t="shared" si="5"/>
        <v>0</v>
      </c>
      <c r="W283" s="732">
        <f t="shared" si="5"/>
        <v>0</v>
      </c>
      <c r="X283" s="732">
        <f t="shared" si="5"/>
        <v>0</v>
      </c>
      <c r="Y283" s="732">
        <f t="shared" si="5"/>
        <v>0</v>
      </c>
      <c r="Z283" s="732">
        <f t="shared" si="5"/>
        <v>0</v>
      </c>
      <c r="AA283" s="732">
        <f t="shared" si="5"/>
        <v>0</v>
      </c>
      <c r="AB283" s="732">
        <f t="shared" si="5"/>
        <v>0</v>
      </c>
      <c r="AC283" s="732">
        <f t="shared" si="5"/>
        <v>0</v>
      </c>
      <c r="AD283" s="732">
        <f t="shared" si="5"/>
        <v>0</v>
      </c>
      <c r="AE283" s="732"/>
      <c r="AF283" s="732">
        <f t="shared" si="5"/>
        <v>0</v>
      </c>
      <c r="AG283" s="732">
        <f t="shared" si="5"/>
        <v>0</v>
      </c>
      <c r="AH283" s="733">
        <f t="shared" si="5"/>
        <v>0</v>
      </c>
      <c r="AI283" s="732">
        <f t="shared" si="5"/>
        <v>0</v>
      </c>
      <c r="AJ283" s="732">
        <f t="shared" si="5"/>
        <v>0</v>
      </c>
      <c r="AK283" s="732">
        <f t="shared" si="5"/>
        <v>0</v>
      </c>
      <c r="AL283" s="732">
        <f t="shared" si="5"/>
        <v>0</v>
      </c>
      <c r="AM283" s="732">
        <f t="shared" si="5"/>
        <v>0</v>
      </c>
      <c r="AN283" s="732">
        <f t="shared" si="5"/>
        <v>0</v>
      </c>
      <c r="AO283" s="732">
        <f t="shared" si="5"/>
        <v>0</v>
      </c>
      <c r="AP283" s="732">
        <f t="shared" si="5"/>
        <v>0</v>
      </c>
      <c r="AQ283" s="732">
        <f t="shared" si="5"/>
        <v>0</v>
      </c>
      <c r="AR283" s="732">
        <f t="shared" si="5"/>
        <v>0</v>
      </c>
      <c r="AS283" s="732">
        <f t="shared" si="5"/>
        <v>0</v>
      </c>
      <c r="AT283" s="732">
        <f t="shared" si="5"/>
        <v>0</v>
      </c>
      <c r="AU283" s="733">
        <f t="shared" si="5"/>
        <v>0</v>
      </c>
      <c r="AV283" s="734">
        <f t="shared" si="5"/>
        <v>0</v>
      </c>
    </row>
    <row r="1222" spans="1:23" ht="15.75" thickBot="1" x14ac:dyDescent="0.3">
      <c r="A1222" s="487"/>
      <c r="B1222" s="735"/>
      <c r="C1222" s="540"/>
      <c r="D1222" s="540"/>
      <c r="E1222" s="736"/>
      <c r="F1222" s="492"/>
      <c r="G1222" s="493"/>
      <c r="H1222" s="493"/>
      <c r="I1222" s="519"/>
      <c r="J1222" s="737"/>
      <c r="K1222" s="737"/>
      <c r="L1222" s="738"/>
      <c r="M1222" s="519"/>
      <c r="N1222" s="498"/>
      <c r="O1222" s="498"/>
      <c r="P1222" s="499"/>
      <c r="Q1222" s="499"/>
      <c r="R1222" s="499"/>
      <c r="S1222" s="500"/>
      <c r="T1222" s="739"/>
      <c r="U1222" s="739"/>
      <c r="V1222" s="739"/>
      <c r="W1222" s="499"/>
    </row>
    <row r="1223" spans="1:23" x14ac:dyDescent="0.25">
      <c r="A1223" s="487"/>
      <c r="B1223" s="488" t="s">
        <v>820</v>
      </c>
      <c r="C1223" s="489">
        <f>COUNTIF(B$1:B1220,B1223)</f>
        <v>1</v>
      </c>
      <c r="D1223" s="490">
        <f>C1223/C1228</f>
        <v>0.2</v>
      </c>
      <c r="E1223" s="491"/>
      <c r="F1223" s="492"/>
      <c r="G1223" s="493"/>
      <c r="H1223" s="493"/>
      <c r="I1223" s="494"/>
      <c r="J1223" s="495">
        <f>SUMIF(B$3:B1220,B1223,T$3:T1227)</f>
        <v>48</v>
      </c>
      <c r="K1223" s="496"/>
      <c r="L1223" s="497">
        <f>J1223/J1228</f>
        <v>1</v>
      </c>
      <c r="M1223" s="498"/>
      <c r="N1223" s="498"/>
      <c r="O1223" s="498"/>
      <c r="P1223" s="499"/>
      <c r="Q1223" s="499"/>
      <c r="R1223" s="499"/>
      <c r="S1223" s="500" t="s">
        <v>786</v>
      </c>
      <c r="T1223" s="501">
        <v>1261915799.52244</v>
      </c>
      <c r="U1223" s="501" t="e">
        <f>SUM(#REF!)</f>
        <v>#REF!</v>
      </c>
      <c r="V1223" s="501" t="e">
        <f>SUM(#REF!)</f>
        <v>#REF!</v>
      </c>
      <c r="W1223" s="499" t="s">
        <v>821</v>
      </c>
    </row>
    <row r="1224" spans="1:23" x14ac:dyDescent="0.25">
      <c r="A1224" s="487"/>
      <c r="B1224" s="504" t="s">
        <v>822</v>
      </c>
      <c r="C1224" s="505">
        <f>COUNTIF(B$1:B1220,B1224)</f>
        <v>1</v>
      </c>
      <c r="D1224" s="506">
        <f>C1224/C1228</f>
        <v>0.2</v>
      </c>
      <c r="E1224" s="491"/>
      <c r="F1224" s="492"/>
      <c r="G1224" s="493"/>
      <c r="H1224" s="493"/>
      <c r="I1224" s="494"/>
      <c r="J1224" s="507">
        <f>SUMIF(B$3:B1223,B1224,T$3:T1228)</f>
        <v>0</v>
      </c>
      <c r="K1224" s="508"/>
      <c r="L1224" s="509">
        <f>J1224/J1228</f>
        <v>0</v>
      </c>
      <c r="M1224" s="498"/>
      <c r="N1224" s="498"/>
      <c r="O1224" s="498"/>
      <c r="P1224" s="503"/>
      <c r="Q1224" s="503"/>
      <c r="R1224" s="503"/>
      <c r="S1224" s="510"/>
      <c r="T1224" s="511"/>
      <c r="U1224" s="511"/>
      <c r="V1224" s="511"/>
      <c r="W1224" s="503"/>
    </row>
    <row r="1225" spans="1:23" x14ac:dyDescent="0.25">
      <c r="A1225" s="487"/>
      <c r="B1225" s="513" t="s">
        <v>823</v>
      </c>
      <c r="C1225" s="514">
        <f>COUNTIF(B$1:B1220,B1225)</f>
        <v>1</v>
      </c>
      <c r="D1225" s="515">
        <f>C1225/C1228</f>
        <v>0.2</v>
      </c>
      <c r="E1225" s="491"/>
      <c r="F1225" s="492"/>
      <c r="G1225" s="493"/>
      <c r="H1225" s="493"/>
      <c r="I1225" s="494"/>
      <c r="J1225" s="516">
        <f>SUMIF(B$3:B1224,B1225,T$3:T1228)</f>
        <v>0</v>
      </c>
      <c r="K1225" s="517"/>
      <c r="L1225" s="518">
        <f>J1225/J1228</f>
        <v>0</v>
      </c>
      <c r="M1225" s="519"/>
      <c r="N1225" s="498"/>
      <c r="O1225" s="498"/>
      <c r="P1225" s="503"/>
      <c r="Q1225" s="503"/>
      <c r="R1225" s="503"/>
      <c r="S1225" s="510"/>
      <c r="T1225" s="511"/>
      <c r="U1225" s="511"/>
      <c r="V1225" s="511"/>
      <c r="W1225" s="503"/>
    </row>
    <row r="1226" spans="1:23" ht="15.75" thickBot="1" x14ac:dyDescent="0.3">
      <c r="A1226" s="487"/>
      <c r="B1226" s="520" t="s">
        <v>824</v>
      </c>
      <c r="C1226" s="521">
        <f>COUNTIF(B$1:B1223,B1226)</f>
        <v>1</v>
      </c>
      <c r="D1226" s="522">
        <f>C1226/C1228</f>
        <v>0.2</v>
      </c>
      <c r="E1226" s="491"/>
      <c r="F1226" s="492"/>
      <c r="G1226" s="493"/>
      <c r="H1226" s="493"/>
      <c r="I1226" s="494"/>
      <c r="J1226" s="523">
        <f>SUMIF(B$3:B1225,B1226,T$3:T1228)</f>
        <v>0</v>
      </c>
      <c r="K1226" s="524"/>
      <c r="L1226" s="525">
        <f>J1226/J1228</f>
        <v>0</v>
      </c>
      <c r="M1226" s="519"/>
      <c r="N1226" s="498"/>
      <c r="O1226" s="498"/>
      <c r="P1226" s="503"/>
      <c r="Q1226" s="503"/>
      <c r="R1226" s="503"/>
      <c r="S1226" s="510"/>
      <c r="T1226" s="511"/>
      <c r="U1226" s="511"/>
      <c r="V1226" s="511"/>
      <c r="W1226" s="503"/>
    </row>
    <row r="1227" spans="1:23" ht="16.5" thickTop="1" thickBot="1" x14ac:dyDescent="0.3">
      <c r="A1227" s="526"/>
      <c r="B1227" s="527" t="s">
        <v>809</v>
      </c>
      <c r="C1227" s="528">
        <f>COUNTIF(B$1:B1220,B1227)</f>
        <v>1</v>
      </c>
      <c r="D1227" s="529">
        <f>C1227/C1228</f>
        <v>0.2</v>
      </c>
      <c r="E1227" s="530"/>
      <c r="F1227" s="531"/>
      <c r="G1227" s="532"/>
      <c r="H1227" s="532"/>
      <c r="I1227" s="533"/>
      <c r="J1227" s="534">
        <f>SUMIF(B$3:B1226,B1227,T$3:T1228)</f>
        <v>0</v>
      </c>
      <c r="K1227" s="535"/>
      <c r="L1227" s="536">
        <f>J1227/J1228</f>
        <v>0</v>
      </c>
      <c r="M1227" s="537"/>
      <c r="N1227" s="537"/>
      <c r="O1227" s="537"/>
      <c r="P1227" s="503"/>
      <c r="Q1227" s="503"/>
      <c r="R1227" s="503"/>
      <c r="S1227" s="510"/>
      <c r="T1227" s="511"/>
      <c r="U1227" s="511"/>
      <c r="V1227" s="511"/>
      <c r="W1227" s="503"/>
    </row>
    <row r="1228" spans="1:23" x14ac:dyDescent="0.25">
      <c r="A1228" s="487"/>
      <c r="B1228" s="538"/>
      <c r="C1228" s="539">
        <f>SUM(C1223:C1227)</f>
        <v>5</v>
      </c>
      <c r="D1228" s="540"/>
      <c r="E1228" s="491"/>
      <c r="F1228" s="492"/>
      <c r="G1228" s="493"/>
      <c r="H1228" s="493"/>
      <c r="I1228" s="494"/>
      <c r="J1228" s="541">
        <f>SUM(J1223:J1227)</f>
        <v>48</v>
      </c>
      <c r="K1228" s="542"/>
      <c r="L1228" s="543"/>
      <c r="M1228" s="519"/>
      <c r="N1228" s="498"/>
      <c r="O1228" s="498"/>
      <c r="P1228" s="503"/>
      <c r="Q1228" s="503"/>
      <c r="R1228" s="503"/>
      <c r="S1228" s="510"/>
      <c r="T1228" s="511"/>
      <c r="U1228" s="511"/>
      <c r="V1228" s="511"/>
      <c r="W1228" s="503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71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8" customFormat="1" ht="7.5" customHeight="1" x14ac:dyDescent="0.25">
      <c r="D1" s="549"/>
      <c r="E1" s="549"/>
      <c r="F1" s="549"/>
      <c r="G1" s="549"/>
      <c r="K1" s="740"/>
    </row>
    <row r="2" spans="1:34" s="423" customFormat="1" ht="19.5" x14ac:dyDescent="0.3">
      <c r="C2" s="424" t="s">
        <v>1130</v>
      </c>
      <c r="K2" s="740"/>
    </row>
    <row r="4" spans="1:34" ht="15.75" thickBot="1" x14ac:dyDescent="0.3">
      <c r="A4" s="604" t="s">
        <v>1131</v>
      </c>
    </row>
    <row r="5" spans="1:34" s="613" customFormat="1" ht="15.75" thickBot="1" x14ac:dyDescent="0.3">
      <c r="A5" s="398"/>
      <c r="B5" s="741" t="s">
        <v>1132</v>
      </c>
      <c r="C5" s="742">
        <f>MATCH("NewOpp",E5:N5,0)+4</f>
        <v>12</v>
      </c>
      <c r="D5" s="742">
        <f>MATCH("STOP",E5:N5,0)+4</f>
        <v>14</v>
      </c>
      <c r="K5" s="743"/>
      <c r="L5" s="744" t="s">
        <v>139</v>
      </c>
      <c r="M5" s="745" t="s">
        <v>1133</v>
      </c>
      <c r="N5" s="746" t="s">
        <v>1134</v>
      </c>
      <c r="P5" s="614"/>
      <c r="Q5" s="615"/>
      <c r="R5" s="616"/>
      <c r="S5" s="617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3" customFormat="1" x14ac:dyDescent="0.25">
      <c r="A6" s="747"/>
      <c r="B6" s="748"/>
      <c r="C6" s="749"/>
      <c r="D6" s="750"/>
      <c r="L6" s="751"/>
      <c r="M6" s="751"/>
      <c r="N6" s="752"/>
      <c r="Q6" s="656"/>
      <c r="R6" s="615"/>
      <c r="S6" s="616"/>
      <c r="T6" s="617"/>
      <c r="U6" s="671"/>
      <c r="V6" s="671"/>
      <c r="W6" s="671"/>
      <c r="X6" s="671"/>
      <c r="Y6" s="671"/>
      <c r="Z6" s="671"/>
      <c r="AA6" s="671"/>
      <c r="AB6" s="671"/>
      <c r="AC6" s="671"/>
      <c r="AD6" s="671"/>
    </row>
    <row r="7" spans="1:34" x14ac:dyDescent="0.25">
      <c r="A7" s="753">
        <v>0</v>
      </c>
      <c r="B7" s="754" t="s">
        <v>65</v>
      </c>
      <c r="C7" s="755" t="s">
        <v>65</v>
      </c>
      <c r="D7" s="756" t="s">
        <v>65</v>
      </c>
      <c r="E7" s="757">
        <v>0</v>
      </c>
      <c r="F7" s="757">
        <v>0</v>
      </c>
      <c r="G7" s="757">
        <v>0</v>
      </c>
      <c r="H7" s="757">
        <v>0</v>
      </c>
      <c r="I7" s="757">
        <v>0</v>
      </c>
      <c r="J7" s="757">
        <v>0</v>
      </c>
      <c r="K7" s="757">
        <v>17</v>
      </c>
      <c r="L7" s="896" t="s">
        <v>50</v>
      </c>
      <c r="M7" s="896" t="s">
        <v>77</v>
      </c>
      <c r="N7" s="896" t="s">
        <v>80</v>
      </c>
      <c r="O7" s="758" t="s">
        <v>962</v>
      </c>
      <c r="P7" s="896" t="s">
        <v>80</v>
      </c>
      <c r="Q7" s="896" t="s">
        <v>80</v>
      </c>
      <c r="R7" s="758" t="s">
        <v>80</v>
      </c>
      <c r="S7" s="758" t="s">
        <v>50</v>
      </c>
      <c r="T7" s="758" t="s">
        <v>80</v>
      </c>
      <c r="U7" s="758" t="s">
        <v>80</v>
      </c>
      <c r="V7" s="758" t="s">
        <v>80</v>
      </c>
      <c r="W7" s="896" t="s">
        <v>80</v>
      </c>
      <c r="X7" s="758" t="s">
        <v>59</v>
      </c>
      <c r="Y7" s="758" t="s">
        <v>243</v>
      </c>
      <c r="Z7" s="757">
        <v>0</v>
      </c>
      <c r="AA7" s="622"/>
      <c r="AB7" s="621"/>
    </row>
    <row r="8" spans="1:34" x14ac:dyDescent="0.25">
      <c r="A8" s="747"/>
      <c r="B8" s="754" t="s">
        <v>926</v>
      </c>
      <c r="C8" s="755"/>
      <c r="D8" s="756"/>
      <c r="E8" s="661"/>
      <c r="F8" s="661"/>
      <c r="G8" s="661"/>
      <c r="H8" s="661"/>
      <c r="I8" s="661"/>
      <c r="J8" s="661"/>
      <c r="K8" s="661"/>
      <c r="L8" s="656"/>
      <c r="M8" s="656"/>
      <c r="N8" s="656"/>
      <c r="O8" s="671"/>
      <c r="P8" s="671"/>
      <c r="Q8" s="656"/>
      <c r="R8" s="656"/>
      <c r="S8" s="656"/>
      <c r="T8" s="656"/>
      <c r="U8" s="656"/>
      <c r="V8" s="656"/>
      <c r="W8" s="671"/>
      <c r="X8" s="671"/>
      <c r="Y8" s="671"/>
      <c r="Z8" s="622"/>
      <c r="AA8" s="621"/>
    </row>
    <row r="9" spans="1:34" x14ac:dyDescent="0.25">
      <c r="A9" s="747"/>
      <c r="B9" s="754" t="s">
        <v>930</v>
      </c>
      <c r="C9" s="755"/>
      <c r="D9" s="756"/>
      <c r="E9" s="661"/>
      <c r="F9" s="661"/>
      <c r="G9" s="661"/>
      <c r="H9" s="661"/>
      <c r="I9" s="661"/>
      <c r="J9" s="661"/>
      <c r="K9" s="661"/>
      <c r="L9" s="656"/>
      <c r="M9" s="656"/>
      <c r="N9" s="656"/>
      <c r="O9" s="671"/>
      <c r="P9" s="671"/>
      <c r="Q9" s="656"/>
      <c r="R9" s="656"/>
      <c r="S9" s="656"/>
      <c r="T9" s="656"/>
      <c r="U9" s="656"/>
      <c r="V9" s="656"/>
      <c r="W9" s="671"/>
      <c r="X9" s="671"/>
      <c r="Y9" s="671"/>
      <c r="Z9" s="622"/>
      <c r="AA9" s="621"/>
    </row>
    <row r="10" spans="1:34" ht="15.75" thickBot="1" x14ac:dyDescent="0.3">
      <c r="A10" s="747"/>
      <c r="B10" s="759" t="s">
        <v>933</v>
      </c>
      <c r="C10" s="755"/>
      <c r="D10" s="756"/>
      <c r="E10" s="661"/>
      <c r="F10" s="661"/>
      <c r="G10" s="661"/>
      <c r="H10" s="661"/>
      <c r="I10" s="661"/>
      <c r="J10" s="661"/>
      <c r="K10" s="661"/>
      <c r="L10" s="656"/>
      <c r="M10" s="656"/>
      <c r="N10" s="656"/>
      <c r="O10" s="671"/>
      <c r="P10" s="671"/>
      <c r="Q10" s="656"/>
      <c r="R10" s="656"/>
      <c r="S10" s="656"/>
      <c r="T10" s="656"/>
      <c r="U10" s="656"/>
      <c r="V10" s="656"/>
      <c r="W10" s="671"/>
      <c r="X10" s="671"/>
      <c r="Y10" s="671"/>
      <c r="Z10" s="622"/>
      <c r="AA10" s="621"/>
    </row>
    <row r="11" spans="1:34" s="773" customFormat="1" ht="23.25" thickBot="1" x14ac:dyDescent="0.3">
      <c r="A11" s="977" t="s">
        <v>31</v>
      </c>
      <c r="B11" s="760" t="s">
        <v>1135</v>
      </c>
      <c r="C11" s="761" t="s">
        <v>1136</v>
      </c>
      <c r="D11" s="762"/>
      <c r="E11" s="426" t="s">
        <v>740</v>
      </c>
      <c r="F11" s="763" t="s">
        <v>51</v>
      </c>
      <c r="G11" s="763" t="s">
        <v>1137</v>
      </c>
      <c r="H11" s="764" t="s">
        <v>757</v>
      </c>
      <c r="I11" s="764"/>
      <c r="J11" s="427" t="s">
        <v>1138</v>
      </c>
      <c r="K11" s="765" t="s">
        <v>400</v>
      </c>
      <c r="L11" s="766" t="s">
        <v>1139</v>
      </c>
      <c r="M11" s="767" t="s">
        <v>35</v>
      </c>
      <c r="N11" s="767" t="s">
        <v>38</v>
      </c>
      <c r="O11" s="768" t="s">
        <v>742</v>
      </c>
      <c r="P11" s="767" t="s">
        <v>1140</v>
      </c>
      <c r="Q11" s="769" t="s">
        <v>751</v>
      </c>
      <c r="R11" s="994" t="s">
        <v>752</v>
      </c>
      <c r="S11" s="995"/>
      <c r="T11" s="770" t="s">
        <v>108</v>
      </c>
      <c r="U11" s="768" t="s">
        <v>757</v>
      </c>
      <c r="V11" s="770" t="s">
        <v>758</v>
      </c>
      <c r="W11" s="771" t="s">
        <v>759</v>
      </c>
      <c r="X11" s="772" t="s">
        <v>760</v>
      </c>
      <c r="Y11" s="770" t="s">
        <v>761</v>
      </c>
      <c r="Z11" s="398"/>
    </row>
    <row r="12" spans="1:34" s="773" customFormat="1" ht="15.75" thickBot="1" x14ac:dyDescent="0.3">
      <c r="A12" s="978"/>
      <c r="B12" s="774" t="s">
        <v>916</v>
      </c>
      <c r="C12" s="755" t="s">
        <v>1136</v>
      </c>
      <c r="D12" s="775"/>
      <c r="E12" s="647"/>
      <c r="F12" s="776"/>
      <c r="G12" s="398"/>
      <c r="H12" s="398"/>
      <c r="I12" s="398"/>
      <c r="J12" s="777"/>
      <c r="K12" s="778"/>
      <c r="L12" s="779">
        <f>HYPERLINK("https://eu1.salesforce.com/"&amp;E12,F12)</f>
        <v>0</v>
      </c>
      <c r="M12" s="648"/>
      <c r="N12" s="648"/>
      <c r="O12" s="780"/>
      <c r="P12" s="781">
        <v>1234567.8899999999</v>
      </c>
      <c r="Q12" s="781">
        <v>1234567.8899999999</v>
      </c>
      <c r="R12" s="996"/>
      <c r="S12" s="997"/>
      <c r="T12" s="782"/>
      <c r="U12" s="779">
        <f>HYPERLINK("https://eu1.salesforce.com/"&amp;G12,H12)</f>
        <v>0</v>
      </c>
      <c r="V12" s="783"/>
      <c r="W12" s="781"/>
      <c r="X12" s="783"/>
      <c r="Y12" s="783"/>
    </row>
    <row r="13" spans="1:34" x14ac:dyDescent="0.25">
      <c r="A13" s="978"/>
      <c r="B13" s="754" t="s">
        <v>922</v>
      </c>
      <c r="C13" s="755"/>
      <c r="D13" s="756"/>
      <c r="E13" s="661">
        <v>0.5</v>
      </c>
      <c r="F13" s="661"/>
      <c r="J13" s="661">
        <v>0.5</v>
      </c>
      <c r="K13" s="661">
        <v>17</v>
      </c>
      <c r="L13" s="656" t="s">
        <v>928</v>
      </c>
      <c r="M13" s="656" t="s">
        <v>83</v>
      </c>
      <c r="N13" s="656" t="s">
        <v>80</v>
      </c>
      <c r="O13" s="656" t="s">
        <v>927</v>
      </c>
      <c r="P13" s="656" t="s">
        <v>1141</v>
      </c>
      <c r="Q13" s="656" t="s">
        <v>1141</v>
      </c>
      <c r="R13" s="656" t="s">
        <v>1142</v>
      </c>
      <c r="S13" s="656"/>
      <c r="T13" s="872" t="s">
        <v>1228</v>
      </c>
      <c r="U13" s="656" t="s">
        <v>185</v>
      </c>
      <c r="V13" s="656" t="s">
        <v>185</v>
      </c>
      <c r="W13" s="656" t="s">
        <v>1141</v>
      </c>
      <c r="X13" s="656" t="s">
        <v>59</v>
      </c>
      <c r="Y13" s="656" t="s">
        <v>243</v>
      </c>
      <c r="AA13" s="622"/>
      <c r="AB13" s="621"/>
    </row>
    <row r="14" spans="1:34" x14ac:dyDescent="0.25">
      <c r="A14" s="978"/>
      <c r="B14" s="754" t="s">
        <v>926</v>
      </c>
      <c r="C14" s="755"/>
      <c r="D14" s="756"/>
      <c r="E14" s="661">
        <v>1</v>
      </c>
      <c r="F14" s="661">
        <v>9</v>
      </c>
      <c r="G14" s="661">
        <v>25</v>
      </c>
      <c r="H14" s="777">
        <v>25</v>
      </c>
      <c r="I14" s="777"/>
      <c r="J14" s="661" t="s">
        <v>1085</v>
      </c>
      <c r="K14" s="661">
        <v>19</v>
      </c>
      <c r="L14" s="656"/>
      <c r="M14" s="656" t="s">
        <v>119</v>
      </c>
      <c r="N14" s="656" t="s">
        <v>33</v>
      </c>
      <c r="O14" s="656" t="s">
        <v>185</v>
      </c>
      <c r="P14" s="656" t="s">
        <v>80</v>
      </c>
      <c r="Q14" s="656" t="s">
        <v>927</v>
      </c>
      <c r="R14" s="656" t="s">
        <v>244</v>
      </c>
      <c r="S14" s="656"/>
      <c r="T14" s="656" t="s">
        <v>928</v>
      </c>
      <c r="U14" s="656"/>
      <c r="V14" s="656" t="s">
        <v>1143</v>
      </c>
      <c r="W14" s="656" t="s">
        <v>1004</v>
      </c>
      <c r="X14" s="656" t="s">
        <v>1005</v>
      </c>
      <c r="Y14" s="656" t="s">
        <v>1144</v>
      </c>
      <c r="AD14" s="626"/>
      <c r="AE14" s="626"/>
      <c r="AF14" s="626"/>
      <c r="AG14" s="626"/>
      <c r="AH14" s="626"/>
    </row>
    <row r="15" spans="1:34" x14ac:dyDescent="0.25">
      <c r="A15" s="978"/>
      <c r="B15" s="754" t="s">
        <v>930</v>
      </c>
      <c r="C15" s="755"/>
      <c r="D15" s="756"/>
      <c r="E15" s="661"/>
      <c r="F15" s="661"/>
      <c r="G15" s="661" t="s">
        <v>932</v>
      </c>
      <c r="H15" s="398" t="s">
        <v>1145</v>
      </c>
      <c r="J15" s="661"/>
      <c r="K15" s="784" t="s">
        <v>774</v>
      </c>
      <c r="L15" s="671"/>
      <c r="M15" s="671"/>
      <c r="N15" s="671"/>
      <c r="O15" s="671"/>
      <c r="P15" s="671"/>
      <c r="Q15" s="671"/>
      <c r="R15" s="671"/>
      <c r="S15" s="671"/>
      <c r="T15" s="671"/>
      <c r="U15" s="671"/>
      <c r="V15" s="671"/>
      <c r="W15" s="671"/>
      <c r="X15" s="671"/>
      <c r="Y15" s="671"/>
      <c r="AD15" s="626"/>
      <c r="AE15" s="626"/>
      <c r="AF15" s="626"/>
      <c r="AG15" s="626"/>
      <c r="AH15" s="626"/>
    </row>
    <row r="16" spans="1:34" ht="15.75" thickBot="1" x14ac:dyDescent="0.3">
      <c r="A16" s="979"/>
      <c r="B16" s="759" t="s">
        <v>933</v>
      </c>
      <c r="C16" s="785"/>
      <c r="D16" s="786"/>
      <c r="E16" s="787"/>
      <c r="F16" s="787"/>
      <c r="G16" s="787" t="s">
        <v>1146</v>
      </c>
      <c r="J16" s="787" t="s">
        <v>1147</v>
      </c>
      <c r="K16" s="787"/>
      <c r="L16" s="671"/>
      <c r="M16" s="671"/>
      <c r="N16" s="671"/>
      <c r="O16" s="671"/>
      <c r="P16" s="671"/>
      <c r="Q16" s="671"/>
      <c r="R16" s="671"/>
      <c r="S16" s="671"/>
      <c r="T16" s="671"/>
      <c r="U16" s="671"/>
      <c r="V16" s="671"/>
      <c r="W16" s="671"/>
      <c r="AB16" s="626"/>
      <c r="AC16" s="626"/>
      <c r="AD16" s="626"/>
      <c r="AE16" s="626"/>
      <c r="AF16" s="626"/>
    </row>
    <row r="17" spans="1:37" s="773" customFormat="1" ht="30.75" thickBot="1" x14ac:dyDescent="0.3">
      <c r="A17" s="977" t="s">
        <v>68</v>
      </c>
      <c r="B17" s="594" t="s">
        <v>893</v>
      </c>
      <c r="C17" s="761" t="s">
        <v>1136</v>
      </c>
      <c r="D17" s="762"/>
      <c r="E17" s="788" t="s">
        <v>741</v>
      </c>
      <c r="F17" s="788"/>
      <c r="G17" s="788"/>
      <c r="H17" s="789" t="s">
        <v>1148</v>
      </c>
      <c r="I17" s="789"/>
      <c r="J17" s="790" t="s">
        <v>117</v>
      </c>
      <c r="K17" s="791"/>
      <c r="L17" s="792" t="s">
        <v>1149</v>
      </c>
      <c r="M17" s="793" t="s">
        <v>1150</v>
      </c>
      <c r="N17" s="794" t="s">
        <v>1151</v>
      </c>
      <c r="O17" s="794" t="s">
        <v>1152</v>
      </c>
      <c r="P17" s="795" t="s">
        <v>1153</v>
      </c>
      <c r="Q17" s="795" t="s">
        <v>1154</v>
      </c>
      <c r="R17" s="984" t="s">
        <v>1155</v>
      </c>
      <c r="S17" s="985"/>
      <c r="T17" s="792" t="s">
        <v>1156</v>
      </c>
      <c r="W17" s="792" t="s">
        <v>1157</v>
      </c>
      <c r="X17" s="796"/>
    </row>
    <row r="18" spans="1:37" s="773" customFormat="1" ht="15.75" thickBot="1" x14ac:dyDescent="0.3">
      <c r="A18" s="978"/>
      <c r="B18" s="774" t="s">
        <v>916</v>
      </c>
      <c r="C18" s="755" t="s">
        <v>1158</v>
      </c>
      <c r="D18" s="797">
        <f>E12</f>
        <v>0</v>
      </c>
      <c r="H18" s="798"/>
      <c r="I18" s="798"/>
      <c r="J18" s="799"/>
      <c r="K18" s="800"/>
      <c r="L18" s="941"/>
      <c r="M18" s="802"/>
      <c r="N18" s="803"/>
      <c r="O18" s="803"/>
      <c r="P18" s="942"/>
      <c r="Q18" s="802"/>
      <c r="R18" s="986"/>
      <c r="S18" s="987"/>
      <c r="T18" s="804"/>
      <c r="W18" s="897"/>
      <c r="X18" s="796"/>
    </row>
    <row r="19" spans="1:37" x14ac:dyDescent="0.25">
      <c r="A19" s="978"/>
      <c r="B19" s="754" t="s">
        <v>922</v>
      </c>
      <c r="C19" s="755"/>
      <c r="D19" s="756"/>
      <c r="E19" s="436">
        <v>0.5</v>
      </c>
      <c r="F19" s="436"/>
      <c r="G19" s="436"/>
      <c r="H19" s="436">
        <v>0.5</v>
      </c>
      <c r="I19" s="436"/>
      <c r="J19" s="436">
        <v>0.5</v>
      </c>
      <c r="K19" s="661"/>
      <c r="L19" s="806">
        <v>14</v>
      </c>
      <c r="M19" s="806">
        <v>10</v>
      </c>
      <c r="N19" s="806">
        <v>10</v>
      </c>
      <c r="O19" s="806">
        <v>10</v>
      </c>
      <c r="P19" s="806">
        <v>30</v>
      </c>
      <c r="Q19" s="806">
        <v>10</v>
      </c>
      <c r="R19" s="806">
        <v>40</v>
      </c>
      <c r="S19" s="806"/>
      <c r="T19" s="806">
        <v>26</v>
      </c>
      <c r="W19" s="656" t="s">
        <v>1141</v>
      </c>
      <c r="X19" s="777"/>
    </row>
    <row r="20" spans="1:37" x14ac:dyDescent="0.25">
      <c r="A20" s="978"/>
      <c r="B20" s="754" t="s">
        <v>926</v>
      </c>
      <c r="C20" s="755"/>
      <c r="D20" s="756"/>
      <c r="E20" s="884" t="s">
        <v>1230</v>
      </c>
      <c r="J20" s="671"/>
      <c r="K20" s="398"/>
      <c r="L20" s="884" t="s">
        <v>1230</v>
      </c>
      <c r="M20" s="777" t="s">
        <v>1230</v>
      </c>
      <c r="N20" s="806" t="s">
        <v>1230</v>
      </c>
      <c r="O20" s="806" t="s">
        <v>1230</v>
      </c>
      <c r="P20" s="806" t="s">
        <v>1230</v>
      </c>
      <c r="Q20" s="806" t="s">
        <v>1230</v>
      </c>
      <c r="R20" s="806" t="s">
        <v>1230</v>
      </c>
      <c r="S20" s="806"/>
      <c r="T20" s="806" t="s">
        <v>1230</v>
      </c>
      <c r="W20" s="806" t="s">
        <v>1230</v>
      </c>
      <c r="X20" s="777"/>
    </row>
    <row r="21" spans="1:37" x14ac:dyDescent="0.25">
      <c r="A21" s="978"/>
      <c r="B21" s="754" t="s">
        <v>930</v>
      </c>
      <c r="C21" s="755"/>
      <c r="D21" s="756"/>
      <c r="E21" s="777"/>
      <c r="K21" s="398"/>
      <c r="L21" s="777"/>
      <c r="M21" s="777"/>
      <c r="N21" s="777"/>
      <c r="O21" s="777"/>
      <c r="P21" s="777"/>
      <c r="Q21" s="777"/>
      <c r="R21" s="777"/>
      <c r="S21" s="777"/>
      <c r="T21" s="777"/>
      <c r="W21" s="777"/>
      <c r="X21" s="777"/>
    </row>
    <row r="22" spans="1:37" s="613" customFormat="1" ht="15.75" thickBot="1" x14ac:dyDescent="0.3">
      <c r="A22" s="979"/>
      <c r="B22" s="759" t="s">
        <v>933</v>
      </c>
      <c r="C22" s="807"/>
      <c r="D22" s="808"/>
      <c r="E22" s="809" t="s">
        <v>1159</v>
      </c>
      <c r="F22" s="809"/>
      <c r="G22" s="398"/>
      <c r="H22" s="398"/>
      <c r="I22" s="398"/>
      <c r="J22" s="671"/>
      <c r="K22" s="787"/>
      <c r="L22" s="809" t="s">
        <v>1160</v>
      </c>
      <c r="M22" s="809" t="s">
        <v>1161</v>
      </c>
      <c r="N22" s="809" t="s">
        <v>1162</v>
      </c>
      <c r="O22" s="809" t="s">
        <v>1163</v>
      </c>
      <c r="P22" s="809" t="s">
        <v>1164</v>
      </c>
      <c r="Q22" s="809" t="s">
        <v>1165</v>
      </c>
      <c r="R22" s="809" t="s">
        <v>1166</v>
      </c>
      <c r="S22" s="806"/>
      <c r="T22" s="809" t="s">
        <v>1167</v>
      </c>
      <c r="U22" s="809"/>
      <c r="W22" s="809" t="s">
        <v>1168</v>
      </c>
      <c r="Y22" s="810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7" ht="30.75" thickBot="1" x14ac:dyDescent="0.3">
      <c r="A23" s="977" t="s">
        <v>64</v>
      </c>
      <c r="B23" s="811" t="s">
        <v>1169</v>
      </c>
      <c r="C23" s="761" t="s">
        <v>1136</v>
      </c>
      <c r="D23" s="762"/>
      <c r="E23" s="427" t="s">
        <v>945</v>
      </c>
      <c r="F23" s="427" t="s">
        <v>1170</v>
      </c>
      <c r="G23" s="427" t="s">
        <v>869</v>
      </c>
      <c r="H23" s="812" t="s">
        <v>1171</v>
      </c>
      <c r="I23" s="812" t="s">
        <v>1137</v>
      </c>
      <c r="J23" s="813" t="s">
        <v>117</v>
      </c>
      <c r="K23" s="814"/>
      <c r="L23" s="988" t="s">
        <v>869</v>
      </c>
      <c r="M23" s="989"/>
      <c r="N23" s="815" t="s">
        <v>1172</v>
      </c>
      <c r="O23" s="816" t="s">
        <v>1173</v>
      </c>
      <c r="P23" s="816" t="s">
        <v>1174</v>
      </c>
      <c r="Q23" s="816" t="s">
        <v>1175</v>
      </c>
      <c r="R23" s="816" t="s">
        <v>1176</v>
      </c>
      <c r="S23" s="816" t="s">
        <v>1177</v>
      </c>
      <c r="T23" s="816" t="s">
        <v>108</v>
      </c>
      <c r="U23" s="816" t="s">
        <v>757</v>
      </c>
      <c r="V23" s="816" t="s">
        <v>101</v>
      </c>
      <c r="W23" s="816" t="s">
        <v>82</v>
      </c>
      <c r="X23" s="816" t="s">
        <v>1178</v>
      </c>
      <c r="Y23" s="816" t="s">
        <v>126</v>
      </c>
      <c r="Z23" s="614"/>
      <c r="AA23" s="614"/>
      <c r="AB23" s="614"/>
    </row>
    <row r="24" spans="1:37" ht="15.75" thickBot="1" x14ac:dyDescent="0.3">
      <c r="A24" s="978"/>
      <c r="B24" s="774" t="s">
        <v>916</v>
      </c>
      <c r="C24" s="817" t="str">
        <f>IF(LEN(J12)=0,"",J12)</f>
        <v/>
      </c>
      <c r="D24" s="818">
        <v>1</v>
      </c>
      <c r="F24" s="819"/>
      <c r="G24" s="436"/>
      <c r="H24" s="820"/>
      <c r="I24" s="820"/>
      <c r="J24" s="821"/>
      <c r="K24" s="822" t="s">
        <v>1179</v>
      </c>
      <c r="L24" s="992">
        <f>HYPERLINK("https://eu1.salesforce.com/"&amp;F24,G24)</f>
        <v>0</v>
      </c>
      <c r="M24" s="993"/>
      <c r="N24" s="613"/>
      <c r="O24" s="943"/>
      <c r="P24" s="823"/>
      <c r="Q24" s="613"/>
      <c r="R24" s="613"/>
      <c r="S24" s="613"/>
      <c r="T24" s="824"/>
      <c r="U24" s="825">
        <f>HYPERLINK("https://eu1.salesforce.com/"&amp;I24,H24)</f>
        <v>0</v>
      </c>
      <c r="V24" s="613"/>
      <c r="W24" s="613"/>
      <c r="X24" s="614"/>
      <c r="Y24" s="614"/>
      <c r="Z24" s="614"/>
      <c r="AA24" s="614"/>
      <c r="AB24" s="614"/>
    </row>
    <row r="25" spans="1:37" ht="15.75" thickBot="1" x14ac:dyDescent="0.3">
      <c r="A25" s="978"/>
      <c r="B25" s="754" t="s">
        <v>922</v>
      </c>
      <c r="C25" s="755"/>
      <c r="D25" s="756"/>
      <c r="E25" s="436">
        <v>0.5</v>
      </c>
      <c r="F25" s="436"/>
      <c r="G25" s="436"/>
      <c r="H25" s="436">
        <v>10</v>
      </c>
      <c r="I25" s="436"/>
      <c r="J25" s="436">
        <v>0.5</v>
      </c>
      <c r="K25" s="661"/>
      <c r="L25" s="826" t="s">
        <v>928</v>
      </c>
      <c r="M25" s="826"/>
      <c r="N25" s="826" t="s">
        <v>80</v>
      </c>
      <c r="O25" s="826"/>
      <c r="P25" s="656" t="s">
        <v>1180</v>
      </c>
      <c r="Q25" s="656" t="s">
        <v>1181</v>
      </c>
      <c r="R25" s="944" t="s">
        <v>923</v>
      </c>
      <c r="S25" s="826"/>
      <c r="T25" s="826" t="s">
        <v>80</v>
      </c>
      <c r="U25" s="826" t="s">
        <v>80</v>
      </c>
      <c r="V25" s="826" t="s">
        <v>80</v>
      </c>
      <c r="W25" s="826" t="s">
        <v>185</v>
      </c>
      <c r="X25" s="826" t="s">
        <v>185</v>
      </c>
      <c r="Y25" s="826" t="s">
        <v>185</v>
      </c>
      <c r="AB25" s="621"/>
      <c r="AD25" s="622"/>
      <c r="AE25" s="621"/>
    </row>
    <row r="26" spans="1:37" ht="15.75" thickBot="1" x14ac:dyDescent="0.3">
      <c r="A26" s="978"/>
      <c r="B26" s="754" t="s">
        <v>926</v>
      </c>
      <c r="C26" s="755" t="s">
        <v>168</v>
      </c>
      <c r="D26" s="827" t="s">
        <v>185</v>
      </c>
      <c r="E26" s="828" t="s">
        <v>1182</v>
      </c>
      <c r="F26" s="777" t="s">
        <v>168</v>
      </c>
      <c r="G26" s="777">
        <v>3</v>
      </c>
      <c r="H26" s="945" t="s">
        <v>1259</v>
      </c>
      <c r="I26" s="945" t="s">
        <v>1259</v>
      </c>
      <c r="J26" s="806"/>
      <c r="K26" s="829"/>
      <c r="L26" s="777"/>
      <c r="M26" s="777"/>
      <c r="N26" s="806" t="s">
        <v>937</v>
      </c>
      <c r="O26" s="806">
        <v>26</v>
      </c>
      <c r="P26" s="806" t="s">
        <v>961</v>
      </c>
      <c r="Q26" s="777" t="s">
        <v>1183</v>
      </c>
      <c r="R26" s="777" t="s">
        <v>145</v>
      </c>
      <c r="S26" s="826" t="s">
        <v>927</v>
      </c>
      <c r="T26" s="806" t="s">
        <v>80</v>
      </c>
      <c r="U26" s="806"/>
      <c r="V26" s="655"/>
      <c r="W26" s="655"/>
      <c r="X26" s="655"/>
      <c r="Y26" s="655"/>
      <c r="AG26" s="626"/>
      <c r="AH26" s="626"/>
      <c r="AI26" s="626"/>
      <c r="AJ26" s="626"/>
      <c r="AK26" s="626"/>
    </row>
    <row r="27" spans="1:37" x14ac:dyDescent="0.25">
      <c r="A27" s="978"/>
      <c r="B27" s="754" t="s">
        <v>930</v>
      </c>
      <c r="C27" s="755"/>
      <c r="D27" s="756"/>
      <c r="E27" s="898" t="s">
        <v>1239</v>
      </c>
      <c r="K27" s="831" t="s">
        <v>1184</v>
      </c>
      <c r="L27" s="831" t="s">
        <v>1185</v>
      </c>
      <c r="M27" s="670"/>
      <c r="N27" s="670"/>
      <c r="O27" s="670"/>
      <c r="T27" s="670"/>
      <c r="U27" s="831" t="s">
        <v>1185</v>
      </c>
      <c r="AG27" s="626"/>
      <c r="AH27" s="626"/>
      <c r="AI27" s="626"/>
      <c r="AJ27" s="626"/>
      <c r="AK27" s="626"/>
    </row>
    <row r="28" spans="1:37" ht="15.75" thickBot="1" x14ac:dyDescent="0.3">
      <c r="A28" s="979"/>
      <c r="B28" s="759" t="s">
        <v>933</v>
      </c>
      <c r="C28" s="785"/>
      <c r="D28" s="808"/>
      <c r="E28" s="421"/>
      <c r="H28" s="787" t="s">
        <v>1186</v>
      </c>
      <c r="I28" s="787" t="s">
        <v>1187</v>
      </c>
      <c r="K28" s="398"/>
      <c r="L28" s="671"/>
      <c r="AB28" s="625"/>
      <c r="AF28" s="626"/>
      <c r="AG28" s="626"/>
      <c r="AH28" s="626"/>
      <c r="AI28" s="626"/>
      <c r="AJ28" s="626"/>
    </row>
    <row r="29" spans="1:37" x14ac:dyDescent="0.25">
      <c r="K29" s="398"/>
    </row>
    <row r="30" spans="1:37" ht="15.75" thickBot="1" x14ac:dyDescent="0.3">
      <c r="A30" s="604" t="s">
        <v>1188</v>
      </c>
    </row>
    <row r="31" spans="1:37" s="613" customFormat="1" ht="15.75" thickBot="1" x14ac:dyDescent="0.3">
      <c r="A31" s="398"/>
      <c r="B31" s="741" t="s">
        <v>1132</v>
      </c>
      <c r="C31" s="749" t="s">
        <v>963</v>
      </c>
      <c r="D31" s="749" t="s">
        <v>961</v>
      </c>
      <c r="K31" s="743"/>
      <c r="L31" s="744" t="s">
        <v>141</v>
      </c>
      <c r="M31" s="745" t="s">
        <v>1133</v>
      </c>
      <c r="N31" s="746" t="s">
        <v>1134</v>
      </c>
      <c r="P31" s="614"/>
      <c r="Q31" s="615"/>
      <c r="R31" s="616"/>
      <c r="S31" s="617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7" s="743" customFormat="1" x14ac:dyDescent="0.25">
      <c r="A32" s="747"/>
      <c r="B32" s="748"/>
      <c r="C32" s="749"/>
      <c r="D32" s="750"/>
      <c r="L32" s="751"/>
      <c r="M32" s="751"/>
      <c r="N32" s="752"/>
      <c r="Q32" s="656"/>
      <c r="R32" s="615"/>
      <c r="S32" s="616"/>
      <c r="T32" s="617"/>
      <c r="U32" s="671"/>
      <c r="V32" s="671"/>
      <c r="W32" s="671"/>
      <c r="X32" s="671"/>
      <c r="Y32" s="671"/>
      <c r="Z32" s="671"/>
      <c r="AA32" s="671"/>
      <c r="AB32" s="671"/>
      <c r="AC32" s="671"/>
      <c r="AD32" s="671"/>
    </row>
    <row r="33" spans="1:35" x14ac:dyDescent="0.25">
      <c r="A33" s="753">
        <v>0</v>
      </c>
      <c r="B33" s="754" t="s">
        <v>65</v>
      </c>
      <c r="C33" s="755" t="s">
        <v>65</v>
      </c>
      <c r="D33" s="756" t="s">
        <v>65</v>
      </c>
      <c r="E33" s="757">
        <v>0</v>
      </c>
      <c r="F33" s="757">
        <v>0</v>
      </c>
      <c r="G33" s="757">
        <v>0</v>
      </c>
      <c r="H33" s="757">
        <v>0</v>
      </c>
      <c r="I33" s="757"/>
      <c r="J33" s="757">
        <v>0</v>
      </c>
      <c r="K33" s="757">
        <v>17</v>
      </c>
      <c r="L33" s="758" t="s">
        <v>928</v>
      </c>
      <c r="M33" s="758" t="s">
        <v>83</v>
      </c>
      <c r="N33" s="758" t="s">
        <v>83</v>
      </c>
      <c r="O33" s="758" t="s">
        <v>962</v>
      </c>
      <c r="P33" s="758" t="s">
        <v>928</v>
      </c>
      <c r="Q33" s="758" t="s">
        <v>961</v>
      </c>
      <c r="R33" s="758" t="s">
        <v>80</v>
      </c>
      <c r="S33" s="758" t="s">
        <v>50</v>
      </c>
      <c r="T33" s="758" t="s">
        <v>80</v>
      </c>
      <c r="U33" s="758" t="s">
        <v>80</v>
      </c>
      <c r="V33" s="758" t="s">
        <v>80</v>
      </c>
      <c r="W33" s="758" t="s">
        <v>243</v>
      </c>
      <c r="X33" s="758" t="s">
        <v>59</v>
      </c>
      <c r="Y33" s="758" t="s">
        <v>243</v>
      </c>
      <c r="AA33" s="622"/>
      <c r="AB33" s="621"/>
    </row>
    <row r="34" spans="1:35" x14ac:dyDescent="0.25">
      <c r="A34" s="747"/>
      <c r="B34" s="754" t="s">
        <v>926</v>
      </c>
      <c r="C34" s="755"/>
      <c r="D34" s="756"/>
      <c r="E34" s="661"/>
      <c r="F34" s="661"/>
      <c r="G34" s="661"/>
      <c r="H34" s="661"/>
      <c r="I34" s="661"/>
      <c r="J34" s="661"/>
      <c r="K34" s="661"/>
      <c r="L34" s="656"/>
      <c r="M34" s="656"/>
      <c r="N34" s="656"/>
      <c r="O34" s="671"/>
      <c r="P34" s="671"/>
      <c r="Q34" s="656"/>
      <c r="R34" s="656"/>
      <c r="S34" s="656"/>
      <c r="T34" s="656"/>
      <c r="U34" s="656"/>
      <c r="V34" s="656"/>
      <c r="W34" s="671"/>
      <c r="X34" s="671"/>
      <c r="Y34" s="671"/>
      <c r="Z34" s="622"/>
      <c r="AA34" s="621"/>
    </row>
    <row r="35" spans="1:35" x14ac:dyDescent="0.25">
      <c r="A35" s="747"/>
      <c r="B35" s="754" t="s">
        <v>930</v>
      </c>
      <c r="C35" s="755"/>
      <c r="D35" s="756"/>
      <c r="E35" s="661"/>
      <c r="F35" s="661"/>
      <c r="G35" s="661"/>
      <c r="H35" s="661"/>
      <c r="I35" s="661"/>
      <c r="J35" s="661"/>
      <c r="K35" s="661"/>
      <c r="L35" s="656"/>
      <c r="M35" s="656"/>
      <c r="N35" s="656"/>
      <c r="O35" s="671"/>
      <c r="P35" s="671"/>
      <c r="Q35" s="656"/>
      <c r="R35" s="656"/>
      <c r="S35" s="656"/>
      <c r="T35" s="656"/>
      <c r="U35" s="656"/>
      <c r="V35" s="656"/>
      <c r="W35" s="671"/>
      <c r="X35" s="671"/>
      <c r="Y35" s="671"/>
      <c r="Z35" s="622"/>
      <c r="AA35" s="621"/>
    </row>
    <row r="36" spans="1:35" ht="15.75" thickBot="1" x14ac:dyDescent="0.3">
      <c r="A36" s="747"/>
      <c r="B36" s="759" t="s">
        <v>933</v>
      </c>
      <c r="C36" s="755"/>
      <c r="D36" s="756"/>
      <c r="E36" s="661"/>
      <c r="F36" s="661"/>
      <c r="G36" s="661"/>
      <c r="H36" s="661"/>
      <c r="I36" s="661"/>
      <c r="J36" s="661"/>
      <c r="K36" s="661"/>
      <c r="L36" s="656"/>
      <c r="M36" s="656"/>
      <c r="N36" s="656"/>
      <c r="O36" s="671"/>
      <c r="P36" s="671"/>
      <c r="Q36" s="656"/>
      <c r="R36" s="656"/>
      <c r="S36" s="656"/>
      <c r="T36" s="656"/>
      <c r="U36" s="656"/>
      <c r="V36" s="656"/>
      <c r="W36" s="671"/>
      <c r="X36" s="671"/>
      <c r="Y36" s="671"/>
      <c r="Z36" s="622"/>
      <c r="AA36" s="621"/>
    </row>
    <row r="37" spans="1:35" s="773" customFormat="1" ht="23.25" thickBot="1" x14ac:dyDescent="0.3">
      <c r="A37" s="977" t="s">
        <v>31</v>
      </c>
      <c r="B37" s="760" t="s">
        <v>1135</v>
      </c>
      <c r="C37" s="761" t="s">
        <v>1136</v>
      </c>
      <c r="D37" s="762"/>
      <c r="E37" s="426" t="s">
        <v>740</v>
      </c>
      <c r="F37" s="763" t="s">
        <v>51</v>
      </c>
      <c r="G37" s="763" t="s">
        <v>1137</v>
      </c>
      <c r="H37" s="764" t="s">
        <v>757</v>
      </c>
      <c r="I37" s="764"/>
      <c r="J37" s="427" t="s">
        <v>1138</v>
      </c>
      <c r="K37" s="765" t="s">
        <v>400</v>
      </c>
      <c r="L37" s="766" t="s">
        <v>1139</v>
      </c>
      <c r="M37" s="767" t="s">
        <v>35</v>
      </c>
      <c r="N37" s="767" t="s">
        <v>38</v>
      </c>
      <c r="O37" s="768" t="s">
        <v>742</v>
      </c>
      <c r="P37" s="767" t="s">
        <v>1140</v>
      </c>
      <c r="Q37" s="769" t="s">
        <v>751</v>
      </c>
      <c r="R37" s="994" t="s">
        <v>752</v>
      </c>
      <c r="S37" s="995"/>
      <c r="T37" s="770" t="s">
        <v>108</v>
      </c>
      <c r="U37" s="768" t="s">
        <v>757</v>
      </c>
      <c r="V37" s="770" t="s">
        <v>758</v>
      </c>
      <c r="W37" s="771" t="s">
        <v>759</v>
      </c>
      <c r="X37" s="772" t="s">
        <v>760</v>
      </c>
      <c r="Y37" s="770" t="s">
        <v>761</v>
      </c>
      <c r="Z37" s="398"/>
    </row>
    <row r="38" spans="1:35" s="773" customFormat="1" ht="15.75" thickBot="1" x14ac:dyDescent="0.3">
      <c r="A38" s="978"/>
      <c r="B38" s="774" t="s">
        <v>916</v>
      </c>
      <c r="C38" s="755" t="s">
        <v>1136</v>
      </c>
      <c r="D38" s="775"/>
      <c r="E38" s="647"/>
      <c r="F38" s="776"/>
      <c r="G38" s="398"/>
      <c r="H38" s="398"/>
      <c r="I38" s="398"/>
      <c r="J38" s="777"/>
      <c r="K38" s="778"/>
      <c r="L38" s="779">
        <f>HYPERLINK("https://eu1.salesforce.com/"&amp;E38,F38)</f>
        <v>0</v>
      </c>
      <c r="M38" s="648"/>
      <c r="N38" s="648"/>
      <c r="O38" s="780"/>
      <c r="P38" s="781">
        <v>1234567.8899999999</v>
      </c>
      <c r="Q38" s="781">
        <v>1234567.8899999999</v>
      </c>
      <c r="R38" s="996"/>
      <c r="S38" s="997"/>
      <c r="T38" s="782"/>
      <c r="U38" s="779">
        <f>HYPERLINK("https://eu1.salesforce.com/"&amp;G38,H38)</f>
        <v>0</v>
      </c>
      <c r="V38" s="783"/>
      <c r="W38" s="783"/>
      <c r="X38" s="783"/>
      <c r="Y38" s="783"/>
    </row>
    <row r="39" spans="1:35" x14ac:dyDescent="0.25">
      <c r="A39" s="978"/>
      <c r="B39" s="754" t="s">
        <v>922</v>
      </c>
      <c r="C39" s="755"/>
      <c r="D39" s="756"/>
      <c r="E39" s="661">
        <v>0.5</v>
      </c>
      <c r="F39" s="661"/>
      <c r="J39" s="661">
        <v>0.5</v>
      </c>
      <c r="K39" s="661">
        <v>17</v>
      </c>
      <c r="L39" s="656" t="s">
        <v>928</v>
      </c>
      <c r="M39" s="656" t="s">
        <v>83</v>
      </c>
      <c r="N39" s="656" t="s">
        <v>80</v>
      </c>
      <c r="O39" s="656" t="s">
        <v>927</v>
      </c>
      <c r="P39" s="656" t="s">
        <v>1141</v>
      </c>
      <c r="Q39" s="656" t="s">
        <v>1141</v>
      </c>
      <c r="R39" s="656" t="s">
        <v>1142</v>
      </c>
      <c r="S39" s="656"/>
      <c r="T39" s="656" t="s">
        <v>80</v>
      </c>
      <c r="U39" s="656" t="s">
        <v>185</v>
      </c>
      <c r="V39" s="656" t="s">
        <v>185</v>
      </c>
      <c r="W39" s="656" t="s">
        <v>1141</v>
      </c>
      <c r="X39" s="656" t="s">
        <v>59</v>
      </c>
      <c r="Y39" s="656" t="s">
        <v>243</v>
      </c>
      <c r="AA39" s="622"/>
      <c r="AB39" s="621"/>
    </row>
    <row r="40" spans="1:35" x14ac:dyDescent="0.25">
      <c r="A40" s="978"/>
      <c r="B40" s="754" t="s">
        <v>926</v>
      </c>
      <c r="C40" s="755"/>
      <c r="D40" s="756"/>
      <c r="E40" s="661">
        <v>1</v>
      </c>
      <c r="F40" s="661">
        <v>9</v>
      </c>
      <c r="G40" s="661">
        <v>25</v>
      </c>
      <c r="H40" s="777">
        <v>25</v>
      </c>
      <c r="I40" s="777"/>
      <c r="J40" s="661" t="s">
        <v>1085</v>
      </c>
      <c r="K40" s="661">
        <v>19</v>
      </c>
      <c r="L40" s="656"/>
      <c r="M40" s="656" t="s">
        <v>119</v>
      </c>
      <c r="N40" s="656" t="s">
        <v>33</v>
      </c>
      <c r="O40" s="656" t="s">
        <v>185</v>
      </c>
      <c r="P40" s="656" t="s">
        <v>80</v>
      </c>
      <c r="Q40" s="656" t="s">
        <v>927</v>
      </c>
      <c r="R40" s="656" t="s">
        <v>244</v>
      </c>
      <c r="S40" s="656"/>
      <c r="T40" s="656" t="s">
        <v>928</v>
      </c>
      <c r="U40" s="656"/>
      <c r="V40" s="656" t="s">
        <v>1143</v>
      </c>
      <c r="W40" s="656" t="s">
        <v>1004</v>
      </c>
      <c r="X40" s="656" t="s">
        <v>1005</v>
      </c>
      <c r="Y40" s="656" t="s">
        <v>1144</v>
      </c>
      <c r="AD40" s="626"/>
      <c r="AE40" s="626"/>
      <c r="AF40" s="626"/>
      <c r="AG40" s="626"/>
      <c r="AH40" s="626"/>
    </row>
    <row r="41" spans="1:35" x14ac:dyDescent="0.25">
      <c r="A41" s="978"/>
      <c r="B41" s="754" t="s">
        <v>930</v>
      </c>
      <c r="C41" s="755"/>
      <c r="D41" s="756"/>
      <c r="E41" s="661"/>
      <c r="F41" s="661"/>
      <c r="G41" s="661" t="s">
        <v>932</v>
      </c>
      <c r="H41" s="398" t="s">
        <v>1145</v>
      </c>
      <c r="J41" s="661"/>
      <c r="K41" s="784" t="s">
        <v>774</v>
      </c>
      <c r="L41" s="671"/>
      <c r="M41" s="671"/>
      <c r="N41" s="671"/>
      <c r="O41" s="671"/>
      <c r="P41" s="671"/>
      <c r="Q41" s="671"/>
      <c r="R41" s="671"/>
      <c r="S41" s="671"/>
      <c r="T41" s="671"/>
      <c r="U41" s="671"/>
      <c r="V41" s="671"/>
      <c r="W41" s="671"/>
      <c r="X41" s="671"/>
      <c r="Y41" s="671"/>
      <c r="AD41" s="626"/>
      <c r="AE41" s="626"/>
      <c r="AF41" s="626"/>
      <c r="AG41" s="626"/>
      <c r="AH41" s="626"/>
    </row>
    <row r="42" spans="1:35" ht="15.75" thickBot="1" x14ac:dyDescent="0.3">
      <c r="A42" s="979"/>
      <c r="B42" s="759" t="s">
        <v>933</v>
      </c>
      <c r="C42" s="785"/>
      <c r="D42" s="786"/>
      <c r="E42" s="787"/>
      <c r="F42" s="787"/>
      <c r="G42" s="787" t="s">
        <v>1146</v>
      </c>
      <c r="J42" s="787" t="s">
        <v>1147</v>
      </c>
      <c r="K42" s="787"/>
      <c r="L42" s="671"/>
      <c r="M42" s="671"/>
      <c r="N42" s="671"/>
      <c r="O42" s="671"/>
      <c r="P42" s="671"/>
      <c r="Q42" s="671"/>
      <c r="R42" s="671"/>
      <c r="S42" s="671"/>
      <c r="T42" s="671"/>
      <c r="U42" s="671"/>
      <c r="V42" s="671"/>
      <c r="W42" s="671"/>
      <c r="AB42" s="626"/>
      <c r="AC42" s="626"/>
      <c r="AD42" s="626"/>
      <c r="AE42" s="626"/>
      <c r="AF42" s="626"/>
    </row>
    <row r="43" spans="1:35" s="773" customFormat="1" ht="30.75" thickBot="1" x14ac:dyDescent="0.3">
      <c r="A43" s="977" t="s">
        <v>68</v>
      </c>
      <c r="B43" s="594" t="s">
        <v>893</v>
      </c>
      <c r="C43" s="761" t="s">
        <v>1136</v>
      </c>
      <c r="D43" s="762"/>
      <c r="E43" s="788" t="s">
        <v>741</v>
      </c>
      <c r="F43" s="788"/>
      <c r="G43" s="788"/>
      <c r="H43" s="789" t="s">
        <v>1148</v>
      </c>
      <c r="I43" s="789"/>
      <c r="J43" s="790" t="s">
        <v>117</v>
      </c>
      <c r="K43" s="791"/>
      <c r="L43" s="792" t="s">
        <v>1149</v>
      </c>
      <c r="M43" s="793" t="s">
        <v>1150</v>
      </c>
      <c r="N43" s="794" t="s">
        <v>1151</v>
      </c>
      <c r="O43" s="794" t="s">
        <v>1152</v>
      </c>
      <c r="P43" s="795" t="s">
        <v>1153</v>
      </c>
      <c r="Q43" s="795" t="s">
        <v>1154</v>
      </c>
      <c r="R43" s="984" t="s">
        <v>1155</v>
      </c>
      <c r="S43" s="985"/>
      <c r="T43" s="792" t="s">
        <v>1156</v>
      </c>
      <c r="W43" s="792" t="s">
        <v>1157</v>
      </c>
      <c r="X43" s="796"/>
    </row>
    <row r="44" spans="1:35" s="773" customFormat="1" ht="15.75" thickBot="1" x14ac:dyDescent="0.3">
      <c r="A44" s="978"/>
      <c r="B44" s="774" t="s">
        <v>916</v>
      </c>
      <c r="C44" s="755" t="s">
        <v>1158</v>
      </c>
      <c r="D44" s="797">
        <f>E38</f>
        <v>0</v>
      </c>
      <c r="H44" s="798"/>
      <c r="I44" s="798"/>
      <c r="J44" s="799"/>
      <c r="K44" s="800"/>
      <c r="L44" s="801"/>
      <c r="M44" s="802"/>
      <c r="N44" s="803"/>
      <c r="O44" s="803"/>
      <c r="P44" s="803"/>
      <c r="Q44" s="802"/>
      <c r="R44" s="986"/>
      <c r="S44" s="987"/>
      <c r="T44" s="804"/>
      <c r="W44" s="805"/>
      <c r="X44" s="796"/>
    </row>
    <row r="45" spans="1:35" x14ac:dyDescent="0.25">
      <c r="A45" s="978"/>
      <c r="B45" s="754" t="s">
        <v>922</v>
      </c>
      <c r="C45" s="755"/>
      <c r="D45" s="756"/>
      <c r="E45" s="436">
        <v>0.5</v>
      </c>
      <c r="F45" s="436"/>
      <c r="G45" s="436"/>
      <c r="H45" s="436">
        <v>0.5</v>
      </c>
      <c r="I45" s="436"/>
      <c r="J45" s="436">
        <v>0.5</v>
      </c>
      <c r="K45" s="661"/>
      <c r="L45" s="806">
        <v>14</v>
      </c>
      <c r="M45" s="806">
        <v>10</v>
      </c>
      <c r="N45" s="806">
        <v>10</v>
      </c>
      <c r="O45" s="806">
        <v>10</v>
      </c>
      <c r="P45" s="806">
        <v>30</v>
      </c>
      <c r="Q45" s="806">
        <v>10</v>
      </c>
      <c r="R45" s="806">
        <v>40</v>
      </c>
      <c r="S45" s="806"/>
      <c r="T45" s="806">
        <v>26</v>
      </c>
      <c r="W45" s="656" t="s">
        <v>1141</v>
      </c>
      <c r="X45" s="777"/>
    </row>
    <row r="46" spans="1:35" x14ac:dyDescent="0.25">
      <c r="A46" s="978"/>
      <c r="B46" s="754" t="s">
        <v>926</v>
      </c>
      <c r="C46" s="755"/>
      <c r="D46" s="756"/>
      <c r="E46" s="777">
        <v>4</v>
      </c>
      <c r="J46" s="671"/>
      <c r="K46" s="398"/>
      <c r="L46" s="777">
        <v>4</v>
      </c>
      <c r="M46" s="777">
        <v>4</v>
      </c>
      <c r="N46" s="806">
        <v>4</v>
      </c>
      <c r="O46" s="806">
        <v>4</v>
      </c>
      <c r="P46" s="806">
        <v>4</v>
      </c>
      <c r="Q46" s="806">
        <v>4</v>
      </c>
      <c r="R46" s="806">
        <v>4</v>
      </c>
      <c r="S46" s="806"/>
      <c r="T46" s="806">
        <v>4</v>
      </c>
      <c r="W46" s="806">
        <v>4</v>
      </c>
      <c r="X46" s="777"/>
    </row>
    <row r="47" spans="1:35" x14ac:dyDescent="0.25">
      <c r="A47" s="978"/>
      <c r="B47" s="754" t="s">
        <v>930</v>
      </c>
      <c r="C47" s="755"/>
      <c r="D47" s="756"/>
      <c r="E47" s="777"/>
      <c r="K47" s="398"/>
      <c r="L47" s="777"/>
      <c r="M47" s="777"/>
      <c r="N47" s="777"/>
      <c r="O47" s="777"/>
      <c r="P47" s="777"/>
      <c r="Q47" s="777"/>
      <c r="R47" s="777"/>
      <c r="S47" s="777"/>
      <c r="T47" s="777"/>
      <c r="W47" s="777"/>
      <c r="X47" s="777"/>
    </row>
    <row r="48" spans="1:35" s="613" customFormat="1" ht="15.75" thickBot="1" x14ac:dyDescent="0.3">
      <c r="A48" s="979"/>
      <c r="B48" s="759" t="s">
        <v>933</v>
      </c>
      <c r="C48" s="807"/>
      <c r="D48" s="808"/>
      <c r="E48" s="809" t="s">
        <v>1159</v>
      </c>
      <c r="F48" s="809"/>
      <c r="G48" s="398"/>
      <c r="H48" s="398"/>
      <c r="I48" s="398"/>
      <c r="J48" s="671"/>
      <c r="K48" s="787"/>
      <c r="L48" s="809" t="s">
        <v>1160</v>
      </c>
      <c r="M48" s="809" t="s">
        <v>1161</v>
      </c>
      <c r="N48" s="809" t="s">
        <v>1162</v>
      </c>
      <c r="O48" s="809" t="s">
        <v>1163</v>
      </c>
      <c r="P48" s="809" t="s">
        <v>1164</v>
      </c>
      <c r="Q48" s="809" t="s">
        <v>1165</v>
      </c>
      <c r="R48" s="809" t="s">
        <v>1166</v>
      </c>
      <c r="S48" s="806"/>
      <c r="T48" s="809" t="s">
        <v>1167</v>
      </c>
      <c r="W48" s="809" t="s">
        <v>1168</v>
      </c>
      <c r="X48" s="810"/>
      <c r="Y48" s="617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77" t="s">
        <v>64</v>
      </c>
      <c r="B49" s="811" t="s">
        <v>1169</v>
      </c>
      <c r="C49" s="761" t="s">
        <v>1136</v>
      </c>
      <c r="D49" s="762"/>
      <c r="E49" s="427" t="s">
        <v>945</v>
      </c>
      <c r="F49" s="427" t="s">
        <v>1170</v>
      </c>
      <c r="G49" s="427" t="s">
        <v>869</v>
      </c>
      <c r="H49" s="832" t="s">
        <v>757</v>
      </c>
      <c r="I49" s="832"/>
      <c r="J49" s="813" t="s">
        <v>117</v>
      </c>
      <c r="K49" s="814"/>
      <c r="L49" s="988" t="s">
        <v>869</v>
      </c>
      <c r="M49" s="989"/>
      <c r="N49" s="815" t="s">
        <v>1172</v>
      </c>
      <c r="O49" s="816" t="s">
        <v>1173</v>
      </c>
      <c r="P49" s="816" t="s">
        <v>1174</v>
      </c>
      <c r="Q49" s="816" t="s">
        <v>1175</v>
      </c>
      <c r="R49" s="816" t="s">
        <v>1176</v>
      </c>
      <c r="S49" s="816" t="s">
        <v>1177</v>
      </c>
      <c r="T49" s="816" t="s">
        <v>108</v>
      </c>
      <c r="U49" s="816" t="s">
        <v>101</v>
      </c>
      <c r="V49" s="816" t="s">
        <v>82</v>
      </c>
      <c r="W49" s="816" t="s">
        <v>1178</v>
      </c>
      <c r="X49" s="816" t="s">
        <v>126</v>
      </c>
      <c r="Y49" s="614"/>
      <c r="Z49" s="614"/>
      <c r="AA49" s="614"/>
    </row>
    <row r="50" spans="1:36" ht="15.75" thickBot="1" x14ac:dyDescent="0.3">
      <c r="A50" s="978"/>
      <c r="B50" s="774" t="s">
        <v>916</v>
      </c>
      <c r="C50" s="817" t="str">
        <f>IF(LEN(J38)=0,"",J38)</f>
        <v/>
      </c>
      <c r="D50" s="818">
        <v>1</v>
      </c>
      <c r="F50" s="819"/>
      <c r="G50" s="436"/>
      <c r="H50" s="820"/>
      <c r="I50" s="820"/>
      <c r="J50" s="821"/>
      <c r="K50" s="822" t="s">
        <v>1179</v>
      </c>
      <c r="L50" s="990">
        <f>HYPERLINK("https://eu1.salesforce.com/"&amp;F50,G50)</f>
        <v>0</v>
      </c>
      <c r="M50" s="991"/>
      <c r="N50" s="613"/>
      <c r="O50" s="613"/>
      <c r="P50" s="823"/>
      <c r="Q50" s="613"/>
      <c r="R50" s="613"/>
      <c r="S50" s="613"/>
      <c r="T50" s="613"/>
      <c r="U50" s="613"/>
      <c r="V50" s="613"/>
      <c r="W50" s="614"/>
      <c r="X50" s="614"/>
      <c r="Y50" s="614"/>
      <c r="Z50" s="614"/>
      <c r="AA50" s="614"/>
    </row>
    <row r="51" spans="1:36" x14ac:dyDescent="0.25">
      <c r="A51" s="978"/>
      <c r="B51" s="754" t="s">
        <v>922</v>
      </c>
      <c r="C51" s="755"/>
      <c r="D51" s="756"/>
      <c r="E51" s="436">
        <v>0.5</v>
      </c>
      <c r="F51" s="436"/>
      <c r="G51" s="436"/>
      <c r="H51" s="436">
        <v>0.5</v>
      </c>
      <c r="I51" s="436"/>
      <c r="J51" s="436">
        <v>0.5</v>
      </c>
      <c r="K51" s="661"/>
      <c r="L51" s="826" t="s">
        <v>928</v>
      </c>
      <c r="M51" s="826"/>
      <c r="N51" s="826" t="s">
        <v>80</v>
      </c>
      <c r="O51" s="826"/>
      <c r="P51" s="656" t="s">
        <v>1180</v>
      </c>
      <c r="Q51" s="656" t="s">
        <v>1181</v>
      </c>
      <c r="R51" s="826"/>
      <c r="S51" s="826"/>
      <c r="T51" s="826" t="s">
        <v>80</v>
      </c>
      <c r="U51" s="826" t="s">
        <v>80</v>
      </c>
      <c r="V51" s="826" t="s">
        <v>185</v>
      </c>
      <c r="W51" s="826" t="s">
        <v>185</v>
      </c>
      <c r="X51" s="826" t="s">
        <v>185</v>
      </c>
      <c r="AA51" s="621"/>
      <c r="AC51" s="622"/>
      <c r="AD51" s="621"/>
    </row>
    <row r="52" spans="1:36" x14ac:dyDescent="0.25">
      <c r="A52" s="978"/>
      <c r="B52" s="754" t="s">
        <v>926</v>
      </c>
      <c r="C52" s="755" t="s">
        <v>168</v>
      </c>
      <c r="D52" s="827" t="s">
        <v>185</v>
      </c>
      <c r="E52" s="828" t="s">
        <v>1182</v>
      </c>
      <c r="F52" s="777" t="s">
        <v>168</v>
      </c>
      <c r="G52" s="777">
        <v>3</v>
      </c>
      <c r="H52" s="806"/>
      <c r="I52" s="806"/>
      <c r="J52" s="806"/>
      <c r="K52" s="806"/>
      <c r="L52" s="777"/>
      <c r="M52" s="777"/>
      <c r="N52" s="806" t="s">
        <v>937</v>
      </c>
      <c r="O52" s="806">
        <v>26</v>
      </c>
      <c r="P52" s="806" t="s">
        <v>961</v>
      </c>
      <c r="Q52" s="777" t="s">
        <v>1183</v>
      </c>
      <c r="R52" s="777" t="s">
        <v>145</v>
      </c>
      <c r="S52" s="826" t="s">
        <v>927</v>
      </c>
      <c r="T52" s="806" t="s">
        <v>80</v>
      </c>
      <c r="U52" s="655"/>
      <c r="V52" s="655"/>
      <c r="W52" s="655"/>
      <c r="X52" s="655"/>
      <c r="Y52" s="659"/>
      <c r="AF52" s="626"/>
      <c r="AG52" s="626"/>
      <c r="AH52" s="626"/>
      <c r="AI52" s="626"/>
      <c r="AJ52" s="626"/>
    </row>
    <row r="53" spans="1:36" ht="45" x14ac:dyDescent="0.25">
      <c r="A53" s="978"/>
      <c r="B53" s="754" t="s">
        <v>930</v>
      </c>
      <c r="C53" s="755"/>
      <c r="D53" s="756"/>
      <c r="E53" s="830" t="s">
        <v>1189</v>
      </c>
      <c r="K53" s="831" t="s">
        <v>1185</v>
      </c>
      <c r="L53" s="831" t="s">
        <v>1185</v>
      </c>
      <c r="M53" s="670"/>
      <c r="N53" s="670"/>
      <c r="O53" s="670"/>
      <c r="T53" s="670"/>
      <c r="AF53" s="626"/>
      <c r="AG53" s="626"/>
      <c r="AH53" s="626"/>
      <c r="AI53" s="626"/>
      <c r="AJ53" s="626"/>
    </row>
    <row r="54" spans="1:36" ht="15.75" thickBot="1" x14ac:dyDescent="0.3">
      <c r="A54" s="979"/>
      <c r="B54" s="759" t="s">
        <v>933</v>
      </c>
      <c r="C54" s="785"/>
      <c r="D54" s="808"/>
      <c r="E54" s="421"/>
      <c r="H54" s="787"/>
      <c r="I54" s="787"/>
      <c r="K54" s="398"/>
      <c r="L54" s="671"/>
      <c r="AB54" s="625"/>
      <c r="AF54" s="626"/>
      <c r="AG54" s="626"/>
      <c r="AH54" s="626"/>
      <c r="AI54" s="626"/>
      <c r="AJ54" s="626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2013-10-05T23:51:20Z</dcterms:modified>
</cp:coreProperties>
</file>