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0" yWindow="0" windowWidth="13725" windowHeight="768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Header!$B$218:$C$223</definedName>
    <definedName name="HDR_A_SN_2" comment="Sheet_для_загрузки_output.csv_с_SN_из_License_Inquiry_PartnerCenter.Autodesk">Header!$B$226:$R$232</definedName>
    <definedName name="HDR_A_SN_3" comment="16.08.13 HDR_A_SN_3 - Sheet для Upsert данных по SN Autodesk в SF -- SN_UPDATE">Header!$B$234:$R$240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Header!$B$210:$N$215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DicAccSynonims" comment="15.09.2013 HDR_DicAссSynonims - Шаблон словаря синонимов названий Организаций в 1С">Header!$C$187:$D$192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Header!$B$195:$N$200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Header!$A$207:$C$207</definedName>
    <definedName name="HDR_P_ADSKlink" comment="14/5/12 новые связи Платежей и Контрактов ADSK">Header!$A$204:$C$204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Process!$A$148:$L$151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9" i="3" l="1"/>
  <c r="F7" i="6" l="1"/>
  <c r="C48" i="3" l="1"/>
  <c r="C40" i="3"/>
  <c r="O17" i="3" l="1"/>
  <c r="F22" i="3" l="1"/>
  <c r="K58" i="3" l="1"/>
  <c r="B23" i="2"/>
  <c r="H23" i="2"/>
  <c r="I43" i="2"/>
  <c r="K59" i="3" l="1"/>
  <c r="F81" i="3" l="1"/>
  <c r="K81" i="3" s="1"/>
  <c r="C81" i="3"/>
  <c r="C80" i="3"/>
  <c r="C76" i="3" l="1"/>
  <c r="F80" i="3" l="1"/>
  <c r="K80" i="3" s="1"/>
  <c r="T27" i="6" l="1"/>
  <c r="J31" i="6"/>
  <c r="J30" i="6"/>
  <c r="J29" i="6"/>
  <c r="J28" i="6"/>
  <c r="J27" i="6"/>
  <c r="C31" i="6"/>
  <c r="C30" i="6"/>
  <c r="C29" i="6"/>
  <c r="C28" i="6"/>
  <c r="C27" i="6"/>
  <c r="F78" i="3" l="1"/>
  <c r="K78" i="3" s="1"/>
  <c r="C78" i="3"/>
  <c r="F79" i="3"/>
  <c r="K79" i="3" s="1"/>
  <c r="N74" i="3"/>
  <c r="L73" i="3"/>
  <c r="N77" i="3" l="1"/>
  <c r="M77" i="3" l="1"/>
  <c r="L77" i="3"/>
  <c r="K75" i="3" l="1"/>
  <c r="F75" i="3" s="1"/>
  <c r="C75" i="3"/>
  <c r="AI9" i="6" l="1"/>
  <c r="AK9" i="6" s="1"/>
  <c r="AL9" i="6" l="1"/>
  <c r="AJ9" i="6"/>
  <c r="L74" i="3" l="1"/>
  <c r="M74" i="3"/>
  <c r="K74" i="3"/>
  <c r="C77" i="3"/>
  <c r="C74" i="3"/>
  <c r="K13" i="3"/>
  <c r="F13" i="3"/>
  <c r="C79" i="3"/>
  <c r="K73" i="3"/>
  <c r="K76" i="3" s="1"/>
  <c r="F76" i="3" s="1"/>
  <c r="F73" i="3"/>
  <c r="AF9" i="6"/>
  <c r="C47" i="3" l="1"/>
  <c r="K46" i="3" l="1"/>
  <c r="F46" i="3"/>
  <c r="K53" i="3"/>
  <c r="F53" i="3"/>
  <c r="F12" i="3" l="1"/>
  <c r="K11" i="3"/>
  <c r="K12" i="3"/>
  <c r="K10" i="3"/>
  <c r="F11" i="3"/>
  <c r="F10" i="3"/>
  <c r="F9" i="3"/>
  <c r="F8" i="3"/>
  <c r="F7" i="3"/>
  <c r="K9" i="3"/>
  <c r="K8" i="3"/>
  <c r="K7" i="3"/>
  <c r="L54" i="3"/>
  <c r="L55" i="3"/>
  <c r="L56" i="3"/>
  <c r="I44" i="6" l="1"/>
  <c r="K56" i="3" l="1"/>
  <c r="K55" i="3"/>
  <c r="K54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4" i="6"/>
  <c r="R14" i="6"/>
  <c r="AA14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0" i="6"/>
  <c r="C1220" i="6"/>
  <c r="J1219" i="6"/>
  <c r="C1219" i="6"/>
  <c r="J1218" i="6"/>
  <c r="C1218" i="6"/>
  <c r="J1217" i="6"/>
  <c r="C1217" i="6"/>
  <c r="V1216" i="6"/>
  <c r="U1216" i="6"/>
  <c r="C121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G276" i="6"/>
  <c r="AF276" i="6"/>
  <c r="AD276" i="6"/>
  <c r="AC276" i="6"/>
  <c r="AB276" i="6"/>
  <c r="AA276" i="6"/>
  <c r="Z276" i="6"/>
  <c r="Y276" i="6"/>
  <c r="X276" i="6"/>
  <c r="W276" i="6"/>
  <c r="V276" i="6"/>
  <c r="U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F276" i="6"/>
  <c r="E276" i="6"/>
  <c r="D276" i="6"/>
  <c r="C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V262" i="6" s="1"/>
  <c r="AU261" i="6"/>
  <c r="AH261" i="6"/>
  <c r="T261" i="6"/>
  <c r="G261" i="6"/>
  <c r="AU260" i="6"/>
  <c r="AH260" i="6"/>
  <c r="T260" i="6"/>
  <c r="G260" i="6"/>
  <c r="AV260" i="6" s="1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AU249" i="6"/>
  <c r="AH249" i="6"/>
  <c r="T249" i="6"/>
  <c r="G249" i="6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L211" i="6"/>
  <c r="G203" i="6"/>
  <c r="C203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16" i="6"/>
  <c r="I19" i="6"/>
  <c r="G19" i="6"/>
  <c r="F19" i="6"/>
  <c r="AB14" i="6"/>
  <c r="AC14" i="6" s="1"/>
  <c r="C7" i="6"/>
  <c r="M66" i="4"/>
  <c r="M67" i="4" s="1"/>
  <c r="M62" i="4"/>
  <c r="M63" i="4" s="1"/>
  <c r="P61" i="4"/>
  <c r="P65" i="4" s="1"/>
  <c r="M60" i="4"/>
  <c r="C160" i="3"/>
  <c r="F142" i="3"/>
  <c r="K142" i="3" s="1"/>
  <c r="C142" i="3"/>
  <c r="C141" i="3"/>
  <c r="C139" i="3"/>
  <c r="K138" i="3"/>
  <c r="K141" i="3"/>
  <c r="K135" i="3"/>
  <c r="C135" i="3"/>
  <c r="K134" i="3"/>
  <c r="C134" i="3"/>
  <c r="C133" i="3"/>
  <c r="K132" i="3"/>
  <c r="K131" i="3"/>
  <c r="F130" i="3"/>
  <c r="C130" i="3"/>
  <c r="F129" i="3"/>
  <c r="F128" i="3"/>
  <c r="C128" i="3"/>
  <c r="H127" i="3"/>
  <c r="G127" i="3"/>
  <c r="F127" i="3"/>
  <c r="K126" i="3"/>
  <c r="K133" i="3" s="1"/>
  <c r="F124" i="3"/>
  <c r="K124" i="3" s="1"/>
  <c r="C124" i="3"/>
  <c r="C122" i="3"/>
  <c r="L121" i="3"/>
  <c r="K122" i="3" s="1"/>
  <c r="K121" i="3"/>
  <c r="G121" i="3"/>
  <c r="C118" i="3"/>
  <c r="F118" i="3"/>
  <c r="K118" i="3" s="1"/>
  <c r="C114" i="3"/>
  <c r="K114" i="3"/>
  <c r="C107" i="3"/>
  <c r="F107" i="3"/>
  <c r="H106" i="3" s="1"/>
  <c r="C106" i="3"/>
  <c r="C103" i="3"/>
  <c r="F103" i="3"/>
  <c r="K103" i="3" s="1"/>
  <c r="C102" i="3"/>
  <c r="K102" i="3"/>
  <c r="F99" i="3"/>
  <c r="K99" i="3" s="1"/>
  <c r="C99" i="3"/>
  <c r="C98" i="3"/>
  <c r="F95" i="3"/>
  <c r="K95" i="3" s="1"/>
  <c r="C95" i="3"/>
  <c r="C94" i="3"/>
  <c r="K94" i="3"/>
  <c r="K91" i="3"/>
  <c r="C91" i="3"/>
  <c r="H90" i="3"/>
  <c r="C90" i="3"/>
  <c r="K90" i="3"/>
  <c r="G90" i="3" s="1"/>
  <c r="C87" i="3"/>
  <c r="C86" i="3"/>
  <c r="K85" i="3"/>
  <c r="K86" i="3"/>
  <c r="L70" i="3"/>
  <c r="F70" i="3"/>
  <c r="C70" i="3"/>
  <c r="C68" i="3"/>
  <c r="K160" i="3"/>
  <c r="C64" i="3"/>
  <c r="C63" i="3"/>
  <c r="K63" i="3"/>
  <c r="F56" i="3"/>
  <c r="F55" i="3"/>
  <c r="F54" i="3"/>
  <c r="F50" i="3"/>
  <c r="C50" i="3"/>
  <c r="C49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57" i="6" l="1"/>
  <c r="AV259" i="6"/>
  <c r="AV261" i="6"/>
  <c r="AV263" i="6"/>
  <c r="AV265" i="6"/>
  <c r="AV267" i="6"/>
  <c r="AV269" i="6"/>
  <c r="AV271" i="6"/>
  <c r="AV273" i="6"/>
  <c r="AV275" i="6"/>
  <c r="AV249" i="6"/>
  <c r="AV258" i="6"/>
  <c r="AV274" i="6"/>
  <c r="AV245" i="6"/>
  <c r="AV247" i="6"/>
  <c r="AV244" i="6"/>
  <c r="AV246" i="6"/>
  <c r="AV248" i="6"/>
  <c r="AV251" i="6"/>
  <c r="C1221" i="6"/>
  <c r="D1220" i="6" s="1"/>
  <c r="T276" i="6"/>
  <c r="AV250" i="6"/>
  <c r="AV252" i="6"/>
  <c r="AV254" i="6"/>
  <c r="AV256" i="6"/>
  <c r="G276" i="6"/>
  <c r="AU276" i="6"/>
  <c r="AV264" i="6"/>
  <c r="AH276" i="6"/>
  <c r="AV253" i="6"/>
  <c r="AV255" i="6"/>
  <c r="AV266" i="6"/>
  <c r="AV268" i="6"/>
  <c r="AV270" i="6"/>
  <c r="AV272" i="6"/>
  <c r="AV243" i="6"/>
  <c r="K97" i="3"/>
  <c r="K98" i="3" s="1"/>
  <c r="K30" i="3"/>
  <c r="K29" i="3"/>
  <c r="K70" i="3"/>
  <c r="K26" i="3"/>
  <c r="J1221" i="6"/>
  <c r="L1217" i="6" s="1"/>
  <c r="C32" i="6"/>
  <c r="D27" i="6" s="1"/>
  <c r="J32" i="6"/>
  <c r="L27" i="6" s="1"/>
  <c r="K35" i="3"/>
  <c r="K62" i="3"/>
  <c r="K64" i="3" s="1"/>
  <c r="K67" i="3"/>
  <c r="K33" i="3"/>
  <c r="K68" i="3"/>
  <c r="K36" i="3"/>
  <c r="K107" i="3"/>
  <c r="D1216" i="6" l="1"/>
  <c r="AV276" i="6"/>
  <c r="D1217" i="6"/>
  <c r="D1219" i="6"/>
  <c r="D1218" i="6"/>
  <c r="L1216" i="6"/>
  <c r="L1219" i="6"/>
  <c r="L1220" i="6"/>
  <c r="L1218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<sst xmlns="http://schemas.openxmlformats.org/spreadsheetml/2006/main" count="3679" uniqueCount="1573">
  <si>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</si>
  <si>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</si>
  <si>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</si>
  <si>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</si>
  <si>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</si>
  <si>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</si>
  <si>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</si>
  <si>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</si>
  <si>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</si>
  <si>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</si>
  <si>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</si>
  <si>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</si>
  <si>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</si>
  <si>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</si>
  <si>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</si>
  <si>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</si>
  <si>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</si>
  <si>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</si>
  <si>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</si>
  <si>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</si>
  <si>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</si>
  <si>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</si>
  <si>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</si>
  <si>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</si>
  <si>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</si>
  <si>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</si>
  <si>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</si>
  <si>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</si>
  <si>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</si>
  <si>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</si>
  <si>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</si>
  <si>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</si>
  <si>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</si>
  <si>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</si>
  <si>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</si>
  <si>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</si>
  <si>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</si>
  <si>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</si>
  <si>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</si>
  <si>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</si>
  <si>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</si>
  <si>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</si>
  <si>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</si>
  <si>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</si>
  <si>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</si>
  <si>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</si>
  <si>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</si>
  <si>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</si>
  <si>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</si>
  <si>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</si>
  <si>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</si>
  <si>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</si>
  <si>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</si>
  <si>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</si>
  <si>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</si>
  <si>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</si>
  <si>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</si>
  <si>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</si>
  <si>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</si>
  <si>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</si>
  <si>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</si>
  <si>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</si>
  <si>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</si>
  <si>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</si>
  <si>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</si>
  <si>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</si>
  <si>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</si>
  <si>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</si>
  <si>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</si>
  <si>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</si>
  <si>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</si>
  <si>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</si>
  <si>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</si>
  <si>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</si>
  <si>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</si>
  <si>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</si>
  <si>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</si>
  <si>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</si>
  <si>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</si>
  <si>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</si>
  <si>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</si>
  <si>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</si>
  <si>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</si>
  <si>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</si>
  <si>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</si>
  <si>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</si>
  <si>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</si>
  <si>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</si>
  <si>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</si>
  <si>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</si>
  <si>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</si>
  <si>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</si>
  <si>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</si>
  <si>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</si>
  <si>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</si>
  <si>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</si>
  <si>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</si>
  <si>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</si>
  <si>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</si>
  <si>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</si>
  <si>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</si>
  <si>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</si>
  <si>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</si>
  <si>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</si>
  <si>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</si>
  <si>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</si>
  <si>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</si>
  <si>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</si>
  <si>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</si>
  <si>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</si>
  <si>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</si>
  <si>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</si>
  <si>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</si>
  <si>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</si>
  <si>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</si>
  <si>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</si>
  <si>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</si>
  <si>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</si>
  <si>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</si>
  <si>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</si>
  <si>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</si>
  <si>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</si>
  <si>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</si>
  <si>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</si>
  <si>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</si>
  <si>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</si>
  <si>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</si>
  <si>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</si>
  <si>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</si>
  <si>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</si>
  <si>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</si>
  <si>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</si>
  <si>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</si>
  <si>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</si>
  <si>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</si>
  <si>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</si>
  <si>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</si>
  <si>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</si>
  <si>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</si>
  <si>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</si>
  <si>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</si>
  <si>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</si>
  <si>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</si>
  <si>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</si>
  <si>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</si>
  <si>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</si>
  <si>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</si>
  <si>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</si>
  <si>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</si>
  <si>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</si>
  <si>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</si>
  <si>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</si>
  <si>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</si>
  <si>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</si>
  <si>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</si>
  <si>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</si>
  <si>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</si>
  <si>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</si>
  <si>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</si>
  <si>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</si>
  <si>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</si>
  <si>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</si>
  <si>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</si>
  <si>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</si>
  <si>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</si>
  <si>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</si>
  <si>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</si>
  <si>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</si>
  <si>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</si>
  <si>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</si>
  <si>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</si>
  <si>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</si>
  <si>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</si>
  <si>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</si>
  <si>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</si>
  <si>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</si>
  <si>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</si>
  <si>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</si>
  <si>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</si>
  <si>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</si>
  <si>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</si>
  <si>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</si>
  <si>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</si>
  <si>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</si>
  <si>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</si>
  <si>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</si>
  <si>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</si>
  <si>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</si>
  <si>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</si>
  <si>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</si>
  <si>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</si>
  <si>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</si>
  <si>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</si>
  <si>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</si>
  <si>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</si>
  <si>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</si>
  <si>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</si>
  <si>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</si>
  <si>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</si>
  <si>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</si>
  <si>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</si>
  <si>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</si>
  <si>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</si>
  <si>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</si>
  <si>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</si>
  <si>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</si>
  <si>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</si>
  <si>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</si>
  <si>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</si>
  <si>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</si>
  <si>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</si>
  <si>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</si>
  <si>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</si>
  <si>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</si>
  <si>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</si>
  <si>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</si>
  <si>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</si>
  <si>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</si>
  <si>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</si>
  <si>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</si>
  <si>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</si>
  <si>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</si>
  <si>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</si>
  <si>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</si>
  <si>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</si>
  <si>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</si>
  <si>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</si>
  <si>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</si>
  <si>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</si>
  <si>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</si>
  <si>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</si>
  <si>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</si>
  <si>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</si>
  <si>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</si>
  <si>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</si>
  <si>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</si>
  <si>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</si>
  <si>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</si>
  <si>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</si>
  <si>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</si>
  <si>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</si>
  <si>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</si>
  <si>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</si>
  <si>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</si>
  <si>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</si>
  <si>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</si>
  <si>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</si>
  <si>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</si>
  <si>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</si>
  <si>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</si>
  <si>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</si>
  <si>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</si>
  <si>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</si>
  <si>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</si>
  <si>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</si>
  <si>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</si>
  <si>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</si>
  <si>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</si>
  <si>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</si>
  <si>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</si>
  <si>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</si>
  <si>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</si>
  <si>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</si>
  <si>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</si>
  <si>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</si>
  <si>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</si>
  <si>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</si>
  <si>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</si>
  <si>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</si>
  <si>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</si>
  <si>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</si>
  <si>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</si>
  <si>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</si>
  <si>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</si>
  <si>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</si>
  <si>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</si>
  <si>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</si>
  <si>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</si>
  <si>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</si>
  <si>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</si>
  <si>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</si>
  <si>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</si>
  <si>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</si>
  <si>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</si>
  <si>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</si>
  <si>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</si>
  <si>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</si>
  <si>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</si>
  <si>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</si>
  <si>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</si>
  <si>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</si>
  <si>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</si>
  <si>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</si>
  <si>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</si>
  <si>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</si>
  <si>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</si>
  <si>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</si>
  <si>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</si>
  <si>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</si>
  <si>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</si>
  <si>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</si>
  <si>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</si>
  <si>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</si>
  <si>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</si>
  <si>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</si>
  <si>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</si>
  <si>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</si>
  <si>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</si>
  <si>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</si>
  <si>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</si>
  <si>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</si>
  <si>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</si>
  <si>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</si>
  <si>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</si>
  <si>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</si>
  <si>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</si>
  <si>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</si>
  <si>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</si>
  <si>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</si>
  <si>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</si>
  <si>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</si>
  <si>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</si>
  <si>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</si>
  <si>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</si>
  <si>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</si>
  <si>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</si>
  <si>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</si>
  <si>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</si>
  <si>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</si>
  <si>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</si>
  <si>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</si>
  <si>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</si>
  <si>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</si>
  <si>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</si>
  <si>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</si>
  <si>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</si>
  <si>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</si>
  <si>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</si>
  <si>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</si>
  <si>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</si>
  <si>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</si>
  <si>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</si>
  <si>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</si>
  <si>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</si>
  <si>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</si>
  <si>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</si>
  <si>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</si>
  <si>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</si>
  <si>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</si>
  <si>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</si>
  <si>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</si>
  <si>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</si>
  <si>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</si>
  <si>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</si>
  <si>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</si>
  <si>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</si>
  <si>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</si>
  <si>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</si>
  <si>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</si>
  <si>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</si>
  <si>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</si>
  <si>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</si>
  <si>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</si>
  <si>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</si>
  <si>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</si>
  <si>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</si>
  <si>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</si>
  <si>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</si>
  <si>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</si>
  <si>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</si>
  <si>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</si>
  <si>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</si>
  <si>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</si>
  <si>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</si>
  <si>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</si>
  <si>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</si>
  <si>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</si>
  <si>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</si>
  <si>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</si>
  <si>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</si>
  <si>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</si>
  <si>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</si>
  <si>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</si>
  <si>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</si>
  <si>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</si>
  <si>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</si>
  <si>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</si>
  <si>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</si>
  <si>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</si>
  <si>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</si>
  <si>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</si>
  <si>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</si>
  <si>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</si>
  <si>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</si>
  <si>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</si>
  <si>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</si>
  <si>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</si>
  <si>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</si>
  <si>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</si>
  <si>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</si>
  <si>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</si>
  <si>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</si>
  <si>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</si>
  <si>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</si>
  <si>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</si>
  <si>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</si>
  <si>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</si>
  <si>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</si>
  <si>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</si>
  <si>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</si>
  <si>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</si>
  <si>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</si>
  <si>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</si>
  <si>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</si>
  <si>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</si>
  <si>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</si>
  <si>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</si>
  <si>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</si>
  <si>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</si>
  <si>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</si>
  <si>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</si>
  <si>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</si>
  <si>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</si>
  <si>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</si>
  <si>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</si>
  <si>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</si>
  <si>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</si>
  <si>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</si>
  <si>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</si>
  <si>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</si>
  <si>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</si>
  <si>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</si>
  <si>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</si>
  <si>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</si>
  <si>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</si>
  <si>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</si>
  <si>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</si>
  <si>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</si>
  <si>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</si>
  <si>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</si>
  <si>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</si>
  <si>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</si>
  <si>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</si>
  <si>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</si>
  <si>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</si>
  <si>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</si>
  <si>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</si>
  <si>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</si>
  <si>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</si>
  <si>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</si>
  <si>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</si>
  <si>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</si>
  <si>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</si>
  <si>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</si>
  <si>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</si>
  <si>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</si>
  <si>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</si>
  <si>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</si>
  <si>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</si>
  <si>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</si>
  <si>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</si>
  <si>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</si>
  <si>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</si>
  <si>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</si>
  <si>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</si>
  <si>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</si>
  <si>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</si>
  <si>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</si>
  <si>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</si>
  <si>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</si>
  <si>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</si>
  <si>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</si>
  <si>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</si>
  <si>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</si>
  <si>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</si>
  <si>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</si>
  <si>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</si>
  <si>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</si>
  <si>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</si>
  <si>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</si>
  <si>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</si>
  <si>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</si>
  <si>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</si>
  <si>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</si>
  <si>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</si>
  <si>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</si>
  <si>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</si>
  <si>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</si>
  <si>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</si>
  <si>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</si>
  <si>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</si>
  <si>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</si>
  <si>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</si>
  <si>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</si>
  <si>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</si>
  <si>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</si>
  <si>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</si>
  <si>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</si>
  <si>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</si>
  <si>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</si>
  <si>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</si>
  <si>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</si>
  <si>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</si>
  <si>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</si>
  <si>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</si>
  <si>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</si>
  <si>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</si>
  <si>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</si>
  <si>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</si>
  <si>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</si>
  <si>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</si>
  <si>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</si>
  <si>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</si>
  <si>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</si>
  <si>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</si>
  <si>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</si>
  <si>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</si>
  <si>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</si>
  <si>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</si>
  <si>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</si>
  <si>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</si>
  <si>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</si>
  <si>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</si>
  <si>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</si>
  <si>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</si>
  <si>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</si>
  <si>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</si>
  <si>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</si>
  <si>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</si>
  <si>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</si>
  <si>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</si>
  <si>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</si>
  <si>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</si>
  <si>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</si>
  <si>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</si>
  <si>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</si>
  <si>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</si>
  <si>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</si>
  <si>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</si>
  <si>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</si>
  <si>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</si>
  <si>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</si>
  <si>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</si>
  <si>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</si>
  <si>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</si>
  <si>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</si>
  <si>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</si>
  <si>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</si>
  <si>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</si>
  <si>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</si>
  <si>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</si>
  <si>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</si>
  <si>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</si>
  <si>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</si>
  <si>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</si>
  <si>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</si>
  <si>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</si>
  <si>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</si>
  <si>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</si>
  <si>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</si>
  <si>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</si>
  <si>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</si>
  <si>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</si>
  <si>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</si>
  <si>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</si>
  <si>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</si>
  <si>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</si>
  <si>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</si>
  <si>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</si>
  <si>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</si>
  <si>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</si>
  <si>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</si>
  <si>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</si>
  <si>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</si>
  <si>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</si>
  <si>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</si>
  <si>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</si>
  <si>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</si>
  <si>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</si>
  <si>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</si>
  <si>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</si>
  <si>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</si>
  <si>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</si>
  <si>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</si>
  <si>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</si>
  <si>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</si>
  <si>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</si>
  <si>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</si>
  <si>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</si>
  <si>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</si>
  <si>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</si>
  <si>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</si>
  <si>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</si>
  <si>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</si>
  <si>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</si>
  <si>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</si>
  <si>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</si>
  <si>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</si>
  <si>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</si>
  <si>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</si>
  <si>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</si>
  <si>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</si>
  <si>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</si>
  <si>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</si>
  <si>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</si>
  <si>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</si>
  <si>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</si>
  <si>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</si>
  <si>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</si>
  <si>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</si>
  <si>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</si>
  <si>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</si>
  <si>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</si>
  <si>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</si>
  <si>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</si>
  <si>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</si>
  <si>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</si>
  <si>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</si>
  <si>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</si>
  <si>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</si>
  <si>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</si>
  <si>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</si>
  <si>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</si>
  <si>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</si>
  <si>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</si>
  <si>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</si>
  <si>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</si>
  <si>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</si>
  <si>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</si>
  <si>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</si>
  <si>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</si>
  <si>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</si>
  <si>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</si>
  <si>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</si>
  <si>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</si>
  <si>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</si>
  <si>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</si>
  <si>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</si>
  <si>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</si>
  <si>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</si>
  <si>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</si>
  <si>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</si>
  <si>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</si>
  <si>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</si>
  <si>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</si>
  <si>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</si>
  <si>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</si>
  <si>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</si>
  <si>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</si>
  <si>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</si>
  <si>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</si>
  <si>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</si>
  <si>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</si>
  <si>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</si>
  <si>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</si>
  <si>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</si>
  <si>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</si>
  <si>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</si>
  <si>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</si>
  <si>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</si>
  <si>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</si>
  <si>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</si>
  <si>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</si>
  <si>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</si>
  <si>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</si>
  <si>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</si>
  <si>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</si>
  <si>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</si>
  <si>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</si>
  <si>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</si>
  <si>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</si>
  <si>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</si>
  <si>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</si>
  <si>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</si>
  <si>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</si>
  <si>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</si>
  <si>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</si>
  <si>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</si>
  <si>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</si>
  <si>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</si>
  <si>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</si>
  <si>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</si>
  <si>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</si>
  <si>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</si>
  <si>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</si>
  <si>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</si>
  <si>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</si>
  <si>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</si>
  <si>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</si>
  <si>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</si>
  <si>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</si>
  <si>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</si>
  <si>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</si>
  <si>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</si>
  <si>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</si>
  <si>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</si>
  <si>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</si>
  <si>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</si>
  <si>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</si>
  <si>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</si>
  <si>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</si>
  <si>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</si>
  <si>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</si>
  <si>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</si>
  <si>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</si>
  <si>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</si>
  <si>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</si>
  <si>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</si>
  <si>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</si>
  <si>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</si>
  <si>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</si>
  <si>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</si>
  <si>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</si>
  <si>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</si>
  <si>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</si>
  <si>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</si>
  <si>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</si>
  <si>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</si>
  <si>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</si>
  <si>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</si>
  <si>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</si>
  <si>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</si>
  <si>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</si>
  <si>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</si>
  <si>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</si>
  <si>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</si>
  <si>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</si>
  <si>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</si>
  <si>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</si>
  <si>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</si>
  <si>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</si>
  <si>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</si>
  <si>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</si>
  <si>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</si>
  <si>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</si>
  <si>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</si>
  <si>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</si>
  <si>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</si>
  <si>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</si>
  <si>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</si>
  <si>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</si>
  <si>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</si>
  <si>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</si>
  <si>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</si>
  <si>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</si>
  <si>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</si>
  <si>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</si>
  <si>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</si>
  <si>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</si>
  <si>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</si>
  <si>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</si>
  <si>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</si>
  <si>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</si>
  <si>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</si>
  <si>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</si>
  <si>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</si>
  <si>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</si>
  <si>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</si>
  <si>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</si>
  <si>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</si>
  <si>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</si>
  <si>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</si>
  <si>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</si>
  <si>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</si>
  <si>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</si>
  <si>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</si>
  <si>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</si>
  <si>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</si>
  <si>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</si>
  <si>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</si>
  <si>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</si>
  <si>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</si>
  <si>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</si>
  <si>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</si>
  <si>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</si>
  <si>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</si>
  <si>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</si>
  <si>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</si>
  <si>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</si>
  <si>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</si>
  <si>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</si>
  <si>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</si>
  <si>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</si>
  <si>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</si>
  <si>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</si>
  <si>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</si>
  <si>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</si>
  <si>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</si>
  <si>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</si>
  <si>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</si>
  <si>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</si>
  <si>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</si>
  <si>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</si>
  <si>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</si>
  <si>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</si>
  <si>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</si>
  <si>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</si>
  <si>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</si>
  <si>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</si>
  <si>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</si>
  <si>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</si>
  <si>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</si>
  <si>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</si>
  <si>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</si>
  <si>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</si>
  <si>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</si>
  <si>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</si>
  <si>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</si>
  <si>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</si>
  <si>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</si>
  <si>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</si>
  <si>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</si>
  <si>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</si>
  <si>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</si>
  <si>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</si>
  <si>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</si>
  <si>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</si>
  <si>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</si>
  <si>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</si>
  <si>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</si>
  <si>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</si>
  <si>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</si>
  <si>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</si>
  <si>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</si>
  <si>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</si>
  <si>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</si>
  <si>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</si>
  <si>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</si>
  <si>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</si>
  <si>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</si>
  <si>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</si>
  <si>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</si>
  <si>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</si>
  <si>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</si>
  <si>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</si>
  <si>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</si>
  <si>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</si>
  <si>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</si>
  <si>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</si>
  <si>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</si>
  <si>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</si>
  <si>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</si>
  <si>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</si>
  <si>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</si>
  <si>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</si>
  <si>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</si>
  <si>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</si>
  <si>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</si>
  <si>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</si>
  <si>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</si>
  <si>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</si>
  <si>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</si>
  <si>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</si>
  <si>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</si>
  <si>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</si>
  <si>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</si>
  <si>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</si>
  <si>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</si>
  <si>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</si>
  <si>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</si>
  <si>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</si>
  <si>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</si>
  <si>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</si>
  <si>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</si>
  <si>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</si>
  <si>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</si>
  <si>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</si>
  <si>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</si>
  <si>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</si>
  <si>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</si>
  <si>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</si>
  <si>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</si>
  <si>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</si>
  <si>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</si>
  <si>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</si>
  <si>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</si>
  <si>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</si>
  <si>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</si>
  <si>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</si>
  <si>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</si>
  <si>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</si>
  <si>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</si>
  <si>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</si>
  <si>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</si>
  <si>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</si>
  <si>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</si>
  <si>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</si>
  <si>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</si>
  <si>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</si>
  <si>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</si>
  <si>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</si>
  <si>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</si>
  <si>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</si>
  <si>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</si>
  <si>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</si>
  <si>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</si>
  <si>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</si>
  <si>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</si>
  <si>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</si>
  <si>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</si>
  <si>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</si>
  <si>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</si>
  <si>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</si>
  <si>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</si>
  <si>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</si>
  <si>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</si>
  <si>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</si>
  <si>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</si>
  <si>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</si>
  <si>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</si>
  <si>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</si>
  <si>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</si>
  <si>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</si>
  <si>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</si>
  <si>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</si>
  <si>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</si>
  <si>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</si>
  <si>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</si>
  <si>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</si>
  <si>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</si>
  <si>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</si>
  <si>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</si>
  <si>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</si>
  <si>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</si>
  <si>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</si>
  <si>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</si>
  <si>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</si>
  <si>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</si>
  <si>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</si>
  <si>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</si>
  <si>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</si>
  <si>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</si>
  <si>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</si>
  <si>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</si>
  <si>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</si>
  <si>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</si>
  <si>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</si>
  <si>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</si>
  <si>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</si>
  <si>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</si>
  <si>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</si>
  <si>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</si>
  <si>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</si>
  <si>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</si>
  <si>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</si>
  <si>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</si>
  <si>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</si>
  <si>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</si>
  <si>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</si>
  <si>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</si>
  <si>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</si>
  <si>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</si>
  <si>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</si>
  <si>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</si>
  <si>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</si>
  <si>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</si>
  <si>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</si>
  <si>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</si>
  <si>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</si>
  <si>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</si>
  <si>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</si>
  <si>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</si>
  <si>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</si>
  <si>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</si>
  <si>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</si>
  <si>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</si>
  <si>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</si>
  <si>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</si>
  <si>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</si>
  <si>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</si>
  <si>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</si>
  <si>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</si>
  <si>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</si>
  <si>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</si>
  <si>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</si>
  <si>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</si>
  <si>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</si>
  <si>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</si>
  <si>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</si>
  <si>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</si>
  <si>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</si>
  <si>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</si>
  <si>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</si>
  <si>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</si>
  <si>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</si>
  <si>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</si>
  <si>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</si>
  <si>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</si>
  <si>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</si>
  <si>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</si>
  <si>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</si>
  <si>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</si>
  <si>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</si>
  <si>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</si>
  <si>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</si>
  <si>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</si>
  <si>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</si>
  <si>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</si>
  <si>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</si>
  <si>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</si>
  <si>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</si>
  <si>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</si>
  <si>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</si>
  <si>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</si>
  <si>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</si>
  <si>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</si>
  <si>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</si>
  <si>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</si>
  <si>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</si>
  <si>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</si>
  <si>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</si>
  <si>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</si>
  <si>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</si>
  <si>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</si>
  <si>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</si>
  <si>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</si>
  <si>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</si>
  <si>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</si>
  <si>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</si>
  <si>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</si>
  <si>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</si>
  <si>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</si>
  <si>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</si>
  <si>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</si>
  <si>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</si>
  <si>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</si>
  <si>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</si>
  <si>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</si>
  <si>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</si>
  <si>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</si>
  <si>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</si>
  <si>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</si>
  <si>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</si>
  <si>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</si>
  <si>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</si>
  <si>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</si>
  <si>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</si>
  <si>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</si>
  <si>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</si>
  <si>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</si>
  <si>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</si>
  <si>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</si>
  <si>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</si>
  <si>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</si>
  <si>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</si>
  <si>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</si>
  <si>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</si>
  <si>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</si>
  <si>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</si>
  <si>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</si>
  <si>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</si>
  <si>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</si>
  <si>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</si>
  <si>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</si>
  <si>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</si>
  <si>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</si>
  <si>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</si>
  <si>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</si>
  <si>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</si>
  <si>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</si>
  <si>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</si>
  <si>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</si>
  <si>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</si>
  <si>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</si>
  <si>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</si>
  <si>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</si>
  <si>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</si>
  <si>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</si>
  <si>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</si>
  <si>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</si>
  <si>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</si>
  <si>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</si>
  <si>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</si>
  <si>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</si>
  <si>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</si>
  <si>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</si>
  <si>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</si>
  <si>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</si>
  <si>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</si>
  <si>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</si>
  <si>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</si>
  <si>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</si>
  <si>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</si>
  <si>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</si>
  <si>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</si>
  <si>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</si>
  <si>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</si>
  <si>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</si>
  <si>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</si>
  <si>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</si>
  <si>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</si>
  <si>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</si>
  <si>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</si>
  <si>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</si>
  <si>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</si>
  <si>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</si>
  <si>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</si>
  <si>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</si>
  <si>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</si>
  <si>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</si>
  <si>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</si>
  <si>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</si>
  <si>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</si>
  <si>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</si>
  <si>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</si>
  <si>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</si>
  <si>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</si>
  <si>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</si>
  <si>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</si>
  <si>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</si>
  <si>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</si>
  <si>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</si>
  <si>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</si>
  <si>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</si>
  <si>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</si>
  <si>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</si>
  <si>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</si>
  <si>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</si>
  <si>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</si>
  <si>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</si>
  <si>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</si>
  <si>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</si>
  <si>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</si>
  <si>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</si>
  <si>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</si>
  <si>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</si>
  <si>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</si>
  <si>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</si>
  <si>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</si>
  <si>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</si>
  <si>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</si>
  <si>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</si>
  <si>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</si>
  <si>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</si>
  <si>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</si>
  <si>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</si>
  <si>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</si>
  <si>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</si>
  <si>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</si>
  <si>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</si>
  <si>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</si>
  <si>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</si>
  <si>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</si>
  <si>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</si>
  <si>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</si>
  <si>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</si>
  <si>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</si>
  <si>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</si>
  <si>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</si>
  <si>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</si>
  <si>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</si>
  <si>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</si>
  <si>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</si>
  <si>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</si>
  <si>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</si>
  <si>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</si>
  <si>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</si>
  <si>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</si>
  <si>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</si>
  <si>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</si>
  <si>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</si>
  <si>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</si>
  <si>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</si>
  <si>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</si>
  <si>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</si>
  <si>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</si>
  <si>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</si>
  <si>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</si>
  <si>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</si>
  <si>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</si>
  <si>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</si>
  <si>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</si>
  <si>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</si>
  <si>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</si>
  <si>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</si>
  <si>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</si>
  <si>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</si>
  <si>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</si>
  <si>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</si>
  <si>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</si>
  <si>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</si>
  <si>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</si>
  <si>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</si>
  <si>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</si>
  <si>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</si>
  <si>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</si>
  <si>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</si>
  <si>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</si>
  <si>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</si>
  <si>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</si>
  <si>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</si>
  <si>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</si>
  <si>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</si>
  <si>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</si>
  <si>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</si>
  <si>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</si>
  <si>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</si>
  <si>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</si>
  <si>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</si>
  <si>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</si>
  <si>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</si>
  <si>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</si>
  <si>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</si>
  <si>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</si>
  <si>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</si>
  <si>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</si>
  <si>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</si>
  <si>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</si>
  <si>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</si>
  <si>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</si>
  <si>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</si>
  <si>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</si>
  <si>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</si>
  <si>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</si>
  <si>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</si>
  <si>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</si>
  <si>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</si>
  <si>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</si>
  <si>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</si>
  <si>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</si>
  <si>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</si>
  <si>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</si>
  <si>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t>SheetSort</t>
  </si>
  <si>
    <t>Descend</t>
  </si>
  <si>
    <t>&lt; WARNING &gt; Адаптер&gt; ссылка SFacc/3:6(0012000000MXkEp) не работает, результат &lt;пусто&gt;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</si>
  <si>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</si>
  <si>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</si>
  <si>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SFD/4:15(2013-2-26) не работает, результат &lt;пусто&gt;</t>
  </si>
  <si>
    <t>&lt; WARNING &gt; В строке 820Платежей 1С ссылка на Договор 2008-1-048,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</si>
  <si>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</si>
  <si>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WrCSV&gt; в 'Payment.txt' записано 12 строк.</t>
  </si>
  <si>
    <t>&lt; WARNING &gt; В строке 705Платежей 1С ссылка на Договор 2008-2-008, которого нет в листе Договоров 1С</t>
  </si>
  <si>
    <t>&lt; WARNING &gt; В строке 722Платежей 1С ссылка на Договор 1311-07, которого нет в листе Договоров 1С</t>
  </si>
  <si>
    <t>&lt; WARNING &gt; В строке 818Платежей 1С ссылка на Договор 2008-1-048, которого нет в листе Договоров 1С</t>
  </si>
  <si>
    <t>&lt; WARNING &gt; В строке 819Платежей 1С ссылка на Договор 2008-1-048, которого нет в листе Договоров 1С</t>
  </si>
  <si>
    <t>&lt; WARNING &gt; В строке 959Платежей 1С ссылка на Договор 0107-07/2с, которого нет в листе Договоров 1С</t>
  </si>
  <si>
    <t>&lt; WARNING &gt; В строке 960Платежей 1С ссылка на Договор 0107-07/2с, которого нет в листе Договоров 1С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</si>
  <si>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</si>
  <si>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</si>
  <si>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</si>
  <si>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</si>
  <si>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</si>
  <si>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</si>
  <si>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</si>
  <si>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ВНИМАНИЕ:WrNewSheet: Ошибка при записи в лист 'NewContract'_x000D_
 из листа 'Договоры' строки=1310_x000D_
 в колонке=4 =13 X=ООО "ПетроСАПР"_x000D_
 Адаптер=Мы/2 Fetch =</t>
  </si>
  <si>
    <t>001D000001Bsfmi</t>
  </si>
  <si>
    <t>ООО "ПетроСАПР"</t>
  </si>
  <si>
    <t>ВНИМАНИЕ:WrNewSheet: Ошибка при записи в лист 'NewContract'_x000D_
 из листа 'Договоры' строки=1377_x000D_
 в колонке=6 =14 X=Хабаров Алексей Валерьевич_x000D_
 Адаптер=Продавец_в_SF/3 Fetch =</t>
  </si>
  <si>
    <t>Хабаров Алексей Валерьевич</t>
  </si>
  <si>
    <t>Хабаров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</si>
  <si>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</si>
  <si>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</si>
  <si>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</si>
  <si>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В строке 465Платежей 1С ссылка на Договор №105-06/1с, которого нет в листе Договоров 1С</t>
  </si>
  <si>
    <t>&lt; WARNING &gt; В строке 508Платежей 1С ссылка на Договор №105-06/1с, которого нет в листе Договоров 1С</t>
  </si>
  <si>
    <t>&lt; WARNING &gt; В строке 591Платежей 1С ссылка на Договор №105-06/1с, которого нет в листе Договоров 1С</t>
  </si>
  <si>
    <t>&lt; WARNING &gt; В строке 626Платежей 1С ссылка на Договор №105-06/1с, которого нет в листе Договоров 1С</t>
  </si>
  <si>
    <t>&lt; WARNING &gt; В строке 678Платежей 1С ссылка на Договор №105-06/1с, которого нет в листе Договоров 1С</t>
  </si>
  <si>
    <t>&lt; WARNING &gt; В строке 704Платежей 1С ссылка на Договор 2008-2-008, которого нет в листе Договоров 1С</t>
  </si>
  <si>
    <t>&lt; WARNING &gt; В строке 709Платежей 1С ссылка на Договор №105-06/1с,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</si>
  <si>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</si>
  <si>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720Платежей 1С ссылка на Договор 2008-2-050, которого нет в листе Договоров 1С</t>
  </si>
  <si>
    <t>&lt; WARNING &gt; В строке 721Платежей 1С ссылка на Договор 1311-07, которого нет в листе Договоров 1С</t>
  </si>
  <si>
    <t>&lt; WARNING &gt; В строке 743Платежей 1С ссылка на Договор №105-06/1с, которого нет в листе Договоров 1С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</si>
  <si>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</si>
  <si>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В строке 814Платежей 1С ссылка на Договор №105-06/1с,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</si>
  <si>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</si>
  <si>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822Платежей 1С ссылка на Договор №105-06/1с, которого нет в листе Договоров 1С</t>
  </si>
  <si>
    <t>&lt; WARNING &gt; В строке 831Платежей 1С ссылка на Договор №105-06/1с, которого нет в листе Договоров 1С</t>
  </si>
  <si>
    <t>&lt; WARNING &gt; В строке 855Платежей 1С ссылка на Договор №105-06/1с, которого нет в листе Договоров 1С</t>
  </si>
  <si>
    <t>&lt; WARNING &gt; В строке 892Платежей 1С ссылка на Договор №105-06/1с, которого нет в листе Договоров 1С</t>
  </si>
  <si>
    <t>&lt; WARNING &gt; В строке 958Платежей 1С ссылка на Договор 0107-07/2с, которого нет в листе Договоров 1С</t>
  </si>
  <si>
    <t>&lt; WARNING &gt; В строке 1048Платежей 1С ссылка на Договор №105-06/1с, которого нет в листе Договоров 1С</t>
  </si>
  <si>
    <t>WrCSV&gt; в 'Dogovor.txt' записано 10 строк.</t>
  </si>
  <si>
    <t>&lt; WARNING &gt; Адаптер&gt; ссылка SFopp/4:№(ОАО 58-й Центральный проектный институт) не работает, результат &lt;пусто&gt;</t>
  </si>
  <si>
    <t>ВНИМАНИЕ:OppSelect&gt; Не найдено ни одного Проекта</t>
  </si>
  <si>
    <t>&lt;! ERROR !&gt; OppSelect&gt; Внутренняя ошибка FetchDoс- нечисловой незультат по №</t>
  </si>
  <si>
    <t>&lt; WARNING &gt; Адаптер&gt; ссылка SFopp/4:№(ОАО "ЦКБ МТ "Рубин")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</si>
  <si>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</si>
  <si>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&lt;! ERROR !&gt; GetRep &gt; Не найден Штамп в Документе 'В Salesforce нет подходящих Проектов. '_x000D_
_x000D_
Этот Документ надо загрузить в match заново или _x000D_
исправить параметры в TOCmatch.</t>
  </si>
  <si>
    <t>MoveToMatch: В файл '1C.xlsx' загружен новый отчет 'Договоры'; EOL=103 строк, в прежнем 1402_x000D_
Это изменяемая ЧАСТЬ данных.</t>
  </si>
  <si>
    <t>adapt profile: total = 0,32_x000D_
By steps =  0,07 0,15 0,04 0,00 0,00 0,00 0,04 0,00 0,00 0,00 0,00 0,00 0,00 0,00 0,00 0,00 0,00 0,00 0,00 0,00 0,00 0,00 0,00 0,00 0,00 0,00</t>
  </si>
  <si>
    <t>MoveToMatch: В файл '1C.xlsx' загружен новый отчет 'Договоры'; EOL=103 строк, в прежнем 103_x000D_
Это изменяемая ЧАСТЬ данных.</t>
  </si>
  <si>
    <t>adapt profile: total = 0,32_x000D_
By steps =  0,08 0,18 0,02 0,00 0,00 0,00 0,01 0,00 0,00 0,00 0,00 0,00 0,00 0,00 0,00 0,00 0,00 0,00 0,00 0,00 0,00 0,00 0,00 0,00 0,00 0,00</t>
  </si>
  <si>
    <t>MoveToMatch: В файл '1C.xlsx' загружен новый отчет 'Платежи'; EOL=96 строк, в прежнем 5798_x000D_
Это изменяемая ЧАСТЬ данных.</t>
  </si>
  <si>
    <t>adapt profile: total = 6,05_x000D_
By steps =  0,42 0,00 2,70 2,91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</si>
  <si>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ПОЛНЫЙ документ.</t>
  </si>
  <si>
    <t>adapt profile: total = 2,84_x000D_
By steps =  0,31 0,00 1,22 1,30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</si>
  <si>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изменяемая ЧАСТЬ данных.</t>
  </si>
  <si>
    <t>adapt profile: total = 5,99_x000D_
By steps =  0,47 0,00 2,56 2,88 0,00 0,00 0,00 0,00 0,00 0,00 0,00 0,00 0,00 0,00 0,00 0,00 0,00 0,00 0,00 0,00 0,00 0,00 0,00 0,00 0,00 0,00 0,00 0,00 0,00 0,00 0,00 0,00 0,00 0,00 0,00 0,00 0,00 0,00</t>
  </si>
  <si>
    <t>adapt profile: total = 6,00_x000D_
By steps =  0,44 0,00 2,70 2,82 0,00 0,00 0,00 0,00 0,00 0,00 0,00 0,00 0,00 0,00 0,00 0,00 0,00 0,00 0,00 0,00 0,00 0,00 0,00 0,00 0,00 0,00 0,00 0,00 0,00 0,00 0,00 0,00 0,00 0,00 0,00 0,00 0,00 0,00</t>
  </si>
  <si>
    <t>&lt;! ERROR !&gt; GetRep &gt; Не найден Штамп в Документе 'Платежи_OLD'_x000D_
_x000D_
Этот Документ надо загрузить в match заново или _x000D_
исправить параметры в TOCmatch.</t>
  </si>
  <si>
    <t>adapt profile: total = 1,28_x000D_
By steps =  0,30 0,00 0,61 0,31 0,00 0,00 0,00 0,00 0,00 0,00 0,00 0,00 0,00 0,00 0,00 0,00 0,00 0,00 0,00 0,00 0,00 0,00 0,00 0,00 0,00 0,00 0,00 0,00 0,00 0,00 0,00 0,00 0,00 0,00 0,00 0,00 0,00 0,00</t>
  </si>
  <si>
    <t>adapt profile: total = 6,12_x000D_
By steps =  0,47 0,00 2,75 2,85 0,00 0,00 0,00 0,00 0,00 0,00 0,00 0,00 0,00 0,00 0,00 0,00 0,00 0,00 0,00 0,00 0,00 0,00 0,00 0,00 0,00 0,00 0,00 0,00 0,00 0,00 0,00 0,00 0,00 0,00 0,00 0,00 0,00 0,00</t>
  </si>
  <si>
    <t>MoveToMatch: В файл '1C.xlsx' загружен новый отчет 'Договоры'; EOL=103 строк, в прежнем 1399_x000D_
Это изменяемая ЧАСТЬ данных.</t>
  </si>
  <si>
    <t>adapt profile: total = 0,35_x000D_
By steps =  0,08 0,14 0,05 0,00 0,00 0,00 0,04 0,00 0,00 0,00 0,00 0,00 0,00 0,00 0,00 0,00 0,00 0,00 0,00 0,00 0,00 0,00 0,00 0,00 0,00 0,00</t>
  </si>
  <si>
    <t>MoveToMatch: В файл '1C.xlsx' загружен новый отчет 'Платежи'; EOL=96 строк, в прежнем 5817_x000D_
Это изменяемая ЧАСТЬ данных.</t>
  </si>
  <si>
    <t>adapt profile: total = 3,56_x000D_
By steps =  0,35 0,00 1,65 1,51 0,00 0,00 0,00 0,00 0,00 0,00 0,00 0,00 0,00 0,00 0,00 0,00 0,00 0,00 0,00 0,00 0,00 0,00 0,00 0,00 0,00 0,00 0,00 0,00 0,00 0,00 0,00 0,00 0,00 0,00 0,00 0,00 0,00 0,00</t>
  </si>
  <si>
    <t>adapt profile: total = 0,38_x000D_
By steps =  0,08 0,16 0,04 0,00 0,00 0,00 0,04 0,00 0,00 0,00 0,00 0,00 0,00 0,00 0,00 0,00 0,00 0,00 0,00 0,00 0,00 0,00 0,00 0,00 0,00 0,00</t>
  </si>
  <si>
    <t>adapt profile: total = 33,27_x000D_
By steps =  0,00 0,00 0,00 0,00 0,00 0,00 0,00 0,00 0,00 0,00 0,00 0,00 0,00 0,00 0,00 0,00 0,00 0,00 0,00 0,00 0,00 0,00 0,00 0,00 0,00 0,00 0,00 0,00 0,00 0,00 97353,65 3,07 4,58 4,61 4,56 4,38 4,97 5,33</t>
  </si>
  <si>
    <t>&lt; WARNING &gt; Адаптер&gt; ссылка SFacc/3:12(001D000000hu3Dv) не работает, результат &lt;пусто&gt;</t>
  </si>
  <si>
    <t>&lt; WARNING &gt; Адаптер&gt; ссылка SFacc/3:6(001D000000hu3Dv) не работает, результат &lt;пусто&gt;</t>
  </si>
  <si>
    <t>&lt; WARNING &gt; Адаптер&gt; ссылка SFacc/3:10(001D000000hu3Dv) не работает, результат &lt;пусто&gt;</t>
  </si>
  <si>
    <t>&lt; WARNING &gt; Адаптер&gt; ссылка SFopp/4:№("Тебодин Истерн Юроп Б.В." (Частное ООО) (Нидерланды),_x000D_
Филиал в г.Санкт-Петербурге) не работает, результат &lt;пусто&gt;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</si>
  <si>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</si>
  <si>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</si>
  <si>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</si>
  <si>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</si>
  <si>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</si>
  <si>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&lt;! ERROR !&gt; X_Parse&gt; странный iCol=</t>
  </si>
  <si>
    <t>&lt; WARNING &gt; Адаптер&gt; ссылка SFacc/3:2(ул. Заводская, д.17) не работает, результат &lt;пусто&gt;</t>
  </si>
  <si>
    <t>&lt; WARNING &gt; Адаптер&gt; ссылка SFacc/3:9(ул. Заводская, д.17) не работает, результат &lt;пусто&gt;</t>
  </si>
  <si>
    <t>&lt; WARNING &gt; Адаптер&gt; ссылка SFacc/3:12(ул. Заводская, д.17) не работает, результат &lt;пусто&gt;</t>
  </si>
  <si>
    <t>&lt; WARNING &gt; Адаптер&gt; ссылка SFacc/3:6(ул. Заводская, д.17) не работает, результат &lt;пусто&gt;</t>
  </si>
  <si>
    <t>&lt; WARNING &gt; Адаптер&gt; ссылка SFacc/3:5(ул. Заводская, д.17) не работает, результат &lt;пусто&gt;</t>
  </si>
  <si>
    <t>&lt; WARNING &gt; Адаптер&gt; ссылка SFacc/3:4(ул. Заводская, д.17) не работает, результат &lt;пусто&gt;</t>
  </si>
  <si>
    <t>&lt; WARNING &gt; Адаптер&gt; ссылка SFacc/3:7(ул. Заводская, д.17) не работает, результат &lt;пусто&gt;</t>
  </si>
  <si>
    <t>&lt; WARNING &gt; Адаптер&gt; ссылка SFacc/3:10(ул. Заводская, д.17) не работает, результат &lt;пусто&gt;</t>
  </si>
  <si>
    <t>&lt; WARNING &gt; Адаптер&gt; ссылка SFacc/3:11(ул. Заводская, д.17) не работает, результат &lt;пусто&gt;</t>
  </si>
  <si>
    <t>&lt; WARNING &gt; Адаптер&gt; ссылка SFacc/3:2(ул. Складочная, д.1, стр 5) не работает, результат &lt;пусто&gt;</t>
  </si>
  <si>
    <t>&lt; WARNING &gt; Адаптер&gt; ссылка SFacc/3:6(0012000000MXkEj) не работает, результат &lt;пусто&gt;</t>
  </si>
  <si>
    <t>&lt; WARNING &gt; Адаптер&gt; ссылка SFopp/4:№(ООО "АНК-Строй") не работает, результат &lt;пусто&gt;</t>
  </si>
  <si>
    <t>&lt; WARNING &gt; Адаптер&gt; ссылка SFacc/3:6(001D000001BrWiN) не работает, результат &lt;пусто&gt;</t>
  </si>
  <si>
    <t>&lt; WARNING &gt; Адаптер&gt; ссылка SFacc/3:10(001D000001BrWiN) не работает, результат &lt;пусто&gt;</t>
  </si>
  <si>
    <t>DogVal</t>
  </si>
  <si>
    <t>&lt;! ERROR !&gt; Неизвестный тип товара 0</t>
  </si>
  <si>
    <t>консультац</t>
  </si>
  <si>
    <t>&lt; WARNING &gt; Адаптер&gt; ссылка SFacc/3:6(001D000000gx9LY) не работает, результат &lt;пусто&gt;</t>
  </si>
  <si>
    <t>&lt; WARNING &gt; Адаптер&gt; ссылка SFopp/4:№(ООО "БУСТЕР") не работает, результат &lt;пусто&gt;</t>
  </si>
  <si>
    <t>32</t>
  </si>
  <si>
    <t>KindOpp</t>
  </si>
  <si>
    <t>&lt;! ERROR !&gt; GetRep &gt; Не найден Штамп в Документе 'We'_x000D_
_x000D_
Этот Документ надо загрузить в match заново или _x000D_
исправить параметры в TOCmatch.</t>
  </si>
  <si>
    <t>EmptyBuddy</t>
  </si>
  <si>
    <t>&lt; WARNING &gt; Адаптер&gt; ссылка SFacc/3:12(0012000000VwcVA) не работает, результат &lt;пусто&gt;</t>
  </si>
  <si>
    <t>&lt; WARNING &gt; Адаптер&gt; ссылка SFacc/3:6(0012000000VwcVA)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</si>
  <si>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</si>
  <si>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SFacc/3:12(001D000000u9qYQ) не работает, результат &lt;пусто&gt;</t>
  </si>
  <si>
    <t>&lt; WARNING &gt; Адаптер&gt; ссылка SFacc/3:10(001D000000u9qYQ) не работает, результат &lt;пусто&gt;</t>
  </si>
  <si>
    <t>&lt; WARNING &gt; Адаптер&gt; ссылка SFopp/4:№(ОАО "ГРЦ Макеева") не работает, результат &lt;пусто&gt;</t>
  </si>
  <si>
    <t>WrCSV&gt; в 'Payment.txt' записано 2 строк.</t>
  </si>
  <si>
    <t>WrCSV&gt; в 'NewOpp.txt' записано 4 строк.</t>
  </si>
  <si>
    <t>MoveToMatch: В файл 'SFDC.xlsx' загружен новый отчет 'SFD'; EOL=1157 строк, в прежнем 1172_x000D_
Это ПОЛНЫЙ документ.</t>
  </si>
  <si>
    <t>&lt;! ERROR !&gt; Необходимо загрузить заново 'SFopp' за 05.09.2013 2:00:00_x000D_
Он устарел относительно 'Договоры' за 07.09.2013</t>
  </si>
  <si>
    <t>MoveToMatch: В файл 'SFDC.xlsx' загружен новый отчет 'SFopp'; EOL=3557 строк, в прежнем 3555_x000D_
Это ПОЛНЫЙ документ.</t>
  </si>
  <si>
    <t>MoveToMatch: В файл 'SFDC.xlsx' загружен новый отчет 'SFD'; EOL=1157 строк, в прежнем 1157_x000D_
Это ПОЛНЫЙ документ.</t>
  </si>
  <si>
    <t>adapt profile: total = 7,00_x000D_
By steps =  6,64 0,01</t>
  </si>
  <si>
    <t>adapt profile: total = 5,66_x000D_
By steps =  0,83 2,98 0,67 0,01 0,00 0,00 0,57 0,00 0,00 0,00 0,00 0,00 0,00 0,00 0,00 0,00 0,00 0,00 0,00 0,01 0,00 0,00 0,00 0,00 0,00 0,00</t>
  </si>
  <si>
    <t>&lt;! ERROR !&gt; Необходимо загрузить заново 'SF' за 05.09.2013 2:39:00_x000D_
Он устарел относительно 'Платежи' за 07.09.2013</t>
  </si>
  <si>
    <t>MoveToMatch: В файл 'SFDC.xlsx' загружен новый отчет 'SF'; EOL=4872 строк, в прежнем 4913_x000D_
Это ПОЛНЫЙ документ.</t>
  </si>
  <si>
    <t>adapt profile: total = 41,07_x000D_
By steps =  15,90 0,06 18,40 4,09 0,03 0,01 0,01 0,01 0,01 0,01 0,01 0,01 0,01 0,01 0,02 0,01 0,01 0,01 0,01 0,01 0,01 0,01 0,01 0,01 0,01 0,01 0,02 0,01 0,01 0,00 0,00 0,00 0,00 0,00 0,00 0,00 0,00 0,00</t>
  </si>
  <si>
    <t>adapt profile: total = 13,73_x000D_
By steps =  12,18 0,04</t>
  </si>
  <si>
    <t>adapt profile: total = 32,59_x000D_
By steps =  0,09 0,00 0,00 0,00 0,00 0,00 0,00 0,00 0,00 0,00 0,00 0,00 0,00 0,00 0,00 0,00 0,00 0,00 0,00 0,00 0,00 0,00 0,00 0,00 0,00 0,00 0,00 0,00 0,00 0,00 95593,20 2,89 4,42 4,49 4,40 4,18 4,91 5,32</t>
  </si>
  <si>
    <t>adapt profile: total = 31,80_x000D_
By steps =  0,00 0,00 0,00 0,00 0,00 0,00 0,00 0,00 0,00 0,00 0,00 0,00 0,00 0,00 0,00 0,00 0,00 0,00 0,00 0,00 0,00 0,00 0,00 0,00 0,00 0,00 0,00 0,00 0,00 0,00 95965,34 2,80 4,35 4,39 4,20 4,20 4,82 5,21</t>
  </si>
  <si>
    <t>&lt; WARNING &gt; Адаптер&gt; ссылка SFacc/3:12(0012000000PBXlG) не работает, результат &lt;пусто&gt;</t>
  </si>
  <si>
    <t>&lt; WARNING &gt; Адаптер&gt; ссылка SFacc/3:6(0012000000PBXlG) не работает, результат &lt;пусто&gt;</t>
  </si>
  <si>
    <t>&lt; WARNING &gt; Адаптер&gt; ссылка SFopp/4:№(ООО "КНРГ Управление") не работает, результат &lt;пусто&gt;</t>
  </si>
  <si>
    <t>WrCSV&gt; в 'Payment.txt' записано 8 строк.</t>
  </si>
  <si>
    <t>MoveToMatch: В файл 'SFDC.xlsx' загружен новый отчет 'SF'; EOL=4876 строк, в прежнем 4913_x000D_
Это ПОЛНЫЙ документ.</t>
  </si>
  <si>
    <t>adapt profile: total = 34,45_x000D_
By steps =  13,03 0,05 14,78 4,30 0,03 0,01 0,01 0,02 0,02 0,01 0,01 0,01 0,01 0,01 0,01 0,01 0,01 0,01 0,01 0,01 0,01 0,01 0,02 0,01 0,01 0,01 0,01 0,01 0,01 0,00 0,00 0,00 0,00 0,00 0,00 0,00 0,00 0,00</t>
  </si>
  <si>
    <t>adapt profile: total = 26,22_x000D_
By steps =  24,64 0,04</t>
  </si>
  <si>
    <t>MoveToMatch: В файл 'SFDC.xlsx' загружен новый отчет 'SFacc'; EOL=4522 строк, в прежнем 4522_x000D_
Это ПОЛНЫЙ документ.</t>
  </si>
  <si>
    <t>adapt profile: total = 61,87_x000D_
By steps =  18,73 0,05 31,34 9,24 0,03 0,01 0,01 0,01 0,01 0,02 0,01 0,02 0,01 0,01 0,01 0,01 0,01 0,01 0,01 0,01 0,01 0,01 0,01 0,01 0,01 0,01 0,01 0,01 0,01 0,00 0,00 0,00 0,00 0,00 0,00 0,00 0,00 0,00</t>
  </si>
  <si>
    <t>adapt profile: total = 7,22_x000D_
By steps =  1,25 3,91 0,73 0,01 0,01 0,00 0,63 0,01 0,00 0,00 0,00 0,00 0,00 0,00 0,00 0,00 0,00 0,00 0,00 0,00 0,00 0,00 0,00 0,00 0,00 0,00</t>
  </si>
  <si>
    <t>adapt profile: total = 6,26_x000D_
By steps =  5,64</t>
  </si>
  <si>
    <t>adapt profile: total = 51,28_x000D_
By steps =  0,09 0,00 0,01 0,00 0,00 0,00 0,00 0,00 0,00 0,00 0,00 0,00 0,00 0,00 0,00 0,00 0,00 0,00 0,00 0,00 0,00 0,00 0,00 0,00 0,00 0,00 0,00 0,00 0,00 0,00 163277,60 2,72 4,27 4,57 4,47 4,35 14,08 14,72</t>
  </si>
  <si>
    <t>&lt; WARNING &gt; Адаптер&gt; ссылка SFD/4:15(2012-2-11/2013-1-64) не работает, результат &lt;пусто&gt;</t>
  </si>
  <si>
    <t>ВНИМАНИЕ:WrNewSheet: Ошибка при записи в лист 'NewPayment'_x000D_
 из листа 'Платежи' строки=4_x000D_
 в колонке=7 =25 X=2013-1-64           _x000D_
 Адаптер=ContrK/26 Fetch =SFD/4:15</t>
  </si>
  <si>
    <t>ВНИМАНИЕ:WrNewSheet: Ошибка при записи в лист 'NewPayment'_x000D_
 из листа 'Платежи' строки=7_x000D_
 в колонке=7 =25 X=2013-1-64           _x000D_
 Адаптер=ContrK/26 Fetch =SFD/4:15</t>
  </si>
  <si>
    <t>adapt profile: total = 52,28_x000D_
By steps =  0,00 0,00 0,02 0,00 0,00 0,00 0,00 0,00 0,00 0,00 0,00 0,00 0,00 0,00 0,00 0,00 0,00 0,00 0,00 0,00 0,00 0,00 0,00 0,00 0,00 0,00 0,00 0,00 0,00 0,00 164717,40 3,11 4,87 4,66 4,50 4,31 14,45 14,19</t>
  </si>
  <si>
    <t>&lt; WARNING &gt; Адаптер&gt; ссылка SFD/4:15(2012-1-38/2013-1-64)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</si>
  <si>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</si>
  <si>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SFopp/4:№(СП ЗАО "ИВС") не работает, результат &lt;пусто&gt;</t>
  </si>
  <si>
    <t>&lt; WARNING &gt; Адаптер&gt; ссылка SFacc/3:6(001D0000015KcjS) не работает, результат &lt;пусто&gt;</t>
  </si>
  <si>
    <t>&lt; WARNING &gt; Адаптер&gt; ссылка SFacc/3:10(001D0000015KcjS) не работает, результат &lt;пусто&gt;</t>
  </si>
  <si>
    <t>&lt; WARNING &gt; Адаптер&gt; ссылка SFopp/4:№(ООО "Инженерный Центр") не работает, результат &lt;пусто&gt;</t>
  </si>
  <si>
    <t>&lt; WARNING &gt; Адаптер&gt; ссылка SFacc/3:6(0012000000NZhO1) не работает, результат &lt;пусто&gt;</t>
  </si>
  <si>
    <t>&lt; WARNING &gt; Адаптер&gt; ссылка SFopp/4:№(ОАО "Тулагипрохим") не работает, результат &lt;пусто&gt;</t>
  </si>
  <si>
    <t>ВНИМАНИЕ:WrNewSheet: Ошибка при записи в лист 'NewPayment'_x000D_
 из листа 'Платежи' строки=19_x000D_
 в колонке=7 =25 X=2013-1-64           _x000D_
 Адаптер=ContrK/26 Fetch =SFD/4:15</t>
  </si>
  <si>
    <t>ВНИМАНИЕ:WrNewSheet: Ошибка при записи в лист 'NewPayment'_x000D_
 из листа 'Платежи' строки=20_x000D_
 в колонке=7 =25 X=2013-1-64           _x000D_
 Адаптер=ContrK/26 Fetch =SFD/4:15</t>
  </si>
  <si>
    <t>ВНИМАНИЕ:WrNewSheet: Ошибка при записи в лист 'NewPayment'_x000D_
 из листа 'Платежи' строки=21_x000D_
 в колонке=7 =25 X=2013-1-64           _x000D_
 Адаптер=ContrK/26 Fetch =SFD/4:15</t>
  </si>
  <si>
    <t>ВНИМАНИЕ:WrNewSheet: Ошибка при записи в лист 'NewPayment'_x000D_
 из листа 'Платежи' строки=22_x000D_
 в колонке=7 =25 X=2013-1-64           _x000D_
 Адаптер=ContrK/26 Fetch =SFD/4:15</t>
  </si>
  <si>
    <t>&lt; WARNING &gt; Адаптер&gt; ссылка SFacc/3:6(0012000000S4GUq)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</si>
  <si>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</si>
  <si>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WrCSV&gt; в 'NewOpp.txt' записано 9 строк.</t>
  </si>
  <si>
    <t>MoveToMatch: В файл 'SFDC.xlsx' загружен новый отчет 'SFopp'; EOL=3562 строк, в прежнем 3557_x000D_
Это ПОЛНЫЙ документ.</t>
  </si>
  <si>
    <t>adapt profile: total = 4,61_x000D_
By steps =  4,29 0,01</t>
  </si>
  <si>
    <t>adapt profile: total = 7,22_x000D_
By steps =  1,24 3,91 0,76 0,00 0,00 0,00 0,65 0,00 0,00 0,00 0,00 0,00 0,00 0,00 0,00 0,00 0,00 0,00 0,00 0,00 0,00 0,00 0,00 0,00 0,00 0,00</t>
  </si>
  <si>
    <t>adapt profile: total = 50,46_x000D_
By steps =  0,00 0,00 0,01 0,00 0,00 0,00 0,00 0,00 0,00 0,00 0,00 0,00 0,00 0,00 0,00 0,00 0,00 0,00 0,00 0,00 0,00 0,00 0,00 0,00 0,00 0,00 0,00 0,00 0,00 0,00 161130,30 2,93 4,47 4,49 4,49 4,32 13,75 14,22</t>
  </si>
  <si>
    <t>&lt; WARNING &gt; Адаптер&gt; ссылка SFacc/3:6(001D0000010wRlt) не работает, результат &lt;пусто&gt;</t>
  </si>
  <si>
    <t>&lt; WARNING &gt; Адаптер&gt; ссылка SFopp/4:№(ООО "СТРОЙРЕМОНТ") не работает, результат &lt;пусто&gt;</t>
  </si>
  <si>
    <t>WrCSV&gt; в 'Payment.txt' записано 20 строк.</t>
  </si>
  <si>
    <t>MoveToMatch: В файл '1C.xlsx' загружен новый отчет 'Список клиентов 1C'; EOL=2023 строк, в прежнем 2017_x000D_
Это ПОЛНЫЙ документ.</t>
  </si>
  <si>
    <t>Список клиентов 1С на 09.09.13</t>
  </si>
  <si>
    <t>Рассматриваются документы с даты 01.01.07 по дату 09.09.13</t>
  </si>
  <si>
    <t>adapt profile: total = 20,80_x000D_
By steps =  20,30</t>
  </si>
  <si>
    <t>MoveToMatch: В файл 'SFDC.xlsx' загружен новый отчет 'SFacc'; EOL=4528 строк, в прежнем 4523_x000D_
Это ПОЛНЫЙ документ.</t>
  </si>
  <si>
    <t>adapt profile: total = 52,48_x000D_
By steps =  17,95 0,04 25,42 7,34 0,04 0,02 0,01 0,00 0,02 0,00 0,01 0,01 0,02 0,02 0,02 0,01 0,01 0,01 0,00 0,03 0,00 0,01 0,02 0,01 0,02 0,00 0,02 0,00 0,01 0,00 0,00 0,00 0,00 0,00 0,00 0,00 0,00 0,00</t>
  </si>
  <si>
    <t>adapt profile: total = 7,32_x000D_
By steps =  1,20 4,07 0,85 0,00 0,00 0,00 0,63 0,01 0,00 0,00 0,00 0,00 0,00 0,00 0,00 0,01 0,00 0,00 0,00 0,00 0,00 0,00 0,00 0,01 0,00 0,00</t>
  </si>
  <si>
    <t>adapt profile: total = 6,43_x000D_
By steps =  6,02</t>
  </si>
  <si>
    <t>MoveToMatch: В файл 'SFDC.xlsx' загружен новый отчет 'SFacc'; EOL=4540 строк, в прежнем 4530_x000D_
Это ПОЛНЫЙ документ.</t>
  </si>
  <si>
    <t>adapt profile: total = 49,03_x000D_
By steps =  17,23 0,07 26,13 3,74 0,01 0,01 0,02 0,05 0,02 0,01 0,03 0,00 0,01 0,01 0,01 0,02 0,02 0,02 0,01 0,02 0,01 0,02 0,02 0,02 0,01 0,00 0,01 0,01 0,01 0,00 0,00 0,00 0,00 0,00 0,00 0,00 0,00 0,00</t>
  </si>
  <si>
    <t>adapt profile: total = 7,43_x000D_
By steps =  1,31 4,11 0,78 0,01 0,01 0,00 0,65 0,01 0,00 0,01 0,00 0,00 0,00 0,00 0,00 0,00 0,00 0,01 0,02 0,00 0,00 0,00 0,01 0,00 0,00 0,01</t>
  </si>
  <si>
    <t>adapt profile: total = 6,52_x000D_
By steps =  6,02</t>
  </si>
  <si>
    <t>adapt profile: total = 48,91_x000D_
By steps =  0,00 0,00 0,01 0,00 0,00 0,00 0,00 0,00 0,00 0,00 0,00 0,00 0,00 0,00 0,00 0,00 0,00 0,00 0,00 0,00 0,00 0,00 0,00 0,00 0,00 0,00 0,00 0,00 0,00 0,00 129114,40 3,02 4,49 4,13 4,32 4,13 13,35 14,02</t>
  </si>
  <si>
    <t>adapt profile: total = 55,13_x000D_
By steps =  0,01 0,00 0,00 0,01 0,00 0,00 0,00 0,00 0,00 0,00 0,00 0,00 0,00 0,00 0,00 0,00 0,00 0,00 0,00 0,00 0,00 0,00 0,00 0,00 0,00 0,00 0,00 0,00 0,00 0,00 157958,80 3,05 5,64 5,20 5,67 4,30 15,26 14,21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</si>
  <si>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</si>
  <si>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</si>
  <si>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</si>
  <si>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&lt; WARNING &gt; Адаптер&gt; ссылка SFacc/3:6(0012000000UOMMQ) не работает, результат &lt;пусто&gt;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</si>
  <si>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</si>
  <si>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</si>
  <si>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SFacc/3:6(001D0000018xFwz) не работает, результат &lt;пусто&gt;</t>
  </si>
  <si>
    <t>&lt; WARNING &gt; Адаптер&gt; ссылка SFacc/3:7(001D0000018xFwz) не работает, результат &lt;пусто&gt;</t>
  </si>
  <si>
    <t>&lt; WARNING &gt; Адаптер&gt; ссылка SFopp/4:№(ООО "ИКСПИ-групп") не работает, результат &lt;пусто&gt;</t>
  </si>
  <si>
    <t>WrCSV&gt; в 'Dogovor.txt' записано 17 строк.</t>
  </si>
  <si>
    <t>WrCSV&gt; в 'Payment.txt' записано 44 строк.</t>
  </si>
  <si>
    <t>WrCSV&gt; в 'NewOpp.txt' записано 13 строк.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</si>
  <si>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</si>
  <si>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</si>
  <si>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WrCSV&gt; в 'Dogovor.txt' записано 9 строк.</t>
  </si>
  <si>
    <t>WrCSV&gt; в 'Payment.txt' записано 13 строк.</t>
  </si>
  <si>
    <t>MoveToMatch: В файл 'SFDC.xlsx' загружен новый отчет 'SFD'; EOL=1165 строк, в прежнем 1172_x000D_
Это ПОЛНЫЙ документ.</t>
  </si>
  <si>
    <t>adapt profile: total = 5,61_x000D_
By steps =  5,11 0,02</t>
  </si>
  <si>
    <t>adapt profile: total = 8,11_x000D_
By steps =  1,41 4,33 0,90 0,00 0,01 0,00 0,74 0,00 0,00 0,00 0,00 0,00 0,01 0,00 0,00 0,00 0,00 0,00 0,00 0,00 0,02 0,00 0,01 0,00 0,00 0,01</t>
  </si>
  <si>
    <t>MoveToMatch: В файл 'SFDC.xlsx' загружен новый отчет 'SFopp'; EOL=3575 строк, в прежнем 3562_x000D_
Это ПОЛНЫЙ документ.</t>
  </si>
  <si>
    <t>adapt profile: total = 57,61_x000D_
By steps =  0,01 0,00 0,01 0,00 0,00 0,00 0,00 0,00 0,00 0,00 0,00 0,00 0,00 0,00 0,00 0,00 0,00 0,00 0,00 0,00 0,00 0,00 0,00 0,00 0,00 0,00 0,00 0,00 0,00 0,00 182032,00 3,30 4,89 5,45 5,62 4,63 15,96 15,29</t>
  </si>
  <si>
    <t>&lt; WARNING &gt; Адаптер&gt; ссылка SFacc/3:6(001D000000ezj0Q) не работает, результат &lt;пусто&gt;</t>
  </si>
  <si>
    <t>&lt; WARNING &gt; Адаптер&gt; ссылка SFopp/4:№(ОАО "Гипротранспроект") не работает, результат &lt;пусто&gt;</t>
  </si>
  <si>
    <t>MoveToMatch: В файл 'SFDC.xlsx' загружен новый отчет 'SFopp'; EOL=3575 строк, в прежнем 3575_x000D_
Это ПОЛНЫЙ документ.</t>
  </si>
  <si>
    <t>MoveToMatch: В файл 'SFDC.xlsx' загружен новый отчет 'SFD'; EOL=1165 строк, в прежнем 1190_x000D_
Это ПОЛНЫЙ документ.</t>
  </si>
  <si>
    <t>adapt profile: total = 7,30_x000D_
By steps =  6,96 0,01</t>
  </si>
  <si>
    <t>adapt profile: total = 6,26_x000D_
By steps =  0,87 3,50 0,76 0,01 0,00 0,00 0,58 0,01 0,00 0,00 0,00 0,00 0,00 0,00 0,00 0,00 0,00 0,00 0,00 0,00 0,00 0,00 0,00 0,00 0,00 0,00</t>
  </si>
  <si>
    <t>MoveToMatch: В файл 'SFDC.xlsx' загружен новый отчет 'SFacc'; EOL=4540 строк, в прежнем 4548_x000D_
Это ПОЛНЫЙ документ.</t>
  </si>
  <si>
    <t>adapt profile: total = 53,72_x000D_
By steps =  19,22 0,05 27,02 5,70 0,03 0,01 0,01 0,01 0,01 0,01 0,01 0,01 0,01 0,00 0,01 0,01 0,00 0,01 0,01 0,02 0,01 0,01 0,01 0,01 0,01 0,01 0,01 0,01 0,01 0,00 0,00 0,00 0,00 0,00 0,00 0,00 0,00 0,00</t>
  </si>
  <si>
    <t>adapt profile: total = 8,08_x000D_
By steps =  1,35 4,51 0,88 0,00 0,00 0,00 0,72 0,01 0,00 0,00 0,00 0,00 0,00 0,00 0,00 0,00 0,00 0,00 0,00 0,00 0,00 0,00 0,00 0,00 0,00 0,00</t>
  </si>
  <si>
    <t>adapt profile: total = 7,82_x000D_
By steps =  7,32</t>
  </si>
  <si>
    <t>adapt profile: total = 51,41_x000D_
By steps =  0,00 0,00 0,01 0,00 0,00 0,00 0,00 0,00 0,00 0,00 0,00 0,00 0,00 0,00 0,00 0,00 0,00 0,00 0,00 0,00 0,00 0,00 0,00 0,00 0,00 0,00 0,00 0,00 0,00 0,00 137158,70 3,32 4,63 4,65 4,56 4,44 13,90 14,35</t>
  </si>
  <si>
    <t>&lt; WARNING &gt; Адаптер&gt; ссылка SFacc/3:6(001D000000vhVhX) не работает, результат &lt;пусто&gt;</t>
  </si>
  <si>
    <t>&lt; WARNING &gt; Адаптер&gt; ссылка SFopp/4:№(ЧУ"ИТЦП "ПРОРЫВ") не работает, результат &lt;пусто&gt;</t>
  </si>
  <si>
    <t>WrCSV&gt; в 'NewOpp.txt' записано 2 строк.</t>
  </si>
  <si>
    <t>MoveToMatch: В файл 'SFDC.xlsx' загружен новый отчет 'SFopp'; EOL=3576 строк, в прежнем 3575_x000D_
Это ПОЛНЫЙ документ.</t>
  </si>
  <si>
    <t>adapt profile: total = 56,56_x000D_
By steps =  0,00 0,00 0,01 0,00 0,00 0,00 0,00 0,00 0,00 0,00 0,00 0,00 0,00 0,00 0,00 0,00 0,00 0,00 0,00 0,00 0,00 0,00 0,00 0,00 0,00 0,00 0,00 0,00 0,00 0,00 179181,60 3,15 5,17 5,59 5,86 4,62 15,05 15,06</t>
  </si>
  <si>
    <t>&lt; WARNING &gt; Адаптер&gt; ссылка SFopp/4:№(ЗАО "Вагонмаш") не работает, результат &lt;пусто&gt;</t>
  </si>
  <si>
    <t>&lt; WARNING &gt; Адаптер&gt; ссылка SFopp/4:№(ОАО "Гипроспецгаз")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</si>
  <si>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</si>
  <si>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</si>
  <si>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</si>
  <si>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</si>
  <si>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WrCSV&gt; в 'ContrUpd.txt' записано 2 строк.</t>
  </si>
  <si>
    <t>adapt profile: total = 34,24_x000D_
By steps =  0,00 0,00 0,00 0,00 0,00 0,00 0,00 0,00 0,00 0,00 0,00 0,00 0,00 0,00 0,00 0,00 0,00 0,00 0,00 0,00 0,00 0,00 0,00 0,00 0,00 0,00 0,00 0,00 0,00 0,00 104746,60 3,18 4,73 4,69 4,66 4,44 5,09 5,53</t>
  </si>
  <si>
    <t>MoveToMatch: В файл 'SFDC.xlsx' загружен новый отчет 'SFopp'; EOL=3579 строк, в прежнем 3576_x000D_
Это ПОЛНЫЙ документ.</t>
  </si>
  <si>
    <t>adapt profile: total = 6,93_x000D_
By steps =  6,64 0,02</t>
  </si>
  <si>
    <t>adapt profile: total = 5,24_x000D_
By steps =  0,70 3,08 0,65 0,01 0,00 0,00 0,52 0,01 0,00 0,00 0,00 0,01 0,00 0,00 0,01 0,00 0,00 0,00 0,00 0,00 0,00 0,00 0,00 0,00 0,00 0,00</t>
  </si>
  <si>
    <t>adapt profile: total = 32,63_x000D_
By steps =  0,00 0,00 0,00 0,03 0,00 0,00 0,00 0,00 0,00 0,00 0,00 0,00 0,00 0,00 0,00 0,00 0,00 0,00 0,00 0,00 0,00 0,00 0,00 0,00 0,00 0,00 0,00 0,00 0,00 0,00 106703,00 3,02 4,26 4,61 5,09 4,33 4,97 5,00</t>
  </si>
  <si>
    <t>WrCSV&gt; в 'Payment.txt' записано 14 строк.</t>
  </si>
  <si>
    <t>WrCSV&gt; в 'NewOpp.txt' записано 8 строк.</t>
  </si>
  <si>
    <t>MoveToMatch: В файл 'SFDC.xlsx' загружен новый отчет 'SF'; EOL=4884 строк, в прежнем 4917_x000D_
Это ПОЛНЫЙ документ.</t>
  </si>
  <si>
    <t>adapt profile: total = 37,20_x000D_
By steps =  14,92 0,05 14,07 7,50 0,03 0,01 0,01 0,02 0,00 0,01 0,01 0,01 0,02 0,02 0,01 0,01 0,02 0,01 0,01 0,01 0,01 0,01 0,01 0,00 0,01 0,01 0,01 0,02 0,01 0,00 0,00 0,00 0,00 0,00 0,00 0,00 0,00 0,00</t>
  </si>
  <si>
    <t>adapt profile: total = 31,84_x000D_
By steps =  30,61 0,05</t>
  </si>
  <si>
    <t>MoveToMatch: В файл 'SFDC.xlsx' загружен новый отчет 'SFD'; EOL=1165 строк, в прежнем 1191_x000D_
Это ПОЛНЫЙ документ.</t>
  </si>
  <si>
    <t>adapt profile: total = 6,79_x000D_
By steps =  6,51 0,01</t>
  </si>
  <si>
    <t>adapt profile: total = 5,65_x000D_
By steps =  0,78 3,15 0,62 0,01 0,00 0,00 0,58 0,00 0,00 0,00 0,00 0,00 0,00 0,00 0,00 0,00 0,00 0,00 0,00 0,00 0,00 0,00 0,00 0,00 0,01 0,00</t>
  </si>
  <si>
    <t>MoveToMatch: В файл 'SFDC.xlsx' загружен новый отчет 'SFopp'; EOL=3586 строк, в прежнем 3579_x000D_
Это ПОЛНЫЙ документ.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</si>
  <si>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</si>
  <si>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</si>
  <si>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adapt profile: total = 36,64_x000D_
By steps =  0,00 0,00 0,00 0,03 0,00 0,00 0,00 0,00 0,00 0,00 0,00 0,00 0,00 0,00 0,00 0,00 0,00 0,00 0,00 0,00 0,00 0,00 0,00 0,00 0,00 0,00 0,00 0,00 0,00 0,00 123517,20 3,15 4,52 5,33 6,06 4,72 5,84 5,54</t>
  </si>
  <si>
    <t>MoveToMatch: В файл 'SFDC.xlsx' загружен новый отчет 'SFacc'; EOL=4590 строк, в прежнем 4548_x000D_
Это ПОЛНЫЙ документ.</t>
  </si>
  <si>
    <t>adapt profile: total = 49,39_x000D_
By steps =  18,52 0,05 25,00 5,11 0,04 0,02 0,02 0,01 0,02 0,00 0,03 0,02 0,02 0,01 0,01 0,01 0,02 0,01 0,02 0,01 0,01 0,00 0,01 0,01 0,01 0,00 0,00 0,02 0,01 0,00 0,00 0,00 0,00 0,00 0,00 0,00 0,00 0,00</t>
  </si>
  <si>
    <t>adapt profile: total = 16,07_x000D_
By steps =  1,23 12,89 0,75 0,01 0,00 0,00 0,61 0,00 0,00 0,01 0,00 0,00 0,01 0,00 0,00 0,01 0,00 0,00 0,00 0,00 0,00 0,01 0,00 0,00 0,00 0,00</t>
  </si>
  <si>
    <t>adapt profile: total = 7,07_x000D_
By steps =  6,56</t>
  </si>
  <si>
    <t>MoveToMatch: В файл '1C.xlsx' загружен новый отчет 'Платежи'; EOL=2 строк, в прежнем 5817_x000D_
Это изменяемая ЧАСТЬ данных.</t>
  </si>
  <si>
    <t>adapt profile: total = 0,00_x000D_
By steps =  0,00 0,00 0,00 0,00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</si>
  <si>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EOL=54 строк, в прежнем 5818_x000D_
Это изменяемая ЧАСТЬ данных.</t>
  </si>
  <si>
    <t>adapt profile: total = 0,29_x000D_
By steps =  0,12 0,00 0,13 0,01 0,00 0,00 0,00 0,00 0,00 0,00 0,00 0,00 0,00 0,00 0,00 0,00 0,00 0,00 0,00 0,00 0,00 0,00 0,00 0,00 0,00 0,00 0,00 0,00 0,00 0,00 0,00 0,00 0,00 0,00 0,00 0,00 0,00 0,00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</si>
  <si>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</si>
  <si>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</si>
  <si>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</si>
  <si>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</si>
  <si>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</si>
  <si>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</si>
  <si>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</si>
  <si>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</si>
  <si>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MoveToMatch: В файл '1C.xlsx' загружен новый отчет 'Платежи'; EOL=7 строк, в прежнем 49_x000D_
Это изменяемая ЧАСТЬ данных.</t>
  </si>
  <si>
    <t>&lt;! ERROR !&gt; GetRep &gt; Не найден Штамп в Документе 'DicAccName'_x000D_
_x000D_
Этот Документ надо загрузить в match заново или _x000D_
исправить параметры в TOCmatch.</t>
  </si>
  <si>
    <t>ВНИМАНИЕ:&lt;&gt; Процесс LOAD_1C_P перед выполнением Шага Adapt</t>
  </si>
  <si>
    <t>DicAccSynonims/1:2/0</t>
  </si>
  <si>
    <t>C:\Users\Pavel_Khrapkin\Documents\Pavel\match\matchDBs\</t>
  </si>
  <si>
    <t>&lt;! ERROR !&gt; Adapter&gt; Не существует AltFetch</t>
  </si>
  <si>
    <t>adapt profile: total = 0,39_x000D_
By steps =  0,03 0,00 0,16 0,17 0,00 0,00 0,00 0,00 0,00 0,00 0,00 0,00 0,00 0,00 0,00 0,00 0,00 0,00 0,00 0,00 0,00 0,00 0,00 0,00 0,00 0,00 0,00 0,00 0,00 0,02 0,00 0,00 0,00 0,00 0,00 0,00 0,00 0,00</t>
  </si>
  <si>
    <t>ВНИМАНИЕ:&lt;&gt; Процесс LOAD_1C_P перед выполнением Шага DateSort</t>
  </si>
  <si>
    <t>ВНИМАНИЕ:&lt;&gt; Процесс LOAD_1C_P перед выполнением Шага PaymentPaint</t>
  </si>
  <si>
    <t>ВНИМАНИЕ:&lt;&gt; Процесс LOAD_1C_P перед выполнением Шага AccPaint</t>
  </si>
  <si>
    <t>ВНИМАНИЕ:&lt;&gt; Процесс LOAD_1C_P перед выполнением Шага MergeReps</t>
  </si>
  <si>
    <t>ВНИМАНИЕ:&lt;&gt; Процесс LOAD_1C_P перед выполнением Шага CheckRepDate</t>
  </si>
  <si>
    <t>&lt;! ERROR !&gt; Необходимо загрузить заново 'SF' за 12.09.2013 2:05:00_x000D_
Он устарел относительно 'Платежи' за 13.09.2013</t>
  </si>
  <si>
    <t>MoveToMatch: В файл '1C.xlsx' загружен новый отчет 'Платежи'; EOL=7 строк, в прежнем 5823_x000D_
Это изменяемая ЧАСТЬ данных.</t>
  </si>
  <si>
    <t>adapt profile: total = 0,08_x000D_
By steps =  0,02 0,00 0,03 0,01 0,00 0,00 0,00 0,00 0,00 0,00 0,00 0,00 0,00 0,00 0,00 0,00 0,00 0,00 0,00 0,00 0,00 0,00 0,00 0,00 0,00 0,00 0,00 0,00 0,00 0,02 0,00 0,00 0,00 0,00 0,00 0,00 0,00 0,00</t>
  </si>
  <si>
    <t>MoveToMatch: В файл '1C.xlsx' загружен новый отчет 'Платежи'; EOL=7 строк, в прежнем 5832_x000D_
Это изменяемая ЧАСТЬ данных.</t>
  </si>
  <si>
    <t>adapt profile: total = 0,24_x000D_
By steps =  0,04 0,00 0,05 0,00 0,00 0,00 0,00 0,00 0,00 0,00 0,00 0,00 0,00 0,00 0,00 0,00 0,00 0,00 0,00 0,00 0,00 0,00 0,00 0,00 0,00 0,00 0,01 0,00 0,00 0,05 0,00 0,01 0,05 0,00 0,01 0,01 0,00 0,01</t>
  </si>
  <si>
    <t>MoveToMatch: В файл '1C.xlsx' загружен новый отчет 'Платежи'; EOL=7 строк, в прежнем 7_x000D_
Это изменяемая ЧАСТЬ данных.</t>
  </si>
  <si>
    <t>&lt;! ERROR !&gt; GetRep &gt; Не найден Штамп в Документе 'Header'_x000D_
_x000D_
Этот Документ надо загрузить в match заново или _x000D_
исправить параметры в TOCmatch.</t>
  </si>
  <si>
    <t>adapt profile: total = 74,68_x000D_
By steps =  0,04 0,00 0,07 0,00 0,00 0,00 0,00 0,00 0,00 0,00 0,00 0,00 0,00 0,00 0,00 0,00 0,00 0,00 0,00 0,00 0,00 0,00 0,00 0,00 0,00 0,00 0,00 0,00 0,00 9,51 0,00 0,00 0,00 0,00 0,00 0,00 0,00 0,00</t>
  </si>
  <si>
    <t>adapt profile: total = 48,95_x000D_
By steps =  19,19 0,06 15,42 5,27 0,02 0,02 0,02 0,01 0,01 0,01 0,01 0,01 0,01 0,02 0,01 0,01 0,01 0,01 0,01 0,01 0,00 0,02 0,01 0,02 0,01 0,01 0,02 0,01 0,01 6,60 0,00 0,00 0,00 0,00 0,00 0,00 0,00 0,00</t>
  </si>
  <si>
    <t>adapt profile: total = 44,25_x000D_
By steps =  17,08 0,04 14,54 4,40 0,03 0,01 0,02 0,01 0,01 0,01 0,02 0,02 0,01 0,02 0,02 0,02 0,01 0,01 0,01 0,01 0,01 0,02 0,01 0,01 0,01 0,01 0,01 0,02 0,01 5,86 0,00 0,00 0,00 0,00 0,00 0,00 0,00 0,00</t>
  </si>
  <si>
    <t>adapt profile: total = 52,29_x000D_
By steps =  22,51 0,05 18,39 3,43 0,03 0,02 0,02 0,02 0,01 0,02 0,01 0,01 0,01 0,01 0,02 0,01 0,02 0,01 0,01 0,01 0,02 0,01 0,01 0,01 0,02 0,01 0,00 0,02 0,01 5,07 0,00 0,00 0,00 0,00 0,00 0,00 0,00 0,00</t>
  </si>
  <si>
    <t>adapt profile: total = 0,06_x000D_
By steps =  0,02 0,00 0,04 0,00 0,00 0,00 0,00 0,00 0,00 0,00 0,00 0,00 0,00 0,00 0,00 0,00 0,00 0,00 0,00 0,00 0,00 0,00 0,00 0,00 0,00 0,00 0,00 0,00 0,00 0,01 0,00 0,00 0,00 0,00 0,00 0,00 0,00 0,00</t>
  </si>
  <si>
    <t>adapt profile: total = 42,34_x000D_
By steps =  17,38 0,06 14,25 3,33 0,03 0,01 0,00 0,01 0,01 0,02 0,01 0,01 0,01 0,01 0,01 0,01 0,01 0,01 0,02 0,01 0,02 0,01 0,01 0,01 0,01 0,01 0,01 0,02 0,02 5,11 0,00 0,00 0,00 0,00 0,00 0,00 0,00 0,00</t>
  </si>
  <si>
    <t>MoveToMatch: В файл 'SFDC.xlsx' загружен новый отчет 'SFacc'; EOL=4618 строк, в прежнем 4607_x000D_
Это ПОЛНЫЙ документ.</t>
  </si>
  <si>
    <t>MoveToMatch: В файл 'SFDC.xlsx' загружен новый отчет 'SFacc'; EOL=4618 строк, в прежнем 4640_x000D_
Это ПОЛНЫЙ документ.</t>
  </si>
  <si>
    <t>adapt profile: total = 57,09_x000D_
By steps =  20,17 0,05 25,62 3,66 0,03 0,01 0,01 0,01 0,01 0,01 0,02 0,01 0,02 0,01 0,02 0,01 0,01 0,01 0,02 0,01 0,01 0,01 0,01 0,01 0,02 0,02 0,01 0,01 0,01 5,42 0,00 0,00 0,00 0,00 0,00 0,00 0,00 0,00</t>
  </si>
  <si>
    <t>adapt profile: total = 6,76_x000D_
By steps =  6,42 0,02</t>
  </si>
  <si>
    <t>adapt profile: total = 7,56_x000D_
By steps =  1,31 4,13 0,80 0,00 0,00 0,00 0,67 0,00 0,01 0,00 0,00 0,00 0,01 0,00 0,01 0,00 0,00 0,00 0,00 0,00 0,00 0,00 0,00 0,00 0,00 0,00</t>
  </si>
  <si>
    <t>adapt profile: total = 6,46_x000D_
By steps =  5,89</t>
  </si>
  <si>
    <t>MoveToMatch: В файл 'SFDC.xlsx' загружен новый отчет 'SFopp'; EOL=3587 строк, в прежнем 3654_x000D_
Это ПОЛНЫЙ документ.</t>
  </si>
  <si>
    <t>MoveToMatch: В файл 'SFDC.xlsx' загружен новый отчет 'SF'; EOL=4894 строк, в прежнем 5004_x000D_
Это ПОЛНЫЙ документ.</t>
  </si>
  <si>
    <t>&lt;! ERROR !&gt; Необходимо загрузить заново 'Платежи' за 13.09.2013_x000D_
Он устарел относительно 'SF' за 15.09.2013 1:06:00</t>
  </si>
  <si>
    <t>adapt profile: total = 69,97_x000D_
By steps =  22,53 0,07 38,06 1,09 0,04 0,02 0,01 0,01 0,01 0,01 0,01 0,01 0,01 0,01 0,01 0,01 0,02 0,02 0,02 0,02 0,01 0,01 0,01 0,02 0,02 0,02 0,01 0,01 0,01 5,68 0,00 0,00 0,00 0,00 0,00 0,00 0,00 0,00</t>
  </si>
  <si>
    <t>adapt profile: total = 24,60_x000D_
By steps =  22,96 0,05</t>
  </si>
  <si>
    <t>adapt profile: total = 39,99_x000D_
By steps =  0,03 0,00 0,01 0,00 0,00 0,00 0,00 0,00 0,00 0,00 0,00 0,00 0,00 0,00 0,00 0,00 0,00 0,00 0,00 0,00 0,00 0,00 0,00 0,00 0,00 0,00 0,00 0,00 0,00 0,00 0,00 108420,90 3,08 4,74 4,55 4,44 4,50 16,15</t>
  </si>
  <si>
    <t>&lt; WARNING &gt; В строке 87Платежей 1С ссылка на Договор 1-077/2008/4 (Заказ № 2), которого нет в листе Договоров 1С</t>
  </si>
  <si>
    <t>&lt; WARNING &gt; Адаптер&gt; ссылка SFopp/4:№(ОАО "Самаранефтехимпроект") не работает, результат &lt;пусто&gt;</t>
  </si>
  <si>
    <t>&lt; WARNING &gt; Адаптер&gt; ссылка SFacc/3:6(0012000000X1hkI) не работает, результат &lt;пусто&gt;</t>
  </si>
  <si>
    <t>adapt profile: total = 73,46_x000D_
By steps =  20,72 0,05 27,45 3,95 0,02 0,01 0,01 0,01 0,01 0,01 0,01 0,01 0,02 0,01 0,01 0,01 0,01 0,01 0,01 0,01 0,02 0,01 0,01 0,02 0,01 0,01 0,01 0,01 0,01 18,79 0,00 0,00 0,00 0,00 0,00 0,00 0,00 0,00</t>
  </si>
  <si>
    <t>MoveToMatch: В файл '1C.xlsx' загружен новый отчет 'Платежи'; EOL=521 строк, в прежнем 5832_x000D_
Это изменяемая ЧАСТЬ данных.</t>
  </si>
  <si>
    <t>adapt profile: total = 6,48_x000D_
By steps =  0,94 0,00 2,22 0,89 0,00 0,00 0,00 0,00 0,00 0,00 0,00 0,00 0,00 0,00 0,00 0,00 0,00 0,00 0,00 0,00 0,00 0,00 0,00 0,00 0,00 0,00 0,00 0,00 0,00 2,20 0,00 0,00 0,00 0,00 0,00 0,00 0,00 0,00</t>
  </si>
  <si>
    <t>adapt profile: total = 28,89_x000D_
By steps =  0,05 0,00 0,00 0,00 0,00 0,00 0,00 0,00 0,00 0,00 0,00 0,00 0,00 0,00 0,00 0,00 0,00 0,00 0,00 0,00 0,00 0,00 0,00 0,00 0,00 0,00 0,00 0,00 0,00 0,71 0,00 82144,86 3,19 4,47 4,96 5,18 4,91 4,51</t>
  </si>
  <si>
    <t>adapt profile: total = 93,43_x000D_
By steps =  19,69 0,06 28,50 13,38 0,04 0,01 0,02 0,01 0,02 0,02 0,01 0,02 0,01 0,02 0,01 0,01 0,01 0,01 0,01 0,01 0,02 0,01 0,01 0,00 0,01 0,01 0,01 0,02 0,01 29,78 0,00 0,00 0,00 0,00 0,00 0,00 0,00 0,00</t>
  </si>
  <si>
    <t>adapt profile: total = 7,46_x000D_
By steps =  1,23 4,31 0,75 0,00 0,00 0,01 0,58 0,00 0,00 0,00 0,00 0,00 0,00 0,00 0,00 0,01 0,00 0,00 0,00 0,00 0,00 0,00 0,00 0,00 0,00 0,00</t>
  </si>
  <si>
    <t>adapt profile: total = 6,76_x000D_
By steps =  6,29</t>
  </si>
  <si>
    <t>MoveToMatch: В файл 'SFDC.xlsx' загружен новый отчет 'SFacc'; EOL=4617 строк, в прежнем 4618_x000D_
Это ПОЛНЫЙ документ.</t>
  </si>
  <si>
    <t>adapt profile: total = 63,70_x000D_
By steps =  17,94 0,05 25,77 4,41 0,03 0,02 0,02 0,01 0,02 0,01 0,01 0,01 0,02 0,01 0,01 0,01 0,02 0,01 0,01 0,01 0,01 0,02 0,01 0,00 0,01 0,01 0,01 0,01 0,02 13,54 0,00 0,00 0,00 0,00 0,00 0,00 0,00 0,00</t>
  </si>
  <si>
    <t>adapt profile: total = 7,33_x000D_
By steps =  1,21 4,20 0,77 0,00 0,00 0,00 0,56 0,00 0,00 0,00 0,01 0,00 0,00 0,00 0,01 0,00 0,00 0,00 0,00 0,00 0,00 0,00 0,00 0,00 0,00 0,00</t>
  </si>
  <si>
    <t>adapt profile: total = 5,81_x000D_
By steps =  5,44</t>
  </si>
  <si>
    <t>MoveToMatch: В файл 'SFDC.xlsx' загружен новый отчет 'SF'; EOL=4894 строк, в прежнем 4894_x000D_
Это ПОЛНЫЙ документ.</t>
  </si>
  <si>
    <t>adapt profile: total = 68,83_x000D_
By steps =  19,50 0,06 27,78 4,62 0,03 0,02 0,02 0,00 0,01 0,01 0,01 0,01 0,01 0,01 0,01 0,01 0,01 0,02 0,01 0,01 0,01 0,01 0,01 0,01 0,02 0,02 0,01 0,01 0,01 14,82 0,00 0,00 0,00 0,00 0,00 0,00 0,00 0,00</t>
  </si>
  <si>
    <t>adapt profile: total = 24,57_x000D_
By steps =  23,36 0,05</t>
  </si>
  <si>
    <t>MoveToMatch: В файл 'SFDC.xlsx' загружен новый отчет 'SF_DicAccSyn'; EOL=23 строк, в прежнем 106_x000D_
Это ПОЛНЫЙ документ.</t>
  </si>
  <si>
    <t>LOAD_DicAccSyn</t>
  </si>
  <si>
    <t>LOAD_SF_AccDicSyn</t>
  </si>
  <si>
    <t>DicAccSyn</t>
  </si>
  <si>
    <t>ВНИМАНИЕ:Отчет SF_DicAccSyn действительно 'Loaded'</t>
  </si>
  <si>
    <t>ВНИМАНИЕ:&lt;&gt; Процесс LOAD_SF_AccDicSyn перед выполнением Шага DicAccSyn</t>
  </si>
  <si>
    <t>&lt;! ERROR !&gt; NewSheet&gt; Нет Шаблона (шапки) 'HDR_DicAccSynonims' для листа DicAccSynonims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</si>
  <si>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</si>
  <si>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</si>
  <si>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</si>
  <si>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</si>
  <si>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adapt profile: total = 44,53_x000D_
By steps =  14,15 0,04 13,21 3,93 0,04 0,01 0,01 0,01 0,02 0,01 0,01 0,01 0,02 0,02 0,01 0,01 0,00 0,01 0,01 0,01 0,01 0,01 0,01 0,02 0,01 0,01 0,02 0,02 0,01 11,73 0,00 0,00 0,00 0,00 0,00 0,00 0,00 0,00</t>
  </si>
  <si>
    <t>adapt profile: total = 427,49_x000D_
By steps =  349,18 0,05 16,47 3,03 0,02 0,02 0,01 0,01 0,01 0,01 0,01 0,01 0,01 0,01 0,01 0,01 0,02 0,01 0,02 0,01 0,01 0,01 0,00 0,01 0,02 0,02 0,01 0,01 0,00 13,68 0,00 0,00 0,00 0,00 0,00 0,00 0,00 0,00</t>
  </si>
  <si>
    <t>adapt profile: total = 3,41_x000D_
By steps =  3,11 0,01</t>
  </si>
  <si>
    <t>adapt profile: total = 26,86_x000D_
By steps =  0,00 0,00 0,00 0,00 0,00 0,00 0,00 0,00 0,00 0,00 0,00 0,00 0,00 0,00 0,00 0,00 0,00 0,00 0,00 0,00 0,00 0,00 0,00 0,00 0,00 0,00 0,00 0,00 0,00 0,00 0,00 79486,48 2,86 4,31 4,41 4,25 4,22 4,92</t>
  </si>
  <si>
    <t>&lt; WARNING &gt; Адаптер&gt; ссылка SFopp/4:№(Частное учреждение Государственной корпорации по атомной энергии «Росатом» «Инновационно-технологический центр проекта «ПРОРЫВ» &lt;ИЛИ&gt; ЧУ"ИТЦП "ПРОРЫВ") не работает, результат &lt;пусто&gt;</t>
  </si>
  <si>
    <t>MoveToMatch: В файл 'SFDC.xlsx' загружен новый отчет 'SFD'; EOL=1164 строк, в прежнем 1165_x000D_
Это ПОЛНЫЙ документ.</t>
  </si>
  <si>
    <t>&lt;! ERROR !&gt; Необходимо загрузить заново 'SFopp' за 15.09.2013 0:59:00_x000D_
Он устарел относительно 'SFD' за 15.09.2013 7:18:00</t>
  </si>
  <si>
    <t>MoveToMatch: В файл 'SFDC.xlsx' загружен новый отчет 'SFopp'; EOL=3587 строк, в прежнем 3587_x000D_
Это ПОЛНЫЙ документ.</t>
  </si>
  <si>
    <t>MoveToMatch: В файл 'SFDC.xlsx' загружен новый отчет 'SFD'; EOL=1164 строк, в прежнем 1164_x000D_
Это ПОЛНЫЙ документ.</t>
  </si>
  <si>
    <t>adapt profile: total = 3,64_x000D_
By steps =  3,34 0,02</t>
  </si>
  <si>
    <t>adapt profile: total = 5,85_x000D_
By steps =  0,79 3,30 0,67 0,01 0,00 0,00 0,54 0,01 0,00 0,00 0,00 0,00 0,00 0,00 0,00 0,00 0,00 0,00 0,00 0,00 0,00 0,00 0,00 0,00 0,00 0,00</t>
  </si>
  <si>
    <t>adapt profile: total = 26,35_x000D_
By steps =  0,00 0,00 0,00 0,00 0,00 0,00 0,00 0,00 0,00 0,00 0,00 0,00 0,00 0,00 0,00 0,00 0,00 0,00 0,00 0,00 0,00 0,00 0,00 0,00 0,00 0,00 0,00 0,00 0,00 0,00 0,00 78951,00 2,73 4,47 4,37 4,32 4,35 4,57</t>
  </si>
  <si>
    <t>WrCSV&gt; в 'Payment.txt' записано 3 строк.</t>
  </si>
  <si>
    <t>MoveToMatch: В файл 'SFDC.xlsx' загружен новый отчет 'SF'; EOL=4896 строк, в прежнем 4894_x000D_
Это ПОЛНЫЙ документ.</t>
  </si>
  <si>
    <t>adapt profile: total = 53,60_x000D_
By steps =  16,43 0,04 15,21 4,57 0,02 0,01 0,01 0,01 0,01 0,02 0,01 0,01 0,02 0,01 0,02 0,02 0,01 0,01 0,01 0,01 0,01 0,02 0,02 0,01 0,01 0,02 0,01 0,01 0,01 14,92 0,00 0,00 0,00 0,00 0,00 0,00 0,00 0,00</t>
  </si>
  <si>
    <t>adapt profile: total = 13,62_x000D_
By steps =  12,28 0,03</t>
  </si>
  <si>
    <t>adapt profile: total = 5,18_x000D_
By steps =  4,90 0,01</t>
  </si>
  <si>
    <t>adapt profile: total = 6,35_x000D_
By steps =  0,79 3,69 0,69 0,01 0,00 0,00 0,51 0,01 0,00 0,00 0,00 0,01 0,01 0,00 0,00 0,00 0,00 0,01 0,00 0,00 0,00 0,00 0,00 0,00 0,00 0,00</t>
  </si>
  <si>
    <t>MoveToMatch: В файл 'SFDC.xlsx' загружен новый отчет 'SF'; EOL=4896 строк, в прежнем 4896_x000D_
Это ПОЛНЫЙ документ.</t>
  </si>
  <si>
    <t>adapt profile: total = 46,85_x000D_
By steps =  14,87 0,04 13,54 3,82 0,03 0,02 0,02 0,01 0,01 0,02 0,02 0,03 0,00 0,01 0,01 0,01 0,01 0,01 0,02 0,02 0,01 0,00 0,02 0,01 0,02 0,01 0,02 0,01 0,02 12,30 0,00 0,00 0,00 0,00 0,00 0,00 0,00 0,00</t>
  </si>
  <si>
    <t>adapt profile: total = 16,29_x000D_
By steps =  14,90 0,04</t>
  </si>
  <si>
    <t>adapt profile: total = 26,52_x000D_
By steps =  0,06 0,00 0,00 0,00 0,00 0,00 0,00 0,00 0,00 0,00 0,00 0,00 0,00 0,00 0,00 0,00 0,00 0,00 0,00 0,00 0,00 0,00 0,00 0,00 0,00 0,00 0,00 0,00 0,00 0,00 0,00 78620,24 2,74 4,30 4,35 4,38 4,34 4,68</t>
  </si>
  <si>
    <t>MoveToMatch: В файл 'SFDC.xlsx' загружен новый отчет 'SF'; EOL=4903 строк, в прежнем 4896_x000D_
Это ПОЛНЫЙ документ.</t>
  </si>
  <si>
    <t>adapt profile: total = 44,08_x000D_
By steps =  14,17 0,03 13,26 3,14 0,03 0,01 0,01 0,01 0,01 0,02 0,01 0,01 0,01 0,01 0,01 0,01 0,01 0,00 0,01 0,02 0,01 0,01 0,01 0,01 0,02 0,01 0,01 0,01 0,01 11,36 0,00 0,00 0,00 0,00 0,00 0,00 0,00 0,00</t>
  </si>
  <si>
    <t>adapt profile: total = 13,75_x000D_
By steps =  12,38 0,05</t>
  </si>
  <si>
    <t>adapt profile: total = 33,15_x000D_
By steps =  0,00 0,00 0,00 0,00 0,00 0,00 0,00 0,00 0,00 0,00 0,00 0,00 0,00 0,00 0,00 0,00 0,00 0,00 0,00 0,00 0,00 0,00 0,00 0,00 0,00 0,00 0,00 0,00 0,00 0,00 0,00 95160,87 2,61 5,24 6,08 6,42 5,71 4,90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</si>
</sst>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8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1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5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3" xfId="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wrapText="1"/>
    </xf>
    <xf numFmtId="49" fontId="0" fillId="0" borderId="0" xfId="1" applyNumberFormat="1" applyFont="1" applyFill="1" applyAlignment="1">
      <alignment horizontal="center" vertical="center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7" fillId="0" borderId="0" xfId="0" applyFont="1"/>
    <xf numFmtId="164" fontId="28" fillId="38" borderId="0" xfId="36" applyFont="1" applyFill="1" applyAlignment="1">
      <alignment horizontal="center" vertical="center"/>
    </xf>
    <xf numFmtId="164" fontId="0" fillId="0" borderId="0" xfId="1" applyFont="1" applyBorder="1" applyAlignment="1">
      <alignment vertical="center"/>
    </xf>
    <xf numFmtId="0" fontId="63" fillId="0" borderId="0" xfId="46" applyFont="1"/>
    <xf numFmtId="0" fontId="66" fillId="0" borderId="0" xfId="46" applyFont="1"/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4" fontId="0" fillId="15" borderId="8" xfId="1" applyFont="1" applyFill="1" applyBorder="1"/>
    <xf numFmtId="164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69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1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4" fontId="1" fillId="13" borderId="4" xfId="1" applyFill="1" applyBorder="1"/>
    <xf numFmtId="164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4" fontId="0" fillId="5" borderId="4" xfId="1" applyFont="1" applyFill="1" applyBorder="1" applyAlignment="1">
      <alignment horizontal="center"/>
    </xf>
    <xf numFmtId="164" fontId="1" fillId="9" borderId="3" xfId="1" applyFill="1" applyBorder="1"/>
    <xf numFmtId="164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4" fontId="10" fillId="5" borderId="2" xfId="4" applyFont="1" applyFill="1" applyBorder="1"/>
    <xf numFmtId="14" fontId="1" fillId="0" borderId="2" xfId="1" applyNumberFormat="1" applyBorder="1"/>
    <xf numFmtId="164" fontId="0" fillId="8" borderId="2" xfId="1" applyFont="1" applyFill="1" applyBorder="1"/>
    <xf numFmtId="164" fontId="0" fillId="0" borderId="2" xfId="1" applyFont="1" applyBorder="1"/>
    <xf numFmtId="164" fontId="0" fillId="0" borderId="20" xfId="1" applyFont="1" applyBorder="1" applyAlignment="1">
      <alignment vertical="center"/>
    </xf>
    <xf numFmtId="49" fontId="0" fillId="44" borderId="0" xfId="1" applyNumberFormat="1" applyFont="1" applyFill="1" applyBorder="1" applyAlignment="1">
      <alignment horizontal="center" vertical="center"/>
    </xf>
    <xf numFmtId="164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1" fillId="20" borderId="0" xfId="1" applyFill="1" applyAlignment="1">
      <alignment wrapText="1"/>
    </xf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164" fontId="0" fillId="45" borderId="16" xfId="1" applyFont="1" applyFill="1" applyBorder="1" applyAlignment="1">
      <alignment vertical="center"/>
    </xf>
    <xf numFmtId="167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49" fontId="0" fillId="15" borderId="0" xfId="11" applyNumberFormat="1" applyFont="1" applyFill="1" applyAlignment="1">
      <alignment horizontal="center"/>
    </xf>
    <xf numFmtId="164" fontId="0" fillId="0" borderId="0" xfId="17" applyFont="1" applyAlignment="1">
      <alignment horizontal="center"/>
    </xf>
    <xf numFmtId="164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4" fontId="0" fillId="20" borderId="0" xfId="1" applyFont="1" applyFill="1" applyBorder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</cellXfs>
  <cellStyles count="48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="90" zoomScaleNormal="90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G45" sqref="G45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41532.328587962962</v>
      </c>
      <c r="C1" s="3" t="s">
        <v>0</v>
      </c>
      <c r="J1" s="4" t="s">
        <v>1486</v>
      </c>
      <c r="K1" s="5"/>
      <c r="L1" s="6"/>
      <c r="M1" s="6"/>
      <c r="N1" s="6"/>
      <c r="O1" s="947" t="s">
        <v>1</v>
      </c>
      <c r="P1" s="949" t="s">
        <v>1199</v>
      </c>
      <c r="Q1" s="949" t="s">
        <v>1198</v>
      </c>
      <c r="R1" s="951" t="s">
        <v>2</v>
      </c>
      <c r="S1" s="951" t="s">
        <v>3</v>
      </c>
      <c r="V1" s="951" t="s">
        <v>1193</v>
      </c>
      <c r="W1" s="951" t="s">
        <v>1194</v>
      </c>
      <c r="X1" s="951" t="s">
        <v>1195</v>
      </c>
      <c r="Y1" s="951" t="s">
        <v>1196</v>
      </c>
      <c r="Z1" s="951" t="s">
        <v>1197</v>
      </c>
    </row>
    <row r="2" spans="1:27" ht="29.25" customHeight="1" x14ac:dyDescent="0.25">
      <c r="O2" s="948"/>
      <c r="P2" s="950"/>
      <c r="Q2" s="950"/>
      <c r="R2" s="950"/>
      <c r="S2" s="950"/>
      <c r="V2" s="950"/>
      <c r="W2" s="950"/>
      <c r="X2" s="950"/>
      <c r="Y2" s="950"/>
      <c r="Z2" s="950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48"/>
      <c r="W3" s="948"/>
      <c r="X3" s="948"/>
      <c r="Y3" s="948"/>
      <c r="Z3" s="948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5" t="s">
        <v>1210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41532.328541666669</v>
      </c>
      <c r="B8" s="22" t="s">
        <v>31</v>
      </c>
      <c r="C8" s="23">
        <v>5832</v>
      </c>
      <c r="D8" s="23">
        <v>5</v>
      </c>
      <c r="E8" s="23">
        <v>2</v>
      </c>
      <c r="F8" s="2" t="s">
        <v>1222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41532.321319444447</v>
      </c>
      <c r="B10" s="2" t="s">
        <v>40</v>
      </c>
      <c r="C10" s="41">
        <v>1399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41524</v>
      </c>
      <c r="O10" s="47" t="s">
        <v>28</v>
      </c>
      <c r="P10" s="837" t="s">
        <v>173</v>
      </c>
      <c r="Q10" s="191" t="s">
        <v>174</v>
      </c>
      <c r="R10" s="48">
        <v>40058</v>
      </c>
      <c r="S10" s="48">
        <v>41520</v>
      </c>
      <c r="T10" s="2" t="s">
        <v>45</v>
      </c>
      <c r="V10" s="17">
        <v>2</v>
      </c>
      <c r="W10" s="17" t="s">
        <v>6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41532.321331018517</v>
      </c>
      <c r="B12" s="2" t="s">
        <v>48</v>
      </c>
      <c r="C12" s="41">
        <v>2020</v>
      </c>
      <c r="D12" s="41">
        <v>1</v>
      </c>
      <c r="E12" s="852" t="s">
        <v>1209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41526</v>
      </c>
      <c r="O12" s="47" t="s">
        <v>28</v>
      </c>
      <c r="P12" s="837" t="s">
        <v>1208</v>
      </c>
      <c r="Q12" s="838" t="s">
        <v>1207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41532.327337962961</v>
      </c>
      <c r="B14" s="22" t="s">
        <v>57</v>
      </c>
      <c r="C14" s="23">
        <v>4903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3">
        <v>41532.325694444444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41532.32135416667</v>
      </c>
      <c r="B15" s="2" t="s">
        <v>62</v>
      </c>
      <c r="C15" s="41">
        <v>1164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41532.318055555559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41532.319120370368</v>
      </c>
      <c r="B16" s="2" t="s">
        <v>64</v>
      </c>
      <c r="C16" s="41">
        <v>3587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41532.318055555559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41532.32136574074</v>
      </c>
      <c r="B17" s="2" t="s">
        <v>68</v>
      </c>
      <c r="C17" s="41">
        <v>4617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41532.179861111108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69</v>
      </c>
      <c r="C18" s="41">
        <v>8630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63">
        <v>41502.225694444445</v>
      </c>
      <c r="B19" s="2" t="s">
        <v>71</v>
      </c>
      <c r="C19" s="41">
        <v>2200</v>
      </c>
      <c r="D19" s="42" t="s">
        <v>65</v>
      </c>
      <c r="E19" s="42">
        <v>6</v>
      </c>
      <c r="F19" s="2" t="s">
        <v>72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74</v>
      </c>
      <c r="C20" s="41">
        <v>106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4" t="s">
        <v>78</v>
      </c>
      <c r="K21" s="45" t="s">
        <v>30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79</v>
      </c>
      <c r="C22" s="41">
        <v>777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5" t="s">
        <v>81</v>
      </c>
      <c r="K22" s="35" t="s">
        <v>30</v>
      </c>
      <c r="L22" s="40">
        <v>2</v>
      </c>
      <c r="M22" s="40">
        <v>1</v>
      </c>
      <c r="N22" s="67">
        <v>41504.054166666669</v>
      </c>
      <c r="O22" s="37"/>
      <c r="P22" s="32"/>
      <c r="Q22" s="37"/>
      <c r="R22" s="32"/>
      <c r="S22" s="32"/>
      <c r="Y22" s="59"/>
      <c r="Z22" s="59"/>
      <c r="AA22" s="59"/>
    </row>
    <row r="23" spans="1:27" s="69" customFormat="1" ht="15.75" x14ac:dyDescent="0.3">
      <c r="A23" s="161">
        <v>41532.273715277777</v>
      </c>
      <c r="B23" s="69" t="str">
        <f>I23</f>
        <v>SF_DicAccSyn</v>
      </c>
      <c r="C23" s="932">
        <v>23</v>
      </c>
      <c r="D23" s="933" t="s">
        <v>65</v>
      </c>
      <c r="E23" s="933">
        <v>6</v>
      </c>
      <c r="F23" s="69" t="s">
        <v>32</v>
      </c>
      <c r="G23" s="932" t="s">
        <v>50</v>
      </c>
      <c r="H23" s="69" t="str">
        <f t="shared" si="0"/>
        <v>SFDC.xlsx</v>
      </c>
      <c r="I23" s="936" t="s">
        <v>1481</v>
      </c>
      <c r="J23" s="934" t="s">
        <v>1480</v>
      </c>
      <c r="K23" s="66" t="s">
        <v>30</v>
      </c>
      <c r="L23" s="109">
        <v>2</v>
      </c>
      <c r="M23" s="109">
        <v>1</v>
      </c>
      <c r="N23" s="164">
        <v>41532.191666666666</v>
      </c>
      <c r="O23" s="68"/>
      <c r="P23" s="937"/>
      <c r="Q23" s="68"/>
      <c r="T23" s="937" t="s">
        <v>1537</v>
      </c>
      <c r="Y23" s="935"/>
      <c r="Z23" s="935"/>
      <c r="AA23" s="935"/>
    </row>
    <row r="24" spans="1:27" s="22" customFormat="1" x14ac:dyDescent="0.25">
      <c r="A24" s="70">
        <v>41369.796909722223</v>
      </c>
      <c r="B24" s="22" t="s">
        <v>82</v>
      </c>
      <c r="C24" s="71">
        <v>9955</v>
      </c>
      <c r="D24" s="71" t="s">
        <v>83</v>
      </c>
      <c r="E24" s="71" t="s">
        <v>65</v>
      </c>
      <c r="F24" s="22" t="s">
        <v>84</v>
      </c>
      <c r="G24" s="72">
        <v>10</v>
      </c>
      <c r="H24" s="22" t="s">
        <v>85</v>
      </c>
      <c r="I24" s="92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3">
        <v>41349.908078703702</v>
      </c>
      <c r="O24" s="29" t="s">
        <v>28</v>
      </c>
      <c r="P24" s="930"/>
      <c r="Q24" s="931" t="s">
        <v>87</v>
      </c>
      <c r="R24" s="105"/>
      <c r="S24" s="930"/>
      <c r="T24" s="22" t="s">
        <v>88</v>
      </c>
      <c r="Y24" s="55"/>
      <c r="Z24" s="55"/>
      <c r="AA24" s="55"/>
    </row>
    <row r="25" spans="1:27" s="32" customFormat="1" x14ac:dyDescent="0.25">
      <c r="A25" s="75"/>
      <c r="C25" s="76"/>
      <c r="D25" s="76"/>
      <c r="E25" s="76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7"/>
      <c r="O25" s="37" t="s">
        <v>28</v>
      </c>
      <c r="Q25" s="37"/>
      <c r="R25" s="74"/>
    </row>
    <row r="26" spans="1:27" s="32" customFormat="1" x14ac:dyDescent="0.25">
      <c r="A26" s="75"/>
      <c r="C26" s="76"/>
      <c r="D26" s="76"/>
      <c r="E26" s="76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7"/>
      <c r="O26" s="37" t="s">
        <v>28</v>
      </c>
      <c r="Q26" s="37"/>
      <c r="R26" s="74"/>
    </row>
    <row r="27" spans="1:27" s="32" customFormat="1" x14ac:dyDescent="0.25">
      <c r="A27" s="75"/>
      <c r="C27" s="76"/>
      <c r="D27" s="76"/>
      <c r="E27" s="76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7"/>
      <c r="O27" s="37" t="s">
        <v>28</v>
      </c>
      <c r="Q27" s="37"/>
      <c r="R27" s="74"/>
    </row>
    <row r="28" spans="1:27" s="32" customFormat="1" x14ac:dyDescent="0.25">
      <c r="A28" s="75"/>
      <c r="C28" s="76"/>
      <c r="D28" s="76"/>
      <c r="E28" s="76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7"/>
      <c r="O28" s="37" t="s">
        <v>28</v>
      </c>
      <c r="Q28" s="37"/>
      <c r="R28" s="74"/>
    </row>
    <row r="29" spans="1:27" s="79" customFormat="1" x14ac:dyDescent="0.25">
      <c r="A29" s="78"/>
      <c r="C29" s="80"/>
      <c r="D29" s="80"/>
      <c r="E29" s="80"/>
      <c r="I29" s="39"/>
      <c r="J29" s="81" t="s">
        <v>97</v>
      </c>
      <c r="K29" s="82" t="s">
        <v>30</v>
      </c>
      <c r="L29" s="83" t="s">
        <v>61</v>
      </c>
      <c r="M29" s="83" t="s">
        <v>98</v>
      </c>
      <c r="N29" s="84"/>
      <c r="O29" s="85"/>
      <c r="Q29" s="85"/>
      <c r="R29" s="86"/>
    </row>
    <row r="30" spans="1:27" s="87" customFormat="1" x14ac:dyDescent="0.25">
      <c r="A30" s="101">
        <v>41506.983391203707</v>
      </c>
      <c r="B30" s="87" t="s">
        <v>99</v>
      </c>
      <c r="C30" s="88">
        <v>339</v>
      </c>
      <c r="D30" s="89">
        <v>8</v>
      </c>
      <c r="E30" s="89">
        <v>19</v>
      </c>
      <c r="F30" s="87" t="s">
        <v>100</v>
      </c>
      <c r="G30" s="89">
        <v>10</v>
      </c>
      <c r="H30" s="87" t="s">
        <v>85</v>
      </c>
      <c r="I30" s="90" t="str">
        <f>B30</f>
        <v>Заказы</v>
      </c>
      <c r="J30" s="91" t="s">
        <v>101</v>
      </c>
      <c r="K30" s="92" t="s">
        <v>30</v>
      </c>
      <c r="L30" s="93" t="s">
        <v>61</v>
      </c>
      <c r="M30" s="93" t="s">
        <v>102</v>
      </c>
      <c r="N30" s="94">
        <v>41463.504687499997</v>
      </c>
      <c r="O30" s="87" t="s">
        <v>28</v>
      </c>
      <c r="P30" s="95"/>
      <c r="Q30" s="96" t="s">
        <v>103</v>
      </c>
      <c r="R30" s="32"/>
      <c r="S30" s="32"/>
      <c r="T30" s="87" t="s">
        <v>104</v>
      </c>
    </row>
    <row r="31" spans="1:27" s="32" customFormat="1" x14ac:dyDescent="0.25">
      <c r="A31" s="97"/>
      <c r="C31" s="76"/>
      <c r="J31" s="34" t="s">
        <v>105</v>
      </c>
      <c r="K31" s="35" t="s">
        <v>30</v>
      </c>
      <c r="L31" s="17" t="s">
        <v>61</v>
      </c>
      <c r="M31" s="17" t="s">
        <v>106</v>
      </c>
      <c r="N31" s="77"/>
      <c r="O31" s="32" t="s">
        <v>28</v>
      </c>
      <c r="P31" s="98"/>
    </row>
    <row r="32" spans="1:27" x14ac:dyDescent="0.25">
      <c r="A32" s="99"/>
      <c r="C32" s="100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7"/>
      <c r="O32" s="2" t="s">
        <v>28</v>
      </c>
      <c r="P32" s="98"/>
    </row>
    <row r="33" spans="1:20" x14ac:dyDescent="0.25">
      <c r="A33" s="99"/>
      <c r="C33" s="100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7"/>
      <c r="O33" s="2" t="s">
        <v>28</v>
      </c>
      <c r="P33" s="98"/>
    </row>
    <row r="34" spans="1:20" x14ac:dyDescent="0.25">
      <c r="A34" s="99"/>
      <c r="C34" s="100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7"/>
      <c r="P34" s="98"/>
    </row>
    <row r="35" spans="1:20" s="87" customFormat="1" x14ac:dyDescent="0.25">
      <c r="A35" s="101">
        <v>41370.590057870373</v>
      </c>
      <c r="B35" s="87" t="s">
        <v>112</v>
      </c>
      <c r="C35" s="88" t="s">
        <v>113</v>
      </c>
      <c r="F35" s="87" t="s">
        <v>66</v>
      </c>
      <c r="G35" s="89">
        <v>10</v>
      </c>
      <c r="H35" s="87" t="s">
        <v>85</v>
      </c>
      <c r="I35" s="102" t="s">
        <v>112</v>
      </c>
      <c r="J35" s="91" t="s">
        <v>114</v>
      </c>
      <c r="K35" s="92" t="s">
        <v>22</v>
      </c>
      <c r="L35" s="93">
        <v>2</v>
      </c>
      <c r="M35" s="93">
        <v>1</v>
      </c>
      <c r="N35" s="94">
        <v>41370.585509259261</v>
      </c>
      <c r="O35" s="29" t="s">
        <v>28</v>
      </c>
      <c r="P35" s="95"/>
      <c r="T35" s="87" t="s">
        <v>224</v>
      </c>
    </row>
    <row r="36" spans="1:20" s="32" customFormat="1" x14ac:dyDescent="0.25">
      <c r="A36" s="97"/>
      <c r="C36" s="76"/>
      <c r="J36" s="34" t="s">
        <v>115</v>
      </c>
      <c r="K36" s="35" t="s">
        <v>22</v>
      </c>
      <c r="L36" s="17">
        <v>3</v>
      </c>
      <c r="M36" s="17">
        <v>1</v>
      </c>
      <c r="N36" s="77"/>
      <c r="O36" s="2" t="s">
        <v>28</v>
      </c>
      <c r="P36" s="98"/>
    </row>
    <row r="37" spans="1:20" s="32" customFormat="1" x14ac:dyDescent="0.25">
      <c r="A37" s="97"/>
      <c r="C37" s="76"/>
      <c r="J37" s="34" t="s">
        <v>116</v>
      </c>
      <c r="K37" s="35" t="s">
        <v>22</v>
      </c>
      <c r="L37" s="17">
        <v>4</v>
      </c>
      <c r="M37" s="17">
        <v>1</v>
      </c>
      <c r="N37" s="77"/>
      <c r="P37" s="98"/>
    </row>
    <row r="38" spans="1:20" s="22" customFormat="1" x14ac:dyDescent="0.25">
      <c r="A38" s="21"/>
      <c r="B38" s="22" t="s">
        <v>117</v>
      </c>
      <c r="C38" s="71" t="s">
        <v>118</v>
      </c>
      <c r="D38" s="71" t="s">
        <v>119</v>
      </c>
      <c r="E38" s="71"/>
      <c r="F38" s="103"/>
      <c r="H38" s="22" t="s">
        <v>120</v>
      </c>
      <c r="I38" s="104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3"/>
      <c r="O38" s="29" t="s">
        <v>28</v>
      </c>
      <c r="Q38" s="29"/>
      <c r="R38" s="105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9" customFormat="1" x14ac:dyDescent="0.25">
      <c r="A41" s="106"/>
      <c r="C41" s="107"/>
      <c r="J41" s="108" t="s">
        <v>126</v>
      </c>
      <c r="K41" s="66" t="s">
        <v>30</v>
      </c>
      <c r="L41" s="109">
        <v>3</v>
      </c>
      <c r="M41" s="109">
        <v>21</v>
      </c>
    </row>
    <row r="42" spans="1:20" s="111" customFormat="1" x14ac:dyDescent="0.25">
      <c r="A42" s="110">
        <v>0</v>
      </c>
      <c r="B42" s="111" t="s">
        <v>127</v>
      </c>
      <c r="C42" s="112">
        <v>1</v>
      </c>
      <c r="D42" s="112"/>
      <c r="E42" s="112"/>
      <c r="H42" s="111" t="s">
        <v>128</v>
      </c>
      <c r="I42" s="113" t="str">
        <f>B42</f>
        <v>DicAcc</v>
      </c>
      <c r="J42" s="114"/>
      <c r="K42" s="115" t="s">
        <v>129</v>
      </c>
      <c r="L42" s="116"/>
      <c r="M42" s="116"/>
      <c r="N42" s="117">
        <v>41237.062407407408</v>
      </c>
      <c r="O42" s="118"/>
      <c r="P42" s="111" t="s">
        <v>130</v>
      </c>
      <c r="Q42" s="118"/>
      <c r="R42" s="119"/>
    </row>
    <row r="43" spans="1:20" s="79" customFormat="1" x14ac:dyDescent="0.25">
      <c r="A43" s="78">
        <v>0</v>
      </c>
      <c r="B43" s="926" t="s">
        <v>1477</v>
      </c>
      <c r="C43" s="927">
        <v>45</v>
      </c>
      <c r="D43" s="80"/>
      <c r="E43" s="80"/>
      <c r="H43" s="121" t="s">
        <v>128</v>
      </c>
      <c r="I43" s="925" t="str">
        <f>B43</f>
        <v>DicAccSynonims</v>
      </c>
      <c r="J43" s="81" t="s">
        <v>1479</v>
      </c>
      <c r="K43" s="928" t="s">
        <v>30</v>
      </c>
      <c r="L43" s="83">
        <v>1</v>
      </c>
      <c r="M43" s="83">
        <v>2</v>
      </c>
      <c r="N43" s="84"/>
      <c r="O43" s="85"/>
      <c r="P43" s="926" t="s">
        <v>1478</v>
      </c>
      <c r="Q43" s="85"/>
      <c r="R43" s="86"/>
    </row>
    <row r="44" spans="1:20" s="121" customFormat="1" x14ac:dyDescent="0.25">
      <c r="A44" s="120">
        <v>0</v>
      </c>
      <c r="B44" s="121" t="s">
        <v>131</v>
      </c>
      <c r="C44" s="122">
        <v>76</v>
      </c>
      <c r="D44" s="122"/>
      <c r="E44" s="122"/>
      <c r="F44" s="121" t="s">
        <v>132</v>
      </c>
      <c r="H44" s="121" t="s">
        <v>128</v>
      </c>
      <c r="I44" s="123" t="s">
        <v>131</v>
      </c>
      <c r="J44" s="124"/>
      <c r="K44" s="125" t="s">
        <v>129</v>
      </c>
      <c r="L44" s="126"/>
      <c r="M44" s="126"/>
      <c r="N44" s="127">
        <v>41410.834999999999</v>
      </c>
      <c r="O44" s="128"/>
      <c r="P44" s="121" t="s">
        <v>133</v>
      </c>
      <c r="Q44" s="128"/>
      <c r="R44" s="129"/>
    </row>
    <row r="45" spans="1:20" s="32" customFormat="1" x14ac:dyDescent="0.25">
      <c r="A45" s="130">
        <v>41532.322893518518</v>
      </c>
      <c r="B45" s="32" t="s">
        <v>134</v>
      </c>
      <c r="C45" s="76">
        <v>1</v>
      </c>
      <c r="D45" s="76"/>
      <c r="E45" s="76"/>
      <c r="F45" s="32" t="s">
        <v>135</v>
      </c>
      <c r="H45" s="32" t="s">
        <v>128</v>
      </c>
      <c r="I45" s="131" t="s">
        <v>134</v>
      </c>
      <c r="J45" s="34"/>
      <c r="K45" s="35" t="s">
        <v>129</v>
      </c>
      <c r="L45" s="17"/>
      <c r="M45" s="17"/>
      <c r="N45" s="77">
        <v>41515.959502314814</v>
      </c>
      <c r="O45" s="37"/>
      <c r="P45" s="32" t="s">
        <v>136</v>
      </c>
      <c r="Q45" s="37"/>
      <c r="R45" s="74"/>
    </row>
    <row r="46" spans="1:20" s="32" customFormat="1" x14ac:dyDescent="0.25">
      <c r="A46" s="130">
        <v>41532.322881944441</v>
      </c>
      <c r="B46" s="32" t="s">
        <v>137</v>
      </c>
      <c r="C46" s="76">
        <v>1</v>
      </c>
      <c r="D46" s="76"/>
      <c r="E46" s="76"/>
      <c r="F46" s="32" t="s">
        <v>135</v>
      </c>
      <c r="H46" s="32" t="s">
        <v>128</v>
      </c>
      <c r="I46" s="131" t="s">
        <v>137</v>
      </c>
      <c r="J46" s="34"/>
      <c r="K46" s="35" t="s">
        <v>129</v>
      </c>
      <c r="L46" s="17"/>
      <c r="M46" s="17"/>
      <c r="N46" s="77">
        <v>41507.017245370371</v>
      </c>
      <c r="O46" s="37"/>
      <c r="P46" s="32" t="s">
        <v>138</v>
      </c>
      <c r="Q46" s="37"/>
      <c r="R46" s="74"/>
    </row>
    <row r="47" spans="1:20" s="32" customFormat="1" x14ac:dyDescent="0.25">
      <c r="A47" s="130">
        <v>41532.322893518518</v>
      </c>
      <c r="B47" s="32" t="s">
        <v>139</v>
      </c>
      <c r="C47" s="76">
        <v>1</v>
      </c>
      <c r="D47" s="76"/>
      <c r="E47" s="76"/>
      <c r="F47" s="32" t="s">
        <v>135</v>
      </c>
      <c r="H47" s="32" t="s">
        <v>128</v>
      </c>
      <c r="I47" s="131" t="s">
        <v>139</v>
      </c>
      <c r="J47" s="34"/>
      <c r="K47" s="35" t="s">
        <v>129</v>
      </c>
      <c r="L47" s="17"/>
      <c r="M47" s="17"/>
      <c r="N47" s="77">
        <v>41344.97896990741</v>
      </c>
      <c r="O47" s="37"/>
      <c r="P47" s="32" t="s">
        <v>140</v>
      </c>
      <c r="Q47" s="37"/>
      <c r="R47" s="74"/>
    </row>
    <row r="48" spans="1:20" s="32" customFormat="1" x14ac:dyDescent="0.25">
      <c r="A48" s="75">
        <v>0</v>
      </c>
      <c r="B48" s="32" t="s">
        <v>141</v>
      </c>
      <c r="C48" s="76">
        <v>1</v>
      </c>
      <c r="D48" s="76"/>
      <c r="E48" s="76"/>
      <c r="H48" s="32" t="s">
        <v>128</v>
      </c>
      <c r="I48" s="131" t="s">
        <v>141</v>
      </c>
      <c r="J48" s="34"/>
      <c r="K48" s="35" t="s">
        <v>129</v>
      </c>
      <c r="L48" s="17"/>
      <c r="M48" s="17"/>
      <c r="N48" s="77">
        <v>41520.529861111114</v>
      </c>
      <c r="O48" s="37"/>
      <c r="P48" s="879" t="s">
        <v>1226</v>
      </c>
      <c r="Q48" s="37"/>
      <c r="R48" s="74"/>
    </row>
    <row r="49" spans="1:20" s="32" customFormat="1" x14ac:dyDescent="0.25">
      <c r="A49" s="130">
        <v>41430.738321759258</v>
      </c>
      <c r="B49" s="32" t="s">
        <v>142</v>
      </c>
      <c r="C49" s="76">
        <v>1</v>
      </c>
      <c r="D49" s="76"/>
      <c r="E49" s="76"/>
      <c r="F49" s="32" t="s">
        <v>135</v>
      </c>
      <c r="H49" s="32" t="s">
        <v>128</v>
      </c>
      <c r="I49" s="131" t="s">
        <v>142</v>
      </c>
      <c r="J49" s="34"/>
      <c r="K49" s="35" t="s">
        <v>129</v>
      </c>
      <c r="L49" s="17"/>
      <c r="M49" s="17"/>
      <c r="N49" s="77">
        <v>41430.73814814815</v>
      </c>
      <c r="O49" s="135"/>
      <c r="P49" s="39" t="s">
        <v>143</v>
      </c>
      <c r="Q49" s="37"/>
      <c r="R49" s="74"/>
    </row>
    <row r="50" spans="1:20" s="136" customFormat="1" x14ac:dyDescent="0.25">
      <c r="A50" s="159">
        <v>41532.322905092595</v>
      </c>
      <c r="B50" s="136" t="s">
        <v>144</v>
      </c>
      <c r="C50" s="137">
        <v>2</v>
      </c>
      <c r="D50" s="137"/>
      <c r="E50" s="137"/>
      <c r="F50" s="136" t="s">
        <v>135</v>
      </c>
      <c r="H50" s="136" t="s">
        <v>128</v>
      </c>
      <c r="I50" s="908" t="s">
        <v>144</v>
      </c>
      <c r="J50" s="138"/>
      <c r="K50" s="139" t="s">
        <v>129</v>
      </c>
      <c r="L50" s="140"/>
      <c r="M50" s="140"/>
      <c r="N50" s="141"/>
      <c r="O50" s="142"/>
      <c r="P50" s="143" t="s">
        <v>146</v>
      </c>
      <c r="Q50" s="144"/>
      <c r="R50" s="145"/>
      <c r="S50" s="143"/>
      <c r="T50" s="143"/>
    </row>
    <row r="51" spans="1:20" s="147" customFormat="1" x14ac:dyDescent="0.25">
      <c r="A51" s="146">
        <v>41499.705324074072</v>
      </c>
      <c r="B51" s="147" t="s">
        <v>147</v>
      </c>
      <c r="C51" s="148">
        <v>804</v>
      </c>
      <c r="D51" s="148"/>
      <c r="E51" s="148"/>
      <c r="F51" s="147" t="s">
        <v>100</v>
      </c>
      <c r="H51" s="147" t="s">
        <v>128</v>
      </c>
      <c r="I51" s="149" t="s">
        <v>147</v>
      </c>
      <c r="J51" s="150"/>
      <c r="K51" s="151" t="s">
        <v>129</v>
      </c>
      <c r="L51" s="152"/>
      <c r="M51" s="152"/>
      <c r="N51" s="153">
        <v>41499.704513888886</v>
      </c>
      <c r="O51" s="154"/>
      <c r="P51" s="155" t="s">
        <v>148</v>
      </c>
      <c r="Q51" s="156"/>
      <c r="R51" s="157"/>
      <c r="S51" s="155"/>
      <c r="T51" s="155"/>
    </row>
    <row r="52" spans="1:20" s="32" customFormat="1" x14ac:dyDescent="0.25">
      <c r="A52" s="130">
        <v>41502.225682870368</v>
      </c>
      <c r="B52" s="32" t="s">
        <v>149</v>
      </c>
      <c r="C52" s="76">
        <v>2</v>
      </c>
      <c r="D52" s="76"/>
      <c r="E52" s="76"/>
      <c r="F52" s="32" t="s">
        <v>150</v>
      </c>
      <c r="H52" s="32" t="s">
        <v>128</v>
      </c>
      <c r="I52" s="158" t="s">
        <v>149</v>
      </c>
      <c r="J52" s="34"/>
      <c r="K52" s="35" t="s">
        <v>129</v>
      </c>
      <c r="L52" s="17"/>
      <c r="M52" s="17"/>
      <c r="N52" s="77">
        <v>41502.225682870368</v>
      </c>
      <c r="O52" s="37"/>
      <c r="P52" s="155" t="s">
        <v>151</v>
      </c>
      <c r="Q52" s="156"/>
      <c r="R52" s="134"/>
      <c r="S52" s="132"/>
      <c r="T52" s="132"/>
    </row>
    <row r="53" spans="1:20" s="136" customFormat="1" x14ac:dyDescent="0.25">
      <c r="A53" s="159">
        <v>41502.225682870368</v>
      </c>
      <c r="B53" s="136" t="s">
        <v>152</v>
      </c>
      <c r="C53" s="137">
        <v>794</v>
      </c>
      <c r="D53" s="137"/>
      <c r="E53" s="137"/>
      <c r="F53" s="136" t="s">
        <v>153</v>
      </c>
      <c r="H53" s="136" t="s">
        <v>128</v>
      </c>
      <c r="I53" s="160" t="s">
        <v>152</v>
      </c>
      <c r="J53" s="138"/>
      <c r="K53" s="139" t="s">
        <v>129</v>
      </c>
      <c r="L53" s="140"/>
      <c r="M53" s="140"/>
      <c r="N53" s="141">
        <v>41502.225682870368</v>
      </c>
      <c r="O53" s="142"/>
      <c r="P53" s="132" t="s">
        <v>154</v>
      </c>
      <c r="Q53" s="133"/>
      <c r="R53" s="145"/>
      <c r="S53" s="143"/>
      <c r="T53" s="143"/>
    </row>
    <row r="54" spans="1:20" s="69" customFormat="1" x14ac:dyDescent="0.25">
      <c r="A54" s="161"/>
      <c r="B54" s="69" t="s">
        <v>155</v>
      </c>
      <c r="C54" s="162" t="s">
        <v>156</v>
      </c>
      <c r="D54" s="162"/>
      <c r="E54" s="162"/>
      <c r="H54" s="69" t="s">
        <v>128</v>
      </c>
      <c r="I54" s="163" t="s">
        <v>155</v>
      </c>
      <c r="J54" s="108"/>
      <c r="K54" s="66" t="s">
        <v>129</v>
      </c>
      <c r="L54" s="109"/>
      <c r="M54" s="109"/>
      <c r="N54" s="164"/>
      <c r="O54" s="68"/>
      <c r="P54" s="69" t="s">
        <v>157</v>
      </c>
      <c r="Q54" s="68"/>
      <c r="R54" s="165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1"/>
  <sheetViews>
    <sheetView tabSelected="1" zoomScale="90" zoomScaleNormal="90" workbookViewId="0">
      <pane ySplit="1" topLeftCell="A2" activePane="bottomLeft" state="frozen"/>
      <selection pane="bottomLeft" activeCell="B72" sqref="B72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41532.328541666669</v>
      </c>
      <c r="C1" s="3" t="s">
        <v>158</v>
      </c>
      <c r="D1" s="3"/>
      <c r="G1" s="167" t="s">
        <v>194</v>
      </c>
      <c r="H1" s="167"/>
      <c r="I1" s="167" t="s">
        <v>1221</v>
      </c>
    </row>
    <row r="2" spans="1:15" ht="15" customHeight="1" thickBot="1" x14ac:dyDescent="0.35">
      <c r="B2" s="3"/>
    </row>
    <row r="3" spans="1:15" ht="15.75" customHeight="1" x14ac:dyDescent="0.25">
      <c r="E3" s="952" t="s">
        <v>159</v>
      </c>
      <c r="F3" s="954" t="s">
        <v>160</v>
      </c>
      <c r="G3" s="955"/>
      <c r="H3" s="955"/>
      <c r="I3" s="955"/>
      <c r="J3" s="956"/>
      <c r="K3" s="954" t="s">
        <v>161</v>
      </c>
      <c r="L3" s="955"/>
      <c r="M3" s="955"/>
      <c r="N3" s="955"/>
      <c r="O3" s="956"/>
    </row>
    <row r="4" spans="1:15" s="8" customFormat="1" ht="15.75" thickBot="1" x14ac:dyDescent="0.3">
      <c r="B4" s="9" t="s">
        <v>162</v>
      </c>
      <c r="C4" s="8" t="s">
        <v>163</v>
      </c>
      <c r="E4" s="953"/>
      <c r="F4" s="168">
        <v>1</v>
      </c>
      <c r="G4" s="169" t="s">
        <v>164</v>
      </c>
      <c r="H4" s="169" t="s">
        <v>165</v>
      </c>
      <c r="I4" s="169" t="s">
        <v>166</v>
      </c>
      <c r="J4" s="170" t="s">
        <v>59</v>
      </c>
      <c r="K4" s="168">
        <v>1</v>
      </c>
      <c r="L4" s="169" t="s">
        <v>164</v>
      </c>
      <c r="M4" s="169" t="s">
        <v>165</v>
      </c>
      <c r="N4" s="169" t="s">
        <v>166</v>
      </c>
      <c r="O4" s="170" t="s">
        <v>59</v>
      </c>
    </row>
    <row r="5" spans="1:15" s="8" customFormat="1" ht="6" customHeight="1" thickBot="1" x14ac:dyDescent="0.3">
      <c r="A5" s="171"/>
      <c r="B5" s="172" t="s">
        <v>66</v>
      </c>
      <c r="C5" s="171"/>
      <c r="D5" s="171"/>
      <c r="E5" s="173"/>
      <c r="F5" s="174"/>
      <c r="G5" s="175"/>
      <c r="H5" s="175"/>
      <c r="I5" s="175"/>
      <c r="J5" s="176"/>
      <c r="K5" s="174"/>
      <c r="L5" s="175"/>
      <c r="M5" s="175"/>
      <c r="N5" s="175"/>
      <c r="O5" s="176"/>
    </row>
    <row r="6" spans="1:15" s="179" customFormat="1" ht="16.5" thickTop="1" thickBot="1" x14ac:dyDescent="0.3">
      <c r="A6" s="253"/>
      <c r="B6" s="880" t="s">
        <v>167</v>
      </c>
      <c r="C6" s="255"/>
      <c r="D6" s="216"/>
      <c r="E6" s="259" t="s">
        <v>65</v>
      </c>
      <c r="F6" s="863" t="s">
        <v>1211</v>
      </c>
      <c r="G6" s="216"/>
      <c r="H6" s="216"/>
      <c r="I6" s="216"/>
      <c r="J6" s="219"/>
      <c r="K6" s="220"/>
      <c r="L6" s="221"/>
      <c r="M6" s="216"/>
      <c r="N6" s="221"/>
      <c r="O6" s="219"/>
    </row>
    <row r="7" spans="1:15" ht="15.75" hidden="1" outlineLevel="1" thickTop="1" x14ac:dyDescent="0.25">
      <c r="A7" s="185">
        <v>41532.321319444447</v>
      </c>
      <c r="B7" s="186" t="s">
        <v>181</v>
      </c>
      <c r="C7" s="187"/>
      <c r="D7" s="200"/>
      <c r="E7" s="861" t="s">
        <v>168</v>
      </c>
      <c r="F7" s="194" t="str">
        <f>F15</f>
        <v>LOAD_1C_P</v>
      </c>
      <c r="G7" s="197"/>
      <c r="H7" s="204"/>
      <c r="I7" s="204"/>
      <c r="J7" s="205"/>
      <c r="K7" s="194" t="str">
        <f>TOCmatch!B8</f>
        <v>Платежи</v>
      </c>
      <c r="L7" s="197"/>
      <c r="M7" s="197"/>
      <c r="N7" s="204"/>
      <c r="O7" s="205"/>
    </row>
    <row r="8" spans="1:15" hidden="1" outlineLevel="1" x14ac:dyDescent="0.25">
      <c r="A8" s="185">
        <v>41532.321331018517</v>
      </c>
      <c r="B8" s="186" t="s">
        <v>181</v>
      </c>
      <c r="C8" s="187"/>
      <c r="D8" s="200"/>
      <c r="E8" s="861" t="s">
        <v>168</v>
      </c>
      <c r="F8" s="194" t="str">
        <f>F24</f>
        <v>LOAD_1C_DOG</v>
      </c>
      <c r="G8" s="197"/>
      <c r="H8" s="204"/>
      <c r="I8" s="204"/>
      <c r="J8" s="205"/>
      <c r="K8" s="194" t="str">
        <f>TOCmatch!B10</f>
        <v>Договоры</v>
      </c>
      <c r="L8" s="197"/>
      <c r="M8" s="197"/>
      <c r="N8" s="204"/>
      <c r="O8" s="205"/>
    </row>
    <row r="9" spans="1:15" hidden="1" outlineLevel="1" x14ac:dyDescent="0.25">
      <c r="A9" s="185">
        <v>41532.321342592593</v>
      </c>
      <c r="B9" s="186" t="s">
        <v>181</v>
      </c>
      <c r="C9" s="187"/>
      <c r="D9" s="200"/>
      <c r="E9" s="861" t="s">
        <v>168</v>
      </c>
      <c r="F9" s="194" t="str">
        <f>F32</f>
        <v>LOAD_1C_ACC</v>
      </c>
      <c r="G9" s="197"/>
      <c r="H9" s="204"/>
      <c r="I9" s="204"/>
      <c r="J9" s="205"/>
      <c r="K9" s="194" t="str">
        <f>TOCmatch!B12</f>
        <v>Список клиентов 1C</v>
      </c>
      <c r="L9" s="197"/>
      <c r="M9" s="197"/>
      <c r="N9" s="204"/>
      <c r="O9" s="205"/>
    </row>
    <row r="10" spans="1:15" hidden="1" outlineLevel="1" x14ac:dyDescent="0.25">
      <c r="A10" s="247">
        <v>41532.32135416667</v>
      </c>
      <c r="B10" s="188" t="s">
        <v>181</v>
      </c>
      <c r="C10" s="248"/>
      <c r="D10" s="200"/>
      <c r="E10" s="861" t="s">
        <v>172</v>
      </c>
      <c r="F10" s="194" t="str">
        <f>F38</f>
        <v>LOAD_SF</v>
      </c>
      <c r="G10" s="197"/>
      <c r="H10" s="204"/>
      <c r="I10" s="204"/>
      <c r="J10" s="205"/>
      <c r="K10" s="194" t="str">
        <f>TOCmatch!B14</f>
        <v>SF</v>
      </c>
      <c r="L10" s="197"/>
      <c r="M10" s="197"/>
      <c r="N10" s="204"/>
      <c r="O10" s="205"/>
    </row>
    <row r="11" spans="1:15" hidden="1" outlineLevel="1" x14ac:dyDescent="0.25">
      <c r="A11" s="185">
        <v>41532.32136574074</v>
      </c>
      <c r="B11" s="186" t="s">
        <v>181</v>
      </c>
      <c r="C11" s="187"/>
      <c r="D11" s="200"/>
      <c r="E11" s="861" t="s">
        <v>168</v>
      </c>
      <c r="F11" s="194" t="str">
        <f>F45</f>
        <v>LOAD_SFD</v>
      </c>
      <c r="G11" s="197"/>
      <c r="H11" s="204"/>
      <c r="I11" s="204"/>
      <c r="J11" s="205"/>
      <c r="K11" s="194" t="str">
        <f>TOCmatch!B15</f>
        <v>SFD</v>
      </c>
      <c r="L11" s="197"/>
      <c r="M11" s="197"/>
      <c r="N11" s="204"/>
      <c r="O11" s="205"/>
    </row>
    <row r="12" spans="1:15" hidden="1" outlineLevel="1" x14ac:dyDescent="0.25">
      <c r="A12" s="185">
        <v>41532.321377314816</v>
      </c>
      <c r="B12" s="186" t="s">
        <v>181</v>
      </c>
      <c r="C12" s="187"/>
      <c r="D12" s="200"/>
      <c r="E12" s="861" t="s">
        <v>168</v>
      </c>
      <c r="F12" s="194" t="str">
        <f>F52</f>
        <v>LOAD_SFacc</v>
      </c>
      <c r="G12" s="197"/>
      <c r="H12" s="204"/>
      <c r="I12" s="204"/>
      <c r="J12" s="205"/>
      <c r="K12" s="194" t="str">
        <f>TOCmatch!B17</f>
        <v>SFacc</v>
      </c>
      <c r="L12" s="197"/>
      <c r="M12" s="197"/>
      <c r="N12" s="204"/>
      <c r="O12" s="205"/>
    </row>
    <row r="13" spans="1:15" hidden="1" outlineLevel="1" x14ac:dyDescent="0.25">
      <c r="A13" s="247"/>
      <c r="B13" s="882" t="s">
        <v>230</v>
      </c>
      <c r="C13" s="248"/>
      <c r="D13" s="200"/>
      <c r="E13" s="861" t="s">
        <v>172</v>
      </c>
      <c r="F13" s="194" t="str">
        <f>F72</f>
        <v>HANDL_Payment</v>
      </c>
      <c r="G13" s="197"/>
      <c r="H13" s="204"/>
      <c r="I13" s="204"/>
      <c r="J13" s="205"/>
      <c r="K13" s="194" t="str">
        <f>TOCmatch!B8</f>
        <v>Платежи</v>
      </c>
      <c r="L13" s="197"/>
      <c r="M13" s="197"/>
      <c r="N13" s="204"/>
      <c r="O13" s="205"/>
    </row>
    <row r="14" spans="1:15" s="235" customFormat="1" ht="15.75" hidden="1" outlineLevel="1" thickBot="1" x14ac:dyDescent="0.3">
      <c r="A14" s="287"/>
      <c r="B14" s="228" t="s">
        <v>32</v>
      </c>
      <c r="C14" s="851"/>
      <c r="D14" s="228"/>
      <c r="E14" s="862" t="s">
        <v>172</v>
      </c>
      <c r="F14" s="230"/>
      <c r="G14" s="231"/>
      <c r="H14" s="231"/>
      <c r="I14" s="231"/>
      <c r="J14" s="232"/>
      <c r="K14" s="233"/>
      <c r="L14" s="234"/>
      <c r="M14" s="231"/>
      <c r="N14" s="234"/>
      <c r="O14" s="232"/>
    </row>
    <row r="15" spans="1:15" s="179" customFormat="1" ht="15.75" collapsed="1" thickTop="1" x14ac:dyDescent="0.25">
      <c r="A15" s="177"/>
      <c r="B15" s="856" t="s">
        <v>167</v>
      </c>
      <c r="C15" s="177"/>
      <c r="E15" s="180"/>
      <c r="F15" s="181" t="s">
        <v>37</v>
      </c>
      <c r="G15" s="182"/>
      <c r="H15" s="182"/>
      <c r="I15" s="182"/>
      <c r="J15" s="183"/>
      <c r="K15" s="184" t="str">
        <f>TOCmatch!B8</f>
        <v>Платежи</v>
      </c>
      <c r="L15" s="182"/>
      <c r="M15" s="182"/>
      <c r="N15" s="182"/>
      <c r="O15" s="183"/>
    </row>
    <row r="16" spans="1:15" s="179" customFormat="1" hidden="1" outlineLevel="1" x14ac:dyDescent="0.25">
      <c r="A16" s="185">
        <v>41532.095405092594</v>
      </c>
      <c r="B16" s="186" t="s">
        <v>84</v>
      </c>
      <c r="C16" s="187" t="s">
        <v>66</v>
      </c>
      <c r="D16" s="188"/>
      <c r="E16" s="189" t="s">
        <v>168</v>
      </c>
      <c r="F16" s="190"/>
      <c r="G16" s="191"/>
      <c r="H16" s="192"/>
      <c r="I16" s="192"/>
      <c r="J16" s="193"/>
      <c r="K16" s="194" t="str">
        <f>K15</f>
        <v>Платежи</v>
      </c>
      <c r="O16" s="193"/>
    </row>
    <row r="17" spans="1:15" s="179" customFormat="1" hidden="1" outlineLevel="1" x14ac:dyDescent="0.25">
      <c r="A17" s="185">
        <v>41532.32708333333</v>
      </c>
      <c r="B17" s="186" t="s">
        <v>100</v>
      </c>
      <c r="C17" s="187" t="str">
        <f>B16</f>
        <v>InsMyCol</v>
      </c>
      <c r="D17" s="188"/>
      <c r="E17" s="189" t="s">
        <v>168</v>
      </c>
      <c r="F17" s="190"/>
      <c r="G17" s="191"/>
      <c r="H17" s="192"/>
      <c r="I17" s="192"/>
      <c r="J17" s="193"/>
      <c r="K17" s="194" t="str">
        <f>K15</f>
        <v>Платежи</v>
      </c>
      <c r="L17" s="195" t="str">
        <f>TOCmatch!B17</f>
        <v>SFacc</v>
      </c>
      <c r="M17" s="195" t="str">
        <f>TOCmatch!B14</f>
        <v>SF</v>
      </c>
      <c r="N17" s="195" t="str">
        <f>TOCmatch!B21</f>
        <v>SF_PA</v>
      </c>
      <c r="O17" s="940" t="str">
        <f>TOCmatch!B43</f>
        <v>DicAccSynonims</v>
      </c>
    </row>
    <row r="18" spans="1:15" s="179" customFormat="1" hidden="1" outlineLevel="1" x14ac:dyDescent="0.25">
      <c r="A18" s="185">
        <v>41532.327094907407</v>
      </c>
      <c r="B18" s="186" t="s">
        <v>58</v>
      </c>
      <c r="C18" s="187" t="str">
        <f>B17</f>
        <v>Adapt</v>
      </c>
      <c r="D18" s="188"/>
      <c r="E18" s="189" t="s">
        <v>168</v>
      </c>
      <c r="F18" s="839">
        <v>7</v>
      </c>
      <c r="G18" s="196"/>
      <c r="H18" s="192"/>
      <c r="I18" s="192"/>
      <c r="J18" s="193"/>
      <c r="K18" s="194" t="str">
        <f>K15</f>
        <v>Платежи</v>
      </c>
      <c r="L18" s="197"/>
      <c r="M18" s="192"/>
      <c r="N18" s="197"/>
      <c r="O18" s="193"/>
    </row>
    <row r="19" spans="1:15" s="182" customFormat="1" hidden="1" outlineLevel="1" x14ac:dyDescent="0.25">
      <c r="A19" s="198">
        <v>41532.32712962963</v>
      </c>
      <c r="B19" s="199" t="s">
        <v>171</v>
      </c>
      <c r="C19" s="187" t="str">
        <f>B18</f>
        <v>DateSort</v>
      </c>
      <c r="D19" s="200"/>
      <c r="E19" s="201" t="s">
        <v>168</v>
      </c>
      <c r="F19" s="194"/>
      <c r="G19" s="192"/>
      <c r="H19" s="192"/>
      <c r="I19" s="192"/>
      <c r="J19" s="193"/>
      <c r="K19" s="194" t="str">
        <f>K15</f>
        <v>Платежи</v>
      </c>
      <c r="L19" s="197"/>
      <c r="M19" s="192"/>
      <c r="N19" s="197"/>
      <c r="O19" s="193"/>
    </row>
    <row r="20" spans="1:15" hidden="1" outlineLevel="1" x14ac:dyDescent="0.25">
      <c r="A20" s="185">
        <v>41532.327152777776</v>
      </c>
      <c r="B20" s="186" t="s">
        <v>49</v>
      </c>
      <c r="C20" s="202" t="str">
        <f>B19</f>
        <v>PaymentPaint</v>
      </c>
      <c r="D20" s="200"/>
      <c r="E20" s="203" t="s">
        <v>168</v>
      </c>
      <c r="G20" s="197"/>
      <c r="H20" s="204"/>
      <c r="I20" s="204"/>
      <c r="J20" s="205"/>
      <c r="K20" s="194" t="str">
        <f>K15</f>
        <v>Платежи</v>
      </c>
      <c r="L20" s="197"/>
      <c r="M20" s="197"/>
      <c r="N20" s="195" t="str">
        <f>TOCmatch!B17</f>
        <v>SFacc</v>
      </c>
      <c r="O20" s="205"/>
    </row>
    <row r="21" spans="1:15" hidden="1" outlineLevel="1" x14ac:dyDescent="0.25">
      <c r="A21" s="185">
        <v>41532.327152777776</v>
      </c>
      <c r="B21" s="857" t="s">
        <v>1192</v>
      </c>
      <c r="C21" s="202" t="str">
        <f>B20</f>
        <v>AccPaint</v>
      </c>
      <c r="D21" s="200"/>
      <c r="E21" s="203" t="s">
        <v>168</v>
      </c>
      <c r="G21" s="197"/>
      <c r="H21" s="204"/>
      <c r="I21" s="204"/>
      <c r="J21" s="205"/>
      <c r="K21" s="194" t="str">
        <f>K15</f>
        <v>Платежи</v>
      </c>
      <c r="L21" s="197"/>
      <c r="M21" s="197"/>
      <c r="N21" s="197"/>
      <c r="O21" s="205"/>
    </row>
    <row r="22" spans="1:15" s="179" customFormat="1" hidden="1" outlineLevel="1" x14ac:dyDescent="0.25">
      <c r="A22" s="198">
        <v>41532.297118055554</v>
      </c>
      <c r="B22" s="849" t="s">
        <v>1212</v>
      </c>
      <c r="C22" s="848"/>
      <c r="D22" s="192"/>
      <c r="E22" s="203" t="s">
        <v>168</v>
      </c>
      <c r="F22" s="195" t="str">
        <f>TOCmatch!B14</f>
        <v>SF</v>
      </c>
      <c r="G22" s="192"/>
      <c r="H22" s="192"/>
      <c r="I22" s="192"/>
      <c r="J22" s="193"/>
      <c r="K22" s="194" t="str">
        <f>K21</f>
        <v>Платежи</v>
      </c>
      <c r="L22" s="197"/>
      <c r="M22" s="192"/>
      <c r="N22" s="197"/>
      <c r="O22" s="193"/>
    </row>
    <row r="23" spans="1:15" s="213" customFormat="1" hidden="1" outlineLevel="1" x14ac:dyDescent="0.25">
      <c r="A23" s="858">
        <v>41509.164409722223</v>
      </c>
      <c r="B23" s="859" t="s">
        <v>32</v>
      </c>
      <c r="C23" s="252"/>
      <c r="D23" s="206"/>
      <c r="E23" s="207"/>
      <c r="F23" s="208"/>
      <c r="G23" s="209"/>
      <c r="H23" s="209"/>
      <c r="I23" s="209"/>
      <c r="J23" s="210"/>
      <c r="K23" s="211"/>
      <c r="L23" s="212"/>
      <c r="M23" s="209"/>
      <c r="N23" s="212"/>
      <c r="O23" s="210"/>
    </row>
    <row r="24" spans="1:15" s="179" customFormat="1" collapsed="1" x14ac:dyDescent="0.25">
      <c r="A24" s="214"/>
      <c r="B24" s="860" t="s">
        <v>167</v>
      </c>
      <c r="C24" s="215"/>
      <c r="D24" s="216"/>
      <c r="E24" s="217" t="s">
        <v>172</v>
      </c>
      <c r="F24" s="218" t="s">
        <v>45</v>
      </c>
      <c r="G24" s="216"/>
      <c r="H24" s="216"/>
      <c r="I24" s="216"/>
      <c r="J24" s="219"/>
      <c r="K24" s="220" t="str">
        <f>TOCmatch!B10</f>
        <v>Договоры</v>
      </c>
      <c r="L24" s="221"/>
      <c r="M24" s="216"/>
      <c r="N24" s="221"/>
      <c r="O24" s="219"/>
    </row>
    <row r="25" spans="1:15" s="32" customFormat="1" hidden="1" outlineLevel="1" x14ac:dyDescent="0.25">
      <c r="A25" s="185">
        <v>41525.110162037039</v>
      </c>
      <c r="B25" s="186" t="s">
        <v>84</v>
      </c>
      <c r="C25" s="187" t="s">
        <v>66</v>
      </c>
      <c r="D25" s="188"/>
      <c r="E25" s="189" t="s">
        <v>168</v>
      </c>
      <c r="F25" s="190"/>
      <c r="G25" s="191"/>
      <c r="H25" s="192"/>
      <c r="I25" s="192"/>
      <c r="J25" s="205"/>
      <c r="K25" s="194" t="str">
        <f>K24</f>
        <v>Договоры</v>
      </c>
      <c r="N25" s="204"/>
      <c r="O25" s="205"/>
    </row>
    <row r="26" spans="1:15" s="32" customFormat="1" hidden="1" outlineLevel="1" x14ac:dyDescent="0.25">
      <c r="A26" s="185">
        <v>41532.319548611114</v>
      </c>
      <c r="B26" s="186" t="s">
        <v>100</v>
      </c>
      <c r="C26" s="187" t="str">
        <f>B25</f>
        <v>InsMyCol</v>
      </c>
      <c r="D26" s="188"/>
      <c r="E26" s="189" t="s">
        <v>168</v>
      </c>
      <c r="F26" s="190"/>
      <c r="J26" s="205"/>
      <c r="K26" s="194" t="str">
        <f>K24</f>
        <v>Договоры</v>
      </c>
      <c r="L26" s="195" t="str">
        <f>TOCmatch!B17</f>
        <v>SFacc</v>
      </c>
      <c r="M26" s="195" t="str">
        <f>TOCmatch!B15</f>
        <v>SFD</v>
      </c>
      <c r="N26" s="204"/>
      <c r="O26" s="205"/>
    </row>
    <row r="27" spans="1:15" s="32" customFormat="1" hidden="1" outlineLevel="1" x14ac:dyDescent="0.25">
      <c r="A27" s="198">
        <v>41532.319548611114</v>
      </c>
      <c r="B27" s="186" t="s">
        <v>58</v>
      </c>
      <c r="C27" s="187" t="str">
        <f>B26</f>
        <v>Adapt</v>
      </c>
      <c r="D27" s="188"/>
      <c r="E27" s="189" t="s">
        <v>168</v>
      </c>
      <c r="F27" s="839">
        <v>12</v>
      </c>
      <c r="G27" s="196"/>
      <c r="H27" s="204"/>
      <c r="I27" s="204"/>
      <c r="J27" s="205"/>
      <c r="K27" s="194" t="str">
        <f>K24</f>
        <v>Договоры</v>
      </c>
      <c r="L27" s="204"/>
      <c r="M27" s="204"/>
      <c r="N27" s="204"/>
      <c r="O27" s="205"/>
    </row>
    <row r="28" spans="1:15" s="32" customFormat="1" hidden="1" outlineLevel="1" x14ac:dyDescent="0.25">
      <c r="A28" s="198">
        <v>41532.319571759261</v>
      </c>
      <c r="B28" s="199" t="s">
        <v>176</v>
      </c>
      <c r="C28" s="187" t="str">
        <f>B27</f>
        <v>DateSort</v>
      </c>
      <c r="D28" s="200"/>
      <c r="E28" s="223" t="s">
        <v>168</v>
      </c>
      <c r="F28" s="224"/>
      <c r="G28" s="204"/>
      <c r="H28" s="204"/>
      <c r="I28" s="204"/>
      <c r="J28" s="205"/>
      <c r="K28" s="194" t="str">
        <f>K24</f>
        <v>Договоры</v>
      </c>
      <c r="L28" s="195" t="str">
        <f>TOCmatch!B15</f>
        <v>SFD</v>
      </c>
      <c r="N28" s="204"/>
      <c r="O28" s="205"/>
    </row>
    <row r="29" spans="1:15" hidden="1" outlineLevel="1" x14ac:dyDescent="0.25">
      <c r="A29" s="185">
        <v>41532.319571759261</v>
      </c>
      <c r="B29" s="186" t="s">
        <v>49</v>
      </c>
      <c r="C29" s="187" t="str">
        <f>B28</f>
        <v>ContractPaint</v>
      </c>
      <c r="D29" s="200"/>
      <c r="E29" s="225" t="s">
        <v>168</v>
      </c>
      <c r="F29" s="222"/>
      <c r="G29" s="197"/>
      <c r="H29" s="204"/>
      <c r="I29" s="204"/>
      <c r="J29" s="205"/>
      <c r="K29" s="194" t="str">
        <f>K24</f>
        <v>Договоры</v>
      </c>
      <c r="L29" s="197"/>
      <c r="M29" s="197"/>
      <c r="N29" s="195" t="str">
        <f>TOCmatch!B17</f>
        <v>SFacc</v>
      </c>
      <c r="O29" s="205"/>
    </row>
    <row r="30" spans="1:15" hidden="1" outlineLevel="1" x14ac:dyDescent="0.25">
      <c r="A30" s="185">
        <v>41532.31958333333</v>
      </c>
      <c r="B30" s="857" t="s">
        <v>1192</v>
      </c>
      <c r="C30" s="202" t="str">
        <f>B29</f>
        <v>AccPaint</v>
      </c>
      <c r="D30" s="200"/>
      <c r="E30" s="203" t="s">
        <v>168</v>
      </c>
      <c r="G30" s="197"/>
      <c r="H30" s="204"/>
      <c r="I30" s="204"/>
      <c r="J30" s="205"/>
      <c r="K30" s="194" t="str">
        <f>K24</f>
        <v>Договоры</v>
      </c>
      <c r="L30" s="197"/>
      <c r="M30" s="197"/>
      <c r="N30" s="197"/>
      <c r="O30" s="205"/>
    </row>
    <row r="31" spans="1:15" s="213" customFormat="1" hidden="1" outlineLevel="1" x14ac:dyDescent="0.25">
      <c r="A31" s="858">
        <v>41509.162106481483</v>
      </c>
      <c r="B31" s="859" t="s">
        <v>32</v>
      </c>
      <c r="C31" s="252"/>
      <c r="D31" s="206"/>
      <c r="E31" s="207" t="s">
        <v>172</v>
      </c>
      <c r="F31" s="208"/>
      <c r="G31" s="209"/>
      <c r="H31" s="209"/>
      <c r="I31" s="209"/>
      <c r="J31" s="210"/>
      <c r="K31" s="211"/>
      <c r="L31" s="212"/>
      <c r="M31" s="209"/>
      <c r="N31" s="212"/>
      <c r="O31" s="210"/>
    </row>
    <row r="32" spans="1:15" s="179" customFormat="1" ht="15.75" collapsed="1" thickBot="1" x14ac:dyDescent="0.3">
      <c r="A32" s="214"/>
      <c r="B32" s="860" t="s">
        <v>167</v>
      </c>
      <c r="C32" s="215"/>
      <c r="D32" s="216"/>
      <c r="E32" s="217"/>
      <c r="F32" s="226" t="s">
        <v>54</v>
      </c>
      <c r="G32" s="216"/>
      <c r="H32" s="216"/>
      <c r="I32" s="216"/>
      <c r="J32" s="219"/>
      <c r="K32" s="220" t="s">
        <v>48</v>
      </c>
      <c r="L32" s="221"/>
      <c r="M32" s="216"/>
      <c r="N32" s="221"/>
      <c r="O32" s="219"/>
    </row>
    <row r="33" spans="1:15" s="179" customFormat="1" hidden="1" outlineLevel="1" x14ac:dyDescent="0.25">
      <c r="A33" s="185">
        <v>41526.623483796298</v>
      </c>
      <c r="B33" s="186" t="s">
        <v>177</v>
      </c>
      <c r="C33" s="187" t="s">
        <v>66</v>
      </c>
      <c r="D33" s="200"/>
      <c r="E33" s="189" t="s">
        <v>168</v>
      </c>
      <c r="F33" s="222"/>
      <c r="G33" s="196"/>
      <c r="H33" s="192"/>
      <c r="I33" s="192"/>
      <c r="J33" s="193"/>
      <c r="K33" s="194" t="str">
        <f>K32</f>
        <v>Список клиентов 1C</v>
      </c>
      <c r="L33" s="197"/>
      <c r="M33" s="192"/>
      <c r="N33" s="197"/>
      <c r="O33" s="193"/>
    </row>
    <row r="34" spans="1:15" s="32" customFormat="1" hidden="1" outlineLevel="1" x14ac:dyDescent="0.25">
      <c r="A34" s="185">
        <v>41526.623553240737</v>
      </c>
      <c r="B34" s="186" t="s">
        <v>84</v>
      </c>
      <c r="C34" s="227" t="str">
        <f>B33</f>
        <v>Acc1C_Bottom</v>
      </c>
      <c r="D34" s="188"/>
      <c r="E34" s="189" t="s">
        <v>168</v>
      </c>
      <c r="F34" s="194"/>
      <c r="G34" s="197"/>
      <c r="H34" s="192"/>
      <c r="I34" s="192"/>
      <c r="J34" s="205"/>
      <c r="K34" s="194" t="str">
        <f>K32</f>
        <v>Список клиентов 1C</v>
      </c>
      <c r="L34" s="204"/>
      <c r="M34" s="204"/>
      <c r="O34" s="205"/>
    </row>
    <row r="35" spans="1:15" s="32" customFormat="1" hidden="1" outlineLevel="1" x14ac:dyDescent="0.25">
      <c r="A35" s="185">
        <v>41532.181527777779</v>
      </c>
      <c r="B35" s="186" t="s">
        <v>100</v>
      </c>
      <c r="C35" s="227" t="str">
        <f>B34</f>
        <v>InsMyCol</v>
      </c>
      <c r="D35" s="188"/>
      <c r="E35" s="189" t="s">
        <v>168</v>
      </c>
      <c r="F35" s="194"/>
      <c r="G35" s="197"/>
      <c r="H35" s="192"/>
      <c r="I35" s="192"/>
      <c r="J35" s="205"/>
      <c r="K35" s="194" t="str">
        <f>K32</f>
        <v>Список клиентов 1C</v>
      </c>
      <c r="L35" s="204"/>
      <c r="M35" s="204"/>
      <c r="N35" s="195" t="str">
        <f>TOCmatch!B17</f>
        <v>SFacc</v>
      </c>
      <c r="O35" s="205"/>
    </row>
    <row r="36" spans="1:15" hidden="1" outlineLevel="1" x14ac:dyDescent="0.25">
      <c r="A36" s="185">
        <v>41532.181539351855</v>
      </c>
      <c r="B36" s="186" t="s">
        <v>49</v>
      </c>
      <c r="C36" s="227" t="str">
        <f>B35</f>
        <v>Adapt</v>
      </c>
      <c r="D36" s="200"/>
      <c r="E36" s="225" t="s">
        <v>168</v>
      </c>
      <c r="F36" s="194"/>
      <c r="G36" s="197"/>
      <c r="H36" s="204"/>
      <c r="I36" s="204"/>
      <c r="J36" s="205"/>
      <c r="K36" s="194" t="str">
        <f>K32</f>
        <v>Список клиентов 1C</v>
      </c>
      <c r="L36" s="197"/>
      <c r="M36" s="197"/>
      <c r="N36" s="195" t="str">
        <f>TOCmatch!B17</f>
        <v>SFacc</v>
      </c>
      <c r="O36" s="205"/>
    </row>
    <row r="37" spans="1:15" s="182" customFormat="1" ht="15.75" hidden="1" outlineLevel="1" thickBot="1" x14ac:dyDescent="0.3">
      <c r="A37" s="198">
        <v>41507.01185185185</v>
      </c>
      <c r="B37" s="199" t="s">
        <v>32</v>
      </c>
      <c r="C37" s="320"/>
      <c r="D37" s="250"/>
      <c r="E37" s="201" t="s">
        <v>168</v>
      </c>
      <c r="F37" s="321"/>
      <c r="G37" s="192"/>
      <c r="H37" s="192"/>
      <c r="I37" s="192"/>
      <c r="J37" s="193"/>
      <c r="K37" s="194"/>
      <c r="L37" s="197"/>
      <c r="M37" s="192"/>
      <c r="N37" s="197"/>
      <c r="O37" s="193"/>
    </row>
    <row r="38" spans="1:15" s="179" customFormat="1" ht="15.75" collapsed="1" thickTop="1" x14ac:dyDescent="0.25">
      <c r="A38" s="943"/>
      <c r="B38" s="944" t="s">
        <v>167</v>
      </c>
      <c r="C38" s="945"/>
      <c r="D38" s="239"/>
      <c r="E38" s="240" t="s">
        <v>172</v>
      </c>
      <c r="F38" s="241" t="s">
        <v>178</v>
      </c>
      <c r="G38" s="239"/>
      <c r="H38" s="239"/>
      <c r="I38" s="239"/>
      <c r="J38" s="242"/>
      <c r="K38" s="243" t="str">
        <f>TOCmatch!B14</f>
        <v>SF</v>
      </c>
      <c r="L38" s="244"/>
      <c r="M38" s="239"/>
      <c r="N38" s="244"/>
      <c r="O38" s="242"/>
    </row>
    <row r="39" spans="1:15" hidden="1" outlineLevel="1" x14ac:dyDescent="0.25">
      <c r="A39" s="185">
        <v>41532.326562499999</v>
      </c>
      <c r="B39" s="186" t="s">
        <v>84</v>
      </c>
      <c r="C39" s="941" t="s">
        <v>66</v>
      </c>
      <c r="D39" s="188"/>
      <c r="E39" s="189" t="s">
        <v>168</v>
      </c>
      <c r="F39" s="194"/>
      <c r="G39" s="197"/>
      <c r="H39" s="204"/>
      <c r="I39" s="204"/>
      <c r="J39" s="245"/>
      <c r="K39" s="194" t="str">
        <f>K38</f>
        <v>SF</v>
      </c>
      <c r="L39" s="204"/>
      <c r="M39" s="204"/>
      <c r="N39" s="204"/>
      <c r="O39" s="245"/>
    </row>
    <row r="40" spans="1:15" hidden="1" outlineLevel="1" x14ac:dyDescent="0.25">
      <c r="A40" s="185">
        <v>41532.327164351853</v>
      </c>
      <c r="B40" s="199" t="s">
        <v>181</v>
      </c>
      <c r="C40" s="187" t="str">
        <f>B39</f>
        <v>InsMyCol</v>
      </c>
      <c r="D40" s="200"/>
      <c r="E40" s="225" t="s">
        <v>168</v>
      </c>
      <c r="F40" s="194" t="str">
        <f>F15</f>
        <v>LOAD_1C_P</v>
      </c>
      <c r="G40" s="197"/>
      <c r="H40" s="204"/>
      <c r="I40" s="204"/>
      <c r="J40" s="245"/>
      <c r="K40" s="194" t="str">
        <f>TOCmatch!B8</f>
        <v>Платежи</v>
      </c>
      <c r="L40" s="204" t="str">
        <f>K38</f>
        <v>SF</v>
      </c>
      <c r="M40" s="204"/>
      <c r="N40" s="204"/>
      <c r="O40" s="245"/>
    </row>
    <row r="41" spans="1:15" hidden="1" outlineLevel="1" x14ac:dyDescent="0.25">
      <c r="A41" s="185">
        <v>41532.327326388891</v>
      </c>
      <c r="B41" s="186" t="s">
        <v>100</v>
      </c>
      <c r="C41" s="946" t="str">
        <f>B40</f>
        <v>ProcStart</v>
      </c>
      <c r="D41" s="204"/>
      <c r="E41" s="225" t="s">
        <v>168</v>
      </c>
      <c r="F41" s="194"/>
      <c r="G41" s="197"/>
      <c r="H41" s="204"/>
      <c r="I41" s="204"/>
      <c r="J41" s="245"/>
      <c r="K41" s="194" t="str">
        <f>K38</f>
        <v>SF</v>
      </c>
      <c r="L41" s="204" t="str">
        <f>TOCmatch!B8</f>
        <v>Платежи</v>
      </c>
      <c r="M41" s="204"/>
      <c r="N41" s="204"/>
      <c r="O41" s="245"/>
    </row>
    <row r="42" spans="1:15" hidden="1" outlineLevel="1" x14ac:dyDescent="0.25">
      <c r="A42" s="185">
        <v>41532.327337962961</v>
      </c>
      <c r="B42" s="186" t="s">
        <v>58</v>
      </c>
      <c r="C42" s="187"/>
      <c r="D42" s="188"/>
      <c r="E42" s="189" t="s">
        <v>168</v>
      </c>
      <c r="F42" s="840">
        <v>5</v>
      </c>
      <c r="G42" s="197"/>
      <c r="H42" s="204"/>
      <c r="I42" s="204"/>
      <c r="J42" s="205"/>
      <c r="K42" s="194" t="str">
        <f>K38</f>
        <v>SF</v>
      </c>
      <c r="L42" s="204"/>
      <c r="M42" s="204"/>
      <c r="N42" s="204"/>
      <c r="O42" s="205"/>
    </row>
    <row r="43" spans="1:15" hidden="1" outlineLevel="1" x14ac:dyDescent="0.25">
      <c r="A43" s="185">
        <v>41532.327349537038</v>
      </c>
      <c r="B43" s="857" t="s">
        <v>1201</v>
      </c>
      <c r="C43" s="187"/>
      <c r="D43" s="188"/>
      <c r="E43" s="189" t="s">
        <v>168</v>
      </c>
      <c r="F43" s="249"/>
      <c r="G43" s="197"/>
      <c r="H43" s="204"/>
      <c r="I43" s="204"/>
      <c r="J43" s="205"/>
      <c r="K43" s="194" t="str">
        <f>K38</f>
        <v>SF</v>
      </c>
      <c r="L43" s="204"/>
      <c r="M43" s="204"/>
      <c r="N43" s="204"/>
      <c r="O43" s="205"/>
    </row>
    <row r="44" spans="1:15" s="213" customFormat="1" hidden="1" outlineLevel="1" x14ac:dyDescent="0.25">
      <c r="A44" s="858">
        <v>41509.160416666666</v>
      </c>
      <c r="B44" s="859" t="s">
        <v>32</v>
      </c>
      <c r="C44" s="252"/>
      <c r="D44" s="206"/>
      <c r="E44" s="207" t="s">
        <v>172</v>
      </c>
      <c r="F44" s="208"/>
      <c r="G44" s="209"/>
      <c r="H44" s="209"/>
      <c r="I44" s="209"/>
      <c r="J44" s="210"/>
      <c r="K44" s="211" t="str">
        <f>K38</f>
        <v>SF</v>
      </c>
      <c r="L44" s="212"/>
      <c r="M44" s="209"/>
      <c r="N44" s="212"/>
      <c r="O44" s="210"/>
    </row>
    <row r="45" spans="1:15" s="179" customFormat="1" collapsed="1" x14ac:dyDescent="0.25">
      <c r="A45" s="214"/>
      <c r="B45" s="860" t="s">
        <v>167</v>
      </c>
      <c r="C45" s="215"/>
      <c r="D45" s="216"/>
      <c r="E45" s="217" t="s">
        <v>172</v>
      </c>
      <c r="F45" s="218" t="s">
        <v>182</v>
      </c>
      <c r="G45" s="216"/>
      <c r="H45" s="216"/>
      <c r="I45" s="216"/>
      <c r="J45" s="219"/>
      <c r="K45" s="220" t="s">
        <v>62</v>
      </c>
      <c r="L45" s="221"/>
      <c r="M45" s="216"/>
      <c r="N45" s="221"/>
      <c r="O45" s="219"/>
    </row>
    <row r="46" spans="1:15" s="179" customFormat="1" hidden="1" outlineLevel="1" x14ac:dyDescent="0.25">
      <c r="A46" s="198">
        <v>41532.319386574076</v>
      </c>
      <c r="B46" s="849" t="s">
        <v>1212</v>
      </c>
      <c r="C46" s="848"/>
      <c r="D46" s="192"/>
      <c r="E46" s="201" t="s">
        <v>168</v>
      </c>
      <c r="F46" s="864" t="str">
        <f>TOCmatch!B16</f>
        <v>SFopp</v>
      </c>
      <c r="G46" s="192"/>
      <c r="H46" s="192"/>
      <c r="I46" s="192"/>
      <c r="J46" s="193"/>
      <c r="K46" s="194" t="str">
        <f>K45</f>
        <v>SFD</v>
      </c>
      <c r="L46" s="192"/>
      <c r="M46" s="192"/>
      <c r="N46" s="197"/>
      <c r="O46" s="193"/>
    </row>
    <row r="47" spans="1:15" hidden="1" outlineLevel="1" x14ac:dyDescent="0.25">
      <c r="A47" s="185">
        <v>41532.319398148145</v>
      </c>
      <c r="B47" s="186" t="s">
        <v>84</v>
      </c>
      <c r="C47" s="187" t="str">
        <f>B46</f>
        <v>CheckRepDate</v>
      </c>
      <c r="D47" s="188"/>
      <c r="E47" s="189" t="s">
        <v>168</v>
      </c>
      <c r="F47" s="194"/>
      <c r="G47" s="192"/>
      <c r="H47" s="204"/>
      <c r="I47" s="204"/>
      <c r="J47" s="245"/>
      <c r="K47" s="246" t="s">
        <v>62</v>
      </c>
      <c r="M47" s="204"/>
      <c r="N47" s="204"/>
      <c r="O47" s="245"/>
    </row>
    <row r="48" spans="1:15" hidden="1" outlineLevel="1" x14ac:dyDescent="0.25">
      <c r="A48" s="185">
        <v>41532.319467592592</v>
      </c>
      <c r="B48" s="186" t="s">
        <v>100</v>
      </c>
      <c r="C48" s="187" t="str">
        <f>B47</f>
        <v>InsMyCol</v>
      </c>
      <c r="D48" s="188"/>
      <c r="E48" s="189" t="s">
        <v>168</v>
      </c>
      <c r="F48" s="194"/>
      <c r="G48" s="197"/>
      <c r="H48" s="204"/>
      <c r="I48" s="204"/>
      <c r="J48" s="245"/>
      <c r="K48" s="246" t="s">
        <v>62</v>
      </c>
      <c r="L48" s="200" t="s">
        <v>40</v>
      </c>
      <c r="M48" s="204"/>
      <c r="N48" s="195" t="s">
        <v>68</v>
      </c>
      <c r="O48" s="245"/>
    </row>
    <row r="49" spans="1:15" hidden="1" outlineLevel="1" x14ac:dyDescent="0.25">
      <c r="A49" s="185">
        <v>41532.319467592592</v>
      </c>
      <c r="B49" s="186" t="s">
        <v>58</v>
      </c>
      <c r="C49" s="187" t="str">
        <f>B48</f>
        <v>Adapt</v>
      </c>
      <c r="D49" s="188"/>
      <c r="E49" s="189" t="s">
        <v>168</v>
      </c>
      <c r="F49" s="850">
        <v>8</v>
      </c>
      <c r="G49" s="197"/>
      <c r="H49" s="204"/>
      <c r="I49" s="204"/>
      <c r="J49" s="205"/>
      <c r="K49" s="246" t="s">
        <v>62</v>
      </c>
      <c r="L49" s="204"/>
      <c r="M49" s="204"/>
      <c r="N49" s="204"/>
      <c r="O49" s="205"/>
    </row>
    <row r="50" spans="1:15" hidden="1" outlineLevel="1" x14ac:dyDescent="0.25">
      <c r="A50" s="185">
        <v>41532.31958333333</v>
      </c>
      <c r="B50" s="199" t="s">
        <v>181</v>
      </c>
      <c r="C50" s="227" t="str">
        <f>B49</f>
        <v>DateSort</v>
      </c>
      <c r="D50" s="200"/>
      <c r="E50" s="225" t="s">
        <v>168</v>
      </c>
      <c r="F50" s="194" t="str">
        <f>F24</f>
        <v>LOAD_1C_DOG</v>
      </c>
      <c r="G50" s="197"/>
      <c r="H50" s="204"/>
      <c r="I50" s="204"/>
      <c r="J50" s="245"/>
      <c r="K50" s="246" t="s">
        <v>40</v>
      </c>
      <c r="L50" s="204"/>
      <c r="M50" s="204"/>
      <c r="N50" s="204"/>
      <c r="O50" s="245"/>
    </row>
    <row r="51" spans="1:15" s="213" customFormat="1" hidden="1" outlineLevel="1" x14ac:dyDescent="0.25">
      <c r="A51" s="858">
        <v>41507.005196759259</v>
      </c>
      <c r="B51" s="859" t="s">
        <v>32</v>
      </c>
      <c r="C51" s="252"/>
      <c r="D51" s="206"/>
      <c r="E51" s="207" t="s">
        <v>168</v>
      </c>
      <c r="F51" s="208"/>
      <c r="G51" s="209"/>
      <c r="H51" s="209"/>
      <c r="I51" s="209"/>
      <c r="J51" s="210"/>
      <c r="K51" s="211"/>
      <c r="L51" s="212"/>
      <c r="M51" s="209"/>
      <c r="N51" s="212"/>
      <c r="O51" s="210"/>
    </row>
    <row r="52" spans="1:15" s="179" customFormat="1" collapsed="1" x14ac:dyDescent="0.25">
      <c r="A52" s="214"/>
      <c r="B52" s="942" t="s">
        <v>167</v>
      </c>
      <c r="C52" s="215"/>
      <c r="D52" s="216"/>
      <c r="E52" s="217" t="s">
        <v>172</v>
      </c>
      <c r="F52" s="218" t="s">
        <v>186</v>
      </c>
      <c r="G52" s="216"/>
      <c r="H52" s="216"/>
      <c r="I52" s="216"/>
      <c r="J52" s="219"/>
      <c r="K52" s="220" t="s">
        <v>68</v>
      </c>
      <c r="L52" s="221"/>
      <c r="M52" s="216"/>
      <c r="N52" s="221"/>
      <c r="O52" s="219"/>
    </row>
    <row r="53" spans="1:15" s="179" customFormat="1" hidden="1" outlineLevel="1" x14ac:dyDescent="0.25">
      <c r="A53" s="198">
        <v>41526.648194444446</v>
      </c>
      <c r="B53" s="939" t="s">
        <v>1212</v>
      </c>
      <c r="C53" s="848"/>
      <c r="D53" s="192"/>
      <c r="E53" s="201" t="s">
        <v>168</v>
      </c>
      <c r="F53" s="864" t="str">
        <f>TOCmatch!B17</f>
        <v>SFacc</v>
      </c>
      <c r="G53" s="192"/>
      <c r="H53" s="192"/>
      <c r="I53" s="192"/>
      <c r="J53" s="193"/>
      <c r="K53" s="194" t="str">
        <f>TOCmatch!B12</f>
        <v>Список клиентов 1C</v>
      </c>
      <c r="L53" s="197"/>
      <c r="M53" s="192"/>
      <c r="N53" s="197"/>
      <c r="O53" s="193"/>
    </row>
    <row r="54" spans="1:15" hidden="1" outlineLevel="1" x14ac:dyDescent="0.25">
      <c r="A54" s="185">
        <v>41532.181342592594</v>
      </c>
      <c r="B54" s="186" t="s">
        <v>181</v>
      </c>
      <c r="C54" s="187"/>
      <c r="D54" s="200"/>
      <c r="E54" s="225" t="s">
        <v>168</v>
      </c>
      <c r="F54" s="194" t="str">
        <f>F15</f>
        <v>LOAD_1C_P</v>
      </c>
      <c r="G54" s="197"/>
      <c r="H54" s="204"/>
      <c r="I54" s="204"/>
      <c r="J54" s="205"/>
      <c r="K54" s="194" t="str">
        <f>K52</f>
        <v>SFacc</v>
      </c>
      <c r="L54" s="197" t="str">
        <f>TOCmatch!B8</f>
        <v>Платежи</v>
      </c>
      <c r="M54" s="197"/>
      <c r="N54" s="204"/>
      <c r="O54" s="205"/>
    </row>
    <row r="55" spans="1:15" hidden="1" outlineLevel="1" x14ac:dyDescent="0.25">
      <c r="A55" s="185">
        <v>41532.181458333333</v>
      </c>
      <c r="B55" s="186" t="s">
        <v>181</v>
      </c>
      <c r="C55" s="187"/>
      <c r="D55" s="200"/>
      <c r="E55" s="225" t="s">
        <v>168</v>
      </c>
      <c r="F55" s="194" t="str">
        <f>F24</f>
        <v>LOAD_1C_DOG</v>
      </c>
      <c r="G55" s="197"/>
      <c r="H55" s="204"/>
      <c r="I55" s="204"/>
      <c r="J55" s="205"/>
      <c r="K55" s="194" t="str">
        <f>K52</f>
        <v>SFacc</v>
      </c>
      <c r="L55" s="197" t="str">
        <f>TOCmatch!B10</f>
        <v>Договоры</v>
      </c>
      <c r="M55" s="197"/>
      <c r="N55" s="204"/>
      <c r="O55" s="205"/>
    </row>
    <row r="56" spans="1:15" hidden="1" outlineLevel="1" x14ac:dyDescent="0.25">
      <c r="A56" s="185">
        <v>41532.181550925925</v>
      </c>
      <c r="B56" s="186" t="s">
        <v>181</v>
      </c>
      <c r="C56" s="187"/>
      <c r="D56" s="200"/>
      <c r="E56" s="225" t="s">
        <v>168</v>
      </c>
      <c r="F56" s="194" t="str">
        <f>F32</f>
        <v>LOAD_1C_ACC</v>
      </c>
      <c r="G56" s="197"/>
      <c r="H56" s="204"/>
      <c r="I56" s="204"/>
      <c r="J56" s="205"/>
      <c r="K56" s="194" t="str">
        <f>K52</f>
        <v>SFacc</v>
      </c>
      <c r="L56" s="197" t="str">
        <f>TOCmatch!B12</f>
        <v>Список клиентов 1C</v>
      </c>
      <c r="M56" s="197"/>
      <c r="N56" s="204"/>
      <c r="O56" s="205"/>
    </row>
    <row r="57" spans="1:15" s="182" customFormat="1" hidden="1" outlineLevel="1" x14ac:dyDescent="0.25">
      <c r="A57" s="198">
        <v>41507.01185185185</v>
      </c>
      <c r="B57" s="199" t="s">
        <v>32</v>
      </c>
      <c r="C57" s="320"/>
      <c r="D57" s="250"/>
      <c r="E57" s="201" t="s">
        <v>168</v>
      </c>
      <c r="F57" s="321"/>
      <c r="G57" s="192"/>
      <c r="H57" s="192"/>
      <c r="I57" s="192"/>
      <c r="J57" s="193"/>
      <c r="K57" s="194"/>
      <c r="L57" s="197"/>
      <c r="M57" s="192"/>
      <c r="N57" s="197"/>
      <c r="O57" s="193"/>
    </row>
    <row r="58" spans="1:15" s="325" customFormat="1" collapsed="1" x14ac:dyDescent="0.25">
      <c r="A58" s="214"/>
      <c r="B58" s="860" t="s">
        <v>167</v>
      </c>
      <c r="C58" s="215"/>
      <c r="D58" s="216"/>
      <c r="E58" s="217"/>
      <c r="F58" s="938" t="s">
        <v>1538</v>
      </c>
      <c r="G58" s="216"/>
      <c r="H58" s="216"/>
      <c r="I58" s="216"/>
      <c r="J58" s="219"/>
      <c r="K58" s="220" t="str">
        <f>TOCmatch!B23</f>
        <v>SF_DicAccSyn</v>
      </c>
      <c r="L58" s="221"/>
      <c r="M58" s="216"/>
      <c r="N58" s="221"/>
      <c r="O58" s="219"/>
    </row>
    <row r="59" spans="1:15" hidden="1" outlineLevel="1" x14ac:dyDescent="0.25">
      <c r="A59" s="185">
        <v>41532.273715277777</v>
      </c>
      <c r="B59" s="857" t="s">
        <v>1539</v>
      </c>
      <c r="C59" s="988" t="s">
        <v>66</v>
      </c>
      <c r="D59" s="200"/>
      <c r="E59" s="225" t="s">
        <v>168</v>
      </c>
      <c r="F59" s="980" t="str">
        <f>TOCmatch!B43</f>
        <v>DicAccSynonims</v>
      </c>
      <c r="G59" s="197"/>
      <c r="H59" s="204"/>
      <c r="I59" s="204"/>
      <c r="J59" s="205"/>
      <c r="K59" s="194" t="str">
        <f>K58</f>
        <v>SF_DicAccSyn</v>
      </c>
      <c r="L59" s="197"/>
      <c r="M59" s="197"/>
      <c r="N59" s="32"/>
      <c r="O59" s="205"/>
    </row>
    <row r="60" spans="1:15" s="235" customFormat="1" ht="15.75" hidden="1" outlineLevel="1" thickBot="1" x14ac:dyDescent="0.3">
      <c r="A60" s="989">
        <v>41507.01185185185</v>
      </c>
      <c r="B60" s="990" t="s">
        <v>32</v>
      </c>
      <c r="C60" s="851"/>
      <c r="D60" s="228"/>
      <c r="E60" s="229" t="s">
        <v>168</v>
      </c>
      <c r="F60" s="230"/>
      <c r="G60" s="231"/>
      <c r="H60" s="231"/>
      <c r="I60" s="231"/>
      <c r="J60" s="232"/>
      <c r="K60" s="233"/>
      <c r="L60" s="234"/>
      <c r="M60" s="231"/>
      <c r="N60" s="234"/>
      <c r="O60" s="232"/>
    </row>
    <row r="61" spans="1:15" s="179" customFormat="1" ht="15.75" collapsed="1" thickBot="1" x14ac:dyDescent="0.3">
      <c r="A61" s="177"/>
      <c r="B61" s="178" t="s">
        <v>167</v>
      </c>
      <c r="C61" s="177"/>
      <c r="E61" s="180"/>
      <c r="F61" s="181" t="s">
        <v>104</v>
      </c>
      <c r="G61" s="182"/>
      <c r="H61" s="182"/>
      <c r="I61" s="182"/>
      <c r="J61" s="183"/>
      <c r="K61" s="184" t="s">
        <v>99</v>
      </c>
      <c r="L61" s="182"/>
      <c r="M61" s="182"/>
      <c r="N61" s="182"/>
      <c r="O61" s="183"/>
    </row>
    <row r="62" spans="1:15" s="179" customFormat="1" hidden="1" outlineLevel="1" x14ac:dyDescent="0.25">
      <c r="A62" s="185">
        <v>41473.017916666664</v>
      </c>
      <c r="B62" s="186" t="s">
        <v>187</v>
      </c>
      <c r="C62" s="187" t="s">
        <v>66</v>
      </c>
      <c r="D62" s="188"/>
      <c r="E62" s="189" t="s">
        <v>168</v>
      </c>
      <c r="F62" s="256" t="s">
        <v>188</v>
      </c>
      <c r="G62" s="196"/>
      <c r="H62" s="192"/>
      <c r="I62" s="192"/>
      <c r="J62" s="193"/>
      <c r="K62" s="194" t="str">
        <f>K61</f>
        <v>Заказы</v>
      </c>
      <c r="L62" s="197"/>
      <c r="M62" s="192"/>
      <c r="N62" s="197"/>
      <c r="O62" s="193"/>
    </row>
    <row r="63" spans="1:15" s="179" customFormat="1" hidden="1" outlineLevel="1" x14ac:dyDescent="0.25">
      <c r="A63" s="185">
        <v>41473.017928240741</v>
      </c>
      <c r="B63" s="186" t="s">
        <v>84</v>
      </c>
      <c r="C63" s="202" t="str">
        <f>B62</f>
        <v>RowDel</v>
      </c>
      <c r="D63" s="188"/>
      <c r="E63" s="189" t="s">
        <v>168</v>
      </c>
      <c r="F63" s="194" t="s">
        <v>189</v>
      </c>
      <c r="G63" s="191"/>
      <c r="H63" s="192"/>
      <c r="I63" s="192"/>
      <c r="J63" s="193"/>
      <c r="K63" s="194" t="str">
        <f>K61</f>
        <v>Заказы</v>
      </c>
      <c r="L63" s="197"/>
      <c r="M63" s="192"/>
      <c r="N63" s="197"/>
      <c r="O63" s="193"/>
    </row>
    <row r="64" spans="1:15" s="179" customFormat="1" hidden="1" outlineLevel="1" x14ac:dyDescent="0.25">
      <c r="A64" s="247">
        <v>41506.983391203707</v>
      </c>
      <c r="B64" s="188" t="s">
        <v>100</v>
      </c>
      <c r="C64" s="257" t="str">
        <f>B63</f>
        <v>InsMyCol</v>
      </c>
      <c r="D64" s="188"/>
      <c r="E64" s="189" t="s">
        <v>172</v>
      </c>
      <c r="F64" s="181" t="s">
        <v>189</v>
      </c>
      <c r="G64" s="196"/>
      <c r="H64" s="196"/>
      <c r="I64" s="196"/>
      <c r="J64" s="258"/>
      <c r="K64" s="194" t="str">
        <f>K62</f>
        <v>Заказы</v>
      </c>
      <c r="L64" s="197" t="s">
        <v>31</v>
      </c>
      <c r="M64" s="192"/>
      <c r="N64" s="195" t="s">
        <v>79</v>
      </c>
      <c r="O64" s="193"/>
    </row>
    <row r="65" spans="1:16" s="213" customFormat="1" ht="15.75" hidden="1" outlineLevel="1" thickBot="1" x14ac:dyDescent="0.3">
      <c r="A65" s="251">
        <v>41506.983391203707</v>
      </c>
      <c r="B65" s="206" t="s">
        <v>32</v>
      </c>
      <c r="C65" s="252"/>
      <c r="D65" s="206"/>
      <c r="E65" s="207" t="s">
        <v>168</v>
      </c>
      <c r="F65" s="208"/>
      <c r="G65" s="209"/>
      <c r="H65" s="209"/>
      <c r="I65" s="209"/>
      <c r="J65" s="210"/>
      <c r="K65" s="211"/>
      <c r="L65" s="212"/>
      <c r="M65" s="209"/>
      <c r="N65" s="212"/>
      <c r="O65" s="210"/>
    </row>
    <row r="66" spans="1:16" s="179" customFormat="1" ht="16.5" collapsed="1" thickTop="1" thickBot="1" x14ac:dyDescent="0.3">
      <c r="A66" s="177"/>
      <c r="B66" s="178" t="s">
        <v>167</v>
      </c>
      <c r="C66" s="177"/>
      <c r="E66" s="259" t="s">
        <v>65</v>
      </c>
      <c r="F66" s="181" t="s">
        <v>88</v>
      </c>
      <c r="G66" s="182"/>
      <c r="H66" s="182"/>
      <c r="I66" s="182"/>
      <c r="J66" s="183"/>
      <c r="K66" s="184" t="s">
        <v>82</v>
      </c>
      <c r="L66" s="182"/>
      <c r="M66" s="182"/>
      <c r="N66" s="182"/>
      <c r="O66" s="183"/>
    </row>
    <row r="67" spans="1:16" s="179" customFormat="1" ht="15.75" hidden="1" outlineLevel="1" thickTop="1" x14ac:dyDescent="0.25">
      <c r="A67" s="247"/>
      <c r="B67" s="188" t="s">
        <v>187</v>
      </c>
      <c r="C67" s="248" t="s">
        <v>66</v>
      </c>
      <c r="D67" s="188"/>
      <c r="E67" s="189" t="s">
        <v>172</v>
      </c>
      <c r="F67" s="256" t="s">
        <v>190</v>
      </c>
      <c r="G67" s="196"/>
      <c r="H67" s="192"/>
      <c r="I67" s="192"/>
      <c r="J67" s="193"/>
      <c r="K67" s="260" t="str">
        <f>K66</f>
        <v>Склад</v>
      </c>
      <c r="L67" s="197"/>
      <c r="M67" s="192"/>
      <c r="N67" s="197"/>
      <c r="O67" s="193"/>
    </row>
    <row r="68" spans="1:16" s="179" customFormat="1" hidden="1" outlineLevel="1" x14ac:dyDescent="0.25">
      <c r="A68" s="247"/>
      <c r="B68" s="188" t="s">
        <v>84</v>
      </c>
      <c r="C68" s="257" t="str">
        <f>B67</f>
        <v>RowDel</v>
      </c>
      <c r="D68" s="188"/>
      <c r="E68" s="189" t="s">
        <v>172</v>
      </c>
      <c r="F68" s="194" t="s">
        <v>191</v>
      </c>
      <c r="G68" s="196"/>
      <c r="H68" s="192"/>
      <c r="I68" s="192"/>
      <c r="J68" s="193"/>
      <c r="K68" s="194" t="str">
        <f>K66</f>
        <v>Склад</v>
      </c>
      <c r="L68" s="197"/>
      <c r="M68" s="192"/>
      <c r="N68" s="197"/>
      <c r="O68" s="193"/>
    </row>
    <row r="69" spans="1:16" s="179" customFormat="1" hidden="1" outlineLevel="1" x14ac:dyDescent="0.25">
      <c r="A69" s="247"/>
      <c r="B69" s="188" t="s">
        <v>192</v>
      </c>
      <c r="C69" s="261"/>
      <c r="D69" s="188"/>
      <c r="E69" s="189" t="s">
        <v>172</v>
      </c>
      <c r="F69" s="256" t="s">
        <v>168</v>
      </c>
      <c r="G69" s="196" t="s">
        <v>193</v>
      </c>
      <c r="H69" s="192"/>
      <c r="I69" s="192"/>
      <c r="J69" s="193"/>
      <c r="K69" s="194"/>
      <c r="L69" s="197"/>
      <c r="M69" s="192"/>
      <c r="N69" s="197"/>
      <c r="O69" s="193"/>
    </row>
    <row r="70" spans="1:16" s="179" customFormat="1" hidden="1" outlineLevel="1" x14ac:dyDescent="0.25">
      <c r="A70" s="247"/>
      <c r="B70" s="188" t="s">
        <v>100</v>
      </c>
      <c r="C70" s="257" t="str">
        <f>B68</f>
        <v>InsMyCol</v>
      </c>
      <c r="D70" s="188"/>
      <c r="E70" s="189" t="s">
        <v>172</v>
      </c>
      <c r="F70" s="181" t="str">
        <f>F68</f>
        <v>Stock_MyCol</v>
      </c>
      <c r="G70" s="196"/>
      <c r="H70" s="192"/>
      <c r="I70" s="192"/>
      <c r="J70" s="193"/>
      <c r="K70" s="194" t="str">
        <f>K66</f>
        <v>Склад</v>
      </c>
      <c r="L70" s="197" t="str">
        <f>L160</f>
        <v>Платежи</v>
      </c>
      <c r="M70" s="192"/>
      <c r="N70" s="195" t="s">
        <v>57</v>
      </c>
      <c r="O70" s="193"/>
    </row>
    <row r="71" spans="1:16" s="213" customFormat="1" ht="15.75" hidden="1" outlineLevel="1" thickBot="1" x14ac:dyDescent="0.3">
      <c r="A71" s="251"/>
      <c r="B71" s="206" t="s">
        <v>32</v>
      </c>
      <c r="C71" s="252"/>
      <c r="D71" s="206"/>
      <c r="E71" s="207" t="s">
        <v>172</v>
      </c>
      <c r="F71" s="208"/>
      <c r="G71" s="209"/>
      <c r="H71" s="209"/>
      <c r="I71" s="209"/>
      <c r="J71" s="210"/>
      <c r="K71" s="211"/>
      <c r="L71" s="212"/>
      <c r="M71" s="209"/>
      <c r="N71" s="212"/>
      <c r="O71" s="210"/>
    </row>
    <row r="72" spans="1:16" s="179" customFormat="1" ht="16.5" collapsed="1" thickTop="1" thickBot="1" x14ac:dyDescent="0.3">
      <c r="A72" s="943"/>
      <c r="B72" s="944" t="s">
        <v>167</v>
      </c>
      <c r="C72" s="945"/>
      <c r="D72" s="239"/>
      <c r="E72" s="259" t="s">
        <v>65</v>
      </c>
      <c r="F72" s="241" t="s">
        <v>194</v>
      </c>
      <c r="G72" s="239"/>
      <c r="H72" s="239"/>
      <c r="I72" s="239"/>
      <c r="J72" s="242"/>
      <c r="K72" s="262" t="s">
        <v>31</v>
      </c>
      <c r="L72" s="244"/>
      <c r="M72" s="239"/>
      <c r="N72" s="244"/>
      <c r="O72" s="242"/>
      <c r="P72" s="871"/>
    </row>
    <row r="73" spans="1:16" ht="15.75" thickTop="1" x14ac:dyDescent="0.25">
      <c r="A73" s="185">
        <v>41532.328136574077</v>
      </c>
      <c r="B73" s="186" t="s">
        <v>181</v>
      </c>
      <c r="C73" s="187"/>
      <c r="D73" s="200"/>
      <c r="E73" s="189" t="s">
        <v>168</v>
      </c>
      <c r="F73" s="194" t="str">
        <f>F15</f>
        <v>LOAD_1C_P</v>
      </c>
      <c r="G73" s="197"/>
      <c r="H73" s="204"/>
      <c r="I73" s="204"/>
      <c r="J73" s="205"/>
      <c r="K73" s="194" t="str">
        <f>K72</f>
        <v>Платежи</v>
      </c>
      <c r="L73" s="195" t="str">
        <f>TOCmatch!B14</f>
        <v>SF</v>
      </c>
      <c r="O73" s="205"/>
      <c r="P73" s="872"/>
    </row>
    <row r="74" spans="1:16" x14ac:dyDescent="0.25">
      <c r="A74" s="185">
        <v>41532.328530092593</v>
      </c>
      <c r="B74" s="857" t="s">
        <v>100</v>
      </c>
      <c r="C74" s="202" t="str">
        <f>B73</f>
        <v>ProcStart</v>
      </c>
      <c r="D74" s="200"/>
      <c r="E74" s="189" t="s">
        <v>168</v>
      </c>
      <c r="F74" s="194"/>
      <c r="G74" s="197"/>
      <c r="H74" s="204"/>
      <c r="I74" s="204"/>
      <c r="J74" s="205"/>
      <c r="K74" s="194" t="str">
        <f>K72</f>
        <v>Платежи</v>
      </c>
      <c r="L74" s="195" t="str">
        <f>TOCmatch!B16</f>
        <v>SFopp</v>
      </c>
      <c r="M74" s="195" t="str">
        <f>TOCmatch!B14</f>
        <v>SF</v>
      </c>
      <c r="N74" s="195" t="str">
        <f>TOCmatch!B17</f>
        <v>SFacc</v>
      </c>
      <c r="O74" s="205"/>
      <c r="P74" s="872"/>
    </row>
    <row r="75" spans="1:16" x14ac:dyDescent="0.25">
      <c r="A75" s="185">
        <v>41532.328541666669</v>
      </c>
      <c r="B75" s="857" t="s">
        <v>1222</v>
      </c>
      <c r="C75" s="279" t="str">
        <f>B74</f>
        <v>Adapt</v>
      </c>
      <c r="D75" s="200"/>
      <c r="E75" s="189" t="s">
        <v>168</v>
      </c>
      <c r="F75" s="874" t="str">
        <f>K75</f>
        <v>Платежи</v>
      </c>
      <c r="G75" s="875">
        <v>18</v>
      </c>
      <c r="H75" s="197" t="s">
        <v>1223</v>
      </c>
      <c r="I75" s="204"/>
      <c r="J75" s="205"/>
      <c r="K75" s="194" t="str">
        <f>K72</f>
        <v>Платежи</v>
      </c>
      <c r="L75" s="197"/>
      <c r="M75" s="192"/>
      <c r="N75" s="204"/>
      <c r="O75" s="205"/>
      <c r="P75" s="872"/>
    </row>
    <row r="76" spans="1:16" x14ac:dyDescent="0.25">
      <c r="A76" s="185">
        <v>41532.328541666669</v>
      </c>
      <c r="B76" s="857" t="s">
        <v>1222</v>
      </c>
      <c r="C76" s="279" t="str">
        <f>B74</f>
        <v>Adapt</v>
      </c>
      <c r="D76" s="200"/>
      <c r="E76" s="189" t="s">
        <v>168</v>
      </c>
      <c r="F76" s="874" t="str">
        <f>K76</f>
        <v>Платежи</v>
      </c>
      <c r="G76" s="875">
        <v>2</v>
      </c>
      <c r="H76" s="197" t="s">
        <v>1223</v>
      </c>
      <c r="I76" s="204"/>
      <c r="J76" s="205"/>
      <c r="K76" s="194" t="str">
        <f>K73</f>
        <v>Платежи</v>
      </c>
      <c r="L76" s="197"/>
      <c r="M76" s="192"/>
      <c r="N76" s="204"/>
      <c r="O76" s="205"/>
      <c r="P76" s="872"/>
    </row>
    <row r="77" spans="1:16" x14ac:dyDescent="0.25">
      <c r="A77" s="247">
        <v>41532.322881944441</v>
      </c>
      <c r="B77" s="910" t="s">
        <v>1221</v>
      </c>
      <c r="C77" s="257" t="str">
        <f>B74</f>
        <v>Adapt</v>
      </c>
      <c r="D77" s="200"/>
      <c r="E77" s="189" t="s">
        <v>172</v>
      </c>
      <c r="F77" s="194"/>
      <c r="G77" s="197"/>
      <c r="H77" s="204"/>
      <c r="I77" s="204"/>
      <c r="J77" s="245"/>
      <c r="K77" s="246" t="s">
        <v>31</v>
      </c>
      <c r="L77" s="195" t="str">
        <f>TOCmatch!B15</f>
        <v>SFD</v>
      </c>
      <c r="M77" s="195" t="str">
        <f>TOCmatch!B16</f>
        <v>SFopp</v>
      </c>
      <c r="N77" s="204" t="str">
        <f>TOCmatch!B10</f>
        <v>Договоры</v>
      </c>
      <c r="O77" s="245"/>
      <c r="P77" s="878"/>
    </row>
    <row r="78" spans="1:16" s="179" customFormat="1" x14ac:dyDescent="0.25">
      <c r="A78" s="247">
        <v>41532.322893518518</v>
      </c>
      <c r="B78" s="250" t="s">
        <v>135</v>
      </c>
      <c r="C78" s="270" t="str">
        <f>B77</f>
        <v>Paid1C</v>
      </c>
      <c r="D78" s="188"/>
      <c r="E78" s="189" t="s">
        <v>172</v>
      </c>
      <c r="F78" s="277" t="str">
        <f>TOCmatch!B46</f>
        <v>NewContract</v>
      </c>
      <c r="G78" s="197" t="s">
        <v>202</v>
      </c>
      <c r="H78" s="204" t="s">
        <v>210</v>
      </c>
      <c r="I78" s="204" t="s">
        <v>211</v>
      </c>
      <c r="J78" s="193"/>
      <c r="K78" s="269" t="str">
        <f>F78</f>
        <v>NewContract</v>
      </c>
      <c r="M78" s="192"/>
      <c r="N78" s="197"/>
      <c r="O78" s="193"/>
      <c r="P78" s="872"/>
    </row>
    <row r="79" spans="1:16" x14ac:dyDescent="0.25">
      <c r="A79" s="247">
        <v>41532.322893518518</v>
      </c>
      <c r="B79" s="250" t="s">
        <v>135</v>
      </c>
      <c r="C79" s="257" t="str">
        <f>B77</f>
        <v>Paid1C</v>
      </c>
      <c r="D79" s="200"/>
      <c r="E79" s="225" t="s">
        <v>172</v>
      </c>
      <c r="F79" s="277" t="str">
        <f>TOCmatch!B45</f>
        <v>NewPayment</v>
      </c>
      <c r="G79" s="197" t="s">
        <v>202</v>
      </c>
      <c r="H79" s="204" t="s">
        <v>203</v>
      </c>
      <c r="I79" s="204" t="s">
        <v>204</v>
      </c>
      <c r="J79" s="193"/>
      <c r="K79" s="269" t="str">
        <f>F79</f>
        <v>NewPayment</v>
      </c>
      <c r="L79" s="204"/>
      <c r="M79" s="204"/>
      <c r="N79" s="204"/>
      <c r="O79" s="245"/>
      <c r="P79" s="872"/>
    </row>
    <row r="80" spans="1:16" x14ac:dyDescent="0.25">
      <c r="A80" s="247">
        <v>41532.322905092595</v>
      </c>
      <c r="B80" s="250" t="s">
        <v>135</v>
      </c>
      <c r="C80" s="257" t="str">
        <f>B77</f>
        <v>Paid1C</v>
      </c>
      <c r="D80" s="200"/>
      <c r="E80" s="225" t="s">
        <v>172</v>
      </c>
      <c r="F80" s="277" t="str">
        <f>TOCmatch!B47</f>
        <v>NewOpp</v>
      </c>
      <c r="G80" s="197" t="s">
        <v>202</v>
      </c>
      <c r="H80" s="902" t="s">
        <v>217</v>
      </c>
      <c r="I80" s="902" t="s">
        <v>218</v>
      </c>
      <c r="J80" s="193"/>
      <c r="K80" s="269" t="str">
        <f>F80</f>
        <v>NewOpp</v>
      </c>
      <c r="L80" s="204"/>
      <c r="M80" s="204"/>
      <c r="N80" s="204"/>
      <c r="O80" s="245"/>
      <c r="P80" s="872"/>
    </row>
    <row r="81" spans="1:16" x14ac:dyDescent="0.25">
      <c r="A81" s="247">
        <v>41532.322905092595</v>
      </c>
      <c r="B81" s="250" t="s">
        <v>135</v>
      </c>
      <c r="C81" s="257" t="str">
        <f>B77</f>
        <v>Paid1C</v>
      </c>
      <c r="D81" s="200"/>
      <c r="E81" s="225" t="s">
        <v>172</v>
      </c>
      <c r="F81" s="277" t="str">
        <f>TOCmatch!B50</f>
        <v>ContractUpdate</v>
      </c>
      <c r="G81" s="197" t="s">
        <v>202</v>
      </c>
      <c r="H81" s="902" t="s">
        <v>1446</v>
      </c>
      <c r="I81" s="902" t="s">
        <v>1447</v>
      </c>
      <c r="J81" s="193"/>
      <c r="K81" s="269" t="str">
        <f>F81</f>
        <v>ContractUpdate</v>
      </c>
      <c r="L81" s="204"/>
      <c r="M81" s="204"/>
      <c r="N81" s="204"/>
      <c r="O81" s="245"/>
      <c r="P81" s="872"/>
    </row>
    <row r="82" spans="1:16" s="213" customFormat="1" ht="15.75" thickBot="1" x14ac:dyDescent="0.3">
      <c r="A82" s="251"/>
      <c r="B82" s="206" t="s">
        <v>32</v>
      </c>
      <c r="C82" s="252">
        <v>1</v>
      </c>
      <c r="D82" s="206"/>
      <c r="E82" s="207" t="s">
        <v>172</v>
      </c>
      <c r="F82" s="208"/>
      <c r="G82" s="209"/>
      <c r="H82" s="209"/>
      <c r="I82" s="209"/>
      <c r="J82" s="210"/>
      <c r="K82" s="211"/>
      <c r="L82" s="212"/>
      <c r="M82" s="209"/>
      <c r="N82" s="212"/>
      <c r="O82" s="210"/>
      <c r="P82" s="873"/>
    </row>
    <row r="83" spans="1:16" s="179" customFormat="1" ht="16.5" thickTop="1" thickBot="1" x14ac:dyDescent="0.3">
      <c r="A83" s="247"/>
      <c r="B83" s="188" t="s">
        <v>167</v>
      </c>
      <c r="C83" s="265"/>
      <c r="D83" s="266"/>
      <c r="E83" s="259" t="s">
        <v>65</v>
      </c>
      <c r="F83" s="267" t="s">
        <v>199</v>
      </c>
      <c r="G83" s="192"/>
      <c r="H83" s="192"/>
      <c r="I83" s="192"/>
      <c r="J83" s="193"/>
      <c r="K83" s="184" t="s">
        <v>31</v>
      </c>
      <c r="L83" s="197"/>
      <c r="M83" s="192"/>
      <c r="N83" s="197"/>
      <c r="O83" s="193"/>
    </row>
    <row r="84" spans="1:16" s="179" customFormat="1" ht="15.75" thickTop="1" x14ac:dyDescent="0.25">
      <c r="A84" s="247"/>
      <c r="B84" s="188" t="s">
        <v>192</v>
      </c>
      <c r="C84" s="261"/>
      <c r="D84" s="188"/>
      <c r="E84" s="189" t="s">
        <v>172</v>
      </c>
      <c r="F84" s="256" t="s">
        <v>168</v>
      </c>
      <c r="G84" s="196"/>
      <c r="H84" s="192"/>
      <c r="I84" s="192"/>
      <c r="J84" s="193"/>
      <c r="K84" s="194"/>
      <c r="L84" s="197"/>
      <c r="M84" s="192"/>
      <c r="N84" s="197"/>
      <c r="O84" s="193"/>
    </row>
    <row r="85" spans="1:16" s="179" customFormat="1" x14ac:dyDescent="0.25">
      <c r="A85" s="247"/>
      <c r="B85" s="188" t="s">
        <v>200</v>
      </c>
      <c r="C85" s="265"/>
      <c r="D85" s="266"/>
      <c r="E85" s="189" t="s">
        <v>172</v>
      </c>
      <c r="F85" s="269" t="s">
        <v>134</v>
      </c>
      <c r="G85" s="192"/>
      <c r="H85" s="192"/>
      <c r="I85" s="192"/>
      <c r="J85" s="193"/>
      <c r="K85" s="269" t="str">
        <f>F85</f>
        <v>NewPayment</v>
      </c>
      <c r="L85" s="197"/>
      <c r="M85" s="192"/>
      <c r="N85" s="197"/>
      <c r="O85" s="193"/>
    </row>
    <row r="86" spans="1:16" s="179" customFormat="1" x14ac:dyDescent="0.25">
      <c r="A86" s="247"/>
      <c r="B86" s="188" t="s">
        <v>201</v>
      </c>
      <c r="C86" s="270" t="str">
        <f>B85</f>
        <v>NewSheet</v>
      </c>
      <c r="D86" s="188"/>
      <c r="E86" s="189" t="s">
        <v>172</v>
      </c>
      <c r="F86" s="256"/>
      <c r="G86" s="196"/>
      <c r="H86" s="192"/>
      <c r="I86" s="192"/>
      <c r="J86" s="193"/>
      <c r="K86" s="194" t="str">
        <f>K83</f>
        <v>Платежи</v>
      </c>
      <c r="L86" s="195" t="s">
        <v>64</v>
      </c>
      <c r="M86" s="192"/>
      <c r="N86" s="197"/>
      <c r="O86" s="193"/>
    </row>
    <row r="87" spans="1:16" s="179" customFormat="1" x14ac:dyDescent="0.25">
      <c r="A87" s="247"/>
      <c r="B87" s="250" t="s">
        <v>135</v>
      </c>
      <c r="C87" s="270" t="str">
        <f>B86</f>
        <v>NewPaidOpp</v>
      </c>
      <c r="D87" s="188"/>
      <c r="E87" s="189" t="s">
        <v>172</v>
      </c>
      <c r="F87" s="269" t="s">
        <v>134</v>
      </c>
      <c r="G87" s="197" t="s">
        <v>202</v>
      </c>
      <c r="H87" s="204" t="s">
        <v>203</v>
      </c>
      <c r="I87" s="204" t="s">
        <v>204</v>
      </c>
      <c r="J87" s="193"/>
      <c r="K87" s="194"/>
      <c r="L87" s="197"/>
      <c r="M87" s="192"/>
      <c r="N87" s="197"/>
      <c r="O87" s="193"/>
    </row>
    <row r="88" spans="1:16" s="213" customFormat="1" ht="15.75" thickBot="1" x14ac:dyDescent="0.3">
      <c r="A88" s="251"/>
      <c r="B88" s="206" t="s">
        <v>32</v>
      </c>
      <c r="C88" s="252">
        <v>224</v>
      </c>
      <c r="D88" s="206"/>
      <c r="E88" s="207" t="s">
        <v>172</v>
      </c>
      <c r="F88" s="208"/>
      <c r="G88" s="209"/>
      <c r="H88" s="209"/>
      <c r="I88" s="209"/>
      <c r="J88" s="210"/>
      <c r="K88" s="211"/>
      <c r="L88" s="212"/>
      <c r="M88" s="209"/>
      <c r="N88" s="212"/>
      <c r="O88" s="210"/>
    </row>
    <row r="89" spans="1:16" s="179" customFormat="1" ht="16.5" thickTop="1" thickBot="1" x14ac:dyDescent="0.3">
      <c r="A89" s="247"/>
      <c r="B89" s="188" t="s">
        <v>167</v>
      </c>
      <c r="C89" s="265"/>
      <c r="D89" s="266"/>
      <c r="E89" s="259" t="s">
        <v>65</v>
      </c>
      <c r="F89" s="267" t="s">
        <v>205</v>
      </c>
      <c r="G89" s="192"/>
      <c r="H89" s="192"/>
      <c r="I89" s="192"/>
      <c r="J89" s="193"/>
      <c r="K89" s="184" t="s">
        <v>31</v>
      </c>
      <c r="L89" s="197"/>
      <c r="M89" s="192"/>
      <c r="N89" s="197"/>
      <c r="O89" s="193"/>
      <c r="P89" s="271"/>
    </row>
    <row r="90" spans="1:16" s="179" customFormat="1" ht="15.75" thickTop="1" x14ac:dyDescent="0.25">
      <c r="A90" s="247">
        <v>41506.038622685184</v>
      </c>
      <c r="B90" s="188" t="s">
        <v>100</v>
      </c>
      <c r="C90" s="272" t="str">
        <f>F15&amp;"/"&amp;B19</f>
        <v>LOAD_1C_P/PaymentPaint</v>
      </c>
      <c r="D90" s="188"/>
      <c r="E90" s="189" t="s">
        <v>172</v>
      </c>
      <c r="F90" s="865" t="s">
        <v>206</v>
      </c>
      <c r="G90" s="273" t="str">
        <f>K90</f>
        <v>Платежи</v>
      </c>
      <c r="H90" s="274" t="str">
        <f>F91</f>
        <v>NewPayment</v>
      </c>
      <c r="I90" s="192"/>
      <c r="J90" s="193"/>
      <c r="K90" s="194" t="str">
        <f>K89</f>
        <v>Платежи</v>
      </c>
      <c r="L90" s="195" t="s">
        <v>64</v>
      </c>
      <c r="N90" s="197"/>
      <c r="O90" s="193"/>
      <c r="P90" s="271"/>
    </row>
    <row r="91" spans="1:16" s="179" customFormat="1" x14ac:dyDescent="0.25">
      <c r="A91" s="247">
        <v>41506.038622685184</v>
      </c>
      <c r="B91" s="250" t="s">
        <v>135</v>
      </c>
      <c r="C91" s="270" t="str">
        <f>B90</f>
        <v>Adapt</v>
      </c>
      <c r="D91" s="188"/>
      <c r="E91" s="189" t="s">
        <v>172</v>
      </c>
      <c r="F91" s="269" t="s">
        <v>134</v>
      </c>
      <c r="G91" s="197" t="s">
        <v>202</v>
      </c>
      <c r="H91" s="204" t="s">
        <v>203</v>
      </c>
      <c r="I91" s="204" t="s">
        <v>204</v>
      </c>
      <c r="J91" s="193"/>
      <c r="K91" s="269" t="str">
        <f>F91</f>
        <v>NewPayment</v>
      </c>
      <c r="M91" s="192"/>
      <c r="N91" s="197"/>
      <c r="O91" s="193"/>
      <c r="P91" s="271"/>
    </row>
    <row r="92" spans="1:16" s="213" customFormat="1" ht="15.75" thickBot="1" x14ac:dyDescent="0.3">
      <c r="A92" s="251">
        <v>41506.038634259261</v>
      </c>
      <c r="B92" s="206" t="s">
        <v>32</v>
      </c>
      <c r="C92" s="275">
        <v>67</v>
      </c>
      <c r="D92" s="206"/>
      <c r="E92" s="201" t="s">
        <v>168</v>
      </c>
      <c r="F92" s="208"/>
      <c r="G92" s="209"/>
      <c r="H92" s="209"/>
      <c r="I92" s="209"/>
      <c r="J92" s="210"/>
      <c r="K92" s="211"/>
      <c r="L92" s="212"/>
      <c r="M92" s="209"/>
      <c r="N92" s="212"/>
      <c r="O92" s="210"/>
      <c r="P92" s="276"/>
    </row>
    <row r="93" spans="1:16" s="179" customFormat="1" ht="16.5" thickTop="1" thickBot="1" x14ac:dyDescent="0.3">
      <c r="A93" s="247"/>
      <c r="B93" s="188" t="s">
        <v>167</v>
      </c>
      <c r="C93" s="265"/>
      <c r="D93" s="266"/>
      <c r="E93" s="259" t="s">
        <v>65</v>
      </c>
      <c r="F93" s="267" t="s">
        <v>207</v>
      </c>
      <c r="G93" s="192"/>
      <c r="H93" s="192"/>
      <c r="I93" s="192"/>
      <c r="J93" s="193"/>
      <c r="K93" s="184" t="s">
        <v>31</v>
      </c>
      <c r="L93" s="197"/>
      <c r="M93" s="192"/>
      <c r="N93" s="197"/>
      <c r="O93" s="193"/>
    </row>
    <row r="94" spans="1:16" s="179" customFormat="1" ht="15.75" thickTop="1" x14ac:dyDescent="0.25">
      <c r="A94" s="247">
        <v>41522.105624999997</v>
      </c>
      <c r="B94" s="882" t="s">
        <v>208</v>
      </c>
      <c r="C94" s="272" t="str">
        <f>F15&amp;"/"&amp;B19</f>
        <v>LOAD_1C_P/PaymentPaint</v>
      </c>
      <c r="D94" s="188"/>
      <c r="E94" s="189" t="s">
        <v>172</v>
      </c>
      <c r="F94" s="269" t="s">
        <v>134</v>
      </c>
      <c r="G94" s="196"/>
      <c r="H94" s="192"/>
      <c r="I94" s="192"/>
      <c r="J94" s="193"/>
      <c r="K94" s="194" t="str">
        <f>K93</f>
        <v>Платежи</v>
      </c>
      <c r="L94" s="195" t="s">
        <v>62</v>
      </c>
      <c r="M94" s="195" t="s">
        <v>64</v>
      </c>
      <c r="N94" s="197"/>
      <c r="O94" s="193"/>
    </row>
    <row r="95" spans="1:16" s="179" customFormat="1" x14ac:dyDescent="0.25">
      <c r="A95" s="247">
        <v>41522.105636574073</v>
      </c>
      <c r="B95" s="250" t="s">
        <v>135</v>
      </c>
      <c r="C95" s="270" t="str">
        <f>B94</f>
        <v>PaidContr</v>
      </c>
      <c r="D95" s="188"/>
      <c r="E95" s="189" t="s">
        <v>172</v>
      </c>
      <c r="F95" s="277" t="str">
        <f>F94</f>
        <v>NewPayment</v>
      </c>
      <c r="G95" s="197" t="s">
        <v>202</v>
      </c>
      <c r="H95" s="204" t="s">
        <v>203</v>
      </c>
      <c r="I95" s="204" t="s">
        <v>204</v>
      </c>
      <c r="J95" s="193"/>
      <c r="K95" s="269" t="str">
        <f>F95</f>
        <v>NewPayment</v>
      </c>
      <c r="M95" s="192"/>
      <c r="N95" s="197"/>
      <c r="O95" s="193"/>
    </row>
    <row r="96" spans="1:16" s="213" customFormat="1" ht="15.75" thickBot="1" x14ac:dyDescent="0.3">
      <c r="A96" s="251"/>
      <c r="B96" s="206" t="s">
        <v>32</v>
      </c>
      <c r="C96" s="275">
        <v>0</v>
      </c>
      <c r="D96" s="206"/>
      <c r="E96" s="201" t="s">
        <v>172</v>
      </c>
      <c r="F96" s="208"/>
      <c r="G96" s="209"/>
      <c r="H96" s="209"/>
      <c r="I96" s="209"/>
      <c r="J96" s="210"/>
      <c r="K96" s="211"/>
      <c r="L96" s="212"/>
      <c r="M96" s="209"/>
      <c r="N96" s="212"/>
      <c r="O96" s="210"/>
    </row>
    <row r="97" spans="1:16" s="179" customFormat="1" ht="16.5" thickTop="1" thickBot="1" x14ac:dyDescent="0.3">
      <c r="A97" s="185"/>
      <c r="B97" s="186" t="s">
        <v>167</v>
      </c>
      <c r="C97" s="268"/>
      <c r="D97" s="266"/>
      <c r="E97" s="259" t="s">
        <v>65</v>
      </c>
      <c r="F97" s="278" t="s">
        <v>209</v>
      </c>
      <c r="G97" s="192"/>
      <c r="H97" s="192"/>
      <c r="I97" s="192"/>
      <c r="J97" s="193"/>
      <c r="K97" s="184" t="str">
        <f>K24</f>
        <v>Договоры</v>
      </c>
      <c r="L97" s="197"/>
      <c r="M97" s="192"/>
      <c r="N97" s="197"/>
      <c r="O97" s="193"/>
    </row>
    <row r="98" spans="1:16" s="179" customFormat="1" ht="15.75" thickTop="1" x14ac:dyDescent="0.25">
      <c r="A98" s="247">
        <v>41521.6721875</v>
      </c>
      <c r="B98" s="188" t="s">
        <v>42</v>
      </c>
      <c r="C98" s="272" t="str">
        <f>F24&amp;"/"&amp;B25</f>
        <v>LOAD_1C_DOG/InsMyCol</v>
      </c>
      <c r="D98" s="188"/>
      <c r="E98" s="189" t="s">
        <v>172</v>
      </c>
      <c r="F98" s="269" t="s">
        <v>137</v>
      </c>
      <c r="G98" s="196"/>
      <c r="H98" s="192"/>
      <c r="I98" s="192"/>
      <c r="J98" s="193"/>
      <c r="K98" s="194" t="str">
        <f>K97</f>
        <v>Договоры</v>
      </c>
      <c r="L98" s="195" t="s">
        <v>62</v>
      </c>
      <c r="M98" s="195" t="s">
        <v>68</v>
      </c>
      <c r="N98" s="197"/>
      <c r="O98" s="193"/>
    </row>
    <row r="99" spans="1:16" s="179" customFormat="1" x14ac:dyDescent="0.25">
      <c r="A99" s="247">
        <v>41521.6721875</v>
      </c>
      <c r="B99" s="250" t="s">
        <v>135</v>
      </c>
      <c r="C99" s="270" t="str">
        <f>B98</f>
        <v>NewContr</v>
      </c>
      <c r="D99" s="188"/>
      <c r="E99" s="189" t="s">
        <v>172</v>
      </c>
      <c r="F99" s="277" t="str">
        <f>F98</f>
        <v>NewContract</v>
      </c>
      <c r="G99" s="197" t="s">
        <v>202</v>
      </c>
      <c r="H99" s="204" t="s">
        <v>210</v>
      </c>
      <c r="I99" s="204" t="s">
        <v>211</v>
      </c>
      <c r="J99" s="193"/>
      <c r="K99" s="269" t="str">
        <f>F99</f>
        <v>NewContract</v>
      </c>
      <c r="M99" s="192"/>
      <c r="N99" s="197"/>
      <c r="O99" s="193"/>
    </row>
    <row r="100" spans="1:16" s="213" customFormat="1" ht="15.75" thickBot="1" x14ac:dyDescent="0.3">
      <c r="A100" s="251"/>
      <c r="B100" s="206" t="s">
        <v>32</v>
      </c>
      <c r="C100" s="275">
        <v>13</v>
      </c>
      <c r="D100" s="206"/>
      <c r="E100" s="207" t="s">
        <v>172</v>
      </c>
      <c r="F100" s="208"/>
      <c r="G100" s="209"/>
      <c r="H100" s="209"/>
      <c r="I100" s="209"/>
      <c r="J100" s="210"/>
      <c r="K100" s="211"/>
      <c r="L100" s="212"/>
      <c r="M100" s="209"/>
      <c r="N100" s="212"/>
      <c r="O100" s="210"/>
    </row>
    <row r="101" spans="1:16" s="179" customFormat="1" ht="16.5" thickTop="1" thickBot="1" x14ac:dyDescent="0.3">
      <c r="A101" s="247"/>
      <c r="B101" s="188" t="s">
        <v>167</v>
      </c>
      <c r="C101" s="265"/>
      <c r="D101" s="266"/>
      <c r="E101" s="259" t="s">
        <v>65</v>
      </c>
      <c r="F101" s="278" t="s">
        <v>212</v>
      </c>
      <c r="G101" s="192"/>
      <c r="H101" s="192"/>
      <c r="I101" s="192"/>
      <c r="J101" s="193"/>
      <c r="K101" s="184" t="s">
        <v>99</v>
      </c>
      <c r="L101" s="197"/>
      <c r="M101" s="192"/>
      <c r="N101" s="197"/>
      <c r="O101" s="193"/>
      <c r="P101" s="280"/>
    </row>
    <row r="102" spans="1:16" s="179" customFormat="1" ht="15.75" thickTop="1" x14ac:dyDescent="0.25">
      <c r="A102" s="247">
        <v>41430.738321759258</v>
      </c>
      <c r="B102" s="188" t="s">
        <v>142</v>
      </c>
      <c r="C102" s="272" t="str">
        <f>F61&amp;"/"&amp;B64</f>
        <v>LOAD_Order/Adapt</v>
      </c>
      <c r="D102" s="188"/>
      <c r="E102" s="189" t="s">
        <v>172</v>
      </c>
      <c r="F102" s="269" t="s">
        <v>142</v>
      </c>
      <c r="G102" s="196"/>
      <c r="H102" s="192"/>
      <c r="I102" s="192"/>
      <c r="J102" s="193"/>
      <c r="K102" s="194" t="str">
        <f>K101</f>
        <v>Заказы</v>
      </c>
      <c r="L102" s="24" t="s">
        <v>31</v>
      </c>
      <c r="M102" s="195" t="s">
        <v>79</v>
      </c>
      <c r="N102" s="195" t="s">
        <v>57</v>
      </c>
      <c r="O102" s="193"/>
      <c r="P102" s="280"/>
    </row>
    <row r="103" spans="1:16" s="179" customFormat="1" x14ac:dyDescent="0.25">
      <c r="A103" s="247">
        <v>41430.738321759258</v>
      </c>
      <c r="B103" s="250" t="s">
        <v>135</v>
      </c>
      <c r="C103" s="270" t="str">
        <f>B102</f>
        <v>NewOrder</v>
      </c>
      <c r="D103" s="188"/>
      <c r="E103" s="189" t="s">
        <v>172</v>
      </c>
      <c r="F103" s="277" t="str">
        <f>F102</f>
        <v>NewOrder</v>
      </c>
      <c r="G103" s="197" t="s">
        <v>202</v>
      </c>
      <c r="H103" s="204" t="s">
        <v>213</v>
      </c>
      <c r="I103" s="204" t="s">
        <v>214</v>
      </c>
      <c r="J103" s="193"/>
      <c r="K103" s="269" t="str">
        <f>F103</f>
        <v>NewOrder</v>
      </c>
      <c r="M103" s="192"/>
      <c r="N103" s="197"/>
      <c r="O103" s="193"/>
      <c r="P103" s="280"/>
    </row>
    <row r="104" spans="1:16" s="213" customFormat="1" ht="15.75" thickBot="1" x14ac:dyDescent="0.3">
      <c r="A104" s="251"/>
      <c r="B104" s="206" t="s">
        <v>32</v>
      </c>
      <c r="C104" s="275">
        <v>0</v>
      </c>
      <c r="D104" s="206"/>
      <c r="E104" s="207" t="s">
        <v>172</v>
      </c>
      <c r="F104" s="208"/>
      <c r="G104" s="209"/>
      <c r="H104" s="209"/>
      <c r="I104" s="209"/>
      <c r="J104" s="210"/>
      <c r="K104" s="211"/>
      <c r="L104" s="212"/>
      <c r="M104" s="209"/>
      <c r="N104" s="212"/>
      <c r="O104" s="210"/>
      <c r="P104" s="281"/>
    </row>
    <row r="105" spans="1:16" s="179" customFormat="1" ht="16.5" thickTop="1" thickBot="1" x14ac:dyDescent="0.3">
      <c r="A105" s="247"/>
      <c r="B105" s="188" t="s">
        <v>167</v>
      </c>
      <c r="C105" s="265"/>
      <c r="D105" s="266"/>
      <c r="E105" s="259" t="s">
        <v>65</v>
      </c>
      <c r="F105" s="278" t="s">
        <v>215</v>
      </c>
      <c r="G105" s="192"/>
      <c r="H105" s="192"/>
      <c r="I105" s="192"/>
      <c r="J105" s="193"/>
      <c r="K105" s="184" t="s">
        <v>31</v>
      </c>
      <c r="L105" s="197"/>
      <c r="M105" s="192"/>
      <c r="N105" s="197"/>
      <c r="O105" s="193"/>
      <c r="P105" s="282"/>
    </row>
    <row r="106" spans="1:16" s="179" customFormat="1" ht="30.75" thickTop="1" x14ac:dyDescent="0.25">
      <c r="A106" s="247">
        <v>41344.979027777779</v>
      </c>
      <c r="B106" s="188" t="s">
        <v>100</v>
      </c>
      <c r="C106" s="283" t="str">
        <f>F97&amp;"/"&amp;B99</f>
        <v>HANDL_NewContract/WrCSV</v>
      </c>
      <c r="D106" s="188"/>
      <c r="E106" s="189" t="s">
        <v>172</v>
      </c>
      <c r="F106" s="284" t="s">
        <v>216</v>
      </c>
      <c r="G106" s="270" t="s">
        <v>31</v>
      </c>
      <c r="H106" s="285" t="str">
        <f>F107</f>
        <v>NewOpp</v>
      </c>
      <c r="I106" s="192"/>
      <c r="J106" s="193"/>
      <c r="K106" s="269" t="s">
        <v>139</v>
      </c>
      <c r="L106" s="197" t="s">
        <v>31</v>
      </c>
      <c r="M106" s="195" t="s">
        <v>62</v>
      </c>
      <c r="N106" s="195" t="s">
        <v>64</v>
      </c>
      <c r="O106" s="193"/>
      <c r="P106" s="282"/>
    </row>
    <row r="107" spans="1:16" s="179" customFormat="1" x14ac:dyDescent="0.25">
      <c r="A107" s="247">
        <v>41344.938113425924</v>
      </c>
      <c r="B107" s="250" t="s">
        <v>135</v>
      </c>
      <c r="C107" s="270" t="str">
        <f>B106</f>
        <v>Adapt</v>
      </c>
      <c r="D107" s="188"/>
      <c r="E107" s="189" t="s">
        <v>172</v>
      </c>
      <c r="F107" s="277" t="str">
        <f>K106</f>
        <v>NewOpp</v>
      </c>
      <c r="G107" s="197" t="s">
        <v>202</v>
      </c>
      <c r="H107" s="204" t="s">
        <v>217</v>
      </c>
      <c r="I107" s="204" t="s">
        <v>218</v>
      </c>
      <c r="J107" s="193"/>
      <c r="K107" s="269" t="str">
        <f>F107</f>
        <v>NewOpp</v>
      </c>
      <c r="M107" s="192"/>
      <c r="N107" s="197"/>
      <c r="O107" s="193"/>
      <c r="P107" s="282"/>
    </row>
    <row r="108" spans="1:16" s="213" customFormat="1" x14ac:dyDescent="0.25">
      <c r="A108" s="251"/>
      <c r="B108" s="206" t="s">
        <v>32</v>
      </c>
      <c r="C108" s="275">
        <v>217</v>
      </c>
      <c r="D108" s="206"/>
      <c r="E108" s="207" t="s">
        <v>172</v>
      </c>
      <c r="F108" s="208"/>
      <c r="G108" s="209"/>
      <c r="H108" s="209"/>
      <c r="I108" s="209"/>
      <c r="J108" s="210"/>
      <c r="K108" s="211"/>
      <c r="L108" s="212"/>
      <c r="M108" s="209"/>
      <c r="N108" s="212"/>
      <c r="O108" s="210"/>
      <c r="P108" s="286"/>
    </row>
    <row r="109" spans="1:16" s="179" customFormat="1" x14ac:dyDescent="0.25">
      <c r="A109" s="185"/>
      <c r="B109" s="186" t="s">
        <v>167</v>
      </c>
      <c r="C109" s="268"/>
      <c r="D109" s="266"/>
      <c r="E109" s="189" t="s">
        <v>172</v>
      </c>
      <c r="F109" s="267" t="s">
        <v>219</v>
      </c>
      <c r="G109" s="192"/>
      <c r="H109" s="192"/>
      <c r="I109" s="192"/>
      <c r="J109" s="193"/>
      <c r="K109" s="184" t="s">
        <v>40</v>
      </c>
      <c r="L109" s="197"/>
      <c r="M109" s="192"/>
      <c r="N109" s="197"/>
      <c r="O109" s="193"/>
    </row>
    <row r="110" spans="1:16" x14ac:dyDescent="0.25">
      <c r="A110" s="263"/>
      <c r="B110" s="250" t="s">
        <v>220</v>
      </c>
      <c r="C110" s="248" t="s">
        <v>42</v>
      </c>
      <c r="D110" s="200"/>
      <c r="E110" s="225" t="s">
        <v>172</v>
      </c>
      <c r="F110" s="194"/>
      <c r="G110" s="197"/>
      <c r="H110" s="204"/>
      <c r="I110" s="204"/>
      <c r="J110" s="245"/>
      <c r="K110" s="246" t="s">
        <v>40</v>
      </c>
      <c r="L110" s="204"/>
      <c r="M110" s="204"/>
      <c r="N110" s="204"/>
      <c r="O110" s="245"/>
    </row>
    <row r="111" spans="1:16" x14ac:dyDescent="0.25">
      <c r="A111" s="263"/>
      <c r="B111" s="250" t="s">
        <v>135</v>
      </c>
      <c r="C111" s="264" t="s">
        <v>220</v>
      </c>
      <c r="D111" s="200"/>
      <c r="E111" s="225"/>
      <c r="F111" s="194" t="s">
        <v>221</v>
      </c>
      <c r="G111" s="197" t="s">
        <v>196</v>
      </c>
      <c r="H111" s="204" t="s">
        <v>197</v>
      </c>
      <c r="I111" s="204" t="s">
        <v>198</v>
      </c>
      <c r="J111" s="245"/>
      <c r="K111" s="246"/>
      <c r="L111" s="204"/>
      <c r="M111" s="204"/>
      <c r="N111" s="204"/>
      <c r="O111" s="245"/>
    </row>
    <row r="112" spans="1:16" s="235" customFormat="1" ht="15.75" thickBot="1" x14ac:dyDescent="0.3">
      <c r="A112" s="287"/>
      <c r="B112" s="228" t="s">
        <v>32</v>
      </c>
      <c r="C112" s="287"/>
      <c r="D112" s="228"/>
      <c r="E112" s="229" t="s">
        <v>172</v>
      </c>
      <c r="F112" s="230"/>
      <c r="G112" s="231"/>
      <c r="H112" s="231"/>
      <c r="I112" s="231"/>
      <c r="J112" s="232"/>
      <c r="K112" s="233"/>
      <c r="L112" s="234"/>
      <c r="M112" s="231"/>
      <c r="N112" s="234"/>
      <c r="O112" s="232"/>
    </row>
    <row r="113" spans="1:16" s="179" customFormat="1" ht="16.5" thickTop="1" thickBot="1" x14ac:dyDescent="0.3">
      <c r="A113" s="247"/>
      <c r="B113" s="188" t="s">
        <v>167</v>
      </c>
      <c r="C113" s="265"/>
      <c r="D113" s="266"/>
      <c r="E113" s="259" t="s">
        <v>65</v>
      </c>
      <c r="F113" s="267" t="s">
        <v>222</v>
      </c>
      <c r="G113" s="192"/>
      <c r="H113" s="192"/>
      <c r="I113" s="192"/>
      <c r="J113" s="193"/>
      <c r="K113" s="184" t="s">
        <v>48</v>
      </c>
      <c r="L113" s="197"/>
      <c r="M113" s="192"/>
      <c r="N113" s="197"/>
      <c r="O113" s="193"/>
    </row>
    <row r="114" spans="1:16" ht="15.75" thickTop="1" x14ac:dyDescent="0.25">
      <c r="A114" s="247">
        <v>41237.062696759262</v>
      </c>
      <c r="B114" s="250" t="s">
        <v>223</v>
      </c>
      <c r="C114" s="39" t="str">
        <f>F32&amp;"/"&amp;B34</f>
        <v>LOAD_1C_ACC/InsMyCol</v>
      </c>
      <c r="D114" s="200"/>
      <c r="E114" s="225" t="s">
        <v>172</v>
      </c>
      <c r="F114" s="194" t="s">
        <v>127</v>
      </c>
      <c r="G114" s="197"/>
      <c r="H114" s="204"/>
      <c r="I114" s="204"/>
      <c r="J114" s="245"/>
      <c r="K114" s="2" t="str">
        <f>K113</f>
        <v>Список клиентов 1C</v>
      </c>
      <c r="L114" s="204"/>
      <c r="M114" s="204"/>
      <c r="N114" s="195" t="s">
        <v>68</v>
      </c>
      <c r="O114" s="245"/>
    </row>
    <row r="115" spans="1:16" s="213" customFormat="1" ht="15.75" thickBot="1" x14ac:dyDescent="0.3">
      <c r="A115" s="251"/>
      <c r="B115" s="206" t="s">
        <v>32</v>
      </c>
      <c r="C115" s="252"/>
      <c r="D115" s="206"/>
      <c r="E115" s="207" t="s">
        <v>172</v>
      </c>
      <c r="F115" s="208"/>
      <c r="G115" s="209"/>
      <c r="H115" s="209"/>
      <c r="I115" s="209"/>
      <c r="J115" s="210"/>
      <c r="K115" s="211"/>
      <c r="L115" s="212"/>
      <c r="M115" s="209"/>
      <c r="N115" s="212"/>
      <c r="O115" s="210"/>
    </row>
    <row r="116" spans="1:16" s="179" customFormat="1" ht="16.5" thickTop="1" thickBot="1" x14ac:dyDescent="0.3">
      <c r="A116" s="247"/>
      <c r="B116" s="188" t="s">
        <v>167</v>
      </c>
      <c r="C116" s="265"/>
      <c r="D116" s="266"/>
      <c r="E116" s="259" t="s">
        <v>65</v>
      </c>
      <c r="F116" s="267" t="s">
        <v>224</v>
      </c>
      <c r="G116" s="192"/>
      <c r="H116" s="192"/>
      <c r="I116" s="192"/>
      <c r="J116" s="193"/>
      <c r="K116" s="184" t="s">
        <v>112</v>
      </c>
      <c r="L116" s="197"/>
      <c r="M116" s="192"/>
      <c r="N116" s="197"/>
      <c r="O116" s="193"/>
      <c r="P116" s="288"/>
    </row>
    <row r="117" spans="1:16" ht="15.75" thickTop="1" x14ac:dyDescent="0.25">
      <c r="A117" s="247">
        <v>41410.835046296299</v>
      </c>
      <c r="B117" s="250" t="s">
        <v>225</v>
      </c>
      <c r="C117" s="39" t="s">
        <v>66</v>
      </c>
      <c r="D117" s="200"/>
      <c r="E117" s="225" t="s">
        <v>172</v>
      </c>
      <c r="F117" s="289" t="s">
        <v>131</v>
      </c>
      <c r="G117" s="197"/>
      <c r="H117" s="204"/>
      <c r="I117" s="204"/>
      <c r="J117" s="245"/>
      <c r="K117" s="90" t="s">
        <v>99</v>
      </c>
      <c r="L117" s="290" t="s">
        <v>112</v>
      </c>
      <c r="M117" s="195" t="s">
        <v>79</v>
      </c>
      <c r="N117" s="195" t="s">
        <v>71</v>
      </c>
      <c r="O117" s="245"/>
      <c r="P117" s="291"/>
    </row>
    <row r="118" spans="1:16" s="179" customFormat="1" x14ac:dyDescent="0.25">
      <c r="A118" s="247"/>
      <c r="B118" s="250" t="s">
        <v>135</v>
      </c>
      <c r="C118" s="270" t="str">
        <f>B117</f>
        <v>BTO_Mail_track</v>
      </c>
      <c r="D118" s="188"/>
      <c r="E118" s="189" t="s">
        <v>172</v>
      </c>
      <c r="F118" s="289" t="str">
        <f>F117</f>
        <v>BTOlog</v>
      </c>
      <c r="G118" s="197" t="s">
        <v>202</v>
      </c>
      <c r="H118" s="204" t="s">
        <v>226</v>
      </c>
      <c r="I118" s="204" t="s">
        <v>227</v>
      </c>
      <c r="J118" s="193"/>
      <c r="K118" s="289" t="str">
        <f>F118</f>
        <v>BTOlog</v>
      </c>
      <c r="M118" s="192"/>
      <c r="N118" s="197"/>
      <c r="O118" s="193"/>
      <c r="P118" s="291"/>
    </row>
    <row r="119" spans="1:16" s="213" customFormat="1" ht="15.75" thickBot="1" x14ac:dyDescent="0.3">
      <c r="A119" s="251"/>
      <c r="B119" s="206" t="s">
        <v>32</v>
      </c>
      <c r="C119" s="252"/>
      <c r="D119" s="206"/>
      <c r="E119" s="207" t="s">
        <v>172</v>
      </c>
      <c r="F119" s="208"/>
      <c r="G119" s="209"/>
      <c r="H119" s="209"/>
      <c r="I119" s="209"/>
      <c r="J119" s="210"/>
      <c r="K119" s="211"/>
      <c r="L119" s="212"/>
      <c r="M119" s="209"/>
      <c r="N119" s="212"/>
      <c r="O119" s="210"/>
      <c r="P119" s="292"/>
    </row>
    <row r="120" spans="1:16" s="179" customFormat="1" ht="16.5" thickTop="1" thickBot="1" x14ac:dyDescent="0.3">
      <c r="A120" s="185"/>
      <c r="B120" s="186" t="s">
        <v>167</v>
      </c>
      <c r="C120" s="268"/>
      <c r="D120" s="266"/>
      <c r="E120" s="259" t="s">
        <v>65</v>
      </c>
      <c r="F120" s="267" t="s">
        <v>228</v>
      </c>
      <c r="G120" s="192"/>
      <c r="H120" s="192"/>
      <c r="I120" s="192"/>
      <c r="J120" s="193"/>
      <c r="K120" s="184" t="s">
        <v>71</v>
      </c>
      <c r="L120" s="197"/>
      <c r="M120" s="192"/>
      <c r="N120" s="197"/>
      <c r="O120" s="193"/>
      <c r="P120" s="293"/>
    </row>
    <row r="121" spans="1:16" ht="15.75" thickTop="1" x14ac:dyDescent="0.25">
      <c r="A121" s="185">
        <v>41499.705324074072</v>
      </c>
      <c r="B121" s="199" t="s">
        <v>100</v>
      </c>
      <c r="C121" s="227"/>
      <c r="D121" s="200"/>
      <c r="E121" s="225" t="s">
        <v>168</v>
      </c>
      <c r="F121" s="294" t="s">
        <v>148</v>
      </c>
      <c r="G121" s="295" t="str">
        <f>K120</f>
        <v>ADSKfrSF</v>
      </c>
      <c r="H121" s="296" t="s">
        <v>147</v>
      </c>
      <c r="J121" s="245"/>
      <c r="K121" s="296" t="str">
        <f>H121</f>
        <v>A_SN_1</v>
      </c>
      <c r="L121" s="56" t="str">
        <f>K120</f>
        <v>ADSKfrSF</v>
      </c>
      <c r="N121" s="197"/>
      <c r="O121" s="245"/>
      <c r="P121" s="297"/>
    </row>
    <row r="122" spans="1:16" x14ac:dyDescent="0.25">
      <c r="A122" s="185">
        <v>41502.225694444445</v>
      </c>
      <c r="B122" s="199" t="s">
        <v>72</v>
      </c>
      <c r="C122" s="227" t="str">
        <f>B121</f>
        <v>Adapt</v>
      </c>
      <c r="D122" s="200"/>
      <c r="E122" s="225" t="s">
        <v>168</v>
      </c>
      <c r="F122" s="298"/>
      <c r="G122" s="197"/>
      <c r="H122" s="204"/>
      <c r="I122" s="204"/>
      <c r="J122" s="245"/>
      <c r="K122" s="56" t="str">
        <f>L121</f>
        <v>ADSKfrSF</v>
      </c>
      <c r="L122" s="296" t="s">
        <v>149</v>
      </c>
      <c r="M122" s="296" t="s">
        <v>152</v>
      </c>
      <c r="N122" s="197"/>
      <c r="O122" s="245"/>
      <c r="P122" s="297"/>
    </row>
    <row r="123" spans="1:16" s="179" customFormat="1" x14ac:dyDescent="0.25">
      <c r="A123" s="247"/>
      <c r="B123" s="188" t="s">
        <v>192</v>
      </c>
      <c r="C123" s="261"/>
      <c r="D123" s="188"/>
      <c r="E123" s="189" t="s">
        <v>172</v>
      </c>
      <c r="F123" s="256" t="s">
        <v>168</v>
      </c>
      <c r="G123" s="196"/>
      <c r="H123" s="192"/>
      <c r="I123" s="192"/>
      <c r="J123" s="193"/>
      <c r="K123" s="194"/>
      <c r="L123" s="197"/>
      <c r="M123" s="192"/>
      <c r="N123" s="197"/>
      <c r="O123" s="193"/>
      <c r="P123" s="293"/>
    </row>
    <row r="124" spans="1:16" s="179" customFormat="1" x14ac:dyDescent="0.25">
      <c r="A124" s="247"/>
      <c r="B124" s="250" t="s">
        <v>135</v>
      </c>
      <c r="C124" s="270" t="str">
        <f>B121</f>
        <v>Adapt</v>
      </c>
      <c r="D124" s="188"/>
      <c r="E124" s="189" t="s">
        <v>172</v>
      </c>
      <c r="F124" s="298" t="str">
        <f>M122</f>
        <v>A_SN_3</v>
      </c>
      <c r="G124" s="197" t="s">
        <v>202</v>
      </c>
      <c r="H124" s="299" t="s">
        <v>226</v>
      </c>
      <c r="I124" s="299" t="s">
        <v>227</v>
      </c>
      <c r="J124" s="193"/>
      <c r="K124" s="298" t="str">
        <f>F124</f>
        <v>A_SN_3</v>
      </c>
      <c r="M124" s="192"/>
      <c r="N124" s="197"/>
      <c r="O124" s="193"/>
      <c r="P124" s="297"/>
    </row>
    <row r="125" spans="1:16" s="213" customFormat="1" ht="15.75" thickBot="1" x14ac:dyDescent="0.3">
      <c r="A125" s="251"/>
      <c r="B125" s="206" t="s">
        <v>32</v>
      </c>
      <c r="C125" s="252"/>
      <c r="D125" s="206"/>
      <c r="E125" s="207" t="s">
        <v>172</v>
      </c>
      <c r="F125" s="208"/>
      <c r="G125" s="209"/>
      <c r="H125" s="209"/>
      <c r="I125" s="209"/>
      <c r="J125" s="210"/>
      <c r="K125" s="211"/>
      <c r="L125" s="212"/>
      <c r="M125" s="209"/>
      <c r="N125" s="212"/>
      <c r="O125" s="210"/>
      <c r="P125" s="300"/>
    </row>
    <row r="126" spans="1:16" s="303" customFormat="1" ht="16.5" thickTop="1" thickBot="1" x14ac:dyDescent="0.3">
      <c r="A126" s="236">
        <v>41201.045671296299</v>
      </c>
      <c r="B126" s="237" t="s">
        <v>167</v>
      </c>
      <c r="C126" s="238"/>
      <c r="D126" s="239"/>
      <c r="E126" s="301" t="s">
        <v>65</v>
      </c>
      <c r="F126" s="302" t="s">
        <v>229</v>
      </c>
      <c r="G126" s="239"/>
      <c r="H126" s="239"/>
      <c r="I126" s="239"/>
      <c r="J126" s="242"/>
      <c r="K126" s="262" t="str">
        <f>K15</f>
        <v>Платежи</v>
      </c>
      <c r="L126" s="244"/>
      <c r="M126" s="239"/>
      <c r="N126" s="244"/>
      <c r="O126" s="242"/>
    </row>
    <row r="127" spans="1:16" s="179" customFormat="1" ht="16.5" thickTop="1" thickBot="1" x14ac:dyDescent="0.3">
      <c r="A127" s="185">
        <v>41289.96565972222</v>
      </c>
      <c r="B127" s="199" t="s">
        <v>230</v>
      </c>
      <c r="C127" s="304"/>
      <c r="D127" s="188"/>
      <c r="E127" s="203" t="s">
        <v>168</v>
      </c>
      <c r="F127" s="194" t="str">
        <f>F97</f>
        <v>HANDL_NewContract</v>
      </c>
      <c r="G127" s="305" t="str">
        <f>F126</f>
        <v>WP_PaidOpp</v>
      </c>
      <c r="H127" s="305" t="str">
        <f>B133</f>
        <v>WP_Paid</v>
      </c>
      <c r="I127" s="306">
        <v>7</v>
      </c>
      <c r="J127" s="193"/>
      <c r="K127" s="194"/>
      <c r="L127" s="197"/>
      <c r="M127" s="192"/>
      <c r="N127" s="197"/>
      <c r="O127" s="193"/>
    </row>
    <row r="128" spans="1:16" s="179" customFormat="1" x14ac:dyDescent="0.25">
      <c r="A128" s="185">
        <v>41289.96565972222</v>
      </c>
      <c r="B128" s="186" t="s">
        <v>231</v>
      </c>
      <c r="C128" s="279" t="str">
        <f>B127</f>
        <v>ProcReset</v>
      </c>
      <c r="D128" s="188"/>
      <c r="E128" s="189" t="s">
        <v>168</v>
      </c>
      <c r="F128" s="307">
        <f>C100</f>
        <v>13</v>
      </c>
      <c r="G128" s="196"/>
      <c r="H128" s="192"/>
      <c r="I128" s="192"/>
      <c r="J128" s="193"/>
      <c r="K128" s="194"/>
      <c r="L128" s="197"/>
      <c r="M128" s="192"/>
      <c r="N128" s="197"/>
      <c r="O128" s="193"/>
    </row>
    <row r="129" spans="1:15" s="179" customFormat="1" x14ac:dyDescent="0.25">
      <c r="A129" s="185">
        <v>41289.965682870374</v>
      </c>
      <c r="B129" s="199" t="s">
        <v>230</v>
      </c>
      <c r="C129" s="304"/>
      <c r="D129" s="188"/>
      <c r="E129" s="203" t="s">
        <v>168</v>
      </c>
      <c r="F129" s="194" t="str">
        <f>F93</f>
        <v>HANDL_PaidContr</v>
      </c>
      <c r="G129" s="196"/>
      <c r="H129" s="192"/>
      <c r="I129" s="192"/>
      <c r="J129" s="193"/>
      <c r="K129" s="194"/>
      <c r="L129" s="197"/>
      <c r="M129" s="192"/>
      <c r="N129" s="197"/>
      <c r="O129" s="193"/>
    </row>
    <row r="130" spans="1:15" s="179" customFormat="1" x14ac:dyDescent="0.25">
      <c r="A130" s="247"/>
      <c r="B130" s="188" t="s">
        <v>231</v>
      </c>
      <c r="C130" s="270" t="str">
        <f>B128</f>
        <v>CheckProc0</v>
      </c>
      <c r="D130" s="188"/>
      <c r="E130" s="189" t="s">
        <v>172</v>
      </c>
      <c r="F130" s="308">
        <f>C96</f>
        <v>0</v>
      </c>
      <c r="G130" s="196"/>
      <c r="H130" s="192"/>
      <c r="I130" s="192"/>
      <c r="J130" s="193"/>
      <c r="K130" s="194"/>
      <c r="L130" s="197"/>
      <c r="M130" s="192"/>
      <c r="N130" s="197"/>
      <c r="O130" s="193"/>
    </row>
    <row r="131" spans="1:15" s="179" customFormat="1" x14ac:dyDescent="0.25">
      <c r="A131" s="247"/>
      <c r="B131" s="188" t="s">
        <v>200</v>
      </c>
      <c r="C131" s="265"/>
      <c r="D131" s="266"/>
      <c r="E131" s="189" t="s">
        <v>172</v>
      </c>
      <c r="F131" s="269" t="s">
        <v>139</v>
      </c>
      <c r="G131" s="192"/>
      <c r="H131" s="192"/>
      <c r="I131" s="192"/>
      <c r="J131" s="193"/>
      <c r="K131" s="269" t="str">
        <f>F131</f>
        <v>NewOpp</v>
      </c>
      <c r="L131" s="197"/>
      <c r="M131" s="192"/>
      <c r="N131" s="197"/>
      <c r="O131" s="193"/>
    </row>
    <row r="132" spans="1:15" s="179" customFormat="1" x14ac:dyDescent="0.25">
      <c r="A132" s="247"/>
      <c r="B132" s="188" t="s">
        <v>200</v>
      </c>
      <c r="C132" s="265"/>
      <c r="D132" s="266"/>
      <c r="E132" s="189" t="s">
        <v>172</v>
      </c>
      <c r="F132" s="269" t="s">
        <v>134</v>
      </c>
      <c r="G132" s="192"/>
      <c r="H132" s="192"/>
      <c r="I132" s="192"/>
      <c r="J132" s="193"/>
      <c r="K132" s="269" t="str">
        <f>F132</f>
        <v>NewPayment</v>
      </c>
      <c r="L132" s="197"/>
      <c r="M132" s="192"/>
      <c r="N132" s="197"/>
      <c r="O132" s="193"/>
    </row>
    <row r="133" spans="1:15" s="179" customFormat="1" ht="15.75" thickBot="1" x14ac:dyDescent="0.3">
      <c r="A133" s="309"/>
      <c r="B133" s="310" t="s">
        <v>232</v>
      </c>
      <c r="C133" s="311" t="str">
        <f>B128</f>
        <v>CheckProc0</v>
      </c>
      <c r="D133" s="310"/>
      <c r="E133" s="312" t="s">
        <v>172</v>
      </c>
      <c r="F133" s="313" t="s">
        <v>233</v>
      </c>
      <c r="G133" s="314" t="s">
        <v>172</v>
      </c>
      <c r="H133" s="315"/>
      <c r="I133" s="315"/>
      <c r="J133" s="316"/>
      <c r="K133" s="317" t="str">
        <f>K126</f>
        <v>Платежи</v>
      </c>
      <c r="L133" s="318" t="s">
        <v>68</v>
      </c>
      <c r="M133" s="318" t="s">
        <v>64</v>
      </c>
      <c r="N133" s="318" t="s">
        <v>62</v>
      </c>
      <c r="O133" s="316"/>
    </row>
    <row r="134" spans="1:15" s="179" customFormat="1" ht="15.75" thickTop="1" x14ac:dyDescent="0.25">
      <c r="A134" s="247"/>
      <c r="B134" s="250" t="s">
        <v>135</v>
      </c>
      <c r="C134" s="270" t="str">
        <f>B133</f>
        <v>WP_Paid</v>
      </c>
      <c r="D134" s="188"/>
      <c r="E134" s="189" t="s">
        <v>172</v>
      </c>
      <c r="F134" s="269" t="s">
        <v>139</v>
      </c>
      <c r="G134" s="197" t="s">
        <v>202</v>
      </c>
      <c r="H134" s="204" t="s">
        <v>217</v>
      </c>
      <c r="I134" s="204" t="s">
        <v>218</v>
      </c>
      <c r="J134" s="193"/>
      <c r="K134" s="269" t="str">
        <f>F134</f>
        <v>NewOpp</v>
      </c>
      <c r="L134" s="197"/>
      <c r="M134" s="192"/>
      <c r="N134" s="197"/>
      <c r="O134" s="193"/>
    </row>
    <row r="135" spans="1:15" s="179" customFormat="1" x14ac:dyDescent="0.25">
      <c r="A135" s="247"/>
      <c r="B135" s="250" t="s">
        <v>135</v>
      </c>
      <c r="C135" s="270" t="str">
        <f>B133</f>
        <v>WP_Paid</v>
      </c>
      <c r="D135" s="188"/>
      <c r="E135" s="189" t="s">
        <v>172</v>
      </c>
      <c r="F135" s="269" t="s">
        <v>134</v>
      </c>
      <c r="G135" s="197" t="s">
        <v>202</v>
      </c>
      <c r="H135" s="204" t="s">
        <v>203</v>
      </c>
      <c r="I135" s="204" t="s">
        <v>204</v>
      </c>
      <c r="J135" s="193"/>
      <c r="K135" s="269" t="str">
        <f>F135</f>
        <v>NewPayment</v>
      </c>
      <c r="L135" s="197"/>
      <c r="M135" s="192"/>
      <c r="N135" s="197"/>
      <c r="O135" s="193"/>
    </row>
    <row r="136" spans="1:15" s="182" customFormat="1" x14ac:dyDescent="0.25">
      <c r="A136" s="319"/>
      <c r="B136" s="250" t="s">
        <v>32</v>
      </c>
      <c r="C136" s="320">
        <v>0</v>
      </c>
      <c r="D136" s="250"/>
      <c r="E136" s="201" t="s">
        <v>172</v>
      </c>
      <c r="F136" s="321"/>
      <c r="G136" s="192"/>
      <c r="H136" s="192"/>
      <c r="I136" s="192"/>
      <c r="J136" s="193"/>
      <c r="K136" s="194"/>
      <c r="L136" s="197"/>
      <c r="M136" s="192"/>
      <c r="N136" s="197"/>
      <c r="O136" s="193"/>
    </row>
    <row r="137" spans="1:15" s="325" customFormat="1" ht="15.75" thickBot="1" x14ac:dyDescent="0.3">
      <c r="A137" s="253">
        <v>41201.045671296299</v>
      </c>
      <c r="B137" s="254" t="s">
        <v>167</v>
      </c>
      <c r="C137" s="255"/>
      <c r="D137" s="216"/>
      <c r="E137" s="322" t="s">
        <v>65</v>
      </c>
      <c r="F137" s="323" t="s">
        <v>234</v>
      </c>
      <c r="G137" s="216"/>
      <c r="H137" s="216"/>
      <c r="I137" s="216"/>
      <c r="J137" s="219"/>
      <c r="K137" s="324" t="s">
        <v>31</v>
      </c>
      <c r="L137" s="221"/>
      <c r="M137" s="216"/>
      <c r="N137" s="221"/>
      <c r="O137" s="219"/>
    </row>
    <row r="138" spans="1:15" s="179" customFormat="1" ht="15.75" thickTop="1" x14ac:dyDescent="0.25">
      <c r="A138" s="185">
        <v>41218.822870370372</v>
      </c>
      <c r="B138" s="186" t="s">
        <v>200</v>
      </c>
      <c r="C138" s="268"/>
      <c r="D138" s="266"/>
      <c r="E138" s="189"/>
      <c r="F138" s="269" t="s">
        <v>141</v>
      </c>
      <c r="G138" s="192"/>
      <c r="H138" s="192"/>
      <c r="I138" s="192"/>
      <c r="J138" s="193"/>
      <c r="K138" s="269" t="str">
        <f>F138</f>
        <v>NewAcc</v>
      </c>
      <c r="L138" s="197"/>
      <c r="M138" s="192"/>
      <c r="N138" s="197"/>
      <c r="O138" s="193"/>
    </row>
    <row r="139" spans="1:15" s="179" customFormat="1" x14ac:dyDescent="0.25">
      <c r="A139" s="185"/>
      <c r="B139" s="186" t="s">
        <v>235</v>
      </c>
      <c r="C139" s="270" t="str">
        <f>B138</f>
        <v>NewSheet</v>
      </c>
      <c r="D139" s="266"/>
      <c r="E139" s="189"/>
      <c r="F139" s="326"/>
      <c r="G139" s="192"/>
      <c r="H139" s="192"/>
      <c r="I139" s="192"/>
      <c r="J139" s="193"/>
      <c r="K139" s="269"/>
      <c r="L139" s="197"/>
      <c r="M139" s="192"/>
      <c r="N139" s="197"/>
      <c r="O139" s="193"/>
    </row>
    <row r="140" spans="1:15" s="179" customFormat="1" x14ac:dyDescent="0.25">
      <c r="A140" s="247"/>
      <c r="B140" s="188" t="s">
        <v>192</v>
      </c>
      <c r="C140" s="261"/>
      <c r="D140" s="188"/>
      <c r="E140" s="189" t="s">
        <v>172</v>
      </c>
      <c r="F140" s="256" t="s">
        <v>65</v>
      </c>
      <c r="G140" s="196" t="s">
        <v>193</v>
      </c>
      <c r="H140" s="192"/>
      <c r="I140" s="192"/>
      <c r="J140" s="193"/>
      <c r="K140" s="194"/>
      <c r="L140" s="197"/>
      <c r="M140" s="192"/>
      <c r="N140" s="197"/>
      <c r="O140" s="193"/>
    </row>
    <row r="141" spans="1:15" s="179" customFormat="1" ht="15.75" thickBot="1" x14ac:dyDescent="0.3">
      <c r="A141" s="309">
        <v>41218.824293981481</v>
      </c>
      <c r="B141" s="310" t="s">
        <v>232</v>
      </c>
      <c r="C141" s="311" t="str">
        <f>B139</f>
        <v>SFaccDicBuild</v>
      </c>
      <c r="D141" s="310"/>
      <c r="E141" s="312" t="s">
        <v>172</v>
      </c>
      <c r="F141" s="313" t="s">
        <v>236</v>
      </c>
      <c r="G141" s="327"/>
      <c r="H141" s="315"/>
      <c r="I141" s="315"/>
      <c r="J141" s="316"/>
      <c r="K141" s="317" t="str">
        <f>K137</f>
        <v>Платежи</v>
      </c>
      <c r="L141" s="318">
        <v>0</v>
      </c>
      <c r="M141" s="318">
        <v>0</v>
      </c>
      <c r="N141" s="318">
        <v>0</v>
      </c>
      <c r="O141" s="316"/>
    </row>
    <row r="142" spans="1:15" s="179" customFormat="1" ht="15.75" thickTop="1" x14ac:dyDescent="0.25">
      <c r="A142" s="247">
        <v>41218.824293981481</v>
      </c>
      <c r="B142" s="250" t="s">
        <v>135</v>
      </c>
      <c r="C142" s="270" t="str">
        <f>B141</f>
        <v>WP_Paid</v>
      </c>
      <c r="D142" s="188"/>
      <c r="E142" s="189" t="s">
        <v>172</v>
      </c>
      <c r="F142" s="269" t="str">
        <f>F138</f>
        <v>NewAcc</v>
      </c>
      <c r="G142" s="197" t="s">
        <v>202</v>
      </c>
      <c r="H142" s="204" t="s">
        <v>217</v>
      </c>
      <c r="I142" s="204" t="s">
        <v>218</v>
      </c>
      <c r="J142" s="193"/>
      <c r="K142" s="269" t="str">
        <f>F142</f>
        <v>NewAcc</v>
      </c>
      <c r="L142" s="197"/>
      <c r="M142" s="192"/>
      <c r="N142" s="197"/>
      <c r="O142" s="193"/>
    </row>
    <row r="143" spans="1:15" s="213" customFormat="1" x14ac:dyDescent="0.25">
      <c r="A143" s="251"/>
      <c r="B143" s="206" t="s">
        <v>32</v>
      </c>
      <c r="C143" s="252">
        <v>5</v>
      </c>
      <c r="D143" s="206"/>
      <c r="E143" s="207" t="s">
        <v>172</v>
      </c>
      <c r="F143" s="208"/>
      <c r="G143" s="209"/>
      <c r="H143" s="209"/>
      <c r="I143" s="209"/>
      <c r="J143" s="210"/>
      <c r="K143" s="211"/>
      <c r="L143" s="212"/>
      <c r="M143" s="209"/>
      <c r="N143" s="212"/>
      <c r="O143" s="210"/>
    </row>
    <row r="144" spans="1:15" s="179" customFormat="1" x14ac:dyDescent="0.25">
      <c r="A144" s="247"/>
      <c r="B144" s="188" t="s">
        <v>167</v>
      </c>
      <c r="C144" s="265"/>
      <c r="D144" s="266"/>
      <c r="E144" s="189" t="s">
        <v>172</v>
      </c>
      <c r="F144" s="267" t="s">
        <v>237</v>
      </c>
      <c r="G144" s="192"/>
      <c r="H144" s="192"/>
      <c r="I144" s="192"/>
      <c r="J144" s="193"/>
      <c r="K144" s="184" t="s">
        <v>31</v>
      </c>
      <c r="L144" s="197"/>
      <c r="M144" s="192"/>
      <c r="N144" s="197"/>
      <c r="O144" s="193"/>
    </row>
    <row r="145" spans="1:15" s="179" customFormat="1" x14ac:dyDescent="0.25">
      <c r="A145" s="263"/>
      <c r="B145" s="188" t="s">
        <v>192</v>
      </c>
      <c r="C145" s="261"/>
      <c r="D145" s="188"/>
      <c r="E145" s="189"/>
      <c r="F145" s="256" t="s">
        <v>168</v>
      </c>
      <c r="G145" s="196"/>
      <c r="H145" s="192"/>
      <c r="I145" s="192"/>
      <c r="J145" s="193"/>
      <c r="K145" s="194"/>
      <c r="L145" s="197"/>
      <c r="M145" s="192"/>
      <c r="N145" s="197"/>
      <c r="O145" s="193"/>
    </row>
    <row r="146" spans="1:15" ht="30" x14ac:dyDescent="0.25">
      <c r="A146" s="263"/>
      <c r="B146" s="250" t="s">
        <v>238</v>
      </c>
      <c r="C146" s="248" t="s">
        <v>195</v>
      </c>
      <c r="D146" s="200"/>
      <c r="E146" s="225" t="s">
        <v>172</v>
      </c>
      <c r="F146" s="194"/>
      <c r="G146" s="197"/>
      <c r="H146" s="204"/>
      <c r="I146" s="204"/>
      <c r="J146" s="245"/>
      <c r="K146" s="246" t="s">
        <v>31</v>
      </c>
      <c r="L146" s="204" t="s">
        <v>64</v>
      </c>
      <c r="M146" s="204"/>
      <c r="N146" s="204"/>
      <c r="O146" s="245"/>
    </row>
    <row r="147" spans="1:15" s="213" customFormat="1" x14ac:dyDescent="0.25">
      <c r="A147" s="251"/>
      <c r="B147" s="206" t="s">
        <v>32</v>
      </c>
      <c r="C147" s="252"/>
      <c r="D147" s="206"/>
      <c r="E147" s="207" t="s">
        <v>172</v>
      </c>
      <c r="F147" s="208"/>
      <c r="G147" s="209"/>
      <c r="H147" s="209"/>
      <c r="I147" s="209"/>
      <c r="J147" s="210"/>
      <c r="K147" s="211"/>
      <c r="L147" s="212"/>
      <c r="M147" s="209"/>
      <c r="N147" s="212"/>
      <c r="O147" s="210"/>
    </row>
    <row r="148" spans="1:15" s="22" customFormat="1" x14ac:dyDescent="0.25">
      <c r="A148" s="328"/>
      <c r="B148" s="329" t="s">
        <v>118</v>
      </c>
      <c r="C148" s="330" t="s">
        <v>119</v>
      </c>
      <c r="D148" s="254"/>
      <c r="E148" s="331"/>
      <c r="F148" s="332"/>
      <c r="G148" s="333"/>
      <c r="H148" s="333"/>
      <c r="I148" s="333"/>
      <c r="J148" s="334"/>
      <c r="K148" s="332" t="s">
        <v>239</v>
      </c>
      <c r="L148" s="333"/>
      <c r="M148" s="333"/>
      <c r="N148" s="333"/>
      <c r="O148" s="334"/>
    </row>
    <row r="149" spans="1:15" x14ac:dyDescent="0.25">
      <c r="A149" s="335"/>
      <c r="B149" s="336">
        <v>1043</v>
      </c>
      <c r="C149" s="337"/>
      <c r="D149" s="200"/>
      <c r="E149" s="189"/>
      <c r="F149" s="249"/>
      <c r="G149" s="204"/>
      <c r="H149" s="204"/>
      <c r="I149" s="204"/>
      <c r="J149" s="205"/>
      <c r="K149" s="249" t="s">
        <v>239</v>
      </c>
      <c r="L149" s="204"/>
      <c r="M149" s="204"/>
      <c r="N149" s="204"/>
      <c r="O149" s="205"/>
    </row>
    <row r="150" spans="1:15" s="22" customFormat="1" ht="15.75" thickBot="1" x14ac:dyDescent="0.3">
      <c r="A150" s="73"/>
      <c r="B150" s="338" t="s">
        <v>118</v>
      </c>
      <c r="C150" s="339" t="s">
        <v>119</v>
      </c>
      <c r="D150" s="71"/>
      <c r="E150" s="340"/>
      <c r="F150" s="341"/>
      <c r="G150" s="342"/>
      <c r="H150" s="342"/>
      <c r="I150" s="342"/>
      <c r="J150" s="343"/>
      <c r="K150" s="341" t="s">
        <v>120</v>
      </c>
      <c r="L150" s="342"/>
      <c r="M150" s="342"/>
      <c r="N150" s="342"/>
      <c r="O150" s="343"/>
    </row>
    <row r="151" spans="1:15" x14ac:dyDescent="0.25">
      <c r="A151" s="41"/>
    </row>
    <row r="152" spans="1:15" s="179" customFormat="1" x14ac:dyDescent="0.25">
      <c r="A152" s="247"/>
      <c r="B152" s="188" t="s">
        <v>192</v>
      </c>
      <c r="C152" s="261"/>
      <c r="D152" s="188"/>
      <c r="E152" s="189" t="s">
        <v>172</v>
      </c>
      <c r="F152" s="256" t="s">
        <v>65</v>
      </c>
      <c r="G152" s="196" t="s">
        <v>193</v>
      </c>
      <c r="H152" s="192"/>
      <c r="I152" s="192"/>
      <c r="J152" s="193"/>
      <c r="K152" s="194"/>
      <c r="L152" s="197"/>
      <c r="M152" s="192"/>
      <c r="N152" s="197"/>
      <c r="O152" s="193"/>
    </row>
    <row r="154" spans="1:15" ht="45" hidden="1" outlineLevel="1" x14ac:dyDescent="0.25">
      <c r="A154" s="247">
        <v>41217.705717592595</v>
      </c>
      <c r="B154" s="188" t="s">
        <v>240</v>
      </c>
      <c r="C154" s="248" t="s">
        <v>241</v>
      </c>
      <c r="D154" s="204"/>
      <c r="E154" s="225" t="s">
        <v>172</v>
      </c>
      <c r="F154" s="256" t="s">
        <v>62</v>
      </c>
      <c r="G154" s="197" t="s">
        <v>40</v>
      </c>
      <c r="H154" s="196" t="s">
        <v>164</v>
      </c>
      <c r="I154" s="196" t="s">
        <v>185</v>
      </c>
      <c r="J154" s="245"/>
      <c r="L154" s="195" t="s">
        <v>62</v>
      </c>
      <c r="M154" s="204"/>
      <c r="N154" s="204"/>
      <c r="O154" s="245"/>
    </row>
    <row r="155" spans="1:15" collapsed="1" x14ac:dyDescent="0.25"/>
    <row r="157" spans="1:15" s="32" customFormat="1" hidden="1" outlineLevel="1" x14ac:dyDescent="0.25">
      <c r="A157" s="247">
        <v>41217.684374999997</v>
      </c>
      <c r="B157" s="188" t="s">
        <v>84</v>
      </c>
      <c r="C157" s="248" t="s">
        <v>66</v>
      </c>
      <c r="D157" s="188"/>
      <c r="E157" s="189" t="s">
        <v>172</v>
      </c>
      <c r="F157" s="190" t="s">
        <v>173</v>
      </c>
      <c r="G157" s="191" t="s">
        <v>174</v>
      </c>
      <c r="H157" s="192"/>
      <c r="I157" s="192"/>
      <c r="J157" s="205"/>
      <c r="K157" s="194">
        <v>0</v>
      </c>
      <c r="L157" s="195" t="s">
        <v>68</v>
      </c>
      <c r="M157" s="195" t="s">
        <v>62</v>
      </c>
      <c r="N157" s="204"/>
      <c r="O157" s="205"/>
    </row>
    <row r="158" spans="1:15" collapsed="1" x14ac:dyDescent="0.25"/>
    <row r="160" spans="1:15" s="32" customFormat="1" hidden="1" outlineLevel="1" x14ac:dyDescent="0.25">
      <c r="A160" s="247">
        <v>41227.065937500003</v>
      </c>
      <c r="B160" s="188" t="s">
        <v>242</v>
      </c>
      <c r="C160" s="257" t="str">
        <f>B68</f>
        <v>InsMyCol</v>
      </c>
      <c r="D160" s="188"/>
      <c r="E160" s="189" t="s">
        <v>172</v>
      </c>
      <c r="F160" s="256" t="s">
        <v>185</v>
      </c>
      <c r="G160" s="196" t="s">
        <v>59</v>
      </c>
      <c r="H160" s="196" t="s">
        <v>243</v>
      </c>
      <c r="I160" s="196" t="s">
        <v>244</v>
      </c>
      <c r="J160" s="258"/>
      <c r="K160" s="260" t="str">
        <f>K66</f>
        <v>Склад</v>
      </c>
      <c r="L160" s="197" t="s">
        <v>31</v>
      </c>
      <c r="M160" s="204"/>
      <c r="N160" s="179"/>
      <c r="O160" s="193"/>
    </row>
    <row r="161" collapsed="1" x14ac:dyDescent="0.25"/>
  </sheetData>
  <autoFilter ref="A4:O150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16" workbookViewId="0">
      <selection activeCell="I31" sqref="I31"/>
    </sheetView>
  </sheetViews>
  <sheetFormatPr defaultColWidth="9.140625" defaultRowHeight="15" x14ac:dyDescent="0.25"/>
  <cols>
    <col min="1" max="1" width="19.28515625" style="346" customWidth="1"/>
    <col min="2" max="2" width="20.85546875" style="350" customWidth="1"/>
    <col min="3" max="3" width="30.28515625" style="346" customWidth="1"/>
    <col min="4" max="4" width="17.5703125" style="346" customWidth="1"/>
    <col min="5" max="5" width="32.7109375" style="346" customWidth="1"/>
    <col min="6" max="6" width="22.85546875" style="347" customWidth="1"/>
    <col min="7" max="7" width="16.28515625" style="348" customWidth="1"/>
    <col min="8" max="10" width="9.140625" style="346" customWidth="1"/>
    <col min="11" max="11" width="13" style="346" customWidth="1"/>
    <col min="12" max="12" width="9.140625" style="346" customWidth="1"/>
    <col min="13" max="13" width="19.42578125" style="346" customWidth="1"/>
    <col min="14" max="15" width="18.42578125" style="346" customWidth="1"/>
    <col min="16" max="16" width="19.140625" style="346" customWidth="1"/>
    <col min="17" max="16384" width="9.140625" style="346"/>
  </cols>
  <sheetData>
    <row r="1" spans="1:3" x14ac:dyDescent="0.25">
      <c r="A1" s="344" t="s">
        <v>245</v>
      </c>
      <c r="B1" s="345" t="s">
        <v>246</v>
      </c>
    </row>
    <row r="2" spans="1:3" x14ac:dyDescent="0.25">
      <c r="A2" s="349" t="s">
        <v>247</v>
      </c>
      <c r="B2" s="350" t="s">
        <v>248</v>
      </c>
    </row>
    <row r="3" spans="1:3" x14ac:dyDescent="0.25">
      <c r="A3" s="349" t="s">
        <v>249</v>
      </c>
      <c r="B3" s="351" t="s">
        <v>250</v>
      </c>
      <c r="C3" s="352" t="s">
        <v>251</v>
      </c>
    </row>
    <row r="4" spans="1:3" x14ac:dyDescent="0.25">
      <c r="A4" s="349" t="s">
        <v>252</v>
      </c>
      <c r="B4" s="350" t="s">
        <v>253</v>
      </c>
    </row>
    <row r="5" spans="1:3" x14ac:dyDescent="0.25">
      <c r="A5" s="352" t="s">
        <v>254</v>
      </c>
      <c r="B5" s="351" t="s">
        <v>255</v>
      </c>
    </row>
    <row r="6" spans="1:3" x14ac:dyDescent="0.25">
      <c r="A6" s="352" t="s">
        <v>1246</v>
      </c>
      <c r="B6" s="351" t="s">
        <v>1245</v>
      </c>
    </row>
    <row r="7" spans="1:3" x14ac:dyDescent="0.25">
      <c r="A7" s="352" t="s">
        <v>256</v>
      </c>
      <c r="B7" s="351" t="s">
        <v>257</v>
      </c>
    </row>
    <row r="8" spans="1:3" x14ac:dyDescent="0.25">
      <c r="A8" s="352"/>
      <c r="B8" s="353"/>
    </row>
    <row r="9" spans="1:3" x14ac:dyDescent="0.25">
      <c r="A9" s="352" t="s">
        <v>258</v>
      </c>
      <c r="B9" s="353"/>
    </row>
    <row r="10" spans="1:3" x14ac:dyDescent="0.25">
      <c r="A10" s="344" t="s">
        <v>259</v>
      </c>
      <c r="B10" s="345" t="s">
        <v>260</v>
      </c>
    </row>
    <row r="11" spans="1:3" x14ac:dyDescent="0.25">
      <c r="A11" s="349" t="s">
        <v>261</v>
      </c>
      <c r="B11" s="350" t="s">
        <v>262</v>
      </c>
    </row>
    <row r="12" spans="1:3" x14ac:dyDescent="0.25">
      <c r="A12" s="349" t="s">
        <v>263</v>
      </c>
      <c r="B12" s="350" t="s">
        <v>264</v>
      </c>
    </row>
    <row r="13" spans="1:3" x14ac:dyDescent="0.25">
      <c r="A13" s="349" t="s">
        <v>265</v>
      </c>
      <c r="B13" s="350" t="s">
        <v>262</v>
      </c>
    </row>
    <row r="14" spans="1:3" x14ac:dyDescent="0.25">
      <c r="A14" s="352" t="s">
        <v>266</v>
      </c>
      <c r="B14" s="351" t="s">
        <v>267</v>
      </c>
    </row>
    <row r="15" spans="1:3" x14ac:dyDescent="0.25">
      <c r="A15" s="352" t="s">
        <v>268</v>
      </c>
      <c r="B15" s="351" t="s">
        <v>269</v>
      </c>
    </row>
    <row r="16" spans="1:3" x14ac:dyDescent="0.25">
      <c r="A16" s="352"/>
      <c r="B16" s="353"/>
    </row>
    <row r="17" spans="1:7" x14ac:dyDescent="0.25">
      <c r="A17" s="354" t="s">
        <v>270</v>
      </c>
      <c r="B17" s="345" t="s">
        <v>271</v>
      </c>
      <c r="C17" s="354" t="s">
        <v>272</v>
      </c>
      <c r="D17" s="354" t="s">
        <v>273</v>
      </c>
      <c r="E17" s="354" t="s">
        <v>274</v>
      </c>
      <c r="F17" s="355" t="s">
        <v>275</v>
      </c>
      <c r="G17" s="356" t="s">
        <v>276</v>
      </c>
    </row>
    <row r="18" spans="1:7" x14ac:dyDescent="0.25">
      <c r="A18" s="357" t="s">
        <v>277</v>
      </c>
      <c r="B18" s="358" t="s">
        <v>278</v>
      </c>
      <c r="C18" s="359" t="s">
        <v>279</v>
      </c>
      <c r="D18" s="360" t="s">
        <v>280</v>
      </c>
      <c r="E18" s="361" t="s">
        <v>281</v>
      </c>
      <c r="F18" s="362" t="s">
        <v>282</v>
      </c>
      <c r="G18" s="348">
        <v>0</v>
      </c>
    </row>
    <row r="19" spans="1:7" x14ac:dyDescent="0.25">
      <c r="A19" s="357"/>
      <c r="B19" s="358" t="s">
        <v>1237</v>
      </c>
      <c r="C19" s="359"/>
      <c r="D19" s="360"/>
      <c r="E19" s="361"/>
      <c r="F19" s="362"/>
    </row>
    <row r="20" spans="1:7" ht="50.25" customHeight="1" x14ac:dyDescent="0.25">
      <c r="A20" s="363" t="s">
        <v>283</v>
      </c>
      <c r="B20" s="364" t="s">
        <v>284</v>
      </c>
      <c r="C20" s="365" t="s">
        <v>285</v>
      </c>
      <c r="D20" s="360" t="s">
        <v>286</v>
      </c>
      <c r="E20" s="366" t="s">
        <v>287</v>
      </c>
      <c r="F20" s="367" t="s">
        <v>288</v>
      </c>
      <c r="G20" s="368">
        <v>0</v>
      </c>
    </row>
    <row r="21" spans="1:7" x14ac:dyDescent="0.25">
      <c r="A21" s="357" t="s">
        <v>289</v>
      </c>
      <c r="B21" s="358"/>
      <c r="C21" s="359" t="s">
        <v>279</v>
      </c>
      <c r="D21" s="360" t="s">
        <v>280</v>
      </c>
      <c r="E21" s="366"/>
      <c r="F21" s="369" t="s">
        <v>290</v>
      </c>
      <c r="G21" s="368">
        <v>1</v>
      </c>
    </row>
    <row r="22" spans="1:7" x14ac:dyDescent="0.25">
      <c r="A22" s="357" t="s">
        <v>291</v>
      </c>
      <c r="B22" s="358" t="s">
        <v>292</v>
      </c>
      <c r="C22" s="359" t="s">
        <v>293</v>
      </c>
      <c r="D22" s="346" t="s">
        <v>294</v>
      </c>
      <c r="E22" s="359"/>
      <c r="F22" s="362" t="s">
        <v>295</v>
      </c>
      <c r="G22" s="348">
        <v>0</v>
      </c>
    </row>
    <row r="23" spans="1:7" x14ac:dyDescent="0.25">
      <c r="A23" s="357" t="s">
        <v>296</v>
      </c>
      <c r="B23" s="358" t="s">
        <v>297</v>
      </c>
      <c r="C23" s="359" t="s">
        <v>298</v>
      </c>
      <c r="D23" s="346" t="s">
        <v>299</v>
      </c>
      <c r="E23" s="359"/>
      <c r="F23" s="370" t="s">
        <v>300</v>
      </c>
      <c r="G23" s="348">
        <v>0</v>
      </c>
    </row>
    <row r="24" spans="1:7" x14ac:dyDescent="0.25">
      <c r="A24" s="357" t="s">
        <v>1239</v>
      </c>
      <c r="B24" s="358" t="s">
        <v>1238</v>
      </c>
      <c r="C24" s="359"/>
      <c r="E24" s="359"/>
      <c r="F24" s="370" t="s">
        <v>1240</v>
      </c>
    </row>
    <row r="25" spans="1:7" x14ac:dyDescent="0.25">
      <c r="A25" s="357" t="s">
        <v>301</v>
      </c>
      <c r="B25" s="358" t="s">
        <v>302</v>
      </c>
      <c r="C25" s="359" t="s">
        <v>303</v>
      </c>
      <c r="D25" s="346" t="s">
        <v>304</v>
      </c>
      <c r="E25" s="359" t="s">
        <v>305</v>
      </c>
      <c r="F25" s="370" t="s">
        <v>306</v>
      </c>
      <c r="G25" s="348">
        <v>0</v>
      </c>
    </row>
    <row r="26" spans="1:7" x14ac:dyDescent="0.25">
      <c r="A26" s="357" t="s">
        <v>307</v>
      </c>
      <c r="B26" s="358" t="s">
        <v>308</v>
      </c>
      <c r="C26" s="359" t="s">
        <v>309</v>
      </c>
      <c r="D26" s="346" t="s">
        <v>310</v>
      </c>
      <c r="E26" s="359" t="s">
        <v>311</v>
      </c>
      <c r="F26" s="370" t="s">
        <v>312</v>
      </c>
      <c r="G26" s="348">
        <v>0</v>
      </c>
    </row>
    <row r="27" spans="1:7" x14ac:dyDescent="0.25">
      <c r="A27" s="357" t="s">
        <v>313</v>
      </c>
      <c r="B27" s="364" t="s">
        <v>314</v>
      </c>
      <c r="C27" s="371" t="s">
        <v>315</v>
      </c>
      <c r="D27" s="361" t="s">
        <v>316</v>
      </c>
      <c r="E27" s="361"/>
      <c r="F27" s="370" t="s">
        <v>317</v>
      </c>
      <c r="G27" s="348">
        <v>0</v>
      </c>
    </row>
    <row r="28" spans="1:7" x14ac:dyDescent="0.25">
      <c r="A28" s="357" t="s">
        <v>318</v>
      </c>
      <c r="B28" s="358" t="s">
        <v>319</v>
      </c>
      <c r="C28" s="359" t="s">
        <v>320</v>
      </c>
      <c r="D28" s="346" t="s">
        <v>321</v>
      </c>
      <c r="E28" s="359" t="s">
        <v>311</v>
      </c>
      <c r="F28" s="370" t="s">
        <v>322</v>
      </c>
      <c r="G28" s="348">
        <v>0</v>
      </c>
    </row>
    <row r="29" spans="1:7" x14ac:dyDescent="0.25">
      <c r="A29" s="357" t="s">
        <v>323</v>
      </c>
      <c r="B29" s="372"/>
      <c r="C29" s="359" t="s">
        <v>324</v>
      </c>
      <c r="D29" s="346" t="s">
        <v>325</v>
      </c>
      <c r="E29" s="359"/>
      <c r="F29" s="370" t="s">
        <v>326</v>
      </c>
      <c r="G29" s="348">
        <v>0</v>
      </c>
    </row>
    <row r="30" spans="1:7" x14ac:dyDescent="0.25">
      <c r="A30" s="357" t="s">
        <v>327</v>
      </c>
      <c r="B30" s="358" t="s">
        <v>328</v>
      </c>
      <c r="C30" s="359" t="s">
        <v>329</v>
      </c>
      <c r="D30" s="346" t="s">
        <v>330</v>
      </c>
      <c r="E30" s="359" t="s">
        <v>331</v>
      </c>
      <c r="F30" s="370" t="s">
        <v>332</v>
      </c>
      <c r="G30" s="348">
        <v>0</v>
      </c>
    </row>
    <row r="31" spans="1:7" x14ac:dyDescent="0.25">
      <c r="A31" s="357" t="s">
        <v>333</v>
      </c>
      <c r="B31" s="372"/>
      <c r="C31" s="359" t="s">
        <v>334</v>
      </c>
      <c r="D31" s="346" t="s">
        <v>335</v>
      </c>
      <c r="E31" s="373" t="s">
        <v>331</v>
      </c>
      <c r="F31" s="370" t="s">
        <v>336</v>
      </c>
      <c r="G31" s="348">
        <v>0</v>
      </c>
    </row>
    <row r="32" spans="1:7" x14ac:dyDescent="0.25">
      <c r="A32" s="357" t="s">
        <v>337</v>
      </c>
      <c r="B32" s="358" t="s">
        <v>338</v>
      </c>
      <c r="C32" s="359" t="s">
        <v>339</v>
      </c>
      <c r="D32" s="361" t="s">
        <v>340</v>
      </c>
      <c r="E32" s="361" t="s">
        <v>341</v>
      </c>
      <c r="F32" s="370" t="s">
        <v>342</v>
      </c>
      <c r="G32" s="348">
        <v>0</v>
      </c>
    </row>
    <row r="33" spans="1:7" x14ac:dyDescent="0.25">
      <c r="A33" s="357" t="s">
        <v>343</v>
      </c>
      <c r="B33" s="358" t="s">
        <v>344</v>
      </c>
      <c r="C33" s="359" t="s">
        <v>311</v>
      </c>
      <c r="D33" s="346" t="s">
        <v>345</v>
      </c>
      <c r="E33" s="359" t="s">
        <v>311</v>
      </c>
      <c r="F33" s="370" t="s">
        <v>346</v>
      </c>
      <c r="G33" s="348">
        <v>0</v>
      </c>
    </row>
    <row r="34" spans="1:7" ht="30" x14ac:dyDescent="0.25">
      <c r="A34" s="363" t="s">
        <v>347</v>
      </c>
      <c r="B34" s="364" t="s">
        <v>348</v>
      </c>
      <c r="C34" s="365" t="s">
        <v>349</v>
      </c>
      <c r="D34" s="360" t="s">
        <v>350</v>
      </c>
      <c r="E34" s="366" t="s">
        <v>351</v>
      </c>
      <c r="F34" s="367" t="s">
        <v>352</v>
      </c>
      <c r="G34" s="348">
        <v>0</v>
      </c>
    </row>
    <row r="35" spans="1:7" x14ac:dyDescent="0.25">
      <c r="A35" s="357" t="s">
        <v>305</v>
      </c>
      <c r="B35" s="358" t="s">
        <v>353</v>
      </c>
      <c r="C35" s="359" t="s">
        <v>285</v>
      </c>
      <c r="D35" s="346" t="s">
        <v>286</v>
      </c>
      <c r="E35" s="359" t="s">
        <v>354</v>
      </c>
      <c r="F35" s="370" t="s">
        <v>355</v>
      </c>
      <c r="G35" s="348">
        <v>0</v>
      </c>
    </row>
    <row r="36" spans="1:7" x14ac:dyDescent="0.25">
      <c r="A36" s="357" t="s">
        <v>356</v>
      </c>
      <c r="B36" s="358" t="s">
        <v>353</v>
      </c>
      <c r="C36" s="359" t="s">
        <v>285</v>
      </c>
      <c r="D36" s="346" t="s">
        <v>286</v>
      </c>
      <c r="E36" s="361"/>
      <c r="F36" s="370" t="s">
        <v>357</v>
      </c>
      <c r="G36" s="348">
        <v>0</v>
      </c>
    </row>
    <row r="37" spans="1:7" x14ac:dyDescent="0.25">
      <c r="A37" s="357" t="s">
        <v>358</v>
      </c>
      <c r="B37" s="364" t="s">
        <v>359</v>
      </c>
      <c r="C37" s="359" t="s">
        <v>360</v>
      </c>
      <c r="D37" s="346" t="s">
        <v>361</v>
      </c>
      <c r="E37" s="361"/>
      <c r="F37" s="370" t="s">
        <v>317</v>
      </c>
      <c r="G37" s="348">
        <v>0</v>
      </c>
    </row>
    <row r="38" spans="1:7" x14ac:dyDescent="0.25">
      <c r="A38" s="357" t="s">
        <v>362</v>
      </c>
      <c r="B38" s="364" t="s">
        <v>363</v>
      </c>
      <c r="C38" s="371" t="s">
        <v>315</v>
      </c>
      <c r="D38" s="361" t="s">
        <v>316</v>
      </c>
      <c r="E38" s="361"/>
      <c r="F38" s="370" t="s">
        <v>317</v>
      </c>
      <c r="G38" s="348">
        <v>0</v>
      </c>
    </row>
    <row r="39" spans="1:7" x14ac:dyDescent="0.25">
      <c r="A39" s="357" t="s">
        <v>364</v>
      </c>
      <c r="B39" s="358" t="s">
        <v>365</v>
      </c>
      <c r="C39" s="359" t="s">
        <v>366</v>
      </c>
      <c r="D39" s="361" t="s">
        <v>367</v>
      </c>
      <c r="E39" s="361"/>
      <c r="F39" s="370" t="s">
        <v>368</v>
      </c>
      <c r="G39" s="348">
        <v>0</v>
      </c>
    </row>
    <row r="40" spans="1:7" x14ac:dyDescent="0.25">
      <c r="A40" s="357" t="s">
        <v>369</v>
      </c>
      <c r="B40" s="358" t="s">
        <v>370</v>
      </c>
      <c r="C40" s="359" t="s">
        <v>279</v>
      </c>
      <c r="D40" s="346" t="s">
        <v>280</v>
      </c>
      <c r="E40" s="361"/>
      <c r="F40" s="370" t="s">
        <v>371</v>
      </c>
      <c r="G40" s="348">
        <v>1</v>
      </c>
    </row>
    <row r="41" spans="1:7" x14ac:dyDescent="0.25">
      <c r="A41" s="357" t="s">
        <v>372</v>
      </c>
      <c r="B41" s="358" t="s">
        <v>373</v>
      </c>
      <c r="C41" s="359" t="s">
        <v>279</v>
      </c>
      <c r="D41" s="360" t="s">
        <v>280</v>
      </c>
      <c r="E41" s="361"/>
      <c r="F41" s="370" t="s">
        <v>357</v>
      </c>
      <c r="G41" s="348">
        <v>0</v>
      </c>
    </row>
    <row r="42" spans="1:7" x14ac:dyDescent="0.25">
      <c r="A42" s="357" t="s">
        <v>331</v>
      </c>
      <c r="B42" s="358" t="s">
        <v>374</v>
      </c>
      <c r="C42" s="359" t="s">
        <v>334</v>
      </c>
      <c r="D42" s="346" t="s">
        <v>335</v>
      </c>
      <c r="E42" s="361"/>
      <c r="F42" s="370" t="s">
        <v>375</v>
      </c>
      <c r="G42" s="348">
        <v>0</v>
      </c>
    </row>
    <row r="43" spans="1:7" x14ac:dyDescent="0.25">
      <c r="A43" s="357" t="s">
        <v>1249</v>
      </c>
      <c r="B43" s="358" t="s">
        <v>1248</v>
      </c>
      <c r="C43" s="359"/>
      <c r="E43" s="361"/>
      <c r="F43" s="370"/>
    </row>
    <row r="44" spans="1:7" x14ac:dyDescent="0.25">
      <c r="A44" s="357" t="s">
        <v>376</v>
      </c>
      <c r="B44" s="358" t="s">
        <v>377</v>
      </c>
      <c r="C44" s="359" t="s">
        <v>378</v>
      </c>
      <c r="D44" s="346" t="s">
        <v>379</v>
      </c>
      <c r="E44" s="359"/>
      <c r="F44" s="370" t="s">
        <v>380</v>
      </c>
      <c r="G44" s="348">
        <v>0</v>
      </c>
    </row>
    <row r="45" spans="1:7" x14ac:dyDescent="0.25">
      <c r="A45" s="357" t="s">
        <v>381</v>
      </c>
      <c r="B45" s="358" t="s">
        <v>382</v>
      </c>
      <c r="C45" s="359" t="s">
        <v>311</v>
      </c>
      <c r="D45" s="346" t="s">
        <v>345</v>
      </c>
      <c r="E45" s="361"/>
      <c r="F45" s="370" t="s">
        <v>383</v>
      </c>
      <c r="G45" s="348">
        <v>0</v>
      </c>
    </row>
    <row r="46" spans="1:7" x14ac:dyDescent="0.25">
      <c r="A46" s="357" t="s">
        <v>384</v>
      </c>
      <c r="B46" s="358" t="s">
        <v>385</v>
      </c>
      <c r="C46" s="359" t="s">
        <v>386</v>
      </c>
      <c r="D46" s="346" t="s">
        <v>387</v>
      </c>
      <c r="E46" s="361"/>
      <c r="F46" s="370" t="s">
        <v>388</v>
      </c>
      <c r="G46" s="348">
        <v>0</v>
      </c>
    </row>
    <row r="47" spans="1:7" x14ac:dyDescent="0.25">
      <c r="A47" s="357" t="s">
        <v>339</v>
      </c>
      <c r="B47" s="358"/>
      <c r="C47" s="359" t="s">
        <v>339</v>
      </c>
      <c r="D47" s="361" t="s">
        <v>340</v>
      </c>
      <c r="E47" s="361"/>
      <c r="F47" s="362"/>
      <c r="G47" s="348">
        <v>0</v>
      </c>
    </row>
    <row r="49" spans="1:17" x14ac:dyDescent="0.25">
      <c r="A49" s="354" t="s">
        <v>389</v>
      </c>
      <c r="B49" s="345" t="s">
        <v>390</v>
      </c>
      <c r="C49" s="354" t="s">
        <v>391</v>
      </c>
    </row>
    <row r="50" spans="1:17" ht="15" customHeight="1" x14ac:dyDescent="0.25">
      <c r="A50" s="374" t="s">
        <v>392</v>
      </c>
      <c r="B50" s="350" t="s">
        <v>393</v>
      </c>
      <c r="C50" s="350">
        <v>1</v>
      </c>
      <c r="Q50" s="361"/>
    </row>
    <row r="51" spans="1:17" x14ac:dyDescent="0.25">
      <c r="A51" s="374" t="s">
        <v>394</v>
      </c>
      <c r="B51" s="350" t="s">
        <v>395</v>
      </c>
      <c r="C51" s="351" t="s">
        <v>396</v>
      </c>
      <c r="M51" s="350"/>
      <c r="N51" s="351"/>
      <c r="O51" s="350"/>
      <c r="P51" s="350"/>
      <c r="Q51" s="351"/>
    </row>
    <row r="52" spans="1:17" x14ac:dyDescent="0.25">
      <c r="A52" s="374" t="s">
        <v>397</v>
      </c>
      <c r="B52" s="350" t="s">
        <v>398</v>
      </c>
      <c r="C52" s="351" t="s">
        <v>399</v>
      </c>
    </row>
    <row r="53" spans="1:17" x14ac:dyDescent="0.25">
      <c r="H53" s="957" t="s">
        <v>400</v>
      </c>
      <c r="I53" s="958"/>
      <c r="J53" s="958"/>
      <c r="K53" s="959"/>
      <c r="L53" s="361"/>
    </row>
    <row r="54" spans="1:17" ht="15.75" x14ac:dyDescent="0.25">
      <c r="A54" s="361" t="s">
        <v>401</v>
      </c>
      <c r="H54" s="375"/>
      <c r="I54" s="376"/>
      <c r="J54" s="376"/>
      <c r="K54" s="377"/>
      <c r="L54" s="361"/>
      <c r="M54" s="960" t="s">
        <v>400</v>
      </c>
      <c r="N54" s="961"/>
      <c r="O54" s="961"/>
      <c r="P54" s="961"/>
      <c r="Q54" s="962"/>
    </row>
    <row r="55" spans="1:17" ht="30" x14ac:dyDescent="0.25">
      <c r="A55" s="361" t="s">
        <v>402</v>
      </c>
      <c r="B55" s="351" t="s">
        <v>403</v>
      </c>
      <c r="C55" s="378" t="s">
        <v>404</v>
      </c>
      <c r="D55" s="378" t="s">
        <v>405</v>
      </c>
      <c r="E55" s="379" t="s">
        <v>406</v>
      </c>
      <c r="F55" s="380" t="s">
        <v>407</v>
      </c>
      <c r="G55" s="381" t="s">
        <v>408</v>
      </c>
      <c r="H55" s="382" t="s">
        <v>409</v>
      </c>
      <c r="I55" s="382" t="s">
        <v>410</v>
      </c>
      <c r="J55" s="382" t="s">
        <v>411</v>
      </c>
      <c r="K55" s="383" t="s">
        <v>412</v>
      </c>
      <c r="M55" s="384" t="s">
        <v>413</v>
      </c>
      <c r="N55" s="385" t="s">
        <v>408</v>
      </c>
      <c r="O55" s="385" t="s">
        <v>414</v>
      </c>
      <c r="P55" s="385" t="s">
        <v>411</v>
      </c>
      <c r="Q55" s="386" t="s">
        <v>412</v>
      </c>
    </row>
    <row r="56" spans="1:17" ht="15.75" x14ac:dyDescent="0.3">
      <c r="A56" s="361" t="s">
        <v>415</v>
      </c>
      <c r="B56" s="387" t="s">
        <v>416</v>
      </c>
      <c r="C56" s="373" t="s">
        <v>417</v>
      </c>
      <c r="D56" s="388" t="s">
        <v>415</v>
      </c>
      <c r="E56" s="389" t="s">
        <v>415</v>
      </c>
      <c r="F56" s="362" t="s">
        <v>418</v>
      </c>
      <c r="G56" s="381" t="s">
        <v>419</v>
      </c>
      <c r="H56" s="361" t="s">
        <v>408</v>
      </c>
      <c r="I56" s="361" t="s">
        <v>420</v>
      </c>
      <c r="J56" s="361"/>
      <c r="M56" s="361" t="s">
        <v>421</v>
      </c>
      <c r="N56" s="361" t="s">
        <v>419</v>
      </c>
      <c r="O56" s="361" t="s">
        <v>414</v>
      </c>
      <c r="P56" s="361" t="s">
        <v>422</v>
      </c>
    </row>
    <row r="57" spans="1:17" ht="45" x14ac:dyDescent="0.3">
      <c r="A57" s="361" t="s">
        <v>357</v>
      </c>
      <c r="B57" s="387" t="s">
        <v>423</v>
      </c>
      <c r="C57" s="373" t="s">
        <v>417</v>
      </c>
      <c r="D57" s="388" t="s">
        <v>357</v>
      </c>
      <c r="E57" s="389" t="s">
        <v>424</v>
      </c>
      <c r="F57" s="362" t="s">
        <v>425</v>
      </c>
      <c r="G57" s="381" t="s">
        <v>426</v>
      </c>
      <c r="H57" s="361" t="s">
        <v>408</v>
      </c>
      <c r="I57" s="361" t="s">
        <v>420</v>
      </c>
      <c r="J57" s="361"/>
      <c r="M57" s="390" t="s">
        <v>427</v>
      </c>
      <c r="N57" s="390" t="s">
        <v>428</v>
      </c>
      <c r="O57" s="390"/>
      <c r="P57" s="390" t="s">
        <v>429</v>
      </c>
    </row>
    <row r="58" spans="1:17" ht="15.75" x14ac:dyDescent="0.3">
      <c r="A58" s="361" t="s">
        <v>430</v>
      </c>
      <c r="B58" s="387" t="s">
        <v>431</v>
      </c>
      <c r="C58" s="373" t="s">
        <v>417</v>
      </c>
      <c r="D58" s="388" t="s">
        <v>430</v>
      </c>
      <c r="E58" s="389" t="s">
        <v>432</v>
      </c>
      <c r="F58" s="362" t="s">
        <v>418</v>
      </c>
      <c r="G58" s="348" t="b">
        <v>1</v>
      </c>
      <c r="M58" s="391"/>
      <c r="N58" s="390" t="s">
        <v>433</v>
      </c>
      <c r="O58" s="391"/>
      <c r="P58" s="391"/>
    </row>
    <row r="59" spans="1:17" ht="15.75" x14ac:dyDescent="0.3">
      <c r="A59" s="361" t="s">
        <v>434</v>
      </c>
      <c r="B59" s="387" t="s">
        <v>435</v>
      </c>
      <c r="C59" s="373" t="s">
        <v>417</v>
      </c>
      <c r="D59" s="388" t="s">
        <v>434</v>
      </c>
      <c r="E59" s="389" t="s">
        <v>436</v>
      </c>
      <c r="F59" s="362" t="s">
        <v>437</v>
      </c>
      <c r="H59" s="361" t="s">
        <v>408</v>
      </c>
      <c r="I59" s="361" t="s">
        <v>420</v>
      </c>
      <c r="J59" s="361"/>
      <c r="M59" s="391"/>
      <c r="N59" s="391"/>
      <c r="O59" s="391"/>
      <c r="P59" s="390" t="s">
        <v>438</v>
      </c>
    </row>
    <row r="60" spans="1:17" ht="15.75" x14ac:dyDescent="0.3">
      <c r="A60" s="361" t="s">
        <v>439</v>
      </c>
      <c r="B60" s="387" t="s">
        <v>440</v>
      </c>
      <c r="C60" s="373" t="s">
        <v>417</v>
      </c>
      <c r="D60" s="388" t="s">
        <v>439</v>
      </c>
      <c r="E60" s="389" t="s">
        <v>436</v>
      </c>
      <c r="F60" s="362" t="s">
        <v>437</v>
      </c>
      <c r="G60" s="381" t="s">
        <v>441</v>
      </c>
      <c r="H60" s="361" t="s">
        <v>408</v>
      </c>
      <c r="I60" s="361" t="s">
        <v>420</v>
      </c>
      <c r="J60" s="361"/>
      <c r="M60" s="391" t="str">
        <f>N58</f>
        <v>$.*</v>
      </c>
      <c r="N60" s="391"/>
      <c r="O60" s="391"/>
      <c r="P60" s="390" t="s">
        <v>1326</v>
      </c>
    </row>
    <row r="61" spans="1:17" ht="15.75" x14ac:dyDescent="0.3">
      <c r="A61" s="361" t="s">
        <v>442</v>
      </c>
      <c r="B61" s="387" t="s">
        <v>443</v>
      </c>
      <c r="C61" s="388" t="s">
        <v>442</v>
      </c>
      <c r="D61" s="388" t="s">
        <v>444</v>
      </c>
      <c r="E61" s="389" t="s">
        <v>445</v>
      </c>
      <c r="F61" s="362" t="s">
        <v>437</v>
      </c>
      <c r="K61" s="361" t="s">
        <v>446</v>
      </c>
      <c r="M61" s="391"/>
      <c r="N61" s="391"/>
      <c r="O61" s="391"/>
      <c r="P61" s="390" t="str">
        <f>N58</f>
        <v>$.*</v>
      </c>
    </row>
    <row r="62" spans="1:17" x14ac:dyDescent="0.25">
      <c r="A62" s="361" t="s">
        <v>447</v>
      </c>
      <c r="B62" s="387" t="s">
        <v>448</v>
      </c>
      <c r="C62" s="373" t="s">
        <v>417</v>
      </c>
      <c r="D62" s="392" t="s">
        <v>449</v>
      </c>
      <c r="E62" s="389" t="s">
        <v>450</v>
      </c>
      <c r="F62" s="362" t="s">
        <v>425</v>
      </c>
      <c r="G62" s="381" t="s">
        <v>441</v>
      </c>
      <c r="H62" s="361" t="s">
        <v>408</v>
      </c>
      <c r="I62" s="361" t="s">
        <v>420</v>
      </c>
      <c r="J62" s="361"/>
      <c r="M62" s="391" t="str">
        <f>N58</f>
        <v>$.*</v>
      </c>
      <c r="N62" s="391"/>
      <c r="O62" s="391"/>
      <c r="P62" s="391"/>
    </row>
    <row r="63" spans="1:17" ht="15.75" x14ac:dyDescent="0.3">
      <c r="A63" s="361" t="s">
        <v>326</v>
      </c>
      <c r="B63" s="387" t="s">
        <v>451</v>
      </c>
      <c r="C63" s="373" t="s">
        <v>417</v>
      </c>
      <c r="D63" s="388" t="s">
        <v>326</v>
      </c>
      <c r="E63" s="389" t="s">
        <v>445</v>
      </c>
      <c r="F63" s="362" t="s">
        <v>437</v>
      </c>
      <c r="G63" s="381" t="s">
        <v>441</v>
      </c>
      <c r="H63" s="361" t="s">
        <v>408</v>
      </c>
      <c r="I63" s="361" t="s">
        <v>420</v>
      </c>
      <c r="J63" s="361"/>
      <c r="M63" s="391" t="str">
        <f>M62</f>
        <v>$.*</v>
      </c>
      <c r="N63" s="391"/>
      <c r="O63" s="391"/>
      <c r="P63" s="391"/>
    </row>
    <row r="64" spans="1:17" ht="191.25" x14ac:dyDescent="0.3">
      <c r="A64" s="361" t="s">
        <v>452</v>
      </c>
      <c r="B64" s="393" t="s">
        <v>453</v>
      </c>
      <c r="C64" s="388" t="s">
        <v>452</v>
      </c>
      <c r="D64" s="388" t="s">
        <v>454</v>
      </c>
      <c r="E64" s="389" t="s">
        <v>445</v>
      </c>
      <c r="F64" s="362" t="s">
        <v>437</v>
      </c>
      <c r="K64" s="361" t="s">
        <v>455</v>
      </c>
      <c r="M64" s="390" t="s">
        <v>456</v>
      </c>
      <c r="N64" s="391"/>
      <c r="O64" s="391"/>
      <c r="P64" s="390" t="s">
        <v>457</v>
      </c>
    </row>
    <row r="65" spans="1:17" x14ac:dyDescent="0.25">
      <c r="A65" s="361" t="s">
        <v>411</v>
      </c>
      <c r="B65" s="387" t="s">
        <v>458</v>
      </c>
      <c r="C65" s="373" t="s">
        <v>459</v>
      </c>
      <c r="D65" s="900" t="s">
        <v>473</v>
      </c>
      <c r="E65" s="389"/>
      <c r="F65" s="362"/>
      <c r="G65" s="381"/>
      <c r="H65" s="361"/>
      <c r="I65" s="361"/>
      <c r="J65" s="361"/>
      <c r="K65" s="361" t="s">
        <v>446</v>
      </c>
      <c r="M65" s="391"/>
      <c r="N65" s="391"/>
      <c r="O65" s="391"/>
      <c r="P65" s="391" t="str">
        <f>P61</f>
        <v>$.*</v>
      </c>
    </row>
    <row r="66" spans="1:17" ht="15.75" x14ac:dyDescent="0.3">
      <c r="A66" s="361" t="s">
        <v>336</v>
      </c>
      <c r="B66" s="387" t="s">
        <v>460</v>
      </c>
      <c r="C66" s="388" t="s">
        <v>461</v>
      </c>
      <c r="D66" s="373" t="s">
        <v>462</v>
      </c>
      <c r="E66" s="389" t="s">
        <v>445</v>
      </c>
      <c r="F66" s="362" t="s">
        <v>437</v>
      </c>
      <c r="I66" s="361"/>
      <c r="J66" s="361"/>
      <c r="K66" s="346" t="s">
        <v>336</v>
      </c>
      <c r="L66" s="361"/>
      <c r="M66" s="394" t="str">
        <f>N58</f>
        <v>$.*</v>
      </c>
      <c r="N66" s="390" t="s">
        <v>463</v>
      </c>
      <c r="O66" s="391"/>
      <c r="P66" s="391"/>
    </row>
    <row r="67" spans="1:17" ht="15.75" x14ac:dyDescent="0.3">
      <c r="A67" s="361" t="s">
        <v>295</v>
      </c>
      <c r="B67" s="387" t="s">
        <v>464</v>
      </c>
      <c r="C67" s="373" t="s">
        <v>417</v>
      </c>
      <c r="D67" s="388" t="s">
        <v>295</v>
      </c>
      <c r="E67" s="389" t="s">
        <v>295</v>
      </c>
      <c r="F67" s="362" t="s">
        <v>418</v>
      </c>
      <c r="G67" s="381" t="s">
        <v>441</v>
      </c>
      <c r="H67" s="361" t="s">
        <v>408</v>
      </c>
      <c r="I67" s="361" t="s">
        <v>420</v>
      </c>
      <c r="J67" s="361"/>
      <c r="M67" s="391" t="str">
        <f>M66</f>
        <v>$.*</v>
      </c>
      <c r="N67" s="391"/>
      <c r="O67" s="391"/>
      <c r="P67" s="391"/>
    </row>
    <row r="68" spans="1:17" ht="15.75" x14ac:dyDescent="0.3">
      <c r="A68" s="361" t="s">
        <v>380</v>
      </c>
      <c r="B68" s="387" t="s">
        <v>380</v>
      </c>
      <c r="C68" s="373" t="s">
        <v>417</v>
      </c>
      <c r="D68" s="388" t="s">
        <v>380</v>
      </c>
      <c r="E68" s="389" t="s">
        <v>445</v>
      </c>
      <c r="F68" s="362" t="s">
        <v>437</v>
      </c>
      <c r="G68" s="381" t="s">
        <v>441</v>
      </c>
      <c r="H68" s="361" t="s">
        <v>408</v>
      </c>
      <c r="I68" s="361" t="s">
        <v>420</v>
      </c>
      <c r="J68" s="361"/>
      <c r="M68" s="390" t="s">
        <v>465</v>
      </c>
      <c r="N68" s="390" t="s">
        <v>466</v>
      </c>
      <c r="O68" s="391"/>
      <c r="P68" s="391"/>
    </row>
    <row r="69" spans="1:17" ht="15.75" x14ac:dyDescent="0.3">
      <c r="A69" s="361" t="s">
        <v>1241</v>
      </c>
      <c r="B69" s="387" t="s">
        <v>1241</v>
      </c>
      <c r="C69" s="373" t="s">
        <v>417</v>
      </c>
      <c r="D69" s="388" t="s">
        <v>1241</v>
      </c>
      <c r="E69" s="389" t="s">
        <v>445</v>
      </c>
      <c r="F69" s="362" t="s">
        <v>437</v>
      </c>
      <c r="G69" s="381"/>
      <c r="H69" s="361"/>
      <c r="I69" s="361"/>
      <c r="J69" s="361"/>
      <c r="M69" s="390" t="s">
        <v>465</v>
      </c>
      <c r="N69" s="390"/>
      <c r="O69" s="391"/>
      <c r="P69" s="391"/>
    </row>
    <row r="70" spans="1:17" x14ac:dyDescent="0.25">
      <c r="A70" s="395" t="s">
        <v>282</v>
      </c>
      <c r="B70" s="387" t="s">
        <v>467</v>
      </c>
      <c r="C70" s="373"/>
      <c r="D70" s="392"/>
      <c r="E70" s="389"/>
      <c r="F70" s="362"/>
      <c r="M70" s="390" t="s">
        <v>468</v>
      </c>
      <c r="N70" s="390" t="s">
        <v>468</v>
      </c>
      <c r="O70" s="391"/>
      <c r="P70" s="390" t="s">
        <v>468</v>
      </c>
    </row>
    <row r="71" spans="1:17" x14ac:dyDescent="0.25">
      <c r="C71" s="373"/>
      <c r="D71" s="373" t="s">
        <v>469</v>
      </c>
      <c r="E71" s="389" t="s">
        <v>445</v>
      </c>
      <c r="F71" s="362" t="s">
        <v>437</v>
      </c>
      <c r="M71" s="391"/>
      <c r="N71" s="391"/>
      <c r="O71" s="391"/>
      <c r="P71" s="391"/>
    </row>
    <row r="72" spans="1:17" x14ac:dyDescent="0.25">
      <c r="C72" s="373"/>
      <c r="D72" s="373" t="s">
        <v>470</v>
      </c>
      <c r="E72" s="389" t="s">
        <v>445</v>
      </c>
      <c r="F72" s="362" t="s">
        <v>437</v>
      </c>
      <c r="M72" s="391"/>
      <c r="N72" s="391"/>
      <c r="O72" s="391"/>
      <c r="P72" s="391"/>
    </row>
    <row r="73" spans="1:17" x14ac:dyDescent="0.25">
      <c r="C73" s="373"/>
      <c r="D73" s="373" t="s">
        <v>471</v>
      </c>
      <c r="E73" s="389"/>
      <c r="F73" s="362"/>
      <c r="M73" s="391"/>
      <c r="N73" s="391"/>
      <c r="O73" s="391"/>
      <c r="P73" s="391"/>
    </row>
    <row r="74" spans="1:17" x14ac:dyDescent="0.25">
      <c r="A74" s="361"/>
      <c r="C74" s="373"/>
      <c r="D74" s="373" t="s">
        <v>472</v>
      </c>
      <c r="E74" s="389" t="s">
        <v>445</v>
      </c>
      <c r="F74" s="362" t="s">
        <v>437</v>
      </c>
      <c r="M74" s="391"/>
      <c r="N74" s="391"/>
      <c r="O74" s="391"/>
      <c r="P74" s="391"/>
    </row>
    <row r="75" spans="1:17" x14ac:dyDescent="0.25">
      <c r="C75" s="392"/>
      <c r="D75" s="373" t="s">
        <v>473</v>
      </c>
      <c r="E75" s="389" t="s">
        <v>445</v>
      </c>
      <c r="F75" s="362" t="s">
        <v>437</v>
      </c>
      <c r="M75" s="391"/>
      <c r="N75" s="391"/>
      <c r="O75" s="391"/>
      <c r="P75" s="391"/>
    </row>
    <row r="76" spans="1:17" x14ac:dyDescent="0.25">
      <c r="A76" s="361" t="s">
        <v>474</v>
      </c>
      <c r="C76" s="392"/>
      <c r="D76" s="373"/>
      <c r="F76" s="362"/>
      <c r="Q76" s="361" t="s">
        <v>475</v>
      </c>
    </row>
    <row r="77" spans="1:17" x14ac:dyDescent="0.25">
      <c r="A77" s="361" t="s">
        <v>446</v>
      </c>
      <c r="B77" s="358" t="s">
        <v>476</v>
      </c>
      <c r="C77" s="392"/>
      <c r="D77" s="373"/>
      <c r="F77" s="362"/>
      <c r="Q77" s="396" t="s">
        <v>420</v>
      </c>
    </row>
    <row r="78" spans="1:17" x14ac:dyDescent="0.25">
      <c r="A78" s="361" t="s">
        <v>408</v>
      </c>
      <c r="B78" s="358" t="s">
        <v>477</v>
      </c>
      <c r="C78" s="392"/>
      <c r="D78" s="373"/>
      <c r="F78" s="362"/>
      <c r="Q78" s="396" t="s">
        <v>408</v>
      </c>
    </row>
    <row r="79" spans="1:17" x14ac:dyDescent="0.25">
      <c r="A79" s="361"/>
      <c r="B79" s="358"/>
      <c r="C79" s="392"/>
      <c r="D79" s="373"/>
      <c r="F79" s="362"/>
      <c r="Q79" s="396" t="s">
        <v>411</v>
      </c>
    </row>
    <row r="80" spans="1:17" x14ac:dyDescent="0.25">
      <c r="A80" s="361"/>
      <c r="B80" s="392"/>
      <c r="C80" s="392"/>
      <c r="D80" s="373"/>
      <c r="F80" s="362"/>
      <c r="Q80" s="396" t="s">
        <v>336</v>
      </c>
    </row>
    <row r="81" spans="1:17" x14ac:dyDescent="0.25">
      <c r="A81" s="361"/>
      <c r="B81" s="392"/>
      <c r="C81" s="392"/>
      <c r="D81" s="373"/>
      <c r="F81" s="362"/>
      <c r="Q81" s="396" t="s">
        <v>455</v>
      </c>
    </row>
    <row r="82" spans="1:17" x14ac:dyDescent="0.25">
      <c r="A82" s="361"/>
      <c r="B82" s="392"/>
      <c r="C82" s="392"/>
      <c r="D82" s="373"/>
      <c r="F82" s="362"/>
    </row>
    <row r="83" spans="1:17" x14ac:dyDescent="0.25">
      <c r="C83" s="392"/>
      <c r="D83" s="373"/>
      <c r="F83" s="362"/>
    </row>
    <row r="84" spans="1:17" x14ac:dyDescent="0.25">
      <c r="A84" s="397" t="s">
        <v>478</v>
      </c>
    </row>
    <row r="85" spans="1:17" x14ac:dyDescent="0.25">
      <c r="A85" s="361" t="s">
        <v>479</v>
      </c>
    </row>
    <row r="86" spans="1:17" x14ac:dyDescent="0.25">
      <c r="A86" s="361" t="s">
        <v>480</v>
      </c>
    </row>
    <row r="87" spans="1:17" x14ac:dyDescent="0.25">
      <c r="A87" s="361" t="s">
        <v>481</v>
      </c>
      <c r="B87" s="351" t="s">
        <v>168</v>
      </c>
    </row>
    <row r="88" spans="1:17" x14ac:dyDescent="0.25">
      <c r="A88" s="361" t="s">
        <v>482</v>
      </c>
      <c r="B88" s="350">
        <v>1</v>
      </c>
    </row>
    <row r="89" spans="1:17" x14ac:dyDescent="0.25">
      <c r="A89" s="361" t="s">
        <v>483</v>
      </c>
      <c r="B89" s="350">
        <v>1</v>
      </c>
    </row>
    <row r="90" spans="1:17" x14ac:dyDescent="0.25">
      <c r="A90" s="361" t="s">
        <v>484</v>
      </c>
      <c r="B90" s="350">
        <v>1</v>
      </c>
    </row>
    <row r="91" spans="1:17" x14ac:dyDescent="0.25">
      <c r="A91" s="361" t="s">
        <v>485</v>
      </c>
    </row>
    <row r="92" spans="1:17" x14ac:dyDescent="0.25">
      <c r="A92" s="361" t="s">
        <v>486</v>
      </c>
    </row>
    <row r="93" spans="1:17" x14ac:dyDescent="0.25">
      <c r="A93" s="361" t="s">
        <v>487</v>
      </c>
      <c r="B93" s="351" t="s">
        <v>168</v>
      </c>
    </row>
    <row r="94" spans="1:17" x14ac:dyDescent="0.25">
      <c r="A94" s="361" t="s">
        <v>488</v>
      </c>
      <c r="F94" s="346"/>
      <c r="G94" s="346"/>
    </row>
    <row r="95" spans="1:17" x14ac:dyDescent="0.25">
      <c r="A95" s="361" t="s">
        <v>489</v>
      </c>
      <c r="F95" s="346"/>
      <c r="G95" s="346"/>
    </row>
    <row r="96" spans="1:17" x14ac:dyDescent="0.25">
      <c r="A96" s="361" t="s">
        <v>490</v>
      </c>
      <c r="F96" s="346"/>
      <c r="G96" s="346"/>
    </row>
    <row r="97" spans="1:7" x14ac:dyDescent="0.25">
      <c r="A97" s="361" t="s">
        <v>491</v>
      </c>
      <c r="F97" s="346"/>
      <c r="G97" s="346"/>
    </row>
    <row r="98" spans="1:7" x14ac:dyDescent="0.25">
      <c r="A98" s="361" t="s">
        <v>492</v>
      </c>
      <c r="B98" s="350">
        <v>1</v>
      </c>
      <c r="F98" s="346"/>
      <c r="G98" s="346"/>
    </row>
    <row r="99" spans="1:7" x14ac:dyDescent="0.25">
      <c r="A99" s="361" t="s">
        <v>493</v>
      </c>
      <c r="B99" s="350">
        <v>1</v>
      </c>
      <c r="F99" s="346"/>
      <c r="G99" s="346"/>
    </row>
    <row r="100" spans="1:7" x14ac:dyDescent="0.25">
      <c r="A100" s="361" t="s">
        <v>494</v>
      </c>
      <c r="F100" s="346"/>
      <c r="G100" s="346"/>
    </row>
    <row r="101" spans="1:7" x14ac:dyDescent="0.25">
      <c r="A101" s="361" t="s">
        <v>495</v>
      </c>
      <c r="F101" s="346"/>
      <c r="G101" s="346"/>
    </row>
    <row r="102" spans="1:7" x14ac:dyDescent="0.25">
      <c r="A102" s="361" t="s">
        <v>496</v>
      </c>
      <c r="F102" s="346"/>
      <c r="G102" s="346"/>
    </row>
    <row r="103" spans="1:7" x14ac:dyDescent="0.25">
      <c r="A103" s="361" t="s">
        <v>497</v>
      </c>
      <c r="F103" s="346"/>
      <c r="G103" s="346"/>
    </row>
    <row r="104" spans="1:7" x14ac:dyDescent="0.25">
      <c r="A104" s="361" t="s">
        <v>498</v>
      </c>
      <c r="B104" s="350">
        <v>1</v>
      </c>
      <c r="F104" s="346"/>
      <c r="G104" s="346"/>
    </row>
    <row r="105" spans="1:7" x14ac:dyDescent="0.25">
      <c r="A105" s="361" t="s">
        <v>499</v>
      </c>
      <c r="B105" s="350">
        <v>1</v>
      </c>
      <c r="F105" s="346"/>
      <c r="G105" s="346"/>
    </row>
    <row r="106" spans="1:7" x14ac:dyDescent="0.25">
      <c r="A106" s="361" t="s">
        <v>500</v>
      </c>
      <c r="F106" s="346"/>
      <c r="G106" s="346"/>
    </row>
    <row r="107" spans="1:7" x14ac:dyDescent="0.25">
      <c r="A107" s="361" t="s">
        <v>501</v>
      </c>
      <c r="B107" s="350">
        <v>1</v>
      </c>
      <c r="F107" s="346"/>
      <c r="G107" s="346"/>
    </row>
    <row r="108" spans="1:7" x14ac:dyDescent="0.25">
      <c r="A108" s="361" t="s">
        <v>502</v>
      </c>
      <c r="F108" s="346"/>
      <c r="G108" s="346"/>
    </row>
    <row r="109" spans="1:7" x14ac:dyDescent="0.25">
      <c r="A109" s="361" t="s">
        <v>503</v>
      </c>
      <c r="B109" s="350">
        <v>1</v>
      </c>
      <c r="F109" s="346"/>
      <c r="G109" s="346"/>
    </row>
    <row r="110" spans="1:7" x14ac:dyDescent="0.25">
      <c r="A110" s="361" t="s">
        <v>504</v>
      </c>
      <c r="B110" s="350">
        <v>1</v>
      </c>
      <c r="F110" s="346"/>
      <c r="G110" s="346"/>
    </row>
    <row r="111" spans="1:7" x14ac:dyDescent="0.25">
      <c r="A111" s="361" t="s">
        <v>505</v>
      </c>
      <c r="F111" s="346"/>
      <c r="G111" s="346"/>
    </row>
    <row r="112" spans="1:7" x14ac:dyDescent="0.25">
      <c r="A112" s="361" t="s">
        <v>506</v>
      </c>
      <c r="F112" s="346"/>
      <c r="G112" s="346"/>
    </row>
    <row r="113" spans="1:7" x14ac:dyDescent="0.25">
      <c r="A113" s="361" t="s">
        <v>507</v>
      </c>
      <c r="F113" s="346"/>
      <c r="G113" s="346"/>
    </row>
    <row r="114" spans="1:7" x14ac:dyDescent="0.25">
      <c r="A114" s="361" t="s">
        <v>508</v>
      </c>
      <c r="F114" s="346"/>
      <c r="G114" s="346"/>
    </row>
    <row r="115" spans="1:7" x14ac:dyDescent="0.25">
      <c r="A115" s="361" t="s">
        <v>509</v>
      </c>
      <c r="F115" s="346"/>
      <c r="G115" s="346"/>
    </row>
    <row r="116" spans="1:7" x14ac:dyDescent="0.25">
      <c r="A116" s="361" t="s">
        <v>510</v>
      </c>
      <c r="F116" s="346"/>
      <c r="G116" s="346"/>
    </row>
    <row r="117" spans="1:7" x14ac:dyDescent="0.25">
      <c r="A117" s="361" t="s">
        <v>511</v>
      </c>
      <c r="B117" s="350">
        <v>1</v>
      </c>
      <c r="F117" s="346"/>
      <c r="G117" s="346"/>
    </row>
    <row r="118" spans="1:7" x14ac:dyDescent="0.25">
      <c r="A118" s="361" t="s">
        <v>512</v>
      </c>
      <c r="F118" s="346"/>
      <c r="G118" s="346"/>
    </row>
    <row r="119" spans="1:7" x14ac:dyDescent="0.25">
      <c r="A119" s="361" t="s">
        <v>513</v>
      </c>
      <c r="F119" s="346"/>
      <c r="G119" s="346"/>
    </row>
    <row r="120" spans="1:7" x14ac:dyDescent="0.25">
      <c r="A120" s="361" t="s">
        <v>514</v>
      </c>
      <c r="F120" s="346"/>
      <c r="G120" s="346"/>
    </row>
    <row r="121" spans="1:7" x14ac:dyDescent="0.25">
      <c r="A121" s="361" t="s">
        <v>515</v>
      </c>
      <c r="B121" s="350">
        <v>1</v>
      </c>
      <c r="F121" s="346"/>
      <c r="G121" s="346"/>
    </row>
    <row r="122" spans="1:7" x14ac:dyDescent="0.25">
      <c r="A122" s="361" t="s">
        <v>516</v>
      </c>
      <c r="F122" s="346"/>
      <c r="G122" s="346"/>
    </row>
    <row r="123" spans="1:7" x14ac:dyDescent="0.25">
      <c r="A123" s="361" t="s">
        <v>517</v>
      </c>
      <c r="F123" s="346"/>
      <c r="G123" s="346"/>
    </row>
    <row r="124" spans="1:7" x14ac:dyDescent="0.25">
      <c r="A124" s="361" t="s">
        <v>518</v>
      </c>
      <c r="F124" s="346"/>
      <c r="G124" s="346"/>
    </row>
    <row r="125" spans="1:7" x14ac:dyDescent="0.25">
      <c r="A125" s="361" t="s">
        <v>519</v>
      </c>
      <c r="F125" s="346"/>
      <c r="G125" s="346"/>
    </row>
    <row r="126" spans="1:7" x14ac:dyDescent="0.25">
      <c r="A126" s="361" t="s">
        <v>520</v>
      </c>
      <c r="B126" s="350">
        <v>1</v>
      </c>
      <c r="F126" s="346"/>
      <c r="G126" s="346"/>
    </row>
    <row r="127" spans="1:7" x14ac:dyDescent="0.25">
      <c r="A127" s="361" t="s">
        <v>521</v>
      </c>
      <c r="B127" s="350">
        <v>1</v>
      </c>
      <c r="F127" s="346"/>
      <c r="G127" s="346"/>
    </row>
    <row r="128" spans="1:7" x14ac:dyDescent="0.25">
      <c r="A128" s="361" t="s">
        <v>522</v>
      </c>
      <c r="F128" s="346"/>
      <c r="G128" s="346"/>
    </row>
    <row r="129" spans="1:7" x14ac:dyDescent="0.25">
      <c r="A129" s="361" t="s">
        <v>523</v>
      </c>
      <c r="F129" s="346"/>
      <c r="G129" s="346"/>
    </row>
    <row r="130" spans="1:7" x14ac:dyDescent="0.25">
      <c r="A130" s="361" t="s">
        <v>524</v>
      </c>
      <c r="F130" s="346"/>
      <c r="G130" s="346"/>
    </row>
    <row r="131" spans="1:7" x14ac:dyDescent="0.25">
      <c r="A131" s="361" t="s">
        <v>525</v>
      </c>
      <c r="B131" s="350">
        <v>1</v>
      </c>
      <c r="F131" s="346"/>
      <c r="G131" s="346"/>
    </row>
    <row r="132" spans="1:7" x14ac:dyDescent="0.25">
      <c r="A132" s="361" t="s">
        <v>526</v>
      </c>
      <c r="F132" s="346"/>
      <c r="G132" s="346"/>
    </row>
    <row r="133" spans="1:7" x14ac:dyDescent="0.25">
      <c r="A133" s="361" t="s">
        <v>527</v>
      </c>
      <c r="F133" s="346"/>
      <c r="G133" s="346"/>
    </row>
    <row r="134" spans="1:7" x14ac:dyDescent="0.25">
      <c r="A134" s="361" t="s">
        <v>528</v>
      </c>
      <c r="B134" s="350">
        <v>1</v>
      </c>
      <c r="F134" s="346"/>
      <c r="G134" s="346"/>
    </row>
    <row r="135" spans="1:7" x14ac:dyDescent="0.25">
      <c r="A135" s="361" t="s">
        <v>529</v>
      </c>
      <c r="F135" s="346"/>
      <c r="G135" s="346"/>
    </row>
    <row r="136" spans="1:7" x14ac:dyDescent="0.25">
      <c r="A136" s="361" t="s">
        <v>530</v>
      </c>
      <c r="F136" s="346"/>
      <c r="G136" s="346"/>
    </row>
    <row r="137" spans="1:7" x14ac:dyDescent="0.25">
      <c r="A137" s="361" t="s">
        <v>531</v>
      </c>
      <c r="F137" s="346"/>
      <c r="G137" s="346"/>
    </row>
    <row r="138" spans="1:7" x14ac:dyDescent="0.25">
      <c r="A138" s="361" t="s">
        <v>532</v>
      </c>
      <c r="F138" s="346"/>
      <c r="G138" s="346"/>
    </row>
    <row r="139" spans="1:7" x14ac:dyDescent="0.25">
      <c r="A139" s="361" t="s">
        <v>533</v>
      </c>
      <c r="B139" s="350">
        <v>1</v>
      </c>
      <c r="F139" s="346"/>
      <c r="G139" s="346"/>
    </row>
    <row r="140" spans="1:7" x14ac:dyDescent="0.25">
      <c r="A140" s="361" t="s">
        <v>534</v>
      </c>
      <c r="B140" s="350">
        <v>1</v>
      </c>
      <c r="F140" s="346"/>
      <c r="G140" s="346"/>
    </row>
    <row r="141" spans="1:7" x14ac:dyDescent="0.25">
      <c r="A141" s="361" t="s">
        <v>535</v>
      </c>
      <c r="F141" s="346"/>
      <c r="G141" s="346"/>
    </row>
    <row r="142" spans="1:7" x14ac:dyDescent="0.25">
      <c r="A142" s="361" t="s">
        <v>536</v>
      </c>
      <c r="B142" s="350">
        <v>1</v>
      </c>
      <c r="F142" s="346"/>
      <c r="G142" s="346"/>
    </row>
    <row r="143" spans="1:7" x14ac:dyDescent="0.25">
      <c r="A143" s="361" t="s">
        <v>537</v>
      </c>
      <c r="F143" s="346"/>
      <c r="G143" s="346"/>
    </row>
    <row r="144" spans="1:7" x14ac:dyDescent="0.25">
      <c r="A144" s="361" t="s">
        <v>538</v>
      </c>
      <c r="B144" s="350">
        <v>1</v>
      </c>
      <c r="F144" s="346"/>
      <c r="G144" s="346"/>
    </row>
    <row r="145" spans="1:7" x14ac:dyDescent="0.25">
      <c r="A145" s="361" t="s">
        <v>539</v>
      </c>
      <c r="F145" s="346"/>
      <c r="G145" s="346"/>
    </row>
    <row r="146" spans="1:7" x14ac:dyDescent="0.25">
      <c r="A146" s="361" t="s">
        <v>540</v>
      </c>
      <c r="F146" s="346"/>
      <c r="G146" s="346"/>
    </row>
    <row r="147" spans="1:7" x14ac:dyDescent="0.25">
      <c r="A147" s="361" t="s">
        <v>541</v>
      </c>
      <c r="F147" s="346"/>
      <c r="G147" s="346"/>
    </row>
    <row r="148" spans="1:7" x14ac:dyDescent="0.25">
      <c r="A148" s="361" t="s">
        <v>542</v>
      </c>
      <c r="F148" s="346"/>
      <c r="G148" s="346"/>
    </row>
    <row r="149" spans="1:7" x14ac:dyDescent="0.25">
      <c r="A149" s="361" t="s">
        <v>543</v>
      </c>
      <c r="F149" s="346"/>
      <c r="G149" s="346"/>
    </row>
    <row r="150" spans="1:7" x14ac:dyDescent="0.25">
      <c r="A150" s="361" t="s">
        <v>544</v>
      </c>
      <c r="F150" s="346"/>
      <c r="G150" s="346"/>
    </row>
    <row r="151" spans="1:7" x14ac:dyDescent="0.25">
      <c r="A151" s="361" t="s">
        <v>545</v>
      </c>
      <c r="B151" s="350">
        <v>1</v>
      </c>
      <c r="F151" s="346"/>
      <c r="G151" s="346"/>
    </row>
    <row r="152" spans="1:7" x14ac:dyDescent="0.25">
      <c r="A152" s="361" t="s">
        <v>546</v>
      </c>
      <c r="B152" s="350">
        <v>1</v>
      </c>
      <c r="F152" s="346"/>
      <c r="G152" s="346"/>
    </row>
    <row r="153" spans="1:7" x14ac:dyDescent="0.25">
      <c r="A153" s="361" t="s">
        <v>547</v>
      </c>
      <c r="F153" s="346"/>
      <c r="G153" s="346"/>
    </row>
    <row r="154" spans="1:7" x14ac:dyDescent="0.25">
      <c r="A154" s="361" t="s">
        <v>548</v>
      </c>
      <c r="B154" s="350">
        <v>1</v>
      </c>
      <c r="F154" s="346"/>
      <c r="G154" s="346"/>
    </row>
    <row r="155" spans="1:7" x14ac:dyDescent="0.25">
      <c r="A155" s="361" t="s">
        <v>549</v>
      </c>
      <c r="B155" s="351" t="s">
        <v>168</v>
      </c>
      <c r="F155" s="346"/>
      <c r="G155" s="346"/>
    </row>
    <row r="156" spans="1:7" x14ac:dyDescent="0.25">
      <c r="A156" s="361" t="s">
        <v>550</v>
      </c>
      <c r="F156" s="346"/>
      <c r="G156" s="346"/>
    </row>
    <row r="157" spans="1:7" x14ac:dyDescent="0.25">
      <c r="A157" s="361" t="s">
        <v>551</v>
      </c>
      <c r="B157" s="350">
        <v>1</v>
      </c>
      <c r="F157" s="346"/>
      <c r="G157" s="346"/>
    </row>
    <row r="158" spans="1:7" x14ac:dyDescent="0.25">
      <c r="A158" s="361" t="s">
        <v>552</v>
      </c>
      <c r="F158" s="346"/>
      <c r="G158" s="346"/>
    </row>
    <row r="159" spans="1:7" x14ac:dyDescent="0.25">
      <c r="A159" s="361" t="s">
        <v>553</v>
      </c>
      <c r="F159" s="346"/>
      <c r="G159" s="346"/>
    </row>
    <row r="160" spans="1:7" x14ac:dyDescent="0.25">
      <c r="A160" s="361" t="s">
        <v>554</v>
      </c>
      <c r="F160" s="346"/>
      <c r="G160" s="346"/>
    </row>
    <row r="161" spans="1:7" x14ac:dyDescent="0.25">
      <c r="A161" s="361" t="s">
        <v>555</v>
      </c>
      <c r="F161" s="346"/>
      <c r="G161" s="346"/>
    </row>
    <row r="162" spans="1:7" x14ac:dyDescent="0.25">
      <c r="A162" s="361" t="s">
        <v>556</v>
      </c>
      <c r="F162" s="346"/>
      <c r="G162" s="346"/>
    </row>
    <row r="163" spans="1:7" x14ac:dyDescent="0.25">
      <c r="A163" s="361" t="s">
        <v>557</v>
      </c>
      <c r="B163" s="351" t="s">
        <v>168</v>
      </c>
      <c r="F163" s="346"/>
      <c r="G163" s="346"/>
    </row>
    <row r="164" spans="1:7" x14ac:dyDescent="0.25">
      <c r="A164" s="361" t="s">
        <v>558</v>
      </c>
      <c r="F164" s="346"/>
      <c r="G164" s="346"/>
    </row>
    <row r="165" spans="1:7" x14ac:dyDescent="0.25">
      <c r="A165" s="361" t="s">
        <v>559</v>
      </c>
      <c r="F165" s="346"/>
      <c r="G165" s="346"/>
    </row>
    <row r="166" spans="1:7" x14ac:dyDescent="0.25">
      <c r="A166" s="361" t="s">
        <v>560</v>
      </c>
      <c r="F166" s="346"/>
      <c r="G166" s="346"/>
    </row>
    <row r="167" spans="1:7" x14ac:dyDescent="0.25">
      <c r="A167" s="361" t="s">
        <v>561</v>
      </c>
      <c r="B167" s="350">
        <v>1</v>
      </c>
      <c r="F167" s="346"/>
      <c r="G167" s="346"/>
    </row>
    <row r="168" spans="1:7" x14ac:dyDescent="0.25">
      <c r="A168" s="361" t="s">
        <v>562</v>
      </c>
      <c r="B168" s="350">
        <v>1</v>
      </c>
      <c r="F168" s="346"/>
      <c r="G168" s="346"/>
    </row>
    <row r="169" spans="1:7" x14ac:dyDescent="0.25">
      <c r="A169" s="361" t="s">
        <v>563</v>
      </c>
      <c r="F169" s="346"/>
      <c r="G169" s="346"/>
    </row>
    <row r="170" spans="1:7" x14ac:dyDescent="0.25">
      <c r="A170" s="361" t="s">
        <v>564</v>
      </c>
      <c r="F170" s="346"/>
      <c r="G170" s="346"/>
    </row>
    <row r="171" spans="1:7" x14ac:dyDescent="0.25">
      <c r="A171" s="361" t="s">
        <v>565</v>
      </c>
      <c r="F171" s="346"/>
      <c r="G171" s="346"/>
    </row>
    <row r="172" spans="1:7" x14ac:dyDescent="0.25">
      <c r="A172" s="361" t="s">
        <v>566</v>
      </c>
      <c r="B172" s="351" t="s">
        <v>168</v>
      </c>
      <c r="F172" s="346"/>
      <c r="G172" s="346"/>
    </row>
    <row r="173" spans="1:7" x14ac:dyDescent="0.25">
      <c r="F173" s="346"/>
      <c r="G173" s="346"/>
    </row>
    <row r="174" spans="1:7" x14ac:dyDescent="0.25">
      <c r="A174" s="398" t="s">
        <v>567</v>
      </c>
      <c r="F174" s="346"/>
      <c r="G174" s="346"/>
    </row>
    <row r="175" spans="1:7" x14ac:dyDescent="0.25">
      <c r="A175" s="346" t="s">
        <v>568</v>
      </c>
      <c r="F175" s="346"/>
      <c r="G175" s="346"/>
    </row>
    <row r="176" spans="1:7" x14ac:dyDescent="0.25">
      <c r="A176" s="361" t="s">
        <v>569</v>
      </c>
      <c r="B176" s="351" t="s">
        <v>570</v>
      </c>
      <c r="F176" s="346"/>
      <c r="G176" s="346"/>
    </row>
    <row r="177" spans="1:7" x14ac:dyDescent="0.25">
      <c r="A177" s="346" t="s">
        <v>571</v>
      </c>
      <c r="F177" s="346"/>
      <c r="G177" s="346"/>
    </row>
    <row r="178" spans="1:7" x14ac:dyDescent="0.25">
      <c r="A178" s="361" t="s">
        <v>572</v>
      </c>
      <c r="F178" s="346"/>
      <c r="G178" s="346"/>
    </row>
    <row r="179" spans="1:7" x14ac:dyDescent="0.25">
      <c r="A179" s="346" t="s">
        <v>573</v>
      </c>
      <c r="B179" s="346"/>
      <c r="F179" s="346"/>
      <c r="G179" s="346"/>
    </row>
    <row r="180" spans="1:7" x14ac:dyDescent="0.25">
      <c r="A180" s="346" t="s">
        <v>574</v>
      </c>
      <c r="F180" s="346"/>
      <c r="G180" s="346"/>
    </row>
    <row r="181" spans="1:7" x14ac:dyDescent="0.25">
      <c r="A181" s="346" t="s">
        <v>575</v>
      </c>
      <c r="B181" s="399" t="s">
        <v>576</v>
      </c>
      <c r="F181" s="346"/>
      <c r="G181" s="346"/>
    </row>
    <row r="182" spans="1:7" x14ac:dyDescent="0.25">
      <c r="A182" s="361" t="s">
        <v>577</v>
      </c>
      <c r="B182" s="399" t="s">
        <v>578</v>
      </c>
      <c r="F182" s="346"/>
      <c r="G182" s="346"/>
    </row>
    <row r="183" spans="1:7" x14ac:dyDescent="0.25">
      <c r="A183" s="346" t="s">
        <v>579</v>
      </c>
      <c r="B183" s="361"/>
      <c r="F183" s="346"/>
      <c r="G183" s="346"/>
    </row>
    <row r="184" spans="1:7" x14ac:dyDescent="0.25">
      <c r="A184" s="346" t="s">
        <v>580</v>
      </c>
      <c r="F184" s="346"/>
      <c r="G184" s="346"/>
    </row>
    <row r="185" spans="1:7" x14ac:dyDescent="0.25">
      <c r="A185" s="346" t="s">
        <v>581</v>
      </c>
    </row>
    <row r="186" spans="1:7" x14ac:dyDescent="0.25">
      <c r="A186" s="346" t="s">
        <v>582</v>
      </c>
      <c r="F186" s="346"/>
      <c r="G186" s="346"/>
    </row>
    <row r="187" spans="1:7" x14ac:dyDescent="0.25">
      <c r="A187" s="346" t="s">
        <v>583</v>
      </c>
      <c r="F187" s="346"/>
      <c r="G187" s="346"/>
    </row>
    <row r="188" spans="1:7" x14ac:dyDescent="0.25">
      <c r="A188" s="346" t="s">
        <v>584</v>
      </c>
      <c r="F188" s="346"/>
      <c r="G188" s="346"/>
    </row>
    <row r="189" spans="1:7" x14ac:dyDescent="0.25">
      <c r="A189" s="346" t="s">
        <v>585</v>
      </c>
      <c r="F189" s="346"/>
      <c r="G189" s="346"/>
    </row>
    <row r="190" spans="1:7" x14ac:dyDescent="0.25">
      <c r="A190" s="346" t="s">
        <v>586</v>
      </c>
      <c r="B190" s="361"/>
    </row>
    <row r="191" spans="1:7" x14ac:dyDescent="0.25">
      <c r="A191" s="346" t="s">
        <v>587</v>
      </c>
      <c r="F191" s="346"/>
      <c r="G191" s="346"/>
    </row>
    <row r="192" spans="1:7" x14ac:dyDescent="0.25">
      <c r="A192" s="346" t="s">
        <v>588</v>
      </c>
      <c r="C192" s="361" t="s">
        <v>589</v>
      </c>
      <c r="F192" s="346"/>
      <c r="G192" s="346"/>
    </row>
    <row r="193" spans="1:7" x14ac:dyDescent="0.25">
      <c r="A193" s="346" t="s">
        <v>590</v>
      </c>
      <c r="C193" s="361"/>
      <c r="F193" s="346"/>
      <c r="G193" s="346"/>
    </row>
    <row r="194" spans="1:7" x14ac:dyDescent="0.25">
      <c r="A194" s="346" t="s">
        <v>591</v>
      </c>
      <c r="B194" s="346" t="s">
        <v>592</v>
      </c>
      <c r="F194" s="346"/>
      <c r="G194" s="346"/>
    </row>
    <row r="195" spans="1:7" x14ac:dyDescent="0.25">
      <c r="A195" s="346" t="s">
        <v>593</v>
      </c>
      <c r="F195" s="346"/>
      <c r="G195" s="346"/>
    </row>
    <row r="196" spans="1:7" x14ac:dyDescent="0.25">
      <c r="A196" s="346" t="s">
        <v>594</v>
      </c>
      <c r="F196" s="346"/>
      <c r="G196" s="346"/>
    </row>
    <row r="197" spans="1:7" x14ac:dyDescent="0.25">
      <c r="A197" s="346" t="s">
        <v>595</v>
      </c>
    </row>
    <row r="198" spans="1:7" x14ac:dyDescent="0.25">
      <c r="A198" s="346" t="s">
        <v>596</v>
      </c>
      <c r="B198" s="361"/>
      <c r="F198" s="346"/>
      <c r="G198" s="346"/>
    </row>
    <row r="199" spans="1:7" x14ac:dyDescent="0.25">
      <c r="A199" s="346" t="s">
        <v>597</v>
      </c>
      <c r="B199" s="361"/>
      <c r="F199" s="346"/>
      <c r="G199" s="346"/>
    </row>
    <row r="200" spans="1:7" x14ac:dyDescent="0.25">
      <c r="A200" s="346" t="s">
        <v>598</v>
      </c>
      <c r="B200" s="361"/>
      <c r="F200" s="346"/>
      <c r="G200" s="346"/>
    </row>
    <row r="201" spans="1:7" x14ac:dyDescent="0.25">
      <c r="A201" s="346" t="s">
        <v>599</v>
      </c>
      <c r="F201" s="346"/>
      <c r="G201" s="346"/>
    </row>
    <row r="202" spans="1:7" x14ac:dyDescent="0.25">
      <c r="F202" s="346"/>
      <c r="G202" s="346"/>
    </row>
    <row r="203" spans="1:7" x14ac:dyDescent="0.25">
      <c r="A203" s="398" t="s">
        <v>600</v>
      </c>
      <c r="E203" s="399"/>
      <c r="F203" s="346"/>
      <c r="G203" s="346"/>
    </row>
    <row r="204" spans="1:7" x14ac:dyDescent="0.25">
      <c r="A204" s="361" t="s">
        <v>601</v>
      </c>
      <c r="E204" s="400"/>
      <c r="F204" s="346"/>
      <c r="G204" s="346"/>
    </row>
    <row r="205" spans="1:7" x14ac:dyDescent="0.25">
      <c r="A205" s="361" t="s">
        <v>602</v>
      </c>
      <c r="E205" s="400"/>
      <c r="F205" s="346"/>
      <c r="G205" s="346"/>
    </row>
    <row r="206" spans="1:7" x14ac:dyDescent="0.25">
      <c r="A206" s="361" t="s">
        <v>603</v>
      </c>
      <c r="E206" s="400"/>
      <c r="F206" s="346"/>
      <c r="G206" s="346"/>
    </row>
    <row r="207" spans="1:7" x14ac:dyDescent="0.25">
      <c r="A207" s="361" t="s">
        <v>604</v>
      </c>
      <c r="E207" s="400"/>
      <c r="F207" s="346"/>
      <c r="G207" s="346"/>
    </row>
    <row r="208" spans="1:7" x14ac:dyDescent="0.25">
      <c r="A208" s="346" t="s">
        <v>605</v>
      </c>
      <c r="E208" s="400"/>
      <c r="F208" s="346"/>
      <c r="G208" s="346"/>
    </row>
    <row r="209" spans="1:7" x14ac:dyDescent="0.25">
      <c r="D209" s="399"/>
      <c r="E209" s="400"/>
      <c r="F209" s="346"/>
      <c r="G209" s="346"/>
    </row>
    <row r="210" spans="1:7" x14ac:dyDescent="0.25">
      <c r="A210" s="397" t="s">
        <v>606</v>
      </c>
      <c r="D210" s="399"/>
      <c r="E210" s="399"/>
      <c r="F210" s="346"/>
      <c r="G210" s="346"/>
    </row>
    <row r="211" spans="1:7" x14ac:dyDescent="0.25">
      <c r="A211" s="361" t="s">
        <v>607</v>
      </c>
      <c r="D211" s="399"/>
      <c r="E211" s="400"/>
    </row>
    <row r="212" spans="1:7" x14ac:dyDescent="0.25">
      <c r="A212" s="361" t="s">
        <v>608</v>
      </c>
      <c r="D212" s="399"/>
      <c r="E212" s="400"/>
      <c r="F212" s="346"/>
      <c r="G212" s="346"/>
    </row>
    <row r="213" spans="1:7" x14ac:dyDescent="0.25">
      <c r="A213" s="361" t="s">
        <v>609</v>
      </c>
      <c r="D213" s="399"/>
      <c r="E213" s="400"/>
      <c r="F213" s="346"/>
      <c r="G213" s="346"/>
    </row>
    <row r="214" spans="1:7" x14ac:dyDescent="0.25">
      <c r="F214" s="346"/>
      <c r="G214" s="346"/>
    </row>
    <row r="215" spans="1:7" x14ac:dyDescent="0.25">
      <c r="A215" s="398" t="s">
        <v>610</v>
      </c>
      <c r="F215" s="346"/>
      <c r="G215" s="346"/>
    </row>
    <row r="216" spans="1:7" x14ac:dyDescent="0.25">
      <c r="A216" s="361" t="s">
        <v>611</v>
      </c>
      <c r="F216" s="346"/>
      <c r="G216" s="346"/>
    </row>
    <row r="217" spans="1:7" x14ac:dyDescent="0.25">
      <c r="A217" s="361" t="s">
        <v>612</v>
      </c>
      <c r="F217" s="346"/>
      <c r="G217" s="346"/>
    </row>
    <row r="218" spans="1:7" x14ac:dyDescent="0.25">
      <c r="A218" s="361" t="s">
        <v>613</v>
      </c>
    </row>
    <row r="219" spans="1:7" x14ac:dyDescent="0.25">
      <c r="A219" s="361" t="s">
        <v>614</v>
      </c>
    </row>
    <row r="220" spans="1:7" x14ac:dyDescent="0.25">
      <c r="A220" s="361" t="s">
        <v>615</v>
      </c>
    </row>
    <row r="221" spans="1:7" x14ac:dyDescent="0.25">
      <c r="A221" s="361" t="s">
        <v>616</v>
      </c>
    </row>
    <row r="222" spans="1:7" x14ac:dyDescent="0.25">
      <c r="A222" s="361" t="s">
        <v>617</v>
      </c>
    </row>
    <row r="223" spans="1:7" x14ac:dyDescent="0.25">
      <c r="A223" s="361" t="s">
        <v>618</v>
      </c>
    </row>
    <row r="224" spans="1:7" x14ac:dyDescent="0.25">
      <c r="A224" s="361" t="s">
        <v>619</v>
      </c>
    </row>
    <row r="225" spans="1:7" ht="15.75" thickBot="1" x14ac:dyDescent="0.3"/>
    <row r="226" spans="1:7" x14ac:dyDescent="0.25">
      <c r="A226" s="401" t="s">
        <v>620</v>
      </c>
      <c r="B226" s="402"/>
      <c r="C226" s="403" t="s">
        <v>621</v>
      </c>
      <c r="D226" s="404" t="s">
        <v>622</v>
      </c>
      <c r="E226" s="405"/>
      <c r="F226" s="406"/>
      <c r="G226" s="346"/>
    </row>
    <row r="227" spans="1:7" x14ac:dyDescent="0.25">
      <c r="A227" s="407" t="s">
        <v>623</v>
      </c>
      <c r="B227" s="408" t="s">
        <v>624</v>
      </c>
      <c r="C227" s="409" t="s">
        <v>625</v>
      </c>
      <c r="D227" s="410" t="s">
        <v>626</v>
      </c>
      <c r="E227" s="410"/>
      <c r="F227" s="411"/>
      <c r="G227" s="346"/>
    </row>
    <row r="228" spans="1:7" x14ac:dyDescent="0.25">
      <c r="A228" s="407" t="s">
        <v>627</v>
      </c>
      <c r="B228" s="408" t="s">
        <v>624</v>
      </c>
      <c r="C228" s="409" t="s">
        <v>628</v>
      </c>
      <c r="D228" s="410" t="s">
        <v>629</v>
      </c>
      <c r="E228" s="410"/>
      <c r="F228" s="411"/>
      <c r="G228" s="346"/>
    </row>
    <row r="229" spans="1:7" x14ac:dyDescent="0.25">
      <c r="A229" s="407" t="s">
        <v>630</v>
      </c>
      <c r="B229" s="408" t="s">
        <v>624</v>
      </c>
      <c r="C229" s="409" t="s">
        <v>628</v>
      </c>
      <c r="D229" s="410" t="s">
        <v>631</v>
      </c>
      <c r="E229" s="410"/>
      <c r="F229" s="411"/>
      <c r="G229" s="346"/>
    </row>
    <row r="230" spans="1:7" x14ac:dyDescent="0.25">
      <c r="A230" s="407" t="s">
        <v>632</v>
      </c>
      <c r="B230" s="412" t="s">
        <v>624</v>
      </c>
      <c r="C230" s="409" t="s">
        <v>628</v>
      </c>
      <c r="D230" s="410" t="s">
        <v>633</v>
      </c>
      <c r="E230" s="410"/>
      <c r="F230" s="411"/>
      <c r="G230" s="346"/>
    </row>
    <row r="231" spans="1:7" x14ac:dyDescent="0.25">
      <c r="A231" s="407" t="s">
        <v>634</v>
      </c>
      <c r="B231" s="408" t="s">
        <v>624</v>
      </c>
      <c r="C231" s="409" t="s">
        <v>635</v>
      </c>
      <c r="D231" s="410" t="s">
        <v>636</v>
      </c>
      <c r="E231" s="410"/>
      <c r="F231" s="411"/>
      <c r="G231" s="346"/>
    </row>
    <row r="232" spans="1:7" x14ac:dyDescent="0.25">
      <c r="A232" s="407" t="s">
        <v>637</v>
      </c>
      <c r="B232" s="408" t="s">
        <v>624</v>
      </c>
      <c r="C232" s="409" t="s">
        <v>638</v>
      </c>
      <c r="D232" s="410" t="s">
        <v>639</v>
      </c>
      <c r="E232" s="410"/>
      <c r="F232" s="411"/>
      <c r="G232" s="346"/>
    </row>
    <row r="233" spans="1:7" x14ac:dyDescent="0.25">
      <c r="A233" s="407" t="s">
        <v>640</v>
      </c>
      <c r="B233" s="408" t="s">
        <v>624</v>
      </c>
      <c r="C233" s="409" t="s">
        <v>641</v>
      </c>
      <c r="D233" s="410" t="s">
        <v>642</v>
      </c>
      <c r="E233" s="410"/>
      <c r="F233" s="411"/>
      <c r="G233" s="346"/>
    </row>
    <row r="234" spans="1:7" x14ac:dyDescent="0.25">
      <c r="A234" s="407" t="s">
        <v>635</v>
      </c>
      <c r="B234" s="408" t="s">
        <v>624</v>
      </c>
      <c r="C234" s="409" t="s">
        <v>643</v>
      </c>
      <c r="D234" s="410" t="s">
        <v>644</v>
      </c>
      <c r="E234" s="410"/>
      <c r="F234" s="411"/>
      <c r="G234" s="346"/>
    </row>
    <row r="235" spans="1:7" x14ac:dyDescent="0.25">
      <c r="A235" s="407" t="s">
        <v>645</v>
      </c>
      <c r="B235" s="408" t="s">
        <v>624</v>
      </c>
      <c r="C235" s="409" t="s">
        <v>643</v>
      </c>
      <c r="D235" s="410" t="s">
        <v>646</v>
      </c>
      <c r="E235" s="410"/>
      <c r="F235" s="411"/>
      <c r="G235" s="346"/>
    </row>
    <row r="236" spans="1:7" x14ac:dyDescent="0.25">
      <c r="A236" s="407" t="s">
        <v>647</v>
      </c>
      <c r="B236" s="408" t="s">
        <v>624</v>
      </c>
      <c r="C236" s="409" t="s">
        <v>643</v>
      </c>
      <c r="D236" s="410" t="s">
        <v>648</v>
      </c>
      <c r="E236" s="410"/>
      <c r="F236" s="411"/>
      <c r="G236" s="346"/>
    </row>
    <row r="237" spans="1:7" x14ac:dyDescent="0.25">
      <c r="A237" s="407" t="s">
        <v>649</v>
      </c>
      <c r="B237" s="408" t="s">
        <v>624</v>
      </c>
      <c r="C237" s="409" t="s">
        <v>630</v>
      </c>
      <c r="D237" s="412" t="s">
        <v>650</v>
      </c>
      <c r="E237" s="410"/>
      <c r="F237" s="411"/>
      <c r="G237" s="346"/>
    </row>
    <row r="238" spans="1:7" x14ac:dyDescent="0.25">
      <c r="A238" s="407" t="s">
        <v>651</v>
      </c>
      <c r="B238" s="408" t="s">
        <v>624</v>
      </c>
      <c r="C238" s="409" t="s">
        <v>630</v>
      </c>
      <c r="D238" s="410" t="s">
        <v>652</v>
      </c>
      <c r="E238" s="410"/>
      <c r="F238" s="411"/>
      <c r="G238" s="346"/>
    </row>
    <row r="239" spans="1:7" x14ac:dyDescent="0.25">
      <c r="A239" s="407" t="s">
        <v>653</v>
      </c>
      <c r="B239" s="408" t="s">
        <v>654</v>
      </c>
      <c r="C239" s="409" t="s">
        <v>655</v>
      </c>
      <c r="D239" s="410" t="s">
        <v>656</v>
      </c>
      <c r="E239" s="410"/>
      <c r="F239" s="411"/>
      <c r="G239" s="346"/>
    </row>
    <row r="240" spans="1:7" x14ac:dyDescent="0.25">
      <c r="A240" s="407" t="s">
        <v>657</v>
      </c>
      <c r="B240" s="408" t="s">
        <v>654</v>
      </c>
      <c r="C240" s="409" t="s">
        <v>632</v>
      </c>
      <c r="D240" s="410" t="s">
        <v>658</v>
      </c>
      <c r="E240" s="410"/>
      <c r="F240" s="411"/>
      <c r="G240" s="346"/>
    </row>
    <row r="241" spans="1:7" x14ac:dyDescent="0.25">
      <c r="A241" s="407" t="s">
        <v>659</v>
      </c>
      <c r="B241" s="408" t="s">
        <v>660</v>
      </c>
      <c r="C241" s="409" t="s">
        <v>640</v>
      </c>
      <c r="D241" s="410" t="s">
        <v>661</v>
      </c>
      <c r="E241" s="410"/>
      <c r="F241" s="411"/>
      <c r="G241" s="346"/>
    </row>
    <row r="242" spans="1:7" x14ac:dyDescent="0.25">
      <c r="A242" s="407" t="s">
        <v>655</v>
      </c>
      <c r="B242" s="412" t="s">
        <v>660</v>
      </c>
      <c r="C242" s="409" t="s">
        <v>657</v>
      </c>
      <c r="D242" s="410" t="s">
        <v>662</v>
      </c>
      <c r="E242" s="410"/>
      <c r="F242" s="411"/>
      <c r="G242" s="346"/>
    </row>
    <row r="243" spans="1:7" x14ac:dyDescent="0.25">
      <c r="A243" s="407" t="s">
        <v>641</v>
      </c>
      <c r="B243" s="412" t="s">
        <v>660</v>
      </c>
      <c r="C243" s="409" t="s">
        <v>657</v>
      </c>
      <c r="D243" s="410" t="s">
        <v>663</v>
      </c>
      <c r="E243" s="410"/>
      <c r="F243" s="411"/>
      <c r="G243" s="346"/>
    </row>
    <row r="244" spans="1:7" x14ac:dyDescent="0.25">
      <c r="A244" s="407" t="s">
        <v>664</v>
      </c>
      <c r="B244" s="412" t="s">
        <v>660</v>
      </c>
      <c r="C244" s="409" t="s">
        <v>637</v>
      </c>
      <c r="D244" s="410" t="s">
        <v>665</v>
      </c>
      <c r="E244" s="410"/>
      <c r="F244" s="411"/>
      <c r="G244" s="346"/>
    </row>
    <row r="245" spans="1:7" x14ac:dyDescent="0.25">
      <c r="A245" s="407" t="s">
        <v>666</v>
      </c>
      <c r="B245" s="408" t="s">
        <v>660</v>
      </c>
      <c r="C245" s="409" t="s">
        <v>666</v>
      </c>
      <c r="D245" s="410" t="s">
        <v>667</v>
      </c>
      <c r="E245" s="410"/>
      <c r="F245" s="411"/>
      <c r="G245" s="346"/>
    </row>
    <row r="246" spans="1:7" x14ac:dyDescent="0.25">
      <c r="A246" s="407" t="s">
        <v>668</v>
      </c>
      <c r="B246" s="408" t="s">
        <v>660</v>
      </c>
      <c r="C246" s="409" t="s">
        <v>627</v>
      </c>
      <c r="D246" s="410" t="s">
        <v>669</v>
      </c>
      <c r="E246" s="410"/>
      <c r="F246" s="411"/>
      <c r="G246" s="346"/>
    </row>
    <row r="247" spans="1:7" x14ac:dyDescent="0.25">
      <c r="A247" s="407" t="s">
        <v>670</v>
      </c>
      <c r="B247" s="408" t="s">
        <v>660</v>
      </c>
      <c r="C247" s="409" t="s">
        <v>632</v>
      </c>
      <c r="D247" s="410" t="s">
        <v>671</v>
      </c>
      <c r="E247" s="410"/>
      <c r="F247" s="411"/>
      <c r="G247" s="346"/>
    </row>
    <row r="248" spans="1:7" x14ac:dyDescent="0.25">
      <c r="A248" s="407" t="s">
        <v>672</v>
      </c>
      <c r="B248" s="412" t="s">
        <v>660</v>
      </c>
      <c r="C248" s="409" t="s">
        <v>634</v>
      </c>
      <c r="D248" s="410" t="s">
        <v>673</v>
      </c>
      <c r="E248" s="410"/>
      <c r="F248" s="411"/>
      <c r="G248" s="346"/>
    </row>
    <row r="249" spans="1:7" x14ac:dyDescent="0.25">
      <c r="A249" s="407" t="s">
        <v>674</v>
      </c>
      <c r="B249" s="408" t="s">
        <v>660</v>
      </c>
      <c r="C249" s="409" t="s">
        <v>634</v>
      </c>
      <c r="D249" s="410" t="s">
        <v>675</v>
      </c>
      <c r="E249" s="410"/>
      <c r="F249" s="411"/>
      <c r="G249" s="346"/>
    </row>
    <row r="250" spans="1:7" x14ac:dyDescent="0.25">
      <c r="A250" s="407" t="s">
        <v>676</v>
      </c>
      <c r="B250" s="408" t="s">
        <v>677</v>
      </c>
      <c r="C250" s="409" t="s">
        <v>623</v>
      </c>
      <c r="D250" s="410" t="s">
        <v>678</v>
      </c>
      <c r="E250" s="410"/>
      <c r="F250" s="411"/>
      <c r="G250" s="346"/>
    </row>
    <row r="251" spans="1:7" x14ac:dyDescent="0.25">
      <c r="A251" s="407" t="s">
        <v>625</v>
      </c>
      <c r="B251" s="408" t="s">
        <v>677</v>
      </c>
      <c r="C251" s="409" t="s">
        <v>623</v>
      </c>
      <c r="D251" s="410" t="s">
        <v>679</v>
      </c>
      <c r="E251" s="410"/>
      <c r="F251" s="411"/>
      <c r="G251" s="346"/>
    </row>
    <row r="252" spans="1:7" x14ac:dyDescent="0.25">
      <c r="A252" s="407" t="s">
        <v>680</v>
      </c>
      <c r="B252" s="408" t="s">
        <v>677</v>
      </c>
      <c r="C252" s="409" t="s">
        <v>623</v>
      </c>
      <c r="D252" s="410" t="s">
        <v>681</v>
      </c>
      <c r="E252" s="410"/>
      <c r="F252" s="411"/>
      <c r="G252" s="346"/>
    </row>
    <row r="253" spans="1:7" x14ac:dyDescent="0.25">
      <c r="A253" s="407" t="s">
        <v>682</v>
      </c>
      <c r="B253" s="408" t="s">
        <v>677</v>
      </c>
      <c r="C253" s="409" t="s">
        <v>645</v>
      </c>
      <c r="D253" s="410" t="s">
        <v>683</v>
      </c>
      <c r="E253" s="410"/>
      <c r="F253" s="411"/>
      <c r="G253" s="346"/>
    </row>
    <row r="254" spans="1:7" x14ac:dyDescent="0.25">
      <c r="A254" s="407" t="s">
        <v>638</v>
      </c>
      <c r="B254" s="408" t="s">
        <v>677</v>
      </c>
      <c r="C254" s="409" t="s">
        <v>649</v>
      </c>
      <c r="D254" s="410" t="s">
        <v>684</v>
      </c>
      <c r="E254" s="410"/>
      <c r="F254" s="411"/>
      <c r="G254" s="346"/>
    </row>
    <row r="255" spans="1:7" x14ac:dyDescent="0.25">
      <c r="A255" s="407" t="s">
        <v>685</v>
      </c>
      <c r="B255" s="408" t="s">
        <v>677</v>
      </c>
      <c r="C255" s="409" t="s">
        <v>649</v>
      </c>
      <c r="D255" s="410" t="s">
        <v>686</v>
      </c>
      <c r="E255" s="410"/>
      <c r="F255" s="411"/>
      <c r="G255" s="346"/>
    </row>
    <row r="256" spans="1:7" x14ac:dyDescent="0.25">
      <c r="A256" s="407" t="s">
        <v>687</v>
      </c>
      <c r="B256" s="408" t="s">
        <v>677</v>
      </c>
      <c r="C256" s="409" t="s">
        <v>649</v>
      </c>
      <c r="D256" s="410" t="s">
        <v>688</v>
      </c>
      <c r="E256" s="410"/>
      <c r="F256" s="411"/>
      <c r="G256" s="346"/>
    </row>
    <row r="257" spans="1:7" x14ac:dyDescent="0.25">
      <c r="A257" s="407" t="s">
        <v>689</v>
      </c>
      <c r="B257" s="408" t="s">
        <v>689</v>
      </c>
      <c r="C257" s="409" t="s">
        <v>653</v>
      </c>
      <c r="D257" s="410" t="s">
        <v>690</v>
      </c>
      <c r="E257" s="410"/>
      <c r="F257" s="411"/>
      <c r="G257" s="346"/>
    </row>
    <row r="258" spans="1:7" x14ac:dyDescent="0.25">
      <c r="A258" s="407" t="s">
        <v>628</v>
      </c>
      <c r="B258" s="408" t="s">
        <v>628</v>
      </c>
      <c r="C258" s="409" t="s">
        <v>653</v>
      </c>
      <c r="D258" s="410" t="s">
        <v>691</v>
      </c>
      <c r="E258" s="410"/>
      <c r="F258" s="411"/>
      <c r="G258" s="346"/>
    </row>
    <row r="259" spans="1:7" ht="15.75" thickBot="1" x14ac:dyDescent="0.3">
      <c r="A259" s="413" t="s">
        <v>643</v>
      </c>
      <c r="B259" s="414" t="s">
        <v>643</v>
      </c>
      <c r="C259" s="409" t="s">
        <v>653</v>
      </c>
      <c r="D259" s="410" t="s">
        <v>692</v>
      </c>
      <c r="E259" s="410"/>
      <c r="F259" s="411"/>
      <c r="G259" s="346"/>
    </row>
    <row r="260" spans="1:7" x14ac:dyDescent="0.25">
      <c r="C260" s="409" t="s">
        <v>627</v>
      </c>
      <c r="D260" s="410" t="s">
        <v>693</v>
      </c>
      <c r="E260" s="410"/>
      <c r="F260" s="411"/>
      <c r="G260" s="346"/>
    </row>
    <row r="261" spans="1:7" x14ac:dyDescent="0.25">
      <c r="C261" s="409" t="s">
        <v>627</v>
      </c>
      <c r="D261" s="410" t="s">
        <v>694</v>
      </c>
      <c r="E261" s="410"/>
      <c r="F261" s="411"/>
      <c r="G261" s="346"/>
    </row>
    <row r="262" spans="1:7" x14ac:dyDescent="0.25">
      <c r="C262" s="409" t="s">
        <v>627</v>
      </c>
      <c r="D262" s="410" t="s">
        <v>695</v>
      </c>
      <c r="E262" s="410"/>
      <c r="F262" s="411"/>
      <c r="G262" s="346"/>
    </row>
    <row r="263" spans="1:7" x14ac:dyDescent="0.25">
      <c r="C263" s="409" t="s">
        <v>651</v>
      </c>
      <c r="D263" s="410" t="s">
        <v>696</v>
      </c>
      <c r="E263" s="410"/>
      <c r="F263" s="411"/>
      <c r="G263" s="346"/>
    </row>
    <row r="264" spans="1:7" x14ac:dyDescent="0.25">
      <c r="C264" s="409" t="s">
        <v>632</v>
      </c>
      <c r="D264" s="410" t="s">
        <v>697</v>
      </c>
      <c r="E264" s="410"/>
      <c r="F264" s="411"/>
      <c r="G264" s="346"/>
    </row>
    <row r="265" spans="1:7" x14ac:dyDescent="0.25">
      <c r="C265" s="409" t="s">
        <v>647</v>
      </c>
      <c r="D265" s="410" t="s">
        <v>698</v>
      </c>
      <c r="E265" s="410"/>
      <c r="F265" s="411"/>
      <c r="G265" s="346"/>
    </row>
    <row r="266" spans="1:7" x14ac:dyDescent="0.25">
      <c r="C266" s="409" t="s">
        <v>655</v>
      </c>
      <c r="D266" s="410" t="s">
        <v>699</v>
      </c>
      <c r="E266" s="410"/>
      <c r="F266" s="411"/>
      <c r="G266" s="346"/>
    </row>
    <row r="267" spans="1:7" x14ac:dyDescent="0.25">
      <c r="C267" s="409" t="s">
        <v>628</v>
      </c>
      <c r="D267" s="410" t="s">
        <v>700</v>
      </c>
      <c r="E267" s="410"/>
      <c r="F267" s="411"/>
      <c r="G267" s="346"/>
    </row>
    <row r="268" spans="1:7" x14ac:dyDescent="0.25">
      <c r="C268" s="409" t="s">
        <v>628</v>
      </c>
      <c r="D268" s="410" t="s">
        <v>701</v>
      </c>
      <c r="E268" s="410"/>
      <c r="F268" s="411"/>
      <c r="G268" s="346"/>
    </row>
    <row r="269" spans="1:7" x14ac:dyDescent="0.25">
      <c r="B269" s="346"/>
      <c r="C269" s="409" t="s">
        <v>641</v>
      </c>
      <c r="D269" s="410" t="s">
        <v>702</v>
      </c>
      <c r="E269" s="410"/>
      <c r="F269" s="411"/>
      <c r="G269" s="346"/>
    </row>
    <row r="270" spans="1:7" x14ac:dyDescent="0.25">
      <c r="B270" s="346"/>
      <c r="C270" s="409" t="s">
        <v>641</v>
      </c>
      <c r="D270" s="410" t="s">
        <v>703</v>
      </c>
      <c r="E270" s="410"/>
      <c r="F270" s="411"/>
      <c r="G270" s="346"/>
    </row>
    <row r="271" spans="1:7" x14ac:dyDescent="0.25">
      <c r="B271" s="346"/>
      <c r="C271" s="409" t="s">
        <v>672</v>
      </c>
      <c r="D271" s="410" t="s">
        <v>704</v>
      </c>
      <c r="E271" s="410"/>
      <c r="F271" s="411"/>
      <c r="G271" s="346"/>
    </row>
    <row r="272" spans="1:7" x14ac:dyDescent="0.25">
      <c r="B272" s="346"/>
      <c r="C272" s="409" t="s">
        <v>670</v>
      </c>
      <c r="D272" s="410" t="s">
        <v>705</v>
      </c>
      <c r="E272" s="410"/>
      <c r="F272" s="411"/>
      <c r="G272" s="346"/>
    </row>
    <row r="273" spans="2:7" x14ac:dyDescent="0.25">
      <c r="B273" s="346"/>
      <c r="C273" s="409" t="s">
        <v>670</v>
      </c>
      <c r="D273" s="410" t="s">
        <v>706</v>
      </c>
      <c r="E273" s="410"/>
      <c r="F273" s="411"/>
      <c r="G273" s="346"/>
    </row>
    <row r="274" spans="2:7" x14ac:dyDescent="0.25">
      <c r="B274" s="346"/>
      <c r="C274" s="409" t="s">
        <v>670</v>
      </c>
      <c r="D274" s="410" t="s">
        <v>707</v>
      </c>
      <c r="E274" s="410"/>
      <c r="F274" s="411"/>
      <c r="G274" s="346"/>
    </row>
    <row r="275" spans="2:7" x14ac:dyDescent="0.25">
      <c r="B275" s="346"/>
      <c r="C275" s="409" t="s">
        <v>659</v>
      </c>
      <c r="D275" s="410" t="s">
        <v>708</v>
      </c>
      <c r="E275" s="410"/>
      <c r="F275" s="411"/>
      <c r="G275" s="346"/>
    </row>
    <row r="276" spans="2:7" x14ac:dyDescent="0.25">
      <c r="B276" s="346"/>
      <c r="C276" s="409" t="s">
        <v>659</v>
      </c>
      <c r="D276" s="410" t="s">
        <v>709</v>
      </c>
      <c r="E276" s="410"/>
      <c r="F276" s="411"/>
      <c r="G276" s="346"/>
    </row>
    <row r="277" spans="2:7" x14ac:dyDescent="0.25">
      <c r="B277" s="346"/>
      <c r="C277" s="409" t="s">
        <v>659</v>
      </c>
      <c r="D277" s="410" t="s">
        <v>710</v>
      </c>
      <c r="E277" s="410"/>
      <c r="F277" s="411"/>
      <c r="G277" s="346"/>
    </row>
    <row r="278" spans="2:7" x14ac:dyDescent="0.25">
      <c r="B278" s="346"/>
      <c r="C278" s="409" t="s">
        <v>664</v>
      </c>
      <c r="D278" s="410" t="s">
        <v>711</v>
      </c>
      <c r="E278" s="410"/>
      <c r="F278" s="411"/>
      <c r="G278" s="346"/>
    </row>
    <row r="279" spans="2:7" x14ac:dyDescent="0.25">
      <c r="B279" s="346"/>
      <c r="C279" s="409" t="s">
        <v>664</v>
      </c>
      <c r="D279" s="410" t="s">
        <v>712</v>
      </c>
      <c r="E279" s="410"/>
      <c r="F279" s="411"/>
      <c r="G279" s="346"/>
    </row>
    <row r="280" spans="2:7" x14ac:dyDescent="0.25">
      <c r="B280" s="346"/>
      <c r="C280" s="409" t="s">
        <v>664</v>
      </c>
      <c r="D280" s="410" t="s">
        <v>713</v>
      </c>
      <c r="E280" s="410"/>
      <c r="F280" s="411"/>
      <c r="G280" s="346"/>
    </row>
    <row r="281" spans="2:7" x14ac:dyDescent="0.25">
      <c r="B281" s="346"/>
      <c r="C281" s="409" t="s">
        <v>668</v>
      </c>
      <c r="D281" s="410" t="s">
        <v>714</v>
      </c>
      <c r="E281" s="410"/>
      <c r="F281" s="411"/>
      <c r="G281" s="346"/>
    </row>
    <row r="282" spans="2:7" x14ac:dyDescent="0.25">
      <c r="B282" s="346"/>
      <c r="C282" s="409" t="s">
        <v>668</v>
      </c>
      <c r="D282" s="410" t="s">
        <v>715</v>
      </c>
      <c r="E282" s="410"/>
      <c r="F282" s="411"/>
      <c r="G282" s="346"/>
    </row>
    <row r="283" spans="2:7" x14ac:dyDescent="0.25">
      <c r="B283" s="346"/>
      <c r="C283" s="409" t="s">
        <v>668</v>
      </c>
      <c r="D283" s="410" t="s">
        <v>716</v>
      </c>
      <c r="E283" s="410"/>
      <c r="F283" s="411"/>
      <c r="G283" s="346"/>
    </row>
    <row r="284" spans="2:7" x14ac:dyDescent="0.25">
      <c r="B284" s="346"/>
      <c r="C284" s="409" t="s">
        <v>685</v>
      </c>
      <c r="D284" s="410" t="s">
        <v>717</v>
      </c>
      <c r="E284" s="410"/>
      <c r="F284" s="411"/>
      <c r="G284" s="346"/>
    </row>
    <row r="285" spans="2:7" x14ac:dyDescent="0.25">
      <c r="B285" s="346"/>
      <c r="C285" s="409" t="s">
        <v>674</v>
      </c>
      <c r="D285" s="410" t="s">
        <v>718</v>
      </c>
      <c r="E285" s="410"/>
      <c r="F285" s="411"/>
      <c r="G285" s="346"/>
    </row>
    <row r="286" spans="2:7" x14ac:dyDescent="0.25">
      <c r="B286" s="346"/>
      <c r="C286" s="409" t="s">
        <v>674</v>
      </c>
      <c r="D286" s="410" t="s">
        <v>719</v>
      </c>
      <c r="E286" s="410"/>
      <c r="F286" s="411"/>
      <c r="G286" s="346"/>
    </row>
    <row r="287" spans="2:7" x14ac:dyDescent="0.25">
      <c r="B287" s="346"/>
      <c r="C287" s="409" t="s">
        <v>674</v>
      </c>
      <c r="D287" s="410" t="s">
        <v>720</v>
      </c>
      <c r="E287" s="410"/>
      <c r="F287" s="411"/>
      <c r="G287" s="346"/>
    </row>
    <row r="288" spans="2:7" x14ac:dyDescent="0.25">
      <c r="B288" s="346"/>
      <c r="C288" s="409" t="s">
        <v>674</v>
      </c>
      <c r="D288" s="410" t="s">
        <v>721</v>
      </c>
      <c r="E288" s="410"/>
      <c r="F288" s="411"/>
      <c r="G288" s="346"/>
    </row>
    <row r="289" spans="2:7" x14ac:dyDescent="0.25">
      <c r="B289" s="346"/>
      <c r="C289" s="409" t="s">
        <v>674</v>
      </c>
      <c r="D289" s="410" t="s">
        <v>722</v>
      </c>
      <c r="E289" s="410"/>
      <c r="F289" s="411"/>
      <c r="G289" s="346"/>
    </row>
    <row r="290" spans="2:7" x14ac:dyDescent="0.25">
      <c r="B290" s="346"/>
      <c r="C290" s="409" t="s">
        <v>674</v>
      </c>
      <c r="D290" s="410" t="s">
        <v>723</v>
      </c>
      <c r="E290" s="410"/>
      <c r="F290" s="411"/>
      <c r="G290" s="346"/>
    </row>
    <row r="291" spans="2:7" x14ac:dyDescent="0.25">
      <c r="B291" s="346"/>
      <c r="C291" s="409" t="s">
        <v>655</v>
      </c>
      <c r="D291" s="410" t="s">
        <v>724</v>
      </c>
      <c r="E291" s="410"/>
      <c r="F291" s="411"/>
      <c r="G291" s="346"/>
    </row>
    <row r="292" spans="2:7" x14ac:dyDescent="0.25">
      <c r="B292" s="346"/>
      <c r="C292" s="409" t="s">
        <v>655</v>
      </c>
      <c r="D292" s="410" t="s">
        <v>725</v>
      </c>
      <c r="E292" s="410"/>
      <c r="F292" s="411"/>
      <c r="G292" s="346"/>
    </row>
    <row r="293" spans="2:7" x14ac:dyDescent="0.25">
      <c r="B293" s="346"/>
      <c r="C293" s="409" t="s">
        <v>655</v>
      </c>
      <c r="D293" s="410" t="s">
        <v>726</v>
      </c>
      <c r="E293" s="410"/>
      <c r="F293" s="411"/>
      <c r="G293" s="346"/>
    </row>
    <row r="294" spans="2:7" x14ac:dyDescent="0.25">
      <c r="B294" s="346"/>
      <c r="C294" s="409" t="s">
        <v>638</v>
      </c>
      <c r="D294" s="410" t="s">
        <v>727</v>
      </c>
      <c r="E294" s="410"/>
      <c r="F294" s="411"/>
      <c r="G294" s="346"/>
    </row>
    <row r="295" spans="2:7" x14ac:dyDescent="0.25">
      <c r="B295" s="346"/>
      <c r="C295" s="409" t="s">
        <v>638</v>
      </c>
      <c r="D295" s="410" t="s">
        <v>728</v>
      </c>
      <c r="E295" s="410"/>
      <c r="F295" s="411"/>
      <c r="G295" s="346"/>
    </row>
    <row r="296" spans="2:7" x14ac:dyDescent="0.25">
      <c r="B296" s="346"/>
      <c r="C296" s="409" t="s">
        <v>638</v>
      </c>
      <c r="D296" s="410" t="s">
        <v>729</v>
      </c>
      <c r="E296" s="410"/>
      <c r="F296" s="411"/>
      <c r="G296" s="346"/>
    </row>
    <row r="297" spans="2:7" x14ac:dyDescent="0.25">
      <c r="B297" s="346"/>
      <c r="C297" s="409" t="s">
        <v>682</v>
      </c>
      <c r="D297" s="410" t="s">
        <v>730</v>
      </c>
      <c r="E297" s="410"/>
      <c r="F297" s="411"/>
      <c r="G297" s="346"/>
    </row>
    <row r="298" spans="2:7" x14ac:dyDescent="0.25">
      <c r="B298" s="346"/>
      <c r="C298" s="409" t="s">
        <v>682</v>
      </c>
      <c r="D298" s="410" t="s">
        <v>731</v>
      </c>
      <c r="E298" s="410"/>
      <c r="F298" s="411"/>
      <c r="G298" s="346"/>
    </row>
    <row r="299" spans="2:7" x14ac:dyDescent="0.25">
      <c r="B299" s="346"/>
      <c r="C299" s="409" t="s">
        <v>682</v>
      </c>
      <c r="D299" s="410" t="s">
        <v>732</v>
      </c>
      <c r="E299" s="410"/>
      <c r="F299" s="411"/>
      <c r="G299" s="346"/>
    </row>
    <row r="300" spans="2:7" x14ac:dyDescent="0.25">
      <c r="B300" s="346"/>
      <c r="C300" s="409" t="s">
        <v>676</v>
      </c>
      <c r="D300" s="412" t="s">
        <v>733</v>
      </c>
      <c r="E300" s="410"/>
      <c r="F300" s="411"/>
      <c r="G300" s="346"/>
    </row>
    <row r="301" spans="2:7" x14ac:dyDescent="0.25">
      <c r="B301" s="346"/>
      <c r="C301" s="409" t="s">
        <v>680</v>
      </c>
      <c r="D301" s="412" t="s">
        <v>734</v>
      </c>
      <c r="E301" s="410"/>
      <c r="F301" s="411"/>
      <c r="G301" s="346"/>
    </row>
    <row r="302" spans="2:7" ht="15.75" thickBot="1" x14ac:dyDescent="0.3">
      <c r="B302" s="346"/>
      <c r="C302" s="415" t="s">
        <v>687</v>
      </c>
      <c r="D302" s="416" t="s">
        <v>735</v>
      </c>
      <c r="E302" s="417"/>
      <c r="F302" s="418"/>
      <c r="G302" s="346"/>
    </row>
    <row r="303" spans="2:7" x14ac:dyDescent="0.25">
      <c r="B303" s="346"/>
      <c r="F303" s="346"/>
      <c r="G303" s="346"/>
    </row>
    <row r="304" spans="2:7" x14ac:dyDescent="0.25">
      <c r="B304" s="346"/>
      <c r="G304" s="346"/>
    </row>
    <row r="305" spans="1:7" x14ac:dyDescent="0.25">
      <c r="A305" s="361"/>
      <c r="B305" s="346"/>
      <c r="F305" s="346"/>
      <c r="G305" s="346"/>
    </row>
    <row r="306" spans="1:7" x14ac:dyDescent="0.25">
      <c r="B306" s="346"/>
      <c r="F306" s="346"/>
      <c r="G306" s="346"/>
    </row>
    <row r="307" spans="1:7" x14ac:dyDescent="0.25">
      <c r="A307" s="361"/>
      <c r="B307" s="346"/>
    </row>
    <row r="308" spans="1:7" x14ac:dyDescent="0.25">
      <c r="B308" s="346"/>
    </row>
    <row r="309" spans="1:7" x14ac:dyDescent="0.25">
      <c r="A309" s="361"/>
      <c r="B309" s="346"/>
    </row>
    <row r="310" spans="1:7" x14ac:dyDescent="0.25">
      <c r="A310" s="361"/>
      <c r="B310" s="346"/>
    </row>
    <row r="311" spans="1:7" x14ac:dyDescent="0.25">
      <c r="A311" s="361"/>
      <c r="B311" s="346"/>
    </row>
    <row r="312" spans="1:7" x14ac:dyDescent="0.25">
      <c r="A312" s="361"/>
      <c r="B312" s="346"/>
    </row>
    <row r="313" spans="1:7" x14ac:dyDescent="0.25">
      <c r="A313" s="361"/>
      <c r="B313" s="346"/>
    </row>
    <row r="314" spans="1:7" x14ac:dyDescent="0.25">
      <c r="A314" s="361"/>
      <c r="B314" s="346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06"/>
  <sheetViews>
    <sheetView topLeftCell="A163" workbookViewId="0">
      <selection activeCell="C8" sqref="C8"/>
    </sheetView>
  </sheetViews>
  <sheetFormatPr defaultRowHeight="15" x14ac:dyDescent="0.25"/>
  <cols>
    <col min="1" max="1" width="10.140625" style="419" bestFit="1" customWidth="1"/>
    <col min="2" max="2" width="8.42578125" style="420" customWidth="1"/>
    <col min="3" max="3" width="87.85546875" style="423" customWidth="1"/>
    <col min="4" max="4" width="6.5703125" style="400" customWidth="1"/>
    <col min="5" max="6" width="9.140625" style="400"/>
    <col min="7" max="7" width="10.5703125" style="400" bestFit="1" customWidth="1"/>
    <col min="8" max="16384" width="9.140625" style="400"/>
  </cols>
  <sheetData>
    <row r="1" spans="1:4" ht="15.75" x14ac:dyDescent="0.25">
      <c r="A1" s="836">
        <v>41523</v>
      </c>
      <c r="C1" s="421" t="s">
        <v>736</v>
      </c>
      <c r="D1" s="422">
        <v>606</v>
      </c>
    </row>
    <row r="2" spans="1:4" x14ac:dyDescent="0.25">
      <c r="A2" s="419">
        <v>41523</v>
      </c>
      <c r="B2" s="420">
        <v>0.72687500000000005</v>
      </c>
      <c r="C2" s="423" t="s">
        <v>737</v>
      </c>
    </row>
    <row r="3" spans="1:4" x14ac:dyDescent="0.25">
      <c r="A3" s="419">
        <v>41523</v>
      </c>
      <c r="B3" s="420">
        <v>0.72771990740740744</v>
      </c>
      <c r="C3" s="423" t="s">
        <v>1242</v>
      </c>
    </row>
    <row r="4" spans="1:4" ht="60" x14ac:dyDescent="0.25">
      <c r="A4" s="419">
        <v>41523</v>
      </c>
      <c r="B4" s="420">
        <v>0.72771990740740744</v>
      </c>
      <c r="C4" s="424" t="s">
        <v>1243</v>
      </c>
    </row>
    <row r="5" spans="1:4" x14ac:dyDescent="0.25">
      <c r="A5" s="419">
        <v>41523</v>
      </c>
      <c r="B5" s="420">
        <v>0.73761574074074077</v>
      </c>
      <c r="C5" s="423" t="s">
        <v>1213</v>
      </c>
    </row>
    <row r="6" spans="1:4" ht="60" x14ac:dyDescent="0.25">
      <c r="A6" s="419">
        <v>41523</v>
      </c>
      <c r="B6" s="420">
        <v>0.73761574074074077</v>
      </c>
      <c r="C6" s="424" t="s">
        <v>1244</v>
      </c>
    </row>
    <row r="7" spans="1:4" x14ac:dyDescent="0.25">
      <c r="A7" s="419">
        <v>41523</v>
      </c>
      <c r="B7" s="420">
        <v>0.75233796296296296</v>
      </c>
      <c r="C7" s="423" t="s">
        <v>1217</v>
      </c>
    </row>
    <row r="8" spans="1:4" ht="60" x14ac:dyDescent="0.25">
      <c r="A8" s="419">
        <v>41523</v>
      </c>
      <c r="B8" s="420">
        <v>0.75233796296296296</v>
      </c>
      <c r="C8" s="424" t="s">
        <v>1247</v>
      </c>
    </row>
    <row r="9" spans="1:4" x14ac:dyDescent="0.25">
      <c r="A9" s="419">
        <v>41523</v>
      </c>
      <c r="B9" s="420">
        <v>0.75582175925925921</v>
      </c>
      <c r="C9" s="423" t="s">
        <v>1215</v>
      </c>
    </row>
    <row r="10" spans="1:4" ht="60" x14ac:dyDescent="0.25">
      <c r="A10" s="419">
        <v>41523</v>
      </c>
      <c r="B10" s="420">
        <v>0.75582175925925921</v>
      </c>
      <c r="C10" s="881" t="s">
        <v>1250</v>
      </c>
    </row>
    <row r="11" spans="1:4" x14ac:dyDescent="0.25">
      <c r="A11" s="419">
        <v>41523</v>
      </c>
      <c r="B11" s="420">
        <v>0.75703703703703706</v>
      </c>
      <c r="C11" s="423" t="s">
        <v>1227</v>
      </c>
    </row>
    <row r="12" spans="1:4" ht="60" x14ac:dyDescent="0.25">
      <c r="A12" s="419">
        <v>41523</v>
      </c>
      <c r="B12" s="420">
        <v>0.75703703703703706</v>
      </c>
      <c r="C12" s="424" t="s">
        <v>1251</v>
      </c>
    </row>
    <row r="13" spans="1:4" x14ac:dyDescent="0.25">
      <c r="A13" s="419">
        <v>41523</v>
      </c>
      <c r="B13" s="420">
        <v>0.75818287037037047</v>
      </c>
      <c r="C13" s="423" t="s">
        <v>1216</v>
      </c>
    </row>
    <row r="14" spans="1:4" ht="60" x14ac:dyDescent="0.25">
      <c r="A14" s="419">
        <v>41523</v>
      </c>
      <c r="B14" s="420">
        <v>0.75818287037037047</v>
      </c>
      <c r="C14" s="424" t="s">
        <v>1252</v>
      </c>
    </row>
    <row r="15" spans="1:4" x14ac:dyDescent="0.25">
      <c r="A15" s="419">
        <v>41523</v>
      </c>
      <c r="B15" s="420">
        <v>0.75836805555555553</v>
      </c>
      <c r="C15" s="423" t="s">
        <v>1253</v>
      </c>
    </row>
    <row r="16" spans="1:4" x14ac:dyDescent="0.25">
      <c r="A16" s="419">
        <v>41523</v>
      </c>
      <c r="B16" s="420">
        <v>0.75837962962962957</v>
      </c>
      <c r="C16" s="423" t="s">
        <v>1254</v>
      </c>
    </row>
    <row r="17" spans="1:3" x14ac:dyDescent="0.25">
      <c r="A17" s="419">
        <v>41523</v>
      </c>
      <c r="B17" s="420">
        <v>0.75842592592592595</v>
      </c>
      <c r="C17" s="423" t="s">
        <v>1255</v>
      </c>
    </row>
    <row r="18" spans="1:3" x14ac:dyDescent="0.25">
      <c r="A18" s="419">
        <v>41523</v>
      </c>
      <c r="B18" s="420">
        <v>0.75843749999999999</v>
      </c>
      <c r="C18" s="423" t="s">
        <v>1256</v>
      </c>
    </row>
    <row r="19" spans="1:3" x14ac:dyDescent="0.25">
      <c r="A19" s="419">
        <v>41523</v>
      </c>
      <c r="B19" s="420">
        <v>0.75853009259259263</v>
      </c>
      <c r="C19" s="423" t="s">
        <v>1257</v>
      </c>
    </row>
    <row r="20" spans="1:3" x14ac:dyDescent="0.25">
      <c r="A20" s="419">
        <v>41523</v>
      </c>
      <c r="B20" s="420">
        <v>0.75853009259259263</v>
      </c>
      <c r="C20" s="423" t="s">
        <v>1258</v>
      </c>
    </row>
    <row r="21" spans="1:3" x14ac:dyDescent="0.25">
      <c r="A21" s="419">
        <v>41523</v>
      </c>
      <c r="B21" s="420">
        <v>0.75853009259259263</v>
      </c>
      <c r="C21" s="423" t="s">
        <v>1231</v>
      </c>
    </row>
    <row r="22" spans="1:3" x14ac:dyDescent="0.25">
      <c r="A22" s="419">
        <v>41523</v>
      </c>
      <c r="B22" s="420">
        <v>0.75853009259259263</v>
      </c>
      <c r="C22" s="423" t="s">
        <v>1259</v>
      </c>
    </row>
    <row r="23" spans="1:3" x14ac:dyDescent="0.25">
      <c r="A23" s="419">
        <v>41523</v>
      </c>
      <c r="B23" s="420">
        <v>0.75853009259259263</v>
      </c>
      <c r="C23" s="423" t="s">
        <v>1260</v>
      </c>
    </row>
    <row r="24" spans="1:3" x14ac:dyDescent="0.25">
      <c r="A24" s="419">
        <v>41523</v>
      </c>
      <c r="B24" s="420">
        <v>0.75853009259259263</v>
      </c>
      <c r="C24" s="423" t="s">
        <v>1261</v>
      </c>
    </row>
    <row r="25" spans="1:3" x14ac:dyDescent="0.25">
      <c r="A25" s="419">
        <v>41523</v>
      </c>
      <c r="B25" s="420">
        <v>0.75853009259259263</v>
      </c>
      <c r="C25" s="423" t="s">
        <v>1262</v>
      </c>
    </row>
    <row r="26" spans="1:3" x14ac:dyDescent="0.25">
      <c r="A26" s="419">
        <v>41523</v>
      </c>
      <c r="B26" s="420">
        <v>0.75853009259259263</v>
      </c>
      <c r="C26" s="423" t="s">
        <v>1232</v>
      </c>
    </row>
    <row r="27" spans="1:3" x14ac:dyDescent="0.25">
      <c r="A27" s="419">
        <v>41523</v>
      </c>
      <c r="B27" s="420">
        <v>0.75853009259259263</v>
      </c>
      <c r="C27" s="423" t="s">
        <v>1263</v>
      </c>
    </row>
    <row r="28" spans="1:3" x14ac:dyDescent="0.25">
      <c r="A28" s="419">
        <v>41523</v>
      </c>
      <c r="B28" s="420">
        <v>0.75853009259259263</v>
      </c>
      <c r="C28" s="423" t="s">
        <v>1214</v>
      </c>
    </row>
    <row r="29" spans="1:3" ht="60" x14ac:dyDescent="0.25">
      <c r="A29" s="419">
        <v>41523</v>
      </c>
      <c r="B29" s="420">
        <v>0.75853009259259263</v>
      </c>
      <c r="C29" s="424" t="s">
        <v>1264</v>
      </c>
    </row>
    <row r="30" spans="1:3" x14ac:dyDescent="0.25">
      <c r="A30" s="419">
        <v>41523</v>
      </c>
      <c r="B30" s="420">
        <v>0.75865740740740739</v>
      </c>
      <c r="C30" s="423" t="s">
        <v>1265</v>
      </c>
    </row>
    <row r="31" spans="1:3" x14ac:dyDescent="0.25">
      <c r="A31" s="419">
        <v>41523</v>
      </c>
      <c r="B31" s="420">
        <v>0.75865740740740739</v>
      </c>
      <c r="C31" s="423" t="s">
        <v>1266</v>
      </c>
    </row>
    <row r="32" spans="1:3" x14ac:dyDescent="0.25">
      <c r="A32" s="419">
        <v>41523</v>
      </c>
      <c r="B32" s="420">
        <v>0.75865740740740739</v>
      </c>
      <c r="C32" s="423" t="s">
        <v>1233</v>
      </c>
    </row>
    <row r="33" spans="1:3" x14ac:dyDescent="0.25">
      <c r="A33" s="419">
        <v>41523</v>
      </c>
      <c r="B33" s="420">
        <v>0.75865740740740739</v>
      </c>
      <c r="C33" s="423" t="s">
        <v>1234</v>
      </c>
    </row>
    <row r="34" spans="1:3" x14ac:dyDescent="0.25">
      <c r="A34" s="419">
        <v>41523</v>
      </c>
      <c r="B34" s="420">
        <v>0.75865740740740739</v>
      </c>
      <c r="C34" s="423" t="s">
        <v>1228</v>
      </c>
    </row>
    <row r="35" spans="1:3" x14ac:dyDescent="0.25">
      <c r="A35" s="419">
        <v>41523</v>
      </c>
      <c r="B35" s="420">
        <v>0.75865740740740739</v>
      </c>
      <c r="C35" s="423" t="s">
        <v>1267</v>
      </c>
    </row>
    <row r="36" spans="1:3" x14ac:dyDescent="0.25">
      <c r="A36" s="419">
        <v>41523</v>
      </c>
      <c r="B36" s="420">
        <v>0.75865740740740739</v>
      </c>
      <c r="C36" s="423" t="s">
        <v>1268</v>
      </c>
    </row>
    <row r="37" spans="1:3" x14ac:dyDescent="0.25">
      <c r="A37" s="419">
        <v>41523</v>
      </c>
      <c r="B37" s="420">
        <v>0.75865740740740739</v>
      </c>
      <c r="C37" s="423" t="s">
        <v>1269</v>
      </c>
    </row>
    <row r="38" spans="1:3" x14ac:dyDescent="0.25">
      <c r="A38" s="419">
        <v>41523</v>
      </c>
      <c r="B38" s="420">
        <v>0.75865740740740739</v>
      </c>
      <c r="C38" s="423" t="s">
        <v>1270</v>
      </c>
    </row>
    <row r="39" spans="1:3" x14ac:dyDescent="0.25">
      <c r="A39" s="419">
        <v>41523</v>
      </c>
      <c r="B39" s="420">
        <v>0.75865740740740739</v>
      </c>
      <c r="C39" s="423" t="s">
        <v>1271</v>
      </c>
    </row>
    <row r="40" spans="1:3" x14ac:dyDescent="0.25">
      <c r="A40" s="419">
        <v>41523</v>
      </c>
      <c r="B40" s="420">
        <v>0.75865740740740739</v>
      </c>
      <c r="C40" s="423" t="s">
        <v>1235</v>
      </c>
    </row>
    <row r="41" spans="1:3" x14ac:dyDescent="0.25">
      <c r="A41" s="419">
        <v>41523</v>
      </c>
      <c r="B41" s="420">
        <v>0.75865740740740739</v>
      </c>
      <c r="C41" s="423" t="s">
        <v>1236</v>
      </c>
    </row>
    <row r="42" spans="1:3" x14ac:dyDescent="0.25">
      <c r="A42" s="419">
        <v>41523</v>
      </c>
      <c r="B42" s="420">
        <v>0.75865740740740739</v>
      </c>
      <c r="C42" s="423" t="s">
        <v>1229</v>
      </c>
    </row>
    <row r="43" spans="1:3" x14ac:dyDescent="0.25">
      <c r="A43" s="419">
        <v>41523</v>
      </c>
      <c r="B43" s="420">
        <v>0.75865740740740739</v>
      </c>
      <c r="C43" s="423" t="s">
        <v>1272</v>
      </c>
    </row>
    <row r="44" spans="1:3" x14ac:dyDescent="0.25">
      <c r="A44" s="419">
        <v>41523</v>
      </c>
      <c r="B44" s="420">
        <v>0.75869212962962962</v>
      </c>
      <c r="C44" s="423" t="s">
        <v>1273</v>
      </c>
    </row>
    <row r="45" spans="1:3" x14ac:dyDescent="0.25">
      <c r="A45" s="419">
        <v>41523</v>
      </c>
      <c r="B45" s="420">
        <v>0.75870370370370377</v>
      </c>
      <c r="C45" s="423" t="s">
        <v>1230</v>
      </c>
    </row>
    <row r="46" spans="1:3" x14ac:dyDescent="0.25">
      <c r="A46" s="419">
        <v>41523</v>
      </c>
      <c r="B46" s="420">
        <v>0.7704050925925926</v>
      </c>
      <c r="C46" s="423" t="s">
        <v>1224</v>
      </c>
    </row>
    <row r="47" spans="1:3" x14ac:dyDescent="0.25">
      <c r="A47" s="419">
        <v>41523</v>
      </c>
      <c r="B47" s="420">
        <v>0.7819328703703704</v>
      </c>
      <c r="C47" s="423" t="s">
        <v>1224</v>
      </c>
    </row>
    <row r="48" spans="1:3" x14ac:dyDescent="0.25">
      <c r="A48" s="419">
        <v>41523</v>
      </c>
      <c r="B48" s="420">
        <v>0.78495370370370365</v>
      </c>
      <c r="C48" s="423" t="s">
        <v>1224</v>
      </c>
    </row>
    <row r="49" spans="1:3" x14ac:dyDescent="0.25">
      <c r="A49" s="419">
        <v>41523</v>
      </c>
      <c r="B49" s="420">
        <v>0.78707175925925921</v>
      </c>
      <c r="C49" s="423" t="s">
        <v>1224</v>
      </c>
    </row>
    <row r="50" spans="1:3" x14ac:dyDescent="0.25">
      <c r="A50" s="419">
        <v>41523</v>
      </c>
      <c r="B50" s="420">
        <v>0.80488425925925933</v>
      </c>
      <c r="C50" s="423" t="s">
        <v>1224</v>
      </c>
    </row>
    <row r="51" spans="1:3" x14ac:dyDescent="0.25">
      <c r="A51" s="419">
        <v>41523</v>
      </c>
      <c r="B51" s="420">
        <v>0.80890046296296303</v>
      </c>
      <c r="C51" s="423" t="s">
        <v>1224</v>
      </c>
    </row>
    <row r="52" spans="1:3" x14ac:dyDescent="0.25">
      <c r="A52" s="419">
        <v>41523</v>
      </c>
      <c r="B52" s="420">
        <v>0.82743055555555556</v>
      </c>
      <c r="C52" s="423" t="s">
        <v>1224</v>
      </c>
    </row>
    <row r="53" spans="1:3" x14ac:dyDescent="0.25">
      <c r="A53" s="419">
        <v>41523</v>
      </c>
      <c r="B53" s="420">
        <v>0.87572916666666656</v>
      </c>
      <c r="C53" s="423" t="s">
        <v>1274</v>
      </c>
    </row>
    <row r="54" spans="1:3" x14ac:dyDescent="0.25">
      <c r="A54" s="419">
        <v>41523</v>
      </c>
      <c r="B54" s="420">
        <v>0.87572916666666656</v>
      </c>
      <c r="C54" s="423" t="s">
        <v>1275</v>
      </c>
    </row>
    <row r="55" spans="1:3" x14ac:dyDescent="0.25">
      <c r="A55" s="419">
        <v>41523</v>
      </c>
      <c r="B55" s="420">
        <v>0.88071759259259252</v>
      </c>
      <c r="C55" s="423" t="s">
        <v>1274</v>
      </c>
    </row>
    <row r="56" spans="1:3" x14ac:dyDescent="0.25">
      <c r="A56" s="419">
        <v>41523</v>
      </c>
      <c r="B56" s="420">
        <v>0.88071759259259252</v>
      </c>
      <c r="C56" s="423" t="s">
        <v>1276</v>
      </c>
    </row>
    <row r="57" spans="1:3" x14ac:dyDescent="0.25">
      <c r="A57" s="419">
        <v>41523</v>
      </c>
      <c r="B57" s="420">
        <v>0.88244212962962953</v>
      </c>
      <c r="C57" s="423" t="s">
        <v>1274</v>
      </c>
    </row>
    <row r="58" spans="1:3" x14ac:dyDescent="0.25">
      <c r="A58" s="419">
        <v>41523</v>
      </c>
      <c r="B58" s="420">
        <v>0.88244212962962953</v>
      </c>
      <c r="C58" s="423" t="s">
        <v>1277</v>
      </c>
    </row>
    <row r="59" spans="1:3" x14ac:dyDescent="0.25">
      <c r="A59" s="419">
        <v>41523</v>
      </c>
      <c r="B59" s="420">
        <v>0.88249999999999995</v>
      </c>
      <c r="C59" s="423" t="s">
        <v>1274</v>
      </c>
    </row>
    <row r="60" spans="1:3" x14ac:dyDescent="0.25">
      <c r="A60" s="419">
        <v>41523</v>
      </c>
      <c r="B60" s="420">
        <v>0.88249999999999995</v>
      </c>
      <c r="C60" s="423" t="s">
        <v>1277</v>
      </c>
    </row>
    <row r="61" spans="1:3" x14ac:dyDescent="0.25">
      <c r="A61" s="419">
        <v>41523</v>
      </c>
      <c r="B61" s="420">
        <v>0.88289351851851849</v>
      </c>
      <c r="C61" s="423" t="s">
        <v>1274</v>
      </c>
    </row>
    <row r="62" spans="1:3" x14ac:dyDescent="0.25">
      <c r="A62" s="419">
        <v>41523</v>
      </c>
      <c r="B62" s="420">
        <v>0.88425925925925919</v>
      </c>
      <c r="C62" s="423" t="s">
        <v>1274</v>
      </c>
    </row>
    <row r="63" spans="1:3" x14ac:dyDescent="0.25">
      <c r="A63" s="419">
        <v>41523</v>
      </c>
      <c r="B63" s="420">
        <v>0.88425925925925919</v>
      </c>
      <c r="C63" s="423" t="s">
        <v>1277</v>
      </c>
    </row>
    <row r="64" spans="1:3" x14ac:dyDescent="0.25">
      <c r="A64" s="419">
        <v>41523</v>
      </c>
      <c r="B64" s="420">
        <v>0.8843981481481481</v>
      </c>
      <c r="C64" s="423" t="s">
        <v>1274</v>
      </c>
    </row>
    <row r="65" spans="1:3" x14ac:dyDescent="0.25">
      <c r="A65" s="419">
        <v>41523</v>
      </c>
      <c r="B65" s="420">
        <v>0.8843981481481481</v>
      </c>
      <c r="C65" s="423" t="s">
        <v>1277</v>
      </c>
    </row>
    <row r="66" spans="1:3" x14ac:dyDescent="0.25">
      <c r="A66" s="419">
        <v>41523</v>
      </c>
      <c r="B66" s="420">
        <v>0.88447916666666659</v>
      </c>
      <c r="C66" s="423" t="s">
        <v>1274</v>
      </c>
    </row>
    <row r="67" spans="1:3" x14ac:dyDescent="0.25">
      <c r="A67" s="419">
        <v>41523</v>
      </c>
      <c r="B67" s="420">
        <v>0.88511574074074073</v>
      </c>
      <c r="C67" s="423" t="s">
        <v>1274</v>
      </c>
    </row>
    <row r="68" spans="1:3" x14ac:dyDescent="0.25">
      <c r="A68" s="419">
        <v>41523</v>
      </c>
      <c r="B68" s="420">
        <v>0.88515046296296296</v>
      </c>
      <c r="C68" s="423" t="s">
        <v>1277</v>
      </c>
    </row>
    <row r="69" spans="1:3" x14ac:dyDescent="0.25">
      <c r="A69" s="419">
        <v>41523</v>
      </c>
      <c r="B69" s="420">
        <v>0.97414351851851855</v>
      </c>
      <c r="C69" s="423" t="s">
        <v>1277</v>
      </c>
    </row>
    <row r="70" spans="1:3" x14ac:dyDescent="0.25">
      <c r="A70" s="419">
        <v>41523</v>
      </c>
      <c r="B70" s="420">
        <v>0.97414351851851855</v>
      </c>
      <c r="C70" s="423" t="s">
        <v>1278</v>
      </c>
    </row>
    <row r="71" spans="1:3" x14ac:dyDescent="0.25">
      <c r="A71" s="419">
        <v>41523</v>
      </c>
      <c r="B71" s="420">
        <v>0.97428240740740746</v>
      </c>
      <c r="C71" s="423" t="s">
        <v>1277</v>
      </c>
    </row>
    <row r="72" spans="1:3" x14ac:dyDescent="0.25">
      <c r="A72" s="419">
        <v>41523</v>
      </c>
      <c r="B72" s="420">
        <v>0.97452546296296294</v>
      </c>
      <c r="C72" s="423" t="s">
        <v>1278</v>
      </c>
    </row>
    <row r="73" spans="1:3" x14ac:dyDescent="0.25">
      <c r="A73" s="419">
        <v>41523</v>
      </c>
      <c r="B73" s="420">
        <v>0.97533564814814822</v>
      </c>
      <c r="C73" s="423" t="s">
        <v>1277</v>
      </c>
    </row>
    <row r="74" spans="1:3" x14ac:dyDescent="0.25">
      <c r="A74" s="419">
        <v>41523</v>
      </c>
      <c r="B74" s="420">
        <v>0.9853587962962963</v>
      </c>
      <c r="C74" s="423" t="s">
        <v>1277</v>
      </c>
    </row>
    <row r="75" spans="1:3" x14ac:dyDescent="0.25">
      <c r="A75" s="419">
        <v>41523</v>
      </c>
      <c r="B75" s="420">
        <v>0.98651620370370363</v>
      </c>
      <c r="C75" s="423" t="s">
        <v>1277</v>
      </c>
    </row>
    <row r="76" spans="1:3" x14ac:dyDescent="0.25">
      <c r="A76" s="419">
        <v>41523</v>
      </c>
      <c r="B76" s="420">
        <v>0.99604166666666671</v>
      </c>
      <c r="C76" s="423" t="s">
        <v>1224</v>
      </c>
    </row>
    <row r="77" spans="1:3" x14ac:dyDescent="0.25">
      <c r="A77" s="419">
        <v>41523</v>
      </c>
      <c r="B77" s="420">
        <v>0.99671296296296286</v>
      </c>
      <c r="C77" s="423" t="s">
        <v>1277</v>
      </c>
    </row>
    <row r="78" spans="1:3" x14ac:dyDescent="0.25">
      <c r="A78" s="419">
        <v>41524</v>
      </c>
      <c r="B78" s="420">
        <v>4.2129629629629626E-3</v>
      </c>
      <c r="C78" s="423" t="s">
        <v>1224</v>
      </c>
    </row>
    <row r="79" spans="1:3" x14ac:dyDescent="0.25">
      <c r="A79" s="419">
        <v>41524</v>
      </c>
      <c r="B79" s="420">
        <v>4.7916666666666672E-3</v>
      </c>
      <c r="C79" s="423" t="s">
        <v>1277</v>
      </c>
    </row>
    <row r="80" spans="1:3" ht="75" x14ac:dyDescent="0.25">
      <c r="A80" s="419">
        <v>41524</v>
      </c>
      <c r="B80" s="420">
        <v>1.2337962962962962E-2</v>
      </c>
      <c r="C80" s="424" t="s">
        <v>1279</v>
      </c>
    </row>
    <row r="81" spans="1:3" x14ac:dyDescent="0.25">
      <c r="A81" s="419">
        <v>41524</v>
      </c>
      <c r="B81" s="420">
        <v>4.6863425925925926E-2</v>
      </c>
      <c r="C81" s="423" t="s">
        <v>1224</v>
      </c>
    </row>
    <row r="82" spans="1:3" x14ac:dyDescent="0.25">
      <c r="A82" s="419">
        <v>41524</v>
      </c>
      <c r="B82" s="420">
        <v>4.7175925925925927E-2</v>
      </c>
      <c r="C82" s="423" t="s">
        <v>1277</v>
      </c>
    </row>
    <row r="83" spans="1:3" x14ac:dyDescent="0.25">
      <c r="A83" s="419">
        <v>41524</v>
      </c>
      <c r="B83" s="420">
        <v>8.9814814814814806E-2</v>
      </c>
      <c r="C83" s="423" t="s">
        <v>1224</v>
      </c>
    </row>
    <row r="84" spans="1:3" x14ac:dyDescent="0.25">
      <c r="A84" s="419">
        <v>41524</v>
      </c>
      <c r="B84" s="420">
        <v>8.9814814814814806E-2</v>
      </c>
      <c r="C84" s="423" t="s">
        <v>1277</v>
      </c>
    </row>
    <row r="85" spans="1:3" ht="45" x14ac:dyDescent="0.25">
      <c r="A85" s="419">
        <v>41524</v>
      </c>
      <c r="B85" s="420">
        <v>0.74297453703703698</v>
      </c>
      <c r="C85" s="424" t="s">
        <v>1280</v>
      </c>
    </row>
    <row r="86" spans="1:3" ht="45" x14ac:dyDescent="0.25">
      <c r="A86" s="419">
        <v>41524</v>
      </c>
      <c r="B86" s="420">
        <v>0.74298611111111112</v>
      </c>
      <c r="C86" s="424" t="s">
        <v>1281</v>
      </c>
    </row>
    <row r="87" spans="1:3" ht="45" x14ac:dyDescent="0.25">
      <c r="A87" s="419">
        <v>41524</v>
      </c>
      <c r="B87" s="420">
        <v>0.74386574074074074</v>
      </c>
      <c r="C87" s="424" t="s">
        <v>1282</v>
      </c>
    </row>
    <row r="88" spans="1:3" ht="45" x14ac:dyDescent="0.25">
      <c r="A88" s="419">
        <v>41524</v>
      </c>
      <c r="B88" s="420">
        <v>0.74387731481481489</v>
      </c>
      <c r="C88" s="424" t="s">
        <v>1283</v>
      </c>
    </row>
    <row r="89" spans="1:3" ht="45" x14ac:dyDescent="0.25">
      <c r="A89" s="419">
        <v>41524</v>
      </c>
      <c r="B89" s="420">
        <v>0.77260416666666665</v>
      </c>
      <c r="C89" s="424" t="s">
        <v>1284</v>
      </c>
    </row>
    <row r="90" spans="1:3" ht="45" x14ac:dyDescent="0.25">
      <c r="A90" s="419">
        <v>41524</v>
      </c>
      <c r="B90" s="420">
        <v>0.77268518518518514</v>
      </c>
      <c r="C90" s="424" t="s">
        <v>1285</v>
      </c>
    </row>
    <row r="91" spans="1:3" ht="30" x14ac:dyDescent="0.25">
      <c r="A91" s="419">
        <v>41524</v>
      </c>
      <c r="B91" s="420">
        <v>0.77832175925925917</v>
      </c>
      <c r="C91" s="424" t="s">
        <v>1286</v>
      </c>
    </row>
    <row r="92" spans="1:3" ht="45" x14ac:dyDescent="0.25">
      <c r="A92" s="419">
        <v>41524</v>
      </c>
      <c r="B92" s="420">
        <v>0.77836805555555555</v>
      </c>
      <c r="C92" s="424" t="s">
        <v>1287</v>
      </c>
    </row>
    <row r="93" spans="1:3" ht="30" x14ac:dyDescent="0.25">
      <c r="A93" s="419">
        <v>41524</v>
      </c>
      <c r="B93" s="420">
        <v>0.90135416666666668</v>
      </c>
      <c r="C93" s="424" t="s">
        <v>1288</v>
      </c>
    </row>
    <row r="94" spans="1:3" ht="45" x14ac:dyDescent="0.25">
      <c r="A94" s="419">
        <v>41524</v>
      </c>
      <c r="B94" s="420">
        <v>0.90182870370370372</v>
      </c>
      <c r="C94" s="424" t="s">
        <v>1289</v>
      </c>
    </row>
    <row r="95" spans="1:3" ht="30" x14ac:dyDescent="0.25">
      <c r="A95" s="419">
        <v>41524</v>
      </c>
      <c r="B95" s="420">
        <v>0.90608796296296301</v>
      </c>
      <c r="C95" s="424" t="s">
        <v>1288</v>
      </c>
    </row>
    <row r="96" spans="1:3" ht="45" x14ac:dyDescent="0.25">
      <c r="A96" s="419">
        <v>41524</v>
      </c>
      <c r="B96" s="420">
        <v>0.90615740740740736</v>
      </c>
      <c r="C96" s="424" t="s">
        <v>1290</v>
      </c>
    </row>
    <row r="97" spans="1:3" ht="60" x14ac:dyDescent="0.25">
      <c r="A97" s="419">
        <v>41524</v>
      </c>
      <c r="B97" s="420">
        <v>0.94608796296296294</v>
      </c>
      <c r="C97" s="424" t="s">
        <v>1291</v>
      </c>
    </row>
    <row r="98" spans="1:3" ht="30" x14ac:dyDescent="0.25">
      <c r="A98" s="419">
        <v>41525</v>
      </c>
      <c r="B98" s="420">
        <v>1.4479166666666668E-2</v>
      </c>
      <c r="C98" s="424" t="s">
        <v>1288</v>
      </c>
    </row>
    <row r="99" spans="1:3" ht="45" x14ac:dyDescent="0.25">
      <c r="A99" s="419">
        <v>41525</v>
      </c>
      <c r="B99" s="420">
        <v>1.4756944444444446E-2</v>
      </c>
      <c r="C99" s="424" t="s">
        <v>1292</v>
      </c>
    </row>
    <row r="100" spans="1:3" ht="30" x14ac:dyDescent="0.25">
      <c r="A100" s="419">
        <v>41525</v>
      </c>
      <c r="B100" s="420">
        <v>5.1666666666666666E-2</v>
      </c>
      <c r="C100" s="424" t="s">
        <v>1288</v>
      </c>
    </row>
    <row r="101" spans="1:3" ht="45" x14ac:dyDescent="0.25">
      <c r="A101" s="419">
        <v>41525</v>
      </c>
      <c r="B101" s="420">
        <v>5.2013888888888887E-2</v>
      </c>
      <c r="C101" s="424" t="s">
        <v>1293</v>
      </c>
    </row>
    <row r="102" spans="1:3" ht="45" x14ac:dyDescent="0.25">
      <c r="A102" s="419">
        <v>41525</v>
      </c>
      <c r="B102" s="420">
        <v>6.659722222222221E-2</v>
      </c>
      <c r="C102" s="424" t="s">
        <v>1294</v>
      </c>
    </row>
    <row r="103" spans="1:3" ht="45" x14ac:dyDescent="0.25">
      <c r="A103" s="419">
        <v>41525</v>
      </c>
      <c r="B103" s="420">
        <v>6.6921296296296298E-2</v>
      </c>
      <c r="C103" s="424" t="s">
        <v>1295</v>
      </c>
    </row>
    <row r="104" spans="1:3" ht="45" x14ac:dyDescent="0.25">
      <c r="A104" s="419">
        <v>41525</v>
      </c>
      <c r="B104" s="420">
        <v>0.10753472222222223</v>
      </c>
      <c r="C104" s="424" t="s">
        <v>1296</v>
      </c>
    </row>
    <row r="105" spans="1:3" ht="45" x14ac:dyDescent="0.25">
      <c r="A105" s="419">
        <v>41525</v>
      </c>
      <c r="B105" s="420">
        <v>0.10784722222222222</v>
      </c>
      <c r="C105" s="424" t="s">
        <v>1297</v>
      </c>
    </row>
    <row r="106" spans="1:3" ht="45" x14ac:dyDescent="0.25">
      <c r="A106" s="419">
        <v>41525</v>
      </c>
      <c r="B106" s="420">
        <v>0.10987268518518518</v>
      </c>
      <c r="C106" s="424" t="s">
        <v>1282</v>
      </c>
    </row>
    <row r="107" spans="1:3" ht="45" x14ac:dyDescent="0.25">
      <c r="A107" s="419">
        <v>41525</v>
      </c>
      <c r="B107" s="420">
        <v>0.11017361111111111</v>
      </c>
      <c r="C107" s="424" t="s">
        <v>1298</v>
      </c>
    </row>
    <row r="108" spans="1:3" ht="45" x14ac:dyDescent="0.25">
      <c r="A108" s="419">
        <v>41525</v>
      </c>
      <c r="B108" s="420">
        <v>0.15165509259259261</v>
      </c>
      <c r="C108" s="424" t="s">
        <v>1299</v>
      </c>
    </row>
    <row r="109" spans="1:3" x14ac:dyDescent="0.25">
      <c r="A109" s="419">
        <v>41525</v>
      </c>
      <c r="B109" s="420">
        <v>0.15994212962962964</v>
      </c>
      <c r="C109" s="423" t="s">
        <v>1300</v>
      </c>
    </row>
    <row r="110" spans="1:3" x14ac:dyDescent="0.25">
      <c r="A110" s="419">
        <v>41525</v>
      </c>
      <c r="B110" s="420">
        <v>0.15994212962962964</v>
      </c>
      <c r="C110" s="423" t="s">
        <v>1301</v>
      </c>
    </row>
    <row r="111" spans="1:3" x14ac:dyDescent="0.25">
      <c r="A111" s="419">
        <v>41525</v>
      </c>
      <c r="B111" s="420">
        <v>0.15994212962962964</v>
      </c>
      <c r="C111" s="423" t="s">
        <v>1302</v>
      </c>
    </row>
    <row r="112" spans="1:3" ht="45" x14ac:dyDescent="0.25">
      <c r="A112" s="419">
        <v>41525</v>
      </c>
      <c r="B112" s="420">
        <v>0.15994212962962964</v>
      </c>
      <c r="C112" s="424" t="s">
        <v>1303</v>
      </c>
    </row>
    <row r="113" spans="1:3" x14ac:dyDescent="0.25">
      <c r="A113" s="419">
        <v>41525</v>
      </c>
      <c r="B113" s="420">
        <v>0.71031250000000001</v>
      </c>
      <c r="C113" s="423" t="s">
        <v>1309</v>
      </c>
    </row>
    <row r="114" spans="1:3" x14ac:dyDescent="0.25">
      <c r="A114" s="419">
        <v>41525</v>
      </c>
      <c r="B114" s="420">
        <v>0.79106481481481483</v>
      </c>
      <c r="C114" s="423" t="s">
        <v>1310</v>
      </c>
    </row>
    <row r="115" spans="1:3" x14ac:dyDescent="0.25">
      <c r="A115" s="419">
        <v>41525</v>
      </c>
      <c r="B115" s="420">
        <v>0.79106481481481483</v>
      </c>
      <c r="C115" s="423" t="s">
        <v>1311</v>
      </c>
    </row>
    <row r="116" spans="1:3" x14ac:dyDescent="0.25">
      <c r="A116" s="419">
        <v>41525</v>
      </c>
      <c r="B116" s="420">
        <v>0.79106481481481483</v>
      </c>
      <c r="C116" s="423" t="s">
        <v>1312</v>
      </c>
    </row>
    <row r="117" spans="1:3" x14ac:dyDescent="0.25">
      <c r="A117" s="419">
        <v>41525</v>
      </c>
      <c r="B117" s="420">
        <v>0.79106481481481483</v>
      </c>
      <c r="C117" s="423" t="s">
        <v>1313</v>
      </c>
    </row>
    <row r="118" spans="1:3" x14ac:dyDescent="0.25">
      <c r="A118" s="419">
        <v>41525</v>
      </c>
      <c r="B118" s="420">
        <v>0.79106481481481483</v>
      </c>
      <c r="C118" s="423" t="s">
        <v>1314</v>
      </c>
    </row>
    <row r="119" spans="1:3" x14ac:dyDescent="0.25">
      <c r="A119" s="419">
        <v>41525</v>
      </c>
      <c r="B119" s="420">
        <v>0.79106481481481483</v>
      </c>
      <c r="C119" s="423" t="s">
        <v>1315</v>
      </c>
    </row>
    <row r="120" spans="1:3" x14ac:dyDescent="0.25">
      <c r="A120" s="419">
        <v>41525</v>
      </c>
      <c r="B120" s="420">
        <v>0.79106481481481483</v>
      </c>
      <c r="C120" s="423" t="s">
        <v>1316</v>
      </c>
    </row>
    <row r="121" spans="1:3" x14ac:dyDescent="0.25">
      <c r="A121" s="419">
        <v>41525</v>
      </c>
      <c r="B121" s="420">
        <v>0.79106481481481483</v>
      </c>
      <c r="C121" s="423" t="s">
        <v>1317</v>
      </c>
    </row>
    <row r="122" spans="1:3" x14ac:dyDescent="0.25">
      <c r="A122" s="419">
        <v>41525</v>
      </c>
      <c r="B122" s="420">
        <v>0.79106481481481483</v>
      </c>
      <c r="C122" s="423" t="s">
        <v>1318</v>
      </c>
    </row>
    <row r="123" spans="1:3" x14ac:dyDescent="0.25">
      <c r="A123" s="419">
        <v>41525</v>
      </c>
      <c r="B123" s="420">
        <v>0.86302083333333324</v>
      </c>
      <c r="C123" s="423" t="s">
        <v>1319</v>
      </c>
    </row>
    <row r="124" spans="1:3" x14ac:dyDescent="0.25">
      <c r="A124" s="419">
        <v>41525</v>
      </c>
      <c r="B124" s="420">
        <v>0.87006944444444445</v>
      </c>
      <c r="C124" s="423" t="s">
        <v>1320</v>
      </c>
    </row>
    <row r="125" spans="1:3" x14ac:dyDescent="0.25">
      <c r="A125" s="419">
        <v>41525</v>
      </c>
      <c r="B125" s="420">
        <v>0.87296296296296294</v>
      </c>
      <c r="C125" s="423" t="s">
        <v>1320</v>
      </c>
    </row>
    <row r="126" spans="1:3" x14ac:dyDescent="0.25">
      <c r="A126" s="419">
        <v>41525</v>
      </c>
      <c r="B126" s="420">
        <v>0.8756828703703704</v>
      </c>
      <c r="C126" s="423" t="s">
        <v>1320</v>
      </c>
    </row>
    <row r="127" spans="1:3" x14ac:dyDescent="0.25">
      <c r="A127" s="419">
        <v>41525</v>
      </c>
      <c r="B127" s="420">
        <v>0.87572916666666656</v>
      </c>
      <c r="C127" s="423" t="s">
        <v>1321</v>
      </c>
    </row>
    <row r="128" spans="1:3" x14ac:dyDescent="0.25">
      <c r="A128" s="419">
        <v>41525</v>
      </c>
      <c r="B128" s="420">
        <v>0.89804398148148146</v>
      </c>
      <c r="C128" s="423" t="s">
        <v>1322</v>
      </c>
    </row>
    <row r="129" spans="1:3" x14ac:dyDescent="0.25">
      <c r="A129" s="419">
        <v>41525</v>
      </c>
      <c r="B129" s="420">
        <v>0.89804398148148146</v>
      </c>
      <c r="C129" s="423" t="s">
        <v>1323</v>
      </c>
    </row>
    <row r="130" spans="1:3" x14ac:dyDescent="0.25">
      <c r="A130" s="419">
        <v>41525</v>
      </c>
      <c r="B130" s="420">
        <v>0.89804398148148146</v>
      </c>
      <c r="C130" s="423" t="s">
        <v>1321</v>
      </c>
    </row>
    <row r="131" spans="1:3" x14ac:dyDescent="0.25">
      <c r="A131" s="419">
        <v>41525</v>
      </c>
      <c r="B131" s="420">
        <v>0.89997685185185183</v>
      </c>
      <c r="C131" s="423" t="s">
        <v>1300</v>
      </c>
    </row>
    <row r="132" spans="1:3" x14ac:dyDescent="0.25">
      <c r="A132" s="419">
        <v>41525</v>
      </c>
      <c r="B132" s="420">
        <v>0.89997685185185183</v>
      </c>
      <c r="C132" s="423" t="s">
        <v>1301</v>
      </c>
    </row>
    <row r="133" spans="1:3" x14ac:dyDescent="0.25">
      <c r="A133" s="419">
        <v>41525</v>
      </c>
      <c r="B133" s="420">
        <v>0.89997685185185183</v>
      </c>
      <c r="C133" s="423" t="s">
        <v>1302</v>
      </c>
    </row>
    <row r="134" spans="1:3" ht="45" x14ac:dyDescent="0.25">
      <c r="A134" s="419">
        <v>41525</v>
      </c>
      <c r="B134" s="420">
        <v>0.89997685185185183</v>
      </c>
      <c r="C134" s="424" t="s">
        <v>1303</v>
      </c>
    </row>
    <row r="135" spans="1:3" x14ac:dyDescent="0.25">
      <c r="A135" s="419">
        <v>41525</v>
      </c>
      <c r="B135" s="420">
        <v>0.91138888888888892</v>
      </c>
      <c r="C135" s="423" t="s">
        <v>1300</v>
      </c>
    </row>
    <row r="136" spans="1:3" x14ac:dyDescent="0.25">
      <c r="A136" s="419">
        <v>41525</v>
      </c>
      <c r="B136" s="420">
        <v>0.91138888888888892</v>
      </c>
      <c r="C136" s="423" t="s">
        <v>1301</v>
      </c>
    </row>
    <row r="137" spans="1:3" x14ac:dyDescent="0.25">
      <c r="A137" s="419">
        <v>41525</v>
      </c>
      <c r="B137" s="420">
        <v>0.91138888888888892</v>
      </c>
      <c r="C137" s="423" t="s">
        <v>1302</v>
      </c>
    </row>
    <row r="138" spans="1:3" ht="45" x14ac:dyDescent="0.25">
      <c r="A138" s="419">
        <v>41525</v>
      </c>
      <c r="B138" s="420">
        <v>0.91138888888888892</v>
      </c>
      <c r="C138" s="424" t="s">
        <v>1303</v>
      </c>
    </row>
    <row r="139" spans="1:3" x14ac:dyDescent="0.25">
      <c r="A139" s="419">
        <v>41525</v>
      </c>
      <c r="B139" s="420">
        <v>0.92086805555555562</v>
      </c>
      <c r="C139" s="423" t="s">
        <v>1300</v>
      </c>
    </row>
    <row r="140" spans="1:3" x14ac:dyDescent="0.25">
      <c r="A140" s="419">
        <v>41525</v>
      </c>
      <c r="B140" s="420">
        <v>0.92086805555555562</v>
      </c>
      <c r="C140" s="423" t="s">
        <v>1301</v>
      </c>
    </row>
    <row r="141" spans="1:3" x14ac:dyDescent="0.25">
      <c r="A141" s="419">
        <v>41525</v>
      </c>
      <c r="B141" s="420">
        <v>0.92086805555555562</v>
      </c>
      <c r="C141" s="423" t="s">
        <v>1302</v>
      </c>
    </row>
    <row r="142" spans="1:3" ht="45" x14ac:dyDescent="0.25">
      <c r="A142" s="419">
        <v>41525</v>
      </c>
      <c r="B142" s="420">
        <v>0.92086805555555562</v>
      </c>
      <c r="C142" s="424" t="s">
        <v>1303</v>
      </c>
    </row>
    <row r="143" spans="1:3" x14ac:dyDescent="0.25">
      <c r="A143" s="419">
        <v>41525</v>
      </c>
      <c r="B143" s="420">
        <v>0.93636574074074075</v>
      </c>
      <c r="C143" s="423" t="s">
        <v>1300</v>
      </c>
    </row>
    <row r="144" spans="1:3" x14ac:dyDescent="0.25">
      <c r="A144" s="419">
        <v>41525</v>
      </c>
      <c r="B144" s="420">
        <v>0.93636574074074075</v>
      </c>
      <c r="C144" s="423" t="s">
        <v>1301</v>
      </c>
    </row>
    <row r="145" spans="1:3" x14ac:dyDescent="0.25">
      <c r="A145" s="419">
        <v>41525</v>
      </c>
      <c r="B145" s="420">
        <v>0.93636574074074075</v>
      </c>
      <c r="C145" s="423" t="s">
        <v>1302</v>
      </c>
    </row>
    <row r="146" spans="1:3" ht="45" x14ac:dyDescent="0.25">
      <c r="A146" s="419">
        <v>41525</v>
      </c>
      <c r="B146" s="420">
        <v>0.93636574074074075</v>
      </c>
      <c r="C146" s="424" t="s">
        <v>1303</v>
      </c>
    </row>
    <row r="147" spans="1:3" x14ac:dyDescent="0.25">
      <c r="A147" s="419">
        <v>41525</v>
      </c>
      <c r="B147" s="420">
        <v>0.94440972222222219</v>
      </c>
      <c r="C147" s="423" t="s">
        <v>1300</v>
      </c>
    </row>
    <row r="148" spans="1:3" x14ac:dyDescent="0.25">
      <c r="A148" s="419">
        <v>41525</v>
      </c>
      <c r="B148" s="420">
        <v>0.94440972222222219</v>
      </c>
      <c r="C148" s="423" t="s">
        <v>1301</v>
      </c>
    </row>
    <row r="149" spans="1:3" x14ac:dyDescent="0.25">
      <c r="A149" s="419">
        <v>41525</v>
      </c>
      <c r="B149" s="420">
        <v>0.94440972222222219</v>
      </c>
      <c r="C149" s="423" t="s">
        <v>1302</v>
      </c>
    </row>
    <row r="150" spans="1:3" ht="45" x14ac:dyDescent="0.25">
      <c r="A150" s="419">
        <v>41525</v>
      </c>
      <c r="B150" s="420">
        <v>0.94440972222222219</v>
      </c>
      <c r="C150" s="424" t="s">
        <v>1303</v>
      </c>
    </row>
    <row r="151" spans="1:3" x14ac:dyDescent="0.25">
      <c r="A151" s="419">
        <v>41525</v>
      </c>
      <c r="B151" s="420">
        <v>0.94914351851851853</v>
      </c>
      <c r="C151" s="423" t="s">
        <v>1300</v>
      </c>
    </row>
    <row r="152" spans="1:3" x14ac:dyDescent="0.25">
      <c r="A152" s="419">
        <v>41525</v>
      </c>
      <c r="B152" s="420">
        <v>0.94914351851851853</v>
      </c>
      <c r="C152" s="423" t="s">
        <v>1301</v>
      </c>
    </row>
    <row r="153" spans="1:3" x14ac:dyDescent="0.25">
      <c r="A153" s="419">
        <v>41525</v>
      </c>
      <c r="B153" s="420">
        <v>0.94914351851851853</v>
      </c>
      <c r="C153" s="423" t="s">
        <v>1302</v>
      </c>
    </row>
    <row r="154" spans="1:3" ht="45" x14ac:dyDescent="0.25">
      <c r="A154" s="419">
        <v>41525</v>
      </c>
      <c r="B154" s="420">
        <v>0.94914351851851853</v>
      </c>
      <c r="C154" s="424" t="s">
        <v>1303</v>
      </c>
    </row>
    <row r="155" spans="1:3" x14ac:dyDescent="0.25">
      <c r="A155" s="419">
        <v>41525</v>
      </c>
      <c r="B155" s="420">
        <v>0.96298611111111121</v>
      </c>
      <c r="C155" s="423" t="s">
        <v>1300</v>
      </c>
    </row>
    <row r="156" spans="1:3" x14ac:dyDescent="0.25">
      <c r="A156" s="419">
        <v>41525</v>
      </c>
      <c r="B156" s="420">
        <v>0.96298611111111121</v>
      </c>
      <c r="C156" s="423" t="s">
        <v>1301</v>
      </c>
    </row>
    <row r="157" spans="1:3" x14ac:dyDescent="0.25">
      <c r="A157" s="419">
        <v>41525</v>
      </c>
      <c r="B157" s="420">
        <v>0.96298611111111121</v>
      </c>
      <c r="C157" s="423" t="s">
        <v>1302</v>
      </c>
    </row>
    <row r="158" spans="1:3" ht="45" x14ac:dyDescent="0.25">
      <c r="A158" s="419">
        <v>41525</v>
      </c>
      <c r="B158" s="420">
        <v>0.96298611111111121</v>
      </c>
      <c r="C158" s="424" t="s">
        <v>1303</v>
      </c>
    </row>
    <row r="159" spans="1:3" x14ac:dyDescent="0.25">
      <c r="A159" s="419">
        <v>41525</v>
      </c>
      <c r="B159" s="420">
        <v>0.98443287037037042</v>
      </c>
      <c r="C159" s="423" t="s">
        <v>1300</v>
      </c>
    </row>
    <row r="160" spans="1:3" x14ac:dyDescent="0.25">
      <c r="A160" s="419">
        <v>41525</v>
      </c>
      <c r="B160" s="420">
        <v>0.98443287037037042</v>
      </c>
      <c r="C160" s="423" t="s">
        <v>1301</v>
      </c>
    </row>
    <row r="161" spans="1:3" x14ac:dyDescent="0.25">
      <c r="A161" s="419">
        <v>41525</v>
      </c>
      <c r="B161" s="420">
        <v>0.98443287037037042</v>
      </c>
      <c r="C161" s="423" t="s">
        <v>1302</v>
      </c>
    </row>
    <row r="162" spans="1:3" ht="45" x14ac:dyDescent="0.25">
      <c r="A162" s="419">
        <v>41525</v>
      </c>
      <c r="B162" s="420">
        <v>0.98443287037037042</v>
      </c>
      <c r="C162" s="424" t="s">
        <v>1303</v>
      </c>
    </row>
    <row r="163" spans="1:3" x14ac:dyDescent="0.25">
      <c r="A163" s="419">
        <v>41525</v>
      </c>
      <c r="B163" s="420">
        <v>0.98579861111111111</v>
      </c>
      <c r="C163" s="423" t="s">
        <v>1325</v>
      </c>
    </row>
    <row r="164" spans="1:3" x14ac:dyDescent="0.25">
      <c r="A164" s="419">
        <v>41525</v>
      </c>
      <c r="B164" s="420">
        <v>0.99210648148148151</v>
      </c>
      <c r="C164" s="423" t="s">
        <v>1300</v>
      </c>
    </row>
    <row r="165" spans="1:3" x14ac:dyDescent="0.25">
      <c r="A165" s="419">
        <v>41525</v>
      </c>
      <c r="B165" s="420">
        <v>0.99210648148148151</v>
      </c>
      <c r="C165" s="423" t="s">
        <v>1301</v>
      </c>
    </row>
    <row r="166" spans="1:3" x14ac:dyDescent="0.25">
      <c r="A166" s="419">
        <v>41525</v>
      </c>
      <c r="B166" s="420">
        <v>0.99210648148148151</v>
      </c>
      <c r="C166" s="423" t="s">
        <v>1302</v>
      </c>
    </row>
    <row r="167" spans="1:3" ht="45" x14ac:dyDescent="0.25">
      <c r="A167" s="419">
        <v>41525</v>
      </c>
      <c r="B167" s="420">
        <v>0.99210648148148151</v>
      </c>
      <c r="C167" s="424" t="s">
        <v>1303</v>
      </c>
    </row>
    <row r="168" spans="1:3" x14ac:dyDescent="0.25">
      <c r="A168" s="419">
        <v>41525</v>
      </c>
      <c r="B168" s="420">
        <v>0.99233796296296306</v>
      </c>
      <c r="C168" s="423" t="s">
        <v>1325</v>
      </c>
    </row>
    <row r="169" spans="1:3" x14ac:dyDescent="0.25">
      <c r="A169" s="419">
        <v>41526</v>
      </c>
      <c r="B169" s="420">
        <v>2.6782407407407408E-2</v>
      </c>
      <c r="C169" s="423" t="s">
        <v>1327</v>
      </c>
    </row>
    <row r="170" spans="1:3" x14ac:dyDescent="0.25">
      <c r="A170" s="419">
        <v>41526</v>
      </c>
      <c r="B170" s="420">
        <v>2.6782407407407408E-2</v>
      </c>
      <c r="C170" s="423" t="s">
        <v>1328</v>
      </c>
    </row>
    <row r="171" spans="1:3" ht="60" x14ac:dyDescent="0.25">
      <c r="A171" s="419">
        <v>41526</v>
      </c>
      <c r="B171" s="420">
        <v>5.4317129629629625E-2</v>
      </c>
      <c r="C171" s="424" t="s">
        <v>1331</v>
      </c>
    </row>
    <row r="172" spans="1:3" x14ac:dyDescent="0.25">
      <c r="A172" s="419">
        <v>41526</v>
      </c>
      <c r="B172" s="420">
        <v>6.5879629629629635E-2</v>
      </c>
      <c r="C172" s="423" t="s">
        <v>1300</v>
      </c>
    </row>
    <row r="173" spans="1:3" x14ac:dyDescent="0.25">
      <c r="A173" s="419">
        <v>41526</v>
      </c>
      <c r="B173" s="420">
        <v>6.5879629629629635E-2</v>
      </c>
      <c r="C173" s="423" t="s">
        <v>1301</v>
      </c>
    </row>
    <row r="174" spans="1:3" x14ac:dyDescent="0.25">
      <c r="A174" s="419">
        <v>41526</v>
      </c>
      <c r="B174" s="420">
        <v>6.5879629629629635E-2</v>
      </c>
      <c r="C174" s="423" t="s">
        <v>1302</v>
      </c>
    </row>
    <row r="175" spans="1:3" ht="45" x14ac:dyDescent="0.25">
      <c r="A175" s="419">
        <v>41526</v>
      </c>
      <c r="B175" s="420">
        <v>6.5879629629629635E-2</v>
      </c>
      <c r="C175" s="424" t="s">
        <v>1303</v>
      </c>
    </row>
    <row r="176" spans="1:3" x14ac:dyDescent="0.25">
      <c r="A176" s="419">
        <v>41526</v>
      </c>
      <c r="B176" s="420">
        <v>7.9004629629629633E-2</v>
      </c>
      <c r="C176" s="423" t="s">
        <v>1300</v>
      </c>
    </row>
    <row r="177" spans="1:3" x14ac:dyDescent="0.25">
      <c r="A177" s="419">
        <v>41526</v>
      </c>
      <c r="B177" s="420">
        <v>7.9004629629629633E-2</v>
      </c>
      <c r="C177" s="423" t="s">
        <v>1301</v>
      </c>
    </row>
    <row r="178" spans="1:3" x14ac:dyDescent="0.25">
      <c r="A178" s="419">
        <v>41526</v>
      </c>
      <c r="B178" s="420">
        <v>7.9004629629629633E-2</v>
      </c>
      <c r="C178" s="423" t="s">
        <v>1302</v>
      </c>
    </row>
    <row r="179" spans="1:3" ht="45" x14ac:dyDescent="0.25">
      <c r="A179" s="419">
        <v>41526</v>
      </c>
      <c r="B179" s="420">
        <v>7.9004629629629633E-2</v>
      </c>
      <c r="C179" s="424" t="s">
        <v>1303</v>
      </c>
    </row>
    <row r="180" spans="1:3" x14ac:dyDescent="0.25">
      <c r="A180" s="419">
        <v>41526</v>
      </c>
      <c r="B180" s="420">
        <v>8.0532407407407414E-2</v>
      </c>
      <c r="C180" s="423" t="s">
        <v>1327</v>
      </c>
    </row>
    <row r="181" spans="1:3" x14ac:dyDescent="0.25">
      <c r="A181" s="419">
        <v>41526</v>
      </c>
      <c r="B181" s="420">
        <v>8.0532407407407414E-2</v>
      </c>
      <c r="C181" s="423" t="s">
        <v>1328</v>
      </c>
    </row>
    <row r="182" spans="1:3" x14ac:dyDescent="0.25">
      <c r="A182" s="419">
        <v>41526</v>
      </c>
      <c r="B182" s="420">
        <v>8.1087962962962959E-2</v>
      </c>
      <c r="C182" s="423" t="s">
        <v>1333</v>
      </c>
    </row>
    <row r="183" spans="1:3" x14ac:dyDescent="0.25">
      <c r="A183" s="419">
        <v>41526</v>
      </c>
      <c r="B183" s="420">
        <v>8.1087962962962959E-2</v>
      </c>
      <c r="C183" s="423" t="s">
        <v>1334</v>
      </c>
    </row>
    <row r="184" spans="1:3" x14ac:dyDescent="0.25">
      <c r="A184" s="419">
        <v>41526</v>
      </c>
      <c r="B184" s="420">
        <v>8.1087962962962959E-2</v>
      </c>
      <c r="C184" s="423" t="s">
        <v>1335</v>
      </c>
    </row>
    <row r="185" spans="1:3" x14ac:dyDescent="0.25">
      <c r="A185" s="419">
        <v>41526</v>
      </c>
      <c r="B185" s="420">
        <v>8.3217592592592593E-2</v>
      </c>
      <c r="C185" s="423" t="s">
        <v>1300</v>
      </c>
    </row>
    <row r="186" spans="1:3" x14ac:dyDescent="0.25">
      <c r="A186" s="419">
        <v>41526</v>
      </c>
      <c r="B186" s="420">
        <v>8.3217592592592593E-2</v>
      </c>
      <c r="C186" s="423" t="s">
        <v>1301</v>
      </c>
    </row>
    <row r="187" spans="1:3" x14ac:dyDescent="0.25">
      <c r="A187" s="419">
        <v>41526</v>
      </c>
      <c r="B187" s="420">
        <v>8.3217592592592593E-2</v>
      </c>
      <c r="C187" s="423" t="s">
        <v>1302</v>
      </c>
    </row>
    <row r="188" spans="1:3" ht="45" x14ac:dyDescent="0.25">
      <c r="A188" s="419">
        <v>41526</v>
      </c>
      <c r="B188" s="420">
        <v>8.3217592592592593E-2</v>
      </c>
      <c r="C188" s="424" t="s">
        <v>1303</v>
      </c>
    </row>
    <row r="189" spans="1:3" x14ac:dyDescent="0.25">
      <c r="A189" s="419">
        <v>41526</v>
      </c>
      <c r="B189" s="420">
        <v>8.4849537037037029E-2</v>
      </c>
      <c r="C189" s="423" t="s">
        <v>1224</v>
      </c>
    </row>
    <row r="190" spans="1:3" x14ac:dyDescent="0.25">
      <c r="A190" s="419">
        <v>41526</v>
      </c>
      <c r="B190" s="420">
        <v>8.4849537037037029E-2</v>
      </c>
      <c r="C190" s="423" t="s">
        <v>1277</v>
      </c>
    </row>
    <row r="191" spans="1:3" x14ac:dyDescent="0.25">
      <c r="A191" s="419">
        <v>41526</v>
      </c>
      <c r="B191" s="420">
        <v>8.5347222222222227E-2</v>
      </c>
      <c r="C191" s="423" t="s">
        <v>1336</v>
      </c>
    </row>
    <row r="192" spans="1:3" x14ac:dyDescent="0.25">
      <c r="A192" s="419">
        <v>41526</v>
      </c>
      <c r="B192" s="420">
        <v>8.5358796296296294E-2</v>
      </c>
      <c r="C192" s="423" t="s">
        <v>1337</v>
      </c>
    </row>
    <row r="193" spans="1:3" x14ac:dyDescent="0.25">
      <c r="A193" s="419">
        <v>41526</v>
      </c>
      <c r="B193" s="420">
        <v>8.5358796296296294E-2</v>
      </c>
      <c r="C193" s="423" t="s">
        <v>1278</v>
      </c>
    </row>
    <row r="194" spans="1:3" x14ac:dyDescent="0.25">
      <c r="A194" s="419">
        <v>41526</v>
      </c>
      <c r="B194" s="420">
        <v>8.7268518518518523E-2</v>
      </c>
      <c r="C194" s="423" t="s">
        <v>1224</v>
      </c>
    </row>
    <row r="195" spans="1:3" x14ac:dyDescent="0.25">
      <c r="A195" s="419">
        <v>41526</v>
      </c>
      <c r="B195" s="420">
        <v>8.7268518518518523E-2</v>
      </c>
      <c r="C195" s="423" t="s">
        <v>1277</v>
      </c>
    </row>
    <row r="196" spans="1:3" x14ac:dyDescent="0.25">
      <c r="A196" s="419">
        <v>41526</v>
      </c>
      <c r="B196" s="420">
        <v>8.9062500000000003E-2</v>
      </c>
      <c r="C196" s="423" t="s">
        <v>1336</v>
      </c>
    </row>
    <row r="197" spans="1:3" x14ac:dyDescent="0.25">
      <c r="A197" s="419">
        <v>41526</v>
      </c>
      <c r="B197" s="420">
        <v>8.9062500000000003E-2</v>
      </c>
      <c r="C197" s="423" t="s">
        <v>1337</v>
      </c>
    </row>
    <row r="198" spans="1:3" x14ac:dyDescent="0.25">
      <c r="A198" s="419">
        <v>41526</v>
      </c>
      <c r="B198" s="420">
        <v>8.9062500000000003E-2</v>
      </c>
      <c r="C198" s="423" t="s">
        <v>1278</v>
      </c>
    </row>
    <row r="199" spans="1:3" x14ac:dyDescent="0.25">
      <c r="A199" s="419">
        <v>41526</v>
      </c>
      <c r="B199" s="420">
        <v>8.9814814814814806E-2</v>
      </c>
      <c r="C199" s="423" t="s">
        <v>1338</v>
      </c>
    </row>
    <row r="200" spans="1:3" x14ac:dyDescent="0.25">
      <c r="A200" s="419">
        <v>41526</v>
      </c>
      <c r="B200" s="420">
        <v>8.9965277777777783E-2</v>
      </c>
      <c r="C200" s="423" t="s">
        <v>1336</v>
      </c>
    </row>
    <row r="201" spans="1:3" x14ac:dyDescent="0.25">
      <c r="A201" s="419">
        <v>41526</v>
      </c>
      <c r="B201" s="420">
        <v>8.9965277777777783E-2</v>
      </c>
      <c r="C201" s="423" t="s">
        <v>1337</v>
      </c>
    </row>
    <row r="202" spans="1:3" x14ac:dyDescent="0.25">
      <c r="A202" s="419">
        <v>41526</v>
      </c>
      <c r="B202" s="420">
        <v>8.9965277777777783E-2</v>
      </c>
      <c r="C202" s="423" t="s">
        <v>1278</v>
      </c>
    </row>
    <row r="203" spans="1:3" x14ac:dyDescent="0.25">
      <c r="A203" s="419">
        <v>41526</v>
      </c>
      <c r="B203" s="420">
        <v>9.179398148148149E-2</v>
      </c>
      <c r="C203" s="423" t="s">
        <v>1339</v>
      </c>
    </row>
    <row r="204" spans="1:3" x14ac:dyDescent="0.25">
      <c r="A204" s="419">
        <v>41526</v>
      </c>
      <c r="B204" s="420">
        <v>9.6851851851851856E-2</v>
      </c>
      <c r="C204" s="423" t="s">
        <v>1339</v>
      </c>
    </row>
    <row r="205" spans="1:3" x14ac:dyDescent="0.25">
      <c r="A205" s="419">
        <v>41526</v>
      </c>
      <c r="B205" s="420">
        <v>9.6863425925925936E-2</v>
      </c>
      <c r="C205" s="423" t="s">
        <v>1340</v>
      </c>
    </row>
    <row r="206" spans="1:3" ht="45" x14ac:dyDescent="0.25">
      <c r="A206" s="419">
        <v>41526</v>
      </c>
      <c r="B206" s="420">
        <v>0.12208333333333332</v>
      </c>
      <c r="C206" s="424" t="s">
        <v>1341</v>
      </c>
    </row>
    <row r="207" spans="1:3" ht="30" x14ac:dyDescent="0.25">
      <c r="A207" s="419">
        <v>41526</v>
      </c>
      <c r="B207" s="420">
        <v>0.12208333333333332</v>
      </c>
      <c r="C207" s="424" t="s">
        <v>1342</v>
      </c>
    </row>
    <row r="208" spans="1:3" ht="45" x14ac:dyDescent="0.25">
      <c r="A208" s="419">
        <v>41526</v>
      </c>
      <c r="B208" s="420">
        <v>0.12258101851851851</v>
      </c>
      <c r="C208" s="424" t="s">
        <v>1343</v>
      </c>
    </row>
    <row r="209" spans="1:3" ht="45" x14ac:dyDescent="0.25">
      <c r="A209" s="419">
        <v>41526</v>
      </c>
      <c r="B209" s="420">
        <v>0.12405092592592593</v>
      </c>
      <c r="C209" s="424" t="s">
        <v>1344</v>
      </c>
    </row>
    <row r="210" spans="1:3" ht="30" x14ac:dyDescent="0.25">
      <c r="A210" s="419">
        <v>41526</v>
      </c>
      <c r="B210" s="420">
        <v>0.12416666666666666</v>
      </c>
      <c r="C210" s="424" t="s">
        <v>1345</v>
      </c>
    </row>
    <row r="211" spans="1:3" ht="45" x14ac:dyDescent="0.25">
      <c r="A211" s="419">
        <v>41526</v>
      </c>
      <c r="B211" s="420">
        <v>0.12424768518518518</v>
      </c>
      <c r="C211" s="424" t="s">
        <v>1346</v>
      </c>
    </row>
    <row r="212" spans="1:3" ht="30" x14ac:dyDescent="0.25">
      <c r="A212" s="419">
        <v>41526</v>
      </c>
      <c r="B212" s="420">
        <v>0.12454861111111111</v>
      </c>
      <c r="C212" s="424" t="s">
        <v>1347</v>
      </c>
    </row>
    <row r="213" spans="1:3" ht="30" x14ac:dyDescent="0.25">
      <c r="A213" s="419">
        <v>41526</v>
      </c>
      <c r="B213" s="420">
        <v>0.12557870370370369</v>
      </c>
      <c r="C213" s="424" t="s">
        <v>1348</v>
      </c>
    </row>
    <row r="214" spans="1:3" ht="45" x14ac:dyDescent="0.25">
      <c r="A214" s="419">
        <v>41526</v>
      </c>
      <c r="B214" s="420">
        <v>0.12613425925925925</v>
      </c>
      <c r="C214" s="424" t="s">
        <v>1349</v>
      </c>
    </row>
    <row r="215" spans="1:3" ht="30" x14ac:dyDescent="0.25">
      <c r="A215" s="419">
        <v>41526</v>
      </c>
      <c r="B215" s="420">
        <v>0.12637731481481482</v>
      </c>
      <c r="C215" s="424" t="s">
        <v>1350</v>
      </c>
    </row>
    <row r="216" spans="1:3" ht="45" x14ac:dyDescent="0.25">
      <c r="A216" s="419">
        <v>41526</v>
      </c>
      <c r="B216" s="420">
        <v>0.12748842592592594</v>
      </c>
      <c r="C216" s="424" t="s">
        <v>1351</v>
      </c>
    </row>
    <row r="217" spans="1:3" ht="45" x14ac:dyDescent="0.25">
      <c r="A217" s="419">
        <v>41526</v>
      </c>
      <c r="B217" s="420">
        <v>0.12876157407407407</v>
      </c>
      <c r="C217" s="424" t="s">
        <v>1352</v>
      </c>
    </row>
    <row r="218" spans="1:3" x14ac:dyDescent="0.25">
      <c r="A218" s="419">
        <v>41526</v>
      </c>
      <c r="B218" s="420">
        <v>0.13013888888888889</v>
      </c>
      <c r="C218" s="423" t="s">
        <v>1353</v>
      </c>
    </row>
    <row r="219" spans="1:3" x14ac:dyDescent="0.25">
      <c r="A219" s="419">
        <v>41526</v>
      </c>
      <c r="B219" s="420">
        <v>0.13013888888888889</v>
      </c>
      <c r="C219" s="423" t="s">
        <v>1354</v>
      </c>
    </row>
    <row r="220" spans="1:3" x14ac:dyDescent="0.25">
      <c r="A220" s="419">
        <v>41526</v>
      </c>
      <c r="B220" s="420">
        <v>0.13013888888888889</v>
      </c>
      <c r="C220" s="423" t="s">
        <v>1355</v>
      </c>
    </row>
    <row r="221" spans="1:3" x14ac:dyDescent="0.25">
      <c r="A221" s="419">
        <v>41526</v>
      </c>
      <c r="B221" s="420">
        <v>0.13122685185185184</v>
      </c>
      <c r="C221" s="423" t="s">
        <v>1356</v>
      </c>
    </row>
    <row r="222" spans="1:3" x14ac:dyDescent="0.25">
      <c r="A222" s="419">
        <v>41526</v>
      </c>
      <c r="B222" s="420">
        <v>0.13123842592592591</v>
      </c>
      <c r="C222" s="423" t="s">
        <v>1340</v>
      </c>
    </row>
    <row r="223" spans="1:3" ht="30" x14ac:dyDescent="0.25">
      <c r="A223" s="419">
        <v>41526</v>
      </c>
      <c r="B223" s="420">
        <v>0.1330324074074074</v>
      </c>
      <c r="C223" s="424" t="s">
        <v>1357</v>
      </c>
    </row>
    <row r="224" spans="1:3" ht="45" x14ac:dyDescent="0.25">
      <c r="A224" s="419">
        <v>41526</v>
      </c>
      <c r="B224" s="420">
        <v>0.13350694444444444</v>
      </c>
      <c r="C224" s="424" t="s">
        <v>1358</v>
      </c>
    </row>
    <row r="225" spans="1:3" ht="30" x14ac:dyDescent="0.25">
      <c r="A225" s="419">
        <v>41526</v>
      </c>
      <c r="B225" s="420">
        <v>0.13390046296296296</v>
      </c>
      <c r="C225" s="424" t="s">
        <v>1359</v>
      </c>
    </row>
    <row r="226" spans="1:3" ht="45" x14ac:dyDescent="0.25">
      <c r="A226" s="419">
        <v>41526</v>
      </c>
      <c r="B226" s="420">
        <v>0.13827546296296298</v>
      </c>
      <c r="C226" s="424" t="s">
        <v>1360</v>
      </c>
    </row>
    <row r="227" spans="1:3" ht="45" x14ac:dyDescent="0.25">
      <c r="A227" s="419">
        <v>41526</v>
      </c>
      <c r="B227" s="420">
        <v>0.13900462962962964</v>
      </c>
      <c r="C227" s="424" t="s">
        <v>1361</v>
      </c>
    </row>
    <row r="228" spans="1:3" ht="45" x14ac:dyDescent="0.25">
      <c r="A228" s="419">
        <v>41526</v>
      </c>
      <c r="B228" s="420">
        <v>0.13918981481481482</v>
      </c>
      <c r="C228" s="424" t="s">
        <v>1362</v>
      </c>
    </row>
    <row r="229" spans="1:3" ht="30" x14ac:dyDescent="0.25">
      <c r="A229" s="419">
        <v>41526</v>
      </c>
      <c r="B229" s="420">
        <v>0.13930555555555554</v>
      </c>
      <c r="C229" s="424" t="s">
        <v>1363</v>
      </c>
    </row>
    <row r="230" spans="1:3" ht="60" x14ac:dyDescent="0.25">
      <c r="A230" s="419">
        <v>41526</v>
      </c>
      <c r="B230" s="420">
        <v>0.14605324074074075</v>
      </c>
      <c r="C230" s="424" t="s">
        <v>1364</v>
      </c>
    </row>
    <row r="231" spans="1:3" x14ac:dyDescent="0.25">
      <c r="A231" s="419">
        <v>41526</v>
      </c>
      <c r="B231" s="420">
        <v>0.14607638888888888</v>
      </c>
      <c r="C231" s="423" t="s">
        <v>1365</v>
      </c>
    </row>
    <row r="232" spans="1:3" ht="60" x14ac:dyDescent="0.25">
      <c r="A232" s="419">
        <v>41526</v>
      </c>
      <c r="B232" s="420">
        <v>0.14607638888888888</v>
      </c>
      <c r="C232" s="424" t="s">
        <v>1366</v>
      </c>
    </row>
    <row r="233" spans="1:3" x14ac:dyDescent="0.25">
      <c r="A233" s="419">
        <v>41526</v>
      </c>
      <c r="B233" s="420">
        <v>0.1464351851851852</v>
      </c>
      <c r="C233" s="423" t="s">
        <v>1365</v>
      </c>
    </row>
    <row r="234" spans="1:3" ht="60" x14ac:dyDescent="0.25">
      <c r="A234" s="419">
        <v>41526</v>
      </c>
      <c r="B234" s="420">
        <v>0.1464351851851852</v>
      </c>
      <c r="C234" s="424" t="s">
        <v>1367</v>
      </c>
    </row>
    <row r="235" spans="1:3" x14ac:dyDescent="0.25">
      <c r="A235" s="419">
        <v>41526</v>
      </c>
      <c r="B235" s="420">
        <v>0.14652777777777778</v>
      </c>
      <c r="C235" s="423" t="s">
        <v>1353</v>
      </c>
    </row>
    <row r="236" spans="1:3" x14ac:dyDescent="0.25">
      <c r="A236" s="419">
        <v>41526</v>
      </c>
      <c r="B236" s="420">
        <v>0.14652777777777778</v>
      </c>
      <c r="C236" s="423" t="s">
        <v>1354</v>
      </c>
    </row>
    <row r="237" spans="1:3" x14ac:dyDescent="0.25">
      <c r="A237" s="419">
        <v>41526</v>
      </c>
      <c r="B237" s="420">
        <v>0.14652777777777778</v>
      </c>
      <c r="C237" s="423" t="s">
        <v>1355</v>
      </c>
    </row>
    <row r="238" spans="1:3" ht="60" x14ac:dyDescent="0.25">
      <c r="A238" s="419">
        <v>41526</v>
      </c>
      <c r="B238" s="420">
        <v>0.14822916666666666</v>
      </c>
      <c r="C238" s="424" t="s">
        <v>1368</v>
      </c>
    </row>
    <row r="239" spans="1:3" x14ac:dyDescent="0.25">
      <c r="A239" s="419">
        <v>41526</v>
      </c>
      <c r="B239" s="420">
        <v>0.14826388888888889</v>
      </c>
      <c r="C239" s="423" t="s">
        <v>1369</v>
      </c>
    </row>
    <row r="240" spans="1:3" ht="60" x14ac:dyDescent="0.25">
      <c r="A240" s="419">
        <v>41526</v>
      </c>
      <c r="B240" s="420">
        <v>0.14826388888888889</v>
      </c>
      <c r="C240" s="424" t="s">
        <v>1366</v>
      </c>
    </row>
    <row r="241" spans="1:3" x14ac:dyDescent="0.25">
      <c r="A241" s="419">
        <v>41526</v>
      </c>
      <c r="B241" s="420">
        <v>0.14910879629629628</v>
      </c>
      <c r="C241" s="423" t="s">
        <v>1369</v>
      </c>
    </row>
    <row r="242" spans="1:3" ht="60" x14ac:dyDescent="0.25">
      <c r="A242" s="419">
        <v>41526</v>
      </c>
      <c r="B242" s="420">
        <v>0.14910879629629628</v>
      </c>
      <c r="C242" s="424" t="s">
        <v>1367</v>
      </c>
    </row>
    <row r="243" spans="1:3" x14ac:dyDescent="0.25">
      <c r="A243" s="419">
        <v>41526</v>
      </c>
      <c r="B243" s="420">
        <v>0.14922453703703703</v>
      </c>
      <c r="C243" s="423" t="s">
        <v>1353</v>
      </c>
    </row>
    <row r="244" spans="1:3" x14ac:dyDescent="0.25">
      <c r="A244" s="419">
        <v>41526</v>
      </c>
      <c r="B244" s="420">
        <v>0.14922453703703703</v>
      </c>
      <c r="C244" s="423" t="s">
        <v>1354</v>
      </c>
    </row>
    <row r="245" spans="1:3" x14ac:dyDescent="0.25">
      <c r="A245" s="419">
        <v>41526</v>
      </c>
      <c r="B245" s="420">
        <v>0.14922453703703703</v>
      </c>
      <c r="C245" s="423" t="s">
        <v>1355</v>
      </c>
    </row>
    <row r="246" spans="1:3" x14ac:dyDescent="0.25">
      <c r="A246" s="419">
        <v>41526</v>
      </c>
      <c r="B246" s="420">
        <v>0.15006944444444445</v>
      </c>
      <c r="C246" s="423" t="s">
        <v>1370</v>
      </c>
    </row>
    <row r="247" spans="1:3" x14ac:dyDescent="0.25">
      <c r="A247" s="419">
        <v>41526</v>
      </c>
      <c r="B247" s="420">
        <v>0.15006944444444445</v>
      </c>
      <c r="C247" s="423" t="s">
        <v>1371</v>
      </c>
    </row>
    <row r="248" spans="1:3" x14ac:dyDescent="0.25">
      <c r="A248" s="419">
        <v>41526</v>
      </c>
      <c r="B248" s="420">
        <v>0.15041666666666667</v>
      </c>
      <c r="C248" s="423" t="s">
        <v>1372</v>
      </c>
    </row>
    <row r="249" spans="1:3" x14ac:dyDescent="0.25">
      <c r="A249" s="419">
        <v>41526</v>
      </c>
      <c r="B249" s="420">
        <v>0.15041666666666667</v>
      </c>
      <c r="C249" s="423" t="s">
        <v>1373</v>
      </c>
    </row>
    <row r="250" spans="1:3" x14ac:dyDescent="0.25">
      <c r="A250" s="419">
        <v>41526</v>
      </c>
      <c r="B250" s="420">
        <v>0.15041666666666667</v>
      </c>
      <c r="C250" s="423" t="s">
        <v>1374</v>
      </c>
    </row>
    <row r="251" spans="1:3" x14ac:dyDescent="0.25">
      <c r="A251" s="419">
        <v>41526</v>
      </c>
      <c r="B251" s="420">
        <v>0.1506712962962963</v>
      </c>
      <c r="C251" s="423" t="s">
        <v>1375</v>
      </c>
    </row>
    <row r="252" spans="1:3" x14ac:dyDescent="0.25">
      <c r="A252" s="419">
        <v>41526</v>
      </c>
      <c r="B252" s="420">
        <v>0.1506712962962963</v>
      </c>
      <c r="C252" s="423" t="s">
        <v>1376</v>
      </c>
    </row>
    <row r="253" spans="1:3" x14ac:dyDescent="0.25">
      <c r="A253" s="419">
        <v>41526</v>
      </c>
      <c r="B253" s="420">
        <v>0.15101851851851852</v>
      </c>
      <c r="C253" s="423" t="s">
        <v>1365</v>
      </c>
    </row>
    <row r="254" spans="1:3" ht="60" x14ac:dyDescent="0.25">
      <c r="A254" s="419">
        <v>41526</v>
      </c>
      <c r="B254" s="420">
        <v>0.15101851851851852</v>
      </c>
      <c r="C254" s="424" t="s">
        <v>1377</v>
      </c>
    </row>
    <row r="255" spans="1:3" x14ac:dyDescent="0.25">
      <c r="A255" s="419">
        <v>41526</v>
      </c>
      <c r="B255" s="420">
        <v>0.15105324074074075</v>
      </c>
      <c r="C255" s="423" t="s">
        <v>1365</v>
      </c>
    </row>
    <row r="256" spans="1:3" ht="60" x14ac:dyDescent="0.25">
      <c r="A256" s="419">
        <v>41526</v>
      </c>
      <c r="B256" s="420">
        <v>0.15105324074074075</v>
      </c>
      <c r="C256" s="424" t="s">
        <v>1378</v>
      </c>
    </row>
    <row r="257" spans="1:3" x14ac:dyDescent="0.25">
      <c r="A257" s="419">
        <v>41526</v>
      </c>
      <c r="B257" s="420">
        <v>0.15106481481481482</v>
      </c>
      <c r="C257" s="423" t="s">
        <v>1365</v>
      </c>
    </row>
    <row r="258" spans="1:3" ht="60" x14ac:dyDescent="0.25">
      <c r="A258" s="419">
        <v>41526</v>
      </c>
      <c r="B258" s="420">
        <v>0.15106481481481482</v>
      </c>
      <c r="C258" s="424" t="s">
        <v>1379</v>
      </c>
    </row>
    <row r="259" spans="1:3" x14ac:dyDescent="0.25">
      <c r="A259" s="419">
        <v>41526</v>
      </c>
      <c r="B259" s="420">
        <v>0.15107638888888889</v>
      </c>
      <c r="C259" s="423" t="s">
        <v>1365</v>
      </c>
    </row>
    <row r="260" spans="1:3" ht="60" x14ac:dyDescent="0.25">
      <c r="A260" s="419">
        <v>41526</v>
      </c>
      <c r="B260" s="420">
        <v>0.15107638888888889</v>
      </c>
      <c r="C260" s="424" t="s">
        <v>1380</v>
      </c>
    </row>
    <row r="261" spans="1:3" x14ac:dyDescent="0.25">
      <c r="A261" s="419">
        <v>41526</v>
      </c>
      <c r="B261" s="420">
        <v>0.15108796296296298</v>
      </c>
      <c r="C261" s="423" t="s">
        <v>1381</v>
      </c>
    </row>
    <row r="262" spans="1:3" x14ac:dyDescent="0.25">
      <c r="A262" s="419">
        <v>41526</v>
      </c>
      <c r="B262" s="420">
        <v>0.15108796296296298</v>
      </c>
      <c r="C262" s="423" t="s">
        <v>1382</v>
      </c>
    </row>
    <row r="263" spans="1:3" x14ac:dyDescent="0.25">
      <c r="A263" s="419">
        <v>41526</v>
      </c>
      <c r="B263" s="420">
        <v>0.15130787037037038</v>
      </c>
      <c r="C263" s="423" t="s">
        <v>1381</v>
      </c>
    </row>
    <row r="264" spans="1:3" x14ac:dyDescent="0.25">
      <c r="A264" s="419">
        <v>41526</v>
      </c>
      <c r="B264" s="420">
        <v>0.15130787037037038</v>
      </c>
      <c r="C264" s="423" t="s">
        <v>1382</v>
      </c>
    </row>
    <row r="265" spans="1:3" x14ac:dyDescent="0.25">
      <c r="A265" s="419">
        <v>41526</v>
      </c>
      <c r="B265" s="420">
        <v>0.15145833333333333</v>
      </c>
      <c r="C265" s="423" t="s">
        <v>1356</v>
      </c>
    </row>
    <row r="266" spans="1:3" x14ac:dyDescent="0.25">
      <c r="A266" s="419">
        <v>41526</v>
      </c>
      <c r="B266" s="420">
        <v>0.15145833333333333</v>
      </c>
      <c r="C266" s="423" t="s">
        <v>1383</v>
      </c>
    </row>
    <row r="267" spans="1:3" ht="45" x14ac:dyDescent="0.25">
      <c r="A267" s="419">
        <v>41526</v>
      </c>
      <c r="B267" s="420">
        <v>0.16364583333333335</v>
      </c>
      <c r="C267" s="424" t="s">
        <v>1384</v>
      </c>
    </row>
    <row r="268" spans="1:3" ht="45" x14ac:dyDescent="0.25">
      <c r="A268" s="419">
        <v>41526</v>
      </c>
      <c r="B268" s="420">
        <v>0.16440972222222222</v>
      </c>
      <c r="C268" s="424" t="s">
        <v>1341</v>
      </c>
    </row>
    <row r="269" spans="1:3" ht="30" x14ac:dyDescent="0.25">
      <c r="A269" s="419">
        <v>41526</v>
      </c>
      <c r="B269" s="420">
        <v>0.16450231481481481</v>
      </c>
      <c r="C269" s="424" t="s">
        <v>1385</v>
      </c>
    </row>
    <row r="270" spans="1:3" ht="45" x14ac:dyDescent="0.25">
      <c r="A270" s="419">
        <v>41526</v>
      </c>
      <c r="B270" s="420">
        <v>0.16460648148148146</v>
      </c>
      <c r="C270" s="424" t="s">
        <v>1386</v>
      </c>
    </row>
    <row r="271" spans="1:3" ht="60" x14ac:dyDescent="0.25">
      <c r="A271" s="419">
        <v>41526</v>
      </c>
      <c r="B271" s="420">
        <v>0.16593749999999999</v>
      </c>
      <c r="C271" s="424" t="s">
        <v>1387</v>
      </c>
    </row>
    <row r="272" spans="1:3" x14ac:dyDescent="0.25">
      <c r="A272" s="419">
        <v>41526</v>
      </c>
      <c r="B272" s="420">
        <v>0.16600694444444444</v>
      </c>
      <c r="C272" s="423" t="s">
        <v>1388</v>
      </c>
    </row>
    <row r="273" spans="1:3" x14ac:dyDescent="0.25">
      <c r="A273" s="419">
        <v>41526</v>
      </c>
      <c r="B273" s="420">
        <v>0.16600694444444444</v>
      </c>
      <c r="C273" s="423" t="s">
        <v>1389</v>
      </c>
    </row>
    <row r="274" spans="1:3" x14ac:dyDescent="0.25">
      <c r="A274" s="419">
        <v>41526</v>
      </c>
      <c r="B274" s="420">
        <v>0.16678240740740743</v>
      </c>
      <c r="C274" s="423" t="s">
        <v>1390</v>
      </c>
    </row>
    <row r="275" spans="1:3" x14ac:dyDescent="0.25">
      <c r="A275" s="419">
        <v>41526</v>
      </c>
      <c r="B275" s="420">
        <v>0.16679398148148147</v>
      </c>
      <c r="C275" s="423" t="s">
        <v>1383</v>
      </c>
    </row>
    <row r="276" spans="1:3" ht="45" x14ac:dyDescent="0.25">
      <c r="A276" s="419">
        <v>41526</v>
      </c>
      <c r="B276" s="420">
        <v>0.62343749999999998</v>
      </c>
      <c r="C276" s="424" t="s">
        <v>1391</v>
      </c>
    </row>
    <row r="277" spans="1:3" ht="30" x14ac:dyDescent="0.25">
      <c r="A277" s="419">
        <v>41526</v>
      </c>
      <c r="B277" s="420">
        <v>0.62380787037037033</v>
      </c>
      <c r="C277" s="424" t="s">
        <v>1394</v>
      </c>
    </row>
    <row r="278" spans="1:3" ht="45" x14ac:dyDescent="0.25">
      <c r="A278" s="419">
        <v>41526</v>
      </c>
      <c r="B278" s="420">
        <v>0.64818287037037037</v>
      </c>
      <c r="C278" s="424" t="s">
        <v>1395</v>
      </c>
    </row>
    <row r="279" spans="1:3" ht="45" x14ac:dyDescent="0.25">
      <c r="A279" s="419">
        <v>41526</v>
      </c>
      <c r="B279" s="420">
        <v>0.64885416666666662</v>
      </c>
      <c r="C279" s="424" t="s">
        <v>1396</v>
      </c>
    </row>
    <row r="280" spans="1:3" ht="45" x14ac:dyDescent="0.25">
      <c r="A280" s="419">
        <v>41526</v>
      </c>
      <c r="B280" s="420">
        <v>0.64901620370370372</v>
      </c>
      <c r="C280" s="424" t="s">
        <v>1397</v>
      </c>
    </row>
    <row r="281" spans="1:3" ht="30" x14ac:dyDescent="0.25">
      <c r="A281" s="419">
        <v>41526</v>
      </c>
      <c r="B281" s="420">
        <v>0.64913194444444444</v>
      </c>
      <c r="C281" s="424" t="s">
        <v>1398</v>
      </c>
    </row>
    <row r="282" spans="1:3" ht="45" x14ac:dyDescent="0.25">
      <c r="A282" s="419">
        <v>41526</v>
      </c>
      <c r="B282" s="420">
        <v>0.94012731481481471</v>
      </c>
      <c r="C282" s="424" t="s">
        <v>1399</v>
      </c>
    </row>
    <row r="283" spans="1:3" ht="45" x14ac:dyDescent="0.25">
      <c r="A283" s="419">
        <v>41526</v>
      </c>
      <c r="B283" s="420">
        <v>0.94087962962962957</v>
      </c>
      <c r="C283" s="424" t="s">
        <v>1400</v>
      </c>
    </row>
    <row r="284" spans="1:3" ht="45" x14ac:dyDescent="0.25">
      <c r="A284" s="419">
        <v>41526</v>
      </c>
      <c r="B284" s="420">
        <v>0.94106481481481474</v>
      </c>
      <c r="C284" s="424" t="s">
        <v>1401</v>
      </c>
    </row>
    <row r="285" spans="1:3" ht="30" x14ac:dyDescent="0.25">
      <c r="A285" s="419">
        <v>41526</v>
      </c>
      <c r="B285" s="420">
        <v>0.94118055555555558</v>
      </c>
      <c r="C285" s="424" t="s">
        <v>1402</v>
      </c>
    </row>
    <row r="286" spans="1:3" ht="60" x14ac:dyDescent="0.25">
      <c r="A286" s="419">
        <v>41526</v>
      </c>
      <c r="B286" s="420">
        <v>0.94343749999999993</v>
      </c>
      <c r="C286" s="424" t="s">
        <v>1403</v>
      </c>
    </row>
    <row r="287" spans="1:3" x14ac:dyDescent="0.25">
      <c r="A287" s="419">
        <v>41526</v>
      </c>
      <c r="B287" s="420">
        <v>0.9435069444444445</v>
      </c>
      <c r="C287" s="423" t="s">
        <v>1388</v>
      </c>
    </row>
    <row r="288" spans="1:3" x14ac:dyDescent="0.25">
      <c r="A288" s="419">
        <v>41526</v>
      </c>
      <c r="B288" s="420">
        <v>0.9435069444444445</v>
      </c>
      <c r="C288" s="423" t="s">
        <v>1389</v>
      </c>
    </row>
    <row r="289" spans="1:3" ht="60" x14ac:dyDescent="0.25">
      <c r="A289" s="419">
        <v>41526</v>
      </c>
      <c r="B289" s="420">
        <v>0.94494212962962953</v>
      </c>
      <c r="C289" s="424" t="s">
        <v>1404</v>
      </c>
    </row>
    <row r="290" spans="1:3" x14ac:dyDescent="0.25">
      <c r="A290" s="419">
        <v>41526</v>
      </c>
      <c r="B290" s="420">
        <v>0.94502314814814825</v>
      </c>
      <c r="C290" s="423" t="s">
        <v>1388</v>
      </c>
    </row>
    <row r="291" spans="1:3" x14ac:dyDescent="0.25">
      <c r="A291" s="419">
        <v>41526</v>
      </c>
      <c r="B291" s="420">
        <v>0.94502314814814825</v>
      </c>
      <c r="C291" s="423" t="s">
        <v>1389</v>
      </c>
    </row>
    <row r="292" spans="1:3" x14ac:dyDescent="0.25">
      <c r="A292" s="419">
        <v>41526</v>
      </c>
      <c r="B292" s="420">
        <v>0.94571759259259258</v>
      </c>
      <c r="C292" s="423" t="s">
        <v>1405</v>
      </c>
    </row>
    <row r="293" spans="1:3" x14ac:dyDescent="0.25">
      <c r="A293" s="419">
        <v>41526</v>
      </c>
      <c r="B293" s="420">
        <v>0.94571759259259258</v>
      </c>
      <c r="C293" s="423" t="s">
        <v>1406</v>
      </c>
    </row>
    <row r="294" spans="1:3" x14ac:dyDescent="0.25">
      <c r="A294" s="419">
        <v>41526</v>
      </c>
      <c r="B294" s="420">
        <v>0.94571759259259258</v>
      </c>
      <c r="C294" s="423" t="s">
        <v>1407</v>
      </c>
    </row>
    <row r="295" spans="1:3" x14ac:dyDescent="0.25">
      <c r="A295" s="419">
        <v>41526</v>
      </c>
      <c r="B295" s="420">
        <v>0.94671296296296292</v>
      </c>
      <c r="C295" s="423" t="s">
        <v>1408</v>
      </c>
    </row>
    <row r="296" spans="1:3" x14ac:dyDescent="0.25">
      <c r="A296" s="419">
        <v>41526</v>
      </c>
      <c r="B296" s="420">
        <v>0.94671296296296292</v>
      </c>
      <c r="C296" s="423" t="s">
        <v>1409</v>
      </c>
    </row>
    <row r="297" spans="1:3" x14ac:dyDescent="0.25">
      <c r="A297" s="419">
        <v>41526</v>
      </c>
      <c r="B297" s="420">
        <v>0.94769675925925922</v>
      </c>
      <c r="C297" s="423" t="s">
        <v>1410</v>
      </c>
    </row>
    <row r="298" spans="1:3" x14ac:dyDescent="0.25">
      <c r="A298" s="419">
        <v>41526</v>
      </c>
      <c r="B298" s="420">
        <v>0.94789351851851855</v>
      </c>
      <c r="C298" s="423" t="s">
        <v>1411</v>
      </c>
    </row>
    <row r="299" spans="1:3" x14ac:dyDescent="0.25">
      <c r="A299" s="419">
        <v>41526</v>
      </c>
      <c r="B299" s="420">
        <v>0.94789351851851855</v>
      </c>
      <c r="C299" s="423" t="s">
        <v>1412</v>
      </c>
    </row>
    <row r="300" spans="1:3" x14ac:dyDescent="0.25">
      <c r="A300" s="419">
        <v>41526</v>
      </c>
      <c r="B300" s="420">
        <v>0.94789351851851855</v>
      </c>
      <c r="C300" s="423" t="s">
        <v>1413</v>
      </c>
    </row>
    <row r="301" spans="1:3" x14ac:dyDescent="0.25">
      <c r="A301" s="419">
        <v>41526</v>
      </c>
      <c r="B301" s="420">
        <v>0.94819444444444445</v>
      </c>
      <c r="C301" s="423" t="s">
        <v>1414</v>
      </c>
    </row>
    <row r="302" spans="1:3" x14ac:dyDescent="0.25">
      <c r="A302" s="419">
        <v>41526</v>
      </c>
      <c r="B302" s="420">
        <v>0.94820601851851849</v>
      </c>
      <c r="C302" s="423" t="s">
        <v>1415</v>
      </c>
    </row>
    <row r="303" spans="1:3" x14ac:dyDescent="0.25">
      <c r="A303" s="419">
        <v>41526</v>
      </c>
      <c r="B303" s="420">
        <v>0.94822916666666668</v>
      </c>
      <c r="C303" s="423" t="s">
        <v>1416</v>
      </c>
    </row>
    <row r="304" spans="1:3" x14ac:dyDescent="0.25">
      <c r="A304" s="419">
        <v>41526</v>
      </c>
      <c r="B304" s="420">
        <v>0.95597222222222233</v>
      </c>
      <c r="C304" s="423" t="s">
        <v>1417</v>
      </c>
    </row>
    <row r="305" spans="1:3" ht="60" x14ac:dyDescent="0.25">
      <c r="A305" s="419">
        <v>41526</v>
      </c>
      <c r="B305" s="420">
        <v>0.95597222222222233</v>
      </c>
      <c r="C305" s="424" t="s">
        <v>1418</v>
      </c>
    </row>
    <row r="306" spans="1:3" x14ac:dyDescent="0.25">
      <c r="A306" s="419">
        <v>41526</v>
      </c>
      <c r="B306" s="420">
        <v>0.96111111111111114</v>
      </c>
      <c r="C306" s="423" t="s">
        <v>1388</v>
      </c>
    </row>
    <row r="307" spans="1:3" x14ac:dyDescent="0.25">
      <c r="A307" s="419">
        <v>41526</v>
      </c>
      <c r="B307" s="420">
        <v>0.96111111111111114</v>
      </c>
      <c r="C307" s="423" t="s">
        <v>1389</v>
      </c>
    </row>
    <row r="308" spans="1:3" x14ac:dyDescent="0.25">
      <c r="A308" s="419">
        <v>41526</v>
      </c>
      <c r="B308" s="420">
        <v>0.96121527777777782</v>
      </c>
      <c r="C308" s="423" t="s">
        <v>1419</v>
      </c>
    </row>
    <row r="309" spans="1:3" x14ac:dyDescent="0.25">
      <c r="A309" s="419">
        <v>41526</v>
      </c>
      <c r="B309" s="420">
        <v>0.96121527777777782</v>
      </c>
      <c r="C309" s="423" t="s">
        <v>1420</v>
      </c>
    </row>
    <row r="310" spans="1:3" ht="45" x14ac:dyDescent="0.25">
      <c r="A310" s="419">
        <v>41526</v>
      </c>
      <c r="B310" s="420">
        <v>0.98715277777777777</v>
      </c>
      <c r="C310" s="424" t="s">
        <v>1421</v>
      </c>
    </row>
    <row r="311" spans="1:3" ht="30" x14ac:dyDescent="0.25">
      <c r="A311" s="419">
        <v>41526</v>
      </c>
      <c r="B311" s="420">
        <v>0.98780092592592583</v>
      </c>
      <c r="C311" s="424" t="s">
        <v>1422</v>
      </c>
    </row>
    <row r="312" spans="1:3" ht="45" x14ac:dyDescent="0.25">
      <c r="A312" s="419">
        <v>41526</v>
      </c>
      <c r="B312" s="420">
        <v>0.98791666666666667</v>
      </c>
      <c r="C312" s="424" t="s">
        <v>1423</v>
      </c>
    </row>
    <row r="313" spans="1:3" ht="45" x14ac:dyDescent="0.25">
      <c r="A313" s="419">
        <v>41526</v>
      </c>
      <c r="B313" s="420">
        <v>0.9884722222222222</v>
      </c>
      <c r="C313" s="424" t="s">
        <v>1424</v>
      </c>
    </row>
    <row r="314" spans="1:3" ht="60" x14ac:dyDescent="0.25">
      <c r="A314" s="419">
        <v>41526</v>
      </c>
      <c r="B314" s="420">
        <v>0.98947916666666658</v>
      </c>
      <c r="C314" s="424" t="s">
        <v>1425</v>
      </c>
    </row>
    <row r="315" spans="1:3" x14ac:dyDescent="0.25">
      <c r="A315" s="419">
        <v>41526</v>
      </c>
      <c r="B315" s="420">
        <v>0.99121527777777774</v>
      </c>
      <c r="C315" s="423" t="s">
        <v>1426</v>
      </c>
    </row>
    <row r="316" spans="1:3" x14ac:dyDescent="0.25">
      <c r="A316" s="419">
        <v>41526</v>
      </c>
      <c r="B316" s="420">
        <v>0.99121527777777774</v>
      </c>
      <c r="C316" s="423" t="s">
        <v>1427</v>
      </c>
    </row>
    <row r="317" spans="1:3" ht="45" x14ac:dyDescent="0.25">
      <c r="A317" s="419">
        <v>41527</v>
      </c>
      <c r="B317" s="420">
        <v>3.8194444444444443E-3</v>
      </c>
      <c r="C317" s="424" t="s">
        <v>1428</v>
      </c>
    </row>
    <row r="318" spans="1:3" ht="45" x14ac:dyDescent="0.25">
      <c r="A318" s="419">
        <v>41527</v>
      </c>
      <c r="B318" s="420">
        <v>4.1435185185185186E-3</v>
      </c>
      <c r="C318" s="424" t="s">
        <v>1429</v>
      </c>
    </row>
    <row r="319" spans="1:3" ht="30" x14ac:dyDescent="0.25">
      <c r="A319" s="419">
        <v>41527</v>
      </c>
      <c r="B319" s="420">
        <v>4.7453703703703703E-3</v>
      </c>
      <c r="C319" s="424" t="s">
        <v>1430</v>
      </c>
    </row>
    <row r="320" spans="1:3" ht="45" x14ac:dyDescent="0.25">
      <c r="A320" s="419">
        <v>41527</v>
      </c>
      <c r="B320" s="420">
        <v>4.8379629629629632E-3</v>
      </c>
      <c r="C320" s="424" t="s">
        <v>1431</v>
      </c>
    </row>
    <row r="321" spans="1:3" ht="45" x14ac:dyDescent="0.25">
      <c r="A321" s="419">
        <v>41527</v>
      </c>
      <c r="B321" s="420">
        <v>5.1967592592592595E-3</v>
      </c>
      <c r="C321" s="424" t="s">
        <v>1432</v>
      </c>
    </row>
    <row r="322" spans="1:3" ht="45" x14ac:dyDescent="0.25">
      <c r="A322" s="419">
        <v>41527</v>
      </c>
      <c r="B322" s="420">
        <v>6.0069444444444441E-3</v>
      </c>
      <c r="C322" s="424" t="s">
        <v>1433</v>
      </c>
    </row>
    <row r="323" spans="1:3" ht="45" x14ac:dyDescent="0.25">
      <c r="A323" s="419">
        <v>41527</v>
      </c>
      <c r="B323" s="420">
        <v>6.215277777777777E-3</v>
      </c>
      <c r="C323" s="424" t="s">
        <v>1434</v>
      </c>
    </row>
    <row r="324" spans="1:3" ht="30" x14ac:dyDescent="0.25">
      <c r="A324" s="419">
        <v>41527</v>
      </c>
      <c r="B324" s="420">
        <v>6.3541666666666668E-3</v>
      </c>
      <c r="C324" s="424" t="s">
        <v>1435</v>
      </c>
    </row>
    <row r="325" spans="1:3" ht="60" x14ac:dyDescent="0.25">
      <c r="A325" s="419">
        <v>41527</v>
      </c>
      <c r="B325" s="420">
        <v>7.4074074074074068E-3</v>
      </c>
      <c r="C325" s="424" t="s">
        <v>1436</v>
      </c>
    </row>
    <row r="326" spans="1:3" x14ac:dyDescent="0.25">
      <c r="A326" s="419">
        <v>41527</v>
      </c>
      <c r="B326" s="420">
        <v>1.0671296296296297E-2</v>
      </c>
      <c r="C326" s="423" t="s">
        <v>1426</v>
      </c>
    </row>
    <row r="327" spans="1:3" x14ac:dyDescent="0.25">
      <c r="A327" s="419">
        <v>41527</v>
      </c>
      <c r="B327" s="420">
        <v>1.0671296296296297E-2</v>
      </c>
      <c r="C327" s="423" t="s">
        <v>1427</v>
      </c>
    </row>
    <row r="328" spans="1:3" x14ac:dyDescent="0.25">
      <c r="A328" s="419">
        <v>41527</v>
      </c>
      <c r="B328" s="420">
        <v>1.3368055555555557E-2</v>
      </c>
      <c r="C328" s="423" t="s">
        <v>1437</v>
      </c>
    </row>
    <row r="329" spans="1:3" x14ac:dyDescent="0.25">
      <c r="A329" s="419">
        <v>41527</v>
      </c>
      <c r="B329" s="420">
        <v>1.3368055555555557E-2</v>
      </c>
      <c r="C329" s="423" t="s">
        <v>1438</v>
      </c>
    </row>
    <row r="330" spans="1:3" x14ac:dyDescent="0.25">
      <c r="A330" s="419">
        <v>41527</v>
      </c>
      <c r="B330" s="420">
        <v>1.3530092592592594E-2</v>
      </c>
      <c r="C330" s="423" t="s">
        <v>1439</v>
      </c>
    </row>
    <row r="331" spans="1:3" ht="45" x14ac:dyDescent="0.25">
      <c r="A331" s="419">
        <v>41527</v>
      </c>
      <c r="B331" s="420">
        <v>1.7210648148148149E-2</v>
      </c>
      <c r="C331" s="424" t="s">
        <v>1440</v>
      </c>
    </row>
    <row r="332" spans="1:3" ht="60" x14ac:dyDescent="0.25">
      <c r="A332" s="419">
        <v>41527</v>
      </c>
      <c r="B332" s="420">
        <v>1.9641203703703706E-2</v>
      </c>
      <c r="C332" s="424" t="s">
        <v>1441</v>
      </c>
    </row>
    <row r="333" spans="1:3" x14ac:dyDescent="0.25">
      <c r="A333" s="419">
        <v>41527</v>
      </c>
      <c r="B333" s="420">
        <v>2.3113425925925926E-2</v>
      </c>
      <c r="C333" s="423" t="s">
        <v>1426</v>
      </c>
    </row>
    <row r="334" spans="1:3" x14ac:dyDescent="0.25">
      <c r="A334" s="419">
        <v>41527</v>
      </c>
      <c r="B334" s="420">
        <v>2.3113425925925926E-2</v>
      </c>
      <c r="C334" s="423" t="s">
        <v>1427</v>
      </c>
    </row>
    <row r="335" spans="1:3" x14ac:dyDescent="0.25">
      <c r="A335" s="419">
        <v>41527</v>
      </c>
      <c r="B335" s="420">
        <v>2.6296296296296293E-2</v>
      </c>
      <c r="C335" s="423" t="s">
        <v>1426</v>
      </c>
    </row>
    <row r="336" spans="1:3" x14ac:dyDescent="0.25">
      <c r="A336" s="419">
        <v>41527</v>
      </c>
      <c r="B336" s="420">
        <v>0.92278935185185185</v>
      </c>
      <c r="C336" s="423" t="s">
        <v>1427</v>
      </c>
    </row>
    <row r="337" spans="1:3" x14ac:dyDescent="0.25">
      <c r="A337" s="419">
        <v>41527</v>
      </c>
      <c r="B337" s="420">
        <v>0.98428240740740736</v>
      </c>
      <c r="C337" s="423" t="s">
        <v>1427</v>
      </c>
    </row>
    <row r="338" spans="1:3" x14ac:dyDescent="0.25">
      <c r="A338" s="419">
        <v>41527</v>
      </c>
      <c r="B338" s="420">
        <v>0.98523148148148154</v>
      </c>
      <c r="C338" s="423" t="s">
        <v>1427</v>
      </c>
    </row>
    <row r="339" spans="1:3" x14ac:dyDescent="0.25">
      <c r="A339" s="419">
        <v>41527</v>
      </c>
      <c r="B339" s="420">
        <v>0.98560185185185178</v>
      </c>
      <c r="C339" s="423" t="s">
        <v>1427</v>
      </c>
    </row>
    <row r="340" spans="1:3" x14ac:dyDescent="0.25">
      <c r="A340" s="419">
        <v>41527</v>
      </c>
      <c r="B340" s="420">
        <v>0.98592592592592598</v>
      </c>
      <c r="C340" s="423" t="s">
        <v>1442</v>
      </c>
    </row>
    <row r="341" spans="1:3" x14ac:dyDescent="0.25">
      <c r="A341" s="419">
        <v>41527</v>
      </c>
      <c r="B341" s="420">
        <v>0.98615740740740743</v>
      </c>
      <c r="C341" s="423" t="s">
        <v>1427</v>
      </c>
    </row>
    <row r="342" spans="1:3" x14ac:dyDescent="0.25">
      <c r="A342" s="419">
        <v>41527</v>
      </c>
      <c r="B342" s="420">
        <v>0.986261574074074</v>
      </c>
      <c r="C342" s="423" t="s">
        <v>1442</v>
      </c>
    </row>
    <row r="343" spans="1:3" x14ac:dyDescent="0.25">
      <c r="A343" s="419">
        <v>41527</v>
      </c>
      <c r="B343" s="420">
        <v>0.98804398148148154</v>
      </c>
      <c r="C343" s="423" t="s">
        <v>1427</v>
      </c>
    </row>
    <row r="344" spans="1:3" x14ac:dyDescent="0.25">
      <c r="A344" s="419">
        <v>41527</v>
      </c>
      <c r="B344" s="420">
        <v>0.98807870370370365</v>
      </c>
      <c r="C344" s="423" t="s">
        <v>1443</v>
      </c>
    </row>
    <row r="345" spans="1:3" x14ac:dyDescent="0.25">
      <c r="A345" s="419">
        <v>41528</v>
      </c>
      <c r="B345" s="420">
        <v>1.4247685185185184E-2</v>
      </c>
      <c r="C345" s="423" t="s">
        <v>1443</v>
      </c>
    </row>
    <row r="346" spans="1:3" x14ac:dyDescent="0.25">
      <c r="A346" s="419">
        <v>41528</v>
      </c>
      <c r="B346" s="420">
        <v>4.6782407407407411E-2</v>
      </c>
      <c r="C346" s="423" t="s">
        <v>1426</v>
      </c>
    </row>
    <row r="347" spans="1:3" x14ac:dyDescent="0.25">
      <c r="A347" s="419">
        <v>41528</v>
      </c>
      <c r="B347" s="420">
        <v>4.6782407407407411E-2</v>
      </c>
      <c r="C347" s="423" t="s">
        <v>1427</v>
      </c>
    </row>
    <row r="348" spans="1:3" x14ac:dyDescent="0.25">
      <c r="A348" s="419">
        <v>41528</v>
      </c>
      <c r="B348" s="420">
        <v>9.0347222222222232E-2</v>
      </c>
      <c r="C348" s="423" t="s">
        <v>1427</v>
      </c>
    </row>
    <row r="349" spans="1:3" x14ac:dyDescent="0.25">
      <c r="A349" s="419">
        <v>41528</v>
      </c>
      <c r="B349" s="420">
        <v>0.99114583333333339</v>
      </c>
      <c r="C349" s="423" t="s">
        <v>1443</v>
      </c>
    </row>
    <row r="350" spans="1:3" x14ac:dyDescent="0.25">
      <c r="A350" s="419">
        <v>41529</v>
      </c>
      <c r="B350" s="420">
        <v>4.6481481481481485E-2</v>
      </c>
      <c r="C350" s="423" t="s">
        <v>1438</v>
      </c>
    </row>
    <row r="351" spans="1:3" x14ac:dyDescent="0.25">
      <c r="A351" s="419">
        <v>41529</v>
      </c>
      <c r="B351" s="420">
        <v>4.9143518518518524E-2</v>
      </c>
      <c r="C351" s="423" t="s">
        <v>1437</v>
      </c>
    </row>
    <row r="352" spans="1:3" x14ac:dyDescent="0.25">
      <c r="A352" s="419">
        <v>41529</v>
      </c>
      <c r="B352" s="420">
        <v>4.9351851851851848E-2</v>
      </c>
      <c r="C352" s="423" t="s">
        <v>1438</v>
      </c>
    </row>
    <row r="353" spans="1:3" x14ac:dyDescent="0.25">
      <c r="A353" s="419">
        <v>41529</v>
      </c>
      <c r="B353" s="420">
        <v>5.5532407407407412E-2</v>
      </c>
      <c r="C353" s="423" t="s">
        <v>1448</v>
      </c>
    </row>
    <row r="354" spans="1:3" ht="60" x14ac:dyDescent="0.25">
      <c r="A354" s="419">
        <v>41529</v>
      </c>
      <c r="B354" s="420">
        <v>7.0428240740740736E-2</v>
      </c>
      <c r="C354" s="424" t="s">
        <v>1449</v>
      </c>
    </row>
    <row r="355" spans="1:3" x14ac:dyDescent="0.25">
      <c r="A355" s="419">
        <v>41529</v>
      </c>
      <c r="B355" s="420">
        <v>7.076388888888889E-2</v>
      </c>
      <c r="C355" s="423" t="s">
        <v>1438</v>
      </c>
    </row>
    <row r="356" spans="1:3" x14ac:dyDescent="0.25">
      <c r="A356" s="419">
        <v>41529</v>
      </c>
      <c r="B356" s="420">
        <v>7.0775462962962957E-2</v>
      </c>
      <c r="C356" s="423" t="s">
        <v>1437</v>
      </c>
    </row>
    <row r="357" spans="1:3" x14ac:dyDescent="0.25">
      <c r="A357" s="419">
        <v>41529</v>
      </c>
      <c r="B357" s="420">
        <v>7.0775462962962957E-2</v>
      </c>
      <c r="C357" s="423" t="s">
        <v>1438</v>
      </c>
    </row>
    <row r="358" spans="1:3" x14ac:dyDescent="0.25">
      <c r="A358" s="419">
        <v>41529</v>
      </c>
      <c r="B358" s="420">
        <v>7.2488425925925928E-2</v>
      </c>
      <c r="C358" s="423" t="s">
        <v>1427</v>
      </c>
    </row>
    <row r="359" spans="1:3" x14ac:dyDescent="0.25">
      <c r="A359" s="419">
        <v>41529</v>
      </c>
      <c r="B359" s="420">
        <v>7.2499999999999995E-2</v>
      </c>
      <c r="C359" s="423" t="s">
        <v>1426</v>
      </c>
    </row>
    <row r="360" spans="1:3" x14ac:dyDescent="0.25">
      <c r="A360" s="419">
        <v>41529</v>
      </c>
      <c r="B360" s="420">
        <v>7.2499999999999995E-2</v>
      </c>
      <c r="C360" s="423" t="s">
        <v>1427</v>
      </c>
    </row>
    <row r="361" spans="1:3" x14ac:dyDescent="0.25">
      <c r="A361" s="419">
        <v>41529</v>
      </c>
      <c r="B361" s="420">
        <v>7.2673611111111105E-2</v>
      </c>
      <c r="C361" s="423" t="s">
        <v>1427</v>
      </c>
    </row>
    <row r="362" spans="1:3" x14ac:dyDescent="0.25">
      <c r="A362" s="419">
        <v>41529</v>
      </c>
      <c r="B362" s="420">
        <v>7.2685185185185186E-2</v>
      </c>
      <c r="C362" s="423" t="s">
        <v>1426</v>
      </c>
    </row>
    <row r="363" spans="1:3" x14ac:dyDescent="0.25">
      <c r="A363" s="419">
        <v>41529</v>
      </c>
      <c r="B363" s="420">
        <v>7.2685185185185186E-2</v>
      </c>
      <c r="C363" s="423" t="s">
        <v>1427</v>
      </c>
    </row>
    <row r="364" spans="1:3" x14ac:dyDescent="0.25">
      <c r="A364" s="419">
        <v>41529</v>
      </c>
      <c r="B364" s="420">
        <v>7.2870370370370363E-2</v>
      </c>
      <c r="C364" s="423" t="s">
        <v>1427</v>
      </c>
    </row>
    <row r="365" spans="1:3" x14ac:dyDescent="0.25">
      <c r="A365" s="419">
        <v>41529</v>
      </c>
      <c r="B365" s="420">
        <v>7.2870370370370363E-2</v>
      </c>
      <c r="C365" s="423" t="s">
        <v>1426</v>
      </c>
    </row>
    <row r="366" spans="1:3" x14ac:dyDescent="0.25">
      <c r="A366" s="419">
        <v>41529</v>
      </c>
      <c r="B366" s="420">
        <v>7.2870370370370363E-2</v>
      </c>
      <c r="C366" s="423" t="s">
        <v>1427</v>
      </c>
    </row>
    <row r="367" spans="1:3" x14ac:dyDescent="0.25">
      <c r="A367" s="419">
        <v>41529</v>
      </c>
      <c r="B367" s="420">
        <v>7.2986111111111113E-2</v>
      </c>
      <c r="C367" s="423" t="s">
        <v>1438</v>
      </c>
    </row>
    <row r="368" spans="1:3" x14ac:dyDescent="0.25">
      <c r="A368" s="419">
        <v>41529</v>
      </c>
      <c r="B368" s="420">
        <v>7.2997685185185179E-2</v>
      </c>
      <c r="C368" s="423" t="s">
        <v>1437</v>
      </c>
    </row>
    <row r="369" spans="1:3" x14ac:dyDescent="0.25">
      <c r="A369" s="419">
        <v>41529</v>
      </c>
      <c r="B369" s="420">
        <v>7.2997685185185179E-2</v>
      </c>
      <c r="C369" s="423" t="s">
        <v>1438</v>
      </c>
    </row>
    <row r="370" spans="1:3" x14ac:dyDescent="0.25">
      <c r="A370" s="419">
        <v>41529</v>
      </c>
      <c r="B370" s="420">
        <v>7.3078703703703715E-2</v>
      </c>
      <c r="C370" s="423" t="s">
        <v>1438</v>
      </c>
    </row>
    <row r="371" spans="1:3" x14ac:dyDescent="0.25">
      <c r="A371" s="419">
        <v>41529</v>
      </c>
      <c r="B371" s="420">
        <v>7.3090277777777782E-2</v>
      </c>
      <c r="C371" s="423" t="s">
        <v>1437</v>
      </c>
    </row>
    <row r="372" spans="1:3" x14ac:dyDescent="0.25">
      <c r="A372" s="419">
        <v>41529</v>
      </c>
      <c r="B372" s="420">
        <v>7.3090277777777782E-2</v>
      </c>
      <c r="C372" s="423" t="s">
        <v>1438</v>
      </c>
    </row>
    <row r="373" spans="1:3" x14ac:dyDescent="0.25">
      <c r="A373" s="419">
        <v>41529</v>
      </c>
      <c r="B373" s="420">
        <v>7.3159722222222223E-2</v>
      </c>
      <c r="C373" s="423" t="s">
        <v>1427</v>
      </c>
    </row>
    <row r="374" spans="1:3" x14ac:dyDescent="0.25">
      <c r="A374" s="419">
        <v>41529</v>
      </c>
      <c r="B374" s="420">
        <v>7.3171296296296304E-2</v>
      </c>
      <c r="C374" s="423" t="s">
        <v>1426</v>
      </c>
    </row>
    <row r="375" spans="1:3" x14ac:dyDescent="0.25">
      <c r="A375" s="419">
        <v>41529</v>
      </c>
      <c r="B375" s="420">
        <v>7.3171296296296304E-2</v>
      </c>
      <c r="C375" s="423" t="s">
        <v>1427</v>
      </c>
    </row>
    <row r="376" spans="1:3" x14ac:dyDescent="0.25">
      <c r="A376" s="419">
        <v>41529</v>
      </c>
      <c r="B376" s="420">
        <v>7.3333333333333334E-2</v>
      </c>
      <c r="C376" s="423" t="s">
        <v>1389</v>
      </c>
    </row>
    <row r="377" spans="1:3" x14ac:dyDescent="0.25">
      <c r="A377" s="419">
        <v>41529</v>
      </c>
      <c r="B377" s="420">
        <v>7.3333333333333334E-2</v>
      </c>
      <c r="C377" s="423" t="s">
        <v>1407</v>
      </c>
    </row>
    <row r="378" spans="1:3" x14ac:dyDescent="0.25">
      <c r="A378" s="419">
        <v>41529</v>
      </c>
      <c r="B378" s="420">
        <v>7.3344907407407414E-2</v>
      </c>
      <c r="C378" s="423" t="s">
        <v>1405</v>
      </c>
    </row>
    <row r="379" spans="1:3" x14ac:dyDescent="0.25">
      <c r="A379" s="419">
        <v>41529</v>
      </c>
      <c r="B379" s="420">
        <v>7.3344907407407414E-2</v>
      </c>
      <c r="C379" s="423" t="s">
        <v>1406</v>
      </c>
    </row>
    <row r="380" spans="1:3" x14ac:dyDescent="0.25">
      <c r="A380" s="419">
        <v>41529</v>
      </c>
      <c r="B380" s="420">
        <v>7.3344907407407414E-2</v>
      </c>
      <c r="C380" s="423" t="s">
        <v>1407</v>
      </c>
    </row>
    <row r="381" spans="1:3" ht="45" x14ac:dyDescent="0.25">
      <c r="A381" s="419">
        <v>41529</v>
      </c>
      <c r="B381" s="420">
        <v>7.767361111111111E-2</v>
      </c>
      <c r="C381" s="424" t="s">
        <v>1450</v>
      </c>
    </row>
    <row r="382" spans="1:3" ht="45" x14ac:dyDescent="0.25">
      <c r="A382" s="419">
        <v>41529</v>
      </c>
      <c r="B382" s="420">
        <v>7.8356481481481485E-2</v>
      </c>
      <c r="C382" s="424" t="s">
        <v>1429</v>
      </c>
    </row>
    <row r="383" spans="1:3" ht="30" x14ac:dyDescent="0.25">
      <c r="A383" s="419">
        <v>41529</v>
      </c>
      <c r="B383" s="420">
        <v>7.8472222222222221E-2</v>
      </c>
      <c r="C383" s="424" t="s">
        <v>1451</v>
      </c>
    </row>
    <row r="384" spans="1:3" ht="45" x14ac:dyDescent="0.25">
      <c r="A384" s="419">
        <v>41529</v>
      </c>
      <c r="B384" s="420">
        <v>7.8541666666666662E-2</v>
      </c>
      <c r="C384" s="424" t="s">
        <v>1452</v>
      </c>
    </row>
    <row r="385" spans="1:3" ht="60" x14ac:dyDescent="0.25">
      <c r="A385" s="419">
        <v>41529</v>
      </c>
      <c r="B385" s="420">
        <v>7.9687500000000008E-2</v>
      </c>
      <c r="C385" s="424" t="s">
        <v>1453</v>
      </c>
    </row>
    <row r="386" spans="1:3" x14ac:dyDescent="0.25">
      <c r="A386" s="419">
        <v>41529</v>
      </c>
      <c r="B386" s="420">
        <v>7.9733796296296303E-2</v>
      </c>
      <c r="C386" s="423" t="s">
        <v>1438</v>
      </c>
    </row>
    <row r="387" spans="1:3" x14ac:dyDescent="0.25">
      <c r="A387" s="419">
        <v>41529</v>
      </c>
      <c r="B387" s="420">
        <v>7.9733796296296303E-2</v>
      </c>
      <c r="C387" s="423" t="s">
        <v>1437</v>
      </c>
    </row>
    <row r="388" spans="1:3" x14ac:dyDescent="0.25">
      <c r="A388" s="419">
        <v>41529</v>
      </c>
      <c r="B388" s="420">
        <v>7.9733796296296303E-2</v>
      </c>
      <c r="C388" s="423" t="s">
        <v>1438</v>
      </c>
    </row>
    <row r="389" spans="1:3" x14ac:dyDescent="0.25">
      <c r="A389" s="419">
        <v>41529</v>
      </c>
      <c r="B389" s="420">
        <v>8.0324074074074062E-2</v>
      </c>
      <c r="C389" s="423" t="s">
        <v>1427</v>
      </c>
    </row>
    <row r="390" spans="1:3" x14ac:dyDescent="0.25">
      <c r="A390" s="419">
        <v>41529</v>
      </c>
      <c r="B390" s="420">
        <v>8.0324074074074062E-2</v>
      </c>
      <c r="C390" s="423" t="s">
        <v>1426</v>
      </c>
    </row>
    <row r="391" spans="1:3" x14ac:dyDescent="0.25">
      <c r="A391" s="419">
        <v>41529</v>
      </c>
      <c r="B391" s="420">
        <v>8.0324074074074062E-2</v>
      </c>
      <c r="C391" s="423" t="s">
        <v>1427</v>
      </c>
    </row>
    <row r="392" spans="1:3" x14ac:dyDescent="0.25">
      <c r="A392" s="419">
        <v>41529</v>
      </c>
      <c r="B392" s="420">
        <v>8.0775462962962966E-2</v>
      </c>
      <c r="C392" s="423" t="s">
        <v>1427</v>
      </c>
    </row>
    <row r="393" spans="1:3" x14ac:dyDescent="0.25">
      <c r="A393" s="419">
        <v>41529</v>
      </c>
      <c r="B393" s="420">
        <v>8.0787037037037032E-2</v>
      </c>
      <c r="C393" s="423" t="s">
        <v>1426</v>
      </c>
    </row>
    <row r="394" spans="1:3" x14ac:dyDescent="0.25">
      <c r="A394" s="419">
        <v>41529</v>
      </c>
      <c r="B394" s="420">
        <v>8.0787037037037032E-2</v>
      </c>
      <c r="C394" s="423" t="s">
        <v>1427</v>
      </c>
    </row>
    <row r="395" spans="1:3" x14ac:dyDescent="0.25">
      <c r="A395" s="419">
        <v>41529</v>
      </c>
      <c r="B395" s="420">
        <v>8.0960648148148143E-2</v>
      </c>
      <c r="C395" s="423" t="s">
        <v>1427</v>
      </c>
    </row>
    <row r="396" spans="1:3" x14ac:dyDescent="0.25">
      <c r="A396" s="419">
        <v>41529</v>
      </c>
      <c r="B396" s="420">
        <v>8.0960648148148143E-2</v>
      </c>
      <c r="C396" s="423" t="s">
        <v>1426</v>
      </c>
    </row>
    <row r="397" spans="1:3" x14ac:dyDescent="0.25">
      <c r="A397" s="419">
        <v>41529</v>
      </c>
      <c r="B397" s="420">
        <v>8.0960648148148143E-2</v>
      </c>
      <c r="C397" s="423" t="s">
        <v>1427</v>
      </c>
    </row>
    <row r="398" spans="1:3" x14ac:dyDescent="0.25">
      <c r="A398" s="419">
        <v>41529</v>
      </c>
      <c r="B398" s="420">
        <v>8.1064814814814812E-2</v>
      </c>
      <c r="C398" s="423" t="s">
        <v>1438</v>
      </c>
    </row>
    <row r="399" spans="1:3" x14ac:dyDescent="0.25">
      <c r="A399" s="419">
        <v>41529</v>
      </c>
      <c r="B399" s="420">
        <v>8.1076388888888892E-2</v>
      </c>
      <c r="C399" s="423" t="s">
        <v>1437</v>
      </c>
    </row>
    <row r="400" spans="1:3" x14ac:dyDescent="0.25">
      <c r="A400" s="419">
        <v>41529</v>
      </c>
      <c r="B400" s="420">
        <v>8.1076388888888892E-2</v>
      </c>
      <c r="C400" s="423" t="s">
        <v>1438</v>
      </c>
    </row>
    <row r="401" spans="1:3" x14ac:dyDescent="0.25">
      <c r="A401" s="419">
        <v>41529</v>
      </c>
      <c r="B401" s="420">
        <v>8.1215277777777775E-2</v>
      </c>
      <c r="C401" s="423" t="s">
        <v>1438</v>
      </c>
    </row>
    <row r="402" spans="1:3" x14ac:dyDescent="0.25">
      <c r="A402" s="419">
        <v>41529</v>
      </c>
      <c r="B402" s="420">
        <v>8.1215277777777775E-2</v>
      </c>
      <c r="C402" s="423" t="s">
        <v>1437</v>
      </c>
    </row>
    <row r="403" spans="1:3" x14ac:dyDescent="0.25">
      <c r="A403" s="419">
        <v>41529</v>
      </c>
      <c r="B403" s="420">
        <v>8.1215277777777775E-2</v>
      </c>
      <c r="C403" s="423" t="s">
        <v>1438</v>
      </c>
    </row>
    <row r="404" spans="1:3" x14ac:dyDescent="0.25">
      <c r="A404" s="419">
        <v>41529</v>
      </c>
      <c r="B404" s="420">
        <v>8.1307870370370364E-2</v>
      </c>
      <c r="C404" s="423" t="s">
        <v>1427</v>
      </c>
    </row>
    <row r="405" spans="1:3" x14ac:dyDescent="0.25">
      <c r="A405" s="419">
        <v>41529</v>
      </c>
      <c r="B405" s="420">
        <v>8.1307870370370364E-2</v>
      </c>
      <c r="C405" s="423" t="s">
        <v>1426</v>
      </c>
    </row>
    <row r="406" spans="1:3" x14ac:dyDescent="0.25">
      <c r="A406" s="419">
        <v>41529</v>
      </c>
      <c r="B406" s="420">
        <v>8.1307870370370364E-2</v>
      </c>
      <c r="C406" s="423" t="s">
        <v>1427</v>
      </c>
    </row>
    <row r="407" spans="1:3" x14ac:dyDescent="0.25">
      <c r="A407" s="419">
        <v>41529</v>
      </c>
      <c r="B407" s="420">
        <v>8.1527777777777768E-2</v>
      </c>
      <c r="C407" s="423" t="s">
        <v>1389</v>
      </c>
    </row>
    <row r="408" spans="1:3" x14ac:dyDescent="0.25">
      <c r="A408" s="419">
        <v>41529</v>
      </c>
      <c r="B408" s="420">
        <v>8.1527777777777768E-2</v>
      </c>
      <c r="C408" s="423" t="s">
        <v>1407</v>
      </c>
    </row>
    <row r="409" spans="1:3" x14ac:dyDescent="0.25">
      <c r="A409" s="419">
        <v>41529</v>
      </c>
      <c r="B409" s="420">
        <v>8.1539351851851849E-2</v>
      </c>
      <c r="C409" s="423" t="s">
        <v>1405</v>
      </c>
    </row>
    <row r="410" spans="1:3" x14ac:dyDescent="0.25">
      <c r="A410" s="419">
        <v>41529</v>
      </c>
      <c r="B410" s="420">
        <v>8.1539351851851849E-2</v>
      </c>
      <c r="C410" s="423" t="s">
        <v>1406</v>
      </c>
    </row>
    <row r="411" spans="1:3" x14ac:dyDescent="0.25">
      <c r="A411" s="419">
        <v>41529</v>
      </c>
      <c r="B411" s="420">
        <v>8.1539351851851849E-2</v>
      </c>
      <c r="C411" s="423" t="s">
        <v>1407</v>
      </c>
    </row>
    <row r="412" spans="1:3" x14ac:dyDescent="0.25">
      <c r="A412" s="419">
        <v>41529</v>
      </c>
      <c r="B412" s="420">
        <v>8.2314814814814813E-2</v>
      </c>
      <c r="C412" s="423" t="s">
        <v>1407</v>
      </c>
    </row>
    <row r="413" spans="1:3" x14ac:dyDescent="0.25">
      <c r="A413" s="419">
        <v>41529</v>
      </c>
      <c r="B413" s="420">
        <v>8.2314814814814813E-2</v>
      </c>
      <c r="C413" s="423" t="s">
        <v>1407</v>
      </c>
    </row>
    <row r="414" spans="1:3" x14ac:dyDescent="0.25">
      <c r="A414" s="419">
        <v>41529</v>
      </c>
      <c r="B414" s="420">
        <v>8.2314814814814813E-2</v>
      </c>
      <c r="C414" s="423" t="s">
        <v>1407</v>
      </c>
    </row>
    <row r="415" spans="1:3" x14ac:dyDescent="0.25">
      <c r="A415" s="419">
        <v>41529</v>
      </c>
      <c r="B415" s="420">
        <v>8.2314814814814813E-2</v>
      </c>
      <c r="C415" s="423" t="s">
        <v>1407</v>
      </c>
    </row>
    <row r="416" spans="1:3" x14ac:dyDescent="0.25">
      <c r="A416" s="419">
        <v>41529</v>
      </c>
      <c r="B416" s="420">
        <v>8.2314814814814813E-2</v>
      </c>
      <c r="C416" s="423" t="s">
        <v>1407</v>
      </c>
    </row>
    <row r="417" spans="1:3" x14ac:dyDescent="0.25">
      <c r="A417" s="419">
        <v>41529</v>
      </c>
      <c r="B417" s="420">
        <v>8.2500000000000004E-2</v>
      </c>
      <c r="C417" s="423" t="s">
        <v>1454</v>
      </c>
    </row>
    <row r="418" spans="1:3" x14ac:dyDescent="0.25">
      <c r="A418" s="419">
        <v>41529</v>
      </c>
      <c r="B418" s="420">
        <v>8.2511574074074071E-2</v>
      </c>
      <c r="C418" s="423" t="s">
        <v>1455</v>
      </c>
    </row>
    <row r="419" spans="1:3" x14ac:dyDescent="0.25">
      <c r="A419" s="419">
        <v>41529</v>
      </c>
      <c r="B419" s="420">
        <v>8.2511574074074071E-2</v>
      </c>
      <c r="C419" s="423" t="s">
        <v>1448</v>
      </c>
    </row>
    <row r="420" spans="1:3" ht="30" x14ac:dyDescent="0.25">
      <c r="A420" s="419">
        <v>41529</v>
      </c>
      <c r="B420" s="420">
        <v>8.8032407407407406E-2</v>
      </c>
      <c r="C420" s="424" t="s">
        <v>1456</v>
      </c>
    </row>
    <row r="421" spans="1:3" ht="45" x14ac:dyDescent="0.25">
      <c r="A421" s="419">
        <v>41529</v>
      </c>
      <c r="B421" s="420">
        <v>8.8564814814814818E-2</v>
      </c>
      <c r="C421" s="424" t="s">
        <v>1457</v>
      </c>
    </row>
    <row r="422" spans="1:3" ht="30" x14ac:dyDescent="0.25">
      <c r="A422" s="419">
        <v>41529</v>
      </c>
      <c r="B422" s="420">
        <v>8.8993055555555547E-2</v>
      </c>
      <c r="C422" s="424" t="s">
        <v>1458</v>
      </c>
    </row>
    <row r="423" spans="1:3" ht="45" x14ac:dyDescent="0.25">
      <c r="A423" s="419">
        <v>41529</v>
      </c>
      <c r="B423" s="420">
        <v>8.9803240740740739E-2</v>
      </c>
      <c r="C423" s="424" t="s">
        <v>1459</v>
      </c>
    </row>
    <row r="424" spans="1:3" ht="30" x14ac:dyDescent="0.25">
      <c r="A424" s="419">
        <v>41529</v>
      </c>
      <c r="B424" s="420">
        <v>8.9907407407407394E-2</v>
      </c>
      <c r="C424" s="424" t="s">
        <v>1460</v>
      </c>
    </row>
    <row r="425" spans="1:3" ht="45" x14ac:dyDescent="0.25">
      <c r="A425" s="419">
        <v>41529</v>
      </c>
      <c r="B425" s="420">
        <v>8.997685185185185E-2</v>
      </c>
      <c r="C425" s="424" t="s">
        <v>1461</v>
      </c>
    </row>
    <row r="426" spans="1:3" ht="45" x14ac:dyDescent="0.25">
      <c r="A426" s="419">
        <v>41529</v>
      </c>
      <c r="B426" s="420">
        <v>9.105324074074074E-2</v>
      </c>
      <c r="C426" s="424" t="s">
        <v>1462</v>
      </c>
    </row>
    <row r="427" spans="1:3" x14ac:dyDescent="0.25">
      <c r="A427" s="419">
        <v>41529</v>
      </c>
      <c r="B427" s="420">
        <v>9.1435185185185189E-2</v>
      </c>
      <c r="C427" s="423" t="s">
        <v>1417</v>
      </c>
    </row>
    <row r="428" spans="1:3" ht="60" x14ac:dyDescent="0.25">
      <c r="A428" s="419">
        <v>41529</v>
      </c>
      <c r="B428" s="420">
        <v>9.1435185185185189E-2</v>
      </c>
      <c r="C428" s="424" t="s">
        <v>1418</v>
      </c>
    </row>
    <row r="429" spans="1:3" x14ac:dyDescent="0.25">
      <c r="A429" s="419">
        <v>41529</v>
      </c>
      <c r="B429" s="420">
        <v>9.1469907407407403E-2</v>
      </c>
      <c r="C429" s="423" t="s">
        <v>1242</v>
      </c>
    </row>
    <row r="430" spans="1:3" ht="60" x14ac:dyDescent="0.25">
      <c r="A430" s="419">
        <v>41529</v>
      </c>
      <c r="B430" s="420">
        <v>9.1469907407407403E-2</v>
      </c>
      <c r="C430" s="424" t="s">
        <v>1243</v>
      </c>
    </row>
    <row r="431" spans="1:3" x14ac:dyDescent="0.25">
      <c r="A431" s="419">
        <v>41529</v>
      </c>
      <c r="B431" s="420">
        <v>9.149305555555555E-2</v>
      </c>
      <c r="C431" s="423" t="s">
        <v>1214</v>
      </c>
    </row>
    <row r="432" spans="1:3" ht="60" x14ac:dyDescent="0.25">
      <c r="A432" s="419">
        <v>41529</v>
      </c>
      <c r="B432" s="420">
        <v>9.149305555555555E-2</v>
      </c>
      <c r="C432" s="424" t="s">
        <v>1264</v>
      </c>
    </row>
    <row r="433" spans="1:3" x14ac:dyDescent="0.25">
      <c r="A433" s="419">
        <v>41529</v>
      </c>
      <c r="B433" s="420">
        <v>9.150462962962963E-2</v>
      </c>
      <c r="C433" s="423" t="s">
        <v>1463</v>
      </c>
    </row>
    <row r="434" spans="1:3" ht="60" x14ac:dyDescent="0.25">
      <c r="A434" s="419">
        <v>41529</v>
      </c>
      <c r="B434" s="420">
        <v>9.150462962962963E-2</v>
      </c>
      <c r="C434" s="424" t="s">
        <v>1464</v>
      </c>
    </row>
    <row r="435" spans="1:3" ht="60" x14ac:dyDescent="0.25">
      <c r="A435" s="419">
        <v>41529</v>
      </c>
      <c r="B435" s="420">
        <v>9.2905092592592595E-2</v>
      </c>
      <c r="C435" s="424" t="s">
        <v>1465</v>
      </c>
    </row>
    <row r="436" spans="1:3" x14ac:dyDescent="0.25">
      <c r="A436" s="419">
        <v>41529</v>
      </c>
      <c r="B436" s="420">
        <v>9.2986111111111103E-2</v>
      </c>
      <c r="C436" s="423" t="s">
        <v>1438</v>
      </c>
    </row>
    <row r="437" spans="1:3" x14ac:dyDescent="0.25">
      <c r="A437" s="419">
        <v>41529</v>
      </c>
      <c r="B437" s="420">
        <v>9.2986111111111103E-2</v>
      </c>
      <c r="C437" s="423" t="s">
        <v>1437</v>
      </c>
    </row>
    <row r="438" spans="1:3" x14ac:dyDescent="0.25">
      <c r="A438" s="419">
        <v>41529</v>
      </c>
      <c r="B438" s="420">
        <v>9.2986111111111103E-2</v>
      </c>
      <c r="C438" s="423" t="s">
        <v>1438</v>
      </c>
    </row>
    <row r="439" spans="1:3" ht="45" x14ac:dyDescent="0.25">
      <c r="A439" s="419">
        <v>41529</v>
      </c>
      <c r="B439" s="420">
        <v>0.64780092592592597</v>
      </c>
      <c r="C439" s="424" t="s">
        <v>1466</v>
      </c>
    </row>
    <row r="440" spans="1:3" ht="45" x14ac:dyDescent="0.25">
      <c r="A440" s="419">
        <v>41529</v>
      </c>
      <c r="B440" s="420">
        <v>0.64851851851851849</v>
      </c>
      <c r="C440" s="424" t="s">
        <v>1467</v>
      </c>
    </row>
    <row r="441" spans="1:3" ht="45" x14ac:dyDescent="0.25">
      <c r="A441" s="419">
        <v>41529</v>
      </c>
      <c r="B441" s="420">
        <v>0.64879629629629632</v>
      </c>
      <c r="C441" s="424" t="s">
        <v>1468</v>
      </c>
    </row>
    <row r="442" spans="1:3" ht="30" x14ac:dyDescent="0.25">
      <c r="A442" s="419">
        <v>41529</v>
      </c>
      <c r="B442" s="420">
        <v>0.64891203703703704</v>
      </c>
      <c r="C442" s="424" t="s">
        <v>1469</v>
      </c>
    </row>
    <row r="443" spans="1:3" ht="30" x14ac:dyDescent="0.25">
      <c r="A443" s="419">
        <v>41531</v>
      </c>
      <c r="B443" s="420">
        <v>0.13437499999999999</v>
      </c>
      <c r="C443" s="424" t="s">
        <v>1470</v>
      </c>
    </row>
    <row r="444" spans="1:3" ht="45" x14ac:dyDescent="0.25">
      <c r="A444" s="419">
        <v>41531</v>
      </c>
      <c r="B444" s="420">
        <v>0.13472222222222222</v>
      </c>
      <c r="C444" s="424" t="s">
        <v>1471</v>
      </c>
    </row>
    <row r="445" spans="1:3" ht="45" x14ac:dyDescent="0.25">
      <c r="A445" s="419">
        <v>41531</v>
      </c>
      <c r="B445" s="420">
        <v>0.13724537037037035</v>
      </c>
      <c r="C445" s="424" t="s">
        <v>1472</v>
      </c>
    </row>
    <row r="446" spans="1:3" ht="45" x14ac:dyDescent="0.25">
      <c r="A446" s="419">
        <v>41531</v>
      </c>
      <c r="B446" s="420">
        <v>0.13746527777777778</v>
      </c>
      <c r="C446" s="424" t="s">
        <v>1473</v>
      </c>
    </row>
    <row r="447" spans="1:3" ht="30" x14ac:dyDescent="0.25">
      <c r="A447" s="419">
        <v>41531</v>
      </c>
      <c r="B447" s="420">
        <v>0.58170138888888889</v>
      </c>
      <c r="C447" s="424" t="s">
        <v>1482</v>
      </c>
    </row>
    <row r="448" spans="1:3" ht="60" x14ac:dyDescent="0.25">
      <c r="A448" s="419">
        <v>41531</v>
      </c>
      <c r="B448" s="420">
        <v>0.5819212962962963</v>
      </c>
      <c r="C448" s="424" t="s">
        <v>1483</v>
      </c>
    </row>
    <row r="449" spans="1:3" x14ac:dyDescent="0.25">
      <c r="A449" s="419">
        <v>41531</v>
      </c>
      <c r="B449" s="420">
        <v>0.58718749999999997</v>
      </c>
      <c r="C449" s="423" t="s">
        <v>1484</v>
      </c>
    </row>
    <row r="450" spans="1:3" ht="60" x14ac:dyDescent="0.25">
      <c r="A450" s="419">
        <v>41531</v>
      </c>
      <c r="B450" s="420">
        <v>0.59239583333333334</v>
      </c>
      <c r="C450" s="424" t="s">
        <v>1483</v>
      </c>
    </row>
    <row r="451" spans="1:3" x14ac:dyDescent="0.25">
      <c r="A451" s="419">
        <v>41531</v>
      </c>
      <c r="B451" s="420">
        <v>0.59862268518518513</v>
      </c>
      <c r="C451" s="423" t="s">
        <v>1484</v>
      </c>
    </row>
    <row r="452" spans="1:3" x14ac:dyDescent="0.25">
      <c r="A452" s="419">
        <v>41531</v>
      </c>
      <c r="B452" s="420">
        <v>0.59877314814814808</v>
      </c>
      <c r="C452" s="423" t="s">
        <v>1487</v>
      </c>
    </row>
    <row r="453" spans="1:3" x14ac:dyDescent="0.25">
      <c r="A453" s="419">
        <v>41531</v>
      </c>
      <c r="B453" s="420">
        <v>0.60813657407407407</v>
      </c>
      <c r="C453" s="423" t="s">
        <v>1484</v>
      </c>
    </row>
    <row r="454" spans="1:3" ht="45" x14ac:dyDescent="0.25">
      <c r="A454" s="419">
        <v>41531</v>
      </c>
      <c r="B454" s="420">
        <v>0.60819444444444437</v>
      </c>
      <c r="C454" s="424" t="s">
        <v>1488</v>
      </c>
    </row>
    <row r="455" spans="1:3" x14ac:dyDescent="0.25">
      <c r="A455" s="419">
        <v>41531</v>
      </c>
      <c r="B455" s="420">
        <v>0.60820601851851852</v>
      </c>
      <c r="C455" s="423" t="s">
        <v>1489</v>
      </c>
    </row>
    <row r="456" spans="1:3" x14ac:dyDescent="0.25">
      <c r="A456" s="419">
        <v>41531</v>
      </c>
      <c r="B456" s="420">
        <v>0.60827546296296298</v>
      </c>
      <c r="C456" s="423" t="s">
        <v>1490</v>
      </c>
    </row>
    <row r="457" spans="1:3" x14ac:dyDescent="0.25">
      <c r="A457" s="419">
        <v>41531</v>
      </c>
      <c r="B457" s="420">
        <v>0.60832175925925924</v>
      </c>
      <c r="C457" s="423" t="s">
        <v>1491</v>
      </c>
    </row>
    <row r="458" spans="1:3" x14ac:dyDescent="0.25">
      <c r="A458" s="419">
        <v>41531</v>
      </c>
      <c r="B458" s="420">
        <v>0.6083912037037037</v>
      </c>
      <c r="C458" s="423" t="s">
        <v>1492</v>
      </c>
    </row>
    <row r="459" spans="1:3" x14ac:dyDescent="0.25">
      <c r="A459" s="419">
        <v>41531</v>
      </c>
      <c r="B459" s="420">
        <v>0.60846064814814815</v>
      </c>
      <c r="C459" s="423" t="s">
        <v>1493</v>
      </c>
    </row>
    <row r="460" spans="1:3" x14ac:dyDescent="0.25">
      <c r="A460" s="419">
        <v>41531</v>
      </c>
      <c r="B460" s="420">
        <v>0.61567129629629636</v>
      </c>
      <c r="C460" s="423" t="s">
        <v>1493</v>
      </c>
    </row>
    <row r="461" spans="1:3" x14ac:dyDescent="0.25">
      <c r="A461" s="419">
        <v>41531</v>
      </c>
      <c r="B461" s="420">
        <v>0.66388888888888886</v>
      </c>
      <c r="C461" s="423" t="s">
        <v>1493</v>
      </c>
    </row>
    <row r="462" spans="1:3" ht="30" x14ac:dyDescent="0.25">
      <c r="A462" s="419">
        <v>41531</v>
      </c>
      <c r="B462" s="420">
        <v>0.66416666666666668</v>
      </c>
      <c r="C462" s="424" t="s">
        <v>1494</v>
      </c>
    </row>
    <row r="463" spans="1:3" x14ac:dyDescent="0.25">
      <c r="A463" s="419">
        <v>41531</v>
      </c>
      <c r="B463" s="420">
        <v>0.66562500000000002</v>
      </c>
      <c r="C463" s="423" t="s">
        <v>1493</v>
      </c>
    </row>
    <row r="464" spans="1:3" ht="30" x14ac:dyDescent="0.25">
      <c r="A464" s="419">
        <v>41531</v>
      </c>
      <c r="B464" s="420">
        <v>0.68850694444444438</v>
      </c>
      <c r="C464" s="424" t="s">
        <v>1495</v>
      </c>
    </row>
    <row r="465" spans="1:3" ht="45" x14ac:dyDescent="0.25">
      <c r="A465" s="419">
        <v>41531</v>
      </c>
      <c r="B465" s="420">
        <v>0.68869212962962967</v>
      </c>
      <c r="C465" s="424" t="s">
        <v>1496</v>
      </c>
    </row>
    <row r="466" spans="1:3" ht="30" x14ac:dyDescent="0.25">
      <c r="A466" s="419">
        <v>41531</v>
      </c>
      <c r="B466" s="420">
        <v>0.69376157407407402</v>
      </c>
      <c r="C466" s="424" t="s">
        <v>1494</v>
      </c>
    </row>
    <row r="467" spans="1:3" ht="30" x14ac:dyDescent="0.25">
      <c r="A467" s="419">
        <v>41531</v>
      </c>
      <c r="B467" s="420">
        <v>0.98590277777777768</v>
      </c>
      <c r="C467" s="424" t="s">
        <v>1497</v>
      </c>
    </row>
    <row r="468" spans="1:3" ht="45" x14ac:dyDescent="0.25">
      <c r="A468" s="419">
        <v>41531</v>
      </c>
      <c r="B468" s="420">
        <v>0.98699074074074078</v>
      </c>
      <c r="C468" s="424" t="s">
        <v>1498</v>
      </c>
    </row>
    <row r="469" spans="1:3" ht="30" x14ac:dyDescent="0.25">
      <c r="A469" s="419">
        <v>41531</v>
      </c>
      <c r="B469" s="420">
        <v>0.98790509259259263</v>
      </c>
      <c r="C469" s="424" t="s">
        <v>1499</v>
      </c>
    </row>
    <row r="470" spans="1:3" ht="60" x14ac:dyDescent="0.25">
      <c r="A470" s="419">
        <v>41531</v>
      </c>
      <c r="B470" s="420">
        <v>0.99010416666666667</v>
      </c>
      <c r="C470" s="424" t="s">
        <v>1500</v>
      </c>
    </row>
    <row r="471" spans="1:3" ht="30" x14ac:dyDescent="0.25">
      <c r="A471" s="419">
        <v>41531</v>
      </c>
      <c r="B471" s="420">
        <v>0.99152777777777779</v>
      </c>
      <c r="C471" s="424" t="s">
        <v>1499</v>
      </c>
    </row>
    <row r="472" spans="1:3" ht="30" x14ac:dyDescent="0.25">
      <c r="A472" s="419">
        <v>41532</v>
      </c>
      <c r="B472" s="420">
        <v>1.9328703703703704E-3</v>
      </c>
      <c r="C472" s="424" t="s">
        <v>1499</v>
      </c>
    </row>
    <row r="473" spans="1:3" ht="30" x14ac:dyDescent="0.25">
      <c r="A473" s="419">
        <v>41532</v>
      </c>
      <c r="B473" s="420">
        <v>4.5601851851851853E-3</v>
      </c>
      <c r="C473" s="424" t="s">
        <v>1499</v>
      </c>
    </row>
    <row r="474" spans="1:3" ht="45" x14ac:dyDescent="0.25">
      <c r="A474" s="419">
        <v>41532</v>
      </c>
      <c r="B474" s="420">
        <v>5.7986111111111112E-3</v>
      </c>
      <c r="C474" s="424" t="s">
        <v>1501</v>
      </c>
    </row>
    <row r="475" spans="1:3" ht="30" x14ac:dyDescent="0.25">
      <c r="A475" s="419">
        <v>41532</v>
      </c>
      <c r="B475" s="420">
        <v>5.8796296296296296E-3</v>
      </c>
      <c r="C475" s="424" t="s">
        <v>1494</v>
      </c>
    </row>
    <row r="476" spans="1:3" ht="45" x14ac:dyDescent="0.25">
      <c r="A476" s="419">
        <v>41532</v>
      </c>
      <c r="B476" s="420">
        <v>1.1215277777777777E-2</v>
      </c>
      <c r="C476" s="424" t="s">
        <v>1502</v>
      </c>
    </row>
    <row r="477" spans="1:3" ht="30" x14ac:dyDescent="0.25">
      <c r="A477" s="419">
        <v>41532</v>
      </c>
      <c r="B477" s="420">
        <v>1.1342592592592592E-2</v>
      </c>
      <c r="C477" s="424" t="s">
        <v>1494</v>
      </c>
    </row>
    <row r="478" spans="1:3" ht="45" x14ac:dyDescent="0.25">
      <c r="A478" s="419">
        <v>41532</v>
      </c>
      <c r="B478" s="420">
        <v>1.7337962962962961E-2</v>
      </c>
      <c r="C478" s="424" t="s">
        <v>1503</v>
      </c>
    </row>
    <row r="479" spans="1:3" ht="30" x14ac:dyDescent="0.25">
      <c r="A479" s="419">
        <v>41532</v>
      </c>
      <c r="B479" s="420">
        <v>1.7453703703703704E-2</v>
      </c>
      <c r="C479" s="424" t="s">
        <v>1494</v>
      </c>
    </row>
    <row r="480" spans="1:3" ht="45" x14ac:dyDescent="0.25">
      <c r="A480" s="419">
        <v>41532</v>
      </c>
      <c r="B480" s="420">
        <v>2.4537037037037038E-2</v>
      </c>
      <c r="C480" s="424" t="s">
        <v>1504</v>
      </c>
    </row>
    <row r="481" spans="1:3" ht="30" x14ac:dyDescent="0.25">
      <c r="A481" s="419">
        <v>41532</v>
      </c>
      <c r="B481" s="420">
        <v>2.4641203703703703E-2</v>
      </c>
      <c r="C481" s="424" t="s">
        <v>1494</v>
      </c>
    </row>
    <row r="482" spans="1:3" ht="30" x14ac:dyDescent="0.25">
      <c r="A482" s="419">
        <v>41532</v>
      </c>
      <c r="B482" s="420">
        <v>2.5868055555555557E-2</v>
      </c>
      <c r="C482" s="424" t="s">
        <v>1497</v>
      </c>
    </row>
    <row r="483" spans="1:3" ht="45" x14ac:dyDescent="0.25">
      <c r="A483" s="419">
        <v>41532</v>
      </c>
      <c r="B483" s="420">
        <v>2.9201388888888888E-2</v>
      </c>
      <c r="C483" s="424" t="s">
        <v>1505</v>
      </c>
    </row>
    <row r="484" spans="1:3" ht="30" x14ac:dyDescent="0.25">
      <c r="A484" s="419">
        <v>41532</v>
      </c>
      <c r="B484" s="420">
        <v>2.9270833333333333E-2</v>
      </c>
      <c r="C484" s="424" t="s">
        <v>1494</v>
      </c>
    </row>
    <row r="485" spans="1:3" ht="45" x14ac:dyDescent="0.25">
      <c r="A485" s="419">
        <v>41532</v>
      </c>
      <c r="B485" s="420">
        <v>3.0335648148148143E-2</v>
      </c>
      <c r="C485" s="424" t="s">
        <v>1506</v>
      </c>
    </row>
    <row r="486" spans="1:3" ht="30" x14ac:dyDescent="0.25">
      <c r="A486" s="419">
        <v>41532</v>
      </c>
      <c r="B486" s="420">
        <v>3.0439814814814819E-2</v>
      </c>
      <c r="C486" s="424" t="s">
        <v>1494</v>
      </c>
    </row>
    <row r="487" spans="1:3" ht="45" x14ac:dyDescent="0.25">
      <c r="A487" s="419">
        <v>41532</v>
      </c>
      <c r="B487" s="420">
        <v>3.5810185185185188E-2</v>
      </c>
      <c r="C487" s="424" t="s">
        <v>1507</v>
      </c>
    </row>
    <row r="488" spans="1:3" ht="45" x14ac:dyDescent="0.25">
      <c r="A488" s="419">
        <v>41532</v>
      </c>
      <c r="B488" s="420">
        <v>3.8194444444444441E-2</v>
      </c>
      <c r="C488" s="424" t="s">
        <v>1508</v>
      </c>
    </row>
    <row r="489" spans="1:3" ht="45" x14ac:dyDescent="0.25">
      <c r="A489" s="419">
        <v>41532</v>
      </c>
      <c r="B489" s="420">
        <v>3.8854166666666669E-2</v>
      </c>
      <c r="C489" s="424" t="s">
        <v>1509</v>
      </c>
    </row>
    <row r="490" spans="1:3" ht="30" x14ac:dyDescent="0.25">
      <c r="A490" s="419">
        <v>41532</v>
      </c>
      <c r="B490" s="420">
        <v>3.8946759259259257E-2</v>
      </c>
      <c r="C490" s="424" t="s">
        <v>1494</v>
      </c>
    </row>
    <row r="491" spans="1:3" ht="45" x14ac:dyDescent="0.25">
      <c r="A491" s="419">
        <v>41532</v>
      </c>
      <c r="B491" s="420">
        <v>4.3194444444444445E-2</v>
      </c>
      <c r="C491" s="424" t="s">
        <v>1459</v>
      </c>
    </row>
    <row r="492" spans="1:3" ht="30" x14ac:dyDescent="0.25">
      <c r="A492" s="419">
        <v>41532</v>
      </c>
      <c r="B492" s="420">
        <v>4.3472222222222225E-2</v>
      </c>
      <c r="C492" s="424" t="s">
        <v>1510</v>
      </c>
    </row>
    <row r="493" spans="1:3" ht="45" x14ac:dyDescent="0.25">
      <c r="A493" s="419">
        <v>41532</v>
      </c>
      <c r="B493" s="420">
        <v>4.3576388888888894E-2</v>
      </c>
      <c r="C493" s="424" t="s">
        <v>1511</v>
      </c>
    </row>
    <row r="494" spans="1:3" ht="30" x14ac:dyDescent="0.25">
      <c r="A494" s="419">
        <v>41532</v>
      </c>
      <c r="B494" s="420">
        <v>4.4270833333333336E-2</v>
      </c>
      <c r="C494" s="424" t="s">
        <v>1512</v>
      </c>
    </row>
    <row r="495" spans="1:3" ht="45" x14ac:dyDescent="0.25">
      <c r="A495" s="419">
        <v>41532</v>
      </c>
      <c r="B495" s="420">
        <v>4.4872685185185189E-2</v>
      </c>
      <c r="C495" s="424" t="s">
        <v>1513</v>
      </c>
    </row>
    <row r="496" spans="1:3" ht="30" x14ac:dyDescent="0.25">
      <c r="A496" s="419">
        <v>41532</v>
      </c>
      <c r="B496" s="420">
        <v>4.538194444444444E-2</v>
      </c>
      <c r="C496" s="424" t="s">
        <v>1494</v>
      </c>
    </row>
    <row r="497" spans="1:3" ht="30" x14ac:dyDescent="0.25">
      <c r="A497" s="419">
        <v>41532</v>
      </c>
      <c r="B497" s="420">
        <v>4.6678240740740735E-2</v>
      </c>
      <c r="C497" s="424" t="s">
        <v>1514</v>
      </c>
    </row>
    <row r="498" spans="1:3" ht="30" x14ac:dyDescent="0.25">
      <c r="A498" s="419">
        <v>41532</v>
      </c>
      <c r="B498" s="420">
        <v>4.6678240740740735E-2</v>
      </c>
      <c r="C498" s="424" t="s">
        <v>1515</v>
      </c>
    </row>
    <row r="499" spans="1:3" ht="45" x14ac:dyDescent="0.25">
      <c r="A499" s="419">
        <v>41532</v>
      </c>
      <c r="B499" s="420">
        <v>5.2627314814814814E-2</v>
      </c>
      <c r="C499" s="424" t="s">
        <v>1516</v>
      </c>
    </row>
    <row r="500" spans="1:3" ht="30" x14ac:dyDescent="0.25">
      <c r="A500" s="419">
        <v>41532</v>
      </c>
      <c r="B500" s="420">
        <v>5.31712962962963E-2</v>
      </c>
      <c r="C500" s="424" t="s">
        <v>1517</v>
      </c>
    </row>
    <row r="501" spans="1:3" ht="60" x14ac:dyDescent="0.25">
      <c r="A501" s="419">
        <v>41532</v>
      </c>
      <c r="B501" s="420">
        <v>5.3749999999999999E-2</v>
      </c>
      <c r="C501" s="424" t="s">
        <v>1518</v>
      </c>
    </row>
    <row r="502" spans="1:3" x14ac:dyDescent="0.25">
      <c r="A502" s="419">
        <v>41532</v>
      </c>
      <c r="B502" s="420">
        <v>5.3981481481481484E-2</v>
      </c>
      <c r="C502" s="423" t="s">
        <v>1519</v>
      </c>
    </row>
    <row r="503" spans="1:3" x14ac:dyDescent="0.25">
      <c r="A503" s="419">
        <v>41532</v>
      </c>
      <c r="B503" s="420">
        <v>5.4050925925925926E-2</v>
      </c>
      <c r="C503" s="423" t="s">
        <v>1520</v>
      </c>
    </row>
    <row r="504" spans="1:3" x14ac:dyDescent="0.25">
      <c r="A504" s="419">
        <v>41532</v>
      </c>
      <c r="B504" s="420">
        <v>5.4062500000000006E-2</v>
      </c>
      <c r="C504" s="423" t="s">
        <v>1521</v>
      </c>
    </row>
    <row r="505" spans="1:3" x14ac:dyDescent="0.25">
      <c r="A505" s="419">
        <v>41532</v>
      </c>
      <c r="B505" s="420">
        <v>5.4062500000000006E-2</v>
      </c>
      <c r="C505" s="423" t="s">
        <v>1520</v>
      </c>
    </row>
    <row r="506" spans="1:3" ht="45" x14ac:dyDescent="0.25">
      <c r="A506" s="419">
        <v>41532</v>
      </c>
      <c r="B506" s="420">
        <v>8.5879629629629625E-2</v>
      </c>
      <c r="C506" s="424" t="s">
        <v>1522</v>
      </c>
    </row>
    <row r="507" spans="1:3" ht="45" x14ac:dyDescent="0.25">
      <c r="A507" s="419">
        <v>41532</v>
      </c>
      <c r="B507" s="420">
        <v>9.5115740740740737E-2</v>
      </c>
      <c r="C507" s="424" t="s">
        <v>1523</v>
      </c>
    </row>
    <row r="508" spans="1:3" x14ac:dyDescent="0.25">
      <c r="A508" s="419">
        <v>41532</v>
      </c>
      <c r="B508" s="420">
        <v>9.5405092592592597E-2</v>
      </c>
      <c r="C508" s="423" t="s">
        <v>1484</v>
      </c>
    </row>
    <row r="509" spans="1:3" ht="45" x14ac:dyDescent="0.25">
      <c r="A509" s="419">
        <v>41532</v>
      </c>
      <c r="B509" s="420">
        <v>9.6238425925925922E-2</v>
      </c>
      <c r="C509" s="424" t="s">
        <v>1524</v>
      </c>
    </row>
    <row r="510" spans="1:3" x14ac:dyDescent="0.25">
      <c r="A510" s="419">
        <v>41532</v>
      </c>
      <c r="B510" s="420">
        <v>9.8333333333333328E-2</v>
      </c>
      <c r="C510" s="423" t="s">
        <v>1489</v>
      </c>
    </row>
    <row r="511" spans="1:3" x14ac:dyDescent="0.25">
      <c r="A511" s="419">
        <v>41532</v>
      </c>
      <c r="B511" s="420">
        <v>9.8391203703703703E-2</v>
      </c>
      <c r="C511" s="423" t="s">
        <v>1490</v>
      </c>
    </row>
    <row r="512" spans="1:3" x14ac:dyDescent="0.25">
      <c r="A512" s="419">
        <v>41532</v>
      </c>
      <c r="B512" s="420">
        <v>9.8472222222222225E-2</v>
      </c>
      <c r="C512" s="423" t="s">
        <v>1491</v>
      </c>
    </row>
    <row r="513" spans="1:3" x14ac:dyDescent="0.25">
      <c r="A513" s="419">
        <v>41532</v>
      </c>
      <c r="B513" s="420">
        <v>9.85300925925926E-2</v>
      </c>
      <c r="C513" s="423" t="s">
        <v>1492</v>
      </c>
    </row>
    <row r="514" spans="1:3" x14ac:dyDescent="0.25">
      <c r="A514" s="419">
        <v>41532</v>
      </c>
      <c r="B514" s="420">
        <v>9.9108796296296306E-2</v>
      </c>
      <c r="C514" s="423" t="s">
        <v>1493</v>
      </c>
    </row>
    <row r="515" spans="1:3" ht="45" x14ac:dyDescent="0.25">
      <c r="A515" s="419">
        <v>41532</v>
      </c>
      <c r="B515" s="420">
        <v>0.15995370370370371</v>
      </c>
      <c r="C515" s="424" t="s">
        <v>1525</v>
      </c>
    </row>
    <row r="516" spans="1:3" x14ac:dyDescent="0.25">
      <c r="A516" s="419">
        <v>41532</v>
      </c>
      <c r="B516" s="420">
        <v>0.16001157407407407</v>
      </c>
      <c r="C516" s="423" t="s">
        <v>1389</v>
      </c>
    </row>
    <row r="517" spans="1:3" x14ac:dyDescent="0.25">
      <c r="A517" s="419">
        <v>41532</v>
      </c>
      <c r="B517" s="420">
        <v>0.16001157407407407</v>
      </c>
      <c r="C517" s="423" t="s">
        <v>1407</v>
      </c>
    </row>
    <row r="518" spans="1:3" x14ac:dyDescent="0.25">
      <c r="A518" s="419">
        <v>41532</v>
      </c>
      <c r="B518" s="420">
        <v>0.16002314814814814</v>
      </c>
      <c r="C518" s="423" t="s">
        <v>1405</v>
      </c>
    </row>
    <row r="519" spans="1:3" x14ac:dyDescent="0.25">
      <c r="A519" s="419">
        <v>41532</v>
      </c>
      <c r="B519" s="420">
        <v>0.16002314814814814</v>
      </c>
      <c r="C519" s="423" t="s">
        <v>1406</v>
      </c>
    </row>
    <row r="520" spans="1:3" x14ac:dyDescent="0.25">
      <c r="A520" s="419">
        <v>41532</v>
      </c>
      <c r="B520" s="420">
        <v>0.16002314814814814</v>
      </c>
      <c r="C520" s="423" t="s">
        <v>1407</v>
      </c>
    </row>
    <row r="521" spans="1:3" x14ac:dyDescent="0.25">
      <c r="A521" s="419">
        <v>41532</v>
      </c>
      <c r="B521" s="420">
        <v>0.16002314814814814</v>
      </c>
      <c r="C521" s="423" t="s">
        <v>1407</v>
      </c>
    </row>
    <row r="522" spans="1:3" x14ac:dyDescent="0.25">
      <c r="A522" s="419">
        <v>41532</v>
      </c>
      <c r="B522" s="420">
        <v>0.16002314814814814</v>
      </c>
      <c r="C522" s="423" t="s">
        <v>1407</v>
      </c>
    </row>
    <row r="523" spans="1:3" x14ac:dyDescent="0.25">
      <c r="A523" s="419">
        <v>41532</v>
      </c>
      <c r="B523" s="420">
        <v>0.16002314814814814</v>
      </c>
      <c r="C523" s="423" t="s">
        <v>1407</v>
      </c>
    </row>
    <row r="524" spans="1:3" x14ac:dyDescent="0.25">
      <c r="A524" s="419">
        <v>41532</v>
      </c>
      <c r="B524" s="420">
        <v>0.16002314814814814</v>
      </c>
      <c r="C524" s="423" t="s">
        <v>1407</v>
      </c>
    </row>
    <row r="525" spans="1:3" x14ac:dyDescent="0.25">
      <c r="A525" s="419">
        <v>41532</v>
      </c>
      <c r="B525" s="420">
        <v>0.16002314814814814</v>
      </c>
      <c r="C525" s="423" t="s">
        <v>1407</v>
      </c>
    </row>
    <row r="526" spans="1:3" ht="45" x14ac:dyDescent="0.25">
      <c r="A526" s="419">
        <v>41532</v>
      </c>
      <c r="B526" s="420">
        <v>0.16748842592592594</v>
      </c>
      <c r="C526" s="424" t="s">
        <v>1507</v>
      </c>
    </row>
    <row r="527" spans="1:3" ht="45" x14ac:dyDescent="0.25">
      <c r="A527" s="419">
        <v>41532</v>
      </c>
      <c r="B527" s="420">
        <v>0.16856481481481481</v>
      </c>
      <c r="C527" s="424" t="s">
        <v>1526</v>
      </c>
    </row>
    <row r="528" spans="1:3" ht="45" x14ac:dyDescent="0.25">
      <c r="A528" s="419">
        <v>41532</v>
      </c>
      <c r="B528" s="420">
        <v>0.16873842592592592</v>
      </c>
      <c r="C528" s="424" t="s">
        <v>1527</v>
      </c>
    </row>
    <row r="529" spans="1:3" ht="30" x14ac:dyDescent="0.25">
      <c r="A529" s="419">
        <v>41532</v>
      </c>
      <c r="B529" s="420">
        <v>0.16885416666666667</v>
      </c>
      <c r="C529" s="424" t="s">
        <v>1528</v>
      </c>
    </row>
    <row r="530" spans="1:3" ht="45" x14ac:dyDescent="0.25">
      <c r="A530" s="419">
        <v>41532</v>
      </c>
      <c r="B530" s="420">
        <v>0.18053240740740739</v>
      </c>
      <c r="C530" s="424" t="s">
        <v>1529</v>
      </c>
    </row>
    <row r="531" spans="1:3" ht="45" x14ac:dyDescent="0.25">
      <c r="A531" s="419">
        <v>41532</v>
      </c>
      <c r="B531" s="420">
        <v>0.18126157407407406</v>
      </c>
      <c r="C531" s="424" t="s">
        <v>1530</v>
      </c>
    </row>
    <row r="532" spans="1:3" ht="45" x14ac:dyDescent="0.25">
      <c r="A532" s="419">
        <v>41532</v>
      </c>
      <c r="B532" s="420">
        <v>0.18142361111111113</v>
      </c>
      <c r="C532" s="424" t="s">
        <v>1531</v>
      </c>
    </row>
    <row r="533" spans="1:3" ht="30" x14ac:dyDescent="0.25">
      <c r="A533" s="419">
        <v>41532</v>
      </c>
      <c r="B533" s="420">
        <v>0.18152777777777776</v>
      </c>
      <c r="C533" s="424" t="s">
        <v>1532</v>
      </c>
    </row>
    <row r="534" spans="1:3" ht="30" x14ac:dyDescent="0.25">
      <c r="A534" s="419">
        <v>41532</v>
      </c>
      <c r="B534" s="420">
        <v>0.18406250000000002</v>
      </c>
      <c r="C534" s="424" t="s">
        <v>1533</v>
      </c>
    </row>
    <row r="535" spans="1:3" ht="45" x14ac:dyDescent="0.25">
      <c r="A535" s="419">
        <v>41532</v>
      </c>
      <c r="B535" s="420">
        <v>0.18491898148148148</v>
      </c>
      <c r="C535" s="424" t="s">
        <v>1534</v>
      </c>
    </row>
    <row r="536" spans="1:3" ht="30" x14ac:dyDescent="0.25">
      <c r="A536" s="419">
        <v>41532</v>
      </c>
      <c r="B536" s="420">
        <v>0.18527777777777776</v>
      </c>
      <c r="C536" s="424" t="s">
        <v>1535</v>
      </c>
    </row>
    <row r="537" spans="1:3" ht="45" x14ac:dyDescent="0.25">
      <c r="A537" s="419">
        <v>41532</v>
      </c>
      <c r="B537" s="420">
        <v>0.19597222222222221</v>
      </c>
      <c r="C537" s="424" t="s">
        <v>1536</v>
      </c>
    </row>
    <row r="538" spans="1:3" x14ac:dyDescent="0.25">
      <c r="A538" s="419">
        <v>41532</v>
      </c>
      <c r="B538" s="420">
        <v>0.25381944444444443</v>
      </c>
      <c r="C538" s="423" t="s">
        <v>1540</v>
      </c>
    </row>
    <row r="539" spans="1:3" x14ac:dyDescent="0.25">
      <c r="A539" s="419">
        <v>41532</v>
      </c>
      <c r="B539" s="420">
        <v>0.25387731481481485</v>
      </c>
      <c r="C539" s="423" t="s">
        <v>1541</v>
      </c>
    </row>
    <row r="540" spans="1:3" x14ac:dyDescent="0.25">
      <c r="A540" s="419">
        <v>41532</v>
      </c>
      <c r="B540" s="420">
        <v>0.2556134259259259</v>
      </c>
      <c r="C540" s="423" t="s">
        <v>1542</v>
      </c>
    </row>
    <row r="541" spans="1:3" x14ac:dyDescent="0.25">
      <c r="A541" s="419">
        <v>41532</v>
      </c>
      <c r="B541" s="420">
        <v>0.26624999999999999</v>
      </c>
      <c r="C541" s="423" t="s">
        <v>1540</v>
      </c>
    </row>
    <row r="542" spans="1:3" x14ac:dyDescent="0.25">
      <c r="A542" s="419">
        <v>41532</v>
      </c>
      <c r="B542" s="420">
        <v>0.26628472222222221</v>
      </c>
      <c r="C542" s="423" t="s">
        <v>1541</v>
      </c>
    </row>
    <row r="543" spans="1:3" x14ac:dyDescent="0.25">
      <c r="A543" s="419">
        <v>41532</v>
      </c>
      <c r="B543" s="420">
        <v>0.26642361111111112</v>
      </c>
      <c r="C543" s="423" t="s">
        <v>1542</v>
      </c>
    </row>
    <row r="544" spans="1:3" x14ac:dyDescent="0.25">
      <c r="A544" s="419">
        <v>41532</v>
      </c>
      <c r="B544" s="420">
        <v>0.26928240740740744</v>
      </c>
      <c r="C544" s="423" t="s">
        <v>1540</v>
      </c>
    </row>
    <row r="545" spans="1:3" x14ac:dyDescent="0.25">
      <c r="A545" s="419">
        <v>41532</v>
      </c>
      <c r="B545" s="420">
        <v>0.26931712962962961</v>
      </c>
      <c r="C545" s="423" t="s">
        <v>1541</v>
      </c>
    </row>
    <row r="546" spans="1:3" ht="45" x14ac:dyDescent="0.25">
      <c r="A546" s="419">
        <v>41532</v>
      </c>
      <c r="B546" s="420">
        <v>0.27945601851851848</v>
      </c>
      <c r="C546" s="424" t="s">
        <v>1547</v>
      </c>
    </row>
    <row r="547" spans="1:3" x14ac:dyDescent="0.25">
      <c r="A547" s="419">
        <v>41532</v>
      </c>
      <c r="B547" s="420">
        <v>0.28863425925925928</v>
      </c>
      <c r="C547" s="423" t="s">
        <v>1484</v>
      </c>
    </row>
    <row r="548" spans="1:3" ht="45" x14ac:dyDescent="0.25">
      <c r="A548" s="419">
        <v>41532</v>
      </c>
      <c r="B548" s="420">
        <v>0.29385416666666669</v>
      </c>
      <c r="C548" s="424" t="s">
        <v>1548</v>
      </c>
    </row>
    <row r="549" spans="1:3" x14ac:dyDescent="0.25">
      <c r="A549" s="419">
        <v>41532</v>
      </c>
      <c r="B549" s="420">
        <v>0.29385416666666669</v>
      </c>
      <c r="C549" s="423" t="s">
        <v>1489</v>
      </c>
    </row>
    <row r="550" spans="1:3" x14ac:dyDescent="0.25">
      <c r="A550" s="419">
        <v>41532</v>
      </c>
      <c r="B550" s="420">
        <v>0.29401620370370368</v>
      </c>
      <c r="C550" s="423" t="s">
        <v>1490</v>
      </c>
    </row>
    <row r="551" spans="1:3" x14ac:dyDescent="0.25">
      <c r="A551" s="419">
        <v>41532</v>
      </c>
      <c r="B551" s="420">
        <v>0.29417824074074073</v>
      </c>
      <c r="C551" s="423" t="s">
        <v>1491</v>
      </c>
    </row>
    <row r="552" spans="1:3" x14ac:dyDescent="0.25">
      <c r="A552" s="419">
        <v>41532</v>
      </c>
      <c r="B552" s="420">
        <v>0.29427083333333331</v>
      </c>
      <c r="C552" s="423" t="s">
        <v>1492</v>
      </c>
    </row>
    <row r="553" spans="1:3" x14ac:dyDescent="0.25">
      <c r="A553" s="419">
        <v>41532</v>
      </c>
      <c r="B553" s="420">
        <v>0.294375</v>
      </c>
      <c r="C553" s="423" t="s">
        <v>1493</v>
      </c>
    </row>
    <row r="554" spans="1:3" ht="30" x14ac:dyDescent="0.25">
      <c r="A554" s="419">
        <v>41532</v>
      </c>
      <c r="B554" s="420">
        <v>0.29719907407407409</v>
      </c>
      <c r="C554" s="424" t="s">
        <v>1549</v>
      </c>
    </row>
    <row r="555" spans="1:3" ht="45" x14ac:dyDescent="0.25">
      <c r="A555" s="419">
        <v>41532</v>
      </c>
      <c r="B555" s="420">
        <v>0.29755787037037035</v>
      </c>
      <c r="C555" s="424" t="s">
        <v>1550</v>
      </c>
    </row>
    <row r="556" spans="1:3" x14ac:dyDescent="0.25">
      <c r="A556" s="419">
        <v>41532</v>
      </c>
      <c r="B556" s="420">
        <v>0.29766203703703703</v>
      </c>
      <c r="C556" s="423" t="s">
        <v>1551</v>
      </c>
    </row>
    <row r="557" spans="1:3" x14ac:dyDescent="0.25">
      <c r="A557" s="419">
        <v>41532</v>
      </c>
      <c r="B557" s="420">
        <v>0.29766203703703703</v>
      </c>
      <c r="C557" s="423" t="s">
        <v>1437</v>
      </c>
    </row>
    <row r="558" spans="1:3" x14ac:dyDescent="0.25">
      <c r="A558" s="419">
        <v>41532</v>
      </c>
      <c r="B558" s="420">
        <v>0.29766203703703703</v>
      </c>
      <c r="C558" s="423" t="s">
        <v>1551</v>
      </c>
    </row>
    <row r="559" spans="1:3" ht="45" x14ac:dyDescent="0.25">
      <c r="A559" s="419">
        <v>41532</v>
      </c>
      <c r="B559" s="420">
        <v>0.30548611111111112</v>
      </c>
      <c r="C559" s="424" t="s">
        <v>1552</v>
      </c>
    </row>
    <row r="560" spans="1:3" ht="30" x14ac:dyDescent="0.25">
      <c r="A560" s="419">
        <v>41532</v>
      </c>
      <c r="B560" s="420">
        <v>0.30548611111111112</v>
      </c>
      <c r="C560" s="424" t="s">
        <v>1553</v>
      </c>
    </row>
    <row r="561" spans="1:3" ht="45" x14ac:dyDescent="0.25">
      <c r="A561" s="419">
        <v>41532</v>
      </c>
      <c r="B561" s="420">
        <v>0.30680555555555555</v>
      </c>
      <c r="C561" s="424" t="s">
        <v>1554</v>
      </c>
    </row>
    <row r="562" spans="1:3" ht="45" x14ac:dyDescent="0.25">
      <c r="A562" s="419">
        <v>41532</v>
      </c>
      <c r="B562" s="420">
        <v>0.30724537037037036</v>
      </c>
      <c r="C562" s="424" t="s">
        <v>1555</v>
      </c>
    </row>
    <row r="563" spans="1:3" ht="30" x14ac:dyDescent="0.25">
      <c r="A563" s="419">
        <v>41532</v>
      </c>
      <c r="B563" s="420">
        <v>0.30729166666666669</v>
      </c>
      <c r="C563" s="424" t="s">
        <v>1556</v>
      </c>
    </row>
    <row r="564" spans="1:3" ht="45" x14ac:dyDescent="0.25">
      <c r="A564" s="419">
        <v>41532</v>
      </c>
      <c r="B564" s="420">
        <v>0.30737268518518518</v>
      </c>
      <c r="C564" s="424" t="s">
        <v>1557</v>
      </c>
    </row>
    <row r="565" spans="1:3" ht="45" x14ac:dyDescent="0.25">
      <c r="A565" s="419">
        <v>41532</v>
      </c>
      <c r="B565" s="420">
        <v>0.30853009259259262</v>
      </c>
      <c r="C565" s="424" t="s">
        <v>1558</v>
      </c>
    </row>
    <row r="566" spans="1:3" x14ac:dyDescent="0.25">
      <c r="A566" s="419">
        <v>41532</v>
      </c>
      <c r="B566" s="420">
        <v>0.30857638888888889</v>
      </c>
      <c r="C566" s="423" t="s">
        <v>1427</v>
      </c>
    </row>
    <row r="567" spans="1:3" x14ac:dyDescent="0.25">
      <c r="A567" s="419">
        <v>41532</v>
      </c>
      <c r="B567" s="420">
        <v>0.30858796296296298</v>
      </c>
      <c r="C567" s="423" t="s">
        <v>1426</v>
      </c>
    </row>
    <row r="568" spans="1:3" x14ac:dyDescent="0.25">
      <c r="A568" s="419">
        <v>41532</v>
      </c>
      <c r="B568" s="420">
        <v>0.30858796296296298</v>
      </c>
      <c r="C568" s="423" t="s">
        <v>1427</v>
      </c>
    </row>
    <row r="569" spans="1:3" x14ac:dyDescent="0.25">
      <c r="A569" s="419">
        <v>41532</v>
      </c>
      <c r="B569" s="420">
        <v>0.30988425925925928</v>
      </c>
      <c r="C569" s="423" t="s">
        <v>1559</v>
      </c>
    </row>
    <row r="570" spans="1:3" ht="30" x14ac:dyDescent="0.25">
      <c r="A570" s="419">
        <v>41532</v>
      </c>
      <c r="B570" s="420">
        <v>0.31210648148148151</v>
      </c>
      <c r="C570" s="424" t="s">
        <v>1560</v>
      </c>
    </row>
    <row r="571" spans="1:3" ht="45" x14ac:dyDescent="0.25">
      <c r="A571" s="419">
        <v>41532</v>
      </c>
      <c r="B571" s="420">
        <v>0.31276620370370373</v>
      </c>
      <c r="C571" s="424" t="s">
        <v>1561</v>
      </c>
    </row>
    <row r="572" spans="1:3" ht="30" x14ac:dyDescent="0.25">
      <c r="A572" s="419">
        <v>41532</v>
      </c>
      <c r="B572" s="420">
        <v>0.31300925925925926</v>
      </c>
      <c r="C572" s="424" t="s">
        <v>1562</v>
      </c>
    </row>
    <row r="573" spans="1:3" ht="45" x14ac:dyDescent="0.25">
      <c r="A573" s="419">
        <v>41532</v>
      </c>
      <c r="B573" s="420">
        <v>0.31913194444444443</v>
      </c>
      <c r="C573" s="424" t="s">
        <v>1554</v>
      </c>
    </row>
    <row r="574" spans="1:3" ht="45" x14ac:dyDescent="0.25">
      <c r="A574" s="419">
        <v>41532</v>
      </c>
      <c r="B574" s="420">
        <v>0.31937500000000002</v>
      </c>
      <c r="C574" s="424" t="s">
        <v>1555</v>
      </c>
    </row>
    <row r="575" spans="1:3" ht="30" x14ac:dyDescent="0.25">
      <c r="A575" s="419">
        <v>41532</v>
      </c>
      <c r="B575" s="420">
        <v>0.31945601851851851</v>
      </c>
      <c r="C575" s="424" t="s">
        <v>1563</v>
      </c>
    </row>
    <row r="576" spans="1:3" ht="45" x14ac:dyDescent="0.25">
      <c r="A576" s="419">
        <v>41532</v>
      </c>
      <c r="B576" s="420">
        <v>0.3195486111111111</v>
      </c>
      <c r="C576" s="424" t="s">
        <v>1564</v>
      </c>
    </row>
    <row r="577" spans="1:3" ht="30" x14ac:dyDescent="0.25">
      <c r="A577" s="419">
        <v>41532</v>
      </c>
      <c r="B577" s="420">
        <v>0.32011574074074073</v>
      </c>
      <c r="C577" s="424" t="s">
        <v>1565</v>
      </c>
    </row>
    <row r="578" spans="1:3" ht="45" x14ac:dyDescent="0.25">
      <c r="A578" s="419">
        <v>41532</v>
      </c>
      <c r="B578" s="420">
        <v>0.32070601851851849</v>
      </c>
      <c r="C578" s="424" t="s">
        <v>1566</v>
      </c>
    </row>
    <row r="579" spans="1:3" ht="30" x14ac:dyDescent="0.25">
      <c r="A579" s="419">
        <v>41532</v>
      </c>
      <c r="B579" s="420">
        <v>0.32098379629629631</v>
      </c>
      <c r="C579" s="424" t="s">
        <v>1567</v>
      </c>
    </row>
    <row r="580" spans="1:3" ht="45" x14ac:dyDescent="0.25">
      <c r="A580" s="419">
        <v>41532</v>
      </c>
      <c r="B580" s="420">
        <v>0.32168981481481479</v>
      </c>
      <c r="C580" s="424" t="s">
        <v>1568</v>
      </c>
    </row>
    <row r="581" spans="1:3" x14ac:dyDescent="0.25">
      <c r="A581" s="419">
        <v>41532</v>
      </c>
      <c r="B581" s="420">
        <v>0.32177083333333334</v>
      </c>
      <c r="C581" s="423" t="s">
        <v>1389</v>
      </c>
    </row>
    <row r="582" spans="1:3" x14ac:dyDescent="0.25">
      <c r="A582" s="419">
        <v>41532</v>
      </c>
      <c r="B582" s="420">
        <v>0.32178240740740743</v>
      </c>
      <c r="C582" s="423" t="s">
        <v>1407</v>
      </c>
    </row>
    <row r="583" spans="1:3" x14ac:dyDescent="0.25">
      <c r="A583" s="419">
        <v>41532</v>
      </c>
      <c r="B583" s="420">
        <v>0.32178240740740743</v>
      </c>
      <c r="C583" s="423" t="s">
        <v>1405</v>
      </c>
    </row>
    <row r="584" spans="1:3" x14ac:dyDescent="0.25">
      <c r="A584" s="419">
        <v>41532</v>
      </c>
      <c r="B584" s="420">
        <v>0.32178240740740743</v>
      </c>
      <c r="C584" s="423" t="s">
        <v>1406</v>
      </c>
    </row>
    <row r="585" spans="1:3" x14ac:dyDescent="0.25">
      <c r="A585" s="419">
        <v>41532</v>
      </c>
      <c r="B585" s="420">
        <v>0.32178240740740743</v>
      </c>
      <c r="C585" s="423" t="s">
        <v>1407</v>
      </c>
    </row>
    <row r="586" spans="1:3" x14ac:dyDescent="0.25">
      <c r="A586" s="419">
        <v>41532</v>
      </c>
      <c r="B586" s="420">
        <v>0.32178240740740743</v>
      </c>
      <c r="C586" s="423" t="s">
        <v>1407</v>
      </c>
    </row>
    <row r="587" spans="1:3" x14ac:dyDescent="0.25">
      <c r="A587" s="419">
        <v>41532</v>
      </c>
      <c r="B587" s="420">
        <v>0.32178240740740743</v>
      </c>
      <c r="C587" s="423" t="s">
        <v>1407</v>
      </c>
    </row>
    <row r="588" spans="1:3" x14ac:dyDescent="0.25">
      <c r="A588" s="419">
        <v>41532</v>
      </c>
      <c r="B588" s="420">
        <v>0.32178240740740743</v>
      </c>
      <c r="C588" s="423" t="s">
        <v>1407</v>
      </c>
    </row>
    <row r="589" spans="1:3" x14ac:dyDescent="0.25">
      <c r="A589" s="419">
        <v>41532</v>
      </c>
      <c r="B589" s="420">
        <v>0.32178240740740743</v>
      </c>
      <c r="C589" s="423" t="s">
        <v>1407</v>
      </c>
    </row>
    <row r="590" spans="1:3" x14ac:dyDescent="0.25">
      <c r="A590" s="419">
        <v>41532</v>
      </c>
      <c r="B590" s="420">
        <v>0.32178240740740743</v>
      </c>
      <c r="C590" s="423" t="s">
        <v>1407</v>
      </c>
    </row>
    <row r="591" spans="1:3" x14ac:dyDescent="0.25">
      <c r="A591" s="419">
        <v>41532</v>
      </c>
      <c r="B591" s="420">
        <v>0.3228935185185185</v>
      </c>
      <c r="C591" s="423" t="s">
        <v>1356</v>
      </c>
    </row>
    <row r="592" spans="1:3" x14ac:dyDescent="0.25">
      <c r="A592" s="419">
        <v>41532</v>
      </c>
      <c r="B592" s="420">
        <v>0.32290509259259259</v>
      </c>
      <c r="C592" s="423" t="s">
        <v>1448</v>
      </c>
    </row>
    <row r="593" spans="1:3" ht="30" x14ac:dyDescent="0.25">
      <c r="A593" s="419">
        <v>41532</v>
      </c>
      <c r="B593" s="420">
        <v>0.32651620370370371</v>
      </c>
      <c r="C593" s="424" t="s">
        <v>1569</v>
      </c>
    </row>
    <row r="594" spans="1:3" ht="45" x14ac:dyDescent="0.25">
      <c r="A594" s="419">
        <v>41532</v>
      </c>
      <c r="B594" s="420">
        <v>0.3270717592592593</v>
      </c>
      <c r="C594" s="424" t="s">
        <v>1570</v>
      </c>
    </row>
    <row r="595" spans="1:3" ht="30" x14ac:dyDescent="0.25">
      <c r="A595" s="419">
        <v>41532</v>
      </c>
      <c r="B595" s="420">
        <v>0.32732638888888888</v>
      </c>
      <c r="C595" s="424" t="s">
        <v>1571</v>
      </c>
    </row>
    <row r="596" spans="1:3" ht="45" x14ac:dyDescent="0.25">
      <c r="A596" s="419">
        <v>41532</v>
      </c>
      <c r="B596" s="420">
        <v>0.32853009259259258</v>
      </c>
      <c r="C596" s="424" t="s">
        <v>1572</v>
      </c>
    </row>
    <row r="597" spans="1:3" x14ac:dyDescent="0.25">
      <c r="A597" s="419">
        <v>41532</v>
      </c>
      <c r="B597" s="420">
        <v>0.32858796296296294</v>
      </c>
      <c r="C597" s="423" t="s">
        <v>1389</v>
      </c>
    </row>
    <row r="598" spans="1:3" x14ac:dyDescent="0.25">
      <c r="A598" s="419">
        <v>41532</v>
      </c>
      <c r="B598" s="420">
        <v>0.32858796296296294</v>
      </c>
      <c r="C598" s="423" t="s">
        <v>1407</v>
      </c>
    </row>
    <row r="599" spans="1:3" x14ac:dyDescent="0.25">
      <c r="A599" s="419">
        <v>41532</v>
      </c>
      <c r="B599" s="420">
        <v>0.32859953703703704</v>
      </c>
      <c r="C599" s="423" t="s">
        <v>1405</v>
      </c>
    </row>
    <row r="600" spans="1:3" x14ac:dyDescent="0.25">
      <c r="A600" s="419">
        <v>41532</v>
      </c>
      <c r="B600" s="420">
        <v>0.32859953703703704</v>
      </c>
      <c r="C600" s="423" t="s">
        <v>1406</v>
      </c>
    </row>
    <row r="601" spans="1:3" x14ac:dyDescent="0.25">
      <c r="A601" s="419">
        <v>41532</v>
      </c>
      <c r="B601" s="420">
        <v>0.32859953703703704</v>
      </c>
      <c r="C601" s="423" t="s">
        <v>1407</v>
      </c>
    </row>
    <row r="602" spans="1:3" x14ac:dyDescent="0.25">
      <c r="A602" s="419">
        <v>41532</v>
      </c>
      <c r="B602" s="420">
        <v>0.32859953703703704</v>
      </c>
      <c r="C602" s="423" t="s">
        <v>1407</v>
      </c>
    </row>
    <row r="603" spans="1:3" x14ac:dyDescent="0.25">
      <c r="A603" s="419">
        <v>41532</v>
      </c>
      <c r="B603" s="420">
        <v>0.32859953703703704</v>
      </c>
      <c r="C603" s="423" t="s">
        <v>1407</v>
      </c>
    </row>
    <row r="604" spans="1:3" x14ac:dyDescent="0.25">
      <c r="A604" s="419">
        <v>41532</v>
      </c>
      <c r="B604" s="420">
        <v>0.32859953703703704</v>
      </c>
      <c r="C604" s="423" t="s">
        <v>1407</v>
      </c>
    </row>
    <row r="605" spans="1:3" x14ac:dyDescent="0.25">
      <c r="A605" s="419">
        <v>41532</v>
      </c>
      <c r="B605" s="420">
        <v>0.32859953703703704</v>
      </c>
      <c r="C605" s="423" t="s">
        <v>1407</v>
      </c>
    </row>
    <row r="606" spans="1:3" x14ac:dyDescent="0.25">
      <c r="A606" s="419">
        <v>41532</v>
      </c>
      <c r="B606" s="420">
        <v>0.32859953703703704</v>
      </c>
      <c r="C606" s="423" t="s">
        <v>1407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1"/>
  <sheetViews>
    <sheetView zoomScale="80" zoomScaleNormal="80" workbookViewId="0">
      <pane xSplit="1" ySplit="2" topLeftCell="B168" activePane="bottomRight" state="frozen"/>
      <selection pane="topRight" activeCell="B1" sqref="B1"/>
      <selection pane="bottomLeft" activeCell="A3" sqref="A3"/>
      <selection pane="bottomRight" activeCell="D189" sqref="D189"/>
    </sheetView>
  </sheetViews>
  <sheetFormatPr defaultRowHeight="15" x14ac:dyDescent="0.25"/>
  <cols>
    <col min="1" max="1" width="12" style="400" customWidth="1"/>
    <col min="2" max="2" width="15" style="400" customWidth="1"/>
    <col min="3" max="3" width="16.140625" style="400" customWidth="1"/>
    <col min="4" max="4" width="12.42578125" style="400" customWidth="1"/>
    <col min="5" max="5" width="13.85546875" style="400" customWidth="1"/>
    <col min="6" max="6" width="18" style="400" customWidth="1"/>
    <col min="7" max="7" width="15.85546875" style="400" customWidth="1"/>
    <col min="8" max="8" width="12.42578125" style="400" customWidth="1"/>
    <col min="9" max="9" width="12.5703125" style="400" customWidth="1"/>
    <col min="10" max="10" width="13.42578125" style="400" customWidth="1"/>
    <col min="11" max="12" width="10" style="400" customWidth="1"/>
    <col min="13" max="13" width="11.28515625" style="400" customWidth="1"/>
    <col min="14" max="14" width="12.42578125" style="400" customWidth="1"/>
    <col min="15" max="15" width="12.85546875" style="400" customWidth="1"/>
    <col min="16" max="17" width="10.28515625" style="400" customWidth="1"/>
    <col min="18" max="18" width="9.140625" style="400"/>
    <col min="19" max="19" width="10.85546875" style="400" customWidth="1"/>
    <col min="20" max="20" width="11.140625" style="400" customWidth="1"/>
    <col min="21" max="29" width="9.140625" style="400"/>
    <col min="30" max="30" width="11" style="400" customWidth="1"/>
    <col min="31" max="31" width="16.42578125" style="400" customWidth="1"/>
    <col min="32" max="32" width="14.42578125" style="400" customWidth="1"/>
    <col min="33" max="33" width="11.28515625" style="400" bestFit="1" customWidth="1"/>
    <col min="34" max="34" width="11.42578125" style="400" bestFit="1" customWidth="1"/>
    <col min="35" max="37" width="12.42578125" style="400" bestFit="1" customWidth="1"/>
    <col min="38" max="38" width="9.140625" style="400"/>
    <col min="39" max="39" width="10.140625" style="400" customWidth="1"/>
    <col min="40" max="16384" width="9.140625" style="400"/>
  </cols>
  <sheetData>
    <row r="1" spans="1:42" s="426" customFormat="1" ht="15.75" thickBot="1" x14ac:dyDescent="0.3">
      <c r="A1" s="425">
        <v>41517</v>
      </c>
    </row>
    <row r="2" spans="1:42" s="426" customFormat="1" ht="19.5" x14ac:dyDescent="0.3">
      <c r="C2" s="427" t="s">
        <v>738</v>
      </c>
    </row>
    <row r="3" spans="1:42" s="426" customFormat="1" x14ac:dyDescent="0.25"/>
    <row r="4" spans="1:42" s="426" customFormat="1" x14ac:dyDescent="0.25">
      <c r="A4" s="426" t="s">
        <v>1200</v>
      </c>
    </row>
    <row r="5" spans="1:42" s="426" customFormat="1" ht="15.75" thickBot="1" x14ac:dyDescent="0.3">
      <c r="A5" s="870">
        <v>41517</v>
      </c>
      <c r="B5" s="426" t="s">
        <v>1219</v>
      </c>
    </row>
    <row r="6" spans="1:42" s="444" customFormat="1" ht="23.25" thickBot="1" x14ac:dyDescent="0.3">
      <c r="A6" s="428" t="s">
        <v>739</v>
      </c>
      <c r="B6" s="911" t="s">
        <v>740</v>
      </c>
      <c r="C6" s="791" t="s">
        <v>57</v>
      </c>
      <c r="D6" s="791" t="s">
        <v>741</v>
      </c>
      <c r="E6" s="791" t="s">
        <v>76</v>
      </c>
      <c r="F6" s="912"/>
      <c r="G6" s="913" t="s">
        <v>35</v>
      </c>
      <c r="H6" s="914" t="s">
        <v>38</v>
      </c>
      <c r="I6" s="913" t="s">
        <v>742</v>
      </c>
      <c r="J6" s="915" t="s">
        <v>51</v>
      </c>
      <c r="K6" s="916" t="s">
        <v>743</v>
      </c>
      <c r="L6" s="916" t="s">
        <v>744</v>
      </c>
      <c r="M6" s="916" t="s">
        <v>745</v>
      </c>
      <c r="N6" s="917" t="s">
        <v>746</v>
      </c>
      <c r="O6" s="917" t="s">
        <v>747</v>
      </c>
      <c r="P6" s="917" t="s">
        <v>748</v>
      </c>
      <c r="Q6" s="917" t="s">
        <v>749</v>
      </c>
      <c r="R6" s="917" t="s">
        <v>750</v>
      </c>
      <c r="S6" s="916" t="s">
        <v>751</v>
      </c>
      <c r="T6" s="915" t="s">
        <v>752</v>
      </c>
      <c r="U6" s="915" t="s">
        <v>753</v>
      </c>
      <c r="V6" s="915" t="s">
        <v>754</v>
      </c>
      <c r="W6" s="915" t="s">
        <v>108</v>
      </c>
      <c r="X6" s="915" t="s">
        <v>755</v>
      </c>
      <c r="Y6" s="915" t="s">
        <v>756</v>
      </c>
      <c r="Z6" s="913" t="s">
        <v>757</v>
      </c>
      <c r="AA6" s="915" t="s">
        <v>758</v>
      </c>
      <c r="AB6" s="916" t="s">
        <v>759</v>
      </c>
      <c r="AC6" s="915" t="s">
        <v>760</v>
      </c>
      <c r="AD6" s="918" t="s">
        <v>761</v>
      </c>
      <c r="AE6" s="920" t="s">
        <v>1474</v>
      </c>
      <c r="AF6" s="868" t="s">
        <v>1218</v>
      </c>
      <c r="AG6" s="919" t="s">
        <v>762</v>
      </c>
      <c r="AH6" s="431" t="s">
        <v>400</v>
      </c>
      <c r="AI6" s="432" t="s">
        <v>763</v>
      </c>
      <c r="AJ6" s="432" t="s">
        <v>764</v>
      </c>
      <c r="AK6" s="432" t="s">
        <v>414</v>
      </c>
      <c r="AL6" s="432" t="s">
        <v>411</v>
      </c>
      <c r="AM6" s="431" t="s">
        <v>765</v>
      </c>
      <c r="AP6" s="431" t="s">
        <v>766</v>
      </c>
    </row>
    <row r="7" spans="1:42" s="426" customFormat="1" x14ac:dyDescent="0.25">
      <c r="A7" s="433" t="s">
        <v>1220</v>
      </c>
      <c r="B7" s="434" t="s">
        <v>172</v>
      </c>
      <c r="C7" s="435" t="str">
        <f>IF(D7="","",1)</f>
        <v/>
      </c>
      <c r="D7" s="436"/>
      <c r="E7" s="436"/>
      <c r="F7" s="437" t="str">
        <f>TRIM(G7)&amp;TRIM(AE7)&amp;ROUND(S7/1000,0)</f>
        <v>CopyHdr0</v>
      </c>
      <c r="AE7" s="922" t="s">
        <v>768</v>
      </c>
      <c r="AF7" s="612" t="s">
        <v>768</v>
      </c>
      <c r="AG7" s="438" t="s">
        <v>768</v>
      </c>
      <c r="AH7" s="438" t="s">
        <v>768</v>
      </c>
      <c r="AI7" s="438" t="s">
        <v>768</v>
      </c>
      <c r="AJ7" s="438" t="s">
        <v>768</v>
      </c>
      <c r="AK7" s="438" t="s">
        <v>768</v>
      </c>
      <c r="AL7" s="438" t="s">
        <v>768</v>
      </c>
      <c r="AM7" s="438" t="s">
        <v>768</v>
      </c>
      <c r="AP7" s="438" t="s">
        <v>768</v>
      </c>
    </row>
    <row r="8" spans="1:42" s="426" customFormat="1" x14ac:dyDescent="0.25">
      <c r="A8" s="428" t="s">
        <v>769</v>
      </c>
      <c r="B8" s="439">
        <v>0.5</v>
      </c>
      <c r="C8" s="439">
        <v>1.2</v>
      </c>
      <c r="D8" s="439">
        <v>0.5</v>
      </c>
      <c r="E8" s="439">
        <v>0.5</v>
      </c>
      <c r="F8" s="440">
        <v>0.3</v>
      </c>
      <c r="G8" s="441">
        <v>14</v>
      </c>
      <c r="H8" s="441">
        <v>8</v>
      </c>
      <c r="I8" s="441">
        <v>12.8</v>
      </c>
      <c r="J8" s="441">
        <v>22</v>
      </c>
      <c r="K8" s="441">
        <v>0</v>
      </c>
      <c r="L8" s="441">
        <v>0</v>
      </c>
      <c r="M8" s="441">
        <v>0</v>
      </c>
      <c r="N8" s="441">
        <v>0</v>
      </c>
      <c r="O8" s="441">
        <v>0</v>
      </c>
      <c r="P8" s="441">
        <v>0</v>
      </c>
      <c r="Q8" s="441">
        <v>0</v>
      </c>
      <c r="R8" s="441">
        <v>0</v>
      </c>
      <c r="S8" s="441">
        <v>10</v>
      </c>
      <c r="T8" s="441">
        <v>40</v>
      </c>
      <c r="U8" s="441">
        <v>0</v>
      </c>
      <c r="V8" s="441">
        <v>0</v>
      </c>
      <c r="W8" s="441">
        <v>10</v>
      </c>
      <c r="X8" s="441">
        <v>0</v>
      </c>
      <c r="Y8" s="441">
        <v>0</v>
      </c>
      <c r="Z8" s="441">
        <v>8</v>
      </c>
      <c r="AA8" s="441">
        <v>8</v>
      </c>
      <c r="AB8" s="441">
        <v>10</v>
      </c>
      <c r="AC8" s="441">
        <v>5</v>
      </c>
      <c r="AD8" s="441">
        <v>15</v>
      </c>
      <c r="AE8" s="921" t="s">
        <v>1475</v>
      </c>
      <c r="AF8" s="869" t="s">
        <v>924</v>
      </c>
      <c r="AG8" s="426">
        <v>8</v>
      </c>
      <c r="AH8" s="439">
        <v>10</v>
      </c>
      <c r="AI8" s="439">
        <v>1</v>
      </c>
      <c r="AJ8" s="439">
        <v>1</v>
      </c>
      <c r="AK8" s="439">
        <v>1</v>
      </c>
      <c r="AL8" s="439">
        <v>1</v>
      </c>
      <c r="AM8" s="439" t="s">
        <v>770</v>
      </c>
      <c r="AP8" s="439" t="s">
        <v>770</v>
      </c>
    </row>
    <row r="9" spans="1:42" s="426" customFormat="1" x14ac:dyDescent="0.25">
      <c r="A9" s="428" t="s">
        <v>771</v>
      </c>
      <c r="B9" s="439">
        <v>30</v>
      </c>
      <c r="C9" s="439"/>
      <c r="D9" s="439">
        <v>5</v>
      </c>
      <c r="E9" s="439">
        <v>3</v>
      </c>
      <c r="F9" s="440"/>
      <c r="G9" s="439"/>
      <c r="H9" s="439"/>
      <c r="K9" s="439"/>
      <c r="L9" s="441"/>
      <c r="M9" s="441"/>
      <c r="N9" s="441"/>
      <c r="O9" s="441"/>
      <c r="P9" s="441"/>
      <c r="Q9" s="441"/>
      <c r="R9" s="441"/>
      <c r="S9" s="441"/>
      <c r="T9" s="441"/>
      <c r="U9" s="442"/>
      <c r="V9" s="441"/>
      <c r="W9" s="441"/>
      <c r="X9" s="441"/>
      <c r="Y9" s="441"/>
      <c r="Z9" s="441"/>
      <c r="AA9" s="441"/>
      <c r="AE9" s="922">
        <v>9</v>
      </c>
      <c r="AF9" s="612" t="str">
        <f>Process!F72</f>
        <v>HANDL_Payment</v>
      </c>
      <c r="AG9" s="439">
        <v>8</v>
      </c>
      <c r="AH9" s="439">
        <v>19</v>
      </c>
      <c r="AI9" s="439">
        <f>COLUMN(AH9)-1</f>
        <v>33</v>
      </c>
      <c r="AJ9" s="439">
        <f>AI9</f>
        <v>33</v>
      </c>
      <c r="AK9" s="439">
        <f>AI9</f>
        <v>33</v>
      </c>
      <c r="AL9" s="439">
        <f>AI9</f>
        <v>33</v>
      </c>
      <c r="AM9" s="439">
        <v>5</v>
      </c>
      <c r="AP9" s="439">
        <v>5</v>
      </c>
    </row>
    <row r="10" spans="1:42" s="444" customFormat="1" ht="38.25" x14ac:dyDescent="0.25">
      <c r="A10" s="428" t="s">
        <v>772</v>
      </c>
      <c r="B10" s="443"/>
      <c r="C10" s="443"/>
      <c r="D10" s="443"/>
      <c r="E10" s="443"/>
      <c r="G10" s="443"/>
      <c r="H10" s="443"/>
      <c r="K10" s="443"/>
      <c r="L10" s="445"/>
      <c r="M10" s="445"/>
      <c r="N10" s="445"/>
      <c r="O10" s="445"/>
      <c r="P10" s="445"/>
      <c r="Q10" s="445"/>
      <c r="R10" s="445"/>
      <c r="S10" s="445"/>
      <c r="T10" s="445"/>
      <c r="U10" s="446"/>
      <c r="V10" s="445"/>
      <c r="W10" s="445"/>
      <c r="X10" s="445"/>
      <c r="Y10" s="445"/>
      <c r="Z10" s="445"/>
      <c r="AA10" s="445"/>
      <c r="AE10" s="923" t="s">
        <v>1476</v>
      </c>
      <c r="AF10" s="867"/>
      <c r="AG10" s="443" t="s">
        <v>773</v>
      </c>
      <c r="AH10" s="447" t="s">
        <v>774</v>
      </c>
      <c r="AI10" s="448" t="s">
        <v>775</v>
      </c>
      <c r="AJ10" s="448" t="s">
        <v>776</v>
      </c>
      <c r="AK10" s="448" t="s">
        <v>777</v>
      </c>
      <c r="AL10" s="448" t="s">
        <v>778</v>
      </c>
      <c r="AM10" s="449"/>
      <c r="AP10" s="449" t="s">
        <v>779</v>
      </c>
    </row>
    <row r="11" spans="1:42" s="426" customFormat="1" x14ac:dyDescent="0.25">
      <c r="A11" s="428" t="s">
        <v>780</v>
      </c>
      <c r="B11" s="450" t="s">
        <v>781</v>
      </c>
      <c r="C11" s="450"/>
      <c r="D11" s="450" t="s">
        <v>782</v>
      </c>
      <c r="E11" s="450" t="s">
        <v>783</v>
      </c>
      <c r="F11" s="440"/>
      <c r="G11" s="439"/>
      <c r="H11" s="439"/>
      <c r="K11" s="439"/>
      <c r="L11" s="441"/>
      <c r="M11" s="441"/>
      <c r="N11" s="441"/>
      <c r="O11" s="441"/>
      <c r="P11" s="441"/>
      <c r="Q11" s="441"/>
      <c r="R11" s="441"/>
      <c r="S11" s="441"/>
      <c r="T11" s="441"/>
      <c r="U11" s="442"/>
      <c r="V11" s="441"/>
      <c r="W11" s="441"/>
      <c r="X11" s="441"/>
      <c r="Y11" s="441"/>
      <c r="Z11" s="441"/>
      <c r="AA11" s="441"/>
      <c r="AE11" s="924" t="s">
        <v>1485</v>
      </c>
      <c r="AF11" s="611"/>
      <c r="AM11" s="450" t="s">
        <v>784</v>
      </c>
      <c r="AP11" s="450" t="s">
        <v>784</v>
      </c>
    </row>
    <row r="12" spans="1:42" s="426" customFormat="1" x14ac:dyDescent="0.25">
      <c r="Z12" s="441"/>
    </row>
    <row r="13" spans="1:42" s="426" customFormat="1" ht="15.75" thickBot="1" x14ac:dyDescent="0.3">
      <c r="A13" s="426" t="s">
        <v>785</v>
      </c>
      <c r="Z13" s="441"/>
    </row>
    <row r="14" spans="1:42" s="451" customFormat="1" ht="15.75" thickBot="1" x14ac:dyDescent="0.3">
      <c r="F14" s="452"/>
      <c r="G14" s="453"/>
      <c r="H14" s="452"/>
      <c r="I14" s="454" t="s">
        <v>786</v>
      </c>
      <c r="J14" s="455"/>
      <c r="K14" s="456"/>
      <c r="L14" s="457"/>
      <c r="M14" s="457"/>
      <c r="N14" s="457"/>
      <c r="O14" s="457"/>
      <c r="P14" s="457"/>
      <c r="Q14" s="457"/>
      <c r="R14" s="458">
        <f>SUM(R$2:R12)</f>
        <v>0</v>
      </c>
      <c r="S14" s="459"/>
      <c r="V14" s="460" t="s">
        <v>787</v>
      </c>
      <c r="W14" s="461"/>
      <c r="X14" s="461"/>
      <c r="Y14" s="462">
        <f>1 - COUNTIF(A$2:A12,"")/COUNTA(A$2:A12)</f>
        <v>0.625</v>
      </c>
      <c r="Z14" s="460" t="s">
        <v>788</v>
      </c>
      <c r="AA14" s="458">
        <f>R14-SUMIF(B$2:B12,"1",R$2:R12)</f>
        <v>0</v>
      </c>
      <c r="AB14" s="463" t="e">
        <f>AA14/R14</f>
        <v>#DIV/0!</v>
      </c>
      <c r="AC14" s="464" t="e">
        <f>1-AB14</f>
        <v>#DIV/0!</v>
      </c>
    </row>
    <row r="15" spans="1:42" s="426" customFormat="1" x14ac:dyDescent="0.25"/>
    <row r="16" spans="1:42" s="426" customFormat="1" x14ac:dyDescent="0.25">
      <c r="A16" s="426" t="s">
        <v>789</v>
      </c>
    </row>
    <row r="17" spans="1:27" s="426" customFormat="1" ht="15.75" thickBot="1" x14ac:dyDescent="0.3">
      <c r="B17" s="426" t="s">
        <v>790</v>
      </c>
    </row>
    <row r="18" spans="1:27" s="443" customFormat="1" ht="60.75" thickBot="1" x14ac:dyDescent="0.3">
      <c r="A18" s="428" t="s">
        <v>739</v>
      </c>
      <c r="B18" s="465" t="s">
        <v>791</v>
      </c>
      <c r="C18" s="466" t="s">
        <v>792</v>
      </c>
      <c r="D18" s="466" t="s">
        <v>793</v>
      </c>
      <c r="E18" s="467" t="s">
        <v>794</v>
      </c>
      <c r="F18" s="468" t="s">
        <v>795</v>
      </c>
      <c r="G18" s="469" t="s">
        <v>796</v>
      </c>
      <c r="H18" s="470" t="s">
        <v>797</v>
      </c>
      <c r="I18" s="471"/>
      <c r="J18" s="472"/>
      <c r="K18" s="473" t="s">
        <v>43</v>
      </c>
      <c r="L18" s="473"/>
      <c r="M18" s="474" t="s">
        <v>46</v>
      </c>
      <c r="N18" s="472" t="s">
        <v>753</v>
      </c>
      <c r="O18" s="472" t="s">
        <v>108</v>
      </c>
      <c r="P18" s="472" t="s">
        <v>798</v>
      </c>
      <c r="Q18" s="472" t="s">
        <v>799</v>
      </c>
      <c r="R18" s="472" t="s">
        <v>800</v>
      </c>
      <c r="S18" s="472" t="s">
        <v>801</v>
      </c>
      <c r="T18" s="473" t="s">
        <v>802</v>
      </c>
      <c r="U18" s="475" t="s">
        <v>803</v>
      </c>
      <c r="V18" s="475" t="s">
        <v>804</v>
      </c>
      <c r="W18" s="475" t="s">
        <v>805</v>
      </c>
      <c r="X18" s="472" t="s">
        <v>806</v>
      </c>
      <c r="Y18" s="472" t="s">
        <v>807</v>
      </c>
      <c r="Z18" s="472" t="s">
        <v>761</v>
      </c>
      <c r="AA18" s="472" t="s">
        <v>808</v>
      </c>
    </row>
    <row r="19" spans="1:27" s="426" customFormat="1" ht="18" customHeight="1" x14ac:dyDescent="0.25">
      <c r="A19" s="433" t="s">
        <v>1220</v>
      </c>
      <c r="B19" s="476" t="s">
        <v>168</v>
      </c>
      <c r="C19" s="477" t="s">
        <v>809</v>
      </c>
      <c r="D19" s="478"/>
      <c r="E19" s="479">
        <v>1</v>
      </c>
      <c r="F19" s="480" t="str">
        <f>IF(AND(U19=W19,W19&gt;0),"1","")</f>
        <v/>
      </c>
      <c r="G19" s="481" t="str">
        <f>IF(U19=V19,"1","")</f>
        <v/>
      </c>
      <c r="H19" s="482"/>
      <c r="I19" s="483" t="str">
        <f>IF(S19="",TRIM(K19),TRIM(MID(S19,9,55))&amp;"/"&amp;TRIM(K19))</f>
        <v>2009-1-065</v>
      </c>
      <c r="J19" s="484"/>
      <c r="K19" s="485" t="s">
        <v>810</v>
      </c>
      <c r="L19" s="485"/>
      <c r="M19" s="486">
        <v>40058</v>
      </c>
      <c r="N19" s="484" t="s">
        <v>251</v>
      </c>
      <c r="O19" s="484" t="s">
        <v>373</v>
      </c>
      <c r="P19" s="484" t="s">
        <v>811</v>
      </c>
      <c r="Q19" s="484"/>
      <c r="R19" s="484" t="s">
        <v>812</v>
      </c>
      <c r="S19" s="484"/>
      <c r="T19" s="485" t="s">
        <v>813</v>
      </c>
      <c r="U19" s="487">
        <v>324000</v>
      </c>
      <c r="V19" s="487">
        <v>0</v>
      </c>
      <c r="W19" s="487">
        <v>0</v>
      </c>
      <c r="X19" s="484" t="s">
        <v>392</v>
      </c>
      <c r="Y19" s="488"/>
      <c r="Z19" s="488" t="s">
        <v>814</v>
      </c>
      <c r="AA19" s="484" t="s">
        <v>815</v>
      </c>
    </row>
    <row r="20" spans="1:27" s="426" customFormat="1" x14ac:dyDescent="0.25">
      <c r="A20" s="428" t="s">
        <v>769</v>
      </c>
      <c r="B20" s="439">
        <v>0.5</v>
      </c>
      <c r="C20" s="439">
        <v>8</v>
      </c>
      <c r="D20" s="426">
        <v>6</v>
      </c>
      <c r="E20" s="439">
        <v>5</v>
      </c>
      <c r="F20" s="440">
        <v>2</v>
      </c>
      <c r="G20" s="439">
        <v>2</v>
      </c>
      <c r="H20" s="439">
        <v>2</v>
      </c>
      <c r="I20" s="426">
        <v>0.5</v>
      </c>
      <c r="J20" s="426">
        <v>0.5</v>
      </c>
      <c r="K20" s="439">
        <v>10</v>
      </c>
      <c r="L20" s="441">
        <v>0.7</v>
      </c>
      <c r="M20" s="441">
        <v>10</v>
      </c>
      <c r="N20" s="441">
        <v>7</v>
      </c>
      <c r="O20" s="441">
        <v>10</v>
      </c>
      <c r="P20" s="441">
        <v>20</v>
      </c>
      <c r="Q20" s="441">
        <v>12</v>
      </c>
      <c r="R20" s="441">
        <v>12</v>
      </c>
      <c r="S20" s="441">
        <v>10</v>
      </c>
      <c r="T20" s="441">
        <v>8</v>
      </c>
      <c r="U20" s="442">
        <v>12</v>
      </c>
      <c r="V20" s="441">
        <v>11</v>
      </c>
      <c r="W20" s="441">
        <v>11</v>
      </c>
      <c r="X20" s="441">
        <v>10</v>
      </c>
      <c r="Y20" s="441">
        <v>12</v>
      </c>
      <c r="Z20" s="441">
        <v>20</v>
      </c>
      <c r="AA20" s="441">
        <v>10</v>
      </c>
    </row>
    <row r="21" spans="1:27" s="426" customFormat="1" x14ac:dyDescent="0.25">
      <c r="A21" s="428" t="s">
        <v>771</v>
      </c>
      <c r="B21" s="439">
        <v>15</v>
      </c>
      <c r="C21" s="439">
        <v>8</v>
      </c>
      <c r="D21" s="426">
        <v>8</v>
      </c>
      <c r="E21" s="439"/>
      <c r="F21" s="440"/>
      <c r="G21" s="439"/>
      <c r="H21" s="439">
        <v>8</v>
      </c>
      <c r="K21" s="439"/>
      <c r="L21" s="441"/>
      <c r="M21" s="441"/>
      <c r="N21" s="441"/>
      <c r="O21" s="441"/>
      <c r="P21" s="441"/>
      <c r="Q21" s="441"/>
      <c r="R21" s="441"/>
      <c r="S21" s="441"/>
      <c r="T21" s="441"/>
      <c r="U21" s="442"/>
      <c r="V21" s="441"/>
      <c r="W21" s="441"/>
      <c r="X21" s="441"/>
      <c r="Y21" s="441"/>
      <c r="Z21" s="441"/>
      <c r="AA21" s="441"/>
    </row>
    <row r="22" spans="1:27" s="426" customFormat="1" x14ac:dyDescent="0.25">
      <c r="A22" s="428" t="s">
        <v>772</v>
      </c>
      <c r="B22" s="439"/>
      <c r="C22" s="439"/>
      <c r="E22" s="439"/>
      <c r="F22" s="440"/>
      <c r="G22" s="439"/>
      <c r="H22" s="439"/>
      <c r="K22" s="439"/>
      <c r="L22" s="441"/>
      <c r="M22" s="441"/>
      <c r="N22" s="441"/>
      <c r="O22" s="441"/>
      <c r="P22" s="441"/>
      <c r="Q22" s="441"/>
      <c r="R22" s="441"/>
      <c r="S22" s="441"/>
      <c r="T22" s="441"/>
      <c r="U22" s="442"/>
      <c r="V22" s="441"/>
      <c r="W22" s="441"/>
      <c r="X22" s="441"/>
      <c r="Y22" s="441"/>
      <c r="Z22" s="441"/>
      <c r="AA22" s="441"/>
    </row>
    <row r="23" spans="1:27" s="426" customFormat="1" x14ac:dyDescent="0.25">
      <c r="A23" s="428" t="s">
        <v>780</v>
      </c>
      <c r="B23" s="439" t="s">
        <v>781</v>
      </c>
      <c r="C23" s="439" t="s">
        <v>816</v>
      </c>
      <c r="D23" s="426" t="s">
        <v>817</v>
      </c>
      <c r="E23" s="439"/>
      <c r="F23" s="440"/>
      <c r="G23" s="439"/>
      <c r="H23" s="439" t="s">
        <v>818</v>
      </c>
      <c r="K23" s="439"/>
      <c r="L23" s="441"/>
      <c r="M23" s="441"/>
      <c r="N23" s="441"/>
      <c r="O23" s="441"/>
      <c r="P23" s="441"/>
      <c r="Q23" s="441"/>
      <c r="R23" s="441"/>
      <c r="S23" s="441"/>
      <c r="T23" s="441"/>
      <c r="U23" s="442"/>
      <c r="V23" s="441"/>
      <c r="W23" s="441"/>
      <c r="X23" s="441"/>
      <c r="Y23" s="441"/>
      <c r="Z23" s="441"/>
      <c r="AA23" s="441"/>
    </row>
    <row r="24" spans="1:27" s="426" customFormat="1" x14ac:dyDescent="0.25">
      <c r="A24" s="439"/>
      <c r="B24" s="439"/>
      <c r="D24" s="439"/>
      <c r="E24" s="440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</row>
    <row r="25" spans="1:27" s="426" customFormat="1" x14ac:dyDescent="0.25">
      <c r="A25" s="426" t="s">
        <v>819</v>
      </c>
    </row>
    <row r="26" spans="1:27" s="426" customFormat="1" ht="15.75" thickBot="1" x14ac:dyDescent="0.3">
      <c r="A26" s="489">
        <v>41504</v>
      </c>
      <c r="B26" s="426" t="s">
        <v>820</v>
      </c>
    </row>
    <row r="27" spans="1:27" s="506" customFormat="1" ht="15" customHeight="1" x14ac:dyDescent="0.25">
      <c r="A27" s="490"/>
      <c r="B27" s="491" t="s">
        <v>821</v>
      </c>
      <c r="C27" s="492">
        <f>COUNTIF(B$1:B25,B27)</f>
        <v>0</v>
      </c>
      <c r="D27" s="493" t="e">
        <f>C27/C32</f>
        <v>#DIV/0!</v>
      </c>
      <c r="E27" s="494"/>
      <c r="F27" s="495"/>
      <c r="G27" s="496"/>
      <c r="H27" s="496"/>
      <c r="I27" s="497"/>
      <c r="J27" s="498">
        <f>SUMIF(B$2:B25,B27,T$2:T25)</f>
        <v>0</v>
      </c>
      <c r="K27" s="499"/>
      <c r="L27" s="500" t="e">
        <f>J27/J32</f>
        <v>#DIV/0!</v>
      </c>
      <c r="M27" s="501"/>
      <c r="N27" s="501"/>
      <c r="O27" s="501"/>
      <c r="P27" s="502"/>
      <c r="Q27" s="502"/>
      <c r="R27" s="502"/>
      <c r="S27" s="503" t="s">
        <v>786</v>
      </c>
      <c r="T27" s="504">
        <f>SUM(T$1:T26)</f>
        <v>48</v>
      </c>
      <c r="U27" s="504">
        <f>SUM(U$1:U26)</f>
        <v>324012</v>
      </c>
      <c r="V27" s="504">
        <f>SUM(V$1:V26)</f>
        <v>11</v>
      </c>
      <c r="W27" s="502" t="s">
        <v>822</v>
      </c>
      <c r="X27" s="505"/>
      <c r="Y27" s="505"/>
      <c r="Z27" s="502"/>
    </row>
    <row r="28" spans="1:27" s="506" customFormat="1" ht="15" customHeight="1" x14ac:dyDescent="0.25">
      <c r="A28" s="490"/>
      <c r="B28" s="507" t="s">
        <v>823</v>
      </c>
      <c r="C28" s="508">
        <f>COUNTIF(B$1:B25,B28)</f>
        <v>0</v>
      </c>
      <c r="D28" s="509" t="e">
        <f>C28/C32</f>
        <v>#DIV/0!</v>
      </c>
      <c r="E28" s="494"/>
      <c r="F28" s="495"/>
      <c r="G28" s="496"/>
      <c r="H28" s="496"/>
      <c r="I28" s="497"/>
      <c r="J28" s="510">
        <f>SUMIF(B$2:B25,B28,T$2:T25)</f>
        <v>0</v>
      </c>
      <c r="K28" s="511"/>
      <c r="L28" s="512" t="e">
        <f>J28/J32</f>
        <v>#DIV/0!</v>
      </c>
      <c r="M28" s="501"/>
      <c r="N28" s="501"/>
      <c r="O28" s="501"/>
      <c r="S28" s="513"/>
      <c r="T28" s="514"/>
      <c r="U28" s="514"/>
      <c r="V28" s="514"/>
      <c r="X28" s="515"/>
      <c r="Y28" s="515"/>
    </row>
    <row r="29" spans="1:27" s="506" customFormat="1" ht="15" customHeight="1" x14ac:dyDescent="0.25">
      <c r="A29" s="490"/>
      <c r="B29" s="516" t="s">
        <v>824</v>
      </c>
      <c r="C29" s="517">
        <f>COUNTIF(B$1:B25,B29)</f>
        <v>0</v>
      </c>
      <c r="D29" s="518" t="e">
        <f>C29/C32</f>
        <v>#DIV/0!</v>
      </c>
      <c r="E29" s="494"/>
      <c r="F29" s="495"/>
      <c r="G29" s="496"/>
      <c r="H29" s="496"/>
      <c r="I29" s="497"/>
      <c r="J29" s="519">
        <f>SUMIF(B$2:B25,B29,T$2:T25)</f>
        <v>0</v>
      </c>
      <c r="K29" s="520"/>
      <c r="L29" s="521" t="e">
        <f>J29/J32</f>
        <v>#DIV/0!</v>
      </c>
      <c r="M29" s="522"/>
      <c r="N29" s="501"/>
      <c r="O29" s="501"/>
      <c r="S29" s="513"/>
      <c r="T29" s="514"/>
      <c r="U29" s="514"/>
      <c r="V29" s="514"/>
      <c r="X29" s="515"/>
      <c r="Y29" s="515"/>
    </row>
    <row r="30" spans="1:27" s="506" customFormat="1" ht="15" customHeight="1" thickBot="1" x14ac:dyDescent="0.3">
      <c r="A30" s="490"/>
      <c r="B30" s="523" t="s">
        <v>825</v>
      </c>
      <c r="C30" s="524">
        <f>COUNTIF(B$1:B25,B30)</f>
        <v>0</v>
      </c>
      <c r="D30" s="525" t="e">
        <f>C30/C32</f>
        <v>#DIV/0!</v>
      </c>
      <c r="E30" s="494"/>
      <c r="F30" s="495"/>
      <c r="G30" s="496"/>
      <c r="H30" s="496"/>
      <c r="I30" s="497"/>
      <c r="J30" s="526">
        <f>SUMIF(B$2:B25,B30,T$2:T25)</f>
        <v>0</v>
      </c>
      <c r="K30" s="527"/>
      <c r="L30" s="528" t="e">
        <f>J30/J32</f>
        <v>#DIV/0!</v>
      </c>
      <c r="M30" s="522"/>
      <c r="N30" s="501"/>
      <c r="O30" s="501"/>
      <c r="S30" s="513"/>
      <c r="T30" s="514"/>
      <c r="U30" s="514"/>
      <c r="V30" s="514"/>
      <c r="X30" s="515"/>
      <c r="Y30" s="515"/>
    </row>
    <row r="31" spans="1:27" s="506" customFormat="1" ht="15" customHeight="1" thickTop="1" thickBot="1" x14ac:dyDescent="0.3">
      <c r="A31" s="529"/>
      <c r="B31" s="530" t="s">
        <v>809</v>
      </c>
      <c r="C31" s="531">
        <f>COUNTIF(B$1:B25,B31)</f>
        <v>0</v>
      </c>
      <c r="D31" s="532" t="e">
        <f>C31/C32</f>
        <v>#DIV/0!</v>
      </c>
      <c r="E31" s="533"/>
      <c r="F31" s="534"/>
      <c r="G31" s="535"/>
      <c r="H31" s="535"/>
      <c r="I31" s="536"/>
      <c r="J31" s="537">
        <f>SUMIF(B$2:B25,B31,T$2:T25)</f>
        <v>0</v>
      </c>
      <c r="K31" s="538"/>
      <c r="L31" s="539" t="e">
        <f>J31/J32</f>
        <v>#DIV/0!</v>
      </c>
      <c r="M31" s="540"/>
      <c r="N31" s="540"/>
      <c r="O31" s="540"/>
      <c r="S31" s="513"/>
      <c r="T31" s="514"/>
      <c r="U31" s="514"/>
      <c r="V31" s="514"/>
      <c r="X31" s="515"/>
      <c r="Y31" s="515"/>
    </row>
    <row r="32" spans="1:27" s="506" customFormat="1" ht="15" customHeight="1" x14ac:dyDescent="0.25">
      <c r="A32" s="490"/>
      <c r="B32" s="541"/>
      <c r="C32" s="542">
        <f>SUM(C27:C31)</f>
        <v>0</v>
      </c>
      <c r="D32" s="543"/>
      <c r="E32" s="494"/>
      <c r="F32" s="495"/>
      <c r="G32" s="496"/>
      <c r="H32" s="496"/>
      <c r="I32" s="497"/>
      <c r="J32" s="544">
        <f>SUM(J27:J31)</f>
        <v>0</v>
      </c>
      <c r="K32" s="545"/>
      <c r="L32" s="546"/>
      <c r="M32" s="522"/>
      <c r="N32" s="501"/>
      <c r="O32" s="501"/>
      <c r="S32" s="513"/>
      <c r="T32" s="514"/>
      <c r="U32" s="514"/>
      <c r="V32" s="514"/>
      <c r="X32" s="515"/>
      <c r="Y32" s="515"/>
    </row>
    <row r="33" spans="1:26" s="426" customFormat="1" x14ac:dyDescent="0.25">
      <c r="A33" s="439"/>
      <c r="B33" s="439"/>
      <c r="D33" s="439"/>
      <c r="E33" s="440"/>
      <c r="F33" s="441"/>
      <c r="G33" s="441"/>
      <c r="H33" s="441"/>
      <c r="I33" s="441"/>
      <c r="J33" s="441"/>
      <c r="K33" s="441"/>
      <c r="L33" s="441"/>
      <c r="M33" s="441"/>
      <c r="N33" s="441"/>
      <c r="O33" s="441"/>
      <c r="P33" s="441"/>
      <c r="Q33" s="441"/>
      <c r="R33" s="441"/>
      <c r="S33" s="441"/>
      <c r="T33" s="441"/>
      <c r="U33" s="441"/>
      <c r="V33" s="441"/>
      <c r="W33" s="441"/>
      <c r="X33" s="441"/>
      <c r="Y33" s="441"/>
      <c r="Z33" s="441"/>
    </row>
    <row r="34" spans="1:26" s="426" customFormat="1" x14ac:dyDescent="0.25">
      <c r="A34" s="547" t="s">
        <v>1202</v>
      </c>
    </row>
    <row r="35" spans="1:26" s="426" customFormat="1" ht="17.25" x14ac:dyDescent="0.4">
      <c r="A35" s="428" t="s">
        <v>739</v>
      </c>
      <c r="B35" s="548" t="s">
        <v>740</v>
      </c>
      <c r="C35" s="549"/>
    </row>
    <row r="36" spans="1:26" s="426" customFormat="1" ht="17.25" x14ac:dyDescent="0.4">
      <c r="A36" s="433" t="s">
        <v>1220</v>
      </c>
      <c r="B36" s="550"/>
      <c r="C36" s="549"/>
    </row>
    <row r="37" spans="1:26" s="426" customFormat="1" x14ac:dyDescent="0.25">
      <c r="A37" s="428" t="s">
        <v>769</v>
      </c>
      <c r="B37" s="439">
        <v>0.5</v>
      </c>
      <c r="C37" s="439"/>
    </row>
    <row r="38" spans="1:26" s="426" customFormat="1" x14ac:dyDescent="0.25">
      <c r="A38" s="428" t="s">
        <v>771</v>
      </c>
      <c r="B38" s="439">
        <v>3</v>
      </c>
      <c r="C38" s="439"/>
    </row>
    <row r="39" spans="1:26" s="426" customFormat="1" x14ac:dyDescent="0.25">
      <c r="A39" s="428" t="s">
        <v>772</v>
      </c>
      <c r="B39" s="439"/>
      <c r="C39" s="439"/>
    </row>
    <row r="40" spans="1:26" s="426" customFormat="1" x14ac:dyDescent="0.25">
      <c r="A40" s="428" t="s">
        <v>780</v>
      </c>
      <c r="B40" s="439" t="s">
        <v>781</v>
      </c>
      <c r="C40" s="439"/>
    </row>
    <row r="41" spans="1:26" s="426" customFormat="1" x14ac:dyDescent="0.25">
      <c r="A41" s="439"/>
      <c r="B41" s="439"/>
      <c r="D41" s="439"/>
      <c r="E41" s="440"/>
      <c r="F41" s="441"/>
      <c r="G41" s="441"/>
      <c r="H41" s="441"/>
      <c r="I41" s="441"/>
      <c r="J41" s="441"/>
      <c r="K41" s="441"/>
      <c r="L41" s="441"/>
      <c r="M41" s="441"/>
      <c r="N41" s="441"/>
      <c r="O41" s="441"/>
      <c r="P41" s="441"/>
      <c r="Q41" s="441"/>
      <c r="R41" s="441"/>
      <c r="S41" s="441"/>
      <c r="T41" s="441"/>
      <c r="U41" s="441"/>
      <c r="V41" s="441"/>
      <c r="W41" s="441"/>
      <c r="X41" s="441"/>
      <c r="Y41" s="441"/>
      <c r="Z41" s="441"/>
    </row>
    <row r="42" spans="1:26" s="426" customFormat="1" x14ac:dyDescent="0.25">
      <c r="A42" s="547" t="s">
        <v>1203</v>
      </c>
    </row>
    <row r="43" spans="1:26" s="426" customFormat="1" ht="15.75" thickBot="1" x14ac:dyDescent="0.3">
      <c r="A43" s="853"/>
      <c r="B43" s="548"/>
      <c r="C43" s="903" t="s">
        <v>1392</v>
      </c>
      <c r="D43" s="841"/>
      <c r="E43" s="842" t="s">
        <v>1204</v>
      </c>
      <c r="F43" s="843">
        <f>COUNTA(D$2:D41)</f>
        <v>13</v>
      </c>
      <c r="G43" s="841"/>
      <c r="H43" s="841"/>
      <c r="I43" s="841"/>
    </row>
    <row r="44" spans="1:26" s="426" customFormat="1" ht="15.75" thickBot="1" x14ac:dyDescent="0.3">
      <c r="A44" s="854"/>
      <c r="B44" s="854"/>
      <c r="C44" s="904" t="s">
        <v>1393</v>
      </c>
      <c r="D44" s="844"/>
      <c r="E44" s="842" t="s">
        <v>1205</v>
      </c>
      <c r="F44" s="843">
        <f>F43-I44</f>
        <v>-2</v>
      </c>
      <c r="G44" s="845" t="s">
        <v>1206</v>
      </c>
      <c r="H44" s="846">
        <f>1-F44/F43</f>
        <v>1.1538461538461537</v>
      </c>
      <c r="I44" s="847">
        <f>COUNTIF(A$2:A41,"")</f>
        <v>15</v>
      </c>
      <c r="K44" s="843"/>
    </row>
    <row r="45" spans="1:26" s="426" customFormat="1" x14ac:dyDescent="0.25">
      <c r="A45" s="853"/>
    </row>
    <row r="46" spans="1:26" s="551" customFormat="1" ht="7.5" customHeight="1" x14ac:dyDescent="0.25">
      <c r="D46" s="552"/>
      <c r="E46" s="552"/>
    </row>
    <row r="47" spans="1:26" s="553" customFormat="1" ht="19.5" x14ac:dyDescent="0.3">
      <c r="A47" s="426"/>
      <c r="C47" s="554" t="s">
        <v>826</v>
      </c>
    </row>
    <row r="48" spans="1:26" s="553" customFormat="1" x14ac:dyDescent="0.25"/>
    <row r="49" spans="1:7" s="553" customFormat="1" ht="15.75" thickBot="1" x14ac:dyDescent="0.3">
      <c r="A49" s="553" t="s">
        <v>827</v>
      </c>
    </row>
    <row r="50" spans="1:7" s="553" customFormat="1" ht="17.25" x14ac:dyDescent="0.4">
      <c r="A50" s="963" t="s">
        <v>31</v>
      </c>
      <c r="B50" s="428" t="s">
        <v>739</v>
      </c>
      <c r="C50" s="549" t="s">
        <v>828</v>
      </c>
      <c r="D50" s="555" t="s">
        <v>829</v>
      </c>
      <c r="G50" s="553" t="s">
        <v>830</v>
      </c>
    </row>
    <row r="51" spans="1:7" s="553" customFormat="1" x14ac:dyDescent="0.25">
      <c r="A51" s="964"/>
      <c r="B51" s="433" t="s">
        <v>767</v>
      </c>
      <c r="C51" s="556">
        <v>4240</v>
      </c>
      <c r="D51" s="557" t="str">
        <f>IF(F51="&lt;&lt;ПУСТО&gt;&gt;",E51&amp;ROUND(H51/1000,0),F51&amp;E51&amp;ROUND(H51/1000,0))</f>
        <v>0</v>
      </c>
      <c r="G51" s="553" t="s">
        <v>831</v>
      </c>
    </row>
    <row r="52" spans="1:7" s="553" customFormat="1" x14ac:dyDescent="0.25">
      <c r="A52" s="964"/>
      <c r="B52" s="428" t="s">
        <v>769</v>
      </c>
      <c r="C52" s="558">
        <v>8</v>
      </c>
      <c r="D52" s="558">
        <v>1</v>
      </c>
      <c r="G52" s="553" t="s">
        <v>832</v>
      </c>
    </row>
    <row r="53" spans="1:7" s="553" customFormat="1" x14ac:dyDescent="0.25">
      <c r="A53" s="964"/>
      <c r="B53" s="428" t="s">
        <v>771</v>
      </c>
      <c r="C53" s="558">
        <v>2</v>
      </c>
      <c r="D53" s="558"/>
    </row>
    <row r="54" spans="1:7" s="553" customFormat="1" x14ac:dyDescent="0.25">
      <c r="A54" s="964"/>
      <c r="B54" s="428" t="s">
        <v>772</v>
      </c>
      <c r="C54" s="558"/>
      <c r="D54" s="558"/>
    </row>
    <row r="55" spans="1:7" s="553" customFormat="1" ht="15.75" thickBot="1" x14ac:dyDescent="0.3">
      <c r="A55" s="965"/>
      <c r="B55" s="428" t="s">
        <v>780</v>
      </c>
      <c r="C55" s="558" t="s">
        <v>833</v>
      </c>
      <c r="D55" s="558"/>
      <c r="G55" s="426" t="s">
        <v>834</v>
      </c>
    </row>
    <row r="56" spans="1:7" s="553" customFormat="1" x14ac:dyDescent="0.25"/>
    <row r="57" spans="1:7" s="553" customFormat="1" ht="15.75" thickBot="1" x14ac:dyDescent="0.3">
      <c r="A57" s="553" t="s">
        <v>835</v>
      </c>
    </row>
    <row r="58" spans="1:7" s="553" customFormat="1" x14ac:dyDescent="0.25">
      <c r="A58" s="559">
        <f>(SUMIF(A$2:A55,"",F$2:F55)-F58)/1000000</f>
        <v>1.1E-5</v>
      </c>
      <c r="B58" s="560"/>
      <c r="C58" s="561" t="s">
        <v>60</v>
      </c>
      <c r="E58" s="562" t="s">
        <v>836</v>
      </c>
      <c r="F58" s="563">
        <f>SUMIF(I$47:I52,"Наталья Константиновна Лидер",F$47:F52)</f>
        <v>0</v>
      </c>
    </row>
    <row r="59" spans="1:7" s="553" customFormat="1" ht="15.75" thickBot="1" x14ac:dyDescent="0.3">
      <c r="A59" s="564">
        <f>COUNTIF(A$2:A55,"")-F59</f>
        <v>26</v>
      </c>
      <c r="B59" s="560"/>
      <c r="C59" s="561" t="s">
        <v>837</v>
      </c>
      <c r="E59" s="565"/>
      <c r="F59" s="566">
        <f>COUNTIF(I$47:I60,"Наталья Константиновна Лидер")</f>
        <v>0</v>
      </c>
    </row>
    <row r="60" spans="1:7" s="553" customFormat="1" x14ac:dyDescent="0.25"/>
    <row r="61" spans="1:7" s="553" customFormat="1" x14ac:dyDescent="0.25">
      <c r="A61" s="553" t="s">
        <v>838</v>
      </c>
    </row>
    <row r="62" spans="1:7" s="553" customFormat="1" ht="15.75" thickBot="1" x14ac:dyDescent="0.3">
      <c r="B62" s="553" t="s">
        <v>839</v>
      </c>
    </row>
    <row r="63" spans="1:7" s="553" customFormat="1" ht="17.25" x14ac:dyDescent="0.4">
      <c r="A63" s="963" t="s">
        <v>40</v>
      </c>
      <c r="B63" s="428" t="s">
        <v>739</v>
      </c>
      <c r="C63" s="549" t="s">
        <v>828</v>
      </c>
      <c r="D63" s="549" t="s">
        <v>840</v>
      </c>
      <c r="G63" s="553" t="s">
        <v>830</v>
      </c>
    </row>
    <row r="64" spans="1:7" s="553" customFormat="1" x14ac:dyDescent="0.25">
      <c r="A64" s="964"/>
      <c r="B64" s="433" t="s">
        <v>1220</v>
      </c>
      <c r="C64" s="550">
        <f>O64</f>
        <v>0</v>
      </c>
      <c r="D64" s="567" t="str">
        <f>IF(G64="",F64,G64&amp;"/"&amp;F64)</f>
        <v>Match=&lt;номер строки Договора1С&gt;/</v>
      </c>
      <c r="G64" s="553" t="s">
        <v>841</v>
      </c>
    </row>
    <row r="65" spans="1:9" s="553" customFormat="1" x14ac:dyDescent="0.25">
      <c r="A65" s="964"/>
      <c r="B65" s="428" t="s">
        <v>769</v>
      </c>
      <c r="C65" s="553">
        <v>10</v>
      </c>
      <c r="D65" s="558">
        <v>1</v>
      </c>
      <c r="F65" s="568" t="str">
        <f>"/=""Не состоялся"":"&amp;F66</f>
        <v>/="Не состоялся":/="Договор расторгнут"</v>
      </c>
      <c r="G65" s="553" t="s">
        <v>842</v>
      </c>
    </row>
    <row r="66" spans="1:9" s="426" customFormat="1" x14ac:dyDescent="0.25">
      <c r="A66" s="964"/>
      <c r="B66" s="428" t="s">
        <v>771</v>
      </c>
      <c r="C66" s="439">
        <v>2</v>
      </c>
      <c r="D66" s="439"/>
      <c r="F66" s="569" t="s">
        <v>843</v>
      </c>
    </row>
    <row r="67" spans="1:9" s="426" customFormat="1" x14ac:dyDescent="0.25">
      <c r="A67" s="964"/>
      <c r="B67" s="428" t="s">
        <v>772</v>
      </c>
      <c r="C67" s="439"/>
      <c r="D67" s="439"/>
    </row>
    <row r="68" spans="1:9" s="426" customFormat="1" ht="15.75" thickBot="1" x14ac:dyDescent="0.3">
      <c r="A68" s="965"/>
      <c r="B68" s="428" t="s">
        <v>780</v>
      </c>
      <c r="C68" s="439" t="s">
        <v>844</v>
      </c>
      <c r="D68" s="439"/>
      <c r="F68" s="558" t="str">
        <f>"10/="""":"&amp;F65</f>
        <v>10/="":/="Не состоялся":/="Договор расторгнут"</v>
      </c>
      <c r="G68" s="426" t="s">
        <v>845</v>
      </c>
    </row>
    <row r="69" spans="1:9" s="553" customFormat="1" x14ac:dyDescent="0.25">
      <c r="E69" s="426"/>
      <c r="H69" s="426"/>
    </row>
    <row r="70" spans="1:9" s="553" customFormat="1" x14ac:dyDescent="0.25">
      <c r="A70" s="553" t="s">
        <v>846</v>
      </c>
      <c r="E70" s="426"/>
      <c r="H70" s="426"/>
    </row>
    <row r="71" spans="1:9" s="553" customFormat="1" ht="15.75" thickBot="1" x14ac:dyDescent="0.3">
      <c r="B71" s="553" t="s">
        <v>847</v>
      </c>
    </row>
    <row r="72" spans="1:9" s="553" customFormat="1" ht="15.75" thickBot="1" x14ac:dyDescent="0.3">
      <c r="A72" s="570">
        <f>COUNTIF(A$2:A66,"")-COUNTIF(M$2:M63,"Не состоялся")-COUNTIF(M$2:M63,"Договор расторгнут")</f>
        <v>32</v>
      </c>
      <c r="B72" s="560"/>
    </row>
    <row r="73" spans="1:9" s="553" customFormat="1" x14ac:dyDescent="0.25">
      <c r="B73" s="560"/>
    </row>
    <row r="74" spans="1:9" s="553" customFormat="1" x14ac:dyDescent="0.25">
      <c r="A74" s="553" t="s">
        <v>848</v>
      </c>
    </row>
    <row r="75" spans="1:9" s="553" customFormat="1" x14ac:dyDescent="0.25">
      <c r="A75" s="571" t="s">
        <v>849</v>
      </c>
      <c r="B75" s="571" t="s">
        <v>850</v>
      </c>
      <c r="C75" s="571" t="s">
        <v>851</v>
      </c>
      <c r="D75" s="571" t="s">
        <v>852</v>
      </c>
      <c r="E75" s="571" t="s">
        <v>853</v>
      </c>
      <c r="F75" s="571" t="s">
        <v>854</v>
      </c>
      <c r="G75" s="571" t="s">
        <v>855</v>
      </c>
      <c r="H75" s="571" t="s">
        <v>856</v>
      </c>
      <c r="I75" s="571" t="s">
        <v>857</v>
      </c>
    </row>
    <row r="76" spans="1:9" s="553" customFormat="1" x14ac:dyDescent="0.25">
      <c r="A76" s="553" t="s">
        <v>858</v>
      </c>
      <c r="B76" s="553" t="s">
        <v>859</v>
      </c>
      <c r="D76" s="558" t="s">
        <v>57</v>
      </c>
      <c r="E76" s="558">
        <v>1</v>
      </c>
      <c r="F76" s="553" t="s">
        <v>860</v>
      </c>
      <c r="G76" s="553" t="s">
        <v>861</v>
      </c>
      <c r="H76" s="553" t="s">
        <v>31</v>
      </c>
      <c r="I76" s="553" t="s">
        <v>862</v>
      </c>
    </row>
    <row r="77" spans="1:9" s="551" customFormat="1" ht="7.5" customHeight="1" x14ac:dyDescent="0.25">
      <c r="D77" s="552"/>
      <c r="E77" s="552"/>
    </row>
    <row r="78" spans="1:9" s="553" customFormat="1" ht="19.5" x14ac:dyDescent="0.3">
      <c r="A78" s="426"/>
      <c r="C78" s="554" t="s">
        <v>863</v>
      </c>
      <c r="I78" s="553">
        <f>C84</f>
        <v>5</v>
      </c>
    </row>
    <row r="79" spans="1:9" s="426" customFormat="1" x14ac:dyDescent="0.25"/>
    <row r="80" spans="1:9" s="426" customFormat="1" x14ac:dyDescent="0.25">
      <c r="A80" s="426" t="s">
        <v>864</v>
      </c>
    </row>
    <row r="81" spans="1:38" s="426" customFormat="1" ht="25.5" x14ac:dyDescent="0.25">
      <c r="A81" s="428" t="s">
        <v>739</v>
      </c>
      <c r="B81" s="572" t="s">
        <v>865</v>
      </c>
      <c r="C81" s="572" t="s">
        <v>866</v>
      </c>
      <c r="D81" s="573" t="s">
        <v>867</v>
      </c>
      <c r="E81" s="574" t="s">
        <v>868</v>
      </c>
      <c r="F81" s="575" t="s">
        <v>869</v>
      </c>
      <c r="G81" s="572" t="s">
        <v>108</v>
      </c>
      <c r="H81" s="572" t="s">
        <v>798</v>
      </c>
      <c r="I81" s="572" t="s">
        <v>870</v>
      </c>
      <c r="J81" s="572" t="s">
        <v>757</v>
      </c>
      <c r="L81" s="576" t="s">
        <v>871</v>
      </c>
      <c r="M81" s="577" t="s">
        <v>872</v>
      </c>
      <c r="N81" s="578"/>
      <c r="O81" s="579" t="s">
        <v>101</v>
      </c>
      <c r="P81" s="580" t="s">
        <v>873</v>
      </c>
      <c r="Q81" s="579" t="s">
        <v>105</v>
      </c>
      <c r="R81" s="579" t="s">
        <v>51</v>
      </c>
      <c r="S81" s="579" t="s">
        <v>108</v>
      </c>
      <c r="T81" s="581" t="s">
        <v>110</v>
      </c>
      <c r="U81" s="582" t="s">
        <v>874</v>
      </c>
      <c r="V81" s="583" t="s">
        <v>875</v>
      </c>
      <c r="W81" s="579" t="s">
        <v>876</v>
      </c>
      <c r="X81" s="584" t="s">
        <v>93</v>
      </c>
      <c r="Y81" s="585" t="s">
        <v>93</v>
      </c>
      <c r="Z81" s="585" t="s">
        <v>93</v>
      </c>
      <c r="AA81" s="585" t="s">
        <v>93</v>
      </c>
      <c r="AB81" s="579" t="s">
        <v>93</v>
      </c>
      <c r="AC81" s="579" t="s">
        <v>877</v>
      </c>
      <c r="AD81" s="579" t="s">
        <v>93</v>
      </c>
      <c r="AE81" s="579"/>
      <c r="AF81" s="579" t="s">
        <v>93</v>
      </c>
      <c r="AG81" s="586" t="s">
        <v>878</v>
      </c>
      <c r="AH81" s="587" t="s">
        <v>93</v>
      </c>
      <c r="AI81" s="579" t="s">
        <v>93</v>
      </c>
      <c r="AJ81" s="579" t="s">
        <v>93</v>
      </c>
      <c r="AK81" s="588" t="s">
        <v>879</v>
      </c>
      <c r="AL81" s="589"/>
    </row>
    <row r="82" spans="1:38" s="426" customFormat="1" x14ac:dyDescent="0.25">
      <c r="A82" s="433" t="s">
        <v>1220</v>
      </c>
      <c r="B82" s="590"/>
      <c r="C82" s="591"/>
      <c r="D82" s="592">
        <v>41367</v>
      </c>
      <c r="E82" s="593" t="s">
        <v>880</v>
      </c>
      <c r="F82" s="594">
        <f>T82</f>
        <v>0</v>
      </c>
      <c r="G82" s="439"/>
      <c r="H82" s="440"/>
    </row>
    <row r="83" spans="1:38" s="426" customFormat="1" x14ac:dyDescent="0.25">
      <c r="A83" s="428" t="s">
        <v>769</v>
      </c>
      <c r="B83" s="439">
        <v>1</v>
      </c>
      <c r="C83" s="439">
        <v>5</v>
      </c>
      <c r="D83" s="439">
        <v>8</v>
      </c>
      <c r="E83" s="439">
        <v>13</v>
      </c>
      <c r="F83" s="439">
        <v>14</v>
      </c>
      <c r="G83" s="439">
        <v>11</v>
      </c>
      <c r="H83" s="440">
        <v>20</v>
      </c>
      <c r="I83" s="441">
        <v>15</v>
      </c>
      <c r="J83" s="441">
        <v>10</v>
      </c>
      <c r="K83" s="441">
        <v>6</v>
      </c>
      <c r="L83" s="441">
        <v>6</v>
      </c>
      <c r="M83" s="441">
        <v>10</v>
      </c>
      <c r="N83" s="441">
        <v>1</v>
      </c>
      <c r="O83" s="441">
        <v>45</v>
      </c>
      <c r="P83" s="441"/>
      <c r="Q83" s="441">
        <v>13</v>
      </c>
      <c r="R83" s="441">
        <v>16</v>
      </c>
      <c r="S83" s="441">
        <v>10</v>
      </c>
      <c r="T83" s="441">
        <v>10</v>
      </c>
      <c r="U83" s="441">
        <v>10</v>
      </c>
      <c r="V83" s="441">
        <v>10</v>
      </c>
      <c r="W83" s="441">
        <v>10</v>
      </c>
      <c r="X83" s="441">
        <v>10</v>
      </c>
      <c r="Y83" s="441">
        <v>0</v>
      </c>
      <c r="Z83" s="441">
        <v>0</v>
      </c>
      <c r="AA83" s="441">
        <v>0</v>
      </c>
      <c r="AB83" s="441">
        <v>0</v>
      </c>
      <c r="AC83" s="441">
        <v>0</v>
      </c>
      <c r="AD83" s="441">
        <v>0</v>
      </c>
      <c r="AE83" s="441"/>
      <c r="AF83" s="441">
        <v>0</v>
      </c>
      <c r="AG83" s="441">
        <v>0</v>
      </c>
      <c r="AH83" s="441">
        <v>0</v>
      </c>
      <c r="AI83" s="441">
        <v>0</v>
      </c>
      <c r="AJ83" s="441">
        <v>0</v>
      </c>
      <c r="AK83" s="441">
        <v>0</v>
      </c>
      <c r="AL83" s="441">
        <v>0</v>
      </c>
    </row>
    <row r="84" spans="1:38" s="426" customFormat="1" x14ac:dyDescent="0.25">
      <c r="A84" s="428" t="s">
        <v>771</v>
      </c>
      <c r="B84" s="439">
        <v>5</v>
      </c>
      <c r="C84" s="439">
        <v>5</v>
      </c>
      <c r="D84" s="439" t="s">
        <v>881</v>
      </c>
      <c r="E84" s="439">
        <v>5</v>
      </c>
      <c r="F84" s="439"/>
      <c r="G84" s="439">
        <v>5</v>
      </c>
      <c r="H84" s="426">
        <v>5</v>
      </c>
      <c r="I84" s="426">
        <v>1</v>
      </c>
      <c r="J84" s="439">
        <v>1</v>
      </c>
      <c r="K84" s="440">
        <v>-1</v>
      </c>
      <c r="L84" s="439"/>
      <c r="O84" s="439"/>
      <c r="P84" s="439"/>
      <c r="Q84" s="441"/>
      <c r="R84" s="441"/>
      <c r="S84" s="441"/>
      <c r="T84" s="441"/>
      <c r="U84" s="441"/>
      <c r="V84" s="441"/>
      <c r="W84" s="441"/>
      <c r="X84" s="441"/>
      <c r="Y84" s="441"/>
      <c r="Z84" s="442"/>
      <c r="AA84" s="441"/>
      <c r="AB84" s="441"/>
      <c r="AC84" s="441"/>
      <c r="AD84" s="441"/>
      <c r="AE84" s="441"/>
      <c r="AF84" s="441"/>
      <c r="AG84" s="441"/>
    </row>
    <row r="85" spans="1:38" s="426" customFormat="1" x14ac:dyDescent="0.25">
      <c r="A85" s="428" t="s">
        <v>772</v>
      </c>
      <c r="B85" s="439"/>
      <c r="C85" s="439"/>
      <c r="D85" s="439"/>
      <c r="E85" s="439"/>
      <c r="F85" s="439"/>
      <c r="G85" s="439"/>
      <c r="J85" s="439"/>
      <c r="K85" s="440"/>
      <c r="L85" s="439"/>
      <c r="O85" s="439" t="s">
        <v>882</v>
      </c>
      <c r="P85" s="439"/>
      <c r="Q85" s="441"/>
      <c r="R85" s="441"/>
      <c r="S85" s="441"/>
      <c r="T85" s="441"/>
      <c r="U85" s="441"/>
      <c r="V85" s="441"/>
      <c r="W85" s="441"/>
      <c r="X85" s="441"/>
      <c r="Y85" s="441"/>
      <c r="Z85" s="442"/>
      <c r="AA85" s="441"/>
      <c r="AB85" s="441"/>
      <c r="AC85" s="441"/>
      <c r="AD85" s="441"/>
      <c r="AE85" s="441"/>
      <c r="AF85" s="441"/>
      <c r="AG85" s="441"/>
    </row>
    <row r="86" spans="1:38" s="426" customFormat="1" x14ac:dyDescent="0.25">
      <c r="A86" s="428" t="s">
        <v>780</v>
      </c>
      <c r="B86" s="439" t="s">
        <v>883</v>
      </c>
      <c r="C86" s="439" t="s">
        <v>884</v>
      </c>
      <c r="D86" s="450" t="s">
        <v>885</v>
      </c>
      <c r="E86" s="450" t="s">
        <v>886</v>
      </c>
      <c r="F86" s="450"/>
      <c r="G86" s="439" t="s">
        <v>887</v>
      </c>
      <c r="H86" s="595" t="s">
        <v>888</v>
      </c>
      <c r="I86" s="439" t="s">
        <v>889</v>
      </c>
      <c r="J86" s="439" t="s">
        <v>890</v>
      </c>
      <c r="K86" s="439"/>
      <c r="L86" s="439"/>
      <c r="O86" s="439"/>
      <c r="P86" s="439"/>
      <c r="Q86" s="441"/>
      <c r="R86" s="441"/>
      <c r="S86" s="441"/>
      <c r="T86" s="441"/>
      <c r="U86" s="441"/>
      <c r="V86" s="441"/>
      <c r="W86" s="441"/>
      <c r="X86" s="441"/>
      <c r="Y86" s="441"/>
      <c r="Z86" s="442"/>
      <c r="AA86" s="441"/>
      <c r="AB86" s="441"/>
      <c r="AC86" s="441"/>
      <c r="AD86" s="441"/>
      <c r="AE86" s="441"/>
      <c r="AF86" s="441"/>
      <c r="AG86" s="441"/>
    </row>
    <row r="87" spans="1:38" s="426" customFormat="1" x14ac:dyDescent="0.25">
      <c r="N87" s="426" t="s">
        <v>891</v>
      </c>
    </row>
    <row r="88" spans="1:38" s="426" customFormat="1" x14ac:dyDescent="0.25">
      <c r="A88" s="426" t="s">
        <v>892</v>
      </c>
    </row>
    <row r="89" spans="1:38" s="426" customFormat="1" ht="25.5" x14ac:dyDescent="0.25">
      <c r="A89" s="428" t="s">
        <v>739</v>
      </c>
      <c r="B89" s="572" t="s">
        <v>865</v>
      </c>
      <c r="C89" s="572" t="s">
        <v>866</v>
      </c>
      <c r="D89" s="573" t="s">
        <v>867</v>
      </c>
      <c r="E89" s="574" t="s">
        <v>868</v>
      </c>
      <c r="F89" s="575" t="s">
        <v>869</v>
      </c>
      <c r="G89" s="572" t="s">
        <v>108</v>
      </c>
      <c r="H89" s="572" t="s">
        <v>798</v>
      </c>
      <c r="I89" s="572" t="s">
        <v>870</v>
      </c>
      <c r="J89" s="572" t="s">
        <v>757</v>
      </c>
      <c r="L89" s="576" t="s">
        <v>871</v>
      </c>
      <c r="M89" s="577" t="s">
        <v>872</v>
      </c>
      <c r="N89" s="578"/>
      <c r="O89" s="579" t="s">
        <v>101</v>
      </c>
      <c r="P89" s="580" t="s">
        <v>873</v>
      </c>
      <c r="Q89" s="579" t="s">
        <v>105</v>
      </c>
      <c r="R89" s="579" t="s">
        <v>51</v>
      </c>
      <c r="S89" s="579" t="s">
        <v>108</v>
      </c>
      <c r="T89" s="581" t="s">
        <v>110</v>
      </c>
      <c r="U89" s="582" t="s">
        <v>874</v>
      </c>
      <c r="V89" s="583" t="s">
        <v>875</v>
      </c>
      <c r="W89" s="579" t="s">
        <v>876</v>
      </c>
      <c r="X89" s="584" t="s">
        <v>93</v>
      </c>
      <c r="Y89" s="585" t="s">
        <v>93</v>
      </c>
      <c r="Z89" s="585" t="s">
        <v>93</v>
      </c>
      <c r="AA89" s="585" t="s">
        <v>93</v>
      </c>
      <c r="AB89" s="579" t="s">
        <v>93</v>
      </c>
      <c r="AC89" s="579" t="s">
        <v>877</v>
      </c>
      <c r="AD89" s="579" t="s">
        <v>93</v>
      </c>
      <c r="AE89" s="579"/>
      <c r="AF89" s="579" t="s">
        <v>93</v>
      </c>
      <c r="AG89" s="586" t="s">
        <v>878</v>
      </c>
      <c r="AH89" s="587" t="s">
        <v>93</v>
      </c>
      <c r="AI89" s="579" t="s">
        <v>93</v>
      </c>
      <c r="AJ89" s="579" t="s">
        <v>93</v>
      </c>
      <c r="AK89" s="588" t="s">
        <v>879</v>
      </c>
      <c r="AL89" s="589"/>
    </row>
    <row r="90" spans="1:38" s="426" customFormat="1" x14ac:dyDescent="0.25">
      <c r="A90" s="433" t="s">
        <v>1220</v>
      </c>
      <c r="B90" s="590"/>
      <c r="C90" s="591"/>
      <c r="D90" s="592">
        <v>41367</v>
      </c>
      <c r="E90" s="593" t="s">
        <v>880</v>
      </c>
      <c r="F90" s="594">
        <f>T90</f>
        <v>0</v>
      </c>
      <c r="G90" s="439"/>
      <c r="H90" s="440"/>
    </row>
    <row r="91" spans="1:38" s="426" customFormat="1" x14ac:dyDescent="0.25">
      <c r="A91" s="428" t="s">
        <v>769</v>
      </c>
      <c r="B91" s="439">
        <v>1</v>
      </c>
      <c r="C91" s="439">
        <v>5</v>
      </c>
      <c r="D91" s="439">
        <v>8</v>
      </c>
      <c r="E91" s="439">
        <v>13</v>
      </c>
      <c r="F91" s="439">
        <v>14</v>
      </c>
      <c r="G91" s="439">
        <v>11</v>
      </c>
      <c r="H91" s="440">
        <v>20</v>
      </c>
      <c r="I91" s="441">
        <v>15</v>
      </c>
      <c r="J91" s="441">
        <v>10</v>
      </c>
      <c r="K91" s="441">
        <v>6</v>
      </c>
      <c r="L91" s="441">
        <v>6</v>
      </c>
      <c r="M91" s="441">
        <v>10</v>
      </c>
      <c r="N91" s="441">
        <v>1</v>
      </c>
      <c r="O91" s="441">
        <v>45</v>
      </c>
      <c r="P91" s="441"/>
      <c r="Q91" s="441">
        <v>13</v>
      </c>
      <c r="R91" s="441">
        <v>16</v>
      </c>
      <c r="S91" s="441">
        <v>10</v>
      </c>
      <c r="T91" s="441">
        <v>10</v>
      </c>
      <c r="U91" s="441">
        <v>10</v>
      </c>
      <c r="V91" s="441">
        <v>10</v>
      </c>
      <c r="W91" s="441">
        <v>10</v>
      </c>
      <c r="X91" s="441">
        <v>10</v>
      </c>
      <c r="Y91" s="441">
        <v>0</v>
      </c>
      <c r="Z91" s="441">
        <v>0</v>
      </c>
      <c r="AA91" s="441">
        <v>0</v>
      </c>
      <c r="AB91" s="441">
        <v>0</v>
      </c>
      <c r="AC91" s="441">
        <v>0</v>
      </c>
      <c r="AD91" s="441">
        <v>0</v>
      </c>
      <c r="AE91" s="441"/>
      <c r="AF91" s="441">
        <v>0</v>
      </c>
      <c r="AG91" s="441">
        <v>0</v>
      </c>
      <c r="AH91" s="441">
        <v>0</v>
      </c>
      <c r="AI91" s="441">
        <v>0</v>
      </c>
      <c r="AJ91" s="441">
        <v>0</v>
      </c>
      <c r="AK91" s="441">
        <v>0</v>
      </c>
      <c r="AL91" s="441">
        <v>0</v>
      </c>
    </row>
    <row r="92" spans="1:38" s="426" customFormat="1" x14ac:dyDescent="0.25">
      <c r="A92" s="428" t="s">
        <v>771</v>
      </c>
      <c r="B92" s="439">
        <v>5</v>
      </c>
      <c r="C92" s="439">
        <v>5</v>
      </c>
      <c r="D92" s="439" t="s">
        <v>881</v>
      </c>
      <c r="E92" s="439">
        <v>5</v>
      </c>
      <c r="F92" s="439"/>
      <c r="G92" s="439">
        <v>5</v>
      </c>
      <c r="H92" s="426">
        <v>5</v>
      </c>
      <c r="I92" s="426">
        <v>1</v>
      </c>
      <c r="J92" s="439">
        <v>1</v>
      </c>
      <c r="K92" s="440">
        <v>-1</v>
      </c>
      <c r="L92" s="439"/>
      <c r="O92" s="439"/>
      <c r="P92" s="439"/>
      <c r="Q92" s="441"/>
      <c r="R92" s="441"/>
      <c r="S92" s="441"/>
      <c r="T92" s="441"/>
      <c r="U92" s="441"/>
      <c r="V92" s="441"/>
      <c r="W92" s="441"/>
      <c r="X92" s="441"/>
      <c r="Y92" s="441"/>
      <c r="Z92" s="442"/>
      <c r="AA92" s="441"/>
      <c r="AB92" s="441"/>
      <c r="AC92" s="441"/>
      <c r="AD92" s="441"/>
      <c r="AE92" s="441"/>
      <c r="AF92" s="441"/>
      <c r="AG92" s="441"/>
    </row>
    <row r="93" spans="1:38" s="426" customFormat="1" x14ac:dyDescent="0.25">
      <c r="A93" s="428" t="s">
        <v>772</v>
      </c>
      <c r="B93" s="439"/>
      <c r="C93" s="439"/>
      <c r="D93" s="439"/>
      <c r="E93" s="439"/>
      <c r="F93" s="439"/>
      <c r="G93" s="439"/>
      <c r="J93" s="439"/>
      <c r="K93" s="440"/>
      <c r="L93" s="439"/>
      <c r="O93" s="439" t="s">
        <v>882</v>
      </c>
      <c r="P93" s="439"/>
      <c r="Q93" s="441"/>
      <c r="R93" s="441"/>
      <c r="S93" s="441"/>
      <c r="T93" s="441"/>
      <c r="U93" s="441"/>
      <c r="V93" s="441"/>
      <c r="W93" s="441"/>
      <c r="X93" s="441"/>
      <c r="Y93" s="441"/>
      <c r="Z93" s="442"/>
      <c r="AA93" s="441"/>
      <c r="AB93" s="441"/>
      <c r="AC93" s="441"/>
      <c r="AD93" s="441"/>
      <c r="AE93" s="441"/>
      <c r="AF93" s="441"/>
      <c r="AG93" s="441"/>
    </row>
    <row r="94" spans="1:38" s="426" customFormat="1" x14ac:dyDescent="0.25">
      <c r="A94" s="428" t="s">
        <v>780</v>
      </c>
      <c r="B94" s="439" t="s">
        <v>883</v>
      </c>
      <c r="C94" s="439" t="s">
        <v>884</v>
      </c>
      <c r="D94" s="450" t="s">
        <v>885</v>
      </c>
      <c r="E94" s="450" t="s">
        <v>886</v>
      </c>
      <c r="F94" s="450"/>
      <c r="G94" s="439" t="s">
        <v>887</v>
      </c>
      <c r="H94" s="595" t="s">
        <v>888</v>
      </c>
      <c r="I94" s="439" t="s">
        <v>889</v>
      </c>
      <c r="J94" s="439" t="s">
        <v>890</v>
      </c>
      <c r="K94" s="439"/>
      <c r="L94" s="439"/>
      <c r="O94" s="439"/>
      <c r="P94" s="439"/>
      <c r="Q94" s="441"/>
      <c r="R94" s="441"/>
      <c r="S94" s="441"/>
      <c r="T94" s="441"/>
      <c r="U94" s="441"/>
      <c r="V94" s="441"/>
      <c r="W94" s="441"/>
      <c r="X94" s="441"/>
      <c r="Y94" s="441"/>
      <c r="Z94" s="442"/>
      <c r="AA94" s="441"/>
      <c r="AB94" s="441"/>
      <c r="AC94" s="441"/>
      <c r="AD94" s="441"/>
      <c r="AE94" s="441"/>
      <c r="AF94" s="441"/>
      <c r="AG94" s="441"/>
    </row>
    <row r="95" spans="1:38" s="426" customFormat="1" x14ac:dyDescent="0.25">
      <c r="N95" s="426" t="s">
        <v>891</v>
      </c>
    </row>
    <row r="96" spans="1:38" s="426" customFormat="1" ht="15.75" thickBot="1" x14ac:dyDescent="0.3">
      <c r="A96" s="426" t="s">
        <v>893</v>
      </c>
      <c r="F96" s="426">
        <v>5</v>
      </c>
      <c r="I96" s="426">
        <v>8</v>
      </c>
      <c r="P96" s="426">
        <v>10</v>
      </c>
      <c r="T96" s="426">
        <v>14</v>
      </c>
    </row>
    <row r="97" spans="1:37" s="426" customFormat="1" ht="75" x14ac:dyDescent="0.25">
      <c r="A97" s="596" t="s">
        <v>82</v>
      </c>
      <c r="B97" s="597" t="s">
        <v>894</v>
      </c>
      <c r="C97" s="572" t="s">
        <v>742</v>
      </c>
      <c r="D97" s="572" t="s">
        <v>895</v>
      </c>
      <c r="E97" s="572" t="s">
        <v>896</v>
      </c>
      <c r="F97" s="572" t="s">
        <v>108</v>
      </c>
      <c r="G97" s="572" t="s">
        <v>865</v>
      </c>
      <c r="H97" s="572" t="s">
        <v>870</v>
      </c>
      <c r="I97" s="572" t="s">
        <v>405</v>
      </c>
      <c r="J97" s="572" t="s">
        <v>757</v>
      </c>
      <c r="K97" s="572"/>
      <c r="L97" s="572"/>
      <c r="M97" s="572" t="s">
        <v>897</v>
      </c>
      <c r="N97" s="598" t="s">
        <v>125</v>
      </c>
      <c r="O97" s="572" t="s">
        <v>898</v>
      </c>
      <c r="P97" s="572" t="s">
        <v>899</v>
      </c>
      <c r="Q97" s="599" t="s">
        <v>900</v>
      </c>
      <c r="R97" s="599" t="s">
        <v>89</v>
      </c>
      <c r="S97" s="600" t="s">
        <v>91</v>
      </c>
      <c r="T97" s="599" t="s">
        <v>97</v>
      </c>
      <c r="U97" s="601" t="s">
        <v>93</v>
      </c>
      <c r="V97" s="601" t="s">
        <v>95</v>
      </c>
      <c r="W97" s="601" t="s">
        <v>901</v>
      </c>
      <c r="X97" s="601" t="s">
        <v>902</v>
      </c>
      <c r="Y97" s="601" t="s">
        <v>903</v>
      </c>
    </row>
    <row r="98" spans="1:37" s="426" customFormat="1" x14ac:dyDescent="0.25">
      <c r="A98" s="602"/>
      <c r="B98" s="433" t="s">
        <v>1220</v>
      </c>
      <c r="D98" s="603"/>
      <c r="M98" s="440"/>
      <c r="N98" s="435"/>
      <c r="O98" s="436"/>
      <c r="P98" s="436"/>
      <c r="Q98" s="439" t="s">
        <v>768</v>
      </c>
      <c r="R98" s="439" t="s">
        <v>768</v>
      </c>
      <c r="S98" s="439" t="s">
        <v>768</v>
      </c>
      <c r="T98" s="439" t="s">
        <v>768</v>
      </c>
      <c r="U98" s="439" t="s">
        <v>768</v>
      </c>
      <c r="V98" s="439" t="s">
        <v>768</v>
      </c>
      <c r="W98" s="439" t="s">
        <v>768</v>
      </c>
      <c r="X98" s="439" t="s">
        <v>768</v>
      </c>
      <c r="Y98" s="439" t="s">
        <v>768</v>
      </c>
    </row>
    <row r="99" spans="1:37" s="426" customFormat="1" x14ac:dyDescent="0.25">
      <c r="A99" s="602"/>
      <c r="B99" s="428" t="s">
        <v>769</v>
      </c>
      <c r="C99" s="439">
        <v>9</v>
      </c>
      <c r="D99" s="439">
        <v>5</v>
      </c>
      <c r="E99" s="439">
        <v>22</v>
      </c>
      <c r="F99" s="439">
        <v>10</v>
      </c>
      <c r="G99" s="439">
        <v>1</v>
      </c>
      <c r="H99" s="439">
        <v>15</v>
      </c>
      <c r="I99" s="439">
        <v>10</v>
      </c>
      <c r="J99" s="439">
        <v>8</v>
      </c>
      <c r="K99" s="439">
        <v>1</v>
      </c>
      <c r="L99" s="439">
        <v>1</v>
      </c>
      <c r="M99" s="439">
        <v>12</v>
      </c>
      <c r="N99" s="439">
        <v>14</v>
      </c>
      <c r="O99" s="439">
        <v>12</v>
      </c>
      <c r="P99" s="439">
        <v>8</v>
      </c>
      <c r="Q99" s="439">
        <v>47</v>
      </c>
      <c r="R99" s="439">
        <v>44</v>
      </c>
      <c r="S99" s="439">
        <v>8</v>
      </c>
      <c r="T99" s="439">
        <v>44</v>
      </c>
      <c r="U99" s="439">
        <v>9</v>
      </c>
      <c r="V99" s="439">
        <v>25</v>
      </c>
      <c r="W99" s="439">
        <v>22</v>
      </c>
      <c r="X99" s="439">
        <v>0</v>
      </c>
      <c r="Y99" s="441">
        <v>0</v>
      </c>
    </row>
    <row r="100" spans="1:37" s="426" customFormat="1" x14ac:dyDescent="0.25">
      <c r="A100" s="602"/>
      <c r="B100" s="428" t="s">
        <v>771</v>
      </c>
      <c r="C100" s="439">
        <v>15</v>
      </c>
      <c r="D100" s="439">
        <v>19</v>
      </c>
      <c r="E100" s="439">
        <v>2</v>
      </c>
      <c r="G100" s="426">
        <v>-1</v>
      </c>
      <c r="M100" s="439"/>
      <c r="N100" s="439"/>
      <c r="O100" s="439"/>
      <c r="P100" s="439"/>
      <c r="T100" s="439"/>
      <c r="U100" s="441"/>
      <c r="V100" s="441"/>
      <c r="W100" s="441"/>
      <c r="X100" s="441"/>
      <c r="Y100" s="441"/>
    </row>
    <row r="101" spans="1:37" s="426" customFormat="1" ht="30" x14ac:dyDescent="0.25">
      <c r="A101" s="602"/>
      <c r="B101" s="428" t="s">
        <v>772</v>
      </c>
      <c r="C101" s="439" t="s">
        <v>904</v>
      </c>
      <c r="D101" s="604" t="s">
        <v>905</v>
      </c>
      <c r="E101" s="605" t="s">
        <v>906</v>
      </c>
      <c r="G101" s="439"/>
      <c r="M101" s="439"/>
      <c r="N101" s="439"/>
      <c r="O101" s="439"/>
      <c r="P101" s="439"/>
      <c r="Q101" s="439"/>
      <c r="T101" s="439"/>
      <c r="U101" s="441"/>
      <c r="V101" s="441"/>
      <c r="W101" s="441"/>
      <c r="X101" s="441"/>
      <c r="Y101" s="441"/>
      <c r="Z101" s="441"/>
      <c r="AA101" s="441"/>
      <c r="AB101" s="441"/>
      <c r="AC101" s="441"/>
      <c r="AD101" s="442"/>
      <c r="AE101" s="442"/>
      <c r="AF101" s="441"/>
      <c r="AG101" s="441"/>
      <c r="AH101" s="441"/>
      <c r="AI101" s="441"/>
      <c r="AJ101" s="441"/>
      <c r="AK101" s="441"/>
    </row>
    <row r="102" spans="1:37" s="426" customFormat="1" x14ac:dyDescent="0.25">
      <c r="A102" s="602"/>
      <c r="B102" s="428" t="s">
        <v>780</v>
      </c>
      <c r="D102" s="440"/>
      <c r="E102" s="439"/>
      <c r="F102" s="439"/>
      <c r="H102" s="439"/>
      <c r="K102" s="439"/>
      <c r="L102" s="441"/>
      <c r="M102" s="450"/>
      <c r="N102" s="450"/>
      <c r="O102" s="450"/>
      <c r="P102" s="450"/>
      <c r="Q102" s="441"/>
      <c r="R102" s="441"/>
      <c r="S102" s="441"/>
      <c r="T102" s="441"/>
      <c r="U102" s="441"/>
      <c r="V102" s="441"/>
      <c r="W102" s="441"/>
      <c r="X102" s="441"/>
      <c r="Y102" s="442"/>
      <c r="Z102" s="441"/>
      <c r="AA102" s="441"/>
      <c r="AB102" s="441"/>
      <c r="AC102" s="441"/>
      <c r="AD102" s="441"/>
      <c r="AE102" s="441"/>
      <c r="AF102" s="441"/>
    </row>
    <row r="104" spans="1:37" x14ac:dyDescent="0.25">
      <c r="D104" s="426">
        <v>5</v>
      </c>
      <c r="E104" s="426">
        <v>5</v>
      </c>
      <c r="J104" s="439"/>
      <c r="K104" s="439">
        <v>5</v>
      </c>
      <c r="L104" s="426">
        <v>5</v>
      </c>
      <c r="M104" s="440">
        <v>-1</v>
      </c>
      <c r="N104" s="439"/>
      <c r="O104" s="439"/>
      <c r="P104" s="439"/>
    </row>
    <row r="105" spans="1:37" ht="36.75" x14ac:dyDescent="0.25">
      <c r="D105" s="605" t="s">
        <v>906</v>
      </c>
      <c r="E105" s="605" t="s">
        <v>907</v>
      </c>
      <c r="F105" s="439" t="s">
        <v>904</v>
      </c>
      <c r="K105" s="606" t="s">
        <v>908</v>
      </c>
      <c r="L105" s="606" t="s">
        <v>909</v>
      </c>
      <c r="M105" s="606"/>
      <c r="N105" s="606"/>
      <c r="O105" s="606"/>
      <c r="P105" s="606"/>
    </row>
    <row r="107" spans="1:37" s="551" customFormat="1" ht="7.5" customHeight="1" x14ac:dyDescent="0.25">
      <c r="D107" s="552"/>
      <c r="E107" s="552"/>
    </row>
    <row r="108" spans="1:37" s="553" customFormat="1" ht="19.5" x14ac:dyDescent="0.3">
      <c r="A108" s="426"/>
      <c r="C108" s="554" t="s">
        <v>910</v>
      </c>
      <c r="I108" s="553">
        <f>G147</f>
        <v>0</v>
      </c>
    </row>
    <row r="110" spans="1:37" ht="15.75" thickBot="1" x14ac:dyDescent="0.3">
      <c r="A110" s="607" t="s">
        <v>911</v>
      </c>
    </row>
    <row r="111" spans="1:37" ht="16.5" thickBot="1" x14ac:dyDescent="0.3">
      <c r="A111" s="608">
        <v>40954</v>
      </c>
      <c r="B111" s="609" t="s">
        <v>736</v>
      </c>
      <c r="D111" s="610">
        <v>1</v>
      </c>
    </row>
    <row r="112" spans="1:37" s="426" customFormat="1" x14ac:dyDescent="0.25">
      <c r="A112" s="450"/>
      <c r="B112" s="450"/>
      <c r="C112" s="450"/>
      <c r="D112" s="450"/>
      <c r="E112" s="450"/>
      <c r="F112" s="440"/>
      <c r="G112" s="439"/>
      <c r="H112" s="439"/>
      <c r="K112" s="439"/>
      <c r="L112" s="441"/>
      <c r="M112" s="441"/>
      <c r="N112" s="441"/>
      <c r="O112" s="441"/>
      <c r="P112" s="441"/>
      <c r="Q112" s="441"/>
      <c r="R112" s="441"/>
      <c r="S112" s="441"/>
      <c r="T112" s="441"/>
      <c r="U112" s="442"/>
      <c r="V112" s="441"/>
      <c r="W112" s="441"/>
      <c r="X112" s="441"/>
      <c r="Y112" s="441"/>
      <c r="Z112" s="441"/>
      <c r="AA112" s="441"/>
    </row>
    <row r="113" spans="1:24" s="611" customFormat="1" ht="7.5" customHeight="1" x14ac:dyDescent="0.25">
      <c r="D113" s="612"/>
      <c r="E113" s="612"/>
    </row>
    <row r="114" spans="1:24" s="426" customFormat="1" ht="19.5" x14ac:dyDescent="0.3">
      <c r="C114" s="427" t="s">
        <v>912</v>
      </c>
    </row>
    <row r="116" spans="1:24" ht="15.75" thickBot="1" x14ac:dyDescent="0.3">
      <c r="A116" s="607" t="s">
        <v>913</v>
      </c>
    </row>
    <row r="117" spans="1:24" ht="15.75" thickBot="1" x14ac:dyDescent="0.3">
      <c r="A117" s="428" t="s">
        <v>914</v>
      </c>
      <c r="B117" s="613" t="s">
        <v>915</v>
      </c>
      <c r="C117" s="613" t="s">
        <v>4</v>
      </c>
      <c r="D117" s="613" t="s">
        <v>916</v>
      </c>
      <c r="E117" s="613" t="s">
        <v>917</v>
      </c>
      <c r="F117" s="613" t="s">
        <v>918</v>
      </c>
      <c r="G117" s="613" t="s">
        <v>919</v>
      </c>
      <c r="H117" s="614" t="s">
        <v>920</v>
      </c>
      <c r="I117" s="615" t="s">
        <v>921</v>
      </c>
      <c r="J117" s="615" t="s">
        <v>922</v>
      </c>
    </row>
    <row r="118" spans="1:24" s="616" customFormat="1" x14ac:dyDescent="0.25">
      <c r="A118" s="433" t="s">
        <v>917</v>
      </c>
      <c r="J118" s="617"/>
      <c r="K118" s="617"/>
      <c r="L118" s="618"/>
      <c r="M118" s="619"/>
      <c r="N118" s="620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</row>
    <row r="119" spans="1:24" x14ac:dyDescent="0.25">
      <c r="A119" s="428" t="s">
        <v>923</v>
      </c>
      <c r="B119" s="617" t="s">
        <v>924</v>
      </c>
      <c r="C119" s="617" t="s">
        <v>925</v>
      </c>
      <c r="D119" s="617" t="s">
        <v>924</v>
      </c>
      <c r="E119" s="617" t="s">
        <v>80</v>
      </c>
      <c r="F119" s="617" t="s">
        <v>770</v>
      </c>
      <c r="G119" s="617" t="s">
        <v>924</v>
      </c>
      <c r="H119" s="617" t="s">
        <v>924</v>
      </c>
      <c r="I119" s="617" t="s">
        <v>926</v>
      </c>
      <c r="J119" s="617" t="s">
        <v>926</v>
      </c>
      <c r="K119" s="617"/>
      <c r="L119" s="617"/>
      <c r="M119" s="617"/>
      <c r="N119" s="617"/>
    </row>
    <row r="120" spans="1:24" x14ac:dyDescent="0.25">
      <c r="A120" s="428" t="s">
        <v>927</v>
      </c>
      <c r="B120" s="617" t="s">
        <v>119</v>
      </c>
      <c r="C120" s="617" t="s">
        <v>33</v>
      </c>
      <c r="D120" s="617" t="s">
        <v>185</v>
      </c>
      <c r="E120" s="617" t="s">
        <v>928</v>
      </c>
      <c r="F120" s="617" t="s">
        <v>244</v>
      </c>
      <c r="G120" s="617" t="s">
        <v>929</v>
      </c>
      <c r="H120" s="621" t="s">
        <v>156</v>
      </c>
      <c r="I120" s="622" t="s">
        <v>930</v>
      </c>
      <c r="J120" s="617" t="s">
        <v>59</v>
      </c>
      <c r="K120" s="617"/>
      <c r="L120" s="617"/>
      <c r="M120" s="617"/>
      <c r="N120" s="617"/>
    </row>
    <row r="121" spans="1:24" x14ac:dyDescent="0.25">
      <c r="A121" s="428" t="s">
        <v>931</v>
      </c>
      <c r="E121" s="400" t="s">
        <v>932</v>
      </c>
      <c r="H121" s="400" t="s">
        <v>933</v>
      </c>
      <c r="I121" s="623"/>
      <c r="J121" s="624"/>
      <c r="N121" s="624"/>
      <c r="O121" s="624"/>
      <c r="P121" s="625"/>
      <c r="Q121" s="624"/>
    </row>
    <row r="122" spans="1:24" x14ac:dyDescent="0.25">
      <c r="A122" s="428" t="s">
        <v>934</v>
      </c>
      <c r="E122" s="626"/>
      <c r="H122" s="626" t="s">
        <v>935</v>
      </c>
      <c r="I122" s="627" t="s">
        <v>936</v>
      </c>
      <c r="J122" s="439"/>
      <c r="O122" s="628"/>
      <c r="S122" s="629"/>
      <c r="T122" s="629"/>
      <c r="U122" s="629"/>
      <c r="V122" s="629"/>
      <c r="W122" s="629"/>
    </row>
    <row r="124" spans="1:24" ht="15.75" thickBot="1" x14ac:dyDescent="0.3">
      <c r="A124" s="607" t="s">
        <v>937</v>
      </c>
    </row>
    <row r="125" spans="1:24" ht="15.75" thickBot="1" x14ac:dyDescent="0.3">
      <c r="A125" s="428" t="s">
        <v>914</v>
      </c>
      <c r="B125" s="613" t="s">
        <v>915</v>
      </c>
      <c r="C125" s="613" t="s">
        <v>4</v>
      </c>
      <c r="D125" s="613" t="s">
        <v>916</v>
      </c>
      <c r="E125" s="613" t="s">
        <v>917</v>
      </c>
      <c r="F125" s="613" t="s">
        <v>918</v>
      </c>
      <c r="G125" s="613" t="s">
        <v>919</v>
      </c>
      <c r="H125" s="614" t="s">
        <v>920</v>
      </c>
      <c r="I125" s="615" t="s">
        <v>921</v>
      </c>
      <c r="J125" s="615" t="s">
        <v>922</v>
      </c>
    </row>
    <row r="126" spans="1:24" s="616" customFormat="1" x14ac:dyDescent="0.25">
      <c r="A126" s="433" t="s">
        <v>917</v>
      </c>
      <c r="J126" s="617"/>
      <c r="K126" s="617"/>
      <c r="L126" s="618"/>
      <c r="M126" s="619"/>
      <c r="N126" s="62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</row>
    <row r="127" spans="1:24" x14ac:dyDescent="0.25">
      <c r="A127" s="428" t="s">
        <v>923</v>
      </c>
      <c r="B127" s="617" t="s">
        <v>924</v>
      </c>
      <c r="C127" s="617" t="s">
        <v>925</v>
      </c>
      <c r="D127" s="617" t="s">
        <v>924</v>
      </c>
      <c r="E127" s="617" t="s">
        <v>80</v>
      </c>
      <c r="F127" s="617" t="s">
        <v>770</v>
      </c>
      <c r="G127" s="617" t="s">
        <v>924</v>
      </c>
      <c r="H127" s="617" t="s">
        <v>924</v>
      </c>
      <c r="I127" s="617" t="s">
        <v>926</v>
      </c>
      <c r="J127" s="617" t="s">
        <v>926</v>
      </c>
      <c r="K127" s="617"/>
      <c r="L127" s="617"/>
      <c r="M127" s="617"/>
      <c r="N127" s="617"/>
    </row>
    <row r="128" spans="1:24" x14ac:dyDescent="0.25">
      <c r="A128" s="428" t="s">
        <v>927</v>
      </c>
      <c r="B128" s="617" t="s">
        <v>119</v>
      </c>
      <c r="C128" s="617" t="s">
        <v>33</v>
      </c>
      <c r="D128" s="617" t="s">
        <v>185</v>
      </c>
      <c r="E128" s="617" t="s">
        <v>928</v>
      </c>
      <c r="F128" s="617" t="s">
        <v>244</v>
      </c>
      <c r="G128" s="617" t="s">
        <v>929</v>
      </c>
      <c r="H128" s="621" t="s">
        <v>156</v>
      </c>
      <c r="I128" s="630" t="s">
        <v>938</v>
      </c>
      <c r="J128" s="617" t="s">
        <v>59</v>
      </c>
      <c r="K128" s="617"/>
      <c r="L128" s="617"/>
      <c r="M128" s="617"/>
      <c r="N128" s="617"/>
    </row>
    <row r="129" spans="1:31" x14ac:dyDescent="0.25">
      <c r="A129" s="428" t="s">
        <v>931</v>
      </c>
      <c r="B129" s="400" t="s">
        <v>939</v>
      </c>
      <c r="E129" s="400" t="s">
        <v>932</v>
      </c>
      <c r="H129" s="400" t="s">
        <v>933</v>
      </c>
      <c r="I129" s="631" t="s">
        <v>940</v>
      </c>
      <c r="J129" s="624"/>
      <c r="N129" s="624"/>
      <c r="O129" s="624"/>
      <c r="P129" s="625"/>
      <c r="Q129" s="624"/>
    </row>
    <row r="130" spans="1:31" x14ac:dyDescent="0.25">
      <c r="A130" s="428" t="s">
        <v>934</v>
      </c>
      <c r="E130" s="626"/>
      <c r="H130" s="626" t="s">
        <v>935</v>
      </c>
      <c r="I130" s="632"/>
      <c r="J130" s="439"/>
      <c r="O130" s="628"/>
      <c r="S130" s="629"/>
      <c r="T130" s="629"/>
      <c r="U130" s="629"/>
      <c r="V130" s="629"/>
      <c r="W130" s="629"/>
    </row>
    <row r="132" spans="1:31" ht="15.75" thickBot="1" x14ac:dyDescent="0.3">
      <c r="A132" s="607" t="s">
        <v>941</v>
      </c>
    </row>
    <row r="133" spans="1:31" s="377" customFormat="1" ht="15.75" thickBot="1" x14ac:dyDescent="0.3">
      <c r="A133" s="428" t="s">
        <v>914</v>
      </c>
      <c r="B133" s="633" t="s">
        <v>942</v>
      </c>
      <c r="C133" s="633" t="s">
        <v>4</v>
      </c>
      <c r="D133" s="634" t="s">
        <v>943</v>
      </c>
      <c r="E133" s="635" t="s">
        <v>246</v>
      </c>
      <c r="F133" s="634" t="s">
        <v>944</v>
      </c>
      <c r="G133" s="636" t="s">
        <v>273</v>
      </c>
      <c r="H133" s="634" t="s">
        <v>945</v>
      </c>
      <c r="I133" s="636" t="s">
        <v>946</v>
      </c>
      <c r="J133" s="635" t="s">
        <v>947</v>
      </c>
      <c r="K133" s="636" t="s">
        <v>948</v>
      </c>
      <c r="L133" s="634" t="s">
        <v>949</v>
      </c>
      <c r="M133" s="637" t="s">
        <v>917</v>
      </c>
      <c r="N133" s="638" t="s">
        <v>389</v>
      </c>
      <c r="O133" s="639" t="s">
        <v>390</v>
      </c>
      <c r="P133" s="639" t="s">
        <v>950</v>
      </c>
      <c r="Q133" s="639" t="s">
        <v>951</v>
      </c>
      <c r="R133" s="640" t="s">
        <v>952</v>
      </c>
      <c r="S133" s="640" t="s">
        <v>953</v>
      </c>
      <c r="T133" s="640" t="s">
        <v>954</v>
      </c>
      <c r="U133" s="640" t="s">
        <v>955</v>
      </c>
      <c r="V133" s="640" t="s">
        <v>956</v>
      </c>
      <c r="AE133" s="866"/>
    </row>
    <row r="134" spans="1:31" s="616" customFormat="1" x14ac:dyDescent="0.25">
      <c r="A134" s="433" t="s">
        <v>917</v>
      </c>
      <c r="B134" s="619" t="s">
        <v>957</v>
      </c>
      <c r="C134" s="641">
        <v>40918</v>
      </c>
      <c r="D134" s="618" t="s">
        <v>251</v>
      </c>
      <c r="E134" s="642"/>
      <c r="F134" s="618" t="s">
        <v>365</v>
      </c>
      <c r="G134" s="643"/>
      <c r="H134" s="618" t="s">
        <v>958</v>
      </c>
      <c r="I134" s="644"/>
      <c r="J134" s="618" t="s">
        <v>959</v>
      </c>
      <c r="K134" s="618"/>
      <c r="L134" s="619" t="s">
        <v>813</v>
      </c>
      <c r="M134" s="620">
        <v>130000</v>
      </c>
      <c r="N134" s="645" t="s">
        <v>392</v>
      </c>
      <c r="O134" s="646" t="s">
        <v>393</v>
      </c>
      <c r="P134" s="647"/>
      <c r="Q134" s="648"/>
      <c r="R134" s="649"/>
      <c r="S134" s="649"/>
      <c r="T134" s="649"/>
      <c r="U134" s="649"/>
      <c r="V134" s="649"/>
      <c r="W134" s="377"/>
    </row>
    <row r="135" spans="1:31" x14ac:dyDescent="0.25">
      <c r="A135" s="428" t="s">
        <v>923</v>
      </c>
      <c r="B135" s="617" t="s">
        <v>924</v>
      </c>
      <c r="C135" s="617" t="s">
        <v>924</v>
      </c>
      <c r="D135" s="617" t="s">
        <v>960</v>
      </c>
      <c r="E135" s="617" t="s">
        <v>961</v>
      </c>
      <c r="F135" s="617" t="s">
        <v>960</v>
      </c>
      <c r="G135" s="617" t="s">
        <v>961</v>
      </c>
      <c r="H135" s="617" t="s">
        <v>924</v>
      </c>
      <c r="I135" s="617" t="s">
        <v>961</v>
      </c>
      <c r="J135" s="617" t="s">
        <v>960</v>
      </c>
      <c r="K135" s="617" t="s">
        <v>924</v>
      </c>
      <c r="L135" s="617" t="s">
        <v>164</v>
      </c>
      <c r="M135" s="617" t="s">
        <v>175</v>
      </c>
      <c r="N135" s="617" t="s">
        <v>33</v>
      </c>
      <c r="O135" s="617" t="s">
        <v>59</v>
      </c>
      <c r="P135" s="617" t="s">
        <v>165</v>
      </c>
      <c r="Q135" s="617" t="s">
        <v>59</v>
      </c>
      <c r="R135" s="617" t="s">
        <v>80</v>
      </c>
      <c r="S135" s="617" t="s">
        <v>80</v>
      </c>
      <c r="T135" s="617" t="s">
        <v>960</v>
      </c>
      <c r="U135" s="617" t="s">
        <v>165</v>
      </c>
      <c r="V135" s="617" t="s">
        <v>165</v>
      </c>
    </row>
    <row r="136" spans="1:31" x14ac:dyDescent="0.25">
      <c r="A136" s="428" t="s">
        <v>927</v>
      </c>
      <c r="B136" s="617">
        <v>10</v>
      </c>
      <c r="C136" s="617">
        <v>12</v>
      </c>
      <c r="D136" s="617" t="s">
        <v>962</v>
      </c>
      <c r="E136" s="617" t="s">
        <v>962</v>
      </c>
      <c r="F136" s="617" t="s">
        <v>83</v>
      </c>
      <c r="G136" s="617" t="s">
        <v>83</v>
      </c>
      <c r="H136" s="617" t="s">
        <v>243</v>
      </c>
      <c r="I136" s="617" t="s">
        <v>168</v>
      </c>
      <c r="J136" s="617" t="s">
        <v>963</v>
      </c>
      <c r="K136" s="617">
        <v>18</v>
      </c>
      <c r="L136" s="617" t="s">
        <v>964</v>
      </c>
      <c r="M136" s="617" t="s">
        <v>77</v>
      </c>
      <c r="N136" s="617" t="s">
        <v>965</v>
      </c>
      <c r="O136" s="617" t="s">
        <v>965</v>
      </c>
      <c r="P136" s="617" t="s">
        <v>965</v>
      </c>
      <c r="Q136" s="617">
        <v>12</v>
      </c>
      <c r="R136" s="617" t="s">
        <v>168</v>
      </c>
      <c r="S136" s="617" t="s">
        <v>168</v>
      </c>
      <c r="T136" s="617" t="s">
        <v>168</v>
      </c>
      <c r="U136" s="617" t="s">
        <v>168</v>
      </c>
      <c r="V136" s="617" t="s">
        <v>168</v>
      </c>
    </row>
    <row r="137" spans="1:31" x14ac:dyDescent="0.25">
      <c r="A137" s="428" t="s">
        <v>931</v>
      </c>
      <c r="E137" s="626" t="s">
        <v>966</v>
      </c>
      <c r="G137" s="626" t="s">
        <v>967</v>
      </c>
      <c r="I137" s="624"/>
      <c r="K137" s="626" t="s">
        <v>948</v>
      </c>
      <c r="M137" s="624" t="s">
        <v>932</v>
      </c>
      <c r="N137" s="624"/>
      <c r="O137" s="625" t="s">
        <v>968</v>
      </c>
      <c r="P137" s="624" t="s">
        <v>969</v>
      </c>
    </row>
    <row r="138" spans="1:31" x14ac:dyDescent="0.25">
      <c r="A138" s="428" t="s">
        <v>934</v>
      </c>
      <c r="E138" s="626"/>
      <c r="G138" s="626"/>
      <c r="I138" s="439"/>
      <c r="K138" s="629" t="s">
        <v>935</v>
      </c>
      <c r="N138" s="628"/>
      <c r="R138" s="629" t="s">
        <v>970</v>
      </c>
      <c r="S138" s="629" t="s">
        <v>971</v>
      </c>
      <c r="T138" s="629" t="s">
        <v>972</v>
      </c>
      <c r="U138" s="629" t="s">
        <v>973</v>
      </c>
      <c r="V138" s="629" t="s">
        <v>974</v>
      </c>
    </row>
    <row r="140" spans="1:31" ht="15.75" thickBot="1" x14ac:dyDescent="0.3">
      <c r="A140" s="607" t="s">
        <v>1305</v>
      </c>
      <c r="B140" s="607"/>
      <c r="C140" s="607"/>
      <c r="D140" s="607"/>
      <c r="E140" s="607"/>
      <c r="F140" s="607"/>
      <c r="G140" s="607"/>
      <c r="H140" s="607"/>
      <c r="I140" s="607"/>
      <c r="J140" s="607"/>
      <c r="P140" s="607"/>
      <c r="Q140" s="607"/>
    </row>
    <row r="141" spans="1:31" ht="15.75" thickBot="1" x14ac:dyDescent="0.3">
      <c r="A141" s="883" t="s">
        <v>155</v>
      </c>
      <c r="B141" s="428" t="s">
        <v>914</v>
      </c>
      <c r="C141" s="613" t="s">
        <v>975</v>
      </c>
      <c r="D141" s="613" t="s">
        <v>766</v>
      </c>
      <c r="E141" s="613" t="s">
        <v>976</v>
      </c>
      <c r="F141" s="613" t="s">
        <v>977</v>
      </c>
      <c r="G141" s="613" t="s">
        <v>917</v>
      </c>
      <c r="H141" s="613" t="s">
        <v>978</v>
      </c>
      <c r="I141" s="613" t="s">
        <v>979</v>
      </c>
      <c r="J141" s="613" t="s">
        <v>980</v>
      </c>
      <c r="K141" s="613" t="s">
        <v>981</v>
      </c>
      <c r="L141" s="613" t="s">
        <v>982</v>
      </c>
      <c r="M141" s="613" t="s">
        <v>983</v>
      </c>
      <c r="N141" s="613" t="s">
        <v>984</v>
      </c>
      <c r="P141" s="613" t="s">
        <v>979</v>
      </c>
      <c r="Q141" s="613" t="s">
        <v>980</v>
      </c>
      <c r="R141" s="613" t="s">
        <v>981</v>
      </c>
      <c r="S141" s="613" t="s">
        <v>982</v>
      </c>
      <c r="T141" s="613" t="s">
        <v>983</v>
      </c>
      <c r="U141" s="613" t="s">
        <v>984</v>
      </c>
    </row>
    <row r="142" spans="1:31" s="616" customFormat="1" x14ac:dyDescent="0.25">
      <c r="A142" s="884"/>
      <c r="B142" s="433" t="s">
        <v>917</v>
      </c>
      <c r="C142" s="650" t="s">
        <v>985</v>
      </c>
      <c r="D142" s="641" t="s">
        <v>986</v>
      </c>
      <c r="E142" s="651" t="s">
        <v>987</v>
      </c>
      <c r="F142" s="642"/>
      <c r="G142" s="652">
        <v>2298687.7200000002</v>
      </c>
      <c r="H142" s="643"/>
      <c r="I142" s="653" t="s">
        <v>454</v>
      </c>
      <c r="J142" s="654" t="s">
        <v>988</v>
      </c>
      <c r="K142" s="653"/>
      <c r="L142" s="653"/>
      <c r="M142" s="655"/>
      <c r="N142" s="656"/>
      <c r="O142" s="400"/>
      <c r="P142" s="618" t="s">
        <v>454</v>
      </c>
      <c r="Q142" s="657"/>
      <c r="R142" s="618" t="s">
        <v>989</v>
      </c>
      <c r="S142" s="618" t="s">
        <v>454</v>
      </c>
      <c r="T142" s="619" t="s">
        <v>333</v>
      </c>
      <c r="U142" s="620" t="s">
        <v>990</v>
      </c>
      <c r="V142" s="400"/>
      <c r="W142" s="400"/>
      <c r="X142" s="400"/>
      <c r="Y142" s="400"/>
    </row>
    <row r="143" spans="1:31" x14ac:dyDescent="0.25">
      <c r="A143" s="884"/>
      <c r="B143" s="428" t="s">
        <v>923</v>
      </c>
      <c r="C143" s="617" t="s">
        <v>243</v>
      </c>
      <c r="D143" s="617" t="s">
        <v>991</v>
      </c>
      <c r="E143" s="617" t="s">
        <v>175</v>
      </c>
      <c r="F143" s="617" t="s">
        <v>243</v>
      </c>
      <c r="G143" s="617" t="s">
        <v>243</v>
      </c>
      <c r="H143" s="617" t="s">
        <v>59</v>
      </c>
      <c r="I143" s="658"/>
      <c r="J143" s="659"/>
      <c r="K143" s="617"/>
      <c r="L143" s="617"/>
      <c r="M143" s="617"/>
      <c r="N143" s="617"/>
      <c r="P143" s="617">
        <v>10</v>
      </c>
      <c r="Q143" s="617" t="s">
        <v>80</v>
      </c>
      <c r="R143" s="617" t="s">
        <v>33</v>
      </c>
      <c r="S143" s="617" t="s">
        <v>175</v>
      </c>
      <c r="T143" s="617" t="s">
        <v>80</v>
      </c>
      <c r="U143" s="617" t="s">
        <v>80</v>
      </c>
    </row>
    <row r="144" spans="1:31" x14ac:dyDescent="0.25">
      <c r="A144" s="884"/>
      <c r="B144" s="428" t="s">
        <v>927</v>
      </c>
      <c r="C144" s="617" t="s">
        <v>59</v>
      </c>
      <c r="D144" s="617" t="s">
        <v>59</v>
      </c>
      <c r="E144" s="617" t="s">
        <v>83</v>
      </c>
      <c r="F144" s="617" t="s">
        <v>77</v>
      </c>
      <c r="G144" s="617" t="s">
        <v>929</v>
      </c>
      <c r="H144" s="617" t="s">
        <v>965</v>
      </c>
      <c r="I144" s="658" t="s">
        <v>964</v>
      </c>
      <c r="J144" s="659"/>
      <c r="K144" s="617"/>
      <c r="L144" s="617"/>
      <c r="M144" s="617"/>
      <c r="N144" s="617"/>
      <c r="P144" s="617" t="s">
        <v>80</v>
      </c>
      <c r="Q144" s="617" t="s">
        <v>80</v>
      </c>
      <c r="R144" s="617"/>
      <c r="S144" s="617" t="s">
        <v>80</v>
      </c>
      <c r="T144" s="617" t="s">
        <v>244</v>
      </c>
      <c r="U144" s="617" t="s">
        <v>166</v>
      </c>
    </row>
    <row r="145" spans="1:26" x14ac:dyDescent="0.25">
      <c r="A145" s="884"/>
      <c r="B145" s="428" t="s">
        <v>931</v>
      </c>
      <c r="D145" s="626" t="s">
        <v>992</v>
      </c>
      <c r="F145" s="626" t="s">
        <v>993</v>
      </c>
      <c r="G145" s="660" t="s">
        <v>994</v>
      </c>
      <c r="H145" s="626" t="s">
        <v>968</v>
      </c>
      <c r="I145" s="661" t="s">
        <v>995</v>
      </c>
      <c r="K145" s="662"/>
      <c r="L145" s="661"/>
      <c r="M145" s="661"/>
      <c r="N145" s="663"/>
      <c r="P145" s="626" t="s">
        <v>996</v>
      </c>
      <c r="Q145" s="661" t="s">
        <v>997</v>
      </c>
      <c r="R145" s="662"/>
      <c r="S145" s="661" t="s">
        <v>998</v>
      </c>
      <c r="T145" s="661" t="s">
        <v>999</v>
      </c>
      <c r="U145" s="663"/>
    </row>
    <row r="146" spans="1:26" x14ac:dyDescent="0.25">
      <c r="A146" s="884"/>
      <c r="B146" s="428" t="s">
        <v>934</v>
      </c>
      <c r="D146" s="400" t="s">
        <v>1000</v>
      </c>
      <c r="F146" s="626"/>
      <c r="H146" s="626"/>
      <c r="J146" s="664"/>
      <c r="L146" s="629"/>
      <c r="Q146" s="439"/>
      <c r="S146" s="629"/>
      <c r="U146" s="400" t="s">
        <v>1001</v>
      </c>
    </row>
    <row r="148" spans="1:26" ht="15.75" thickBot="1" x14ac:dyDescent="0.3">
      <c r="A148" s="607" t="s">
        <v>1304</v>
      </c>
      <c r="B148" s="607"/>
      <c r="C148" s="607"/>
      <c r="D148" s="607"/>
      <c r="E148" s="607"/>
      <c r="F148" s="607"/>
      <c r="G148" s="607"/>
      <c r="H148" s="607"/>
      <c r="I148" s="607"/>
      <c r="J148" s="607"/>
      <c r="P148" s="607"/>
      <c r="Q148" s="607"/>
    </row>
    <row r="149" spans="1:26" ht="15.75" thickBot="1" x14ac:dyDescent="0.3">
      <c r="A149" s="966" t="s">
        <v>31</v>
      </c>
      <c r="B149" s="428" t="s">
        <v>914</v>
      </c>
      <c r="C149" s="613" t="s">
        <v>975</v>
      </c>
      <c r="D149" s="613" t="s">
        <v>766</v>
      </c>
      <c r="E149" s="613" t="s">
        <v>976</v>
      </c>
      <c r="F149" s="888" t="s">
        <v>944</v>
      </c>
      <c r="G149" s="613" t="s">
        <v>977</v>
      </c>
      <c r="H149" s="613" t="s">
        <v>917</v>
      </c>
      <c r="I149" s="613" t="s">
        <v>978</v>
      </c>
      <c r="J149" s="613" t="s">
        <v>979</v>
      </c>
      <c r="K149" s="613" t="s">
        <v>980</v>
      </c>
      <c r="L149" s="613" t="s">
        <v>981</v>
      </c>
      <c r="M149" s="613" t="s">
        <v>982</v>
      </c>
      <c r="N149" s="613" t="s">
        <v>983</v>
      </c>
      <c r="O149" s="613" t="s">
        <v>984</v>
      </c>
      <c r="Q149" s="613" t="s">
        <v>979</v>
      </c>
      <c r="R149" s="613" t="s">
        <v>980</v>
      </c>
      <c r="S149" s="613" t="s">
        <v>981</v>
      </c>
      <c r="T149" s="613" t="s">
        <v>982</v>
      </c>
      <c r="U149" s="613" t="s">
        <v>983</v>
      </c>
      <c r="V149" s="613" t="s">
        <v>984</v>
      </c>
    </row>
    <row r="150" spans="1:26" s="616" customFormat="1" x14ac:dyDescent="0.25">
      <c r="A150" s="967"/>
      <c r="B150" s="433" t="s">
        <v>917</v>
      </c>
      <c r="C150" s="650" t="s">
        <v>985</v>
      </c>
      <c r="D150" s="886" t="s">
        <v>986</v>
      </c>
      <c r="E150" s="651" t="s">
        <v>987</v>
      </c>
      <c r="F150" s="889" t="s">
        <v>364</v>
      </c>
      <c r="G150" s="890" t="s">
        <v>367</v>
      </c>
      <c r="H150" s="652">
        <v>2298687.7200000002</v>
      </c>
      <c r="I150" s="643"/>
      <c r="J150" s="626" t="s">
        <v>454</v>
      </c>
      <c r="K150" s="654" t="s">
        <v>988</v>
      </c>
      <c r="L150" s="618" t="s">
        <v>989</v>
      </c>
      <c r="M150" s="666" t="s">
        <v>415</v>
      </c>
      <c r="N150" s="619" t="s">
        <v>369</v>
      </c>
      <c r="O150" s="656"/>
      <c r="P150" s="400"/>
      <c r="Q150" s="618" t="s">
        <v>454</v>
      </c>
      <c r="R150" s="657"/>
      <c r="S150" s="618" t="s">
        <v>989</v>
      </c>
      <c r="T150" s="618" t="s">
        <v>454</v>
      </c>
      <c r="U150" s="619" t="s">
        <v>333</v>
      </c>
      <c r="V150" s="620" t="s">
        <v>990</v>
      </c>
      <c r="W150" s="400"/>
      <c r="X150" s="400"/>
      <c r="Y150" s="400"/>
      <c r="Z150" s="400"/>
    </row>
    <row r="151" spans="1:26" x14ac:dyDescent="0.25">
      <c r="A151" s="967"/>
      <c r="B151" s="428" t="s">
        <v>923</v>
      </c>
      <c r="C151" s="885" t="s">
        <v>1306</v>
      </c>
      <c r="D151" s="887" t="s">
        <v>1307</v>
      </c>
      <c r="E151" s="885" t="s">
        <v>1052</v>
      </c>
      <c r="F151" s="885" t="s">
        <v>1052</v>
      </c>
      <c r="G151" s="885" t="s">
        <v>1306</v>
      </c>
      <c r="H151" s="617" t="s">
        <v>243</v>
      </c>
      <c r="I151" s="617" t="s">
        <v>59</v>
      </c>
      <c r="J151" s="659"/>
      <c r="K151" s="659"/>
      <c r="L151" s="617" t="s">
        <v>33</v>
      </c>
      <c r="N151" s="659"/>
      <c r="O151" s="617"/>
      <c r="Q151" s="617">
        <v>10</v>
      </c>
      <c r="R151" s="617" t="s">
        <v>80</v>
      </c>
      <c r="S151" s="617" t="s">
        <v>33</v>
      </c>
      <c r="T151" s="617" t="s">
        <v>175</v>
      </c>
      <c r="U151" s="617" t="s">
        <v>80</v>
      </c>
      <c r="V151" s="617" t="s">
        <v>80</v>
      </c>
    </row>
    <row r="152" spans="1:26" x14ac:dyDescent="0.25">
      <c r="A152" s="967"/>
      <c r="B152" s="428" t="s">
        <v>927</v>
      </c>
      <c r="C152" s="885" t="s">
        <v>168</v>
      </c>
      <c r="D152" s="622" t="s">
        <v>930</v>
      </c>
      <c r="E152" s="885" t="s">
        <v>33</v>
      </c>
      <c r="F152" s="885" t="s">
        <v>929</v>
      </c>
      <c r="G152" s="885" t="s">
        <v>1308</v>
      </c>
      <c r="H152" s="617" t="s">
        <v>929</v>
      </c>
      <c r="I152" s="617" t="s">
        <v>965</v>
      </c>
      <c r="J152" s="877" t="s">
        <v>244</v>
      </c>
      <c r="K152" s="659"/>
      <c r="L152" s="885" t="s">
        <v>244</v>
      </c>
      <c r="M152" s="885" t="s">
        <v>244</v>
      </c>
      <c r="N152" s="877" t="s">
        <v>929</v>
      </c>
      <c r="O152" s="617"/>
      <c r="Q152" s="617" t="s">
        <v>80</v>
      </c>
      <c r="R152" s="617" t="s">
        <v>80</v>
      </c>
      <c r="S152" s="617"/>
      <c r="T152" s="617" t="s">
        <v>80</v>
      </c>
      <c r="U152" s="617" t="s">
        <v>244</v>
      </c>
      <c r="V152" s="617" t="s">
        <v>166</v>
      </c>
    </row>
    <row r="153" spans="1:26" ht="75" x14ac:dyDescent="0.25">
      <c r="A153" s="967"/>
      <c r="B153" s="428" t="s">
        <v>931</v>
      </c>
      <c r="C153" s="776"/>
      <c r="D153" s="892"/>
      <c r="E153" s="776"/>
      <c r="F153" s="776"/>
      <c r="G153" s="893" t="s">
        <v>993</v>
      </c>
      <c r="H153" s="894" t="s">
        <v>1324</v>
      </c>
      <c r="I153" s="893" t="s">
        <v>968</v>
      </c>
      <c r="J153" s="893" t="s">
        <v>979</v>
      </c>
      <c r="K153" s="895" t="s">
        <v>1011</v>
      </c>
      <c r="L153" s="751" t="s">
        <v>1012</v>
      </c>
      <c r="M153" s="899" t="s">
        <v>1330</v>
      </c>
      <c r="N153" s="901" t="s">
        <v>1332</v>
      </c>
      <c r="O153" s="897"/>
      <c r="P153" s="776"/>
      <c r="Q153" s="893" t="s">
        <v>996</v>
      </c>
      <c r="R153" s="896" t="s">
        <v>997</v>
      </c>
      <c r="S153" s="898"/>
      <c r="T153" s="896" t="s">
        <v>998</v>
      </c>
      <c r="U153" s="896" t="s">
        <v>999</v>
      </c>
      <c r="V153" s="897"/>
      <c r="W153" s="776"/>
    </row>
    <row r="154" spans="1:26" x14ac:dyDescent="0.25">
      <c r="A154" s="967"/>
      <c r="B154" s="428" t="s">
        <v>934</v>
      </c>
      <c r="D154" s="627"/>
      <c r="G154" s="626"/>
      <c r="I154" s="626"/>
      <c r="J154" s="674"/>
      <c r="K154" s="664"/>
      <c r="R154" s="439"/>
      <c r="T154" s="629"/>
      <c r="V154" s="400" t="s">
        <v>1001</v>
      </c>
    </row>
    <row r="156" spans="1:26" ht="15.75" thickBot="1" x14ac:dyDescent="0.3">
      <c r="A156" s="607" t="s">
        <v>1002</v>
      </c>
      <c r="B156" s="607"/>
      <c r="C156" s="607"/>
      <c r="D156" s="607"/>
      <c r="E156" s="607"/>
      <c r="F156" s="607"/>
      <c r="G156" s="607"/>
      <c r="H156" s="607"/>
      <c r="I156" s="607"/>
      <c r="J156" s="607"/>
    </row>
    <row r="157" spans="1:26" ht="15.75" thickBot="1" x14ac:dyDescent="0.3">
      <c r="A157" s="596" t="s">
        <v>31</v>
      </c>
      <c r="B157" s="428" t="s">
        <v>914</v>
      </c>
      <c r="C157" s="613" t="s">
        <v>975</v>
      </c>
      <c r="D157" s="613" t="s">
        <v>766</v>
      </c>
      <c r="E157" s="613" t="s">
        <v>976</v>
      </c>
      <c r="F157" s="613" t="s">
        <v>977</v>
      </c>
      <c r="G157" s="613" t="s">
        <v>917</v>
      </c>
      <c r="H157" s="613" t="s">
        <v>978</v>
      </c>
      <c r="I157" s="613" t="s">
        <v>979</v>
      </c>
      <c r="J157" s="613" t="s">
        <v>980</v>
      </c>
      <c r="K157" s="613" t="s">
        <v>981</v>
      </c>
      <c r="L157" s="613" t="s">
        <v>982</v>
      </c>
      <c r="M157" s="613" t="s">
        <v>983</v>
      </c>
      <c r="N157" s="613" t="s">
        <v>984</v>
      </c>
      <c r="Q157" s="396" t="s">
        <v>420</v>
      </c>
    </row>
    <row r="158" spans="1:26" s="616" customFormat="1" x14ac:dyDescent="0.25">
      <c r="A158" s="602"/>
      <c r="B158" s="433" t="s">
        <v>917</v>
      </c>
      <c r="C158" s="650" t="s">
        <v>985</v>
      </c>
      <c r="D158" s="641" t="s">
        <v>986</v>
      </c>
      <c r="E158" s="651" t="s">
        <v>987</v>
      </c>
      <c r="F158" s="642"/>
      <c r="G158" s="652">
        <v>2298687.7200000002</v>
      </c>
      <c r="H158" s="643"/>
      <c r="I158" s="665" t="s">
        <v>357</v>
      </c>
      <c r="J158" s="654" t="s">
        <v>988</v>
      </c>
      <c r="K158" s="666" t="s">
        <v>1003</v>
      </c>
      <c r="L158" s="666" t="s">
        <v>415</v>
      </c>
      <c r="M158" s="667" t="s">
        <v>283</v>
      </c>
      <c r="N158" s="656"/>
      <c r="O158" s="400"/>
      <c r="P158" s="400"/>
      <c r="Q158" s="396" t="s">
        <v>408</v>
      </c>
      <c r="R158" s="400"/>
      <c r="S158" s="400"/>
      <c r="T158" s="400"/>
      <c r="U158" s="400"/>
      <c r="V158" s="400"/>
      <c r="W158" s="400"/>
      <c r="X158" s="400"/>
      <c r="Y158" s="400"/>
    </row>
    <row r="159" spans="1:26" x14ac:dyDescent="0.25">
      <c r="A159" s="602"/>
      <c r="B159" s="428" t="s">
        <v>923</v>
      </c>
      <c r="C159" s="617" t="s">
        <v>243</v>
      </c>
      <c r="D159" s="617" t="s">
        <v>991</v>
      </c>
      <c r="E159" s="617" t="s">
        <v>175</v>
      </c>
      <c r="F159" s="617" t="s">
        <v>243</v>
      </c>
      <c r="G159" s="617" t="s">
        <v>243</v>
      </c>
      <c r="H159" s="617" t="s">
        <v>59</v>
      </c>
      <c r="I159" s="617" t="s">
        <v>938</v>
      </c>
      <c r="J159" s="659"/>
      <c r="K159" s="617"/>
      <c r="M159" s="617" t="s">
        <v>185</v>
      </c>
      <c r="N159" s="617"/>
      <c r="Q159" s="396" t="s">
        <v>411</v>
      </c>
    </row>
    <row r="160" spans="1:26" x14ac:dyDescent="0.25">
      <c r="A160" s="602"/>
      <c r="B160" s="428" t="s">
        <v>927</v>
      </c>
      <c r="C160" s="617" t="s">
        <v>168</v>
      </c>
      <c r="D160" s="617" t="s">
        <v>1004</v>
      </c>
      <c r="E160" s="659" t="s">
        <v>33</v>
      </c>
      <c r="F160" s="659" t="s">
        <v>929</v>
      </c>
      <c r="G160" s="617" t="s">
        <v>1005</v>
      </c>
      <c r="H160" s="617" t="s">
        <v>1006</v>
      </c>
      <c r="I160" s="617" t="s">
        <v>1007</v>
      </c>
      <c r="J160" s="659" t="s">
        <v>168</v>
      </c>
      <c r="K160" s="885" t="s">
        <v>1329</v>
      </c>
      <c r="L160" s="885" t="s">
        <v>1329</v>
      </c>
      <c r="M160" s="617" t="s">
        <v>929</v>
      </c>
      <c r="N160" s="617"/>
      <c r="Q160" s="396" t="s">
        <v>336</v>
      </c>
    </row>
    <row r="161" spans="1:17" ht="60" x14ac:dyDescent="0.25">
      <c r="A161" s="602"/>
      <c r="B161" s="428" t="s">
        <v>931</v>
      </c>
      <c r="C161" s="877" t="s">
        <v>1008</v>
      </c>
      <c r="D161" s="659" t="s">
        <v>1009</v>
      </c>
      <c r="E161" s="626"/>
      <c r="F161" s="668" t="s">
        <v>993</v>
      </c>
      <c r="G161" s="659" t="s">
        <v>1008</v>
      </c>
      <c r="H161" s="659" t="s">
        <v>968</v>
      </c>
      <c r="I161" s="669" t="s">
        <v>1010</v>
      </c>
      <c r="J161" s="670" t="s">
        <v>1011</v>
      </c>
      <c r="K161" s="671" t="s">
        <v>1012</v>
      </c>
      <c r="M161" s="672" t="s">
        <v>1332</v>
      </c>
      <c r="N161" s="663"/>
      <c r="Q161" s="396" t="s">
        <v>455</v>
      </c>
    </row>
    <row r="162" spans="1:17" x14ac:dyDescent="0.25">
      <c r="A162" s="602"/>
      <c r="B162" s="428" t="s">
        <v>934</v>
      </c>
      <c r="E162" s="624"/>
      <c r="F162" s="626"/>
      <c r="H162" s="626"/>
      <c r="I162" s="626"/>
      <c r="J162" s="664"/>
      <c r="M162" s="673"/>
    </row>
    <row r="163" spans="1:17" x14ac:dyDescent="0.25">
      <c r="I163" s="674"/>
    </row>
    <row r="164" spans="1:17" x14ac:dyDescent="0.25">
      <c r="A164" s="675" t="s">
        <v>1013</v>
      </c>
      <c r="B164" s="607"/>
      <c r="C164" s="607"/>
      <c r="D164" s="607"/>
      <c r="E164" s="607"/>
      <c r="F164" s="607"/>
      <c r="G164" s="607"/>
      <c r="H164" s="607"/>
      <c r="I164" s="607"/>
      <c r="J164" s="607"/>
    </row>
    <row r="165" spans="1:17" ht="15.75" thickBot="1" x14ac:dyDescent="0.3">
      <c r="A165" s="836">
        <v>41529</v>
      </c>
      <c r="B165" s="909" t="s">
        <v>1445</v>
      </c>
      <c r="C165" s="607"/>
      <c r="D165" s="607"/>
      <c r="E165" s="607"/>
      <c r="F165" s="607"/>
      <c r="G165" s="607"/>
      <c r="H165" s="607"/>
      <c r="I165" s="607"/>
      <c r="J165" s="607"/>
    </row>
    <row r="166" spans="1:17" ht="15.75" thickBot="1" x14ac:dyDescent="0.3">
      <c r="A166" s="966" t="s">
        <v>31</v>
      </c>
      <c r="B166" s="428" t="s">
        <v>914</v>
      </c>
      <c r="C166" s="614" t="s">
        <v>920</v>
      </c>
      <c r="D166" s="614" t="s">
        <v>765</v>
      </c>
      <c r="L166" s="676"/>
    </row>
    <row r="167" spans="1:17" x14ac:dyDescent="0.25">
      <c r="A167" s="967"/>
      <c r="B167" s="433" t="s">
        <v>917</v>
      </c>
      <c r="C167" s="616"/>
      <c r="D167" s="616"/>
    </row>
    <row r="168" spans="1:17" x14ac:dyDescent="0.25">
      <c r="A168" s="967"/>
      <c r="B168" s="428" t="s">
        <v>923</v>
      </c>
      <c r="C168" s="885" t="s">
        <v>1306</v>
      </c>
      <c r="D168" s="885" t="s">
        <v>1306</v>
      </c>
    </row>
    <row r="169" spans="1:17" x14ac:dyDescent="0.25">
      <c r="A169" s="967"/>
      <c r="B169" s="428" t="s">
        <v>927</v>
      </c>
      <c r="C169" s="621" t="s">
        <v>156</v>
      </c>
      <c r="D169" s="622" t="s">
        <v>930</v>
      </c>
    </row>
    <row r="170" spans="1:17" x14ac:dyDescent="0.25">
      <c r="A170" s="967"/>
      <c r="B170" s="428" t="s">
        <v>931</v>
      </c>
      <c r="C170" s="624" t="s">
        <v>933</v>
      </c>
    </row>
    <row r="171" spans="1:17" x14ac:dyDescent="0.25">
      <c r="A171" s="967"/>
      <c r="B171" s="428" t="s">
        <v>934</v>
      </c>
      <c r="C171" s="626" t="s">
        <v>1147</v>
      </c>
    </row>
    <row r="173" spans="1:17" ht="15.75" thickBot="1" x14ac:dyDescent="0.3">
      <c r="A173" s="607" t="s">
        <v>1014</v>
      </c>
      <c r="B173" s="607"/>
      <c r="C173" s="607"/>
      <c r="D173" s="607"/>
      <c r="E173" s="607"/>
      <c r="F173" s="607"/>
      <c r="G173" s="607"/>
      <c r="H173" s="607"/>
      <c r="I173" s="607"/>
      <c r="J173" s="607"/>
    </row>
    <row r="174" spans="1:17" ht="15.75" thickBot="1" x14ac:dyDescent="0.3">
      <c r="A174" s="614" t="s">
        <v>1015</v>
      </c>
      <c r="B174" s="614" t="s">
        <v>1016</v>
      </c>
      <c r="J174" s="676"/>
    </row>
    <row r="176" spans="1:17" ht="15.75" thickBot="1" x14ac:dyDescent="0.3">
      <c r="A176" s="675" t="s">
        <v>1225</v>
      </c>
      <c r="B176" s="677"/>
      <c r="C176" s="677"/>
      <c r="D176" s="677"/>
      <c r="E176" s="677"/>
      <c r="F176" s="607"/>
      <c r="G176" s="607"/>
      <c r="H176" s="607"/>
      <c r="I176" s="607"/>
      <c r="J176" s="607"/>
    </row>
    <row r="177" spans="1:22" ht="15.75" thickBot="1" x14ac:dyDescent="0.3">
      <c r="A177" s="613" t="s">
        <v>1017</v>
      </c>
      <c r="B177" s="613" t="s">
        <v>1018</v>
      </c>
      <c r="C177" s="613" t="s">
        <v>977</v>
      </c>
      <c r="D177" s="613" t="s">
        <v>1019</v>
      </c>
      <c r="E177" s="613" t="s">
        <v>952</v>
      </c>
      <c r="F177" s="613" t="s">
        <v>953</v>
      </c>
      <c r="G177" s="613" t="s">
        <v>954</v>
      </c>
      <c r="H177" s="613" t="s">
        <v>955</v>
      </c>
      <c r="I177" s="613" t="s">
        <v>956</v>
      </c>
      <c r="J177" s="613" t="s">
        <v>1020</v>
      </c>
      <c r="K177" s="613" t="s">
        <v>1021</v>
      </c>
      <c r="L177" s="613" t="s">
        <v>1022</v>
      </c>
      <c r="M177" s="613" t="s">
        <v>1023</v>
      </c>
      <c r="N177" s="613" t="s">
        <v>1024</v>
      </c>
      <c r="O177" s="613" t="s">
        <v>1025</v>
      </c>
      <c r="P177" s="613" t="s">
        <v>1026</v>
      </c>
      <c r="Q177" s="613" t="s">
        <v>1027</v>
      </c>
      <c r="R177" s="613" t="s">
        <v>1028</v>
      </c>
      <c r="S177" s="613" t="s">
        <v>1029</v>
      </c>
      <c r="T177" s="613" t="s">
        <v>1030</v>
      </c>
      <c r="U177" s="613" t="s">
        <v>1031</v>
      </c>
      <c r="V177" s="678" t="s">
        <v>1032</v>
      </c>
    </row>
    <row r="179" spans="1:22" ht="15.75" thickBot="1" x14ac:dyDescent="0.3">
      <c r="A179" s="607" t="s">
        <v>1033</v>
      </c>
    </row>
    <row r="180" spans="1:22" ht="15.75" thickBot="1" x14ac:dyDescent="0.3">
      <c r="A180" s="613" t="s">
        <v>68</v>
      </c>
      <c r="B180" s="613" t="s">
        <v>896</v>
      </c>
      <c r="C180" s="613" t="s">
        <v>1019</v>
      </c>
      <c r="D180" s="613" t="s">
        <v>1024</v>
      </c>
      <c r="E180" s="613" t="s">
        <v>952</v>
      </c>
      <c r="F180" s="613" t="s">
        <v>953</v>
      </c>
      <c r="G180" s="613" t="s">
        <v>954</v>
      </c>
      <c r="H180" s="613" t="s">
        <v>955</v>
      </c>
      <c r="I180" s="613" t="s">
        <v>956</v>
      </c>
      <c r="J180" s="613" t="s">
        <v>1027</v>
      </c>
      <c r="K180" s="613" t="s">
        <v>1028</v>
      </c>
      <c r="L180" s="613" t="s">
        <v>1029</v>
      </c>
      <c r="M180" s="613" t="s">
        <v>1030</v>
      </c>
      <c r="N180" s="613" t="s">
        <v>1031</v>
      </c>
    </row>
    <row r="182" spans="1:22" ht="15.75" thickBot="1" x14ac:dyDescent="0.3">
      <c r="A182" s="607" t="s">
        <v>1034</v>
      </c>
    </row>
    <row r="183" spans="1:22" ht="15.75" thickBot="1" x14ac:dyDescent="0.3">
      <c r="A183" s="613" t="s">
        <v>1035</v>
      </c>
      <c r="B183" s="613" t="s">
        <v>896</v>
      </c>
      <c r="C183" s="613" t="s">
        <v>1036</v>
      </c>
    </row>
    <row r="184" spans="1:22" x14ac:dyDescent="0.25">
      <c r="A184" s="423" t="s">
        <v>243</v>
      </c>
      <c r="B184" s="423" t="s">
        <v>1037</v>
      </c>
      <c r="C184" s="423" t="s">
        <v>928</v>
      </c>
    </row>
    <row r="185" spans="1:22" x14ac:dyDescent="0.25">
      <c r="I185" s="674"/>
    </row>
    <row r="186" spans="1:22" ht="15.75" thickBot="1" x14ac:dyDescent="0.3">
      <c r="A186" s="836" t="s">
        <v>1543</v>
      </c>
      <c r="B186" s="607"/>
      <c r="C186" s="607"/>
      <c r="D186" s="607"/>
      <c r="E186" s="607"/>
      <c r="F186" s="607"/>
      <c r="G186" s="607"/>
      <c r="H186" s="607"/>
      <c r="I186" s="607"/>
      <c r="J186" s="607"/>
    </row>
    <row r="187" spans="1:22" x14ac:dyDescent="0.25">
      <c r="A187" s="981" t="s">
        <v>1481</v>
      </c>
      <c r="B187" s="428" t="s">
        <v>914</v>
      </c>
      <c r="C187" s="986" t="s">
        <v>1544</v>
      </c>
      <c r="D187" s="987" t="s">
        <v>1479</v>
      </c>
      <c r="L187" s="676"/>
    </row>
    <row r="188" spans="1:22" x14ac:dyDescent="0.25">
      <c r="A188" s="982"/>
      <c r="B188" s="433" t="s">
        <v>917</v>
      </c>
      <c r="C188" s="984" t="s">
        <v>768</v>
      </c>
      <c r="D188" s="985" t="s">
        <v>768</v>
      </c>
    </row>
    <row r="189" spans="1:22" x14ac:dyDescent="0.25">
      <c r="A189" s="982"/>
      <c r="B189" s="428" t="s">
        <v>923</v>
      </c>
      <c r="C189" s="885" t="s">
        <v>1545</v>
      </c>
      <c r="D189" s="885" t="s">
        <v>1546</v>
      </c>
    </row>
    <row r="190" spans="1:22" x14ac:dyDescent="0.25">
      <c r="A190" s="982"/>
      <c r="B190" s="428" t="s">
        <v>927</v>
      </c>
      <c r="C190" s="622" t="s">
        <v>930</v>
      </c>
      <c r="D190" s="983" t="s">
        <v>165</v>
      </c>
    </row>
    <row r="191" spans="1:22" x14ac:dyDescent="0.25">
      <c r="A191" s="982"/>
      <c r="B191" s="428" t="s">
        <v>931</v>
      </c>
      <c r="C191" s="624"/>
    </row>
    <row r="192" spans="1:22" x14ac:dyDescent="0.25">
      <c r="A192" s="982"/>
      <c r="B192" s="428" t="s">
        <v>934</v>
      </c>
      <c r="C192" s="626"/>
    </row>
    <row r="193" spans="1:39" ht="15.75" thickBot="1" x14ac:dyDescent="0.3">
      <c r="A193" s="423"/>
      <c r="B193" s="423"/>
    </row>
    <row r="194" spans="1:39" ht="15.75" thickBot="1" x14ac:dyDescent="0.3">
      <c r="A194" s="679" t="s">
        <v>1038</v>
      </c>
      <c r="B194" s="423"/>
      <c r="I194" s="680" t="s">
        <v>110</v>
      </c>
      <c r="N194" s="681" t="s">
        <v>876</v>
      </c>
    </row>
    <row r="195" spans="1:39" s="426" customFormat="1" ht="25.5" x14ac:dyDescent="0.25">
      <c r="A195" s="428" t="s">
        <v>739</v>
      </c>
      <c r="B195" s="682" t="s">
        <v>1039</v>
      </c>
      <c r="C195" s="572" t="s">
        <v>1040</v>
      </c>
      <c r="D195" s="683" t="s">
        <v>1041</v>
      </c>
      <c r="E195" s="683" t="s">
        <v>1042</v>
      </c>
      <c r="F195" s="684" t="s">
        <v>1043</v>
      </c>
      <c r="G195" s="684" t="s">
        <v>1044</v>
      </c>
      <c r="H195" s="684" t="s">
        <v>1045</v>
      </c>
      <c r="I195" s="685" t="s">
        <v>1046</v>
      </c>
      <c r="J195" s="686" t="s">
        <v>1047</v>
      </c>
      <c r="K195" s="687" t="s">
        <v>1048</v>
      </c>
      <c r="L195" s="688" t="s">
        <v>1049</v>
      </c>
      <c r="M195" s="688" t="s">
        <v>1050</v>
      </c>
      <c r="N195" s="688" t="s">
        <v>259</v>
      </c>
    </row>
    <row r="196" spans="1:39" s="426" customFormat="1" x14ac:dyDescent="0.25">
      <c r="A196" s="433" t="s">
        <v>1220</v>
      </c>
      <c r="B196" s="590"/>
      <c r="C196" s="591"/>
    </row>
    <row r="197" spans="1:39" s="426" customFormat="1" x14ac:dyDescent="0.25">
      <c r="A197" s="428" t="s">
        <v>769</v>
      </c>
      <c r="B197" s="439">
        <v>1</v>
      </c>
      <c r="C197" s="439">
        <v>5</v>
      </c>
      <c r="D197" s="689">
        <v>45</v>
      </c>
      <c r="E197" s="689">
        <v>5</v>
      </c>
      <c r="F197" s="689">
        <v>7</v>
      </c>
      <c r="G197" s="689">
        <v>16</v>
      </c>
      <c r="H197" s="689">
        <v>10</v>
      </c>
      <c r="I197" s="689" t="s">
        <v>1051</v>
      </c>
      <c r="J197" s="689" t="s">
        <v>1052</v>
      </c>
      <c r="K197" s="689">
        <v>10</v>
      </c>
      <c r="L197" s="689" t="s">
        <v>1053</v>
      </c>
      <c r="M197" s="689" t="s">
        <v>924</v>
      </c>
      <c r="N197" s="689" t="s">
        <v>924</v>
      </c>
    </row>
    <row r="198" spans="1:39" s="426" customFormat="1" x14ac:dyDescent="0.25">
      <c r="A198" s="428" t="s">
        <v>771</v>
      </c>
      <c r="B198" s="690" t="s">
        <v>1054</v>
      </c>
      <c r="C198" s="439" t="s">
        <v>1055</v>
      </c>
      <c r="D198" s="439">
        <v>13</v>
      </c>
      <c r="E198" s="439">
        <v>14</v>
      </c>
      <c r="F198" s="439">
        <v>15</v>
      </c>
      <c r="G198" s="439">
        <v>16</v>
      </c>
      <c r="H198" s="439">
        <v>17</v>
      </c>
      <c r="I198" s="439">
        <v>18</v>
      </c>
      <c r="J198" s="439">
        <v>19</v>
      </c>
      <c r="K198" s="439">
        <v>20</v>
      </c>
      <c r="L198" s="439">
        <v>21</v>
      </c>
      <c r="M198" s="439">
        <v>22</v>
      </c>
      <c r="N198" s="439">
        <v>23</v>
      </c>
    </row>
    <row r="199" spans="1:39" s="617" customFormat="1" x14ac:dyDescent="0.25">
      <c r="A199" s="691" t="s">
        <v>772</v>
      </c>
      <c r="L199" s="617" t="s">
        <v>932</v>
      </c>
      <c r="M199" s="617" t="s">
        <v>932</v>
      </c>
      <c r="N199" s="617" t="s">
        <v>1056</v>
      </c>
    </row>
    <row r="200" spans="1:39" s="423" customFormat="1" x14ac:dyDescent="0.25">
      <c r="A200" s="428" t="s">
        <v>780</v>
      </c>
      <c r="C200" s="423" t="s">
        <v>1057</v>
      </c>
    </row>
    <row r="202" spans="1:39" s="426" customFormat="1" ht="25.5" x14ac:dyDescent="0.25">
      <c r="A202" s="428" t="s">
        <v>739</v>
      </c>
      <c r="B202" s="572" t="s">
        <v>1058</v>
      </c>
      <c r="C202" s="572" t="s">
        <v>1059</v>
      </c>
      <c r="D202" s="572" t="s">
        <v>1040</v>
      </c>
      <c r="E202" s="573" t="s">
        <v>867</v>
      </c>
      <c r="F202" s="574" t="s">
        <v>868</v>
      </c>
      <c r="G202" s="575" t="s">
        <v>869</v>
      </c>
      <c r="H202" s="572" t="s">
        <v>1060</v>
      </c>
      <c r="I202" s="572" t="s">
        <v>798</v>
      </c>
      <c r="J202" s="572" t="s">
        <v>870</v>
      </c>
      <c r="K202" s="572" t="s">
        <v>1061</v>
      </c>
      <c r="M202" s="576" t="s">
        <v>871</v>
      </c>
      <c r="N202" s="577" t="s">
        <v>872</v>
      </c>
      <c r="O202" s="578"/>
      <c r="P202" s="579" t="s">
        <v>101</v>
      </c>
      <c r="Q202" s="580" t="s">
        <v>873</v>
      </c>
      <c r="R202" s="579" t="s">
        <v>105</v>
      </c>
      <c r="S202" s="579" t="s">
        <v>51</v>
      </c>
      <c r="T202" s="579" t="s">
        <v>108</v>
      </c>
      <c r="U202" s="581" t="s">
        <v>110</v>
      </c>
      <c r="V202" s="582" t="s">
        <v>874</v>
      </c>
      <c r="W202" s="583" t="s">
        <v>875</v>
      </c>
      <c r="X202" s="579" t="s">
        <v>876</v>
      </c>
      <c r="Y202" s="584" t="s">
        <v>93</v>
      </c>
      <c r="Z202" s="585" t="s">
        <v>93</v>
      </c>
      <c r="AA202" s="585" t="s">
        <v>93</v>
      </c>
      <c r="AB202" s="585" t="s">
        <v>93</v>
      </c>
      <c r="AC202" s="579" t="s">
        <v>93</v>
      </c>
      <c r="AD202" s="579" t="s">
        <v>877</v>
      </c>
      <c r="AE202" s="579"/>
      <c r="AF202" s="579" t="s">
        <v>93</v>
      </c>
      <c r="AG202" s="579" t="s">
        <v>93</v>
      </c>
      <c r="AH202" s="586" t="s">
        <v>878</v>
      </c>
      <c r="AI202" s="587" t="s">
        <v>93</v>
      </c>
      <c r="AJ202" s="579" t="s">
        <v>93</v>
      </c>
      <c r="AK202" s="579" t="s">
        <v>93</v>
      </c>
      <c r="AL202" s="588" t="s">
        <v>879</v>
      </c>
      <c r="AM202" s="589"/>
    </row>
    <row r="203" spans="1:39" s="426" customFormat="1" x14ac:dyDescent="0.25">
      <c r="A203" s="433" t="s">
        <v>767</v>
      </c>
      <c r="B203" s="590"/>
      <c r="C203" s="590" t="str">
        <f>IF(B203&lt;&gt;"",1,"")</f>
        <v/>
      </c>
      <c r="D203" s="591"/>
      <c r="E203" s="692"/>
      <c r="F203" s="435"/>
      <c r="G203" s="594">
        <f>U203</f>
        <v>0</v>
      </c>
      <c r="H203" s="436"/>
      <c r="I203" s="440"/>
    </row>
    <row r="204" spans="1:39" s="426" customFormat="1" x14ac:dyDescent="0.25">
      <c r="A204" s="428" t="s">
        <v>769</v>
      </c>
      <c r="B204" s="439">
        <v>1</v>
      </c>
      <c r="C204" s="439"/>
      <c r="D204" s="439">
        <v>5</v>
      </c>
      <c r="E204" s="439">
        <v>8</v>
      </c>
      <c r="F204" s="439">
        <v>13</v>
      </c>
      <c r="G204" s="439">
        <v>14</v>
      </c>
      <c r="H204" s="439">
        <v>11</v>
      </c>
      <c r="I204" s="440">
        <v>20</v>
      </c>
      <c r="J204" s="441">
        <v>15</v>
      </c>
      <c r="K204" s="441">
        <v>10</v>
      </c>
      <c r="L204" s="441">
        <v>6</v>
      </c>
      <c r="M204" s="441">
        <v>6</v>
      </c>
      <c r="N204" s="441">
        <v>10</v>
      </c>
      <c r="O204" s="441">
        <v>1</v>
      </c>
      <c r="P204" s="441">
        <v>45</v>
      </c>
      <c r="Q204" s="441"/>
      <c r="R204" s="441">
        <v>13</v>
      </c>
      <c r="S204" s="441">
        <v>16</v>
      </c>
      <c r="T204" s="441">
        <v>10</v>
      </c>
      <c r="U204" s="441">
        <v>10</v>
      </c>
      <c r="V204" s="441">
        <v>10</v>
      </c>
      <c r="W204" s="441">
        <v>10</v>
      </c>
      <c r="X204" s="441">
        <v>10</v>
      </c>
      <c r="Y204" s="441">
        <v>10</v>
      </c>
      <c r="Z204" s="441">
        <v>0</v>
      </c>
      <c r="AA204" s="441">
        <v>0</v>
      </c>
      <c r="AB204" s="441">
        <v>0</v>
      </c>
      <c r="AC204" s="441">
        <v>0</v>
      </c>
      <c r="AD204" s="441">
        <v>0</v>
      </c>
      <c r="AE204" s="441"/>
      <c r="AF204" s="441">
        <v>0</v>
      </c>
      <c r="AG204" s="441">
        <v>0</v>
      </c>
      <c r="AH204" s="441">
        <v>0</v>
      </c>
      <c r="AI204" s="441">
        <v>0</v>
      </c>
      <c r="AJ204" s="441">
        <v>0</v>
      </c>
      <c r="AK204" s="441">
        <v>0</v>
      </c>
      <c r="AL204" s="441">
        <v>0</v>
      </c>
      <c r="AM204" s="441">
        <v>0</v>
      </c>
    </row>
    <row r="205" spans="1:39" s="426" customFormat="1" x14ac:dyDescent="0.25">
      <c r="A205" s="428" t="s">
        <v>771</v>
      </c>
      <c r="B205" s="439">
        <v>5</v>
      </c>
      <c r="C205" s="439"/>
      <c r="D205" s="439">
        <v>1</v>
      </c>
      <c r="E205" s="439">
        <v>2</v>
      </c>
      <c r="F205" s="439">
        <v>2</v>
      </c>
      <c r="G205" s="439"/>
      <c r="H205" s="439">
        <v>2</v>
      </c>
      <c r="I205" s="426">
        <v>2</v>
      </c>
      <c r="J205" s="426">
        <v>2</v>
      </c>
      <c r="K205" s="439">
        <v>2</v>
      </c>
      <c r="L205" s="440">
        <v>-1</v>
      </c>
      <c r="M205" s="439"/>
      <c r="P205" s="439"/>
      <c r="Q205" s="439"/>
      <c r="R205" s="441"/>
      <c r="S205" s="441"/>
      <c r="T205" s="441"/>
      <c r="U205" s="441"/>
      <c r="V205" s="441"/>
      <c r="W205" s="441"/>
      <c r="X205" s="441"/>
      <c r="Y205" s="441"/>
      <c r="Z205" s="441"/>
      <c r="AA205" s="442"/>
      <c r="AB205" s="441"/>
      <c r="AC205" s="441"/>
      <c r="AD205" s="441"/>
      <c r="AE205" s="441"/>
      <c r="AF205" s="441"/>
      <c r="AG205" s="441"/>
      <c r="AH205" s="441"/>
    </row>
    <row r="206" spans="1:39" s="426" customFormat="1" ht="44.25" customHeight="1" x14ac:dyDescent="0.25">
      <c r="A206" s="428" t="s">
        <v>772</v>
      </c>
      <c r="B206" s="693"/>
      <c r="C206" s="694" t="s">
        <v>1062</v>
      </c>
      <c r="D206" s="695" t="s">
        <v>1063</v>
      </c>
      <c r="E206" s="696" t="s">
        <v>1064</v>
      </c>
      <c r="F206" s="696" t="s">
        <v>1065</v>
      </c>
      <c r="G206" s="439"/>
      <c r="H206" s="696" t="s">
        <v>907</v>
      </c>
      <c r="I206" s="696" t="s">
        <v>906</v>
      </c>
      <c r="J206" s="693" t="s">
        <v>909</v>
      </c>
      <c r="K206" s="693" t="s">
        <v>1066</v>
      </c>
      <c r="L206" s="439"/>
      <c r="M206" s="439"/>
      <c r="P206" s="697" t="s">
        <v>882</v>
      </c>
      <c r="Q206" s="697"/>
      <c r="R206" s="441"/>
      <c r="S206" s="441"/>
      <c r="T206" s="441"/>
      <c r="U206" s="441"/>
      <c r="V206" s="441"/>
      <c r="W206" s="441"/>
      <c r="X206" s="441"/>
      <c r="Y206" s="441"/>
      <c r="Z206" s="441"/>
      <c r="AA206" s="442"/>
      <c r="AB206" s="441"/>
      <c r="AC206" s="441"/>
      <c r="AD206" s="441"/>
      <c r="AE206" s="441"/>
      <c r="AF206" s="441"/>
      <c r="AG206" s="441"/>
      <c r="AH206" s="441"/>
    </row>
    <row r="207" spans="1:39" s="426" customFormat="1" x14ac:dyDescent="0.25">
      <c r="A207" s="428" t="s">
        <v>780</v>
      </c>
      <c r="B207" s="439" t="s">
        <v>883</v>
      </c>
      <c r="C207" s="439"/>
      <c r="D207" s="439"/>
      <c r="E207" s="450"/>
      <c r="F207" s="450"/>
      <c r="G207" s="450"/>
      <c r="H207" s="450"/>
      <c r="I207" s="440"/>
      <c r="J207" s="439"/>
      <c r="K207" s="439"/>
      <c r="L207" s="439"/>
      <c r="M207" s="439"/>
      <c r="P207" s="439"/>
      <c r="Q207" s="439"/>
      <c r="R207" s="441"/>
      <c r="S207" s="441"/>
      <c r="T207" s="441"/>
      <c r="U207" s="441"/>
      <c r="V207" s="441"/>
      <c r="W207" s="441"/>
      <c r="X207" s="441"/>
      <c r="Y207" s="441"/>
      <c r="Z207" s="441"/>
      <c r="AA207" s="442"/>
      <c r="AB207" s="441"/>
      <c r="AC207" s="441"/>
      <c r="AD207" s="441"/>
      <c r="AE207" s="441"/>
      <c r="AF207" s="441"/>
      <c r="AG207" s="441"/>
      <c r="AH207" s="441"/>
    </row>
    <row r="209" spans="1:14" ht="15.75" thickBot="1" x14ac:dyDescent="0.3">
      <c r="A209" s="679" t="s">
        <v>1067</v>
      </c>
      <c r="B209" s="423"/>
    </row>
    <row r="210" spans="1:14" ht="29.25" customHeight="1" thickBot="1" x14ac:dyDescent="0.3">
      <c r="A210" s="428" t="s">
        <v>739</v>
      </c>
      <c r="B210" s="698" t="s">
        <v>1068</v>
      </c>
      <c r="C210" s="698" t="s">
        <v>1069</v>
      </c>
      <c r="D210" s="698" t="s">
        <v>1070</v>
      </c>
      <c r="E210" s="698" t="s">
        <v>868</v>
      </c>
      <c r="F210" s="698" t="s">
        <v>108</v>
      </c>
      <c r="G210" s="698" t="s">
        <v>798</v>
      </c>
      <c r="H210" s="698" t="s">
        <v>126</v>
      </c>
      <c r="I210" s="698" t="s">
        <v>1071</v>
      </c>
      <c r="J210" s="698" t="s">
        <v>1072</v>
      </c>
      <c r="K210" s="698" t="s">
        <v>1073</v>
      </c>
      <c r="L210" s="699" t="s">
        <v>922</v>
      </c>
      <c r="M210" s="698" t="s">
        <v>1074</v>
      </c>
    </row>
    <row r="211" spans="1:14" s="423" customFormat="1" x14ac:dyDescent="0.25">
      <c r="A211" s="433" t="s">
        <v>1220</v>
      </c>
      <c r="B211" s="423" t="s">
        <v>1075</v>
      </c>
      <c r="C211" s="423" t="s">
        <v>1076</v>
      </c>
      <c r="D211" s="423" t="s">
        <v>1077</v>
      </c>
      <c r="E211" s="435" t="s">
        <v>1078</v>
      </c>
      <c r="F211" s="423" t="s">
        <v>384</v>
      </c>
      <c r="G211" s="423" t="s">
        <v>1079</v>
      </c>
      <c r="H211" s="423" t="s">
        <v>1080</v>
      </c>
      <c r="I211" s="423" t="s">
        <v>1081</v>
      </c>
      <c r="J211" s="423" t="s">
        <v>1082</v>
      </c>
      <c r="K211" s="617" t="s">
        <v>168</v>
      </c>
      <c r="L211" s="700" t="str">
        <f>H211&amp;" "&amp;C211&amp;" "&amp;B211</f>
        <v>394-1234567 7749/169409 04.04.2013 14:26:36</v>
      </c>
      <c r="M211" s="617" t="s">
        <v>168</v>
      </c>
      <c r="N211" s="400"/>
    </row>
    <row r="212" spans="1:14" s="423" customFormat="1" x14ac:dyDescent="0.25">
      <c r="A212" s="428" t="s">
        <v>769</v>
      </c>
      <c r="B212" s="617" t="s">
        <v>938</v>
      </c>
      <c r="C212" s="617" t="s">
        <v>1052</v>
      </c>
      <c r="D212" s="617" t="s">
        <v>164</v>
      </c>
      <c r="E212" s="617" t="s">
        <v>928</v>
      </c>
      <c r="F212" s="617" t="s">
        <v>80</v>
      </c>
      <c r="G212" s="617" t="s">
        <v>50</v>
      </c>
      <c r="H212" s="617" t="s">
        <v>175</v>
      </c>
      <c r="I212" s="617" t="s">
        <v>164</v>
      </c>
      <c r="J212" s="617" t="s">
        <v>50</v>
      </c>
      <c r="K212" s="617" t="s">
        <v>1083</v>
      </c>
      <c r="L212" s="701" t="s">
        <v>1084</v>
      </c>
      <c r="M212" s="617" t="s">
        <v>1085</v>
      </c>
      <c r="N212" s="400"/>
    </row>
    <row r="213" spans="1:14" s="423" customFormat="1" x14ac:dyDescent="0.25">
      <c r="A213" s="428" t="s">
        <v>771</v>
      </c>
      <c r="B213" s="423" t="s">
        <v>168</v>
      </c>
      <c r="C213" s="423" t="s">
        <v>168</v>
      </c>
      <c r="D213" s="617" t="s">
        <v>881</v>
      </c>
      <c r="E213" s="617" t="s">
        <v>881</v>
      </c>
      <c r="F213" s="617" t="s">
        <v>881</v>
      </c>
      <c r="G213" s="617" t="s">
        <v>881</v>
      </c>
      <c r="H213" s="702" t="s">
        <v>1054</v>
      </c>
      <c r="I213" s="617" t="s">
        <v>1086</v>
      </c>
      <c r="J213" s="702" t="s">
        <v>1087</v>
      </c>
      <c r="K213" s="702" t="s">
        <v>1088</v>
      </c>
      <c r="L213" s="702" t="s">
        <v>1089</v>
      </c>
      <c r="M213" s="423" t="s">
        <v>168</v>
      </c>
      <c r="N213" s="400"/>
    </row>
    <row r="214" spans="1:14" s="423" customFormat="1" x14ac:dyDescent="0.25">
      <c r="A214" s="691" t="s">
        <v>772</v>
      </c>
      <c r="B214" s="423" t="s">
        <v>1090</v>
      </c>
      <c r="C214" s="876" t="s">
        <v>1091</v>
      </c>
      <c r="L214" s="703"/>
      <c r="N214" s="400"/>
    </row>
    <row r="215" spans="1:14" s="423" customFormat="1" x14ac:dyDescent="0.25">
      <c r="A215" s="428" t="s">
        <v>780</v>
      </c>
      <c r="D215" s="704" t="s">
        <v>883</v>
      </c>
      <c r="E215" s="423" t="s">
        <v>1092</v>
      </c>
      <c r="F215" s="423" t="s">
        <v>1093</v>
      </c>
      <c r="G215" s="423" t="s">
        <v>1094</v>
      </c>
      <c r="I215" s="705" t="s">
        <v>1095</v>
      </c>
      <c r="L215" s="706"/>
    </row>
    <row r="217" spans="1:14" x14ac:dyDescent="0.25">
      <c r="A217" s="679" t="s">
        <v>1096</v>
      </c>
      <c r="B217" s="423"/>
    </row>
    <row r="218" spans="1:14" s="426" customFormat="1" x14ac:dyDescent="0.25">
      <c r="A218" s="428" t="s">
        <v>739</v>
      </c>
      <c r="B218" s="707" t="s">
        <v>126</v>
      </c>
      <c r="C218" s="708" t="s">
        <v>1097</v>
      </c>
      <c r="D218" s="617"/>
      <c r="E218" s="617"/>
      <c r="F218" s="617"/>
      <c r="G218" s="400"/>
      <c r="H218" s="400"/>
      <c r="I218" s="400"/>
      <c r="J218" s="400"/>
      <c r="K218" s="400"/>
      <c r="L218" s="400"/>
      <c r="M218" s="400"/>
      <c r="N218" s="400"/>
    </row>
    <row r="219" spans="1:14" s="426" customFormat="1" x14ac:dyDescent="0.25">
      <c r="A219" s="433" t="s">
        <v>1220</v>
      </c>
      <c r="B219" s="709"/>
      <c r="C219" s="709"/>
      <c r="D219" s="617"/>
      <c r="E219" s="617"/>
      <c r="F219" s="617"/>
      <c r="G219" s="400"/>
      <c r="H219" s="400"/>
      <c r="I219" s="400"/>
      <c r="J219" s="400"/>
      <c r="K219" s="400"/>
      <c r="L219" s="400"/>
      <c r="M219" s="400"/>
      <c r="N219" s="400"/>
    </row>
    <row r="220" spans="1:14" s="426" customFormat="1" x14ac:dyDescent="0.25">
      <c r="A220" s="428" t="s">
        <v>769</v>
      </c>
      <c r="B220" s="439" t="s">
        <v>1098</v>
      </c>
      <c r="C220" s="439" t="s">
        <v>924</v>
      </c>
      <c r="D220" s="617"/>
      <c r="E220" s="617"/>
      <c r="F220" s="617"/>
      <c r="G220" s="400"/>
      <c r="H220" s="400"/>
      <c r="I220" s="400"/>
      <c r="J220" s="400"/>
      <c r="K220" s="400"/>
      <c r="L220" s="400"/>
      <c r="M220" s="400"/>
      <c r="N220" s="400"/>
    </row>
    <row r="221" spans="1:14" s="426" customFormat="1" x14ac:dyDescent="0.25">
      <c r="A221" s="428" t="s">
        <v>771</v>
      </c>
      <c r="B221" s="664">
        <v>4</v>
      </c>
      <c r="C221" s="664">
        <v>7</v>
      </c>
      <c r="D221" s="617"/>
      <c r="E221" s="617"/>
      <c r="F221" s="617"/>
      <c r="G221" s="400"/>
      <c r="H221" s="400"/>
      <c r="I221" s="400"/>
      <c r="J221" s="400"/>
      <c r="K221" s="400"/>
      <c r="L221" s="400"/>
      <c r="M221" s="400"/>
      <c r="N221" s="400"/>
    </row>
    <row r="222" spans="1:14" s="617" customFormat="1" x14ac:dyDescent="0.25">
      <c r="A222" s="691" t="s">
        <v>772</v>
      </c>
      <c r="B222" s="617" t="s">
        <v>1099</v>
      </c>
      <c r="C222" s="697" t="s">
        <v>1100</v>
      </c>
      <c r="G222" s="400"/>
      <c r="H222" s="400"/>
      <c r="I222" s="400"/>
      <c r="J222" s="400"/>
      <c r="K222" s="400"/>
      <c r="L222" s="400"/>
      <c r="M222" s="400"/>
      <c r="N222" s="400"/>
    </row>
    <row r="223" spans="1:14" s="423" customFormat="1" x14ac:dyDescent="0.25">
      <c r="A223" s="428" t="s">
        <v>780</v>
      </c>
      <c r="C223" s="617"/>
      <c r="D223" s="617"/>
      <c r="E223" s="617"/>
      <c r="F223" s="617"/>
      <c r="G223" s="400"/>
      <c r="H223" s="400"/>
      <c r="I223" s="400"/>
      <c r="J223" s="400"/>
      <c r="K223" s="400"/>
      <c r="L223" s="400"/>
      <c r="M223" s="400"/>
      <c r="N223" s="400"/>
    </row>
    <row r="225" spans="1:18" x14ac:dyDescent="0.25">
      <c r="A225" s="679" t="s">
        <v>1101</v>
      </c>
      <c r="B225" s="423"/>
    </row>
    <row r="226" spans="1:18" s="426" customFormat="1" x14ac:dyDescent="0.25">
      <c r="A226" s="428" t="s">
        <v>739</v>
      </c>
      <c r="B226" s="710" t="s">
        <v>126</v>
      </c>
      <c r="C226" s="710" t="s">
        <v>1102</v>
      </c>
      <c r="D226" s="710" t="s">
        <v>1103</v>
      </c>
      <c r="E226" s="710" t="s">
        <v>1104</v>
      </c>
      <c r="F226" s="710" t="s">
        <v>1105</v>
      </c>
      <c r="G226" s="710" t="s">
        <v>1106</v>
      </c>
      <c r="H226" s="710" t="s">
        <v>1107</v>
      </c>
      <c r="I226" s="710" t="s">
        <v>1108</v>
      </c>
      <c r="J226" s="710" t="s">
        <v>1109</v>
      </c>
      <c r="K226" s="710" t="s">
        <v>419</v>
      </c>
      <c r="L226" s="710" t="s">
        <v>1110</v>
      </c>
      <c r="M226" s="710" t="s">
        <v>1111</v>
      </c>
      <c r="N226" s="710" t="s">
        <v>1112</v>
      </c>
      <c r="O226" s="710" t="s">
        <v>1113</v>
      </c>
      <c r="P226" s="710" t="s">
        <v>1114</v>
      </c>
      <c r="Q226" s="710" t="s">
        <v>1115</v>
      </c>
      <c r="R226" s="710" t="s">
        <v>1116</v>
      </c>
    </row>
    <row r="227" spans="1:18" s="426" customFormat="1" x14ac:dyDescent="0.25">
      <c r="A227" s="433" t="s">
        <v>1220</v>
      </c>
      <c r="B227" s="690" t="s">
        <v>1117</v>
      </c>
      <c r="C227" s="690" t="s">
        <v>1118</v>
      </c>
      <c r="D227" s="690"/>
      <c r="E227" s="690"/>
      <c r="F227" s="690"/>
      <c r="G227" s="690"/>
      <c r="H227" s="690"/>
      <c r="I227" s="690"/>
      <c r="J227" s="690"/>
      <c r="K227" s="690"/>
      <c r="L227" s="690" t="s">
        <v>1118</v>
      </c>
      <c r="M227" s="690"/>
      <c r="N227" s="690"/>
      <c r="O227" s="690" t="s">
        <v>1118</v>
      </c>
      <c r="P227" s="690"/>
      <c r="Q227" s="690"/>
      <c r="R227" s="690"/>
    </row>
    <row r="228" spans="1:18" s="426" customFormat="1" x14ac:dyDescent="0.25">
      <c r="A228" s="428" t="s">
        <v>769</v>
      </c>
      <c r="B228" s="439" t="s">
        <v>1098</v>
      </c>
      <c r="C228" s="439" t="s">
        <v>1098</v>
      </c>
      <c r="D228" s="439" t="s">
        <v>1098</v>
      </c>
      <c r="E228" s="439" t="s">
        <v>924</v>
      </c>
      <c r="F228" s="439" t="s">
        <v>770</v>
      </c>
      <c r="G228" s="439" t="s">
        <v>1119</v>
      </c>
      <c r="H228" s="439" t="s">
        <v>1120</v>
      </c>
      <c r="I228" s="439" t="s">
        <v>924</v>
      </c>
      <c r="J228" s="439" t="s">
        <v>924</v>
      </c>
      <c r="K228" s="439" t="s">
        <v>1120</v>
      </c>
      <c r="L228" s="439">
        <v>1</v>
      </c>
      <c r="M228" s="439" t="s">
        <v>924</v>
      </c>
      <c r="N228" s="439" t="s">
        <v>926</v>
      </c>
      <c r="O228" s="439" t="s">
        <v>926</v>
      </c>
      <c r="P228" s="439" t="s">
        <v>926</v>
      </c>
      <c r="Q228" s="439" t="s">
        <v>926</v>
      </c>
      <c r="R228" s="439" t="s">
        <v>926</v>
      </c>
    </row>
    <row r="229" spans="1:18" s="426" customFormat="1" x14ac:dyDescent="0.25">
      <c r="A229" s="428" t="s">
        <v>771</v>
      </c>
      <c r="B229" s="664"/>
      <c r="C229" s="664"/>
      <c r="D229" s="617"/>
      <c r="E229" s="617"/>
      <c r="F229" s="617"/>
      <c r="G229" s="617"/>
      <c r="H229" s="617"/>
      <c r="I229" s="617"/>
      <c r="J229" s="617"/>
      <c r="K229" s="400"/>
      <c r="L229" s="617"/>
      <c r="M229" s="617"/>
      <c r="N229" s="617"/>
      <c r="O229" s="617"/>
      <c r="P229" s="617"/>
      <c r="Q229" s="617"/>
      <c r="R229" s="400"/>
    </row>
    <row r="230" spans="1:18" s="617" customFormat="1" x14ac:dyDescent="0.25">
      <c r="A230" s="691" t="s">
        <v>772</v>
      </c>
      <c r="F230" s="400"/>
      <c r="G230" s="400"/>
      <c r="H230" s="400"/>
      <c r="I230" s="400"/>
      <c r="J230" s="400"/>
      <c r="K230" s="400"/>
      <c r="L230" s="400"/>
      <c r="M230" s="400"/>
    </row>
    <row r="231" spans="1:18" s="423" customFormat="1" x14ac:dyDescent="0.25">
      <c r="A231" s="428" t="s">
        <v>780</v>
      </c>
      <c r="C231" s="617"/>
      <c r="D231" s="617"/>
      <c r="E231" s="617"/>
      <c r="F231" s="400"/>
      <c r="G231" s="400"/>
      <c r="H231" s="400"/>
      <c r="I231" s="400"/>
      <c r="J231" s="400"/>
      <c r="K231" s="400"/>
      <c r="L231" s="400"/>
      <c r="M231" s="400"/>
    </row>
    <row r="232" spans="1:18" s="712" customFormat="1" x14ac:dyDescent="0.25">
      <c r="A232" s="711"/>
      <c r="C232" s="659"/>
      <c r="D232" s="659"/>
      <c r="E232" s="659"/>
      <c r="F232" s="674"/>
      <c r="G232" s="674"/>
      <c r="H232" s="674"/>
      <c r="I232" s="674"/>
      <c r="J232" s="674"/>
      <c r="K232" s="674"/>
      <c r="L232" s="674"/>
      <c r="M232" s="674"/>
    </row>
    <row r="233" spans="1:18" x14ac:dyDescent="0.25">
      <c r="A233" s="679" t="s">
        <v>1121</v>
      </c>
      <c r="B233" s="423"/>
    </row>
    <row r="234" spans="1:18" s="426" customFormat="1" x14ac:dyDescent="0.25">
      <c r="A234" s="428" t="s">
        <v>739</v>
      </c>
      <c r="B234" s="710" t="s">
        <v>126</v>
      </c>
      <c r="C234" s="710" t="s">
        <v>1102</v>
      </c>
      <c r="D234" s="710" t="s">
        <v>1103</v>
      </c>
      <c r="E234" s="710" t="s">
        <v>1104</v>
      </c>
      <c r="F234" s="710" t="s">
        <v>1105</v>
      </c>
      <c r="G234" s="710" t="s">
        <v>1106</v>
      </c>
      <c r="H234" s="710" t="s">
        <v>1107</v>
      </c>
      <c r="I234" s="710" t="s">
        <v>1108</v>
      </c>
      <c r="J234" s="710" t="s">
        <v>1109</v>
      </c>
      <c r="K234" s="710" t="s">
        <v>419</v>
      </c>
      <c r="L234" s="710" t="s">
        <v>1110</v>
      </c>
      <c r="M234" s="710" t="s">
        <v>1111</v>
      </c>
      <c r="N234" s="710" t="s">
        <v>1112</v>
      </c>
      <c r="O234" s="710" t="s">
        <v>1113</v>
      </c>
      <c r="P234" s="710" t="s">
        <v>1114</v>
      </c>
      <c r="Q234" s="710" t="s">
        <v>1115</v>
      </c>
      <c r="R234" s="710" t="s">
        <v>1116</v>
      </c>
    </row>
    <row r="235" spans="1:18" s="426" customFormat="1" x14ac:dyDescent="0.25">
      <c r="A235" s="433" t="s">
        <v>1220</v>
      </c>
      <c r="B235" s="690" t="s">
        <v>1117</v>
      </c>
      <c r="C235" s="690" t="s">
        <v>1118</v>
      </c>
      <c r="D235" s="690"/>
      <c r="E235" s="690"/>
      <c r="F235" s="690"/>
      <c r="G235" s="690"/>
      <c r="H235" s="690"/>
      <c r="I235" s="690"/>
      <c r="J235" s="690"/>
      <c r="K235" s="690"/>
      <c r="L235" s="690" t="s">
        <v>1118</v>
      </c>
      <c r="M235" s="690"/>
      <c r="N235" s="690"/>
      <c r="O235" s="690" t="s">
        <v>1118</v>
      </c>
      <c r="P235" s="690"/>
      <c r="Q235" s="690"/>
      <c r="R235" s="690"/>
    </row>
    <row r="236" spans="1:18" s="426" customFormat="1" x14ac:dyDescent="0.25">
      <c r="A236" s="428" t="s">
        <v>769</v>
      </c>
      <c r="B236" s="439" t="s">
        <v>1098</v>
      </c>
      <c r="C236" s="439" t="s">
        <v>1098</v>
      </c>
      <c r="D236" s="439" t="s">
        <v>1098</v>
      </c>
      <c r="E236" s="439" t="s">
        <v>924</v>
      </c>
      <c r="F236" s="439" t="s">
        <v>770</v>
      </c>
      <c r="G236" s="439" t="s">
        <v>1119</v>
      </c>
      <c r="H236" s="439" t="s">
        <v>1120</v>
      </c>
      <c r="I236" s="439" t="s">
        <v>924</v>
      </c>
      <c r="J236" s="439" t="s">
        <v>924</v>
      </c>
      <c r="K236" s="439" t="s">
        <v>1120</v>
      </c>
      <c r="L236" s="439">
        <v>1</v>
      </c>
      <c r="M236" s="439" t="s">
        <v>924</v>
      </c>
      <c r="N236" s="439" t="s">
        <v>926</v>
      </c>
      <c r="O236" s="439" t="s">
        <v>926</v>
      </c>
      <c r="P236" s="439" t="s">
        <v>926</v>
      </c>
      <c r="Q236" s="439" t="s">
        <v>926</v>
      </c>
      <c r="R236" s="439" t="s">
        <v>926</v>
      </c>
    </row>
    <row r="237" spans="1:18" s="426" customFormat="1" x14ac:dyDescent="0.25">
      <c r="A237" s="428" t="s">
        <v>771</v>
      </c>
      <c r="B237" s="664"/>
      <c r="C237" s="664"/>
      <c r="D237" s="617"/>
      <c r="E237" s="617"/>
      <c r="F237" s="617"/>
      <c r="G237" s="617"/>
      <c r="H237" s="617"/>
      <c r="I237" s="617"/>
      <c r="J237" s="617"/>
      <c r="K237" s="400"/>
      <c r="L237" s="617"/>
      <c r="M237" s="617"/>
      <c r="N237" s="617"/>
      <c r="O237" s="617"/>
      <c r="P237" s="617"/>
      <c r="Q237" s="617"/>
      <c r="R237" s="400"/>
    </row>
    <row r="238" spans="1:18" s="617" customFormat="1" x14ac:dyDescent="0.25">
      <c r="A238" s="691" t="s">
        <v>772</v>
      </c>
      <c r="F238" s="400"/>
      <c r="G238" s="400"/>
      <c r="H238" s="400"/>
      <c r="I238" s="400"/>
      <c r="J238" s="400"/>
      <c r="K238" s="400"/>
      <c r="L238" s="400"/>
      <c r="M238" s="400"/>
    </row>
    <row r="239" spans="1:18" s="423" customFormat="1" x14ac:dyDescent="0.25">
      <c r="A239" s="428" t="s">
        <v>780</v>
      </c>
      <c r="C239" s="617"/>
      <c r="D239" s="617"/>
      <c r="E239" s="617"/>
      <c r="F239" s="400"/>
      <c r="G239" s="400"/>
      <c r="H239" s="400"/>
      <c r="I239" s="400"/>
      <c r="J239" s="400"/>
      <c r="K239" s="400"/>
      <c r="L239" s="400"/>
      <c r="M239" s="400"/>
    </row>
    <row r="240" spans="1:18" s="712" customFormat="1" x14ac:dyDescent="0.25">
      <c r="A240" s="711"/>
      <c r="C240" s="659"/>
      <c r="D240" s="659"/>
      <c r="E240" s="659"/>
      <c r="F240" s="674"/>
      <c r="G240" s="674"/>
      <c r="H240" s="674"/>
      <c r="I240" s="674"/>
      <c r="J240" s="674"/>
      <c r="K240" s="674"/>
      <c r="L240" s="674"/>
      <c r="M240" s="674"/>
    </row>
    <row r="241" spans="1:48" ht="15.75" thickBot="1" x14ac:dyDescent="0.3">
      <c r="A241" s="679" t="s">
        <v>1122</v>
      </c>
      <c r="G241" s="624"/>
    </row>
    <row r="242" spans="1:48" ht="71.25" thickBot="1" x14ac:dyDescent="0.3">
      <c r="A242" s="713" t="s">
        <v>1123</v>
      </c>
      <c r="B242" s="714" t="s">
        <v>1124</v>
      </c>
      <c r="C242" s="715">
        <v>40057</v>
      </c>
      <c r="D242" s="715">
        <v>40087</v>
      </c>
      <c r="E242" s="715">
        <v>40118</v>
      </c>
      <c r="F242" s="715">
        <v>40148</v>
      </c>
      <c r="G242" s="716" t="s">
        <v>1125</v>
      </c>
      <c r="H242" s="715">
        <v>40179</v>
      </c>
      <c r="I242" s="715">
        <v>40210</v>
      </c>
      <c r="J242" s="715">
        <v>40238</v>
      </c>
      <c r="K242" s="715">
        <v>40269</v>
      </c>
      <c r="L242" s="715">
        <v>40299</v>
      </c>
      <c r="M242" s="715">
        <v>40330</v>
      </c>
      <c r="N242" s="715">
        <v>40360</v>
      </c>
      <c r="O242" s="715">
        <v>40391</v>
      </c>
      <c r="P242" s="715">
        <v>40422</v>
      </c>
      <c r="Q242" s="715">
        <v>40452</v>
      </c>
      <c r="R242" s="715">
        <v>40483</v>
      </c>
      <c r="S242" s="715">
        <v>40513</v>
      </c>
      <c r="T242" s="716" t="s">
        <v>1126</v>
      </c>
      <c r="U242" s="715">
        <v>40544</v>
      </c>
      <c r="V242" s="715">
        <v>40575</v>
      </c>
      <c r="W242" s="715">
        <v>40603</v>
      </c>
      <c r="X242" s="715">
        <v>40634</v>
      </c>
      <c r="Y242" s="715">
        <v>40664</v>
      </c>
      <c r="Z242" s="715">
        <v>40695</v>
      </c>
      <c r="AA242" s="715">
        <v>40725</v>
      </c>
      <c r="AB242" s="715">
        <v>40756</v>
      </c>
      <c r="AC242" s="715">
        <v>40787</v>
      </c>
      <c r="AD242" s="715">
        <v>40817</v>
      </c>
      <c r="AE242" s="715"/>
      <c r="AF242" s="715">
        <v>40848</v>
      </c>
      <c r="AG242" s="715">
        <v>40878</v>
      </c>
      <c r="AH242" s="716" t="s">
        <v>1127</v>
      </c>
      <c r="AI242" s="715">
        <v>40909</v>
      </c>
      <c r="AJ242" s="715">
        <v>40940</v>
      </c>
      <c r="AK242" s="715">
        <v>40969</v>
      </c>
      <c r="AL242" s="715">
        <v>41000</v>
      </c>
      <c r="AM242" s="715">
        <v>41030</v>
      </c>
      <c r="AN242" s="715">
        <v>41061</v>
      </c>
      <c r="AO242" s="715">
        <v>41091</v>
      </c>
      <c r="AP242" s="715">
        <v>41122</v>
      </c>
      <c r="AQ242" s="715">
        <v>41153</v>
      </c>
      <c r="AR242" s="715">
        <v>41183</v>
      </c>
      <c r="AS242" s="715">
        <v>41214</v>
      </c>
      <c r="AT242" s="715">
        <v>41244</v>
      </c>
      <c r="AU242" s="716" t="s">
        <v>1128</v>
      </c>
      <c r="AV242" s="717" t="s">
        <v>1129</v>
      </c>
    </row>
    <row r="243" spans="1:48" x14ac:dyDescent="0.25">
      <c r="A243" s="718" t="s">
        <v>624</v>
      </c>
      <c r="B243" s="719" t="s">
        <v>623</v>
      </c>
      <c r="C243" s="720"/>
      <c r="D243" s="720"/>
      <c r="E243" s="720"/>
      <c r="F243" s="721"/>
      <c r="G243" s="722">
        <f t="shared" ref="G243:G275" si="0">SUM(C243:F243)</f>
        <v>0</v>
      </c>
      <c r="H243" s="720"/>
      <c r="I243" s="720"/>
      <c r="J243" s="720"/>
      <c r="K243" s="720"/>
      <c r="L243" s="720"/>
      <c r="M243" s="720"/>
      <c r="N243" s="720"/>
      <c r="O243" s="720"/>
      <c r="P243" s="720"/>
      <c r="Q243" s="720"/>
      <c r="R243" s="720"/>
      <c r="S243" s="720"/>
      <c r="T243" s="722">
        <f t="shared" ref="T243:T275" si="1">SUM(H243:S243)</f>
        <v>0</v>
      </c>
      <c r="U243" s="720"/>
      <c r="V243" s="720"/>
      <c r="W243" s="720"/>
      <c r="X243" s="720"/>
      <c r="Y243" s="720"/>
      <c r="Z243" s="720"/>
      <c r="AA243" s="720"/>
      <c r="AB243" s="720"/>
      <c r="AC243" s="720"/>
      <c r="AD243" s="720"/>
      <c r="AE243" s="720"/>
      <c r="AF243" s="720"/>
      <c r="AG243" s="720"/>
      <c r="AH243" s="722">
        <f t="shared" ref="AH243:AH275" si="2">SUM(U243:AG243)</f>
        <v>0</v>
      </c>
      <c r="AI243" s="720"/>
      <c r="AJ243" s="720"/>
      <c r="AK243" s="720"/>
      <c r="AL243" s="720"/>
      <c r="AM243" s="720"/>
      <c r="AN243" s="720"/>
      <c r="AO243" s="720"/>
      <c r="AP243" s="720"/>
      <c r="AQ243" s="720"/>
      <c r="AR243" s="720"/>
      <c r="AS243" s="720"/>
      <c r="AT243" s="720"/>
      <c r="AU243" s="722">
        <f t="shared" ref="AU243:AU275" si="3">SUM(AI243:AT243)</f>
        <v>0</v>
      </c>
      <c r="AV243" s="723">
        <f t="shared" ref="AV243:AV275" si="4">G243+T243+AH243+AU243</f>
        <v>0</v>
      </c>
    </row>
    <row r="244" spans="1:48" x14ac:dyDescent="0.25">
      <c r="A244" s="718" t="s">
        <v>624</v>
      </c>
      <c r="B244" s="719" t="s">
        <v>627</v>
      </c>
      <c r="C244" s="724"/>
      <c r="D244" s="724"/>
      <c r="E244" s="724"/>
      <c r="F244" s="725"/>
      <c r="G244" s="726">
        <f t="shared" si="0"/>
        <v>0</v>
      </c>
      <c r="H244" s="724"/>
      <c r="I244" s="724"/>
      <c r="J244" s="724"/>
      <c r="K244" s="724"/>
      <c r="L244" s="724"/>
      <c r="M244" s="724"/>
      <c r="N244" s="724"/>
      <c r="O244" s="724"/>
      <c r="P244" s="724"/>
      <c r="Q244" s="724"/>
      <c r="R244" s="724"/>
      <c r="S244" s="724"/>
      <c r="T244" s="726">
        <f t="shared" si="1"/>
        <v>0</v>
      </c>
      <c r="U244" s="724"/>
      <c r="V244" s="724"/>
      <c r="W244" s="724"/>
      <c r="X244" s="724"/>
      <c r="Y244" s="724"/>
      <c r="Z244" s="724"/>
      <c r="AA244" s="724"/>
      <c r="AB244" s="724"/>
      <c r="AC244" s="724"/>
      <c r="AD244" s="724"/>
      <c r="AE244" s="724"/>
      <c r="AF244" s="724"/>
      <c r="AG244" s="724"/>
      <c r="AH244" s="726">
        <f t="shared" si="2"/>
        <v>0</v>
      </c>
      <c r="AI244" s="724"/>
      <c r="AJ244" s="724"/>
      <c r="AK244" s="724"/>
      <c r="AL244" s="724"/>
      <c r="AM244" s="724"/>
      <c r="AN244" s="724"/>
      <c r="AO244" s="724"/>
      <c r="AP244" s="724"/>
      <c r="AQ244" s="724"/>
      <c r="AR244" s="724"/>
      <c r="AS244" s="724"/>
      <c r="AT244" s="724"/>
      <c r="AU244" s="726">
        <f t="shared" si="3"/>
        <v>0</v>
      </c>
      <c r="AV244" s="723">
        <f t="shared" si="4"/>
        <v>0</v>
      </c>
    </row>
    <row r="245" spans="1:48" x14ac:dyDescent="0.25">
      <c r="A245" s="718" t="s">
        <v>624</v>
      </c>
      <c r="B245" s="719" t="s">
        <v>630</v>
      </c>
      <c r="C245" s="724"/>
      <c r="D245" s="724"/>
      <c r="E245" s="724"/>
      <c r="F245" s="725"/>
      <c r="G245" s="726">
        <f t="shared" si="0"/>
        <v>0</v>
      </c>
      <c r="H245" s="724"/>
      <c r="I245" s="724"/>
      <c r="J245" s="724"/>
      <c r="K245" s="724"/>
      <c r="L245" s="724"/>
      <c r="M245" s="724"/>
      <c r="N245" s="724"/>
      <c r="O245" s="724"/>
      <c r="P245" s="724"/>
      <c r="Q245" s="724"/>
      <c r="R245" s="724"/>
      <c r="S245" s="724"/>
      <c r="T245" s="726">
        <f t="shared" si="1"/>
        <v>0</v>
      </c>
      <c r="U245" s="724"/>
      <c r="V245" s="724"/>
      <c r="W245" s="724"/>
      <c r="X245" s="724"/>
      <c r="Y245" s="724"/>
      <c r="Z245" s="724"/>
      <c r="AA245" s="724"/>
      <c r="AB245" s="724"/>
      <c r="AC245" s="724"/>
      <c r="AD245" s="724"/>
      <c r="AE245" s="724"/>
      <c r="AF245" s="724"/>
      <c r="AG245" s="724"/>
      <c r="AH245" s="726">
        <f t="shared" si="2"/>
        <v>0</v>
      </c>
      <c r="AI245" s="724"/>
      <c r="AJ245" s="724"/>
      <c r="AK245" s="724"/>
      <c r="AL245" s="724"/>
      <c r="AM245" s="724"/>
      <c r="AN245" s="724"/>
      <c r="AO245" s="724"/>
      <c r="AP245" s="724"/>
      <c r="AQ245" s="724"/>
      <c r="AR245" s="724"/>
      <c r="AS245" s="724"/>
      <c r="AT245" s="724"/>
      <c r="AU245" s="726">
        <f t="shared" si="3"/>
        <v>0</v>
      </c>
      <c r="AV245" s="723">
        <f t="shared" si="4"/>
        <v>0</v>
      </c>
    </row>
    <row r="246" spans="1:48" x14ac:dyDescent="0.25">
      <c r="A246" s="727" t="s">
        <v>624</v>
      </c>
      <c r="B246" s="719" t="s">
        <v>632</v>
      </c>
      <c r="C246" s="724"/>
      <c r="D246" s="724"/>
      <c r="E246" s="724"/>
      <c r="F246" s="725"/>
      <c r="G246" s="726">
        <f t="shared" si="0"/>
        <v>0</v>
      </c>
      <c r="H246" s="724"/>
      <c r="I246" s="724"/>
      <c r="J246" s="724"/>
      <c r="K246" s="724"/>
      <c r="L246" s="724"/>
      <c r="M246" s="724"/>
      <c r="N246" s="724"/>
      <c r="O246" s="724"/>
      <c r="P246" s="724"/>
      <c r="Q246" s="724"/>
      <c r="R246" s="724"/>
      <c r="S246" s="724"/>
      <c r="T246" s="726">
        <f t="shared" si="1"/>
        <v>0</v>
      </c>
      <c r="U246" s="724"/>
      <c r="V246" s="724"/>
      <c r="W246" s="724"/>
      <c r="X246" s="724"/>
      <c r="Y246" s="724"/>
      <c r="Z246" s="724"/>
      <c r="AA246" s="724"/>
      <c r="AB246" s="724"/>
      <c r="AC246" s="724"/>
      <c r="AD246" s="724"/>
      <c r="AE246" s="724"/>
      <c r="AF246" s="724"/>
      <c r="AG246" s="724"/>
      <c r="AH246" s="726">
        <f t="shared" si="2"/>
        <v>0</v>
      </c>
      <c r="AI246" s="724"/>
      <c r="AJ246" s="724"/>
      <c r="AK246" s="724"/>
      <c r="AL246" s="724"/>
      <c r="AM246" s="724"/>
      <c r="AN246" s="724"/>
      <c r="AO246" s="724"/>
      <c r="AP246" s="724"/>
      <c r="AQ246" s="724"/>
      <c r="AR246" s="724"/>
      <c r="AS246" s="724"/>
      <c r="AT246" s="724"/>
      <c r="AU246" s="726">
        <f t="shared" si="3"/>
        <v>0</v>
      </c>
      <c r="AV246" s="723">
        <f t="shared" si="4"/>
        <v>0</v>
      </c>
    </row>
    <row r="247" spans="1:48" x14ac:dyDescent="0.25">
      <c r="A247" s="718" t="s">
        <v>624</v>
      </c>
      <c r="B247" s="719" t="s">
        <v>634</v>
      </c>
      <c r="C247" s="724"/>
      <c r="D247" s="724"/>
      <c r="E247" s="724"/>
      <c r="F247" s="725"/>
      <c r="G247" s="726">
        <f t="shared" si="0"/>
        <v>0</v>
      </c>
      <c r="H247" s="724"/>
      <c r="I247" s="724"/>
      <c r="J247" s="724"/>
      <c r="K247" s="724"/>
      <c r="L247" s="724"/>
      <c r="M247" s="724"/>
      <c r="N247" s="724"/>
      <c r="O247" s="724"/>
      <c r="P247" s="724"/>
      <c r="Q247" s="724"/>
      <c r="R247" s="724"/>
      <c r="S247" s="724"/>
      <c r="T247" s="726">
        <f t="shared" si="1"/>
        <v>0</v>
      </c>
      <c r="U247" s="724"/>
      <c r="V247" s="724"/>
      <c r="W247" s="724"/>
      <c r="X247" s="724"/>
      <c r="Y247" s="724"/>
      <c r="Z247" s="724"/>
      <c r="AA247" s="724"/>
      <c r="AB247" s="724"/>
      <c r="AC247" s="724"/>
      <c r="AD247" s="724"/>
      <c r="AE247" s="724"/>
      <c r="AF247" s="724"/>
      <c r="AG247" s="724"/>
      <c r="AH247" s="726">
        <f t="shared" si="2"/>
        <v>0</v>
      </c>
      <c r="AI247" s="724"/>
      <c r="AJ247" s="724"/>
      <c r="AK247" s="724"/>
      <c r="AL247" s="724"/>
      <c r="AM247" s="724"/>
      <c r="AN247" s="724"/>
      <c r="AO247" s="724"/>
      <c r="AP247" s="724"/>
      <c r="AQ247" s="724"/>
      <c r="AR247" s="724"/>
      <c r="AS247" s="724"/>
      <c r="AT247" s="724"/>
      <c r="AU247" s="726">
        <f t="shared" si="3"/>
        <v>0</v>
      </c>
      <c r="AV247" s="723">
        <f t="shared" si="4"/>
        <v>0</v>
      </c>
    </row>
    <row r="248" spans="1:48" x14ac:dyDescent="0.25">
      <c r="A248" s="718" t="s">
        <v>624</v>
      </c>
      <c r="B248" s="719" t="s">
        <v>637</v>
      </c>
      <c r="C248" s="724"/>
      <c r="D248" s="724"/>
      <c r="E248" s="724"/>
      <c r="F248" s="725"/>
      <c r="G248" s="726">
        <f t="shared" si="0"/>
        <v>0</v>
      </c>
      <c r="H248" s="724"/>
      <c r="I248" s="724"/>
      <c r="J248" s="724"/>
      <c r="K248" s="724"/>
      <c r="L248" s="724"/>
      <c r="M248" s="724"/>
      <c r="N248" s="724"/>
      <c r="O248" s="724"/>
      <c r="P248" s="724"/>
      <c r="Q248" s="724"/>
      <c r="R248" s="724"/>
      <c r="S248" s="724"/>
      <c r="T248" s="726">
        <f t="shared" si="1"/>
        <v>0</v>
      </c>
      <c r="U248" s="724"/>
      <c r="V248" s="724"/>
      <c r="W248" s="724"/>
      <c r="X248" s="724"/>
      <c r="Y248" s="724"/>
      <c r="Z248" s="724"/>
      <c r="AA248" s="724"/>
      <c r="AB248" s="724"/>
      <c r="AC248" s="724"/>
      <c r="AD248" s="724"/>
      <c r="AE248" s="724"/>
      <c r="AF248" s="724"/>
      <c r="AG248" s="724"/>
      <c r="AH248" s="726">
        <f t="shared" si="2"/>
        <v>0</v>
      </c>
      <c r="AI248" s="724"/>
      <c r="AJ248" s="724"/>
      <c r="AK248" s="724"/>
      <c r="AL248" s="724"/>
      <c r="AM248" s="724"/>
      <c r="AN248" s="724"/>
      <c r="AO248" s="724"/>
      <c r="AP248" s="724"/>
      <c r="AQ248" s="724"/>
      <c r="AR248" s="724"/>
      <c r="AS248" s="724"/>
      <c r="AT248" s="724"/>
      <c r="AU248" s="726">
        <f t="shared" si="3"/>
        <v>0</v>
      </c>
      <c r="AV248" s="723">
        <f t="shared" si="4"/>
        <v>0</v>
      </c>
    </row>
    <row r="249" spans="1:48" x14ac:dyDescent="0.25">
      <c r="A249" s="718" t="s">
        <v>624</v>
      </c>
      <c r="B249" s="719" t="s">
        <v>640</v>
      </c>
      <c r="C249" s="724"/>
      <c r="D249" s="724"/>
      <c r="E249" s="724"/>
      <c r="F249" s="725"/>
      <c r="G249" s="726">
        <f t="shared" si="0"/>
        <v>0</v>
      </c>
      <c r="H249" s="724"/>
      <c r="I249" s="724"/>
      <c r="J249" s="724"/>
      <c r="K249" s="724"/>
      <c r="L249" s="724"/>
      <c r="M249" s="724"/>
      <c r="N249" s="724"/>
      <c r="O249" s="724"/>
      <c r="P249" s="724"/>
      <c r="Q249" s="724"/>
      <c r="R249" s="724"/>
      <c r="S249" s="724"/>
      <c r="T249" s="726">
        <f t="shared" si="1"/>
        <v>0</v>
      </c>
      <c r="U249" s="724"/>
      <c r="V249" s="724"/>
      <c r="W249" s="724"/>
      <c r="X249" s="724"/>
      <c r="Y249" s="724"/>
      <c r="Z249" s="724"/>
      <c r="AA249" s="724"/>
      <c r="AB249" s="724"/>
      <c r="AC249" s="724"/>
      <c r="AD249" s="724"/>
      <c r="AE249" s="724"/>
      <c r="AF249" s="724"/>
      <c r="AG249" s="724"/>
      <c r="AH249" s="726">
        <f t="shared" si="2"/>
        <v>0</v>
      </c>
      <c r="AI249" s="724"/>
      <c r="AJ249" s="724"/>
      <c r="AK249" s="724"/>
      <c r="AL249" s="724"/>
      <c r="AM249" s="724"/>
      <c r="AN249" s="724"/>
      <c r="AO249" s="724"/>
      <c r="AP249" s="724"/>
      <c r="AQ249" s="724"/>
      <c r="AR249" s="724"/>
      <c r="AS249" s="724"/>
      <c r="AT249" s="724"/>
      <c r="AU249" s="726">
        <f t="shared" si="3"/>
        <v>0</v>
      </c>
      <c r="AV249" s="723">
        <f t="shared" si="4"/>
        <v>0</v>
      </c>
    </row>
    <row r="250" spans="1:48" x14ac:dyDescent="0.25">
      <c r="A250" s="718" t="s">
        <v>624</v>
      </c>
      <c r="B250" s="719" t="s">
        <v>635</v>
      </c>
      <c r="C250" s="724"/>
      <c r="D250" s="724"/>
      <c r="E250" s="724"/>
      <c r="F250" s="725"/>
      <c r="G250" s="726">
        <f t="shared" si="0"/>
        <v>0</v>
      </c>
      <c r="H250" s="724"/>
      <c r="I250" s="724"/>
      <c r="J250" s="724"/>
      <c r="K250" s="724"/>
      <c r="L250" s="724"/>
      <c r="M250" s="724"/>
      <c r="N250" s="724"/>
      <c r="O250" s="724"/>
      <c r="P250" s="724"/>
      <c r="Q250" s="724"/>
      <c r="R250" s="724"/>
      <c r="S250" s="724"/>
      <c r="T250" s="726">
        <f t="shared" si="1"/>
        <v>0</v>
      </c>
      <c r="U250" s="724"/>
      <c r="V250" s="724"/>
      <c r="W250" s="724"/>
      <c r="X250" s="724"/>
      <c r="Y250" s="724"/>
      <c r="Z250" s="724"/>
      <c r="AA250" s="724"/>
      <c r="AB250" s="724"/>
      <c r="AC250" s="724"/>
      <c r="AD250" s="724"/>
      <c r="AE250" s="724"/>
      <c r="AF250" s="724"/>
      <c r="AG250" s="724"/>
      <c r="AH250" s="726">
        <f t="shared" si="2"/>
        <v>0</v>
      </c>
      <c r="AI250" s="724"/>
      <c r="AJ250" s="724"/>
      <c r="AK250" s="724"/>
      <c r="AL250" s="724"/>
      <c r="AM250" s="724"/>
      <c r="AN250" s="724"/>
      <c r="AO250" s="724"/>
      <c r="AP250" s="724"/>
      <c r="AQ250" s="724"/>
      <c r="AR250" s="724"/>
      <c r="AS250" s="724"/>
      <c r="AT250" s="724"/>
      <c r="AU250" s="726">
        <f t="shared" si="3"/>
        <v>0</v>
      </c>
      <c r="AV250" s="723">
        <f t="shared" si="4"/>
        <v>0</v>
      </c>
    </row>
    <row r="251" spans="1:48" x14ac:dyDescent="0.25">
      <c r="A251" s="718" t="s">
        <v>624</v>
      </c>
      <c r="B251" s="719" t="s">
        <v>645</v>
      </c>
      <c r="C251" s="724"/>
      <c r="D251" s="724"/>
      <c r="E251" s="724"/>
      <c r="F251" s="725"/>
      <c r="G251" s="726">
        <f t="shared" si="0"/>
        <v>0</v>
      </c>
      <c r="H251" s="724"/>
      <c r="I251" s="724"/>
      <c r="J251" s="724"/>
      <c r="K251" s="724"/>
      <c r="L251" s="724"/>
      <c r="M251" s="724"/>
      <c r="N251" s="724"/>
      <c r="O251" s="724"/>
      <c r="P251" s="724"/>
      <c r="Q251" s="724"/>
      <c r="R251" s="724"/>
      <c r="S251" s="724"/>
      <c r="T251" s="726">
        <f t="shared" si="1"/>
        <v>0</v>
      </c>
      <c r="U251" s="724"/>
      <c r="V251" s="724"/>
      <c r="W251" s="724"/>
      <c r="X251" s="724"/>
      <c r="Y251" s="724"/>
      <c r="Z251" s="724"/>
      <c r="AA251" s="724"/>
      <c r="AB251" s="724"/>
      <c r="AC251" s="724"/>
      <c r="AD251" s="724"/>
      <c r="AE251" s="724"/>
      <c r="AF251" s="724"/>
      <c r="AG251" s="724"/>
      <c r="AH251" s="726">
        <f t="shared" si="2"/>
        <v>0</v>
      </c>
      <c r="AI251" s="724"/>
      <c r="AJ251" s="724"/>
      <c r="AK251" s="724"/>
      <c r="AL251" s="724"/>
      <c r="AM251" s="724"/>
      <c r="AN251" s="724"/>
      <c r="AO251" s="724"/>
      <c r="AP251" s="724"/>
      <c r="AQ251" s="724"/>
      <c r="AR251" s="724"/>
      <c r="AS251" s="724"/>
      <c r="AT251" s="724"/>
      <c r="AU251" s="726">
        <f t="shared" si="3"/>
        <v>0</v>
      </c>
      <c r="AV251" s="723">
        <f t="shared" si="4"/>
        <v>0</v>
      </c>
    </row>
    <row r="252" spans="1:48" x14ac:dyDescent="0.25">
      <c r="A252" s="718" t="s">
        <v>624</v>
      </c>
      <c r="B252" s="719" t="s">
        <v>647</v>
      </c>
      <c r="C252" s="724"/>
      <c r="D252" s="724"/>
      <c r="E252" s="724"/>
      <c r="F252" s="725"/>
      <c r="G252" s="726">
        <f t="shared" si="0"/>
        <v>0</v>
      </c>
      <c r="H252" s="724"/>
      <c r="I252" s="724"/>
      <c r="J252" s="724"/>
      <c r="K252" s="724"/>
      <c r="L252" s="724"/>
      <c r="M252" s="724"/>
      <c r="N252" s="724"/>
      <c r="O252" s="724"/>
      <c r="P252" s="724"/>
      <c r="Q252" s="724"/>
      <c r="R252" s="724"/>
      <c r="S252" s="724"/>
      <c r="T252" s="726">
        <f t="shared" si="1"/>
        <v>0</v>
      </c>
      <c r="U252" s="724"/>
      <c r="V252" s="724"/>
      <c r="W252" s="724"/>
      <c r="X252" s="724"/>
      <c r="Y252" s="724"/>
      <c r="Z252" s="724"/>
      <c r="AA252" s="724"/>
      <c r="AB252" s="724"/>
      <c r="AC252" s="724"/>
      <c r="AD252" s="724"/>
      <c r="AE252" s="724"/>
      <c r="AF252" s="724"/>
      <c r="AG252" s="724"/>
      <c r="AH252" s="726">
        <f t="shared" si="2"/>
        <v>0</v>
      </c>
      <c r="AI252" s="724"/>
      <c r="AJ252" s="724"/>
      <c r="AK252" s="724"/>
      <c r="AL252" s="724"/>
      <c r="AM252" s="724"/>
      <c r="AN252" s="724"/>
      <c r="AO252" s="724"/>
      <c r="AP252" s="724"/>
      <c r="AQ252" s="724"/>
      <c r="AR252" s="724"/>
      <c r="AS252" s="724"/>
      <c r="AT252" s="724"/>
      <c r="AU252" s="726">
        <f t="shared" si="3"/>
        <v>0</v>
      </c>
      <c r="AV252" s="723">
        <f t="shared" si="4"/>
        <v>0</v>
      </c>
    </row>
    <row r="253" spans="1:48" x14ac:dyDescent="0.25">
      <c r="A253" s="718" t="s">
        <v>624</v>
      </c>
      <c r="B253" s="719" t="s">
        <v>649</v>
      </c>
      <c r="C253" s="724"/>
      <c r="D253" s="724"/>
      <c r="E253" s="724"/>
      <c r="F253" s="725"/>
      <c r="G253" s="726">
        <f t="shared" si="0"/>
        <v>0</v>
      </c>
      <c r="H253" s="724"/>
      <c r="I253" s="724"/>
      <c r="J253" s="724"/>
      <c r="K253" s="724"/>
      <c r="L253" s="724"/>
      <c r="M253" s="724"/>
      <c r="N253" s="724"/>
      <c r="O253" s="724"/>
      <c r="P253" s="724"/>
      <c r="Q253" s="724"/>
      <c r="R253" s="724"/>
      <c r="S253" s="724"/>
      <c r="T253" s="726">
        <f t="shared" si="1"/>
        <v>0</v>
      </c>
      <c r="U253" s="724"/>
      <c r="V253" s="724"/>
      <c r="W253" s="724"/>
      <c r="X253" s="724"/>
      <c r="Y253" s="724"/>
      <c r="Z253" s="724"/>
      <c r="AA253" s="724"/>
      <c r="AB253" s="724"/>
      <c r="AC253" s="724"/>
      <c r="AD253" s="724"/>
      <c r="AE253" s="724"/>
      <c r="AF253" s="724"/>
      <c r="AG253" s="724"/>
      <c r="AH253" s="726">
        <f t="shared" si="2"/>
        <v>0</v>
      </c>
      <c r="AI253" s="724"/>
      <c r="AJ253" s="724"/>
      <c r="AK253" s="724"/>
      <c r="AL253" s="724"/>
      <c r="AM253" s="724"/>
      <c r="AN253" s="724"/>
      <c r="AO253" s="724"/>
      <c r="AP253" s="724"/>
      <c r="AQ253" s="724"/>
      <c r="AR253" s="724"/>
      <c r="AS253" s="724"/>
      <c r="AT253" s="724"/>
      <c r="AU253" s="726">
        <f t="shared" si="3"/>
        <v>0</v>
      </c>
      <c r="AV253" s="723">
        <f t="shared" si="4"/>
        <v>0</v>
      </c>
    </row>
    <row r="254" spans="1:48" x14ac:dyDescent="0.25">
      <c r="A254" s="718" t="s">
        <v>624</v>
      </c>
      <c r="B254" s="719" t="s">
        <v>651</v>
      </c>
      <c r="C254" s="724"/>
      <c r="D254" s="724"/>
      <c r="E254" s="724"/>
      <c r="F254" s="725"/>
      <c r="G254" s="726">
        <f t="shared" si="0"/>
        <v>0</v>
      </c>
      <c r="H254" s="724"/>
      <c r="I254" s="724"/>
      <c r="J254" s="724"/>
      <c r="K254" s="724"/>
      <c r="L254" s="724"/>
      <c r="M254" s="724"/>
      <c r="N254" s="724"/>
      <c r="O254" s="724"/>
      <c r="P254" s="724"/>
      <c r="Q254" s="724"/>
      <c r="R254" s="724"/>
      <c r="S254" s="724"/>
      <c r="T254" s="726">
        <f t="shared" si="1"/>
        <v>0</v>
      </c>
      <c r="U254" s="724"/>
      <c r="V254" s="724"/>
      <c r="W254" s="724"/>
      <c r="X254" s="724"/>
      <c r="Y254" s="724"/>
      <c r="Z254" s="724"/>
      <c r="AA254" s="724"/>
      <c r="AB254" s="724"/>
      <c r="AC254" s="724"/>
      <c r="AD254" s="724"/>
      <c r="AE254" s="724"/>
      <c r="AF254" s="724"/>
      <c r="AG254" s="724"/>
      <c r="AH254" s="726">
        <f t="shared" si="2"/>
        <v>0</v>
      </c>
      <c r="AI254" s="724"/>
      <c r="AJ254" s="724"/>
      <c r="AK254" s="724"/>
      <c r="AL254" s="724"/>
      <c r="AM254" s="724"/>
      <c r="AN254" s="724"/>
      <c r="AO254" s="724"/>
      <c r="AP254" s="724"/>
      <c r="AQ254" s="724"/>
      <c r="AR254" s="724"/>
      <c r="AS254" s="724"/>
      <c r="AT254" s="724"/>
      <c r="AU254" s="726">
        <f t="shared" si="3"/>
        <v>0</v>
      </c>
      <c r="AV254" s="723">
        <f t="shared" si="4"/>
        <v>0</v>
      </c>
    </row>
    <row r="255" spans="1:48" x14ac:dyDescent="0.25">
      <c r="A255" s="718" t="s">
        <v>654</v>
      </c>
      <c r="B255" s="719" t="s">
        <v>653</v>
      </c>
      <c r="C255" s="724"/>
      <c r="D255" s="724"/>
      <c r="E255" s="724"/>
      <c r="F255" s="725"/>
      <c r="G255" s="726">
        <f t="shared" si="0"/>
        <v>0</v>
      </c>
      <c r="H255" s="724"/>
      <c r="I255" s="724"/>
      <c r="J255" s="724"/>
      <c r="K255" s="724"/>
      <c r="L255" s="724"/>
      <c r="M255" s="724"/>
      <c r="N255" s="724"/>
      <c r="O255" s="724"/>
      <c r="P255" s="724"/>
      <c r="Q255" s="724"/>
      <c r="R255" s="724"/>
      <c r="S255" s="724"/>
      <c r="T255" s="726">
        <f t="shared" si="1"/>
        <v>0</v>
      </c>
      <c r="U255" s="724"/>
      <c r="V255" s="724"/>
      <c r="W255" s="724"/>
      <c r="X255" s="724"/>
      <c r="Y255" s="724"/>
      <c r="Z255" s="724"/>
      <c r="AA255" s="724"/>
      <c r="AB255" s="724"/>
      <c r="AC255" s="724"/>
      <c r="AD255" s="724"/>
      <c r="AE255" s="724"/>
      <c r="AF255" s="724"/>
      <c r="AG255" s="724"/>
      <c r="AH255" s="726">
        <f t="shared" si="2"/>
        <v>0</v>
      </c>
      <c r="AI255" s="724"/>
      <c r="AJ255" s="724"/>
      <c r="AK255" s="724"/>
      <c r="AL255" s="724"/>
      <c r="AM255" s="724"/>
      <c r="AN255" s="724"/>
      <c r="AO255" s="724"/>
      <c r="AP255" s="724"/>
      <c r="AQ255" s="724"/>
      <c r="AR255" s="724"/>
      <c r="AS255" s="724"/>
      <c r="AT255" s="724"/>
      <c r="AU255" s="726">
        <f t="shared" si="3"/>
        <v>0</v>
      </c>
      <c r="AV255" s="723">
        <f t="shared" si="4"/>
        <v>0</v>
      </c>
    </row>
    <row r="256" spans="1:48" x14ac:dyDescent="0.25">
      <c r="A256" s="718" t="s">
        <v>654</v>
      </c>
      <c r="B256" s="719" t="s">
        <v>657</v>
      </c>
      <c r="C256" s="724"/>
      <c r="D256" s="724"/>
      <c r="E256" s="724"/>
      <c r="F256" s="725"/>
      <c r="G256" s="726">
        <f t="shared" si="0"/>
        <v>0</v>
      </c>
      <c r="H256" s="724"/>
      <c r="I256" s="724"/>
      <c r="J256" s="724"/>
      <c r="K256" s="724"/>
      <c r="L256" s="724"/>
      <c r="M256" s="724"/>
      <c r="N256" s="724"/>
      <c r="O256" s="724"/>
      <c r="P256" s="724"/>
      <c r="Q256" s="724"/>
      <c r="R256" s="724"/>
      <c r="S256" s="724"/>
      <c r="T256" s="726">
        <f t="shared" si="1"/>
        <v>0</v>
      </c>
      <c r="U256" s="724"/>
      <c r="V256" s="724"/>
      <c r="W256" s="724"/>
      <c r="X256" s="724"/>
      <c r="Y256" s="724"/>
      <c r="Z256" s="724"/>
      <c r="AA256" s="724"/>
      <c r="AB256" s="724"/>
      <c r="AC256" s="724"/>
      <c r="AD256" s="724"/>
      <c r="AE256" s="724"/>
      <c r="AF256" s="724"/>
      <c r="AG256" s="724"/>
      <c r="AH256" s="726">
        <f t="shared" si="2"/>
        <v>0</v>
      </c>
      <c r="AI256" s="724"/>
      <c r="AJ256" s="724"/>
      <c r="AK256" s="724"/>
      <c r="AL256" s="724"/>
      <c r="AM256" s="724"/>
      <c r="AN256" s="724"/>
      <c r="AO256" s="724"/>
      <c r="AP256" s="724"/>
      <c r="AQ256" s="724"/>
      <c r="AR256" s="724"/>
      <c r="AS256" s="724"/>
      <c r="AT256" s="724"/>
      <c r="AU256" s="726">
        <f t="shared" si="3"/>
        <v>0</v>
      </c>
      <c r="AV256" s="723">
        <f t="shared" si="4"/>
        <v>0</v>
      </c>
    </row>
    <row r="257" spans="1:48" x14ac:dyDescent="0.25">
      <c r="A257" s="727" t="s">
        <v>660</v>
      </c>
      <c r="B257" s="719" t="s">
        <v>655</v>
      </c>
      <c r="C257" s="724"/>
      <c r="D257" s="724"/>
      <c r="E257" s="724"/>
      <c r="F257" s="725"/>
      <c r="G257" s="726">
        <f t="shared" si="0"/>
        <v>0</v>
      </c>
      <c r="H257" s="724"/>
      <c r="I257" s="724"/>
      <c r="J257" s="724"/>
      <c r="K257" s="724"/>
      <c r="L257" s="724"/>
      <c r="M257" s="724"/>
      <c r="N257" s="724"/>
      <c r="O257" s="724"/>
      <c r="P257" s="724"/>
      <c r="Q257" s="724"/>
      <c r="R257" s="724"/>
      <c r="S257" s="724"/>
      <c r="T257" s="726">
        <f t="shared" si="1"/>
        <v>0</v>
      </c>
      <c r="U257" s="724"/>
      <c r="V257" s="724"/>
      <c r="W257" s="724"/>
      <c r="X257" s="724"/>
      <c r="Y257" s="724"/>
      <c r="Z257" s="724"/>
      <c r="AA257" s="724"/>
      <c r="AB257" s="724"/>
      <c r="AC257" s="724"/>
      <c r="AD257" s="724"/>
      <c r="AE257" s="724"/>
      <c r="AF257" s="724"/>
      <c r="AG257" s="724"/>
      <c r="AH257" s="726">
        <f t="shared" si="2"/>
        <v>0</v>
      </c>
      <c r="AI257" s="724"/>
      <c r="AJ257" s="724"/>
      <c r="AK257" s="724"/>
      <c r="AL257" s="724"/>
      <c r="AM257" s="724"/>
      <c r="AN257" s="724"/>
      <c r="AO257" s="724"/>
      <c r="AP257" s="724"/>
      <c r="AQ257" s="724"/>
      <c r="AR257" s="724"/>
      <c r="AS257" s="724"/>
      <c r="AT257" s="724"/>
      <c r="AU257" s="726">
        <f t="shared" si="3"/>
        <v>0</v>
      </c>
      <c r="AV257" s="723">
        <f t="shared" si="4"/>
        <v>0</v>
      </c>
    </row>
    <row r="258" spans="1:48" x14ac:dyDescent="0.25">
      <c r="A258" s="727" t="s">
        <v>660</v>
      </c>
      <c r="B258" s="719" t="s">
        <v>641</v>
      </c>
      <c r="C258" s="724"/>
      <c r="D258" s="724"/>
      <c r="E258" s="724"/>
      <c r="F258" s="725"/>
      <c r="G258" s="726">
        <f t="shared" si="0"/>
        <v>0</v>
      </c>
      <c r="H258" s="724"/>
      <c r="I258" s="724"/>
      <c r="J258" s="724"/>
      <c r="K258" s="724"/>
      <c r="L258" s="724"/>
      <c r="M258" s="724"/>
      <c r="N258" s="724"/>
      <c r="O258" s="724"/>
      <c r="P258" s="724"/>
      <c r="Q258" s="724"/>
      <c r="R258" s="724"/>
      <c r="S258" s="724"/>
      <c r="T258" s="726">
        <f t="shared" si="1"/>
        <v>0</v>
      </c>
      <c r="U258" s="724"/>
      <c r="V258" s="724"/>
      <c r="W258" s="724"/>
      <c r="X258" s="724"/>
      <c r="Y258" s="724"/>
      <c r="Z258" s="724"/>
      <c r="AA258" s="724"/>
      <c r="AB258" s="724"/>
      <c r="AC258" s="724"/>
      <c r="AD258" s="724"/>
      <c r="AE258" s="724"/>
      <c r="AF258" s="724"/>
      <c r="AG258" s="724"/>
      <c r="AH258" s="726">
        <f t="shared" si="2"/>
        <v>0</v>
      </c>
      <c r="AI258" s="724"/>
      <c r="AJ258" s="724"/>
      <c r="AK258" s="724"/>
      <c r="AL258" s="724"/>
      <c r="AM258" s="724"/>
      <c r="AN258" s="724"/>
      <c r="AO258" s="724"/>
      <c r="AP258" s="724"/>
      <c r="AQ258" s="724"/>
      <c r="AR258" s="724"/>
      <c r="AS258" s="724"/>
      <c r="AT258" s="724"/>
      <c r="AU258" s="726">
        <f t="shared" si="3"/>
        <v>0</v>
      </c>
      <c r="AV258" s="723">
        <f t="shared" si="4"/>
        <v>0</v>
      </c>
    </row>
    <row r="259" spans="1:48" x14ac:dyDescent="0.25">
      <c r="A259" s="727" t="s">
        <v>660</v>
      </c>
      <c r="B259" s="719" t="s">
        <v>664</v>
      </c>
      <c r="C259" s="724"/>
      <c r="D259" s="724"/>
      <c r="E259" s="724"/>
      <c r="F259" s="725"/>
      <c r="G259" s="726">
        <f t="shared" si="0"/>
        <v>0</v>
      </c>
      <c r="H259" s="724"/>
      <c r="I259" s="724"/>
      <c r="J259" s="724"/>
      <c r="K259" s="724"/>
      <c r="L259" s="724"/>
      <c r="M259" s="724"/>
      <c r="N259" s="724"/>
      <c r="O259" s="724"/>
      <c r="P259" s="724"/>
      <c r="Q259" s="724"/>
      <c r="R259" s="724"/>
      <c r="S259" s="724"/>
      <c r="T259" s="726">
        <f t="shared" si="1"/>
        <v>0</v>
      </c>
      <c r="U259" s="724"/>
      <c r="V259" s="724"/>
      <c r="W259" s="724"/>
      <c r="X259" s="724"/>
      <c r="Y259" s="724"/>
      <c r="Z259" s="724"/>
      <c r="AA259" s="724"/>
      <c r="AB259" s="724"/>
      <c r="AC259" s="724"/>
      <c r="AD259" s="724"/>
      <c r="AE259" s="724"/>
      <c r="AF259" s="724"/>
      <c r="AG259" s="724"/>
      <c r="AH259" s="726">
        <f t="shared" si="2"/>
        <v>0</v>
      </c>
      <c r="AI259" s="724"/>
      <c r="AJ259" s="724"/>
      <c r="AK259" s="724"/>
      <c r="AL259" s="724"/>
      <c r="AM259" s="724"/>
      <c r="AN259" s="724"/>
      <c r="AO259" s="724"/>
      <c r="AP259" s="724"/>
      <c r="AQ259" s="724"/>
      <c r="AR259" s="724"/>
      <c r="AS259" s="724"/>
      <c r="AT259" s="724"/>
      <c r="AU259" s="726">
        <f t="shared" si="3"/>
        <v>0</v>
      </c>
      <c r="AV259" s="723">
        <f t="shared" si="4"/>
        <v>0</v>
      </c>
    </row>
    <row r="260" spans="1:48" x14ac:dyDescent="0.25">
      <c r="A260" s="718" t="s">
        <v>660</v>
      </c>
      <c r="B260" s="719" t="s">
        <v>666</v>
      </c>
      <c r="C260" s="724"/>
      <c r="D260" s="724"/>
      <c r="E260" s="724"/>
      <c r="F260" s="725"/>
      <c r="G260" s="726">
        <f t="shared" si="0"/>
        <v>0</v>
      </c>
      <c r="H260" s="724"/>
      <c r="I260" s="724"/>
      <c r="J260" s="724"/>
      <c r="K260" s="724"/>
      <c r="L260" s="724"/>
      <c r="M260" s="724"/>
      <c r="N260" s="724"/>
      <c r="O260" s="724"/>
      <c r="P260" s="724"/>
      <c r="Q260" s="724"/>
      <c r="R260" s="724"/>
      <c r="S260" s="724"/>
      <c r="T260" s="726">
        <f t="shared" si="1"/>
        <v>0</v>
      </c>
      <c r="U260" s="724"/>
      <c r="V260" s="724"/>
      <c r="W260" s="724"/>
      <c r="X260" s="724"/>
      <c r="Y260" s="724"/>
      <c r="Z260" s="724"/>
      <c r="AA260" s="724"/>
      <c r="AB260" s="724"/>
      <c r="AC260" s="724"/>
      <c r="AD260" s="724"/>
      <c r="AE260" s="724"/>
      <c r="AF260" s="724"/>
      <c r="AG260" s="724"/>
      <c r="AH260" s="726">
        <f t="shared" si="2"/>
        <v>0</v>
      </c>
      <c r="AI260" s="724"/>
      <c r="AJ260" s="724"/>
      <c r="AK260" s="724"/>
      <c r="AL260" s="724"/>
      <c r="AM260" s="724"/>
      <c r="AN260" s="724"/>
      <c r="AO260" s="724"/>
      <c r="AP260" s="724"/>
      <c r="AQ260" s="724"/>
      <c r="AR260" s="724"/>
      <c r="AS260" s="724"/>
      <c r="AT260" s="724"/>
      <c r="AU260" s="726">
        <f t="shared" si="3"/>
        <v>0</v>
      </c>
      <c r="AV260" s="723">
        <f t="shared" si="4"/>
        <v>0</v>
      </c>
    </row>
    <row r="261" spans="1:48" x14ac:dyDescent="0.25">
      <c r="A261" s="718" t="s">
        <v>660</v>
      </c>
      <c r="B261" s="719" t="s">
        <v>668</v>
      </c>
      <c r="C261" s="724"/>
      <c r="D261" s="724"/>
      <c r="E261" s="724"/>
      <c r="F261" s="725"/>
      <c r="G261" s="726">
        <f t="shared" si="0"/>
        <v>0</v>
      </c>
      <c r="H261" s="724"/>
      <c r="I261" s="724"/>
      <c r="J261" s="724"/>
      <c r="K261" s="724"/>
      <c r="L261" s="724"/>
      <c r="M261" s="724"/>
      <c r="N261" s="724"/>
      <c r="O261" s="724"/>
      <c r="P261" s="724"/>
      <c r="Q261" s="724"/>
      <c r="R261" s="724"/>
      <c r="S261" s="724"/>
      <c r="T261" s="726">
        <f t="shared" si="1"/>
        <v>0</v>
      </c>
      <c r="U261" s="724"/>
      <c r="V261" s="724"/>
      <c r="W261" s="724"/>
      <c r="X261" s="724"/>
      <c r="Y261" s="724"/>
      <c r="Z261" s="724"/>
      <c r="AA261" s="724"/>
      <c r="AB261" s="724"/>
      <c r="AC261" s="724"/>
      <c r="AD261" s="724"/>
      <c r="AE261" s="724"/>
      <c r="AF261" s="724"/>
      <c r="AG261" s="724"/>
      <c r="AH261" s="726">
        <f t="shared" si="2"/>
        <v>0</v>
      </c>
      <c r="AI261" s="724"/>
      <c r="AJ261" s="724"/>
      <c r="AK261" s="724"/>
      <c r="AL261" s="724"/>
      <c r="AM261" s="724"/>
      <c r="AN261" s="724"/>
      <c r="AO261" s="724"/>
      <c r="AP261" s="724"/>
      <c r="AQ261" s="724"/>
      <c r="AR261" s="724"/>
      <c r="AS261" s="724"/>
      <c r="AT261" s="724"/>
      <c r="AU261" s="726">
        <f t="shared" si="3"/>
        <v>0</v>
      </c>
      <c r="AV261" s="723">
        <f t="shared" si="4"/>
        <v>0</v>
      </c>
    </row>
    <row r="262" spans="1:48" x14ac:dyDescent="0.25">
      <c r="A262" s="718" t="s">
        <v>660</v>
      </c>
      <c r="B262" s="719" t="s">
        <v>670</v>
      </c>
      <c r="C262" s="724"/>
      <c r="D262" s="724"/>
      <c r="E262" s="724"/>
      <c r="F262" s="725"/>
      <c r="G262" s="726">
        <f t="shared" si="0"/>
        <v>0</v>
      </c>
      <c r="H262" s="724"/>
      <c r="I262" s="724"/>
      <c r="J262" s="724"/>
      <c r="K262" s="724"/>
      <c r="L262" s="724"/>
      <c r="M262" s="724"/>
      <c r="N262" s="724"/>
      <c r="O262" s="724"/>
      <c r="P262" s="724"/>
      <c r="Q262" s="724"/>
      <c r="R262" s="724"/>
      <c r="S262" s="724"/>
      <c r="T262" s="726">
        <f t="shared" si="1"/>
        <v>0</v>
      </c>
      <c r="U262" s="724"/>
      <c r="V262" s="724"/>
      <c r="W262" s="724"/>
      <c r="X262" s="724"/>
      <c r="Y262" s="724"/>
      <c r="Z262" s="724"/>
      <c r="AA262" s="724"/>
      <c r="AB262" s="724"/>
      <c r="AC262" s="724"/>
      <c r="AD262" s="724"/>
      <c r="AE262" s="724"/>
      <c r="AF262" s="724"/>
      <c r="AG262" s="724"/>
      <c r="AH262" s="726">
        <f t="shared" si="2"/>
        <v>0</v>
      </c>
      <c r="AI262" s="724"/>
      <c r="AJ262" s="724"/>
      <c r="AK262" s="724"/>
      <c r="AL262" s="724"/>
      <c r="AM262" s="724"/>
      <c r="AN262" s="724"/>
      <c r="AO262" s="724"/>
      <c r="AP262" s="724"/>
      <c r="AQ262" s="724"/>
      <c r="AR262" s="724"/>
      <c r="AS262" s="724"/>
      <c r="AT262" s="724"/>
      <c r="AU262" s="726">
        <f t="shared" si="3"/>
        <v>0</v>
      </c>
      <c r="AV262" s="723">
        <f t="shared" si="4"/>
        <v>0</v>
      </c>
    </row>
    <row r="263" spans="1:48" x14ac:dyDescent="0.25">
      <c r="A263" s="727" t="s">
        <v>660</v>
      </c>
      <c r="B263" s="719" t="s">
        <v>672</v>
      </c>
      <c r="C263" s="724"/>
      <c r="D263" s="724"/>
      <c r="E263" s="724"/>
      <c r="F263" s="725"/>
      <c r="G263" s="726">
        <f t="shared" si="0"/>
        <v>0</v>
      </c>
      <c r="H263" s="724"/>
      <c r="I263" s="724"/>
      <c r="J263" s="724"/>
      <c r="K263" s="724"/>
      <c r="L263" s="724"/>
      <c r="M263" s="724"/>
      <c r="N263" s="724"/>
      <c r="O263" s="724"/>
      <c r="P263" s="724"/>
      <c r="Q263" s="724"/>
      <c r="R263" s="724"/>
      <c r="S263" s="724"/>
      <c r="T263" s="726">
        <f t="shared" si="1"/>
        <v>0</v>
      </c>
      <c r="U263" s="724"/>
      <c r="V263" s="724"/>
      <c r="W263" s="724"/>
      <c r="X263" s="724"/>
      <c r="Y263" s="724"/>
      <c r="Z263" s="724"/>
      <c r="AA263" s="724"/>
      <c r="AB263" s="724"/>
      <c r="AC263" s="724"/>
      <c r="AD263" s="724"/>
      <c r="AE263" s="724"/>
      <c r="AF263" s="724"/>
      <c r="AG263" s="724"/>
      <c r="AH263" s="726">
        <f t="shared" si="2"/>
        <v>0</v>
      </c>
      <c r="AI263" s="724"/>
      <c r="AJ263" s="724"/>
      <c r="AK263" s="724"/>
      <c r="AL263" s="724"/>
      <c r="AM263" s="724"/>
      <c r="AN263" s="724"/>
      <c r="AO263" s="724"/>
      <c r="AP263" s="724"/>
      <c r="AQ263" s="724"/>
      <c r="AR263" s="724"/>
      <c r="AS263" s="724"/>
      <c r="AT263" s="724"/>
      <c r="AU263" s="726">
        <f t="shared" si="3"/>
        <v>0</v>
      </c>
      <c r="AV263" s="723">
        <f t="shared" si="4"/>
        <v>0</v>
      </c>
    </row>
    <row r="264" spans="1:48" x14ac:dyDescent="0.25">
      <c r="A264" s="718" t="s">
        <v>660</v>
      </c>
      <c r="B264" s="719" t="s">
        <v>659</v>
      </c>
      <c r="C264" s="724"/>
      <c r="D264" s="724"/>
      <c r="E264" s="724"/>
      <c r="F264" s="725"/>
      <c r="G264" s="726">
        <f t="shared" si="0"/>
        <v>0</v>
      </c>
      <c r="H264" s="724"/>
      <c r="I264" s="724"/>
      <c r="J264" s="724"/>
      <c r="K264" s="724"/>
      <c r="L264" s="724"/>
      <c r="M264" s="724"/>
      <c r="N264" s="724"/>
      <c r="O264" s="724"/>
      <c r="P264" s="724"/>
      <c r="Q264" s="724"/>
      <c r="R264" s="724"/>
      <c r="S264" s="724"/>
      <c r="T264" s="726">
        <f t="shared" si="1"/>
        <v>0</v>
      </c>
      <c r="U264" s="724"/>
      <c r="V264" s="724"/>
      <c r="W264" s="724"/>
      <c r="X264" s="724"/>
      <c r="Y264" s="724"/>
      <c r="Z264" s="724"/>
      <c r="AA264" s="724"/>
      <c r="AB264" s="724"/>
      <c r="AC264" s="724"/>
      <c r="AD264" s="724"/>
      <c r="AE264" s="724"/>
      <c r="AF264" s="724"/>
      <c r="AG264" s="724"/>
      <c r="AH264" s="726">
        <f t="shared" si="2"/>
        <v>0</v>
      </c>
      <c r="AI264" s="724"/>
      <c r="AJ264" s="724"/>
      <c r="AK264" s="724"/>
      <c r="AL264" s="724"/>
      <c r="AM264" s="724"/>
      <c r="AN264" s="724"/>
      <c r="AO264" s="724"/>
      <c r="AP264" s="724"/>
      <c r="AQ264" s="724"/>
      <c r="AR264" s="724"/>
      <c r="AS264" s="724"/>
      <c r="AT264" s="724"/>
      <c r="AU264" s="726">
        <f t="shared" si="3"/>
        <v>0</v>
      </c>
      <c r="AV264" s="723">
        <f t="shared" si="4"/>
        <v>0</v>
      </c>
    </row>
    <row r="265" spans="1:48" x14ac:dyDescent="0.25">
      <c r="A265" s="718" t="s">
        <v>660</v>
      </c>
      <c r="B265" s="719" t="s">
        <v>674</v>
      </c>
      <c r="C265" s="724"/>
      <c r="D265" s="724"/>
      <c r="E265" s="724"/>
      <c r="F265" s="725"/>
      <c r="G265" s="726">
        <f t="shared" si="0"/>
        <v>0</v>
      </c>
      <c r="H265" s="724"/>
      <c r="I265" s="724"/>
      <c r="J265" s="724"/>
      <c r="K265" s="724"/>
      <c r="L265" s="724"/>
      <c r="M265" s="724"/>
      <c r="N265" s="724"/>
      <c r="O265" s="724"/>
      <c r="P265" s="724"/>
      <c r="Q265" s="724"/>
      <c r="R265" s="724"/>
      <c r="S265" s="724"/>
      <c r="T265" s="726">
        <f t="shared" si="1"/>
        <v>0</v>
      </c>
      <c r="U265" s="724"/>
      <c r="V265" s="724"/>
      <c r="W265" s="724"/>
      <c r="X265" s="724"/>
      <c r="Y265" s="724"/>
      <c r="Z265" s="724"/>
      <c r="AA265" s="724"/>
      <c r="AB265" s="724"/>
      <c r="AC265" s="724"/>
      <c r="AD265" s="724"/>
      <c r="AE265" s="724"/>
      <c r="AF265" s="724"/>
      <c r="AG265" s="724"/>
      <c r="AH265" s="726">
        <f t="shared" si="2"/>
        <v>0</v>
      </c>
      <c r="AI265" s="724"/>
      <c r="AJ265" s="724"/>
      <c r="AK265" s="724"/>
      <c r="AL265" s="724"/>
      <c r="AM265" s="724"/>
      <c r="AN265" s="724"/>
      <c r="AO265" s="724"/>
      <c r="AP265" s="724"/>
      <c r="AQ265" s="724"/>
      <c r="AR265" s="724"/>
      <c r="AS265" s="724"/>
      <c r="AT265" s="724"/>
      <c r="AU265" s="726">
        <f t="shared" si="3"/>
        <v>0</v>
      </c>
      <c r="AV265" s="723">
        <f t="shared" si="4"/>
        <v>0</v>
      </c>
    </row>
    <row r="266" spans="1:48" x14ac:dyDescent="0.25">
      <c r="A266" s="718" t="s">
        <v>677</v>
      </c>
      <c r="B266" s="719" t="s">
        <v>676</v>
      </c>
      <c r="C266" s="724"/>
      <c r="D266" s="724"/>
      <c r="E266" s="724"/>
      <c r="F266" s="725"/>
      <c r="G266" s="726">
        <f t="shared" si="0"/>
        <v>0</v>
      </c>
      <c r="H266" s="724"/>
      <c r="I266" s="724"/>
      <c r="J266" s="724"/>
      <c r="K266" s="724"/>
      <c r="L266" s="724"/>
      <c r="M266" s="724"/>
      <c r="N266" s="724"/>
      <c r="O266" s="724"/>
      <c r="P266" s="724"/>
      <c r="Q266" s="724"/>
      <c r="R266" s="724"/>
      <c r="S266" s="724"/>
      <c r="T266" s="726">
        <f t="shared" si="1"/>
        <v>0</v>
      </c>
      <c r="U266" s="724"/>
      <c r="V266" s="724"/>
      <c r="W266" s="724"/>
      <c r="X266" s="724"/>
      <c r="Y266" s="724"/>
      <c r="Z266" s="724"/>
      <c r="AA266" s="724"/>
      <c r="AB266" s="724"/>
      <c r="AC266" s="724"/>
      <c r="AD266" s="724"/>
      <c r="AE266" s="724"/>
      <c r="AF266" s="724"/>
      <c r="AG266" s="724"/>
      <c r="AH266" s="726">
        <f t="shared" si="2"/>
        <v>0</v>
      </c>
      <c r="AI266" s="724"/>
      <c r="AJ266" s="724"/>
      <c r="AK266" s="724"/>
      <c r="AL266" s="724"/>
      <c r="AM266" s="724"/>
      <c r="AN266" s="724"/>
      <c r="AO266" s="724"/>
      <c r="AP266" s="724"/>
      <c r="AQ266" s="724"/>
      <c r="AR266" s="724"/>
      <c r="AS266" s="724"/>
      <c r="AT266" s="724"/>
      <c r="AU266" s="726">
        <f t="shared" si="3"/>
        <v>0</v>
      </c>
      <c r="AV266" s="723">
        <f t="shared" si="4"/>
        <v>0</v>
      </c>
    </row>
    <row r="267" spans="1:48" x14ac:dyDescent="0.25">
      <c r="A267" s="718" t="s">
        <v>677</v>
      </c>
      <c r="B267" s="719" t="s">
        <v>625</v>
      </c>
      <c r="C267" s="724"/>
      <c r="D267" s="724"/>
      <c r="E267" s="724"/>
      <c r="F267" s="725"/>
      <c r="G267" s="726">
        <f t="shared" si="0"/>
        <v>0</v>
      </c>
      <c r="H267" s="724"/>
      <c r="I267" s="724"/>
      <c r="J267" s="724"/>
      <c r="K267" s="724"/>
      <c r="L267" s="724"/>
      <c r="M267" s="724"/>
      <c r="N267" s="724"/>
      <c r="O267" s="724"/>
      <c r="P267" s="724"/>
      <c r="Q267" s="724"/>
      <c r="R267" s="724"/>
      <c r="S267" s="724"/>
      <c r="T267" s="726">
        <f t="shared" si="1"/>
        <v>0</v>
      </c>
      <c r="U267" s="724"/>
      <c r="V267" s="724"/>
      <c r="W267" s="724"/>
      <c r="X267" s="724"/>
      <c r="Y267" s="724"/>
      <c r="Z267" s="724"/>
      <c r="AA267" s="724"/>
      <c r="AB267" s="724"/>
      <c r="AC267" s="724"/>
      <c r="AD267" s="724"/>
      <c r="AE267" s="724"/>
      <c r="AF267" s="724"/>
      <c r="AG267" s="724"/>
      <c r="AH267" s="726">
        <f t="shared" si="2"/>
        <v>0</v>
      </c>
      <c r="AI267" s="724"/>
      <c r="AJ267" s="724"/>
      <c r="AK267" s="724"/>
      <c r="AL267" s="724"/>
      <c r="AM267" s="724"/>
      <c r="AN267" s="724"/>
      <c r="AO267" s="724"/>
      <c r="AP267" s="724"/>
      <c r="AQ267" s="724"/>
      <c r="AR267" s="724"/>
      <c r="AS267" s="724"/>
      <c r="AT267" s="724"/>
      <c r="AU267" s="726">
        <f t="shared" si="3"/>
        <v>0</v>
      </c>
      <c r="AV267" s="723">
        <f t="shared" si="4"/>
        <v>0</v>
      </c>
    </row>
    <row r="268" spans="1:48" x14ac:dyDescent="0.25">
      <c r="A268" s="718" t="s">
        <v>677</v>
      </c>
      <c r="B268" s="719" t="s">
        <v>680</v>
      </c>
      <c r="C268" s="724"/>
      <c r="D268" s="724"/>
      <c r="E268" s="724"/>
      <c r="F268" s="725"/>
      <c r="G268" s="726">
        <f t="shared" si="0"/>
        <v>0</v>
      </c>
      <c r="H268" s="724"/>
      <c r="I268" s="724"/>
      <c r="J268" s="724"/>
      <c r="K268" s="724"/>
      <c r="L268" s="724"/>
      <c r="M268" s="724"/>
      <c r="N268" s="724"/>
      <c r="O268" s="724"/>
      <c r="P268" s="724"/>
      <c r="Q268" s="724"/>
      <c r="R268" s="724"/>
      <c r="S268" s="724"/>
      <c r="T268" s="726">
        <f t="shared" si="1"/>
        <v>0</v>
      </c>
      <c r="U268" s="724"/>
      <c r="V268" s="724"/>
      <c r="W268" s="724"/>
      <c r="X268" s="724"/>
      <c r="Y268" s="724"/>
      <c r="Z268" s="724"/>
      <c r="AA268" s="724"/>
      <c r="AB268" s="724"/>
      <c r="AC268" s="724"/>
      <c r="AD268" s="724"/>
      <c r="AE268" s="724"/>
      <c r="AF268" s="724"/>
      <c r="AG268" s="724"/>
      <c r="AH268" s="726">
        <f t="shared" si="2"/>
        <v>0</v>
      </c>
      <c r="AI268" s="724"/>
      <c r="AJ268" s="724"/>
      <c r="AK268" s="724"/>
      <c r="AL268" s="724"/>
      <c r="AM268" s="724"/>
      <c r="AN268" s="724"/>
      <c r="AO268" s="724"/>
      <c r="AP268" s="724"/>
      <c r="AQ268" s="724"/>
      <c r="AR268" s="724"/>
      <c r="AS268" s="724"/>
      <c r="AT268" s="724"/>
      <c r="AU268" s="726">
        <f t="shared" si="3"/>
        <v>0</v>
      </c>
      <c r="AV268" s="723">
        <f t="shared" si="4"/>
        <v>0</v>
      </c>
    </row>
    <row r="269" spans="1:48" x14ac:dyDescent="0.25">
      <c r="A269" s="718" t="s">
        <v>677</v>
      </c>
      <c r="B269" s="719" t="s">
        <v>682</v>
      </c>
      <c r="C269" s="724"/>
      <c r="D269" s="724"/>
      <c r="E269" s="724"/>
      <c r="F269" s="725"/>
      <c r="G269" s="726">
        <f t="shared" si="0"/>
        <v>0</v>
      </c>
      <c r="H269" s="724"/>
      <c r="I269" s="724"/>
      <c r="J269" s="724"/>
      <c r="K269" s="724"/>
      <c r="L269" s="724"/>
      <c r="M269" s="724"/>
      <c r="N269" s="724"/>
      <c r="O269" s="724"/>
      <c r="P269" s="724"/>
      <c r="Q269" s="724"/>
      <c r="R269" s="724"/>
      <c r="S269" s="724"/>
      <c r="T269" s="726">
        <f t="shared" si="1"/>
        <v>0</v>
      </c>
      <c r="U269" s="724"/>
      <c r="V269" s="724"/>
      <c r="W269" s="724"/>
      <c r="X269" s="724"/>
      <c r="Y269" s="724"/>
      <c r="Z269" s="724"/>
      <c r="AA269" s="724"/>
      <c r="AB269" s="724"/>
      <c r="AC269" s="724"/>
      <c r="AD269" s="724"/>
      <c r="AE269" s="724"/>
      <c r="AF269" s="724"/>
      <c r="AG269" s="724"/>
      <c r="AH269" s="726">
        <f t="shared" si="2"/>
        <v>0</v>
      </c>
      <c r="AI269" s="724"/>
      <c r="AJ269" s="724"/>
      <c r="AK269" s="724"/>
      <c r="AL269" s="724"/>
      <c r="AM269" s="724"/>
      <c r="AN269" s="724"/>
      <c r="AO269" s="724"/>
      <c r="AP269" s="724"/>
      <c r="AQ269" s="724"/>
      <c r="AR269" s="724"/>
      <c r="AS269" s="724"/>
      <c r="AT269" s="724"/>
      <c r="AU269" s="726">
        <f t="shared" si="3"/>
        <v>0</v>
      </c>
      <c r="AV269" s="723">
        <f t="shared" si="4"/>
        <v>0</v>
      </c>
    </row>
    <row r="270" spans="1:48" x14ac:dyDescent="0.25">
      <c r="A270" s="718" t="s">
        <v>677</v>
      </c>
      <c r="B270" s="719" t="s">
        <v>638</v>
      </c>
      <c r="C270" s="724"/>
      <c r="D270" s="724"/>
      <c r="E270" s="724"/>
      <c r="F270" s="725"/>
      <c r="G270" s="726">
        <f t="shared" si="0"/>
        <v>0</v>
      </c>
      <c r="H270" s="724"/>
      <c r="I270" s="724"/>
      <c r="J270" s="724"/>
      <c r="K270" s="724"/>
      <c r="L270" s="724"/>
      <c r="M270" s="724"/>
      <c r="N270" s="724"/>
      <c r="O270" s="724"/>
      <c r="P270" s="724"/>
      <c r="Q270" s="724"/>
      <c r="R270" s="724"/>
      <c r="S270" s="724"/>
      <c r="T270" s="726">
        <f t="shared" si="1"/>
        <v>0</v>
      </c>
      <c r="U270" s="724"/>
      <c r="V270" s="724"/>
      <c r="W270" s="724"/>
      <c r="X270" s="724"/>
      <c r="Y270" s="724"/>
      <c r="Z270" s="724"/>
      <c r="AA270" s="724"/>
      <c r="AB270" s="724"/>
      <c r="AC270" s="724"/>
      <c r="AD270" s="724"/>
      <c r="AE270" s="724"/>
      <c r="AF270" s="724"/>
      <c r="AG270" s="724"/>
      <c r="AH270" s="726">
        <f t="shared" si="2"/>
        <v>0</v>
      </c>
      <c r="AI270" s="724"/>
      <c r="AJ270" s="724"/>
      <c r="AK270" s="724"/>
      <c r="AL270" s="724"/>
      <c r="AM270" s="724"/>
      <c r="AN270" s="724"/>
      <c r="AO270" s="724"/>
      <c r="AP270" s="724"/>
      <c r="AQ270" s="724"/>
      <c r="AR270" s="724"/>
      <c r="AS270" s="724"/>
      <c r="AT270" s="724"/>
      <c r="AU270" s="726">
        <f t="shared" si="3"/>
        <v>0</v>
      </c>
      <c r="AV270" s="723">
        <f t="shared" si="4"/>
        <v>0</v>
      </c>
    </row>
    <row r="271" spans="1:48" x14ac:dyDescent="0.25">
      <c r="A271" s="718" t="s">
        <v>677</v>
      </c>
      <c r="B271" s="719" t="s">
        <v>685</v>
      </c>
      <c r="C271" s="724"/>
      <c r="D271" s="724"/>
      <c r="E271" s="724"/>
      <c r="F271" s="725"/>
      <c r="G271" s="726">
        <f t="shared" si="0"/>
        <v>0</v>
      </c>
      <c r="H271" s="724"/>
      <c r="I271" s="724"/>
      <c r="J271" s="724"/>
      <c r="K271" s="724"/>
      <c r="L271" s="724"/>
      <c r="M271" s="724"/>
      <c r="N271" s="724"/>
      <c r="O271" s="724"/>
      <c r="P271" s="724"/>
      <c r="Q271" s="724"/>
      <c r="R271" s="724"/>
      <c r="S271" s="724"/>
      <c r="T271" s="726">
        <f t="shared" si="1"/>
        <v>0</v>
      </c>
      <c r="U271" s="724"/>
      <c r="V271" s="724"/>
      <c r="W271" s="724"/>
      <c r="X271" s="724"/>
      <c r="Y271" s="724"/>
      <c r="Z271" s="724"/>
      <c r="AA271" s="724"/>
      <c r="AB271" s="724"/>
      <c r="AC271" s="724"/>
      <c r="AD271" s="724"/>
      <c r="AE271" s="724"/>
      <c r="AF271" s="724"/>
      <c r="AG271" s="724"/>
      <c r="AH271" s="726">
        <f t="shared" si="2"/>
        <v>0</v>
      </c>
      <c r="AI271" s="724"/>
      <c r="AJ271" s="724"/>
      <c r="AK271" s="724"/>
      <c r="AL271" s="724"/>
      <c r="AM271" s="724"/>
      <c r="AN271" s="724"/>
      <c r="AO271" s="724"/>
      <c r="AP271" s="724"/>
      <c r="AQ271" s="724"/>
      <c r="AR271" s="724"/>
      <c r="AS271" s="724"/>
      <c r="AT271" s="724"/>
      <c r="AU271" s="726">
        <f t="shared" si="3"/>
        <v>0</v>
      </c>
      <c r="AV271" s="723">
        <f t="shared" si="4"/>
        <v>0</v>
      </c>
    </row>
    <row r="272" spans="1:48" x14ac:dyDescent="0.25">
      <c r="A272" s="718" t="s">
        <v>677</v>
      </c>
      <c r="B272" s="719" t="s">
        <v>687</v>
      </c>
      <c r="C272" s="724"/>
      <c r="D272" s="724"/>
      <c r="E272" s="724"/>
      <c r="F272" s="725"/>
      <c r="G272" s="726">
        <f t="shared" si="0"/>
        <v>0</v>
      </c>
      <c r="H272" s="724"/>
      <c r="I272" s="724"/>
      <c r="J272" s="724"/>
      <c r="K272" s="724"/>
      <c r="L272" s="724"/>
      <c r="M272" s="724"/>
      <c r="N272" s="724"/>
      <c r="O272" s="724"/>
      <c r="P272" s="724"/>
      <c r="Q272" s="724"/>
      <c r="R272" s="724"/>
      <c r="S272" s="724"/>
      <c r="T272" s="726">
        <f t="shared" si="1"/>
        <v>0</v>
      </c>
      <c r="U272" s="724"/>
      <c r="V272" s="724"/>
      <c r="W272" s="724"/>
      <c r="X272" s="724"/>
      <c r="Y272" s="724"/>
      <c r="Z272" s="724"/>
      <c r="AA272" s="724"/>
      <c r="AB272" s="724"/>
      <c r="AC272" s="724"/>
      <c r="AD272" s="724"/>
      <c r="AE272" s="724"/>
      <c r="AF272" s="724"/>
      <c r="AG272" s="724"/>
      <c r="AH272" s="726">
        <f t="shared" si="2"/>
        <v>0</v>
      </c>
      <c r="AI272" s="724"/>
      <c r="AJ272" s="724"/>
      <c r="AK272" s="724"/>
      <c r="AL272" s="724"/>
      <c r="AM272" s="724"/>
      <c r="AN272" s="724"/>
      <c r="AO272" s="724"/>
      <c r="AP272" s="724"/>
      <c r="AQ272" s="724"/>
      <c r="AR272" s="724"/>
      <c r="AS272" s="724"/>
      <c r="AT272" s="724"/>
      <c r="AU272" s="726">
        <f t="shared" si="3"/>
        <v>0</v>
      </c>
      <c r="AV272" s="723">
        <f t="shared" si="4"/>
        <v>0</v>
      </c>
    </row>
    <row r="273" spans="1:48" x14ac:dyDescent="0.25">
      <c r="A273" s="718" t="s">
        <v>689</v>
      </c>
      <c r="B273" s="719" t="s">
        <v>689</v>
      </c>
      <c r="C273" s="724"/>
      <c r="D273" s="724"/>
      <c r="E273" s="724"/>
      <c r="F273" s="725"/>
      <c r="G273" s="726">
        <f t="shared" si="0"/>
        <v>0</v>
      </c>
      <c r="H273" s="724"/>
      <c r="I273" s="724"/>
      <c r="J273" s="724"/>
      <c r="K273" s="724"/>
      <c r="L273" s="724"/>
      <c r="M273" s="724"/>
      <c r="N273" s="724"/>
      <c r="O273" s="724"/>
      <c r="P273" s="724"/>
      <c r="Q273" s="724"/>
      <c r="R273" s="724"/>
      <c r="S273" s="724"/>
      <c r="T273" s="726">
        <f t="shared" si="1"/>
        <v>0</v>
      </c>
      <c r="U273" s="724"/>
      <c r="V273" s="724"/>
      <c r="W273" s="724"/>
      <c r="X273" s="724"/>
      <c r="Y273" s="724"/>
      <c r="Z273" s="724"/>
      <c r="AA273" s="724"/>
      <c r="AB273" s="724"/>
      <c r="AC273" s="724"/>
      <c r="AD273" s="724"/>
      <c r="AE273" s="724"/>
      <c r="AF273" s="724"/>
      <c r="AG273" s="724"/>
      <c r="AH273" s="726">
        <f t="shared" si="2"/>
        <v>0</v>
      </c>
      <c r="AI273" s="724"/>
      <c r="AJ273" s="724"/>
      <c r="AK273" s="724"/>
      <c r="AL273" s="724"/>
      <c r="AM273" s="724"/>
      <c r="AN273" s="724"/>
      <c r="AO273" s="724"/>
      <c r="AP273" s="724"/>
      <c r="AQ273" s="724"/>
      <c r="AR273" s="724"/>
      <c r="AS273" s="724"/>
      <c r="AT273" s="724"/>
      <c r="AU273" s="726">
        <f t="shared" si="3"/>
        <v>0</v>
      </c>
      <c r="AV273" s="723">
        <f t="shared" si="4"/>
        <v>0</v>
      </c>
    </row>
    <row r="274" spans="1:48" x14ac:dyDescent="0.25">
      <c r="A274" s="718" t="s">
        <v>628</v>
      </c>
      <c r="B274" s="719" t="s">
        <v>628</v>
      </c>
      <c r="C274" s="724"/>
      <c r="D274" s="724"/>
      <c r="E274" s="724"/>
      <c r="F274" s="725"/>
      <c r="G274" s="726">
        <f t="shared" si="0"/>
        <v>0</v>
      </c>
      <c r="H274" s="724"/>
      <c r="I274" s="724"/>
      <c r="J274" s="724"/>
      <c r="K274" s="724"/>
      <c r="L274" s="724"/>
      <c r="M274" s="724"/>
      <c r="N274" s="724"/>
      <c r="O274" s="724"/>
      <c r="P274" s="724"/>
      <c r="Q274" s="724"/>
      <c r="R274" s="724"/>
      <c r="S274" s="724"/>
      <c r="T274" s="726">
        <f t="shared" si="1"/>
        <v>0</v>
      </c>
      <c r="U274" s="724"/>
      <c r="V274" s="724"/>
      <c r="W274" s="724"/>
      <c r="X274" s="724"/>
      <c r="Y274" s="724"/>
      <c r="Z274" s="724"/>
      <c r="AA274" s="724"/>
      <c r="AB274" s="724"/>
      <c r="AC274" s="724"/>
      <c r="AD274" s="724"/>
      <c r="AE274" s="724"/>
      <c r="AF274" s="724"/>
      <c r="AG274" s="724"/>
      <c r="AH274" s="726">
        <f t="shared" si="2"/>
        <v>0</v>
      </c>
      <c r="AI274" s="724"/>
      <c r="AJ274" s="724"/>
      <c r="AK274" s="724"/>
      <c r="AL274" s="724"/>
      <c r="AM274" s="724"/>
      <c r="AN274" s="724"/>
      <c r="AO274" s="724"/>
      <c r="AP274" s="724"/>
      <c r="AQ274" s="724"/>
      <c r="AR274" s="724"/>
      <c r="AS274" s="724"/>
      <c r="AT274" s="724"/>
      <c r="AU274" s="726">
        <f t="shared" si="3"/>
        <v>0</v>
      </c>
      <c r="AV274" s="723">
        <f t="shared" si="4"/>
        <v>0</v>
      </c>
    </row>
    <row r="275" spans="1:48" ht="15.75" thickBot="1" x14ac:dyDescent="0.3">
      <c r="A275" s="728" t="s">
        <v>643</v>
      </c>
      <c r="B275" s="729" t="s">
        <v>643</v>
      </c>
      <c r="C275" s="730"/>
      <c r="D275" s="730"/>
      <c r="E275" s="730"/>
      <c r="F275" s="731"/>
      <c r="G275" s="732">
        <f t="shared" si="0"/>
        <v>0</v>
      </c>
      <c r="H275" s="730"/>
      <c r="I275" s="730"/>
      <c r="J275" s="730"/>
      <c r="K275" s="730"/>
      <c r="L275" s="730"/>
      <c r="M275" s="730"/>
      <c r="N275" s="730"/>
      <c r="O275" s="730"/>
      <c r="P275" s="730"/>
      <c r="Q275" s="730"/>
      <c r="R275" s="730"/>
      <c r="S275" s="730"/>
      <c r="T275" s="732">
        <f t="shared" si="1"/>
        <v>0</v>
      </c>
      <c r="U275" s="730"/>
      <c r="V275" s="730"/>
      <c r="W275" s="730"/>
      <c r="X275" s="730"/>
      <c r="Y275" s="730"/>
      <c r="Z275" s="730"/>
      <c r="AA275" s="730"/>
      <c r="AB275" s="730"/>
      <c r="AC275" s="730"/>
      <c r="AD275" s="730"/>
      <c r="AE275" s="730"/>
      <c r="AF275" s="730"/>
      <c r="AG275" s="730"/>
      <c r="AH275" s="732">
        <f t="shared" si="2"/>
        <v>0</v>
      </c>
      <c r="AI275" s="730"/>
      <c r="AJ275" s="730"/>
      <c r="AK275" s="730"/>
      <c r="AL275" s="730"/>
      <c r="AM275" s="730"/>
      <c r="AN275" s="730"/>
      <c r="AO275" s="730"/>
      <c r="AP275" s="730"/>
      <c r="AQ275" s="730"/>
      <c r="AR275" s="730"/>
      <c r="AS275" s="730"/>
      <c r="AT275" s="730"/>
      <c r="AU275" s="732">
        <f t="shared" si="3"/>
        <v>0</v>
      </c>
      <c r="AV275" s="733">
        <f t="shared" si="4"/>
        <v>0</v>
      </c>
    </row>
    <row r="276" spans="1:48" ht="15.75" thickBot="1" x14ac:dyDescent="0.3">
      <c r="A276" s="624"/>
      <c r="B276" s="734" t="s">
        <v>1130</v>
      </c>
      <c r="C276" s="735">
        <f t="shared" ref="C276:AV276" si="5">SUM(C243:C275)</f>
        <v>0</v>
      </c>
      <c r="D276" s="735">
        <f t="shared" si="5"/>
        <v>0</v>
      </c>
      <c r="E276" s="735">
        <f t="shared" si="5"/>
        <v>0</v>
      </c>
      <c r="F276" s="735">
        <f t="shared" si="5"/>
        <v>0</v>
      </c>
      <c r="G276" s="736">
        <f t="shared" si="5"/>
        <v>0</v>
      </c>
      <c r="H276" s="735">
        <f t="shared" si="5"/>
        <v>0</v>
      </c>
      <c r="I276" s="735">
        <f t="shared" si="5"/>
        <v>0</v>
      </c>
      <c r="J276" s="735">
        <f t="shared" si="5"/>
        <v>0</v>
      </c>
      <c r="K276" s="735">
        <f t="shared" si="5"/>
        <v>0</v>
      </c>
      <c r="L276" s="735">
        <f t="shared" si="5"/>
        <v>0</v>
      </c>
      <c r="M276" s="735">
        <f t="shared" si="5"/>
        <v>0</v>
      </c>
      <c r="N276" s="735">
        <f t="shared" si="5"/>
        <v>0</v>
      </c>
      <c r="O276" s="735">
        <f t="shared" si="5"/>
        <v>0</v>
      </c>
      <c r="P276" s="735">
        <f t="shared" si="5"/>
        <v>0</v>
      </c>
      <c r="Q276" s="735">
        <f t="shared" si="5"/>
        <v>0</v>
      </c>
      <c r="R276" s="735">
        <f t="shared" si="5"/>
        <v>0</v>
      </c>
      <c r="S276" s="735">
        <f t="shared" si="5"/>
        <v>0</v>
      </c>
      <c r="T276" s="736">
        <f t="shared" si="5"/>
        <v>0</v>
      </c>
      <c r="U276" s="735">
        <f t="shared" si="5"/>
        <v>0</v>
      </c>
      <c r="V276" s="735">
        <f t="shared" si="5"/>
        <v>0</v>
      </c>
      <c r="W276" s="735">
        <f t="shared" si="5"/>
        <v>0</v>
      </c>
      <c r="X276" s="735">
        <f t="shared" si="5"/>
        <v>0</v>
      </c>
      <c r="Y276" s="735">
        <f t="shared" si="5"/>
        <v>0</v>
      </c>
      <c r="Z276" s="735">
        <f t="shared" si="5"/>
        <v>0</v>
      </c>
      <c r="AA276" s="735">
        <f t="shared" si="5"/>
        <v>0</v>
      </c>
      <c r="AB276" s="735">
        <f t="shared" si="5"/>
        <v>0</v>
      </c>
      <c r="AC276" s="735">
        <f t="shared" si="5"/>
        <v>0</v>
      </c>
      <c r="AD276" s="735">
        <f t="shared" si="5"/>
        <v>0</v>
      </c>
      <c r="AE276" s="735"/>
      <c r="AF276" s="735">
        <f t="shared" si="5"/>
        <v>0</v>
      </c>
      <c r="AG276" s="735">
        <f t="shared" si="5"/>
        <v>0</v>
      </c>
      <c r="AH276" s="736">
        <f t="shared" si="5"/>
        <v>0</v>
      </c>
      <c r="AI276" s="735">
        <f t="shared" si="5"/>
        <v>0</v>
      </c>
      <c r="AJ276" s="735">
        <f t="shared" si="5"/>
        <v>0</v>
      </c>
      <c r="AK276" s="735">
        <f t="shared" si="5"/>
        <v>0</v>
      </c>
      <c r="AL276" s="735">
        <f t="shared" si="5"/>
        <v>0</v>
      </c>
      <c r="AM276" s="735">
        <f t="shared" si="5"/>
        <v>0</v>
      </c>
      <c r="AN276" s="735">
        <f t="shared" si="5"/>
        <v>0</v>
      </c>
      <c r="AO276" s="735">
        <f t="shared" si="5"/>
        <v>0</v>
      </c>
      <c r="AP276" s="735">
        <f t="shared" si="5"/>
        <v>0</v>
      </c>
      <c r="AQ276" s="735">
        <f t="shared" si="5"/>
        <v>0</v>
      </c>
      <c r="AR276" s="735">
        <f t="shared" si="5"/>
        <v>0</v>
      </c>
      <c r="AS276" s="735">
        <f t="shared" si="5"/>
        <v>0</v>
      </c>
      <c r="AT276" s="735">
        <f t="shared" si="5"/>
        <v>0</v>
      </c>
      <c r="AU276" s="736">
        <f t="shared" si="5"/>
        <v>0</v>
      </c>
      <c r="AV276" s="737">
        <f t="shared" si="5"/>
        <v>0</v>
      </c>
    </row>
    <row r="1215" spans="1:23" ht="15.75" thickBot="1" x14ac:dyDescent="0.3">
      <c r="A1215" s="490"/>
      <c r="B1215" s="738"/>
      <c r="C1215" s="543"/>
      <c r="D1215" s="543"/>
      <c r="E1215" s="739"/>
      <c r="F1215" s="495"/>
      <c r="G1215" s="496"/>
      <c r="H1215" s="496"/>
      <c r="I1215" s="522"/>
      <c r="J1215" s="740"/>
      <c r="K1215" s="740"/>
      <c r="L1215" s="741"/>
      <c r="M1215" s="522"/>
      <c r="N1215" s="501"/>
      <c r="O1215" s="501"/>
      <c r="P1215" s="502"/>
      <c r="Q1215" s="502"/>
      <c r="R1215" s="502"/>
      <c r="S1215" s="503"/>
      <c r="T1215" s="742"/>
      <c r="U1215" s="742"/>
      <c r="V1215" s="742"/>
      <c r="W1215" s="502"/>
    </row>
    <row r="1216" spans="1:23" x14ac:dyDescent="0.25">
      <c r="A1216" s="490"/>
      <c r="B1216" s="491" t="s">
        <v>821</v>
      </c>
      <c r="C1216" s="492">
        <f>COUNTIF(B$1:B1213,B1216)</f>
        <v>1</v>
      </c>
      <c r="D1216" s="493">
        <f>C1216/C1221</f>
        <v>0.2</v>
      </c>
      <c r="E1216" s="494"/>
      <c r="F1216" s="495"/>
      <c r="G1216" s="496"/>
      <c r="H1216" s="496"/>
      <c r="I1216" s="497"/>
      <c r="J1216" s="498">
        <f>SUMIF(B$3:B1213,B1216,T$3:T1220)</f>
        <v>48</v>
      </c>
      <c r="K1216" s="499"/>
      <c r="L1216" s="500">
        <f>J1216/J1221</f>
        <v>1</v>
      </c>
      <c r="M1216" s="501"/>
      <c r="N1216" s="501"/>
      <c r="O1216" s="501"/>
      <c r="P1216" s="502"/>
      <c r="Q1216" s="502"/>
      <c r="R1216" s="502"/>
      <c r="S1216" s="503" t="s">
        <v>786</v>
      </c>
      <c r="T1216" s="504">
        <v>1261915799.52244</v>
      </c>
      <c r="U1216" s="504" t="e">
        <f>SUM(#REF!)</f>
        <v>#REF!</v>
      </c>
      <c r="V1216" s="504" t="e">
        <f>SUM(#REF!)</f>
        <v>#REF!</v>
      </c>
      <c r="W1216" s="502" t="s">
        <v>822</v>
      </c>
    </row>
    <row r="1217" spans="1:23" x14ac:dyDescent="0.25">
      <c r="A1217" s="490"/>
      <c r="B1217" s="507" t="s">
        <v>823</v>
      </c>
      <c r="C1217" s="508">
        <f>COUNTIF(B$1:B1213,B1217)</f>
        <v>1</v>
      </c>
      <c r="D1217" s="509">
        <f>C1217/C1221</f>
        <v>0.2</v>
      </c>
      <c r="E1217" s="494"/>
      <c r="F1217" s="495"/>
      <c r="G1217" s="496"/>
      <c r="H1217" s="496"/>
      <c r="I1217" s="497"/>
      <c r="J1217" s="510">
        <f>SUMIF(B$3:B1216,B1217,T$3:T1221)</f>
        <v>0</v>
      </c>
      <c r="K1217" s="511"/>
      <c r="L1217" s="512">
        <f>J1217/J1221</f>
        <v>0</v>
      </c>
      <c r="M1217" s="501"/>
      <c r="N1217" s="501"/>
      <c r="O1217" s="501"/>
      <c r="P1217" s="506"/>
      <c r="Q1217" s="506"/>
      <c r="R1217" s="506"/>
      <c r="S1217" s="513"/>
      <c r="T1217" s="514"/>
      <c r="U1217" s="514"/>
      <c r="V1217" s="514"/>
      <c r="W1217" s="506"/>
    </row>
    <row r="1218" spans="1:23" x14ac:dyDescent="0.25">
      <c r="A1218" s="490"/>
      <c r="B1218" s="516" t="s">
        <v>824</v>
      </c>
      <c r="C1218" s="517">
        <f>COUNTIF(B$1:B1213,B1218)</f>
        <v>1</v>
      </c>
      <c r="D1218" s="518">
        <f>C1218/C1221</f>
        <v>0.2</v>
      </c>
      <c r="E1218" s="494"/>
      <c r="F1218" s="495"/>
      <c r="G1218" s="496"/>
      <c r="H1218" s="496"/>
      <c r="I1218" s="497"/>
      <c r="J1218" s="519">
        <f>SUMIF(B$3:B1217,B1218,T$3:T1221)</f>
        <v>0</v>
      </c>
      <c r="K1218" s="520"/>
      <c r="L1218" s="521">
        <f>J1218/J1221</f>
        <v>0</v>
      </c>
      <c r="M1218" s="522"/>
      <c r="N1218" s="501"/>
      <c r="O1218" s="501"/>
      <c r="P1218" s="506"/>
      <c r="Q1218" s="506"/>
      <c r="R1218" s="506"/>
      <c r="S1218" s="513"/>
      <c r="T1218" s="514"/>
      <c r="U1218" s="514"/>
      <c r="V1218" s="514"/>
      <c r="W1218" s="506"/>
    </row>
    <row r="1219" spans="1:23" ht="15.75" thickBot="1" x14ac:dyDescent="0.3">
      <c r="A1219" s="490"/>
      <c r="B1219" s="523" t="s">
        <v>825</v>
      </c>
      <c r="C1219" s="524">
        <f>COUNTIF(B$1:B1216,B1219)</f>
        <v>1</v>
      </c>
      <c r="D1219" s="525">
        <f>C1219/C1221</f>
        <v>0.2</v>
      </c>
      <c r="E1219" s="494"/>
      <c r="F1219" s="495"/>
      <c r="G1219" s="496"/>
      <c r="H1219" s="496"/>
      <c r="I1219" s="497"/>
      <c r="J1219" s="526">
        <f>SUMIF(B$3:B1218,B1219,T$3:T1221)</f>
        <v>0</v>
      </c>
      <c r="K1219" s="527"/>
      <c r="L1219" s="528">
        <f>J1219/J1221</f>
        <v>0</v>
      </c>
      <c r="M1219" s="522"/>
      <c r="N1219" s="501"/>
      <c r="O1219" s="501"/>
      <c r="P1219" s="506"/>
      <c r="Q1219" s="506"/>
      <c r="R1219" s="506"/>
      <c r="S1219" s="513"/>
      <c r="T1219" s="514"/>
      <c r="U1219" s="514"/>
      <c r="V1219" s="514"/>
      <c r="W1219" s="506"/>
    </row>
    <row r="1220" spans="1:23" ht="16.5" thickTop="1" thickBot="1" x14ac:dyDescent="0.3">
      <c r="A1220" s="529"/>
      <c r="B1220" s="530" t="s">
        <v>809</v>
      </c>
      <c r="C1220" s="531">
        <f>COUNTIF(B$1:B1213,B1220)</f>
        <v>1</v>
      </c>
      <c r="D1220" s="532">
        <f>C1220/C1221</f>
        <v>0.2</v>
      </c>
      <c r="E1220" s="533"/>
      <c r="F1220" s="534"/>
      <c r="G1220" s="535"/>
      <c r="H1220" s="535"/>
      <c r="I1220" s="536"/>
      <c r="J1220" s="537">
        <f>SUMIF(B$3:B1219,B1220,T$3:T1221)</f>
        <v>0</v>
      </c>
      <c r="K1220" s="538"/>
      <c r="L1220" s="539">
        <f>J1220/J1221</f>
        <v>0</v>
      </c>
      <c r="M1220" s="540"/>
      <c r="N1220" s="540"/>
      <c r="O1220" s="540"/>
      <c r="P1220" s="506"/>
      <c r="Q1220" s="506"/>
      <c r="R1220" s="506"/>
      <c r="S1220" s="513"/>
      <c r="T1220" s="514"/>
      <c r="U1220" s="514"/>
      <c r="V1220" s="514"/>
      <c r="W1220" s="506"/>
    </row>
    <row r="1221" spans="1:23" x14ac:dyDescent="0.25">
      <c r="A1221" s="490"/>
      <c r="B1221" s="541"/>
      <c r="C1221" s="542">
        <f>SUM(C1216:C1220)</f>
        <v>5</v>
      </c>
      <c r="D1221" s="543"/>
      <c r="E1221" s="494"/>
      <c r="F1221" s="495"/>
      <c r="G1221" s="496"/>
      <c r="H1221" s="496"/>
      <c r="I1221" s="497"/>
      <c r="J1221" s="544">
        <f>SUM(J1216:J1220)</f>
        <v>48</v>
      </c>
      <c r="K1221" s="545"/>
      <c r="L1221" s="546"/>
      <c r="M1221" s="522"/>
      <c r="N1221" s="501"/>
      <c r="O1221" s="501"/>
      <c r="P1221" s="506"/>
      <c r="Q1221" s="506"/>
      <c r="R1221" s="506"/>
      <c r="S1221" s="513"/>
      <c r="T1221" s="514"/>
      <c r="U1221" s="514"/>
      <c r="V1221" s="514"/>
      <c r="W1221" s="506"/>
    </row>
  </sheetData>
  <mergeCells count="5">
    <mergeCell ref="A50:A55"/>
    <mergeCell ref="A63:A68"/>
    <mergeCell ref="A149:A154"/>
    <mergeCell ref="A166:A171"/>
    <mergeCell ref="A187:A192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workbookViewId="0">
      <selection activeCell="C24" sqref="C24"/>
    </sheetView>
  </sheetViews>
  <sheetFormatPr defaultRowHeight="15" x14ac:dyDescent="0.25"/>
  <cols>
    <col min="1" max="3" width="9.140625" style="400"/>
    <col min="4" max="4" width="10.7109375" style="400" customWidth="1"/>
    <col min="5" max="7" width="10.5703125" style="400" customWidth="1"/>
    <col min="8" max="10" width="9.140625" style="400"/>
    <col min="11" max="11" width="17.7109375" style="674" customWidth="1"/>
    <col min="12" max="12" width="22.7109375" style="400" customWidth="1"/>
    <col min="13" max="13" width="17.7109375" style="400" customWidth="1"/>
    <col min="14" max="14" width="10.7109375" style="400" customWidth="1"/>
    <col min="15" max="16" width="18.7109375" style="400" customWidth="1"/>
    <col min="17" max="17" width="13.7109375" style="400" customWidth="1"/>
    <col min="18" max="18" width="10.85546875" style="400" customWidth="1"/>
    <col min="19" max="19" width="30.85546875" style="400" customWidth="1"/>
    <col min="20" max="20" width="20.7109375" style="400" customWidth="1"/>
    <col min="21" max="22" width="10.7109375" style="400" customWidth="1"/>
    <col min="23" max="23" width="15.85546875" style="400" customWidth="1"/>
    <col min="24" max="24" width="8.5703125" style="400" customWidth="1"/>
    <col min="25" max="25" width="15.5703125" style="400" customWidth="1"/>
    <col min="26" max="16384" width="9.140625" style="400"/>
  </cols>
  <sheetData>
    <row r="1" spans="1:34" s="551" customFormat="1" ht="7.5" customHeight="1" x14ac:dyDescent="0.25">
      <c r="D1" s="552"/>
      <c r="E1" s="552"/>
      <c r="F1" s="552"/>
      <c r="G1" s="552"/>
      <c r="K1" s="743"/>
    </row>
    <row r="2" spans="1:34" s="426" customFormat="1" ht="19.5" x14ac:dyDescent="0.3">
      <c r="C2" s="427" t="s">
        <v>1131</v>
      </c>
      <c r="K2" s="743"/>
    </row>
    <row r="4" spans="1:34" ht="15.75" thickBot="1" x14ac:dyDescent="0.3">
      <c r="A4" s="607" t="s">
        <v>1132</v>
      </c>
    </row>
    <row r="5" spans="1:34" s="616" customFormat="1" ht="15.75" thickBot="1" x14ac:dyDescent="0.3">
      <c r="A5" s="400"/>
      <c r="B5" s="744" t="s">
        <v>1133</v>
      </c>
      <c r="C5" s="745">
        <f>MATCH("NewOpp",E5:N5,0)+4</f>
        <v>12</v>
      </c>
      <c r="D5" s="745">
        <f>MATCH("STOP",E5:N5,0)+4</f>
        <v>14</v>
      </c>
      <c r="K5" s="746"/>
      <c r="L5" s="747" t="s">
        <v>139</v>
      </c>
      <c r="M5" s="748" t="s">
        <v>1134</v>
      </c>
      <c r="N5" s="749" t="s">
        <v>1135</v>
      </c>
      <c r="P5" s="617"/>
      <c r="Q5" s="618"/>
      <c r="R5" s="619"/>
      <c r="S5" s="620"/>
      <c r="T5" s="400"/>
      <c r="U5" s="400"/>
      <c r="V5" s="400"/>
      <c r="W5" s="400"/>
      <c r="X5" s="400"/>
      <c r="Y5" s="400"/>
      <c r="Z5" s="400"/>
      <c r="AA5" s="400"/>
      <c r="AB5" s="400"/>
      <c r="AC5" s="400"/>
    </row>
    <row r="6" spans="1:34" s="746" customFormat="1" x14ac:dyDescent="0.25">
      <c r="A6" s="750"/>
      <c r="B6" s="751"/>
      <c r="C6" s="752"/>
      <c r="D6" s="753"/>
      <c r="L6" s="754"/>
      <c r="M6" s="754"/>
      <c r="N6" s="755"/>
      <c r="Q6" s="659"/>
      <c r="R6" s="618"/>
      <c r="S6" s="619"/>
      <c r="T6" s="620"/>
      <c r="U6" s="674"/>
      <c r="V6" s="674"/>
      <c r="W6" s="674"/>
      <c r="X6" s="674"/>
      <c r="Y6" s="674"/>
      <c r="Z6" s="674"/>
      <c r="AA6" s="674"/>
      <c r="AB6" s="674"/>
      <c r="AC6" s="674"/>
      <c r="AD6" s="674"/>
    </row>
    <row r="7" spans="1:34" x14ac:dyDescent="0.25">
      <c r="A7" s="756">
        <v>0</v>
      </c>
      <c r="B7" s="757" t="s">
        <v>65</v>
      </c>
      <c r="C7" s="758" t="s">
        <v>65</v>
      </c>
      <c r="D7" s="759" t="s">
        <v>65</v>
      </c>
      <c r="E7" s="760">
        <v>0</v>
      </c>
      <c r="F7" s="760">
        <v>0</v>
      </c>
      <c r="G7" s="760">
        <v>0</v>
      </c>
      <c r="H7" s="760">
        <v>0</v>
      </c>
      <c r="I7" s="760">
        <v>0</v>
      </c>
      <c r="J7" s="760">
        <v>0</v>
      </c>
      <c r="K7" s="760">
        <v>17</v>
      </c>
      <c r="L7" s="761" t="s">
        <v>929</v>
      </c>
      <c r="M7" s="761" t="s">
        <v>83</v>
      </c>
      <c r="N7" s="761" t="s">
        <v>83</v>
      </c>
      <c r="O7" s="761" t="s">
        <v>963</v>
      </c>
      <c r="P7" s="905" t="s">
        <v>80</v>
      </c>
      <c r="Q7" s="905" t="s">
        <v>80</v>
      </c>
      <c r="R7" s="761" t="s">
        <v>80</v>
      </c>
      <c r="S7" s="761" t="s">
        <v>50</v>
      </c>
      <c r="T7" s="761" t="s">
        <v>80</v>
      </c>
      <c r="U7" s="761" t="s">
        <v>80</v>
      </c>
      <c r="V7" s="761" t="s">
        <v>80</v>
      </c>
      <c r="W7" s="905" t="s">
        <v>80</v>
      </c>
      <c r="X7" s="761" t="s">
        <v>59</v>
      </c>
      <c r="Y7" s="761" t="s">
        <v>243</v>
      </c>
      <c r="Z7" s="760">
        <v>0</v>
      </c>
      <c r="AA7" s="625"/>
      <c r="AB7" s="624"/>
    </row>
    <row r="8" spans="1:34" x14ac:dyDescent="0.25">
      <c r="A8" s="750"/>
      <c r="B8" s="757" t="s">
        <v>927</v>
      </c>
      <c r="C8" s="758"/>
      <c r="D8" s="759"/>
      <c r="E8" s="664"/>
      <c r="F8" s="664"/>
      <c r="G8" s="664"/>
      <c r="H8" s="664"/>
      <c r="I8" s="664"/>
      <c r="J8" s="664"/>
      <c r="K8" s="664"/>
      <c r="L8" s="659"/>
      <c r="M8" s="659"/>
      <c r="N8" s="659"/>
      <c r="O8" s="674"/>
      <c r="P8" s="674"/>
      <c r="Q8" s="659"/>
      <c r="R8" s="659"/>
      <c r="S8" s="659"/>
      <c r="T8" s="659"/>
      <c r="U8" s="659"/>
      <c r="V8" s="659"/>
      <c r="W8" s="674"/>
      <c r="X8" s="674"/>
      <c r="Y8" s="674"/>
      <c r="Z8" s="625"/>
      <c r="AA8" s="624"/>
    </row>
    <row r="9" spans="1:34" x14ac:dyDescent="0.25">
      <c r="A9" s="750"/>
      <c r="B9" s="757" t="s">
        <v>931</v>
      </c>
      <c r="C9" s="758"/>
      <c r="D9" s="759"/>
      <c r="E9" s="664"/>
      <c r="F9" s="664"/>
      <c r="G9" s="664"/>
      <c r="H9" s="664"/>
      <c r="I9" s="664"/>
      <c r="J9" s="664"/>
      <c r="K9" s="664"/>
      <c r="L9" s="659"/>
      <c r="M9" s="659"/>
      <c r="N9" s="659"/>
      <c r="O9" s="674"/>
      <c r="P9" s="674"/>
      <c r="Q9" s="659"/>
      <c r="R9" s="659"/>
      <c r="S9" s="659"/>
      <c r="T9" s="659"/>
      <c r="U9" s="659"/>
      <c r="V9" s="659"/>
      <c r="W9" s="674"/>
      <c r="X9" s="674"/>
      <c r="Y9" s="674"/>
      <c r="Z9" s="625"/>
      <c r="AA9" s="624"/>
    </row>
    <row r="10" spans="1:34" ht="15.75" thickBot="1" x14ac:dyDescent="0.3">
      <c r="A10" s="750"/>
      <c r="B10" s="762" t="s">
        <v>934</v>
      </c>
      <c r="C10" s="758"/>
      <c r="D10" s="759"/>
      <c r="E10" s="664"/>
      <c r="F10" s="664"/>
      <c r="G10" s="664"/>
      <c r="H10" s="664"/>
      <c r="I10" s="664"/>
      <c r="J10" s="664"/>
      <c r="K10" s="664"/>
      <c r="L10" s="659"/>
      <c r="M10" s="659"/>
      <c r="N10" s="659"/>
      <c r="O10" s="674"/>
      <c r="P10" s="674"/>
      <c r="Q10" s="659"/>
      <c r="R10" s="659"/>
      <c r="S10" s="659"/>
      <c r="T10" s="659"/>
      <c r="U10" s="659"/>
      <c r="V10" s="659"/>
      <c r="W10" s="674"/>
      <c r="X10" s="674"/>
      <c r="Y10" s="674"/>
      <c r="Z10" s="625"/>
      <c r="AA10" s="624"/>
    </row>
    <row r="11" spans="1:34" s="776" customFormat="1" ht="23.25" thickBot="1" x14ac:dyDescent="0.3">
      <c r="A11" s="963" t="s">
        <v>31</v>
      </c>
      <c r="B11" s="763" t="s">
        <v>1136</v>
      </c>
      <c r="C11" s="764" t="s">
        <v>1137</v>
      </c>
      <c r="D11" s="765"/>
      <c r="E11" s="429" t="s">
        <v>740</v>
      </c>
      <c r="F11" s="766" t="s">
        <v>51</v>
      </c>
      <c r="G11" s="766" t="s">
        <v>1138</v>
      </c>
      <c r="H11" s="767" t="s">
        <v>757</v>
      </c>
      <c r="I11" s="767"/>
      <c r="J11" s="430" t="s">
        <v>1139</v>
      </c>
      <c r="K11" s="768" t="s">
        <v>400</v>
      </c>
      <c r="L11" s="769" t="s">
        <v>1140</v>
      </c>
      <c r="M11" s="770" t="s">
        <v>35</v>
      </c>
      <c r="N11" s="770" t="s">
        <v>38</v>
      </c>
      <c r="O11" s="771" t="s">
        <v>742</v>
      </c>
      <c r="P11" s="770" t="s">
        <v>1141</v>
      </c>
      <c r="Q11" s="772" t="s">
        <v>751</v>
      </c>
      <c r="R11" s="968" t="s">
        <v>752</v>
      </c>
      <c r="S11" s="969"/>
      <c r="T11" s="773" t="s">
        <v>108</v>
      </c>
      <c r="U11" s="771" t="s">
        <v>757</v>
      </c>
      <c r="V11" s="773" t="s">
        <v>758</v>
      </c>
      <c r="W11" s="774" t="s">
        <v>759</v>
      </c>
      <c r="X11" s="775" t="s">
        <v>760</v>
      </c>
      <c r="Y11" s="773" t="s">
        <v>761</v>
      </c>
      <c r="Z11" s="400"/>
    </row>
    <row r="12" spans="1:34" s="776" customFormat="1" ht="15.75" thickBot="1" x14ac:dyDescent="0.3">
      <c r="A12" s="964"/>
      <c r="B12" s="777" t="s">
        <v>917</v>
      </c>
      <c r="C12" s="758" t="s">
        <v>1137</v>
      </c>
      <c r="D12" s="778"/>
      <c r="E12" s="650"/>
      <c r="F12" s="779"/>
      <c r="G12" s="400"/>
      <c r="H12" s="400"/>
      <c r="I12" s="400"/>
      <c r="J12" s="780"/>
      <c r="K12" s="781"/>
      <c r="L12" s="782">
        <f>HYPERLINK("https://eu1.salesforce.com/"&amp;E12,F12)</f>
        <v>0</v>
      </c>
      <c r="M12" s="651"/>
      <c r="N12" s="651"/>
      <c r="O12" s="783"/>
      <c r="P12" s="784">
        <v>1234567.8899999999</v>
      </c>
      <c r="Q12" s="784">
        <v>1234567.8899999999</v>
      </c>
      <c r="R12" s="970"/>
      <c r="S12" s="971"/>
      <c r="T12" s="785"/>
      <c r="U12" s="782">
        <f>HYPERLINK("https://eu1.salesforce.com/"&amp;G12,H12)</f>
        <v>0</v>
      </c>
      <c r="V12" s="786"/>
      <c r="W12" s="784"/>
      <c r="X12" s="786"/>
      <c r="Y12" s="786"/>
    </row>
    <row r="13" spans="1:34" x14ac:dyDescent="0.25">
      <c r="A13" s="964"/>
      <c r="B13" s="757" t="s">
        <v>923</v>
      </c>
      <c r="C13" s="758"/>
      <c r="D13" s="759"/>
      <c r="E13" s="664">
        <v>0.5</v>
      </c>
      <c r="F13" s="664"/>
      <c r="J13" s="664">
        <v>0.5</v>
      </c>
      <c r="K13" s="664">
        <v>17</v>
      </c>
      <c r="L13" s="659" t="s">
        <v>929</v>
      </c>
      <c r="M13" s="659" t="s">
        <v>83</v>
      </c>
      <c r="N13" s="659" t="s">
        <v>80</v>
      </c>
      <c r="O13" s="659" t="s">
        <v>928</v>
      </c>
      <c r="P13" s="659" t="s">
        <v>1142</v>
      </c>
      <c r="Q13" s="659" t="s">
        <v>1142</v>
      </c>
      <c r="R13" s="659" t="s">
        <v>1143</v>
      </c>
      <c r="S13" s="659"/>
      <c r="T13" s="877" t="s">
        <v>1306</v>
      </c>
      <c r="U13" s="659" t="s">
        <v>185</v>
      </c>
      <c r="V13" s="659" t="s">
        <v>185</v>
      </c>
      <c r="W13" s="659" t="s">
        <v>1142</v>
      </c>
      <c r="X13" s="659" t="s">
        <v>59</v>
      </c>
      <c r="Y13" s="659" t="s">
        <v>243</v>
      </c>
      <c r="AA13" s="625"/>
      <c r="AB13" s="624"/>
    </row>
    <row r="14" spans="1:34" x14ac:dyDescent="0.25">
      <c r="A14" s="964"/>
      <c r="B14" s="757" t="s">
        <v>927</v>
      </c>
      <c r="C14" s="758"/>
      <c r="D14" s="759"/>
      <c r="E14" s="664">
        <v>1</v>
      </c>
      <c r="F14" s="664">
        <v>9</v>
      </c>
      <c r="G14" s="664">
        <v>25</v>
      </c>
      <c r="H14" s="780">
        <v>25</v>
      </c>
      <c r="I14" s="780"/>
      <c r="J14" s="664" t="s">
        <v>1086</v>
      </c>
      <c r="K14" s="664">
        <v>19</v>
      </c>
      <c r="L14" s="659"/>
      <c r="M14" s="659" t="s">
        <v>119</v>
      </c>
      <c r="N14" s="659" t="s">
        <v>33</v>
      </c>
      <c r="O14" s="659" t="s">
        <v>185</v>
      </c>
      <c r="P14" s="659" t="s">
        <v>80</v>
      </c>
      <c r="Q14" s="659" t="s">
        <v>928</v>
      </c>
      <c r="R14" s="659" t="s">
        <v>244</v>
      </c>
      <c r="S14" s="659"/>
      <c r="T14" s="659" t="s">
        <v>929</v>
      </c>
      <c r="U14" s="659"/>
      <c r="V14" s="659" t="s">
        <v>1144</v>
      </c>
      <c r="W14" s="659" t="s">
        <v>1005</v>
      </c>
      <c r="X14" s="659" t="s">
        <v>1006</v>
      </c>
      <c r="Y14" s="659" t="s">
        <v>1145</v>
      </c>
      <c r="AD14" s="629"/>
      <c r="AE14" s="629"/>
      <c r="AF14" s="629"/>
      <c r="AG14" s="629"/>
      <c r="AH14" s="629"/>
    </row>
    <row r="15" spans="1:34" x14ac:dyDescent="0.25">
      <c r="A15" s="964"/>
      <c r="B15" s="757" t="s">
        <v>931</v>
      </c>
      <c r="C15" s="758"/>
      <c r="D15" s="759"/>
      <c r="E15" s="664"/>
      <c r="F15" s="664"/>
      <c r="G15" s="664" t="s">
        <v>933</v>
      </c>
      <c r="H15" s="400" t="s">
        <v>1146</v>
      </c>
      <c r="J15" s="664"/>
      <c r="K15" s="787" t="s">
        <v>774</v>
      </c>
      <c r="L15" s="674"/>
      <c r="M15" s="674"/>
      <c r="N15" s="674"/>
      <c r="O15" s="674"/>
      <c r="P15" s="674"/>
      <c r="Q15" s="674"/>
      <c r="R15" s="674"/>
      <c r="S15" s="674"/>
      <c r="T15" s="674"/>
      <c r="U15" s="674"/>
      <c r="V15" s="674"/>
      <c r="W15" s="674"/>
      <c r="X15" s="674"/>
      <c r="Y15" s="674"/>
      <c r="AD15" s="629"/>
      <c r="AE15" s="629"/>
      <c r="AF15" s="629"/>
      <c r="AG15" s="629"/>
      <c r="AH15" s="629"/>
    </row>
    <row r="16" spans="1:34" ht="15.75" thickBot="1" x14ac:dyDescent="0.3">
      <c r="A16" s="965"/>
      <c r="B16" s="762" t="s">
        <v>934</v>
      </c>
      <c r="C16" s="788"/>
      <c r="D16" s="789"/>
      <c r="E16" s="790"/>
      <c r="F16" s="790"/>
      <c r="G16" s="790" t="s">
        <v>1147</v>
      </c>
      <c r="J16" s="790" t="s">
        <v>1148</v>
      </c>
      <c r="K16" s="790"/>
      <c r="L16" s="674"/>
      <c r="M16" s="674"/>
      <c r="N16" s="674"/>
      <c r="O16" s="674"/>
      <c r="P16" s="674"/>
      <c r="Q16" s="674"/>
      <c r="R16" s="674"/>
      <c r="S16" s="674"/>
      <c r="T16" s="674"/>
      <c r="U16" s="674"/>
      <c r="V16" s="674"/>
      <c r="W16" s="674"/>
      <c r="AB16" s="629"/>
      <c r="AC16" s="629"/>
      <c r="AD16" s="629"/>
      <c r="AE16" s="629"/>
      <c r="AF16" s="629"/>
    </row>
    <row r="17" spans="1:37" s="776" customFormat="1" ht="30.75" thickBot="1" x14ac:dyDescent="0.3">
      <c r="A17" s="963" t="s">
        <v>68</v>
      </c>
      <c r="B17" s="597" t="s">
        <v>894</v>
      </c>
      <c r="C17" s="764" t="s">
        <v>1137</v>
      </c>
      <c r="D17" s="765"/>
      <c r="E17" s="791" t="s">
        <v>741</v>
      </c>
      <c r="F17" s="791"/>
      <c r="G17" s="791"/>
      <c r="H17" s="792" t="s">
        <v>1149</v>
      </c>
      <c r="I17" s="792"/>
      <c r="J17" s="793" t="s">
        <v>117</v>
      </c>
      <c r="K17" s="794"/>
      <c r="L17" s="795" t="s">
        <v>1150</v>
      </c>
      <c r="M17" s="796" t="s">
        <v>1151</v>
      </c>
      <c r="N17" s="797" t="s">
        <v>1152</v>
      </c>
      <c r="O17" s="797" t="s">
        <v>1153</v>
      </c>
      <c r="P17" s="798" t="s">
        <v>1154</v>
      </c>
      <c r="Q17" s="798" t="s">
        <v>1155</v>
      </c>
      <c r="R17" s="972" t="s">
        <v>1156</v>
      </c>
      <c r="S17" s="973"/>
      <c r="T17" s="795" t="s">
        <v>1157</v>
      </c>
      <c r="W17" s="795" t="s">
        <v>1158</v>
      </c>
      <c r="X17" s="799"/>
    </row>
    <row r="18" spans="1:37" s="776" customFormat="1" ht="15.75" thickBot="1" x14ac:dyDescent="0.3">
      <c r="A18" s="964"/>
      <c r="B18" s="777" t="s">
        <v>917</v>
      </c>
      <c r="C18" s="758" t="s">
        <v>1159</v>
      </c>
      <c r="D18" s="800">
        <f>E12</f>
        <v>0</v>
      </c>
      <c r="H18" s="801"/>
      <c r="I18" s="801"/>
      <c r="J18" s="802"/>
      <c r="K18" s="803"/>
      <c r="L18" s="804"/>
      <c r="M18" s="805"/>
      <c r="N18" s="806"/>
      <c r="O18" s="806"/>
      <c r="P18" s="806"/>
      <c r="Q18" s="805"/>
      <c r="R18" s="974"/>
      <c r="S18" s="975"/>
      <c r="T18" s="807"/>
      <c r="W18" s="906"/>
      <c r="X18" s="799"/>
    </row>
    <row r="19" spans="1:37" x14ac:dyDescent="0.25">
      <c r="A19" s="964"/>
      <c r="B19" s="757" t="s">
        <v>923</v>
      </c>
      <c r="C19" s="758"/>
      <c r="D19" s="759"/>
      <c r="E19" s="439">
        <v>0.5</v>
      </c>
      <c r="F19" s="439"/>
      <c r="G19" s="439"/>
      <c r="H19" s="439">
        <v>0.5</v>
      </c>
      <c r="I19" s="439"/>
      <c r="J19" s="439">
        <v>0.5</v>
      </c>
      <c r="K19" s="664"/>
      <c r="L19" s="809">
        <v>14</v>
      </c>
      <c r="M19" s="809">
        <v>10</v>
      </c>
      <c r="N19" s="809">
        <v>10</v>
      </c>
      <c r="O19" s="809">
        <v>10</v>
      </c>
      <c r="P19" s="809">
        <v>30</v>
      </c>
      <c r="Q19" s="809">
        <v>10</v>
      </c>
      <c r="R19" s="809">
        <v>40</v>
      </c>
      <c r="S19" s="809"/>
      <c r="T19" s="809">
        <v>26</v>
      </c>
      <c r="W19" s="659" t="s">
        <v>1142</v>
      </c>
      <c r="X19" s="780"/>
    </row>
    <row r="20" spans="1:37" x14ac:dyDescent="0.25">
      <c r="A20" s="964"/>
      <c r="B20" s="757" t="s">
        <v>927</v>
      </c>
      <c r="C20" s="758"/>
      <c r="D20" s="759"/>
      <c r="E20" s="891" t="s">
        <v>1308</v>
      </c>
      <c r="J20" s="674"/>
      <c r="K20" s="400"/>
      <c r="L20" s="891" t="s">
        <v>1308</v>
      </c>
      <c r="M20" s="780" t="s">
        <v>1308</v>
      </c>
      <c r="N20" s="809" t="s">
        <v>1308</v>
      </c>
      <c r="O20" s="809" t="s">
        <v>1308</v>
      </c>
      <c r="P20" s="809" t="s">
        <v>1308</v>
      </c>
      <c r="Q20" s="809" t="s">
        <v>1308</v>
      </c>
      <c r="R20" s="809" t="s">
        <v>1308</v>
      </c>
      <c r="S20" s="809"/>
      <c r="T20" s="809" t="s">
        <v>1308</v>
      </c>
      <c r="W20" s="809" t="s">
        <v>1308</v>
      </c>
      <c r="X20" s="780"/>
    </row>
    <row r="21" spans="1:37" x14ac:dyDescent="0.25">
      <c r="A21" s="964"/>
      <c r="B21" s="757" t="s">
        <v>931</v>
      </c>
      <c r="C21" s="758"/>
      <c r="D21" s="759"/>
      <c r="E21" s="780"/>
      <c r="K21" s="400"/>
      <c r="L21" s="780"/>
      <c r="M21" s="780"/>
      <c r="N21" s="780"/>
      <c r="O21" s="780"/>
      <c r="P21" s="780"/>
      <c r="Q21" s="780"/>
      <c r="R21" s="780"/>
      <c r="S21" s="780"/>
      <c r="T21" s="780"/>
      <c r="W21" s="780"/>
      <c r="X21" s="780"/>
    </row>
    <row r="22" spans="1:37" s="616" customFormat="1" ht="15.75" thickBot="1" x14ac:dyDescent="0.3">
      <c r="A22" s="965"/>
      <c r="B22" s="762" t="s">
        <v>934</v>
      </c>
      <c r="C22" s="810"/>
      <c r="D22" s="811"/>
      <c r="E22" s="812" t="s">
        <v>1160</v>
      </c>
      <c r="F22" s="812"/>
      <c r="G22" s="400"/>
      <c r="H22" s="400"/>
      <c r="I22" s="400"/>
      <c r="J22" s="674"/>
      <c r="K22" s="790"/>
      <c r="L22" s="812" t="s">
        <v>1161</v>
      </c>
      <c r="M22" s="812" t="s">
        <v>1162</v>
      </c>
      <c r="N22" s="812" t="s">
        <v>1163</v>
      </c>
      <c r="O22" s="812" t="s">
        <v>1164</v>
      </c>
      <c r="P22" s="812" t="s">
        <v>1165</v>
      </c>
      <c r="Q22" s="812" t="s">
        <v>1166</v>
      </c>
      <c r="R22" s="812" t="s">
        <v>1167</v>
      </c>
      <c r="S22" s="809"/>
      <c r="T22" s="812" t="s">
        <v>1168</v>
      </c>
      <c r="U22" s="812"/>
      <c r="W22" s="812" t="s">
        <v>1169</v>
      </c>
      <c r="Y22" s="813"/>
      <c r="Z22" s="400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</row>
    <row r="23" spans="1:37" ht="30.75" thickBot="1" x14ac:dyDescent="0.3">
      <c r="A23" s="963" t="s">
        <v>64</v>
      </c>
      <c r="B23" s="814" t="s">
        <v>1170</v>
      </c>
      <c r="C23" s="764" t="s">
        <v>1137</v>
      </c>
      <c r="D23" s="765"/>
      <c r="E23" s="430" t="s">
        <v>946</v>
      </c>
      <c r="F23" s="430" t="s">
        <v>1171</v>
      </c>
      <c r="G23" s="430" t="s">
        <v>870</v>
      </c>
      <c r="H23" s="815" t="s">
        <v>1172</v>
      </c>
      <c r="I23" s="815" t="s">
        <v>1138</v>
      </c>
      <c r="J23" s="816" t="s">
        <v>117</v>
      </c>
      <c r="K23" s="817"/>
      <c r="L23" s="976" t="s">
        <v>870</v>
      </c>
      <c r="M23" s="977"/>
      <c r="N23" s="818" t="s">
        <v>1173</v>
      </c>
      <c r="O23" s="819" t="s">
        <v>1174</v>
      </c>
      <c r="P23" s="819" t="s">
        <v>1175</v>
      </c>
      <c r="Q23" s="819" t="s">
        <v>1176</v>
      </c>
      <c r="R23" s="819" t="s">
        <v>1177</v>
      </c>
      <c r="S23" s="819" t="s">
        <v>1178</v>
      </c>
      <c r="T23" s="819" t="s">
        <v>108</v>
      </c>
      <c r="U23" s="819" t="s">
        <v>757</v>
      </c>
      <c r="V23" s="819" t="s">
        <v>101</v>
      </c>
      <c r="W23" s="819" t="s">
        <v>82</v>
      </c>
      <c r="X23" s="819" t="s">
        <v>1179</v>
      </c>
      <c r="Y23" s="819" t="s">
        <v>126</v>
      </c>
      <c r="Z23" s="617"/>
      <c r="AA23" s="617"/>
      <c r="AB23" s="617"/>
    </row>
    <row r="24" spans="1:37" ht="15.75" thickBot="1" x14ac:dyDescent="0.3">
      <c r="A24" s="964"/>
      <c r="B24" s="777" t="s">
        <v>917</v>
      </c>
      <c r="C24" s="820" t="str">
        <f>IF(LEN(J12)=0,"",J12)</f>
        <v/>
      </c>
      <c r="D24" s="821">
        <v>1</v>
      </c>
      <c r="F24" s="822"/>
      <c r="G24" s="439"/>
      <c r="H24" s="823"/>
      <c r="I24" s="823"/>
      <c r="J24" s="824"/>
      <c r="K24" s="825" t="s">
        <v>1180</v>
      </c>
      <c r="L24" s="978">
        <f>HYPERLINK("https://eu1.salesforce.com/"&amp;F24,G24)</f>
        <v>0</v>
      </c>
      <c r="M24" s="979"/>
      <c r="N24" s="616"/>
      <c r="O24" s="616"/>
      <c r="P24" s="826"/>
      <c r="Q24" s="616"/>
      <c r="R24" s="616"/>
      <c r="S24" s="616"/>
      <c r="T24" s="827"/>
      <c r="U24" s="828">
        <f>HYPERLINK("https://eu1.salesforce.com/"&amp;I24,H24)</f>
        <v>0</v>
      </c>
      <c r="V24" s="616"/>
      <c r="W24" s="616"/>
      <c r="X24" s="617"/>
      <c r="Y24" s="617"/>
      <c r="Z24" s="617"/>
      <c r="AA24" s="617"/>
      <c r="AB24" s="617"/>
    </row>
    <row r="25" spans="1:37" ht="15.75" thickBot="1" x14ac:dyDescent="0.3">
      <c r="A25" s="964"/>
      <c r="B25" s="757" t="s">
        <v>923</v>
      </c>
      <c r="C25" s="758"/>
      <c r="D25" s="759"/>
      <c r="E25" s="439">
        <v>0.5</v>
      </c>
      <c r="F25" s="439"/>
      <c r="G25" s="439"/>
      <c r="H25" s="439">
        <v>10</v>
      </c>
      <c r="I25" s="439"/>
      <c r="J25" s="439">
        <v>0.5</v>
      </c>
      <c r="K25" s="664"/>
      <c r="L25" s="829" t="s">
        <v>929</v>
      </c>
      <c r="M25" s="829"/>
      <c r="N25" s="829" t="s">
        <v>80</v>
      </c>
      <c r="O25" s="829"/>
      <c r="P25" s="659" t="s">
        <v>1181</v>
      </c>
      <c r="Q25" s="659" t="s">
        <v>1182</v>
      </c>
      <c r="R25" s="829"/>
      <c r="S25" s="829"/>
      <c r="T25" s="829" t="s">
        <v>80</v>
      </c>
      <c r="U25" s="829" t="s">
        <v>80</v>
      </c>
      <c r="V25" s="829" t="s">
        <v>80</v>
      </c>
      <c r="W25" s="829" t="s">
        <v>185</v>
      </c>
      <c r="X25" s="829" t="s">
        <v>185</v>
      </c>
      <c r="Y25" s="829" t="s">
        <v>185</v>
      </c>
      <c r="AB25" s="624"/>
      <c r="AD25" s="625"/>
      <c r="AE25" s="624"/>
    </row>
    <row r="26" spans="1:37" ht="15.75" thickBot="1" x14ac:dyDescent="0.3">
      <c r="A26" s="964"/>
      <c r="B26" s="757" t="s">
        <v>927</v>
      </c>
      <c r="C26" s="758" t="s">
        <v>168</v>
      </c>
      <c r="D26" s="830" t="s">
        <v>185</v>
      </c>
      <c r="E26" s="831" t="s">
        <v>1183</v>
      </c>
      <c r="F26" s="780" t="s">
        <v>168</v>
      </c>
      <c r="G26" s="780">
        <v>3</v>
      </c>
      <c r="H26" s="809" t="s">
        <v>1184</v>
      </c>
      <c r="I26" s="809" t="s">
        <v>1184</v>
      </c>
      <c r="J26" s="809"/>
      <c r="K26" s="832"/>
      <c r="L26" s="780"/>
      <c r="M26" s="780"/>
      <c r="N26" s="809" t="s">
        <v>938</v>
      </c>
      <c r="O26" s="809">
        <v>26</v>
      </c>
      <c r="P26" s="809" t="s">
        <v>962</v>
      </c>
      <c r="Q26" s="780" t="s">
        <v>1185</v>
      </c>
      <c r="R26" s="780" t="s">
        <v>145</v>
      </c>
      <c r="S26" s="829" t="s">
        <v>928</v>
      </c>
      <c r="T26" s="809" t="s">
        <v>80</v>
      </c>
      <c r="U26" s="809"/>
      <c r="V26" s="658"/>
      <c r="W26" s="658"/>
      <c r="X26" s="658"/>
      <c r="Y26" s="658"/>
      <c r="AG26" s="629"/>
      <c r="AH26" s="629"/>
      <c r="AI26" s="629"/>
      <c r="AJ26" s="629"/>
      <c r="AK26" s="629"/>
    </row>
    <row r="27" spans="1:37" x14ac:dyDescent="0.25">
      <c r="A27" s="964"/>
      <c r="B27" s="757" t="s">
        <v>931</v>
      </c>
      <c r="C27" s="758"/>
      <c r="D27" s="759"/>
      <c r="E27" s="907" t="s">
        <v>1444</v>
      </c>
      <c r="K27" s="834" t="s">
        <v>1186</v>
      </c>
      <c r="L27" s="834" t="s">
        <v>1187</v>
      </c>
      <c r="M27" s="673"/>
      <c r="N27" s="673"/>
      <c r="O27" s="673"/>
      <c r="T27" s="673"/>
      <c r="U27" s="834" t="s">
        <v>1187</v>
      </c>
      <c r="AG27" s="629"/>
      <c r="AH27" s="629"/>
      <c r="AI27" s="629"/>
      <c r="AJ27" s="629"/>
      <c r="AK27" s="629"/>
    </row>
    <row r="28" spans="1:37" ht="15.75" thickBot="1" x14ac:dyDescent="0.3">
      <c r="A28" s="965"/>
      <c r="B28" s="762" t="s">
        <v>934</v>
      </c>
      <c r="C28" s="788"/>
      <c r="D28" s="811"/>
      <c r="E28" s="423"/>
      <c r="H28" s="790" t="s">
        <v>1188</v>
      </c>
      <c r="I28" s="790" t="s">
        <v>1189</v>
      </c>
      <c r="K28" s="400"/>
      <c r="L28" s="674"/>
      <c r="AB28" s="628"/>
      <c r="AF28" s="629"/>
      <c r="AG28" s="629"/>
      <c r="AH28" s="629"/>
      <c r="AI28" s="629"/>
      <c r="AJ28" s="629"/>
    </row>
    <row r="29" spans="1:37" x14ac:dyDescent="0.25">
      <c r="K29" s="400"/>
    </row>
    <row r="30" spans="1:37" ht="15.75" thickBot="1" x14ac:dyDescent="0.3">
      <c r="A30" s="607" t="s">
        <v>1190</v>
      </c>
    </row>
    <row r="31" spans="1:37" s="616" customFormat="1" ht="15.75" thickBot="1" x14ac:dyDescent="0.3">
      <c r="A31" s="400"/>
      <c r="B31" s="744" t="s">
        <v>1133</v>
      </c>
      <c r="C31" s="752" t="s">
        <v>964</v>
      </c>
      <c r="D31" s="752" t="s">
        <v>962</v>
      </c>
      <c r="K31" s="746"/>
      <c r="L31" s="747" t="s">
        <v>141</v>
      </c>
      <c r="M31" s="748" t="s">
        <v>1134</v>
      </c>
      <c r="N31" s="749" t="s">
        <v>1135</v>
      </c>
      <c r="P31" s="617"/>
      <c r="Q31" s="618"/>
      <c r="R31" s="619"/>
      <c r="S31" s="62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</row>
    <row r="32" spans="1:37" s="746" customFormat="1" x14ac:dyDescent="0.25">
      <c r="A32" s="750"/>
      <c r="B32" s="751"/>
      <c r="C32" s="752"/>
      <c r="D32" s="753"/>
      <c r="L32" s="754"/>
      <c r="M32" s="754"/>
      <c r="N32" s="755"/>
      <c r="Q32" s="659"/>
      <c r="R32" s="618"/>
      <c r="S32" s="619"/>
      <c r="T32" s="620"/>
      <c r="U32" s="674"/>
      <c r="V32" s="674"/>
      <c r="W32" s="674"/>
      <c r="X32" s="674"/>
      <c r="Y32" s="674"/>
      <c r="Z32" s="674"/>
      <c r="AA32" s="674"/>
      <c r="AB32" s="674"/>
      <c r="AC32" s="674"/>
      <c r="AD32" s="674"/>
    </row>
    <row r="33" spans="1:35" x14ac:dyDescent="0.25">
      <c r="A33" s="756">
        <v>0</v>
      </c>
      <c r="B33" s="757" t="s">
        <v>65</v>
      </c>
      <c r="C33" s="758" t="s">
        <v>65</v>
      </c>
      <c r="D33" s="759" t="s">
        <v>65</v>
      </c>
      <c r="E33" s="760">
        <v>0</v>
      </c>
      <c r="F33" s="760">
        <v>0</v>
      </c>
      <c r="G33" s="760">
        <v>0</v>
      </c>
      <c r="H33" s="760">
        <v>0</v>
      </c>
      <c r="I33" s="760"/>
      <c r="J33" s="760">
        <v>0</v>
      </c>
      <c r="K33" s="760">
        <v>17</v>
      </c>
      <c r="L33" s="761" t="s">
        <v>929</v>
      </c>
      <c r="M33" s="761" t="s">
        <v>83</v>
      </c>
      <c r="N33" s="761" t="s">
        <v>83</v>
      </c>
      <c r="O33" s="761" t="s">
        <v>963</v>
      </c>
      <c r="P33" s="761" t="s">
        <v>929</v>
      </c>
      <c r="Q33" s="761" t="s">
        <v>962</v>
      </c>
      <c r="R33" s="761" t="s">
        <v>80</v>
      </c>
      <c r="S33" s="761" t="s">
        <v>50</v>
      </c>
      <c r="T33" s="761" t="s">
        <v>80</v>
      </c>
      <c r="U33" s="761" t="s">
        <v>80</v>
      </c>
      <c r="V33" s="761" t="s">
        <v>80</v>
      </c>
      <c r="W33" s="761" t="s">
        <v>243</v>
      </c>
      <c r="X33" s="761" t="s">
        <v>59</v>
      </c>
      <c r="Y33" s="761" t="s">
        <v>243</v>
      </c>
      <c r="AA33" s="625"/>
      <c r="AB33" s="624"/>
    </row>
    <row r="34" spans="1:35" x14ac:dyDescent="0.25">
      <c r="A34" s="750"/>
      <c r="B34" s="757" t="s">
        <v>927</v>
      </c>
      <c r="C34" s="758"/>
      <c r="D34" s="759"/>
      <c r="E34" s="664"/>
      <c r="F34" s="664"/>
      <c r="G34" s="664"/>
      <c r="H34" s="664"/>
      <c r="I34" s="664"/>
      <c r="J34" s="664"/>
      <c r="K34" s="664"/>
      <c r="L34" s="659"/>
      <c r="M34" s="659"/>
      <c r="N34" s="659"/>
      <c r="O34" s="674"/>
      <c r="P34" s="674"/>
      <c r="Q34" s="659"/>
      <c r="R34" s="659"/>
      <c r="S34" s="659"/>
      <c r="T34" s="659"/>
      <c r="U34" s="659"/>
      <c r="V34" s="659"/>
      <c r="W34" s="674"/>
      <c r="X34" s="674"/>
      <c r="Y34" s="674"/>
      <c r="Z34" s="625"/>
      <c r="AA34" s="624"/>
    </row>
    <row r="35" spans="1:35" x14ac:dyDescent="0.25">
      <c r="A35" s="750"/>
      <c r="B35" s="757" t="s">
        <v>931</v>
      </c>
      <c r="C35" s="758"/>
      <c r="D35" s="759"/>
      <c r="E35" s="664"/>
      <c r="F35" s="664"/>
      <c r="G35" s="664"/>
      <c r="H35" s="664"/>
      <c r="I35" s="664"/>
      <c r="J35" s="664"/>
      <c r="K35" s="664"/>
      <c r="L35" s="659"/>
      <c r="M35" s="659"/>
      <c r="N35" s="659"/>
      <c r="O35" s="674"/>
      <c r="P35" s="674"/>
      <c r="Q35" s="659"/>
      <c r="R35" s="659"/>
      <c r="S35" s="659"/>
      <c r="T35" s="659"/>
      <c r="U35" s="659"/>
      <c r="V35" s="659"/>
      <c r="W35" s="674"/>
      <c r="X35" s="674"/>
      <c r="Y35" s="674"/>
      <c r="Z35" s="625"/>
      <c r="AA35" s="624"/>
    </row>
    <row r="36" spans="1:35" ht="15.75" thickBot="1" x14ac:dyDescent="0.3">
      <c r="A36" s="750"/>
      <c r="B36" s="762" t="s">
        <v>934</v>
      </c>
      <c r="C36" s="758"/>
      <c r="D36" s="759"/>
      <c r="E36" s="664"/>
      <c r="F36" s="664"/>
      <c r="G36" s="664"/>
      <c r="H36" s="664"/>
      <c r="I36" s="664"/>
      <c r="J36" s="664"/>
      <c r="K36" s="664"/>
      <c r="L36" s="659"/>
      <c r="M36" s="659"/>
      <c r="N36" s="659"/>
      <c r="O36" s="674"/>
      <c r="P36" s="674"/>
      <c r="Q36" s="659"/>
      <c r="R36" s="659"/>
      <c r="S36" s="659"/>
      <c r="T36" s="659"/>
      <c r="U36" s="659"/>
      <c r="V36" s="659"/>
      <c r="W36" s="674"/>
      <c r="X36" s="674"/>
      <c r="Y36" s="674"/>
      <c r="Z36" s="625"/>
      <c r="AA36" s="624"/>
    </row>
    <row r="37" spans="1:35" s="776" customFormat="1" ht="23.25" thickBot="1" x14ac:dyDescent="0.3">
      <c r="A37" s="963" t="s">
        <v>31</v>
      </c>
      <c r="B37" s="763" t="s">
        <v>1136</v>
      </c>
      <c r="C37" s="764" t="s">
        <v>1137</v>
      </c>
      <c r="D37" s="765"/>
      <c r="E37" s="429" t="s">
        <v>740</v>
      </c>
      <c r="F37" s="766" t="s">
        <v>51</v>
      </c>
      <c r="G37" s="766" t="s">
        <v>1138</v>
      </c>
      <c r="H37" s="767" t="s">
        <v>757</v>
      </c>
      <c r="I37" s="767"/>
      <c r="J37" s="430" t="s">
        <v>1139</v>
      </c>
      <c r="K37" s="768" t="s">
        <v>400</v>
      </c>
      <c r="L37" s="769" t="s">
        <v>1140</v>
      </c>
      <c r="M37" s="770" t="s">
        <v>35</v>
      </c>
      <c r="N37" s="770" t="s">
        <v>38</v>
      </c>
      <c r="O37" s="771" t="s">
        <v>742</v>
      </c>
      <c r="P37" s="770" t="s">
        <v>1141</v>
      </c>
      <c r="Q37" s="772" t="s">
        <v>751</v>
      </c>
      <c r="R37" s="968" t="s">
        <v>752</v>
      </c>
      <c r="S37" s="969"/>
      <c r="T37" s="773" t="s">
        <v>108</v>
      </c>
      <c r="U37" s="771" t="s">
        <v>757</v>
      </c>
      <c r="V37" s="773" t="s">
        <v>758</v>
      </c>
      <c r="W37" s="774" t="s">
        <v>759</v>
      </c>
      <c r="X37" s="775" t="s">
        <v>760</v>
      </c>
      <c r="Y37" s="773" t="s">
        <v>761</v>
      </c>
      <c r="Z37" s="400"/>
    </row>
    <row r="38" spans="1:35" s="776" customFormat="1" ht="15.75" thickBot="1" x14ac:dyDescent="0.3">
      <c r="A38" s="964"/>
      <c r="B38" s="777" t="s">
        <v>917</v>
      </c>
      <c r="C38" s="758" t="s">
        <v>1137</v>
      </c>
      <c r="D38" s="778"/>
      <c r="E38" s="650"/>
      <c r="F38" s="779"/>
      <c r="G38" s="400"/>
      <c r="H38" s="400"/>
      <c r="I38" s="400"/>
      <c r="J38" s="780"/>
      <c r="K38" s="781"/>
      <c r="L38" s="782">
        <f>HYPERLINK("https://eu1.salesforce.com/"&amp;E38,F38)</f>
        <v>0</v>
      </c>
      <c r="M38" s="651"/>
      <c r="N38" s="651"/>
      <c r="O38" s="783"/>
      <c r="P38" s="784">
        <v>1234567.8899999999</v>
      </c>
      <c r="Q38" s="784">
        <v>1234567.8899999999</v>
      </c>
      <c r="R38" s="970"/>
      <c r="S38" s="971"/>
      <c r="T38" s="785"/>
      <c r="U38" s="782">
        <f>HYPERLINK("https://eu1.salesforce.com/"&amp;G38,H38)</f>
        <v>0</v>
      </c>
      <c r="V38" s="786"/>
      <c r="W38" s="786"/>
      <c r="X38" s="786"/>
      <c r="Y38" s="786"/>
    </row>
    <row r="39" spans="1:35" x14ac:dyDescent="0.25">
      <c r="A39" s="964"/>
      <c r="B39" s="757" t="s">
        <v>923</v>
      </c>
      <c r="C39" s="758"/>
      <c r="D39" s="759"/>
      <c r="E39" s="664">
        <v>0.5</v>
      </c>
      <c r="F39" s="664"/>
      <c r="J39" s="664">
        <v>0.5</v>
      </c>
      <c r="K39" s="664">
        <v>17</v>
      </c>
      <c r="L39" s="659" t="s">
        <v>929</v>
      </c>
      <c r="M39" s="659" t="s">
        <v>83</v>
      </c>
      <c r="N39" s="659" t="s">
        <v>80</v>
      </c>
      <c r="O39" s="659" t="s">
        <v>928</v>
      </c>
      <c r="P39" s="659" t="s">
        <v>1142</v>
      </c>
      <c r="Q39" s="659" t="s">
        <v>1142</v>
      </c>
      <c r="R39" s="659" t="s">
        <v>1143</v>
      </c>
      <c r="S39" s="659"/>
      <c r="T39" s="659" t="s">
        <v>80</v>
      </c>
      <c r="U39" s="659" t="s">
        <v>185</v>
      </c>
      <c r="V39" s="659" t="s">
        <v>185</v>
      </c>
      <c r="W39" s="659" t="s">
        <v>1142</v>
      </c>
      <c r="X39" s="659" t="s">
        <v>59</v>
      </c>
      <c r="Y39" s="659" t="s">
        <v>243</v>
      </c>
      <c r="AA39" s="625"/>
      <c r="AB39" s="624"/>
    </row>
    <row r="40" spans="1:35" x14ac:dyDescent="0.25">
      <c r="A40" s="964"/>
      <c r="B40" s="757" t="s">
        <v>927</v>
      </c>
      <c r="C40" s="758"/>
      <c r="D40" s="759"/>
      <c r="E40" s="664">
        <v>1</v>
      </c>
      <c r="F40" s="664">
        <v>9</v>
      </c>
      <c r="G40" s="664">
        <v>25</v>
      </c>
      <c r="H40" s="780">
        <v>25</v>
      </c>
      <c r="I40" s="780"/>
      <c r="J40" s="664" t="s">
        <v>1086</v>
      </c>
      <c r="K40" s="664">
        <v>19</v>
      </c>
      <c r="L40" s="659"/>
      <c r="M40" s="659" t="s">
        <v>119</v>
      </c>
      <c r="N40" s="659" t="s">
        <v>33</v>
      </c>
      <c r="O40" s="659" t="s">
        <v>185</v>
      </c>
      <c r="P40" s="659" t="s">
        <v>80</v>
      </c>
      <c r="Q40" s="659" t="s">
        <v>928</v>
      </c>
      <c r="R40" s="659" t="s">
        <v>244</v>
      </c>
      <c r="S40" s="659"/>
      <c r="T40" s="659" t="s">
        <v>929</v>
      </c>
      <c r="U40" s="659"/>
      <c r="V40" s="659" t="s">
        <v>1144</v>
      </c>
      <c r="W40" s="659" t="s">
        <v>1005</v>
      </c>
      <c r="X40" s="659" t="s">
        <v>1006</v>
      </c>
      <c r="Y40" s="659" t="s">
        <v>1145</v>
      </c>
      <c r="AD40" s="629"/>
      <c r="AE40" s="629"/>
      <c r="AF40" s="629"/>
      <c r="AG40" s="629"/>
      <c r="AH40" s="629"/>
    </row>
    <row r="41" spans="1:35" x14ac:dyDescent="0.25">
      <c r="A41" s="964"/>
      <c r="B41" s="757" t="s">
        <v>931</v>
      </c>
      <c r="C41" s="758"/>
      <c r="D41" s="759"/>
      <c r="E41" s="664"/>
      <c r="F41" s="664"/>
      <c r="G41" s="664" t="s">
        <v>933</v>
      </c>
      <c r="H41" s="400" t="s">
        <v>1146</v>
      </c>
      <c r="J41" s="664"/>
      <c r="K41" s="787" t="s">
        <v>774</v>
      </c>
      <c r="L41" s="674"/>
      <c r="M41" s="674"/>
      <c r="N41" s="674"/>
      <c r="O41" s="674"/>
      <c r="P41" s="674"/>
      <c r="Q41" s="674"/>
      <c r="R41" s="674"/>
      <c r="S41" s="674"/>
      <c r="T41" s="674"/>
      <c r="U41" s="674"/>
      <c r="V41" s="674"/>
      <c r="W41" s="674"/>
      <c r="X41" s="674"/>
      <c r="Y41" s="674"/>
      <c r="AD41" s="629"/>
      <c r="AE41" s="629"/>
      <c r="AF41" s="629"/>
      <c r="AG41" s="629"/>
      <c r="AH41" s="629"/>
    </row>
    <row r="42" spans="1:35" ht="15.75" thickBot="1" x14ac:dyDescent="0.3">
      <c r="A42" s="965"/>
      <c r="B42" s="762" t="s">
        <v>934</v>
      </c>
      <c r="C42" s="788"/>
      <c r="D42" s="789"/>
      <c r="E42" s="790"/>
      <c r="F42" s="790"/>
      <c r="G42" s="790" t="s">
        <v>1147</v>
      </c>
      <c r="J42" s="790" t="s">
        <v>1148</v>
      </c>
      <c r="K42" s="790"/>
      <c r="L42" s="674"/>
      <c r="M42" s="674"/>
      <c r="N42" s="674"/>
      <c r="O42" s="674"/>
      <c r="P42" s="674"/>
      <c r="Q42" s="674"/>
      <c r="R42" s="674"/>
      <c r="S42" s="674"/>
      <c r="T42" s="674"/>
      <c r="U42" s="674"/>
      <c r="V42" s="674"/>
      <c r="W42" s="674"/>
      <c r="AB42" s="629"/>
      <c r="AC42" s="629"/>
      <c r="AD42" s="629"/>
      <c r="AE42" s="629"/>
      <c r="AF42" s="629"/>
    </row>
    <row r="43" spans="1:35" s="776" customFormat="1" ht="30.75" thickBot="1" x14ac:dyDescent="0.3">
      <c r="A43" s="963" t="s">
        <v>68</v>
      </c>
      <c r="B43" s="597" t="s">
        <v>894</v>
      </c>
      <c r="C43" s="764" t="s">
        <v>1137</v>
      </c>
      <c r="D43" s="765"/>
      <c r="E43" s="791" t="s">
        <v>741</v>
      </c>
      <c r="F43" s="791"/>
      <c r="G43" s="791"/>
      <c r="H43" s="792" t="s">
        <v>1149</v>
      </c>
      <c r="I43" s="792"/>
      <c r="J43" s="793" t="s">
        <v>117</v>
      </c>
      <c r="K43" s="794"/>
      <c r="L43" s="795" t="s">
        <v>1150</v>
      </c>
      <c r="M43" s="796" t="s">
        <v>1151</v>
      </c>
      <c r="N43" s="797" t="s">
        <v>1152</v>
      </c>
      <c r="O43" s="797" t="s">
        <v>1153</v>
      </c>
      <c r="P43" s="798" t="s">
        <v>1154</v>
      </c>
      <c r="Q43" s="798" t="s">
        <v>1155</v>
      </c>
      <c r="R43" s="972" t="s">
        <v>1156</v>
      </c>
      <c r="S43" s="973"/>
      <c r="T43" s="795" t="s">
        <v>1157</v>
      </c>
      <c r="W43" s="795" t="s">
        <v>1158</v>
      </c>
      <c r="X43" s="799"/>
    </row>
    <row r="44" spans="1:35" s="776" customFormat="1" ht="15.75" thickBot="1" x14ac:dyDescent="0.3">
      <c r="A44" s="964"/>
      <c r="B44" s="777" t="s">
        <v>917</v>
      </c>
      <c r="C44" s="758" t="s">
        <v>1159</v>
      </c>
      <c r="D44" s="800">
        <f>E38</f>
        <v>0</v>
      </c>
      <c r="H44" s="801"/>
      <c r="I44" s="801"/>
      <c r="J44" s="802"/>
      <c r="K44" s="803"/>
      <c r="L44" s="804"/>
      <c r="M44" s="805"/>
      <c r="N44" s="806"/>
      <c r="O44" s="806"/>
      <c r="P44" s="806"/>
      <c r="Q44" s="805"/>
      <c r="R44" s="974"/>
      <c r="S44" s="975"/>
      <c r="T44" s="807"/>
      <c r="W44" s="808"/>
      <c r="X44" s="799"/>
    </row>
    <row r="45" spans="1:35" x14ac:dyDescent="0.25">
      <c r="A45" s="964"/>
      <c r="B45" s="757" t="s">
        <v>923</v>
      </c>
      <c r="C45" s="758"/>
      <c r="D45" s="759"/>
      <c r="E45" s="439">
        <v>0.5</v>
      </c>
      <c r="F45" s="439"/>
      <c r="G45" s="439"/>
      <c r="H45" s="439">
        <v>0.5</v>
      </c>
      <c r="I45" s="439"/>
      <c r="J45" s="439">
        <v>0.5</v>
      </c>
      <c r="K45" s="664"/>
      <c r="L45" s="809">
        <v>14</v>
      </c>
      <c r="M45" s="809">
        <v>10</v>
      </c>
      <c r="N45" s="809">
        <v>10</v>
      </c>
      <c r="O45" s="809">
        <v>10</v>
      </c>
      <c r="P45" s="809">
        <v>30</v>
      </c>
      <c r="Q45" s="809">
        <v>10</v>
      </c>
      <c r="R45" s="809">
        <v>40</v>
      </c>
      <c r="S45" s="809"/>
      <c r="T45" s="809">
        <v>26</v>
      </c>
      <c r="W45" s="659" t="s">
        <v>1142</v>
      </c>
      <c r="X45" s="780"/>
    </row>
    <row r="46" spans="1:35" x14ac:dyDescent="0.25">
      <c r="A46" s="964"/>
      <c r="B46" s="757" t="s">
        <v>927</v>
      </c>
      <c r="C46" s="758"/>
      <c r="D46" s="759"/>
      <c r="E46" s="780">
        <v>4</v>
      </c>
      <c r="J46" s="674"/>
      <c r="K46" s="400"/>
      <c r="L46" s="780">
        <v>4</v>
      </c>
      <c r="M46" s="780">
        <v>4</v>
      </c>
      <c r="N46" s="809">
        <v>4</v>
      </c>
      <c r="O46" s="809">
        <v>4</v>
      </c>
      <c r="P46" s="809">
        <v>4</v>
      </c>
      <c r="Q46" s="809">
        <v>4</v>
      </c>
      <c r="R46" s="809">
        <v>4</v>
      </c>
      <c r="S46" s="809"/>
      <c r="T46" s="809">
        <v>4</v>
      </c>
      <c r="W46" s="809">
        <v>4</v>
      </c>
      <c r="X46" s="780"/>
    </row>
    <row r="47" spans="1:35" x14ac:dyDescent="0.25">
      <c r="A47" s="964"/>
      <c r="B47" s="757" t="s">
        <v>931</v>
      </c>
      <c r="C47" s="758"/>
      <c r="D47" s="759"/>
      <c r="E47" s="780"/>
      <c r="K47" s="400"/>
      <c r="L47" s="780"/>
      <c r="M47" s="780"/>
      <c r="N47" s="780"/>
      <c r="O47" s="780"/>
      <c r="P47" s="780"/>
      <c r="Q47" s="780"/>
      <c r="R47" s="780"/>
      <c r="S47" s="780"/>
      <c r="T47" s="780"/>
      <c r="W47" s="780"/>
      <c r="X47" s="780"/>
    </row>
    <row r="48" spans="1:35" s="616" customFormat="1" ht="15.75" thickBot="1" x14ac:dyDescent="0.3">
      <c r="A48" s="965"/>
      <c r="B48" s="762" t="s">
        <v>934</v>
      </c>
      <c r="C48" s="810"/>
      <c r="D48" s="811"/>
      <c r="E48" s="812" t="s">
        <v>1160</v>
      </c>
      <c r="F48" s="812"/>
      <c r="G48" s="400"/>
      <c r="H48" s="400"/>
      <c r="I48" s="400"/>
      <c r="J48" s="674"/>
      <c r="K48" s="790"/>
      <c r="L48" s="812" t="s">
        <v>1161</v>
      </c>
      <c r="M48" s="812" t="s">
        <v>1162</v>
      </c>
      <c r="N48" s="812" t="s">
        <v>1163</v>
      </c>
      <c r="O48" s="812" t="s">
        <v>1164</v>
      </c>
      <c r="P48" s="812" t="s">
        <v>1165</v>
      </c>
      <c r="Q48" s="812" t="s">
        <v>1166</v>
      </c>
      <c r="R48" s="812" t="s">
        <v>1167</v>
      </c>
      <c r="S48" s="809"/>
      <c r="T48" s="812" t="s">
        <v>1168</v>
      </c>
      <c r="W48" s="812" t="s">
        <v>1169</v>
      </c>
      <c r="X48" s="813"/>
      <c r="Y48" s="620"/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</row>
    <row r="49" spans="1:36" ht="30.75" thickBot="1" x14ac:dyDescent="0.3">
      <c r="A49" s="963" t="s">
        <v>64</v>
      </c>
      <c r="B49" s="814" t="s">
        <v>1170</v>
      </c>
      <c r="C49" s="764" t="s">
        <v>1137</v>
      </c>
      <c r="D49" s="765"/>
      <c r="E49" s="430" t="s">
        <v>946</v>
      </c>
      <c r="F49" s="430" t="s">
        <v>1171</v>
      </c>
      <c r="G49" s="430" t="s">
        <v>870</v>
      </c>
      <c r="H49" s="835" t="s">
        <v>757</v>
      </c>
      <c r="I49" s="835"/>
      <c r="J49" s="816" t="s">
        <v>117</v>
      </c>
      <c r="K49" s="817"/>
      <c r="L49" s="976" t="s">
        <v>870</v>
      </c>
      <c r="M49" s="977"/>
      <c r="N49" s="818" t="s">
        <v>1173</v>
      </c>
      <c r="O49" s="819" t="s">
        <v>1174</v>
      </c>
      <c r="P49" s="819" t="s">
        <v>1175</v>
      </c>
      <c r="Q49" s="819" t="s">
        <v>1176</v>
      </c>
      <c r="R49" s="819" t="s">
        <v>1177</v>
      </c>
      <c r="S49" s="819" t="s">
        <v>1178</v>
      </c>
      <c r="T49" s="819" t="s">
        <v>108</v>
      </c>
      <c r="U49" s="819" t="s">
        <v>101</v>
      </c>
      <c r="V49" s="819" t="s">
        <v>82</v>
      </c>
      <c r="W49" s="819" t="s">
        <v>1179</v>
      </c>
      <c r="X49" s="819" t="s">
        <v>126</v>
      </c>
      <c r="Y49" s="617"/>
      <c r="Z49" s="617"/>
      <c r="AA49" s="617"/>
    </row>
    <row r="50" spans="1:36" ht="15.75" thickBot="1" x14ac:dyDescent="0.3">
      <c r="A50" s="964"/>
      <c r="B50" s="777" t="s">
        <v>917</v>
      </c>
      <c r="C50" s="820" t="str">
        <f>IF(LEN(J38)=0,"",J38)</f>
        <v/>
      </c>
      <c r="D50" s="821">
        <v>1</v>
      </c>
      <c r="F50" s="822"/>
      <c r="G50" s="439"/>
      <c r="H50" s="823"/>
      <c r="I50" s="823"/>
      <c r="J50" s="824"/>
      <c r="K50" s="825" t="s">
        <v>1180</v>
      </c>
      <c r="L50" s="978">
        <f>HYPERLINK("https://eu1.salesforce.com/"&amp;F50,G50)</f>
        <v>0</v>
      </c>
      <c r="M50" s="979"/>
      <c r="N50" s="616"/>
      <c r="O50" s="616"/>
      <c r="P50" s="826"/>
      <c r="Q50" s="616"/>
      <c r="R50" s="616"/>
      <c r="S50" s="616"/>
      <c r="T50" s="616"/>
      <c r="U50" s="616"/>
      <c r="V50" s="616"/>
      <c r="W50" s="617"/>
      <c r="X50" s="617"/>
      <c r="Y50" s="617"/>
      <c r="Z50" s="617"/>
      <c r="AA50" s="617"/>
    </row>
    <row r="51" spans="1:36" x14ac:dyDescent="0.25">
      <c r="A51" s="964"/>
      <c r="B51" s="757" t="s">
        <v>923</v>
      </c>
      <c r="C51" s="758"/>
      <c r="D51" s="759"/>
      <c r="E51" s="439">
        <v>0.5</v>
      </c>
      <c r="F51" s="439"/>
      <c r="G51" s="439"/>
      <c r="H51" s="439">
        <v>0.5</v>
      </c>
      <c r="I51" s="439"/>
      <c r="J51" s="439">
        <v>0.5</v>
      </c>
      <c r="K51" s="664"/>
      <c r="L51" s="829" t="s">
        <v>929</v>
      </c>
      <c r="M51" s="829"/>
      <c r="N51" s="829" t="s">
        <v>80</v>
      </c>
      <c r="O51" s="829"/>
      <c r="P51" s="659" t="s">
        <v>1181</v>
      </c>
      <c r="Q51" s="659" t="s">
        <v>1182</v>
      </c>
      <c r="R51" s="829"/>
      <c r="S51" s="829"/>
      <c r="T51" s="829" t="s">
        <v>80</v>
      </c>
      <c r="U51" s="829" t="s">
        <v>80</v>
      </c>
      <c r="V51" s="829" t="s">
        <v>185</v>
      </c>
      <c r="W51" s="829" t="s">
        <v>185</v>
      </c>
      <c r="X51" s="829" t="s">
        <v>185</v>
      </c>
      <c r="AA51" s="624"/>
      <c r="AC51" s="625"/>
      <c r="AD51" s="624"/>
    </row>
    <row r="52" spans="1:36" x14ac:dyDescent="0.25">
      <c r="A52" s="964"/>
      <c r="B52" s="757" t="s">
        <v>927</v>
      </c>
      <c r="C52" s="758" t="s">
        <v>168</v>
      </c>
      <c r="D52" s="830" t="s">
        <v>185</v>
      </c>
      <c r="E52" s="831" t="s">
        <v>1183</v>
      </c>
      <c r="F52" s="780" t="s">
        <v>168</v>
      </c>
      <c r="G52" s="780">
        <v>3</v>
      </c>
      <c r="H52" s="809"/>
      <c r="I52" s="809"/>
      <c r="J52" s="809"/>
      <c r="K52" s="809"/>
      <c r="L52" s="780"/>
      <c r="M52" s="780"/>
      <c r="N52" s="809" t="s">
        <v>938</v>
      </c>
      <c r="O52" s="809">
        <v>26</v>
      </c>
      <c r="P52" s="809" t="s">
        <v>962</v>
      </c>
      <c r="Q52" s="780" t="s">
        <v>1185</v>
      </c>
      <c r="R52" s="780" t="s">
        <v>145</v>
      </c>
      <c r="S52" s="829" t="s">
        <v>928</v>
      </c>
      <c r="T52" s="809" t="s">
        <v>80</v>
      </c>
      <c r="U52" s="658"/>
      <c r="V52" s="658"/>
      <c r="W52" s="658"/>
      <c r="X52" s="658"/>
      <c r="Y52" s="662"/>
      <c r="AF52" s="629"/>
      <c r="AG52" s="629"/>
      <c r="AH52" s="629"/>
      <c r="AI52" s="629"/>
      <c r="AJ52" s="629"/>
    </row>
    <row r="53" spans="1:36" ht="45" x14ac:dyDescent="0.25">
      <c r="A53" s="964"/>
      <c r="B53" s="757" t="s">
        <v>931</v>
      </c>
      <c r="C53" s="758"/>
      <c r="D53" s="759"/>
      <c r="E53" s="833" t="s">
        <v>1191</v>
      </c>
      <c r="K53" s="834" t="s">
        <v>1187</v>
      </c>
      <c r="L53" s="834" t="s">
        <v>1187</v>
      </c>
      <c r="M53" s="673"/>
      <c r="N53" s="673"/>
      <c r="O53" s="673"/>
      <c r="T53" s="673"/>
      <c r="AF53" s="629"/>
      <c r="AG53" s="629"/>
      <c r="AH53" s="629"/>
      <c r="AI53" s="629"/>
      <c r="AJ53" s="629"/>
    </row>
    <row r="54" spans="1:36" ht="15.75" thickBot="1" x14ac:dyDescent="0.3">
      <c r="A54" s="965"/>
      <c r="B54" s="762" t="s">
        <v>934</v>
      </c>
      <c r="C54" s="788"/>
      <c r="D54" s="811"/>
      <c r="E54" s="423"/>
      <c r="H54" s="790"/>
      <c r="I54" s="790"/>
      <c r="K54" s="400"/>
      <c r="L54" s="674"/>
      <c r="AB54" s="628"/>
      <c r="AF54" s="629"/>
      <c r="AG54" s="629"/>
      <c r="AH54" s="629"/>
      <c r="AI54" s="629"/>
      <c r="AJ54" s="629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2013-09-15T04:03:19Z</dcterms:modified>
</cp:coreProperties>
</file>