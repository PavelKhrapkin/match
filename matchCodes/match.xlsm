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0" yWindow="0" windowWidth="13725" windowHeight="7680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Header!$B$218:$C$223</definedName>
    <definedName name="HDR_A_SN_2" comment="Sheet_для_загрузки_output.csv_с_SN_из_License_Inquiry_PartnerCenter.Autodesk">Header!$B$226:$R$232</definedName>
    <definedName name="HDR_A_SN_3" comment="16.08.13 HDR_A_SN_3 - Sheet для Upsert данных по SN Autodesk в SF -- SN_UPDATE">Header!$B$234:$R$240</definedName>
    <definedName name="HDR_AccntUpd" comment="18.6.12 HDR_AccntUpd шапка изменений Организаций SF, включая связь с 1С">Header!$A$180:$N$180</definedName>
    <definedName name="HDR_AdAcc" comment="11.6.12 - Шапка полей новой Организации">Header!$A$177:$V$177</definedName>
    <definedName name="HDR_BTOlog" comment="7.4.13 HDR_BTOlog шапка для журнала писем БТО">Header!$B$210:$N$215</definedName>
    <definedName name="HDR_ContractUpdate" comment="31.10.12 ContractUpdate  -  связывание существующего Договора с Проектом">Header!$C$166:$D$171</definedName>
    <definedName name="HDR_DicAcc" comment="19.6.12 HDR_AccDic - шапка Словаря Организаций">Header!$A$183:$C$184</definedName>
    <definedName name="HDR_DicAccSynonims" comment="15.09.2013 HDR_DicAссSynonims - Шаблон словаря синонимов названий Организаций в 1С">Header!$C$187:$D$192</definedName>
    <definedName name="HDR_NewAcc" comment="HDR_NewAcc для занесения новых Организаций в SF">Header!$A$177:$V$177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Header!$B$195:$N$200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Header!$A$207:$C$207</definedName>
    <definedName name="HDR_P_ADSKlink" comment="14/5/12 новые связи Платежей и Контрактов ADSK">Header!$A$204:$C$204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Header!$A$174:$B$174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3" l="1"/>
  <c r="K46" i="3"/>
  <c r="M59" i="3" l="1"/>
  <c r="T23" i="2" l="1"/>
  <c r="AF9" i="6" l="1"/>
  <c r="C84" i="3"/>
  <c r="K83" i="3"/>
  <c r="C83" i="3"/>
  <c r="K82" i="3"/>
  <c r="F7" i="6" l="1"/>
  <c r="C48" i="3" l="1"/>
  <c r="C40" i="3"/>
  <c r="O17" i="3" l="1"/>
  <c r="F22" i="3" l="1"/>
  <c r="K58" i="3" l="1"/>
  <c r="B23" i="2"/>
  <c r="H23" i="2"/>
  <c r="I43" i="2"/>
  <c r="K59" i="3" l="1"/>
  <c r="F78" i="3" l="1"/>
  <c r="K78" i="3" s="1"/>
  <c r="C78" i="3"/>
  <c r="C77" i="3"/>
  <c r="F77" i="3" l="1"/>
  <c r="K77" i="3" s="1"/>
  <c r="T27" i="6" l="1"/>
  <c r="J31" i="6"/>
  <c r="J30" i="6"/>
  <c r="J29" i="6"/>
  <c r="J28" i="6"/>
  <c r="J27" i="6"/>
  <c r="C31" i="6"/>
  <c r="C30" i="6"/>
  <c r="C29" i="6"/>
  <c r="C28" i="6"/>
  <c r="C27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3" i="3" l="1"/>
  <c r="F13" i="3"/>
  <c r="C76" i="3"/>
  <c r="K73" i="3"/>
  <c r="F73" i="3"/>
  <c r="C47" i="3" l="1"/>
  <c r="K53" i="3" l="1"/>
  <c r="F53" i="3"/>
  <c r="F12" i="3" l="1"/>
  <c r="K11" i="3"/>
  <c r="K12" i="3"/>
  <c r="K10" i="3"/>
  <c r="F11" i="3"/>
  <c r="F10" i="3"/>
  <c r="F9" i="3"/>
  <c r="F8" i="3"/>
  <c r="F7" i="3"/>
  <c r="K9" i="3"/>
  <c r="K8" i="3"/>
  <c r="K7" i="3"/>
  <c r="L54" i="3"/>
  <c r="L55" i="3"/>
  <c r="L56" i="3"/>
  <c r="I44" i="6" l="1"/>
  <c r="K56" i="3" l="1"/>
  <c r="K55" i="3"/>
  <c r="K54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4" i="6"/>
  <c r="R14" i="6"/>
  <c r="AA14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0" i="6"/>
  <c r="C1220" i="6"/>
  <c r="J1219" i="6"/>
  <c r="C1219" i="6"/>
  <c r="J1218" i="6"/>
  <c r="C1218" i="6"/>
  <c r="J1217" i="6"/>
  <c r="C1217" i="6"/>
  <c r="V1216" i="6"/>
  <c r="U1216" i="6"/>
  <c r="C121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G276" i="6"/>
  <c r="AF276" i="6"/>
  <c r="AD276" i="6"/>
  <c r="AC276" i="6"/>
  <c r="AB276" i="6"/>
  <c r="AA276" i="6"/>
  <c r="Z276" i="6"/>
  <c r="Y276" i="6"/>
  <c r="X276" i="6"/>
  <c r="W276" i="6"/>
  <c r="V276" i="6"/>
  <c r="U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F276" i="6"/>
  <c r="E276" i="6"/>
  <c r="D276" i="6"/>
  <c r="C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V262" i="6" s="1"/>
  <c r="AU261" i="6"/>
  <c r="AH261" i="6"/>
  <c r="T261" i="6"/>
  <c r="G261" i="6"/>
  <c r="AU260" i="6"/>
  <c r="AH260" i="6"/>
  <c r="T260" i="6"/>
  <c r="G260" i="6"/>
  <c r="AV260" i="6" s="1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AU249" i="6"/>
  <c r="AH249" i="6"/>
  <c r="T249" i="6"/>
  <c r="G249" i="6"/>
  <c r="AU248" i="6"/>
  <c r="AH248" i="6"/>
  <c r="T248" i="6"/>
  <c r="G248" i="6"/>
  <c r="AU247" i="6"/>
  <c r="AH247" i="6"/>
  <c r="T247" i="6"/>
  <c r="G247" i="6"/>
  <c r="AU246" i="6"/>
  <c r="AH246" i="6"/>
  <c r="T246" i="6"/>
  <c r="G246" i="6"/>
  <c r="AU245" i="6"/>
  <c r="AH245" i="6"/>
  <c r="T245" i="6"/>
  <c r="G245" i="6"/>
  <c r="AU244" i="6"/>
  <c r="AH244" i="6"/>
  <c r="T244" i="6"/>
  <c r="G244" i="6"/>
  <c r="AU243" i="6"/>
  <c r="AH243" i="6"/>
  <c r="T243" i="6"/>
  <c r="G243" i="6"/>
  <c r="L211" i="6"/>
  <c r="G203" i="6"/>
  <c r="C203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16" i="6"/>
  <c r="I19" i="6"/>
  <c r="G19" i="6"/>
  <c r="F19" i="6"/>
  <c r="AB14" i="6"/>
  <c r="AC14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57" i="6" l="1"/>
  <c r="AV259" i="6"/>
  <c r="AV261" i="6"/>
  <c r="AV263" i="6"/>
  <c r="AV265" i="6"/>
  <c r="AV267" i="6"/>
  <c r="AV269" i="6"/>
  <c r="AV271" i="6"/>
  <c r="AV273" i="6"/>
  <c r="AV275" i="6"/>
  <c r="AV249" i="6"/>
  <c r="AV258" i="6"/>
  <c r="AV274" i="6"/>
  <c r="AV245" i="6"/>
  <c r="AV247" i="6"/>
  <c r="AV244" i="6"/>
  <c r="AV246" i="6"/>
  <c r="AV248" i="6"/>
  <c r="AV251" i="6"/>
  <c r="C1221" i="6"/>
  <c r="D1220" i="6" s="1"/>
  <c r="T276" i="6"/>
  <c r="AV250" i="6"/>
  <c r="AV252" i="6"/>
  <c r="AV254" i="6"/>
  <c r="AV256" i="6"/>
  <c r="G276" i="6"/>
  <c r="AU276" i="6"/>
  <c r="AV264" i="6"/>
  <c r="AH276" i="6"/>
  <c r="AV253" i="6"/>
  <c r="AV255" i="6"/>
  <c r="AV266" i="6"/>
  <c r="AV268" i="6"/>
  <c r="AV270" i="6"/>
  <c r="AV272" i="6"/>
  <c r="AV243" i="6"/>
  <c r="K100" i="3"/>
  <c r="K101" i="3" s="1"/>
  <c r="K30" i="3"/>
  <c r="K29" i="3"/>
  <c r="K70" i="3"/>
  <c r="K26" i="3"/>
  <c r="J1221" i="6"/>
  <c r="L1217" i="6" s="1"/>
  <c r="C32" i="6"/>
  <c r="D27" i="6" s="1"/>
  <c r="J32" i="6"/>
  <c r="L27" i="6" s="1"/>
  <c r="K35" i="3"/>
  <c r="K62" i="3"/>
  <c r="K64" i="3" s="1"/>
  <c r="K67" i="3"/>
  <c r="K33" i="3"/>
  <c r="K68" i="3"/>
  <c r="K36" i="3"/>
  <c r="K110" i="3"/>
  <c r="D1216" i="6" l="1"/>
  <c r="AV276" i="6"/>
  <c r="D1217" i="6"/>
  <c r="D1219" i="6"/>
  <c r="D1218" i="6"/>
  <c r="L1216" i="6"/>
  <c r="L1219" i="6"/>
  <c r="L1220" i="6"/>
  <c r="L1218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<sst xmlns="http://schemas.openxmlformats.org/spreadsheetml/2006/main" count="3262" uniqueCount="1303">
  <si>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</si>
  <si>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</si>
  <si>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</si>
  <si>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</si>
  <si>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</si>
  <si>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</si>
  <si>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</si>
  <si>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</si>
  <si>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</si>
  <si>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</si>
  <si>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</si>
  <si>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</si>
  <si>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</si>
  <si>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</si>
  <si>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</si>
  <si>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</si>
  <si>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</si>
  <si>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</si>
  <si>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</si>
  <si>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</si>
  <si>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</si>
  <si>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</si>
  <si>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</si>
  <si>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</si>
  <si>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</si>
  <si>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</si>
  <si>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</si>
  <si>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</si>
  <si>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</si>
  <si>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</si>
  <si>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</si>
  <si>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</si>
  <si>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</si>
  <si>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</si>
  <si>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</si>
  <si>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</si>
  <si>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</si>
  <si>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</si>
  <si>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</si>
  <si>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</si>
  <si>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</si>
  <si>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</si>
  <si>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</si>
  <si>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</si>
  <si>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</si>
  <si>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</si>
  <si>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</si>
  <si>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</si>
  <si>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</si>
  <si>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</si>
  <si>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</si>
  <si>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</si>
  <si>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</si>
  <si>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</si>
  <si>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</si>
  <si>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</si>
  <si>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</si>
  <si>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</si>
  <si>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</si>
  <si>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</si>
  <si>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</si>
  <si>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</si>
  <si>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</si>
  <si>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</si>
  <si>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</si>
  <si>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</si>
  <si>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</si>
  <si>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</si>
  <si>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</si>
  <si>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</si>
  <si>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</si>
  <si>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</si>
  <si>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</si>
  <si>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</si>
  <si>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</si>
  <si>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</si>
  <si>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</si>
  <si>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</si>
  <si>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</si>
  <si>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</si>
  <si>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</si>
  <si>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</si>
  <si>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</si>
  <si>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</si>
  <si>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</si>
  <si>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</si>
  <si>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</si>
  <si>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</si>
  <si>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</si>
  <si>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</si>
  <si>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</si>
  <si>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</si>
  <si>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</si>
  <si>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</si>
  <si>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</si>
  <si>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</si>
  <si>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</si>
  <si>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</si>
  <si>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</si>
  <si>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</si>
  <si>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</si>
  <si>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</si>
  <si>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</si>
  <si>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</si>
  <si>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</si>
  <si>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</si>
  <si>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</si>
  <si>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</si>
  <si>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</si>
  <si>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</si>
  <si>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</si>
  <si>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</si>
  <si>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</si>
  <si>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</si>
  <si>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</si>
  <si>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</si>
  <si>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</si>
  <si>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</si>
  <si>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</si>
  <si>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</si>
  <si>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</si>
  <si>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</si>
  <si>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</si>
  <si>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</si>
  <si>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</si>
  <si>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</si>
  <si>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</si>
  <si>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</si>
  <si>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</si>
  <si>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</si>
  <si>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</si>
  <si>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</si>
  <si>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</si>
  <si>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</si>
  <si>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</si>
  <si>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</si>
  <si>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</si>
  <si>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</si>
  <si>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</si>
  <si>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</si>
  <si>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</si>
  <si>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</si>
  <si>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</si>
  <si>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</si>
  <si>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</si>
  <si>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</si>
  <si>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</si>
  <si>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</si>
  <si>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</si>
  <si>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</si>
  <si>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</si>
  <si>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</si>
  <si>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</si>
  <si>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</si>
  <si>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</si>
  <si>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</si>
  <si>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</si>
  <si>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</si>
  <si>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</si>
  <si>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</si>
  <si>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</si>
  <si>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</si>
  <si>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</si>
  <si>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</si>
  <si>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</si>
  <si>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</si>
  <si>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</si>
  <si>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</si>
  <si>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</si>
  <si>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</si>
  <si>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</si>
  <si>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</si>
  <si>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</si>
  <si>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</si>
  <si>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</si>
  <si>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</si>
  <si>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</si>
  <si>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</si>
  <si>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</si>
  <si>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</si>
  <si>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</si>
  <si>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</si>
  <si>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</si>
  <si>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</si>
  <si>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</si>
  <si>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</si>
  <si>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</si>
  <si>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</si>
  <si>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</si>
  <si>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</si>
  <si>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</si>
  <si>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</si>
  <si>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</si>
  <si>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</si>
  <si>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</si>
  <si>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</si>
  <si>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</si>
  <si>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</si>
  <si>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</si>
  <si>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</si>
  <si>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</si>
  <si>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</si>
  <si>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</si>
  <si>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</si>
  <si>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</si>
  <si>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</si>
  <si>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</si>
  <si>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</si>
  <si>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</si>
  <si>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</si>
  <si>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</si>
  <si>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</si>
  <si>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</si>
  <si>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</si>
  <si>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</si>
  <si>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</si>
  <si>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</si>
  <si>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</si>
  <si>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</si>
  <si>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</si>
  <si>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</si>
  <si>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</si>
  <si>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</si>
  <si>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</si>
  <si>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</si>
  <si>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</si>
  <si>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</si>
  <si>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</si>
  <si>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</si>
  <si>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</si>
  <si>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</si>
  <si>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</si>
  <si>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</si>
  <si>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</si>
  <si>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</si>
  <si>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</si>
  <si>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</si>
  <si>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</si>
  <si>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</si>
  <si>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</si>
  <si>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</si>
  <si>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</si>
  <si>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</si>
  <si>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</si>
  <si>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</si>
  <si>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</si>
  <si>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</si>
  <si>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</si>
  <si>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</si>
  <si>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</si>
  <si>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</si>
  <si>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</si>
  <si>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</si>
  <si>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</si>
  <si>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</si>
  <si>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</si>
  <si>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</si>
  <si>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</si>
  <si>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</si>
  <si>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</si>
  <si>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</si>
  <si>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</si>
  <si>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</si>
  <si>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</si>
  <si>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</si>
  <si>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</si>
  <si>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</si>
  <si>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</si>
  <si>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</si>
  <si>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</si>
  <si>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</si>
  <si>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</si>
  <si>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</si>
  <si>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</si>
  <si>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</si>
  <si>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</si>
  <si>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</si>
  <si>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</si>
  <si>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</si>
  <si>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</si>
  <si>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</si>
  <si>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</si>
  <si>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</si>
  <si>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</si>
  <si>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</si>
  <si>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</si>
  <si>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</si>
  <si>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</si>
  <si>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</si>
  <si>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</si>
  <si>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</si>
  <si>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</si>
  <si>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</si>
  <si>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</si>
  <si>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</si>
  <si>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</si>
  <si>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</si>
  <si>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</si>
  <si>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</si>
  <si>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</si>
  <si>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</si>
  <si>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</si>
  <si>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</si>
  <si>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</si>
  <si>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</si>
  <si>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</si>
  <si>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</si>
  <si>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</si>
  <si>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</si>
  <si>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</si>
  <si>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</si>
  <si>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</si>
  <si>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</si>
  <si>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</si>
  <si>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</si>
  <si>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</si>
  <si>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</si>
  <si>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</si>
  <si>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</si>
  <si>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</si>
  <si>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</si>
  <si>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</si>
  <si>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</si>
  <si>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</si>
  <si>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</si>
  <si>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</si>
  <si>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</si>
  <si>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</si>
  <si>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</si>
  <si>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</si>
  <si>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</si>
  <si>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</si>
  <si>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</si>
  <si>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</si>
  <si>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</si>
  <si>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</si>
  <si>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</si>
  <si>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</si>
  <si>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</si>
  <si>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</si>
  <si>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</si>
  <si>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</si>
  <si>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</si>
  <si>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</si>
  <si>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</si>
  <si>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</si>
  <si>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</si>
  <si>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</si>
  <si>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</si>
  <si>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</si>
  <si>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</si>
  <si>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</si>
  <si>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</si>
  <si>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</si>
  <si>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</si>
  <si>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</si>
  <si>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</si>
  <si>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</si>
  <si>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</si>
  <si>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</si>
  <si>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</si>
  <si>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</si>
  <si>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</si>
  <si>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</si>
  <si>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</si>
  <si>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</si>
  <si>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</si>
  <si>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</si>
  <si>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</si>
  <si>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</si>
  <si>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</si>
  <si>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</si>
  <si>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</si>
  <si>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</si>
  <si>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</si>
  <si>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</si>
  <si>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</si>
  <si>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</si>
  <si>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</si>
  <si>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</si>
  <si>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</si>
  <si>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</si>
  <si>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</si>
  <si>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</si>
  <si>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</si>
  <si>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</si>
  <si>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</si>
  <si>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</si>
  <si>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</si>
  <si>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</si>
  <si>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</si>
  <si>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</si>
  <si>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</si>
  <si>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</si>
  <si>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</si>
  <si>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</si>
  <si>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</si>
  <si>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</si>
  <si>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</si>
  <si>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</si>
  <si>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</si>
  <si>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</si>
  <si>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</si>
  <si>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</si>
  <si>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</si>
  <si>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</si>
  <si>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</si>
  <si>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</si>
  <si>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</si>
  <si>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</si>
  <si>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</si>
  <si>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</si>
  <si>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</si>
  <si>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</si>
  <si>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</si>
  <si>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</si>
  <si>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</si>
  <si>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</si>
  <si>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</si>
  <si>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</si>
  <si>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</si>
  <si>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</si>
  <si>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</si>
  <si>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</si>
  <si>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</si>
  <si>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</si>
  <si>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</si>
  <si>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</si>
  <si>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</si>
  <si>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</si>
  <si>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</si>
  <si>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</si>
  <si>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</si>
  <si>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</si>
  <si>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</si>
  <si>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</si>
  <si>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</si>
  <si>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</si>
  <si>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</si>
  <si>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</si>
  <si>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</si>
  <si>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</si>
  <si>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</si>
  <si>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</si>
  <si>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</si>
  <si>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</si>
  <si>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</si>
  <si>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</si>
  <si>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</si>
  <si>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</si>
  <si>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</si>
  <si>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</si>
  <si>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</si>
  <si>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</si>
  <si>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</si>
  <si>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</si>
  <si>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</si>
  <si>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</si>
  <si>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</si>
  <si>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</si>
  <si>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</si>
  <si>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</si>
  <si>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</si>
  <si>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</si>
  <si>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</si>
  <si>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</si>
  <si>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</si>
  <si>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</si>
  <si>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</si>
  <si>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</si>
  <si>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</si>
  <si>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</si>
  <si>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</si>
  <si>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</si>
  <si>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</si>
  <si>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</si>
  <si>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</si>
  <si>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</si>
  <si>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</si>
  <si>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</si>
  <si>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</si>
  <si>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</si>
  <si>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</si>
  <si>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</si>
  <si>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</si>
  <si>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</si>
  <si>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</si>
  <si>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</si>
  <si>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</si>
  <si>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</si>
  <si>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</si>
  <si>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</si>
  <si>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</si>
  <si>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</si>
  <si>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</si>
  <si>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</si>
  <si>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</si>
  <si>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</si>
  <si>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</si>
  <si>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</si>
  <si>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</si>
  <si>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</si>
  <si>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</si>
  <si>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</si>
  <si>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</si>
  <si>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</si>
  <si>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</si>
  <si>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</si>
  <si>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</si>
  <si>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</si>
  <si>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</si>
  <si>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</si>
  <si>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</si>
  <si>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</si>
  <si>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</si>
  <si>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</si>
  <si>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</si>
  <si>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</si>
  <si>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</si>
  <si>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</si>
  <si>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</si>
  <si>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</si>
  <si>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</si>
  <si>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</si>
  <si>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</si>
  <si>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</si>
  <si>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</si>
  <si>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</si>
  <si>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</si>
  <si>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</si>
  <si>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</si>
  <si>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</si>
  <si>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</si>
  <si>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</si>
  <si>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</si>
  <si>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</si>
  <si>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</si>
  <si>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</si>
  <si>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</si>
  <si>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</si>
  <si>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</si>
  <si>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</si>
  <si>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</si>
  <si>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</si>
  <si>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</si>
  <si>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</si>
  <si>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</si>
  <si>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</si>
  <si>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</si>
  <si>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</si>
  <si>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</si>
  <si>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</si>
  <si>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</si>
  <si>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</si>
  <si>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</si>
  <si>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</si>
  <si>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</si>
  <si>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</si>
  <si>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</si>
  <si>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</si>
  <si>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</si>
  <si>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</si>
  <si>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</si>
  <si>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</si>
  <si>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</si>
  <si>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</si>
  <si>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</si>
  <si>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</si>
  <si>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</si>
  <si>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</si>
  <si>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</si>
  <si>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</si>
  <si>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</si>
  <si>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</si>
  <si>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</si>
  <si>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</si>
  <si>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</si>
  <si>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</si>
  <si>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</si>
  <si>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</si>
  <si>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</si>
  <si>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</si>
  <si>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</si>
  <si>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</si>
  <si>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</si>
  <si>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</si>
  <si>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</si>
  <si>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</si>
  <si>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</si>
  <si>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</si>
  <si>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</si>
  <si>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</si>
  <si>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</si>
  <si>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</si>
  <si>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</si>
  <si>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</si>
  <si>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</si>
  <si>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</si>
  <si>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</si>
  <si>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</si>
  <si>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</si>
  <si>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</si>
  <si>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</si>
  <si>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</si>
  <si>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</si>
  <si>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</si>
  <si>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</si>
  <si>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</si>
  <si>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</si>
  <si>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</si>
  <si>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</si>
  <si>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</si>
  <si>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</si>
  <si>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</si>
  <si>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</si>
  <si>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</si>
  <si>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</si>
  <si>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</si>
  <si>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</si>
  <si>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</si>
  <si>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</si>
  <si>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</si>
  <si>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</si>
  <si>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</si>
  <si>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</si>
  <si>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</si>
  <si>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</si>
  <si>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</si>
  <si>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</si>
  <si>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</si>
  <si>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</si>
  <si>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</si>
  <si>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</si>
  <si>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</si>
  <si>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</si>
  <si>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</si>
  <si>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</si>
  <si>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</si>
  <si>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</si>
  <si>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</si>
  <si>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</si>
  <si>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</si>
  <si>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</si>
  <si>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</si>
  <si>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</si>
  <si>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</si>
  <si>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</si>
  <si>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</si>
  <si>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</si>
  <si>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</si>
  <si>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</si>
  <si>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</si>
  <si>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</si>
  <si>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</si>
  <si>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</si>
  <si>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</si>
  <si>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</si>
  <si>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</si>
  <si>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</si>
  <si>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</si>
  <si>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</si>
  <si>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</si>
  <si>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</si>
  <si>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</si>
  <si>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</si>
  <si>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</si>
  <si>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</si>
  <si>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</si>
  <si>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</si>
  <si>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</si>
  <si>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</si>
  <si>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</si>
  <si>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</si>
  <si>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</si>
  <si>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</si>
  <si>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</si>
  <si>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</si>
  <si>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</si>
  <si>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</si>
  <si>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</si>
  <si>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</si>
  <si>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</si>
  <si>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</si>
  <si>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</si>
  <si>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</si>
  <si>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</si>
  <si>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</si>
  <si>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</si>
  <si>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</si>
  <si>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</si>
  <si>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</si>
  <si>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</si>
  <si>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</si>
  <si>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</si>
  <si>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</si>
  <si>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</si>
  <si>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</si>
  <si>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</si>
  <si>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</si>
  <si>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</si>
  <si>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</si>
  <si>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</si>
  <si>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</si>
  <si>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</si>
  <si>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</si>
  <si>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</si>
  <si>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</si>
  <si>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</si>
  <si>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</si>
  <si>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</si>
  <si>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</si>
  <si>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</si>
  <si>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</si>
  <si>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</si>
  <si>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</si>
  <si>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</si>
  <si>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</si>
  <si>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</si>
  <si>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</si>
  <si>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</si>
  <si>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</si>
  <si>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</si>
  <si>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</si>
  <si>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</si>
  <si>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</si>
  <si>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</si>
  <si>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</si>
  <si>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</si>
  <si>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</si>
  <si>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</si>
  <si>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</si>
  <si>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</si>
  <si>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</si>
  <si>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</si>
  <si>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</si>
  <si>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</si>
  <si>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</si>
  <si>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</si>
  <si>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</si>
  <si>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</si>
  <si>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</si>
  <si>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</si>
  <si>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</si>
  <si>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</si>
  <si>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</si>
  <si>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</si>
  <si>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</si>
  <si>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</si>
  <si>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</si>
  <si>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</si>
  <si>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</si>
  <si>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</si>
  <si>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</si>
  <si>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</si>
  <si>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</si>
  <si>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</si>
  <si>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</si>
  <si>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</si>
  <si>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</si>
  <si>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</si>
  <si>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</si>
  <si>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</si>
  <si>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</si>
  <si>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</si>
  <si>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</si>
  <si>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</si>
  <si>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</si>
  <si>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</si>
  <si>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</si>
  <si>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</si>
  <si>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</si>
  <si>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</si>
  <si>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</si>
  <si>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</si>
  <si>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</si>
  <si>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</si>
  <si>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</si>
  <si>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</si>
  <si>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</si>
  <si>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</si>
  <si>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</si>
  <si>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</si>
  <si>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</si>
  <si>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</si>
  <si>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</si>
  <si>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</si>
  <si>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</si>
  <si>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</si>
  <si>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</si>
  <si>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</si>
  <si>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</si>
  <si>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</si>
  <si>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</si>
  <si>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</si>
  <si>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</si>
  <si>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</si>
  <si>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</si>
  <si>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</si>
  <si>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</si>
  <si>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</si>
  <si>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</si>
  <si>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</si>
  <si>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</si>
  <si>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</si>
  <si>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</si>
  <si>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</si>
  <si>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</si>
  <si>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</si>
  <si>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</si>
  <si>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</si>
  <si>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</si>
  <si>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</si>
  <si>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</si>
  <si>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</si>
  <si>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</si>
  <si>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</si>
  <si>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</si>
  <si>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</si>
  <si>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</si>
  <si>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</si>
  <si>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</si>
  <si>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</si>
  <si>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</si>
  <si>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</si>
  <si>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</si>
  <si>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</si>
  <si>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</si>
  <si>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</si>
  <si>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</si>
  <si>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</si>
  <si>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</si>
  <si>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</si>
  <si>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</si>
  <si>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</si>
  <si>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</si>
  <si>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</si>
  <si>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</si>
  <si>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</si>
  <si>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</si>
  <si>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</si>
  <si>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</si>
  <si>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</si>
  <si>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</si>
  <si>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</si>
  <si>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</si>
  <si>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</si>
  <si>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</si>
  <si>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</si>
  <si>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</si>
  <si>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</si>
  <si>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</si>
  <si>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</si>
  <si>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</si>
  <si>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</si>
  <si>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</si>
  <si>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</si>
  <si>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</si>
  <si>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</si>
  <si>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</si>
  <si>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</si>
  <si>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</si>
  <si>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</si>
  <si>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</si>
  <si>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</si>
  <si>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</si>
  <si>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</si>
  <si>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</si>
  <si>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</si>
  <si>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</si>
  <si>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</si>
  <si>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</si>
  <si>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</si>
  <si>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</si>
  <si>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</si>
  <si>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</si>
  <si>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</si>
  <si>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</si>
  <si>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</si>
  <si>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</si>
  <si>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</si>
  <si>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</si>
  <si>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</si>
  <si>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</si>
  <si>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</si>
  <si>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</si>
  <si>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</si>
  <si>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</si>
  <si>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</si>
  <si>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</si>
  <si>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</si>
  <si>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</si>
  <si>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</si>
  <si>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</si>
  <si>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</si>
  <si>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</si>
  <si>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</si>
  <si>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</si>
  <si>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</si>
  <si>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</si>
  <si>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</si>
  <si>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</si>
  <si>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</si>
  <si>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</si>
  <si>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</si>
  <si>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</si>
  <si>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</si>
  <si>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</si>
  <si>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</si>
  <si>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</si>
  <si>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</si>
  <si>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</si>
  <si>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</si>
  <si>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</si>
  <si>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</si>
  <si>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</si>
  <si>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</si>
  <si>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</si>
  <si>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</si>
  <si>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</si>
  <si>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</si>
  <si>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</si>
  <si>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</si>
  <si>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</si>
  <si>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</si>
  <si>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</si>
  <si>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</si>
  <si>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</si>
  <si>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</si>
  <si>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</si>
  <si>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</si>
  <si>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</si>
  <si>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</si>
  <si>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</si>
  <si>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</si>
  <si>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</si>
  <si>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</si>
  <si>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</si>
  <si>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</si>
  <si>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</si>
  <si>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</si>
  <si>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</si>
  <si>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</si>
  <si>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</si>
  <si>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</si>
  <si>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</si>
  <si>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</si>
  <si>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</si>
  <si>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</si>
  <si>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</si>
  <si>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</si>
  <si>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</si>
  <si>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</si>
  <si>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</si>
  <si>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</si>
  <si>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</si>
  <si>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</si>
  <si>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</si>
  <si>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</si>
  <si>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</si>
  <si>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</si>
  <si>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</si>
  <si>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</si>
  <si>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</si>
  <si>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</si>
  <si>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</si>
  <si>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</si>
  <si>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</si>
  <si>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</si>
  <si>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</si>
  <si>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</si>
  <si>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</si>
  <si>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</si>
  <si>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</si>
  <si>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</si>
  <si>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</si>
  <si>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</si>
  <si>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</si>
  <si>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</si>
  <si>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</si>
  <si>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</si>
  <si>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</si>
  <si>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</si>
  <si>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</si>
  <si>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</si>
  <si>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</si>
  <si>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</si>
  <si>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</si>
  <si>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</si>
  <si>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</si>
  <si>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</si>
  <si>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</si>
  <si>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</si>
  <si>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</si>
  <si>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</si>
  <si>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</si>
  <si>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</si>
  <si>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</si>
  <si>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</si>
  <si>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</si>
  <si>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</si>
  <si>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</si>
  <si>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</si>
  <si>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</si>
  <si>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</si>
  <si>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</si>
  <si>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</si>
  <si>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</si>
  <si>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</si>
  <si>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</si>
  <si>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</si>
  <si>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</si>
  <si>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</si>
  <si>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</si>
  <si>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</si>
  <si>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</si>
  <si>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</si>
  <si>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</si>
  <si>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</si>
  <si>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</si>
  <si>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</si>
  <si>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</si>
  <si>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</si>
  <si>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</si>
  <si>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</si>
  <si>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</si>
  <si>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</si>
  <si>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</si>
  <si>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</si>
  <si>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</si>
  <si>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</si>
  <si>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</si>
  <si>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</si>
  <si>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</si>
  <si>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</si>
  <si>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</si>
  <si>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</si>
  <si>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</si>
  <si>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</si>
  <si>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</si>
  <si>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</si>
  <si>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</si>
  <si>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</si>
  <si>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</si>
  <si>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</si>
  <si>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</si>
  <si>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</si>
  <si>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</si>
  <si>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</si>
  <si>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</si>
  <si>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</si>
  <si>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</si>
  <si>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</si>
  <si>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</si>
  <si>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</si>
  <si>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</si>
  <si>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</si>
  <si>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</si>
  <si>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</si>
  <si>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</si>
  <si>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</si>
  <si>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</si>
  <si>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</si>
  <si>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</si>
  <si>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</si>
  <si>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</si>
  <si>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</si>
  <si>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</si>
  <si>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</si>
  <si>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</si>
  <si>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</si>
  <si>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</si>
  <si>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</si>
  <si>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</si>
  <si>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</si>
  <si>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</si>
  <si>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</si>
  <si>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</si>
  <si>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</si>
  <si>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</si>
  <si>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</si>
  <si>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</si>
  <si>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</si>
  <si>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</si>
  <si>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</si>
  <si>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</si>
  <si>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</si>
  <si>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</si>
  <si>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</si>
  <si>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</si>
  <si>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</si>
  <si>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</si>
  <si>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</si>
  <si>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</si>
  <si>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</si>
  <si>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</si>
  <si>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</si>
  <si>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</si>
  <si>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</si>
  <si>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</si>
  <si>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</si>
  <si>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</si>
  <si>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</si>
  <si>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</si>
  <si>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</si>
  <si>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</si>
  <si>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</si>
  <si>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</si>
  <si>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</si>
  <si>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</si>
  <si>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</si>
  <si>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</si>
  <si>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</si>
  <si>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</si>
  <si>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</si>
  <si>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</si>
  <si>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</si>
  <si>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</si>
  <si>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</si>
  <si>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</si>
  <si>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</si>
  <si>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</si>
  <si>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</si>
  <si>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</si>
  <si>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</si>
  <si>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</si>
  <si>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</si>
  <si>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</si>
  <si>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</si>
  <si>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</si>
  <si>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</si>
  <si>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</si>
  <si>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</si>
  <si>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</si>
  <si>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</si>
  <si>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</si>
  <si>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</si>
  <si>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</si>
  <si>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</si>
  <si>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</si>
  <si>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</si>
  <si>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</si>
  <si>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</si>
  <si>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</si>
  <si>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</si>
  <si>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</si>
  <si>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</si>
  <si>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</si>
  <si>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</si>
  <si>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</si>
  <si>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</si>
  <si>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</si>
  <si>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</si>
  <si>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</si>
  <si>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</si>
  <si>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</si>
  <si>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</si>
  <si>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</si>
  <si>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</si>
  <si>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</si>
  <si>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</si>
  <si>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</si>
  <si>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</si>
  <si>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</si>
  <si>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</si>
  <si>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</si>
  <si>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</si>
  <si>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</si>
  <si>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</si>
  <si>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</si>
  <si>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</si>
  <si>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</si>
  <si>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</si>
  <si>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</si>
  <si>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</si>
  <si>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</si>
  <si>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</si>
  <si>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</si>
  <si>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</si>
  <si>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</si>
  <si>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</si>
  <si>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</si>
  <si>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</si>
  <si>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</si>
  <si>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</si>
  <si>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</si>
  <si>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</si>
  <si>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</si>
  <si>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</si>
  <si>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</si>
  <si>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</si>
  <si>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</si>
  <si>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</si>
  <si>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</si>
  <si>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</si>
  <si>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</si>
  <si>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</si>
  <si>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</si>
  <si>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</si>
  <si>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</si>
  <si>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</si>
  <si>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</si>
  <si>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</si>
  <si>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</si>
  <si>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</si>
  <si>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</si>
  <si>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</si>
  <si>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</si>
  <si>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</si>
  <si>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</si>
  <si>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</si>
  <si>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</si>
  <si>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</si>
  <si>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</si>
  <si>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</si>
  <si>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</si>
  <si>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</si>
  <si>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</si>
  <si>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</si>
  <si>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</si>
  <si>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</si>
  <si>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</si>
  <si>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</si>
  <si>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</si>
  <si>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</si>
  <si>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</si>
  <si>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</si>
  <si>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</si>
  <si>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</si>
  <si>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</si>
  <si>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</si>
  <si>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</si>
  <si>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</si>
  <si>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</si>
  <si>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</si>
  <si>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</si>
  <si>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</si>
  <si>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</si>
  <si>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</si>
  <si>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</si>
  <si>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</si>
  <si>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</si>
  <si>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</si>
  <si>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</si>
  <si>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</si>
  <si>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</si>
  <si>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</si>
  <si>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</si>
  <si>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</si>
  <si>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</si>
  <si>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</si>
  <si>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</si>
  <si>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</si>
  <si>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</si>
  <si>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C:\Users\Pavel_Khrapkin\Documents\Pavel\match\matchDBs\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</si>
  <si>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</si>
  <si>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</si>
  <si>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</si>
  <si>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</si>
  <si>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</si>
  <si>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</si>
  <si>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</si>
  <si>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</si>
  <si>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</si>
  <si>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</si>
  <si>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&lt;! ERROR !&gt; GetRep.CheckStamp&gt; Не найден Штамп в Документе 'SF_DicAccSyn'_x000D_
_x000D_
Этот Документ надо загрузить в match заново или _x000D_
исправить параметры в TOCmatch.</t>
  </si>
  <si>
    <t>MoveToMatch: В файл 'SFDC.xlsx' загружен новый отчет 'SF_DicAccSyn'; EOL=36 строк, в прежнем 24_x000D_
Это ПОЛНЫЙ документ.</t>
  </si>
  <si>
    <t>&lt;! ERROR !&gt; IsDone: Не 'Loaded' файл для Процесса LOAD_SF_DicAccSyn на Шаге Loaded_x000D_
_x000D_
Отчет SF_DicAccSyn надо загрузить заново!</t>
  </si>
  <si>
    <t>MoveToMatch: В файл 'SFDC.xlsx' загружен новый отчет 'SF_DicAccSyn'; EOL=36 строк, в прежнем 36_x000D_
Это ПОЛНЫЙ документ.</t>
  </si>
  <si>
    <t>&lt;! ERROR !&gt; WrTOC&gt; На Шаге 'Loaded' Документ 'SF_DicAccSyn' странно изменил EOL=-5</t>
  </si>
  <si>
    <t>&lt;! ERROR !&gt; WrTOC&gt; На Шаге '' Документ 'DicAccSynonims' странно изменил EOL=1</t>
  </si>
  <si>
    <t>MoveToMatch: В файл 'W_TMP.xlsm' загружен новый отчет 'DicAcc'; EOL=42 строк, в прежнем 1_x000D_
Это ПОЛНЫЙ документ.</t>
  </si>
  <si>
    <t>MoveToMatch: В файл 'SFDC.xlsx' загружен новый отчет 'SFacc'; EOL=4712 строк, в прежнем 4617_x000D_
Это ПОЛНЫЙ документ.</t>
  </si>
  <si>
    <t>&lt;! ERROR !&gt; GetRep&gt; Не найден Штамп в Документе 'SF'_x000D_
_x000D_
Этот Документ надо загрузить в match заново или _x000D_
исправить параметры в TOCmatch.</t>
  </si>
  <si>
    <t>&lt;! ERROR !&gt; WrTOC&gt; На Шаге 'ProcStart' Документ 'SF' странно изменил EOL=-5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</si>
  <si>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</si>
  <si>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EOL=4909 строк, в прежнем 4903_x000D_
Это ПОЛНЫЙ документ.</t>
  </si>
  <si>
    <t>adapt profile: total = 66,96_x000D_
By steps =  18,32 0,06 29,24 5,26 0,02 0,01 0,02 0,02 0,01 0,02 0,02 0,02 0,01 0,00 0,01 0,01 0,02 0,02 0,01 0,01 0,01 0,01 0,01 0,01 0,02 0,02 0,01 0,01 0,01 13,35 0,00 0,00 0,00 0,00 0,00 0,00 0,00 0,00</t>
  </si>
  <si>
    <t>adapt profile: total = 25,42_x000D_
By steps =  24,25 0,05</t>
  </si>
  <si>
    <t>MoveToMatch: В файл 'SFDC.xlsx' загружен новый отчет 'SFacc'; EOL=4712 строк, в прежнем 4712_x000D_
Это ПОЛНЫЙ документ.</t>
  </si>
  <si>
    <t>adapt profile: total = 70,07_x000D_
By steps =  18,59 0,05 27,08 4,07 0,03 0,02 0,01 0,01 0,01 0,01 0,02 0,02 0,02 0,01 0,02 0,01 0,01 0,01 0,01 0,01 0,01 0,01 0,01 0,00 0,01 0,01 0,01 0,01 0,01 17,60 0,00 0,00 0,00 0,00 0,00 0,00 0,00 0,00</t>
  </si>
  <si>
    <t>adapt profile: total = 7,44_x000D_
By steps =  1,23 4,12 0,80 0,00 0,00 0,00 0,61 0,01 0,00 0,00 0,01 0,00 0,01 0,00 0,00 0,00 0,00 0,00 0,00 0,01 0,00 0,01 0,00 0,00 0,00 0,00</t>
  </si>
  <si>
    <t>adapt profile: total = 5,90_x000D_
By steps =  5,40</t>
  </si>
  <si>
    <t>MoveToMatch: В файл '1C.xlsx' загружен новый отчет 'Платежи'; EOL=18 строк, в прежнем 5832_x000D_
Это изменяемая ЧАСТЬ данных.</t>
  </si>
  <si>
    <t>adapt profile: total = 1,24_x000D_
By steps =  0,04 0,00 0,13 0,47 0,00 0,00 0,00 0,00 0,00 0,00 0,00 0,00 0,00 0,00 0,00 0,00 0,00 0,00 0,00 0,00 0,00 0,00 0,00 0,00 0,00 0,00 0,00 0,00 0,00 0,60 0,00 0,00 0,00 0,00 0,00 0,00 0,00 0,00</t>
  </si>
  <si>
    <t>MoveToMatch: В файл '1C.xlsx' загружен новый отчет 'Договоры'; EOL=13 строк, в прежнем 1399_x000D_
Это изменяемая ЧАСТЬ данных.</t>
  </si>
  <si>
    <t>adapt profile: total = 0,03_x000D_
By steps =  0,02 0,00 0,00 0,00 0,00 0,00 0,00 0,00 0,00 0,00 0,00 0,00 0,00 0,00 0,00 0,00 0,00 0,00 0,00 0,00 0,00 0,00 0,00 0,00 0,00 0,00</t>
  </si>
  <si>
    <t>MoveToMatch: В файл 'SFDC.xlsx' загружен новый отчет 'SFD'; EOL=1164 строк, в прежнем 1191_x000D_
Это ПОЛНЫЙ документ.</t>
  </si>
  <si>
    <t>&lt;! ERROR !&gt; Необходимо загрузить заново 'SFopp' за 15.09.2013 15:24:00_x000D_
Он устарел относительно 'SFD' за 18.09.2013 1:41:00</t>
  </si>
  <si>
    <t>MoveToMatch: В файл 'SFDC.xlsx' загружен новый отчет 'SFD'; EOL=1164 строк, в прежнем 1164_x000D_
Это ПОЛНЫЙ документ.</t>
  </si>
  <si>
    <t>&lt;! ERROR !&gt; Необходимо загрузить заново 'Договоры' за 18.09.2013_x000D_
Он устарел относительно 'SFD' за 18.09.2013 1:45:00</t>
  </si>
  <si>
    <t>adapt profile: total = 6,32_x000D_
By steps =  6,09 0,01</t>
  </si>
  <si>
    <t>adapt profile: total = 5,43_x000D_
By steps =  0,88 3,00 0,60 0,02 0,00 0,00 0,51 0,00 0,00 0,00 0,00 0,00 0,00 0,00 0,00 0,00 0,00 0,00 0,00 0,00 0,00 0,00 0,00 0,00 0,00 0,00</t>
  </si>
  <si>
    <t>MoveToMatch: В файл 'SFDC.xlsx' загружен новый отчет 'SFopp'; EOL=3591 строк, в прежнем 3586_x000D_
Это ПОЛНЫЙ документ.</t>
  </si>
  <si>
    <t>adapt profile: total = 6,11_x000D_
By steps =  5,88 0,01</t>
  </si>
  <si>
    <t>adapt profile: total = 5,47_x000D_
By steps =  0,87 3,06 0,64 0,01 0,00 0,00 0,47 0,00 0,00 0,00 0,00 0,00 0,00 0,00 0,00 0,00 0,00 0,00 0,00 0,00 0,00 0,00 0,00 0,00 0,00 0,00</t>
  </si>
  <si>
    <t>MoveToMatch: В файл 'SFDC.xlsx' загружен новый отчет 'ADSKfrSF'; EOL=2213 строк, в прежнем 2200_x000D_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</si>
  <si>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</si>
  <si>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</si>
  <si>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&lt;! ERROR !&gt; GetRep&gt; Не найден Штамп в Документе 'BTO'_x000D_
_x000D_
Этот Документ надо загрузить в match заново или _x000D_
исправить параметры в TOCmatch.</t>
  </si>
  <si>
    <t>MoveToMatch: В файл 'SFDC.xlsx' загружен новый отчет 'BTO'; EOL=156 строк, в прежнем 156_x000D_
Это ПОЛНЫЙ документ.</t>
  </si>
  <si>
    <t>MoveToMatch: В файл 'SFDC.xlsx' загружен новый отчет 'SFcont'; EOL=8925 строк, в прежнем 8630_x000D_
Это ПОЛНЫЙ документ.</t>
  </si>
  <si>
    <t>001D000001Cj7P0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</si>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</sst>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7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8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4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4" fontId="10" fillId="5" borderId="0" xfId="5" applyFont="1" applyFill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5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7" fontId="8" fillId="15" borderId="55" xfId="11" applyNumberFormat="1" applyFont="1" applyFill="1" applyBorder="1" applyAlignment="1">
      <alignment horizontal="center" vertical="center"/>
    </xf>
    <xf numFmtId="167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1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4" fontId="0" fillId="6" borderId="0" xfId="17" applyFont="1" applyFill="1" applyAlignment="1">
      <alignment horizontal="center" vertical="center"/>
    </xf>
    <xf numFmtId="164" fontId="0" fillId="7" borderId="0" xfId="17" applyFont="1" applyFill="1" applyAlignment="1">
      <alignment vertical="top"/>
    </xf>
    <xf numFmtId="0" fontId="0" fillId="0" borderId="0" xfId="11" applyNumberFormat="1" applyFont="1"/>
    <xf numFmtId="164" fontId="20" fillId="2" borderId="0" xfId="36" applyFont="1" applyFill="1" applyAlignment="1">
      <alignment horizontal="center" vertical="center"/>
    </xf>
    <xf numFmtId="164" fontId="20" fillId="0" borderId="0" xfId="36" applyFont="1" applyFill="1" applyAlignment="1">
      <alignment horizontal="center" vertical="center"/>
    </xf>
    <xf numFmtId="164" fontId="20" fillId="15" borderId="0" xfId="36" applyFont="1" applyFill="1" applyAlignment="1">
      <alignment horizontal="center" vertical="center"/>
    </xf>
    <xf numFmtId="164" fontId="9" fillId="0" borderId="0" xfId="36" quotePrefix="1" applyFont="1" applyFill="1" applyAlignment="1">
      <alignment horizontal="center" vertical="center" wrapText="1"/>
    </xf>
    <xf numFmtId="164" fontId="20" fillId="6" borderId="0" xfId="36" applyFont="1" applyFill="1" applyAlignment="1">
      <alignment horizontal="center" vertical="center"/>
    </xf>
    <xf numFmtId="164" fontId="1" fillId="6" borderId="0" xfId="11" applyFill="1" applyAlignment="1">
      <alignment horizontal="center" vertical="center"/>
    </xf>
    <xf numFmtId="164" fontId="1" fillId="6" borderId="0" xfId="11" applyFill="1" applyAlignment="1">
      <alignment vertical="center"/>
    </xf>
    <xf numFmtId="164" fontId="0" fillId="0" borderId="0" xfId="11" applyFont="1" applyAlignment="1">
      <alignment vertical="center"/>
    </xf>
    <xf numFmtId="0" fontId="66" fillId="0" borderId="0" xfId="0" applyFont="1"/>
    <xf numFmtId="164" fontId="28" fillId="38" borderId="0" xfId="36" applyFont="1" applyFill="1" applyAlignment="1">
      <alignment horizontal="center" vertical="center"/>
    </xf>
    <xf numFmtId="164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4" fontId="0" fillId="15" borderId="8" xfId="1" applyFont="1" applyFill="1" applyBorder="1"/>
    <xf numFmtId="164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69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1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4" fontId="1" fillId="13" borderId="4" xfId="1" applyFill="1" applyBorder="1"/>
    <xf numFmtId="164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4" fontId="0" fillId="5" borderId="4" xfId="1" applyFont="1" applyFill="1" applyBorder="1" applyAlignment="1">
      <alignment horizontal="center"/>
    </xf>
    <xf numFmtId="164" fontId="1" fillId="9" borderId="3" xfId="1" applyFill="1" applyBorder="1"/>
    <xf numFmtId="164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4" fontId="10" fillId="5" borderId="2" xfId="4" applyFont="1" applyFill="1" applyBorder="1"/>
    <xf numFmtId="14" fontId="1" fillId="0" borderId="2" xfId="1" applyNumberFormat="1" applyBorder="1"/>
    <xf numFmtId="164" fontId="0" fillId="8" borderId="2" xfId="1" applyFont="1" applyFill="1" applyBorder="1"/>
    <xf numFmtId="164" fontId="0" fillId="0" borderId="2" xfId="1" applyFont="1" applyBorder="1"/>
    <xf numFmtId="164" fontId="0" fillId="0" borderId="20" xfId="1" applyFont="1" applyBorder="1" applyAlignment="1">
      <alignment vertical="center"/>
    </xf>
    <xf numFmtId="49" fontId="0" fillId="44" borderId="0" xfId="1" applyNumberFormat="1" applyFont="1" applyFill="1" applyBorder="1" applyAlignment="1">
      <alignment horizontal="center" vertical="center"/>
    </xf>
    <xf numFmtId="164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49" fontId="0" fillId="15" borderId="0" xfId="11" applyNumberFormat="1" applyFont="1" applyFill="1" applyAlignment="1">
      <alignment horizontal="center"/>
    </xf>
    <xf numFmtId="164" fontId="0" fillId="0" borderId="0" xfId="17" applyFont="1" applyAlignment="1">
      <alignment horizontal="center"/>
    </xf>
    <xf numFmtId="164" fontId="1" fillId="0" borderId="0" xfId="17" applyAlignment="1">
      <alignment horizontal="center"/>
    </xf>
    <xf numFmtId="0" fontId="17" fillId="45" borderId="0" xfId="0" applyFont="1" applyFill="1"/>
    <xf numFmtId="0" fontId="68" fillId="45" borderId="0" xfId="47" applyFont="1" applyFill="1" applyAlignment="1">
      <alignment horizontal="left" vertical="center"/>
    </xf>
    <xf numFmtId="164" fontId="0" fillId="20" borderId="0" xfId="1" applyFont="1" applyFill="1" applyBorder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4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4" fontId="0" fillId="45" borderId="0" xfId="1" applyFont="1" applyFill="1" applyBorder="1" applyAlignment="1">
      <alignment vertical="center"/>
    </xf>
    <xf numFmtId="164" fontId="1" fillId="45" borderId="0" xfId="1" applyFill="1" applyBorder="1"/>
    <xf numFmtId="49" fontId="0" fillId="2" borderId="17" xfId="1" applyNumberFormat="1" applyFont="1" applyFill="1" applyBorder="1" applyAlignment="1">
      <alignment horizontal="center" vertical="center"/>
    </xf>
    <xf numFmtId="165" fontId="1" fillId="6" borderId="6" xfId="1" applyNumberFormat="1" applyFill="1" applyBorder="1" applyAlignment="1">
      <alignment horizontal="center"/>
    </xf>
    <xf numFmtId="165" fontId="1" fillId="6" borderId="4" xfId="1" applyNumberFormat="1" applyFill="1" applyBorder="1" applyAlignment="1">
      <alignment horizontal="center"/>
    </xf>
    <xf numFmtId="49" fontId="0" fillId="0" borderId="3" xfId="1" applyNumberFormat="1" applyFont="1" applyFill="1" applyBorder="1" applyAlignment="1">
      <alignment horizontal="center" vertical="center"/>
    </xf>
    <xf numFmtId="164" fontId="1" fillId="0" borderId="0" xfId="1" applyFill="1" applyAlignment="1">
      <alignment wrapText="1"/>
    </xf>
    <xf numFmtId="49" fontId="0" fillId="0" borderId="0" xfId="1" applyNumberFormat="1" applyFont="1" applyFill="1" applyAlignment="1">
      <alignment horizontal="center"/>
    </xf>
    <xf numFmtId="164" fontId="7" fillId="0" borderId="0" xfId="1" applyFont="1" applyAlignment="1">
      <alignment horizontal="center" textRotation="90"/>
    </xf>
    <xf numFmtId="164" fontId="1" fillId="0" borderId="0" xfId="1" applyAlignment="1">
      <alignment horizontal="center"/>
    </xf>
    <xf numFmtId="164" fontId="1" fillId="0" borderId="0" xfId="1" applyAlignment="1"/>
    <xf numFmtId="164" fontId="7" fillId="0" borderId="0" xfId="1" applyFont="1" applyAlignment="1">
      <alignment textRotation="90"/>
    </xf>
    <xf numFmtId="164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167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7" fontId="67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69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167" fontId="9" fillId="0" borderId="0" xfId="28" applyFont="1" applyFill="1"/>
    <xf numFmtId="173" fontId="1" fillId="2" borderId="0" xfId="28" applyNumberFormat="1" applyFill="1"/>
  </cellXfs>
  <cellStyles count="48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8" sqref="C28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41535.088935185187</v>
      </c>
      <c r="C1" s="3" t="s">
        <v>0</v>
      </c>
      <c r="J1" s="4" t="s">
        <v>1253</v>
      </c>
      <c r="K1" s="5"/>
      <c r="L1" s="6"/>
      <c r="M1" s="6"/>
      <c r="N1" s="6"/>
      <c r="O1" s="958" t="s">
        <v>1</v>
      </c>
      <c r="P1" s="959" t="s">
        <v>1198</v>
      </c>
      <c r="Q1" s="959" t="s">
        <v>1197</v>
      </c>
      <c r="R1" s="955" t="s">
        <v>2</v>
      </c>
      <c r="S1" s="955" t="s">
        <v>3</v>
      </c>
      <c r="V1" s="955" t="s">
        <v>1192</v>
      </c>
      <c r="W1" s="955" t="s">
        <v>1193</v>
      </c>
      <c r="X1" s="955" t="s">
        <v>1194</v>
      </c>
      <c r="Y1" s="955" t="s">
        <v>1195</v>
      </c>
      <c r="Z1" s="955" t="s">
        <v>1196</v>
      </c>
    </row>
    <row r="2" spans="1:27" ht="29.25" customHeight="1" x14ac:dyDescent="0.25">
      <c r="O2" s="957"/>
      <c r="P2" s="956"/>
      <c r="Q2" s="956"/>
      <c r="R2" s="956"/>
      <c r="S2" s="956"/>
      <c r="V2" s="956"/>
      <c r="W2" s="956"/>
      <c r="X2" s="956"/>
      <c r="Y2" s="956"/>
      <c r="Z2" s="956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7"/>
      <c r="W3" s="957"/>
      <c r="X3" s="957"/>
      <c r="Y3" s="957"/>
      <c r="Z3" s="957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1209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41535.062789351854</v>
      </c>
      <c r="B8" s="22" t="s">
        <v>31</v>
      </c>
      <c r="C8" s="23">
        <v>5839</v>
      </c>
      <c r="D8" s="23">
        <v>5</v>
      </c>
      <c r="E8" s="23">
        <v>2</v>
      </c>
      <c r="F8" s="2" t="s">
        <v>32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41534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41533</v>
      </c>
      <c r="T8" s="22" t="s">
        <v>37</v>
      </c>
      <c r="V8" s="27">
        <v>2</v>
      </c>
      <c r="W8" s="27" t="s">
        <v>6</v>
      </c>
      <c r="X8" s="27">
        <v>2</v>
      </c>
      <c r="Y8" s="30">
        <v>41526</v>
      </c>
      <c r="Z8" s="30">
        <v>41533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41535.081354166665</v>
      </c>
      <c r="B10" s="2" t="s">
        <v>40</v>
      </c>
      <c r="C10" s="41">
        <v>1407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41535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41534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41534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41535.059328703705</v>
      </c>
      <c r="B12" s="2" t="s">
        <v>48</v>
      </c>
      <c r="C12" s="41">
        <v>2018</v>
      </c>
      <c r="D12" s="41">
        <v>1</v>
      </c>
      <c r="E12" s="849" t="s">
        <v>1208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41526</v>
      </c>
      <c r="O12" s="47" t="s">
        <v>28</v>
      </c>
      <c r="P12" s="834" t="s">
        <v>1207</v>
      </c>
      <c r="Q12" s="835" t="s">
        <v>1206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41535.055312500001</v>
      </c>
      <c r="B14" s="22" t="s">
        <v>57</v>
      </c>
      <c r="C14" s="23">
        <v>4909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41535.04583333333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41535.081192129626</v>
      </c>
      <c r="B15" s="2" t="s">
        <v>62</v>
      </c>
      <c r="C15" s="41">
        <v>1164</v>
      </c>
      <c r="D15" s="42">
        <v>2</v>
      </c>
      <c r="E15" s="42">
        <v>6</v>
      </c>
      <c r="F15" s="2" t="s">
        <v>32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41535.080555555556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41535.079756944448</v>
      </c>
      <c r="B16" s="2" t="s">
        <v>64</v>
      </c>
      <c r="C16" s="41">
        <v>3591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41535.070833333331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41535.059351851851</v>
      </c>
      <c r="B17" s="2" t="s">
        <v>68</v>
      </c>
      <c r="C17" s="41">
        <v>4712</v>
      </c>
      <c r="D17" s="42" t="s">
        <v>65</v>
      </c>
      <c r="E17" s="42">
        <v>6</v>
      </c>
      <c r="F17" s="2" t="s">
        <v>32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41535.056944444441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41535.088935185187</v>
      </c>
      <c r="B18" s="2" t="s">
        <v>69</v>
      </c>
      <c r="C18" s="41">
        <v>8925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41535.087500000001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41535.082592592589</v>
      </c>
      <c r="B19" s="2" t="s">
        <v>71</v>
      </c>
      <c r="C19" s="41">
        <v>2213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41535.081944444442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41535.086608796293</v>
      </c>
      <c r="B20" s="2" t="s">
        <v>74</v>
      </c>
      <c r="C20" s="849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41535.084722222222</v>
      </c>
      <c r="O20" s="47"/>
      <c r="Q20" s="47"/>
      <c r="Y20" s="59"/>
      <c r="Z20" s="59"/>
      <c r="AA20" s="59"/>
    </row>
    <row r="21" spans="1:27" ht="15.75" x14ac:dyDescent="0.3">
      <c r="A21" s="12">
        <v>41535.084317129629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41535.083333333336</v>
      </c>
      <c r="O21" s="47"/>
      <c r="Q21" s="47"/>
      <c r="Y21" s="59"/>
      <c r="Z21" s="59"/>
      <c r="AA21" s="59"/>
    </row>
    <row r="22" spans="1:27" ht="15.75" x14ac:dyDescent="0.3">
      <c r="A22" s="12">
        <v>41535.083495370367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41535.082638888889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41535.033715277779</v>
      </c>
      <c r="B23" s="68" t="str">
        <f>I23</f>
        <v>SF_DicAccSyn</v>
      </c>
      <c r="C23" s="922">
        <v>36</v>
      </c>
      <c r="D23" s="923" t="s">
        <v>65</v>
      </c>
      <c r="E23" s="923">
        <v>6</v>
      </c>
      <c r="F23" s="68" t="s">
        <v>32</v>
      </c>
      <c r="G23" s="922" t="s">
        <v>50</v>
      </c>
      <c r="H23" s="68" t="str">
        <f t="shared" si="0"/>
        <v>SFDC.xlsx</v>
      </c>
      <c r="I23" s="926" t="s">
        <v>1251</v>
      </c>
      <c r="J23" s="924" t="s">
        <v>1250</v>
      </c>
      <c r="K23" s="65" t="s">
        <v>30</v>
      </c>
      <c r="L23" s="108">
        <v>2</v>
      </c>
      <c r="M23" s="108">
        <v>1</v>
      </c>
      <c r="N23" s="162">
        <v>41534.915972222225</v>
      </c>
      <c r="O23" s="67"/>
      <c r="P23" s="927"/>
      <c r="Q23" s="67"/>
      <c r="T23" s="927" t="str">
        <f>Process!F58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0">
        <v>41535.01829861111</v>
      </c>
      <c r="B42" s="109" t="s">
        <v>127</v>
      </c>
      <c r="C42" s="110">
        <v>42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951">
        <v>41535.033715277779</v>
      </c>
      <c r="B43" s="916" t="s">
        <v>1247</v>
      </c>
      <c r="C43" s="917">
        <v>71</v>
      </c>
      <c r="D43" s="79"/>
      <c r="E43" s="79"/>
      <c r="F43" s="78" t="s">
        <v>1254</v>
      </c>
      <c r="H43" s="119" t="s">
        <v>128</v>
      </c>
      <c r="I43" s="915" t="str">
        <f>B43</f>
        <v>DicAccSynonims</v>
      </c>
      <c r="J43" s="80" t="s">
        <v>1249</v>
      </c>
      <c r="K43" s="918" t="s">
        <v>30</v>
      </c>
      <c r="L43" s="82">
        <v>1</v>
      </c>
      <c r="M43" s="82">
        <v>2</v>
      </c>
      <c r="N43" s="83">
        <v>41535.033715277779</v>
      </c>
      <c r="O43" s="84"/>
      <c r="P43" s="916" t="s">
        <v>1248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41532.623726851853</v>
      </c>
      <c r="B45" s="32" t="s">
        <v>134</v>
      </c>
      <c r="C45" s="75">
        <v>1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41532.623726851853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41532.623738425929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3" t="s">
        <v>1217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41532.623738425929</v>
      </c>
      <c r="B50" s="134" t="s">
        <v>144</v>
      </c>
      <c r="C50" s="135">
        <v>1</v>
      </c>
      <c r="D50" s="135"/>
      <c r="E50" s="135"/>
      <c r="F50" s="134" t="s">
        <v>135</v>
      </c>
      <c r="H50" s="134" t="s">
        <v>128</v>
      </c>
      <c r="I50" s="898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zoomScale="85" zoomScaleNormal="85" workbookViewId="0">
      <pane ySplit="1" topLeftCell="A32" activePane="bottomLeft" state="frozen"/>
      <selection pane="bottomLeft" activeCell="B35" sqref="B35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41535.081365740742</v>
      </c>
      <c r="C1" s="3" t="s">
        <v>158</v>
      </c>
      <c r="D1" s="3"/>
      <c r="G1" s="165" t="s">
        <v>182</v>
      </c>
      <c r="H1" s="165"/>
      <c r="I1" s="165"/>
    </row>
    <row r="2" spans="1:15" ht="15" customHeight="1" thickBot="1" x14ac:dyDescent="0.35">
      <c r="B2" s="3"/>
    </row>
    <row r="3" spans="1:15" ht="15.75" customHeight="1" x14ac:dyDescent="0.25">
      <c r="E3" s="960" t="s">
        <v>159</v>
      </c>
      <c r="F3" s="962" t="s">
        <v>160</v>
      </c>
      <c r="G3" s="963"/>
      <c r="H3" s="963"/>
      <c r="I3" s="963"/>
      <c r="J3" s="964"/>
      <c r="K3" s="962" t="s">
        <v>161</v>
      </c>
      <c r="L3" s="963"/>
      <c r="M3" s="963"/>
      <c r="N3" s="963"/>
      <c r="O3" s="964"/>
    </row>
    <row r="4" spans="1:15" s="8" customFormat="1" ht="15.75" thickBot="1" x14ac:dyDescent="0.3">
      <c r="B4" s="9" t="s">
        <v>162</v>
      </c>
      <c r="C4" s="8" t="s">
        <v>163</v>
      </c>
      <c r="E4" s="961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51"/>
      <c r="B6" s="952" t="s">
        <v>167</v>
      </c>
      <c r="C6" s="253"/>
      <c r="D6" s="214"/>
      <c r="E6" s="257" t="s">
        <v>65</v>
      </c>
      <c r="F6" s="859" t="s">
        <v>1210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245">
        <v>41532.321319444447</v>
      </c>
      <c r="B7" s="186" t="s">
        <v>181</v>
      </c>
      <c r="C7" s="246"/>
      <c r="D7" s="198"/>
      <c r="E7" s="857" t="s">
        <v>172</v>
      </c>
      <c r="F7" s="192" t="str">
        <f>F15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245">
        <v>41532.321331018517</v>
      </c>
      <c r="B8" s="186" t="s">
        <v>181</v>
      </c>
      <c r="C8" s="246"/>
      <c r="D8" s="198"/>
      <c r="E8" s="857" t="s">
        <v>172</v>
      </c>
      <c r="F8" s="192" t="str">
        <f>F24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41532.321342592593</v>
      </c>
      <c r="B9" s="184" t="s">
        <v>181</v>
      </c>
      <c r="C9" s="185"/>
      <c r="D9" s="198"/>
      <c r="E9" s="857" t="s">
        <v>168</v>
      </c>
      <c r="F9" s="192" t="str">
        <f>F32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245">
        <v>41532.947268518517</v>
      </c>
      <c r="B10" s="186" t="s">
        <v>181</v>
      </c>
      <c r="C10" s="246"/>
      <c r="D10" s="198"/>
      <c r="E10" s="857" t="s">
        <v>172</v>
      </c>
      <c r="F10" s="192" t="str">
        <f>F38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245">
        <v>41532.32136574074</v>
      </c>
      <c r="B11" s="186" t="s">
        <v>181</v>
      </c>
      <c r="C11" s="246"/>
      <c r="D11" s="198"/>
      <c r="E11" s="857" t="s">
        <v>172</v>
      </c>
      <c r="F11" s="192" t="str">
        <f>F45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245">
        <v>41532.947280092594</v>
      </c>
      <c r="B12" s="186" t="s">
        <v>181</v>
      </c>
      <c r="C12" s="246"/>
      <c r="D12" s="198"/>
      <c r="E12" s="857" t="s">
        <v>172</v>
      </c>
      <c r="F12" s="192" t="str">
        <f>F52</f>
        <v>LOAD_SFacc</v>
      </c>
      <c r="G12" s="195"/>
      <c r="H12" s="202"/>
      <c r="I12" s="202"/>
      <c r="J12" s="203"/>
      <c r="K12" s="192" t="str">
        <f>TOCmatch!B17</f>
        <v>SFacc</v>
      </c>
      <c r="L12" s="195"/>
      <c r="M12" s="195"/>
      <c r="N12" s="202"/>
      <c r="O12" s="203"/>
    </row>
    <row r="13" spans="1:15" outlineLevel="1" x14ac:dyDescent="0.25">
      <c r="A13" s="245"/>
      <c r="B13" s="874" t="s">
        <v>230</v>
      </c>
      <c r="C13" s="246"/>
      <c r="D13" s="198"/>
      <c r="E13" s="857" t="s">
        <v>172</v>
      </c>
      <c r="F13" s="192" t="str">
        <f>F72</f>
        <v>HANDL_Payment</v>
      </c>
      <c r="G13" s="195"/>
      <c r="H13" s="202"/>
      <c r="I13" s="202"/>
      <c r="J13" s="203"/>
      <c r="K13" s="192" t="str">
        <f>TOCmatch!B8</f>
        <v>Платежи</v>
      </c>
      <c r="L13" s="195"/>
      <c r="M13" s="195"/>
      <c r="N13" s="202"/>
      <c r="O13" s="203"/>
    </row>
    <row r="14" spans="1:15" s="233" customFormat="1" ht="15.75" outlineLevel="1" thickBot="1" x14ac:dyDescent="0.3">
      <c r="A14" s="285"/>
      <c r="B14" s="226" t="s">
        <v>32</v>
      </c>
      <c r="C14" s="848"/>
      <c r="D14" s="226"/>
      <c r="E14" s="858" t="s">
        <v>172</v>
      </c>
      <c r="F14" s="228"/>
      <c r="G14" s="229"/>
      <c r="H14" s="229"/>
      <c r="I14" s="229"/>
      <c r="J14" s="230"/>
      <c r="K14" s="231"/>
      <c r="L14" s="232"/>
      <c r="M14" s="229"/>
      <c r="N14" s="232"/>
      <c r="O14" s="230"/>
    </row>
    <row r="15" spans="1:15" s="177" customFormat="1" ht="15.75" thickTop="1" x14ac:dyDescent="0.25">
      <c r="B15" s="954" t="s">
        <v>167</v>
      </c>
      <c r="E15" s="178"/>
      <c r="F15" s="179" t="s">
        <v>37</v>
      </c>
      <c r="G15" s="180"/>
      <c r="H15" s="180"/>
      <c r="I15" s="180"/>
      <c r="J15" s="181"/>
      <c r="K15" s="182" t="str">
        <f>TOCmatch!B8</f>
        <v>Платежи</v>
      </c>
      <c r="L15" s="180"/>
      <c r="M15" s="180"/>
      <c r="N15" s="180"/>
      <c r="O15" s="181"/>
    </row>
    <row r="16" spans="1:15" s="177" customFormat="1" outlineLevel="1" x14ac:dyDescent="0.25">
      <c r="A16" s="183">
        <v>41535.062696759262</v>
      </c>
      <c r="B16" s="184" t="s">
        <v>84</v>
      </c>
      <c r="C16" s="185" t="s">
        <v>66</v>
      </c>
      <c r="D16" s="186"/>
      <c r="E16" s="187" t="s">
        <v>168</v>
      </c>
      <c r="F16" s="188"/>
      <c r="G16" s="189"/>
      <c r="H16" s="190"/>
      <c r="I16" s="190"/>
      <c r="J16" s="191"/>
      <c r="K16" s="192" t="str">
        <f>K15</f>
        <v>Платежи</v>
      </c>
      <c r="O16" s="191"/>
    </row>
    <row r="17" spans="1:15" s="177" customFormat="1" outlineLevel="1" x14ac:dyDescent="0.25">
      <c r="A17" s="245">
        <v>41535.062731481485</v>
      </c>
      <c r="B17" s="186" t="s">
        <v>100</v>
      </c>
      <c r="C17" s="246" t="str">
        <f>B16</f>
        <v>InsMyCol</v>
      </c>
      <c r="D17" s="186"/>
      <c r="E17" s="187" t="s">
        <v>172</v>
      </c>
      <c r="F17" s="188"/>
      <c r="G17" s="189"/>
      <c r="H17" s="190"/>
      <c r="I17" s="190"/>
      <c r="J17" s="191"/>
      <c r="K17" s="192" t="str">
        <f>K15</f>
        <v>Платежи</v>
      </c>
      <c r="L17" s="193" t="str">
        <f>TOCmatch!B17</f>
        <v>SFacc</v>
      </c>
      <c r="M17" s="193" t="str">
        <f>TOCmatch!B14</f>
        <v>SF</v>
      </c>
      <c r="N17" s="193" t="str">
        <f>TOCmatch!B21</f>
        <v>SF_PA</v>
      </c>
      <c r="O17" s="930" t="str">
        <f>TOCmatch!B43</f>
        <v>DicAccSynonims</v>
      </c>
    </row>
    <row r="18" spans="1:15" s="177" customFormat="1" outlineLevel="1" x14ac:dyDescent="0.25">
      <c r="A18" s="245">
        <v>41535.062743055554</v>
      </c>
      <c r="B18" s="186" t="s">
        <v>58</v>
      </c>
      <c r="C18" s="246" t="str">
        <f>B17</f>
        <v>Adapt</v>
      </c>
      <c r="D18" s="186"/>
      <c r="E18" s="187" t="s">
        <v>172</v>
      </c>
      <c r="F18" s="836">
        <v>7</v>
      </c>
      <c r="G18" s="194"/>
      <c r="H18" s="190"/>
      <c r="I18" s="190"/>
      <c r="J18" s="191"/>
      <c r="K18" s="192" t="str">
        <f>K15</f>
        <v>Платежи</v>
      </c>
      <c r="L18" s="195"/>
      <c r="M18" s="190"/>
      <c r="N18" s="195"/>
      <c r="O18" s="191"/>
    </row>
    <row r="19" spans="1:15" s="180" customFormat="1" outlineLevel="1" x14ac:dyDescent="0.25">
      <c r="A19" s="317">
        <v>41535.062754629631</v>
      </c>
      <c r="B19" s="248" t="s">
        <v>171</v>
      </c>
      <c r="C19" s="246" t="str">
        <f>B18</f>
        <v>DateSort</v>
      </c>
      <c r="D19" s="198"/>
      <c r="E19" s="199" t="s">
        <v>172</v>
      </c>
      <c r="F19" s="192"/>
      <c r="G19" s="190"/>
      <c r="H19" s="190"/>
      <c r="I19" s="190"/>
      <c r="J19" s="191"/>
      <c r="K19" s="192" t="str">
        <f>K15</f>
        <v>Платежи</v>
      </c>
      <c r="L19" s="195"/>
      <c r="M19" s="190"/>
      <c r="N19" s="195"/>
      <c r="O19" s="191"/>
    </row>
    <row r="20" spans="1:15" outlineLevel="1" x14ac:dyDescent="0.25">
      <c r="A20" s="245">
        <v>41535.062777777777</v>
      </c>
      <c r="B20" s="186" t="s">
        <v>49</v>
      </c>
      <c r="C20" s="255" t="str">
        <f>B19</f>
        <v>PaymentPaint</v>
      </c>
      <c r="D20" s="198"/>
      <c r="E20" s="201" t="s">
        <v>172</v>
      </c>
      <c r="G20" s="195"/>
      <c r="H20" s="202"/>
      <c r="I20" s="202"/>
      <c r="J20" s="203"/>
      <c r="K20" s="192" t="str">
        <f>K15</f>
        <v>Платежи</v>
      </c>
      <c r="L20" s="195"/>
      <c r="M20" s="195"/>
      <c r="N20" s="193" t="str">
        <f>TOCmatch!B17</f>
        <v>SFacc</v>
      </c>
      <c r="O20" s="203"/>
    </row>
    <row r="21" spans="1:15" outlineLevel="1" x14ac:dyDescent="0.25">
      <c r="A21" s="245">
        <v>41535.062789351854</v>
      </c>
      <c r="B21" s="874" t="s">
        <v>1191</v>
      </c>
      <c r="C21" s="255" t="str">
        <f>B20</f>
        <v>AccPaint</v>
      </c>
      <c r="D21" s="198"/>
      <c r="E21" s="201" t="s">
        <v>172</v>
      </c>
      <c r="G21" s="195"/>
      <c r="H21" s="202"/>
      <c r="I21" s="202"/>
      <c r="J21" s="203"/>
      <c r="K21" s="192" t="str">
        <f>K15</f>
        <v>Платежи</v>
      </c>
      <c r="L21" s="195"/>
      <c r="M21" s="195"/>
      <c r="N21" s="195"/>
      <c r="O21" s="203"/>
    </row>
    <row r="22" spans="1:15" s="177" customFormat="1" outlineLevel="1" x14ac:dyDescent="0.25">
      <c r="A22" s="196">
        <v>41535.062800925924</v>
      </c>
      <c r="B22" s="846" t="s">
        <v>1211</v>
      </c>
      <c r="C22" s="845"/>
      <c r="D22" s="190"/>
      <c r="E22" s="201" t="s">
        <v>168</v>
      </c>
      <c r="F22" s="193" t="str">
        <f>TOCmatch!B14</f>
        <v>SF</v>
      </c>
      <c r="G22" s="190"/>
      <c r="H22" s="190"/>
      <c r="I22" s="190"/>
      <c r="J22" s="191"/>
      <c r="K22" s="192" t="str">
        <f>K21</f>
        <v>Платежи</v>
      </c>
      <c r="L22" s="195"/>
      <c r="M22" s="190"/>
      <c r="N22" s="195"/>
      <c r="O22" s="191"/>
    </row>
    <row r="23" spans="1:15" s="211" customFormat="1" outlineLevel="1" x14ac:dyDescent="0.25">
      <c r="A23" s="249">
        <v>41509.164409722223</v>
      </c>
      <c r="B23" s="204" t="s">
        <v>32</v>
      </c>
      <c r="C23" s="250"/>
      <c r="D23" s="204"/>
      <c r="E23" s="205"/>
      <c r="F23" s="206"/>
      <c r="G23" s="207"/>
      <c r="H23" s="207"/>
      <c r="I23" s="207"/>
      <c r="J23" s="208"/>
      <c r="K23" s="209"/>
      <c r="L23" s="210"/>
      <c r="M23" s="207"/>
      <c r="N23" s="210"/>
      <c r="O23" s="208"/>
    </row>
    <row r="24" spans="1:15" s="177" customFormat="1" x14ac:dyDescent="0.25">
      <c r="A24" s="212"/>
      <c r="B24" s="856" t="s">
        <v>167</v>
      </c>
      <c r="C24" s="213"/>
      <c r="D24" s="214"/>
      <c r="E24" s="215" t="s">
        <v>172</v>
      </c>
      <c r="F24" s="216" t="s">
        <v>45</v>
      </c>
      <c r="G24" s="214"/>
      <c r="H24" s="214"/>
      <c r="I24" s="214"/>
      <c r="J24" s="217"/>
      <c r="K24" s="218" t="str">
        <f>TOCmatch!B10</f>
        <v>Договоры</v>
      </c>
      <c r="L24" s="219"/>
      <c r="M24" s="214"/>
      <c r="N24" s="219"/>
      <c r="O24" s="217"/>
    </row>
    <row r="25" spans="1:15" s="32" customFormat="1" outlineLevel="1" x14ac:dyDescent="0.25">
      <c r="A25" s="183">
        <v>41535.064849537041</v>
      </c>
      <c r="B25" s="184" t="s">
        <v>84</v>
      </c>
      <c r="C25" s="185" t="s">
        <v>66</v>
      </c>
      <c r="D25" s="186"/>
      <c r="E25" s="187" t="s">
        <v>168</v>
      </c>
      <c r="F25" s="188"/>
      <c r="G25" s="189"/>
      <c r="H25" s="190"/>
      <c r="I25" s="190"/>
      <c r="J25" s="203"/>
      <c r="K25" s="192" t="str">
        <f>K24</f>
        <v>Договоры</v>
      </c>
      <c r="N25" s="202"/>
      <c r="O25" s="203"/>
    </row>
    <row r="26" spans="1:15" s="32" customFormat="1" outlineLevel="1" x14ac:dyDescent="0.25">
      <c r="A26" s="183">
        <v>41535.081284722219</v>
      </c>
      <c r="B26" s="184" t="s">
        <v>100</v>
      </c>
      <c r="C26" s="185" t="str">
        <f>B25</f>
        <v>InsMyCol</v>
      </c>
      <c r="D26" s="186"/>
      <c r="E26" s="187" t="s">
        <v>168</v>
      </c>
      <c r="F26" s="188"/>
      <c r="J26" s="203"/>
      <c r="K26" s="192" t="str">
        <f>K24</f>
        <v>Договоры</v>
      </c>
      <c r="L26" s="193" t="str">
        <f>TOCmatch!B17</f>
        <v>SFacc</v>
      </c>
      <c r="M26" s="193" t="str">
        <f>TOCmatch!B15</f>
        <v>SFD</v>
      </c>
      <c r="N26" s="202"/>
      <c r="O26" s="203"/>
    </row>
    <row r="27" spans="1:15" s="32" customFormat="1" outlineLevel="1" x14ac:dyDescent="0.25">
      <c r="A27" s="196">
        <v>41535.081296296295</v>
      </c>
      <c r="B27" s="184" t="s">
        <v>58</v>
      </c>
      <c r="C27" s="185" t="str">
        <f>B26</f>
        <v>Adapt</v>
      </c>
      <c r="D27" s="186"/>
      <c r="E27" s="187" t="s">
        <v>168</v>
      </c>
      <c r="F27" s="836">
        <v>12</v>
      </c>
      <c r="G27" s="194"/>
      <c r="H27" s="202"/>
      <c r="I27" s="202"/>
      <c r="J27" s="203"/>
      <c r="K27" s="192" t="str">
        <f>K24</f>
        <v>Договоры</v>
      </c>
      <c r="L27" s="202"/>
      <c r="M27" s="202"/>
      <c r="N27" s="202"/>
      <c r="O27" s="203"/>
    </row>
    <row r="28" spans="1:15" s="32" customFormat="1" outlineLevel="1" x14ac:dyDescent="0.25">
      <c r="A28" s="196">
        <v>41535.081319444442</v>
      </c>
      <c r="B28" s="197" t="s">
        <v>176</v>
      </c>
      <c r="C28" s="185" t="str">
        <f>B27</f>
        <v>DateSort</v>
      </c>
      <c r="D28" s="198"/>
      <c r="E28" s="221" t="s">
        <v>168</v>
      </c>
      <c r="F28" s="222"/>
      <c r="G28" s="202"/>
      <c r="H28" s="202"/>
      <c r="I28" s="202"/>
      <c r="J28" s="203"/>
      <c r="K28" s="192" t="str">
        <f>K24</f>
        <v>Договоры</v>
      </c>
      <c r="L28" s="193" t="str">
        <f>TOCmatch!B15</f>
        <v>SFD</v>
      </c>
      <c r="N28" s="202"/>
      <c r="O28" s="203"/>
    </row>
    <row r="29" spans="1:15" outlineLevel="1" x14ac:dyDescent="0.25">
      <c r="A29" s="183">
        <v>41535.081331018519</v>
      </c>
      <c r="B29" s="184" t="s">
        <v>49</v>
      </c>
      <c r="C29" s="185" t="str">
        <f>B28</f>
        <v>ContractPaint</v>
      </c>
      <c r="D29" s="198"/>
      <c r="E29" s="223" t="s">
        <v>168</v>
      </c>
      <c r="F29" s="220"/>
      <c r="G29" s="195"/>
      <c r="H29" s="202"/>
      <c r="I29" s="202"/>
      <c r="J29" s="203"/>
      <c r="K29" s="192" t="str">
        <f>K24</f>
        <v>Договоры</v>
      </c>
      <c r="L29" s="195"/>
      <c r="M29" s="195"/>
      <c r="N29" s="193" t="str">
        <f>TOCmatch!B17</f>
        <v>SFacc</v>
      </c>
      <c r="O29" s="203"/>
    </row>
    <row r="30" spans="1:15" outlineLevel="1" x14ac:dyDescent="0.25">
      <c r="A30" s="183">
        <v>41535.081342592595</v>
      </c>
      <c r="B30" s="853" t="s">
        <v>1191</v>
      </c>
      <c r="C30" s="200" t="str">
        <f>B29</f>
        <v>AccPaint</v>
      </c>
      <c r="D30" s="198"/>
      <c r="E30" s="201" t="s">
        <v>168</v>
      </c>
      <c r="G30" s="195"/>
      <c r="H30" s="202"/>
      <c r="I30" s="202"/>
      <c r="J30" s="203"/>
      <c r="K30" s="192" t="str">
        <f>K24</f>
        <v>Договоры</v>
      </c>
      <c r="L30" s="195"/>
      <c r="M30" s="195"/>
      <c r="N30" s="195"/>
      <c r="O30" s="203"/>
    </row>
    <row r="31" spans="1:15" s="211" customFormat="1" outlineLevel="1" x14ac:dyDescent="0.25">
      <c r="A31" s="854">
        <v>41509.162106481483</v>
      </c>
      <c r="B31" s="855" t="s">
        <v>32</v>
      </c>
      <c r="C31" s="250"/>
      <c r="D31" s="204"/>
      <c r="E31" s="205" t="s">
        <v>172</v>
      </c>
      <c r="F31" s="206"/>
      <c r="G31" s="207"/>
      <c r="H31" s="207"/>
      <c r="I31" s="207"/>
      <c r="J31" s="208"/>
      <c r="K31" s="209"/>
      <c r="L31" s="210"/>
      <c r="M31" s="207"/>
      <c r="N31" s="210"/>
      <c r="O31" s="208"/>
    </row>
    <row r="32" spans="1:15" s="177" customFormat="1" x14ac:dyDescent="0.25">
      <c r="A32" s="212"/>
      <c r="B32" s="856" t="s">
        <v>167</v>
      </c>
      <c r="C32" s="213"/>
      <c r="D32" s="214"/>
      <c r="E32" s="215"/>
      <c r="F32" s="224" t="s">
        <v>54</v>
      </c>
      <c r="G32" s="214"/>
      <c r="H32" s="214"/>
      <c r="I32" s="214"/>
      <c r="J32" s="217"/>
      <c r="K32" s="218" t="s">
        <v>48</v>
      </c>
      <c r="L32" s="219"/>
      <c r="M32" s="214"/>
      <c r="N32" s="219"/>
      <c r="O32" s="217"/>
    </row>
    <row r="33" spans="1:15" s="177" customFormat="1" outlineLevel="1" x14ac:dyDescent="0.25">
      <c r="A33" s="183">
        <v>41526.623483796298</v>
      </c>
      <c r="B33" s="184" t="s">
        <v>177</v>
      </c>
      <c r="C33" s="185" t="s">
        <v>66</v>
      </c>
      <c r="D33" s="198"/>
      <c r="E33" s="187" t="s">
        <v>168</v>
      </c>
      <c r="F33" s="220"/>
      <c r="G33" s="194"/>
      <c r="H33" s="190"/>
      <c r="I33" s="190"/>
      <c r="J33" s="191"/>
      <c r="K33" s="192" t="str">
        <f>K32</f>
        <v>Список клиентов 1C</v>
      </c>
      <c r="L33" s="195"/>
      <c r="M33" s="190"/>
      <c r="N33" s="195"/>
      <c r="O33" s="191"/>
    </row>
    <row r="34" spans="1:15" s="32" customFormat="1" outlineLevel="1" x14ac:dyDescent="0.25">
      <c r="A34" s="183">
        <v>41526.623553240737</v>
      </c>
      <c r="B34" s="184" t="s">
        <v>84</v>
      </c>
      <c r="C34" s="225" t="str">
        <f>B33</f>
        <v>Acc1C_Bottom</v>
      </c>
      <c r="D34" s="186"/>
      <c r="E34" s="187" t="s">
        <v>168</v>
      </c>
      <c r="F34" s="192"/>
      <c r="G34" s="195"/>
      <c r="H34" s="190"/>
      <c r="I34" s="190"/>
      <c r="J34" s="203"/>
      <c r="K34" s="192" t="str">
        <f>K32</f>
        <v>Список клиентов 1C</v>
      </c>
      <c r="L34" s="202"/>
      <c r="M34" s="202"/>
      <c r="O34" s="203"/>
    </row>
    <row r="35" spans="1:15" s="32" customFormat="1" outlineLevel="1" x14ac:dyDescent="0.25">
      <c r="A35" s="183">
        <v>41535.059317129628</v>
      </c>
      <c r="B35" s="184" t="s">
        <v>100</v>
      </c>
      <c r="C35" s="225" t="str">
        <f>B34</f>
        <v>InsMyCol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K32</f>
        <v>Список клиентов 1C</v>
      </c>
      <c r="L35" s="202"/>
      <c r="M35" s="202"/>
      <c r="N35" s="193" t="str">
        <f>TOCmatch!B17</f>
        <v>SFacc</v>
      </c>
      <c r="O35" s="203"/>
    </row>
    <row r="36" spans="1:15" outlineLevel="1" x14ac:dyDescent="0.25">
      <c r="A36" s="183">
        <v>41535.059340277781</v>
      </c>
      <c r="B36" s="184" t="s">
        <v>49</v>
      </c>
      <c r="C36" s="225" t="str">
        <f>B35</f>
        <v>Adapt</v>
      </c>
      <c r="D36" s="198"/>
      <c r="E36" s="223" t="s">
        <v>168</v>
      </c>
      <c r="F36" s="192"/>
      <c r="G36" s="195"/>
      <c r="H36" s="202"/>
      <c r="I36" s="202"/>
      <c r="J36" s="203"/>
      <c r="K36" s="192" t="str">
        <f>K32</f>
        <v>Список клиентов 1C</v>
      </c>
      <c r="L36" s="195"/>
      <c r="M36" s="195"/>
      <c r="N36" s="193" t="str">
        <f>TOCmatch!B17</f>
        <v>SFacc</v>
      </c>
      <c r="O36" s="203"/>
    </row>
    <row r="37" spans="1:15" s="180" customFormat="1" ht="15.75" outlineLevel="1" thickBot="1" x14ac:dyDescent="0.3">
      <c r="A37" s="196">
        <v>41507.01185185185</v>
      </c>
      <c r="B37" s="197" t="s">
        <v>32</v>
      </c>
      <c r="C37" s="318"/>
      <c r="D37" s="248"/>
      <c r="E37" s="199" t="s">
        <v>168</v>
      </c>
      <c r="F37" s="319"/>
      <c r="G37" s="190"/>
      <c r="H37" s="190"/>
      <c r="I37" s="190"/>
      <c r="J37" s="191"/>
      <c r="K37" s="192"/>
      <c r="L37" s="195"/>
      <c r="M37" s="190"/>
      <c r="N37" s="195"/>
      <c r="O37" s="191"/>
    </row>
    <row r="38" spans="1:15" s="177" customFormat="1" ht="15.75" thickTop="1" x14ac:dyDescent="0.25">
      <c r="A38" s="234"/>
      <c r="B38" s="235" t="s">
        <v>167</v>
      </c>
      <c r="C38" s="236"/>
      <c r="D38" s="237"/>
      <c r="E38" s="238" t="s">
        <v>172</v>
      </c>
      <c r="F38" s="239" t="s">
        <v>178</v>
      </c>
      <c r="G38" s="237"/>
      <c r="H38" s="237"/>
      <c r="I38" s="237"/>
      <c r="J38" s="240"/>
      <c r="K38" s="241" t="str">
        <f>TOCmatch!B14</f>
        <v>SF</v>
      </c>
      <c r="L38" s="242"/>
      <c r="M38" s="237"/>
      <c r="N38" s="242"/>
      <c r="O38" s="240"/>
    </row>
    <row r="39" spans="1:15" outlineLevel="1" x14ac:dyDescent="0.25">
      <c r="A39" s="183">
        <v>41535.054027777776</v>
      </c>
      <c r="B39" s="184" t="s">
        <v>84</v>
      </c>
      <c r="C39" s="931" t="s">
        <v>66</v>
      </c>
      <c r="D39" s="186"/>
      <c r="E39" s="187" t="s">
        <v>168</v>
      </c>
      <c r="F39" s="192"/>
      <c r="G39" s="195"/>
      <c r="H39" s="202"/>
      <c r="I39" s="202"/>
      <c r="J39" s="243"/>
      <c r="K39" s="192" t="str">
        <f>K38</f>
        <v>SF</v>
      </c>
      <c r="L39" s="202"/>
      <c r="M39" s="202"/>
      <c r="N39" s="202"/>
      <c r="O39" s="243"/>
    </row>
    <row r="40" spans="1:15" outlineLevel="1" x14ac:dyDescent="0.25">
      <c r="A40" s="245">
        <v>41535.0549537037</v>
      </c>
      <c r="B40" s="248" t="s">
        <v>181</v>
      </c>
      <c r="C40" s="246" t="str">
        <f>B39</f>
        <v>InsMyCol</v>
      </c>
      <c r="D40" s="198"/>
      <c r="E40" s="223" t="s">
        <v>172</v>
      </c>
      <c r="F40" s="192" t="str">
        <f>F15</f>
        <v>LOAD_1C_P</v>
      </c>
      <c r="G40" s="195"/>
      <c r="H40" s="202"/>
      <c r="I40" s="202"/>
      <c r="J40" s="243"/>
      <c r="K40" s="192" t="str">
        <f>TOCmatch!B8</f>
        <v>Платежи</v>
      </c>
      <c r="L40" s="202" t="str">
        <f>K38</f>
        <v>SF</v>
      </c>
      <c r="M40" s="202"/>
      <c r="N40" s="202"/>
      <c r="O40" s="243"/>
    </row>
    <row r="41" spans="1:15" outlineLevel="1" x14ac:dyDescent="0.25">
      <c r="A41" s="245">
        <v>41535.055266203701</v>
      </c>
      <c r="B41" s="186" t="s">
        <v>100</v>
      </c>
      <c r="C41" s="953" t="str">
        <f>B40</f>
        <v>ProcStart</v>
      </c>
      <c r="D41" s="202"/>
      <c r="E41" s="223" t="s">
        <v>172</v>
      </c>
      <c r="F41" s="192"/>
      <c r="G41" s="195"/>
      <c r="H41" s="202"/>
      <c r="I41" s="202"/>
      <c r="J41" s="243"/>
      <c r="K41" s="192" t="str">
        <f>K38</f>
        <v>SF</v>
      </c>
      <c r="L41" s="202" t="str">
        <f>TOCmatch!B8</f>
        <v>Платежи</v>
      </c>
      <c r="M41" s="202"/>
      <c r="N41" s="202"/>
      <c r="O41" s="243"/>
    </row>
    <row r="42" spans="1:15" outlineLevel="1" x14ac:dyDescent="0.25">
      <c r="A42" s="183">
        <v>41535.055312500001</v>
      </c>
      <c r="B42" s="184" t="s">
        <v>58</v>
      </c>
      <c r="C42" s="185"/>
      <c r="D42" s="186"/>
      <c r="E42" s="187" t="s">
        <v>168</v>
      </c>
      <c r="F42" s="837">
        <v>5</v>
      </c>
      <c r="G42" s="195"/>
      <c r="H42" s="202"/>
      <c r="I42" s="202"/>
      <c r="J42" s="203"/>
      <c r="K42" s="192" t="str">
        <f>K38</f>
        <v>SF</v>
      </c>
      <c r="L42" s="202"/>
      <c r="M42" s="202"/>
      <c r="N42" s="202"/>
      <c r="O42" s="203"/>
    </row>
    <row r="43" spans="1:15" outlineLevel="1" x14ac:dyDescent="0.25">
      <c r="A43" s="183">
        <v>41535.055335648147</v>
      </c>
      <c r="B43" s="853" t="s">
        <v>1200</v>
      </c>
      <c r="C43" s="185"/>
      <c r="D43" s="186"/>
      <c r="E43" s="187" t="s">
        <v>168</v>
      </c>
      <c r="F43" s="247"/>
      <c r="G43" s="195"/>
      <c r="H43" s="202"/>
      <c r="I43" s="202"/>
      <c r="J43" s="203"/>
      <c r="K43" s="192" t="str">
        <f>K38</f>
        <v>SF</v>
      </c>
      <c r="L43" s="202"/>
      <c r="M43" s="202"/>
      <c r="N43" s="202"/>
      <c r="O43" s="203"/>
    </row>
    <row r="44" spans="1:15" s="211" customFormat="1" outlineLevel="1" x14ac:dyDescent="0.25">
      <c r="A44" s="249">
        <v>41509.160416666666</v>
      </c>
      <c r="B44" s="204" t="s">
        <v>32</v>
      </c>
      <c r="C44" s="250"/>
      <c r="D44" s="204"/>
      <c r="E44" s="205" t="s">
        <v>172</v>
      </c>
      <c r="F44" s="206"/>
      <c r="G44" s="207"/>
      <c r="H44" s="207"/>
      <c r="I44" s="207"/>
      <c r="J44" s="208"/>
      <c r="K44" s="209" t="str">
        <f>K38</f>
        <v>SF</v>
      </c>
      <c r="L44" s="210"/>
      <c r="M44" s="207"/>
      <c r="N44" s="210"/>
      <c r="O44" s="208"/>
    </row>
    <row r="45" spans="1:15" s="177" customFormat="1" x14ac:dyDescent="0.25">
      <c r="A45" s="212"/>
      <c r="B45" s="856" t="s">
        <v>167</v>
      </c>
      <c r="C45" s="213"/>
      <c r="D45" s="214"/>
      <c r="E45" s="215" t="s">
        <v>172</v>
      </c>
      <c r="F45" s="216" t="s">
        <v>182</v>
      </c>
      <c r="G45" s="214"/>
      <c r="H45" s="214"/>
      <c r="I45" s="214"/>
      <c r="J45" s="217"/>
      <c r="K45" s="218" t="s">
        <v>62</v>
      </c>
      <c r="L45" s="219"/>
      <c r="M45" s="214"/>
      <c r="N45" s="219"/>
      <c r="O45" s="217"/>
    </row>
    <row r="46" spans="1:15" s="177" customFormat="1" outlineLevel="1" x14ac:dyDescent="0.25">
      <c r="A46" s="196">
        <v>41535.078865740739</v>
      </c>
      <c r="B46" s="846" t="s">
        <v>1211</v>
      </c>
      <c r="C46" s="845"/>
      <c r="D46" s="190"/>
      <c r="E46" s="199" t="s">
        <v>168</v>
      </c>
      <c r="F46" s="193" t="str">
        <f>TOCmatch!B15</f>
        <v>SFD</v>
      </c>
      <c r="G46" s="190"/>
      <c r="H46" s="190"/>
      <c r="I46" s="190"/>
      <c r="J46" s="191"/>
      <c r="K46" s="192" t="str">
        <f>TOCmatch!B10</f>
        <v>Договоры</v>
      </c>
      <c r="L46" s="190"/>
      <c r="M46" s="190"/>
      <c r="N46" s="195"/>
      <c r="O46" s="191"/>
    </row>
    <row r="47" spans="1:15" outlineLevel="1" x14ac:dyDescent="0.25">
      <c r="A47" s="183">
        <v>41535.081099537034</v>
      </c>
      <c r="B47" s="184" t="s">
        <v>84</v>
      </c>
      <c r="C47" s="185" t="str">
        <f>B46</f>
        <v>CheckRepDate</v>
      </c>
      <c r="D47" s="186"/>
      <c r="E47" s="187" t="s">
        <v>168</v>
      </c>
      <c r="F47" s="192"/>
      <c r="G47" s="190"/>
      <c r="H47" s="202"/>
      <c r="I47" s="202"/>
      <c r="J47" s="243"/>
      <c r="K47" s="244" t="s">
        <v>62</v>
      </c>
      <c r="M47" s="202"/>
      <c r="N47" s="202"/>
      <c r="O47" s="243"/>
    </row>
    <row r="48" spans="1:15" outlineLevel="1" x14ac:dyDescent="0.25">
      <c r="A48" s="183">
        <v>41535.081192129626</v>
      </c>
      <c r="B48" s="184" t="s">
        <v>100</v>
      </c>
      <c r="C48" s="185" t="str">
        <f>B47</f>
        <v>InsMyCol</v>
      </c>
      <c r="D48" s="186"/>
      <c r="E48" s="187" t="s">
        <v>168</v>
      </c>
      <c r="F48" s="192"/>
      <c r="G48" s="195"/>
      <c r="H48" s="202"/>
      <c r="I48" s="202"/>
      <c r="J48" s="243"/>
      <c r="K48" s="244" t="s">
        <v>62</v>
      </c>
      <c r="L48" s="198" t="s">
        <v>40</v>
      </c>
      <c r="M48" s="202"/>
      <c r="N48" s="193" t="s">
        <v>68</v>
      </c>
      <c r="O48" s="243"/>
    </row>
    <row r="49" spans="1:15" outlineLevel="1" x14ac:dyDescent="0.25">
      <c r="A49" s="183">
        <v>41535.081203703703</v>
      </c>
      <c r="B49" s="184" t="s">
        <v>58</v>
      </c>
      <c r="C49" s="185" t="str">
        <f>B48</f>
        <v>Adapt</v>
      </c>
      <c r="D49" s="186"/>
      <c r="E49" s="187" t="s">
        <v>168</v>
      </c>
      <c r="F49" s="847">
        <v>8</v>
      </c>
      <c r="G49" s="195"/>
      <c r="H49" s="202"/>
      <c r="I49" s="202"/>
      <c r="J49" s="203"/>
      <c r="K49" s="244" t="s">
        <v>62</v>
      </c>
      <c r="L49" s="202"/>
      <c r="M49" s="202"/>
      <c r="N49" s="202"/>
      <c r="O49" s="203"/>
    </row>
    <row r="50" spans="1:15" outlineLevel="1" x14ac:dyDescent="0.25">
      <c r="A50" s="183">
        <v>41535.081365740742</v>
      </c>
      <c r="B50" s="197" t="s">
        <v>181</v>
      </c>
      <c r="C50" s="225" t="str">
        <f>B49</f>
        <v>DateSort</v>
      </c>
      <c r="D50" s="198"/>
      <c r="E50" s="223" t="s">
        <v>168</v>
      </c>
      <c r="F50" s="192" t="str">
        <f>F24</f>
        <v>LOAD_1C_DOG</v>
      </c>
      <c r="G50" s="195"/>
      <c r="H50" s="202"/>
      <c r="I50" s="202"/>
      <c r="J50" s="243"/>
      <c r="K50" s="244" t="s">
        <v>40</v>
      </c>
      <c r="L50" s="202"/>
      <c r="M50" s="202"/>
      <c r="N50" s="202"/>
      <c r="O50" s="243"/>
    </row>
    <row r="51" spans="1:15" s="211" customFormat="1" outlineLevel="1" x14ac:dyDescent="0.25">
      <c r="A51" s="854">
        <v>41507.005196759259</v>
      </c>
      <c r="B51" s="855" t="s">
        <v>32</v>
      </c>
      <c r="C51" s="250"/>
      <c r="D51" s="204"/>
      <c r="E51" s="205" t="s">
        <v>168</v>
      </c>
      <c r="F51" s="206"/>
      <c r="G51" s="207"/>
      <c r="H51" s="207"/>
      <c r="I51" s="207"/>
      <c r="J51" s="208"/>
      <c r="K51" s="209"/>
      <c r="L51" s="210"/>
      <c r="M51" s="207"/>
      <c r="N51" s="210"/>
      <c r="O51" s="208"/>
    </row>
    <row r="52" spans="1:15" s="177" customFormat="1" x14ac:dyDescent="0.25">
      <c r="A52" s="251"/>
      <c r="B52" s="952" t="s">
        <v>167</v>
      </c>
      <c r="C52" s="253"/>
      <c r="D52" s="214"/>
      <c r="E52" s="215" t="s">
        <v>172</v>
      </c>
      <c r="F52" s="216" t="s">
        <v>186</v>
      </c>
      <c r="G52" s="214"/>
      <c r="H52" s="214"/>
      <c r="I52" s="214"/>
      <c r="J52" s="217"/>
      <c r="K52" s="218" t="s">
        <v>68</v>
      </c>
      <c r="L52" s="219"/>
      <c r="M52" s="214"/>
      <c r="N52" s="219"/>
      <c r="O52" s="217"/>
    </row>
    <row r="53" spans="1:15" s="177" customFormat="1" outlineLevel="1" x14ac:dyDescent="0.25">
      <c r="A53" s="196">
        <v>41526.648194444446</v>
      </c>
      <c r="B53" s="929" t="s">
        <v>1211</v>
      </c>
      <c r="C53" s="845"/>
      <c r="D53" s="190"/>
      <c r="E53" s="199" t="s">
        <v>168</v>
      </c>
      <c r="F53" s="860" t="str">
        <f>TOCmatch!B17</f>
        <v>SFacc</v>
      </c>
      <c r="G53" s="190"/>
      <c r="H53" s="190"/>
      <c r="I53" s="190"/>
      <c r="J53" s="191"/>
      <c r="K53" s="192" t="str">
        <f>TOCmatch!B12</f>
        <v>Список клиентов 1C</v>
      </c>
      <c r="L53" s="195"/>
      <c r="M53" s="190"/>
      <c r="N53" s="195"/>
      <c r="O53" s="191"/>
    </row>
    <row r="54" spans="1:15" outlineLevel="1" x14ac:dyDescent="0.25">
      <c r="A54" s="245">
        <v>41535.058923611112</v>
      </c>
      <c r="B54" s="186" t="s">
        <v>181</v>
      </c>
      <c r="C54" s="246"/>
      <c r="D54" s="198"/>
      <c r="E54" s="223" t="s">
        <v>172</v>
      </c>
      <c r="F54" s="192" t="str">
        <f>F15</f>
        <v>LOAD_1C_P</v>
      </c>
      <c r="G54" s="195"/>
      <c r="H54" s="202"/>
      <c r="I54" s="202"/>
      <c r="J54" s="203"/>
      <c r="K54" s="192" t="str">
        <f>K52</f>
        <v>SFacc</v>
      </c>
      <c r="L54" s="195" t="str">
        <f>TOCmatch!B8</f>
        <v>Платежи</v>
      </c>
      <c r="M54" s="195"/>
      <c r="N54" s="202"/>
      <c r="O54" s="203"/>
    </row>
    <row r="55" spans="1:15" outlineLevel="1" x14ac:dyDescent="0.25">
      <c r="A55" s="245">
        <v>41535.059236111112</v>
      </c>
      <c r="B55" s="186" t="s">
        <v>181</v>
      </c>
      <c r="C55" s="246"/>
      <c r="D55" s="198"/>
      <c r="E55" s="223" t="s">
        <v>172</v>
      </c>
      <c r="F55" s="192" t="str">
        <f>F24</f>
        <v>LOAD_1C_DOG</v>
      </c>
      <c r="G55" s="195"/>
      <c r="H55" s="202"/>
      <c r="I55" s="202"/>
      <c r="J55" s="203"/>
      <c r="K55" s="192" t="str">
        <f>K52</f>
        <v>SFacc</v>
      </c>
      <c r="L55" s="195" t="str">
        <f>TOCmatch!B10</f>
        <v>Договоры</v>
      </c>
      <c r="M55" s="195"/>
      <c r="N55" s="202"/>
      <c r="O55" s="203"/>
    </row>
    <row r="56" spans="1:15" outlineLevel="1" x14ac:dyDescent="0.25">
      <c r="A56" s="183">
        <v>41535.059374999997</v>
      </c>
      <c r="B56" s="184" t="s">
        <v>181</v>
      </c>
      <c r="C56" s="185"/>
      <c r="D56" s="198"/>
      <c r="E56" s="223" t="s">
        <v>168</v>
      </c>
      <c r="F56" s="192" t="str">
        <f>F32</f>
        <v>LOAD_1C_ACC</v>
      </c>
      <c r="G56" s="195"/>
      <c r="H56" s="202"/>
      <c r="I56" s="202"/>
      <c r="J56" s="203"/>
      <c r="K56" s="192" t="str">
        <f>K52</f>
        <v>SFacc</v>
      </c>
      <c r="L56" s="195" t="str">
        <f>TOCmatch!B12</f>
        <v>Список клиентов 1C</v>
      </c>
      <c r="M56" s="195"/>
      <c r="N56" s="202"/>
      <c r="O56" s="203"/>
    </row>
    <row r="57" spans="1:15" s="180" customFormat="1" outlineLevel="1" x14ac:dyDescent="0.25">
      <c r="A57" s="317">
        <v>41507.01185185185</v>
      </c>
      <c r="B57" s="248" t="s">
        <v>32</v>
      </c>
      <c r="C57" s="318"/>
      <c r="D57" s="248"/>
      <c r="E57" s="199" t="s">
        <v>168</v>
      </c>
      <c r="F57" s="319"/>
      <c r="G57" s="190"/>
      <c r="H57" s="190"/>
      <c r="I57" s="190"/>
      <c r="J57" s="191"/>
      <c r="K57" s="192"/>
      <c r="L57" s="195"/>
      <c r="M57" s="190"/>
      <c r="N57" s="195"/>
      <c r="O57" s="191"/>
    </row>
    <row r="58" spans="1:15" s="323" customFormat="1" x14ac:dyDescent="0.25">
      <c r="A58" s="212"/>
      <c r="B58" s="856" t="s">
        <v>167</v>
      </c>
      <c r="C58" s="213"/>
      <c r="D58" s="214"/>
      <c r="E58" s="215"/>
      <c r="F58" s="928" t="s">
        <v>1260</v>
      </c>
      <c r="G58" s="214"/>
      <c r="H58" s="214"/>
      <c r="I58" s="214"/>
      <c r="J58" s="217"/>
      <c r="K58" s="218" t="str">
        <f>TOCmatch!B23</f>
        <v>SF_DicAccSyn</v>
      </c>
      <c r="L58" s="219"/>
      <c r="M58" s="214"/>
      <c r="N58" s="219"/>
      <c r="O58" s="217"/>
    </row>
    <row r="59" spans="1:15" outlineLevel="1" x14ac:dyDescent="0.25">
      <c r="A59" s="183">
        <v>41535.033738425926</v>
      </c>
      <c r="B59" s="853" t="s">
        <v>1254</v>
      </c>
      <c r="C59" s="937" t="s">
        <v>66</v>
      </c>
      <c r="D59" s="198"/>
      <c r="E59" s="949" t="s">
        <v>168</v>
      </c>
      <c r="G59" s="195"/>
      <c r="H59" s="202"/>
      <c r="I59" s="202"/>
      <c r="J59" s="203"/>
      <c r="K59" s="192" t="str">
        <f>K58</f>
        <v>SF_DicAccSyn</v>
      </c>
      <c r="L59" s="195"/>
      <c r="M59" s="947" t="str">
        <f>TOCmatch!I43</f>
        <v>DicAccSynonims</v>
      </c>
      <c r="N59" s="948"/>
      <c r="O59" s="203"/>
    </row>
    <row r="60" spans="1:15" s="233" customFormat="1" ht="15.75" outlineLevel="1" thickBot="1" x14ac:dyDescent="0.3">
      <c r="A60" s="938">
        <v>41507.01185185185</v>
      </c>
      <c r="B60" s="939" t="s">
        <v>32</v>
      </c>
      <c r="C60" s="848"/>
      <c r="D60" s="226"/>
      <c r="E60" s="227"/>
      <c r="F60" s="228"/>
      <c r="G60" s="229"/>
      <c r="H60" s="229"/>
      <c r="I60" s="229"/>
      <c r="J60" s="230"/>
      <c r="K60" s="231"/>
      <c r="L60" s="232"/>
      <c r="M60" s="229"/>
      <c r="N60" s="232"/>
      <c r="O60" s="230"/>
    </row>
    <row r="61" spans="1:15" s="177" customFormat="1" ht="15.75" thickTop="1" x14ac:dyDescent="0.25">
      <c r="A61" s="175"/>
      <c r="B61" s="176" t="s">
        <v>167</v>
      </c>
      <c r="C61" s="175"/>
      <c r="E61" s="178"/>
      <c r="F61" s="179" t="s">
        <v>104</v>
      </c>
      <c r="G61" s="180"/>
      <c r="H61" s="180"/>
      <c r="I61" s="180"/>
      <c r="J61" s="181"/>
      <c r="K61" s="182" t="s">
        <v>99</v>
      </c>
      <c r="L61" s="180"/>
      <c r="M61" s="180"/>
      <c r="N61" s="180"/>
      <c r="O61" s="181"/>
    </row>
    <row r="62" spans="1:15" s="177" customFormat="1" outlineLevel="1" x14ac:dyDescent="0.25">
      <c r="A62" s="183">
        <v>41473.017916666664</v>
      </c>
      <c r="B62" s="184" t="s">
        <v>187</v>
      </c>
      <c r="C62" s="185" t="s">
        <v>66</v>
      </c>
      <c r="D62" s="186"/>
      <c r="E62" s="187" t="s">
        <v>168</v>
      </c>
      <c r="F62" s="254" t="s">
        <v>188</v>
      </c>
      <c r="G62" s="194"/>
      <c r="H62" s="190"/>
      <c r="I62" s="190"/>
      <c r="J62" s="191"/>
      <c r="K62" s="192" t="str">
        <f>K61</f>
        <v>Заказы</v>
      </c>
      <c r="L62" s="195"/>
      <c r="M62" s="190"/>
      <c r="N62" s="195"/>
      <c r="O62" s="191"/>
    </row>
    <row r="63" spans="1:15" s="177" customFormat="1" outlineLevel="1" x14ac:dyDescent="0.25">
      <c r="A63" s="183">
        <v>41473.017928240741</v>
      </c>
      <c r="B63" s="184" t="s">
        <v>84</v>
      </c>
      <c r="C63" s="200" t="str">
        <f>B62</f>
        <v>RowDel</v>
      </c>
      <c r="D63" s="186"/>
      <c r="E63" s="187" t="s">
        <v>168</v>
      </c>
      <c r="F63" s="192" t="s">
        <v>189</v>
      </c>
      <c r="G63" s="189"/>
      <c r="H63" s="190"/>
      <c r="I63" s="190"/>
      <c r="J63" s="191"/>
      <c r="K63" s="192" t="str">
        <f>K61</f>
        <v>Заказы</v>
      </c>
      <c r="L63" s="195"/>
      <c r="M63" s="190"/>
      <c r="N63" s="195"/>
      <c r="O63" s="191"/>
    </row>
    <row r="64" spans="1:15" s="177" customFormat="1" outlineLevel="1" x14ac:dyDescent="0.25">
      <c r="A64" s="245">
        <v>41506.983391203707</v>
      </c>
      <c r="B64" s="186" t="s">
        <v>100</v>
      </c>
      <c r="C64" s="255" t="str">
        <f>B63</f>
        <v>InsMyCol</v>
      </c>
      <c r="D64" s="186"/>
      <c r="E64" s="187" t="s">
        <v>172</v>
      </c>
      <c r="F64" s="179" t="s">
        <v>189</v>
      </c>
      <c r="G64" s="194"/>
      <c r="H64" s="194"/>
      <c r="I64" s="194"/>
      <c r="J64" s="256"/>
      <c r="K64" s="192" t="str">
        <f>K62</f>
        <v>Заказы</v>
      </c>
      <c r="L64" s="195" t="s">
        <v>31</v>
      </c>
      <c r="M64" s="190"/>
      <c r="N64" s="193" t="s">
        <v>79</v>
      </c>
      <c r="O64" s="191"/>
    </row>
    <row r="65" spans="1:16" s="211" customFormat="1" ht="15.75" outlineLevel="1" thickBot="1" x14ac:dyDescent="0.3">
      <c r="A65" s="249">
        <v>41506.983391203707</v>
      </c>
      <c r="B65" s="204" t="s">
        <v>32</v>
      </c>
      <c r="C65" s="250"/>
      <c r="D65" s="204"/>
      <c r="E65" s="205" t="s">
        <v>168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6" s="177" customFormat="1" ht="16.5" thickTop="1" thickBot="1" x14ac:dyDescent="0.3">
      <c r="A66" s="175"/>
      <c r="B66" s="176" t="s">
        <v>167</v>
      </c>
      <c r="C66" s="175"/>
      <c r="E66" s="257" t="s">
        <v>65</v>
      </c>
      <c r="F66" s="179" t="s">
        <v>88</v>
      </c>
      <c r="G66" s="180"/>
      <c r="H66" s="180"/>
      <c r="I66" s="180"/>
      <c r="J66" s="181"/>
      <c r="K66" s="182" t="s">
        <v>82</v>
      </c>
      <c r="L66" s="180"/>
      <c r="M66" s="180"/>
      <c r="N66" s="180"/>
      <c r="O66" s="181"/>
    </row>
    <row r="67" spans="1:16" s="177" customFormat="1" ht="15.75" outlineLevel="1" thickTop="1" x14ac:dyDescent="0.25">
      <c r="A67" s="245"/>
      <c r="B67" s="186" t="s">
        <v>187</v>
      </c>
      <c r="C67" s="246" t="s">
        <v>66</v>
      </c>
      <c r="D67" s="186"/>
      <c r="E67" s="187" t="s">
        <v>172</v>
      </c>
      <c r="F67" s="254" t="s">
        <v>190</v>
      </c>
      <c r="G67" s="194"/>
      <c r="H67" s="190"/>
      <c r="I67" s="190"/>
      <c r="J67" s="191"/>
      <c r="K67" s="258" t="str">
        <f>K66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84</v>
      </c>
      <c r="C68" s="255" t="str">
        <f>B67</f>
        <v>RowDel</v>
      </c>
      <c r="D68" s="186"/>
      <c r="E68" s="187" t="s">
        <v>172</v>
      </c>
      <c r="F68" s="192" t="s">
        <v>191</v>
      </c>
      <c r="G68" s="194"/>
      <c r="H68" s="190"/>
      <c r="I68" s="190"/>
      <c r="J68" s="191"/>
      <c r="K68" s="192" t="str">
        <f>K66</f>
        <v>Склад</v>
      </c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192</v>
      </c>
      <c r="C69" s="259"/>
      <c r="D69" s="186"/>
      <c r="E69" s="187" t="s">
        <v>172</v>
      </c>
      <c r="F69" s="254" t="s">
        <v>168</v>
      </c>
      <c r="G69" s="194" t="s">
        <v>193</v>
      </c>
      <c r="H69" s="190"/>
      <c r="I69" s="190"/>
      <c r="J69" s="191"/>
      <c r="K69" s="192"/>
      <c r="L69" s="195"/>
      <c r="M69" s="190"/>
      <c r="N69" s="195"/>
      <c r="O69" s="191"/>
    </row>
    <row r="70" spans="1:16" s="177" customFormat="1" outlineLevel="1" x14ac:dyDescent="0.25">
      <c r="A70" s="245"/>
      <c r="B70" s="186" t="s">
        <v>100</v>
      </c>
      <c r="C70" s="255" t="str">
        <f>B68</f>
        <v>InsMyCol</v>
      </c>
      <c r="D70" s="186"/>
      <c r="E70" s="187" t="s">
        <v>172</v>
      </c>
      <c r="F70" s="179" t="str">
        <f>F68</f>
        <v>Stock_MyCol</v>
      </c>
      <c r="G70" s="194"/>
      <c r="H70" s="190"/>
      <c r="I70" s="190"/>
      <c r="J70" s="191"/>
      <c r="K70" s="192" t="str">
        <f>K66</f>
        <v>Склад</v>
      </c>
      <c r="L70" s="195" t="str">
        <f>L163</f>
        <v>Платежи</v>
      </c>
      <c r="M70" s="190"/>
      <c r="N70" s="193" t="s">
        <v>57</v>
      </c>
      <c r="O70" s="191"/>
    </row>
    <row r="71" spans="1:16" s="211" customFormat="1" ht="15.75" outlineLevel="1" thickBot="1" x14ac:dyDescent="0.3">
      <c r="A71" s="249"/>
      <c r="B71" s="204" t="s">
        <v>32</v>
      </c>
      <c r="C71" s="250"/>
      <c r="D71" s="204"/>
      <c r="E71" s="205" t="s">
        <v>172</v>
      </c>
      <c r="F71" s="206"/>
      <c r="G71" s="207"/>
      <c r="H71" s="207"/>
      <c r="I71" s="207"/>
      <c r="J71" s="208"/>
      <c r="K71" s="209"/>
      <c r="L71" s="210"/>
      <c r="M71" s="207"/>
      <c r="N71" s="210"/>
      <c r="O71" s="208"/>
    </row>
    <row r="72" spans="1:16" s="177" customFormat="1" ht="16.5" thickTop="1" thickBot="1" x14ac:dyDescent="0.3">
      <c r="A72" s="234"/>
      <c r="B72" s="235" t="s">
        <v>167</v>
      </c>
      <c r="C72" s="236"/>
      <c r="D72" s="237"/>
      <c r="E72" s="257" t="s">
        <v>65</v>
      </c>
      <c r="F72" s="239" t="s">
        <v>194</v>
      </c>
      <c r="G72" s="237"/>
      <c r="H72" s="237"/>
      <c r="I72" s="237"/>
      <c r="J72" s="240"/>
      <c r="K72" s="260" t="s">
        <v>31</v>
      </c>
      <c r="L72" s="242"/>
      <c r="M72" s="237"/>
      <c r="N72" s="242"/>
      <c r="O72" s="240"/>
      <c r="P72" s="867"/>
    </row>
    <row r="73" spans="1:16" ht="15.75" thickTop="1" x14ac:dyDescent="0.25">
      <c r="A73" s="245">
        <v>41532.947291666664</v>
      </c>
      <c r="B73" s="186" t="s">
        <v>181</v>
      </c>
      <c r="C73" s="246"/>
      <c r="D73" s="198"/>
      <c r="E73" s="187" t="s">
        <v>172</v>
      </c>
      <c r="F73" s="192" t="str">
        <f>F15</f>
        <v>LOAD_1C_P</v>
      </c>
      <c r="G73" s="195"/>
      <c r="H73" s="202"/>
      <c r="I73" s="202"/>
      <c r="J73" s="203"/>
      <c r="K73" s="192" t="str">
        <f>K72</f>
        <v>Платежи</v>
      </c>
      <c r="L73" s="193" t="str">
        <f>TOCmatch!B14</f>
        <v>SF</v>
      </c>
      <c r="O73" s="203"/>
      <c r="P73" s="868"/>
    </row>
    <row r="74" spans="1:16" x14ac:dyDescent="0.25">
      <c r="A74" s="245"/>
      <c r="B74" s="900" t="s">
        <v>1215</v>
      </c>
      <c r="C74" s="255"/>
      <c r="D74" s="198"/>
      <c r="E74" s="187" t="s">
        <v>172</v>
      </c>
      <c r="F74" s="192"/>
      <c r="G74" s="195"/>
      <c r="H74" s="202"/>
      <c r="I74" s="202"/>
      <c r="J74" s="243"/>
      <c r="K74" s="244" t="s">
        <v>31</v>
      </c>
      <c r="L74" s="193" t="str">
        <f>TOCmatch!B15</f>
        <v>SFD</v>
      </c>
      <c r="M74" s="193" t="str">
        <f>TOCmatch!B16</f>
        <v>SFopp</v>
      </c>
      <c r="N74" s="202" t="str">
        <f>TOCmatch!B10</f>
        <v>Договоры</v>
      </c>
      <c r="O74" s="243"/>
      <c r="P74" s="872"/>
    </row>
    <row r="75" spans="1:16" s="177" customFormat="1" x14ac:dyDescent="0.25">
      <c r="A75" s="245"/>
      <c r="B75" s="248" t="s">
        <v>135</v>
      </c>
      <c r="C75" s="268" t="str">
        <f>B74</f>
        <v>Paid1C</v>
      </c>
      <c r="D75" s="186"/>
      <c r="E75" s="187" t="s">
        <v>172</v>
      </c>
      <c r="F75" s="275" t="str">
        <f>TOCmatch!B46</f>
        <v>NewContract</v>
      </c>
      <c r="G75" s="195" t="s">
        <v>202</v>
      </c>
      <c r="H75" s="202" t="s">
        <v>210</v>
      </c>
      <c r="I75" s="202" t="s">
        <v>211</v>
      </c>
      <c r="J75" s="191"/>
      <c r="K75" s="267" t="str">
        <f>F75</f>
        <v>NewContract</v>
      </c>
      <c r="M75" s="190"/>
      <c r="N75" s="195"/>
      <c r="O75" s="191"/>
      <c r="P75" s="868"/>
    </row>
    <row r="76" spans="1:16" x14ac:dyDescent="0.25">
      <c r="A76" s="245"/>
      <c r="B76" s="248" t="s">
        <v>135</v>
      </c>
      <c r="C76" s="255" t="str">
        <f>B74</f>
        <v>Paid1C</v>
      </c>
      <c r="D76" s="198"/>
      <c r="E76" s="223" t="s">
        <v>172</v>
      </c>
      <c r="F76" s="275" t="str">
        <f>TOCmatch!B45</f>
        <v>NewPayment</v>
      </c>
      <c r="G76" s="195" t="s">
        <v>202</v>
      </c>
      <c r="H76" s="202" t="s">
        <v>203</v>
      </c>
      <c r="I76" s="202" t="s">
        <v>204</v>
      </c>
      <c r="J76" s="191"/>
      <c r="K76" s="267" t="str">
        <f>F76</f>
        <v>NewPayment</v>
      </c>
      <c r="L76" s="202"/>
      <c r="M76" s="202"/>
      <c r="N76" s="202"/>
      <c r="O76" s="243"/>
      <c r="P76" s="868"/>
    </row>
    <row r="77" spans="1:16" x14ac:dyDescent="0.25">
      <c r="A77" s="245"/>
      <c r="B77" s="248" t="s">
        <v>135</v>
      </c>
      <c r="C77" s="255" t="str">
        <f>B74</f>
        <v>Paid1C</v>
      </c>
      <c r="D77" s="198"/>
      <c r="E77" s="223" t="s">
        <v>172</v>
      </c>
      <c r="F77" s="275" t="str">
        <f>TOCmatch!B47</f>
        <v>NewOpp</v>
      </c>
      <c r="G77" s="195" t="s">
        <v>202</v>
      </c>
      <c r="H77" s="894" t="s">
        <v>217</v>
      </c>
      <c r="I77" s="894" t="s">
        <v>218</v>
      </c>
      <c r="J77" s="191"/>
      <c r="K77" s="267" t="str">
        <f>F77</f>
        <v>NewOpp</v>
      </c>
      <c r="L77" s="202"/>
      <c r="M77" s="202"/>
      <c r="N77" s="202"/>
      <c r="O77" s="243"/>
      <c r="P77" s="868"/>
    </row>
    <row r="78" spans="1:16" x14ac:dyDescent="0.25">
      <c r="A78" s="245"/>
      <c r="B78" s="248" t="s">
        <v>135</v>
      </c>
      <c r="C78" s="255" t="str">
        <f>B74</f>
        <v>Paid1C</v>
      </c>
      <c r="D78" s="198"/>
      <c r="E78" s="223" t="s">
        <v>172</v>
      </c>
      <c r="F78" s="275" t="str">
        <f>TOCmatch!B50</f>
        <v>ContractUpdate</v>
      </c>
      <c r="G78" s="195" t="s">
        <v>202</v>
      </c>
      <c r="H78" s="894" t="s">
        <v>1242</v>
      </c>
      <c r="I78" s="894" t="s">
        <v>1243</v>
      </c>
      <c r="J78" s="191"/>
      <c r="K78" s="267" t="str">
        <f>F78</f>
        <v>ContractUpdate</v>
      </c>
      <c r="L78" s="202"/>
      <c r="M78" s="202"/>
      <c r="N78" s="202"/>
      <c r="O78" s="243"/>
      <c r="P78" s="868"/>
    </row>
    <row r="79" spans="1:16" s="211" customFormat="1" ht="15.75" thickBot="1" x14ac:dyDescent="0.3">
      <c r="A79" s="249"/>
      <c r="B79" s="204" t="s">
        <v>32</v>
      </c>
      <c r="C79" s="250">
        <v>0</v>
      </c>
      <c r="D79" s="204"/>
      <c r="E79" s="205" t="s">
        <v>172</v>
      </c>
      <c r="F79" s="206"/>
      <c r="G79" s="207"/>
      <c r="H79" s="207"/>
      <c r="I79" s="207"/>
      <c r="J79" s="208"/>
      <c r="K79" s="209"/>
      <c r="L79" s="210"/>
      <c r="M79" s="207"/>
      <c r="N79" s="210"/>
      <c r="O79" s="208"/>
      <c r="P79" s="869"/>
    </row>
    <row r="80" spans="1:16" s="177" customFormat="1" ht="16.5" thickTop="1" thickBot="1" x14ac:dyDescent="0.3">
      <c r="A80" s="245"/>
      <c r="B80" s="186" t="s">
        <v>167</v>
      </c>
      <c r="C80" s="263"/>
      <c r="D80" s="264"/>
      <c r="E80" s="257" t="s">
        <v>65</v>
      </c>
      <c r="F80" s="940" t="s">
        <v>1259</v>
      </c>
      <c r="G80" s="190"/>
      <c r="H80" s="190"/>
      <c r="I80" s="190"/>
      <c r="J80" s="191"/>
      <c r="K80" s="182" t="s">
        <v>31</v>
      </c>
      <c r="L80" s="195"/>
      <c r="M80" s="190"/>
      <c r="N80" s="195"/>
      <c r="O80" s="191"/>
    </row>
    <row r="81" spans="1:16" s="177" customFormat="1" ht="15.75" thickTop="1" x14ac:dyDescent="0.25">
      <c r="A81" s="245"/>
      <c r="B81" s="186" t="s">
        <v>192</v>
      </c>
      <c r="C81" s="259"/>
      <c r="D81" s="186"/>
      <c r="E81" s="187" t="s">
        <v>172</v>
      </c>
      <c r="F81" s="254" t="s">
        <v>168</v>
      </c>
      <c r="G81" s="194"/>
      <c r="H81" s="190"/>
      <c r="I81" s="190"/>
      <c r="J81" s="191"/>
      <c r="K81" s="192"/>
      <c r="L81" s="195"/>
      <c r="M81" s="190"/>
      <c r="N81" s="195"/>
      <c r="O81" s="191"/>
    </row>
    <row r="82" spans="1:16" s="177" customFormat="1" x14ac:dyDescent="0.25">
      <c r="A82" s="245"/>
      <c r="B82" s="186" t="s">
        <v>200</v>
      </c>
      <c r="C82" s="263"/>
      <c r="D82" s="264"/>
      <c r="E82" s="187" t="s">
        <v>172</v>
      </c>
      <c r="F82" s="267" t="s">
        <v>134</v>
      </c>
      <c r="G82" s="190"/>
      <c r="H82" s="190"/>
      <c r="I82" s="190"/>
      <c r="J82" s="191"/>
      <c r="K82" s="267" t="str">
        <f>F82</f>
        <v>NewPayment</v>
      </c>
      <c r="L82" s="195"/>
      <c r="M82" s="190"/>
      <c r="N82" s="195"/>
      <c r="O82" s="191"/>
    </row>
    <row r="83" spans="1:16" s="177" customFormat="1" x14ac:dyDescent="0.25">
      <c r="A83" s="245"/>
      <c r="B83" s="186" t="s">
        <v>201</v>
      </c>
      <c r="C83" s="268" t="str">
        <f>B82</f>
        <v>NewSheet</v>
      </c>
      <c r="D83" s="186"/>
      <c r="E83" s="187" t="s">
        <v>172</v>
      </c>
      <c r="F83" s="254"/>
      <c r="G83" s="194"/>
      <c r="H83" s="190"/>
      <c r="I83" s="190"/>
      <c r="J83" s="191"/>
      <c r="K83" s="192" t="str">
        <f>K80</f>
        <v>Платежи</v>
      </c>
      <c r="L83" s="193" t="s">
        <v>64</v>
      </c>
      <c r="M83" s="190"/>
      <c r="N83" s="195"/>
      <c r="O83" s="191"/>
    </row>
    <row r="84" spans="1:16" s="177" customFormat="1" x14ac:dyDescent="0.25">
      <c r="A84" s="245"/>
      <c r="B84" s="248" t="s">
        <v>135</v>
      </c>
      <c r="C84" s="268" t="str">
        <f>B83</f>
        <v>NewPaidOpp</v>
      </c>
      <c r="D84" s="186"/>
      <c r="E84" s="187" t="s">
        <v>172</v>
      </c>
      <c r="F84" s="267" t="s">
        <v>134</v>
      </c>
      <c r="G84" s="195" t="s">
        <v>202</v>
      </c>
      <c r="H84" s="202" t="s">
        <v>203</v>
      </c>
      <c r="I84" s="202" t="s">
        <v>204</v>
      </c>
      <c r="J84" s="191"/>
      <c r="K84" s="192"/>
      <c r="L84" s="195"/>
      <c r="M84" s="190"/>
      <c r="N84" s="195"/>
      <c r="O84" s="191"/>
    </row>
    <row r="85" spans="1:16" s="211" customFormat="1" ht="15.75" thickBot="1" x14ac:dyDescent="0.3">
      <c r="A85" s="249"/>
      <c r="B85" s="204" t="s">
        <v>32</v>
      </c>
      <c r="C85" s="250">
        <v>224</v>
      </c>
      <c r="D85" s="204"/>
      <c r="E85" s="205" t="s">
        <v>172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</row>
    <row r="86" spans="1:16" s="177" customFormat="1" ht="16.5" thickTop="1" thickBot="1" x14ac:dyDescent="0.3">
      <c r="A86" s="245"/>
      <c r="B86" s="186" t="s">
        <v>167</v>
      </c>
      <c r="C86" s="263"/>
      <c r="D86" s="264"/>
      <c r="E86" s="257" t="s">
        <v>65</v>
      </c>
      <c r="F86" s="265" t="s">
        <v>199</v>
      </c>
      <c r="G86" s="190"/>
      <c r="H86" s="190"/>
      <c r="I86" s="190"/>
      <c r="J86" s="191"/>
      <c r="K86" s="182" t="s">
        <v>31</v>
      </c>
      <c r="L86" s="195"/>
      <c r="M86" s="190"/>
      <c r="N86" s="195"/>
      <c r="O86" s="191"/>
    </row>
    <row r="87" spans="1:16" s="177" customFormat="1" ht="15.75" thickTop="1" x14ac:dyDescent="0.25">
      <c r="A87" s="245"/>
      <c r="B87" s="186" t="s">
        <v>192</v>
      </c>
      <c r="C87" s="259"/>
      <c r="D87" s="186"/>
      <c r="E87" s="187" t="s">
        <v>172</v>
      </c>
      <c r="F87" s="254" t="s">
        <v>168</v>
      </c>
      <c r="G87" s="194"/>
      <c r="H87" s="190"/>
      <c r="I87" s="190"/>
      <c r="J87" s="191"/>
      <c r="K87" s="192"/>
      <c r="L87" s="195"/>
      <c r="M87" s="190"/>
      <c r="N87" s="195"/>
      <c r="O87" s="191"/>
    </row>
    <row r="88" spans="1:16" s="177" customFormat="1" x14ac:dyDescent="0.25">
      <c r="A88" s="245"/>
      <c r="B88" s="186" t="s">
        <v>200</v>
      </c>
      <c r="C88" s="263"/>
      <c r="D88" s="264"/>
      <c r="E88" s="187" t="s">
        <v>172</v>
      </c>
      <c r="F88" s="267" t="s">
        <v>134</v>
      </c>
      <c r="G88" s="190"/>
      <c r="H88" s="190"/>
      <c r="I88" s="190"/>
      <c r="J88" s="191"/>
      <c r="K88" s="267" t="str">
        <f>F88</f>
        <v>NewPayment</v>
      </c>
      <c r="L88" s="195"/>
      <c r="M88" s="190"/>
      <c r="N88" s="195"/>
      <c r="O88" s="191"/>
    </row>
    <row r="89" spans="1:16" s="177" customFormat="1" x14ac:dyDescent="0.25">
      <c r="A89" s="245"/>
      <c r="B89" s="186" t="s">
        <v>201</v>
      </c>
      <c r="C89" s="268" t="str">
        <f>B88</f>
        <v>NewSheet</v>
      </c>
      <c r="D89" s="186"/>
      <c r="E89" s="187" t="s">
        <v>172</v>
      </c>
      <c r="F89" s="254"/>
      <c r="G89" s="194"/>
      <c r="H89" s="190"/>
      <c r="I89" s="190"/>
      <c r="J89" s="191"/>
      <c r="K89" s="192" t="str">
        <f>K86</f>
        <v>Платежи</v>
      </c>
      <c r="L89" s="193" t="s">
        <v>64</v>
      </c>
      <c r="M89" s="190"/>
      <c r="N89" s="195"/>
      <c r="O89" s="191"/>
    </row>
    <row r="90" spans="1:16" s="177" customFormat="1" x14ac:dyDescent="0.25">
      <c r="A90" s="245"/>
      <c r="B90" s="248" t="s">
        <v>135</v>
      </c>
      <c r="C90" s="268" t="str">
        <f>B89</f>
        <v>NewPaidOpp</v>
      </c>
      <c r="D90" s="186"/>
      <c r="E90" s="187" t="s">
        <v>172</v>
      </c>
      <c r="F90" s="267" t="s">
        <v>134</v>
      </c>
      <c r="G90" s="195" t="s">
        <v>202</v>
      </c>
      <c r="H90" s="202" t="s">
        <v>203</v>
      </c>
      <c r="I90" s="202" t="s">
        <v>204</v>
      </c>
      <c r="J90" s="191"/>
      <c r="K90" s="192"/>
      <c r="L90" s="195"/>
      <c r="M90" s="190"/>
      <c r="N90" s="195"/>
      <c r="O90" s="191"/>
    </row>
    <row r="91" spans="1:16" s="211" customFormat="1" ht="15.75" thickBot="1" x14ac:dyDescent="0.3">
      <c r="A91" s="249"/>
      <c r="B91" s="204" t="s">
        <v>32</v>
      </c>
      <c r="C91" s="250">
        <v>224</v>
      </c>
      <c r="D91" s="204"/>
      <c r="E91" s="205" t="s">
        <v>172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7" customFormat="1" ht="16.5" thickTop="1" thickBot="1" x14ac:dyDescent="0.3">
      <c r="A92" s="245"/>
      <c r="B92" s="186" t="s">
        <v>167</v>
      </c>
      <c r="C92" s="263"/>
      <c r="D92" s="264"/>
      <c r="E92" s="257" t="s">
        <v>65</v>
      </c>
      <c r="F92" s="265" t="s">
        <v>205</v>
      </c>
      <c r="G92" s="190"/>
      <c r="H92" s="190"/>
      <c r="I92" s="190"/>
      <c r="J92" s="191"/>
      <c r="K92" s="182" t="s">
        <v>31</v>
      </c>
      <c r="L92" s="195"/>
      <c r="M92" s="190"/>
      <c r="N92" s="195"/>
      <c r="O92" s="191"/>
      <c r="P92" s="269"/>
    </row>
    <row r="93" spans="1:16" s="177" customFormat="1" ht="15.75" thickTop="1" x14ac:dyDescent="0.25">
      <c r="A93" s="245">
        <v>41506.038622685184</v>
      </c>
      <c r="B93" s="186" t="s">
        <v>100</v>
      </c>
      <c r="C93" s="270" t="str">
        <f>F15&amp;"/"&amp;B19</f>
        <v>LOAD_1C_P/PaymentPaint</v>
      </c>
      <c r="D93" s="186"/>
      <c r="E93" s="187" t="s">
        <v>172</v>
      </c>
      <c r="F93" s="861" t="s">
        <v>206</v>
      </c>
      <c r="G93" s="271" t="str">
        <f>K93</f>
        <v>Платежи</v>
      </c>
      <c r="H93" s="272" t="str">
        <f>F94</f>
        <v>NewPayment</v>
      </c>
      <c r="I93" s="190"/>
      <c r="J93" s="191"/>
      <c r="K93" s="192" t="str">
        <f>K92</f>
        <v>Платежи</v>
      </c>
      <c r="L93" s="193" t="s">
        <v>64</v>
      </c>
      <c r="N93" s="195"/>
      <c r="O93" s="191"/>
      <c r="P93" s="269"/>
    </row>
    <row r="94" spans="1:16" s="177" customFormat="1" x14ac:dyDescent="0.25">
      <c r="A94" s="245">
        <v>41506.038622685184</v>
      </c>
      <c r="B94" s="248" t="s">
        <v>135</v>
      </c>
      <c r="C94" s="268" t="str">
        <f>B93</f>
        <v>Adapt</v>
      </c>
      <c r="D94" s="186"/>
      <c r="E94" s="187" t="s">
        <v>172</v>
      </c>
      <c r="F94" s="267" t="s">
        <v>134</v>
      </c>
      <c r="G94" s="195" t="s">
        <v>202</v>
      </c>
      <c r="H94" s="202" t="s">
        <v>203</v>
      </c>
      <c r="I94" s="202" t="s">
        <v>204</v>
      </c>
      <c r="J94" s="191"/>
      <c r="K94" s="267" t="str">
        <f>F94</f>
        <v>NewPayment</v>
      </c>
      <c r="M94" s="190"/>
      <c r="N94" s="195"/>
      <c r="O94" s="191"/>
      <c r="P94" s="269"/>
    </row>
    <row r="95" spans="1:16" s="211" customFormat="1" ht="15.75" thickBot="1" x14ac:dyDescent="0.3">
      <c r="A95" s="249">
        <v>41506.038634259261</v>
      </c>
      <c r="B95" s="204" t="s">
        <v>32</v>
      </c>
      <c r="C95" s="273">
        <v>67</v>
      </c>
      <c r="D95" s="204"/>
      <c r="E95" s="199" t="s">
        <v>168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274"/>
    </row>
    <row r="96" spans="1:16" s="177" customFormat="1" ht="16.5" thickTop="1" thickBot="1" x14ac:dyDescent="0.3">
      <c r="A96" s="245"/>
      <c r="B96" s="186" t="s">
        <v>167</v>
      </c>
      <c r="C96" s="263"/>
      <c r="D96" s="264"/>
      <c r="E96" s="257" t="s">
        <v>65</v>
      </c>
      <c r="F96" s="265" t="s">
        <v>207</v>
      </c>
      <c r="G96" s="190"/>
      <c r="H96" s="190"/>
      <c r="I96" s="190"/>
      <c r="J96" s="191"/>
      <c r="K96" s="182" t="s">
        <v>31</v>
      </c>
      <c r="L96" s="195"/>
      <c r="M96" s="190"/>
      <c r="N96" s="195"/>
      <c r="O96" s="191"/>
    </row>
    <row r="97" spans="1:16" s="177" customFormat="1" ht="15.75" thickTop="1" x14ac:dyDescent="0.25">
      <c r="A97" s="245">
        <v>41522.105624999997</v>
      </c>
      <c r="B97" s="874" t="s">
        <v>208</v>
      </c>
      <c r="C97" s="270" t="str">
        <f>F15&amp;"/"&amp;B19</f>
        <v>LOAD_1C_P/PaymentPaint</v>
      </c>
      <c r="D97" s="186"/>
      <c r="E97" s="187" t="s">
        <v>172</v>
      </c>
      <c r="F97" s="267" t="s">
        <v>134</v>
      </c>
      <c r="G97" s="194"/>
      <c r="H97" s="190"/>
      <c r="I97" s="190"/>
      <c r="J97" s="191"/>
      <c r="K97" s="192" t="str">
        <f>K96</f>
        <v>Платежи</v>
      </c>
      <c r="L97" s="193" t="s">
        <v>62</v>
      </c>
      <c r="M97" s="193" t="s">
        <v>64</v>
      </c>
      <c r="N97" s="195"/>
      <c r="O97" s="191"/>
    </row>
    <row r="98" spans="1:16" s="177" customFormat="1" x14ac:dyDescent="0.25">
      <c r="A98" s="245">
        <v>41522.105636574073</v>
      </c>
      <c r="B98" s="248" t="s">
        <v>135</v>
      </c>
      <c r="C98" s="268" t="str">
        <f>B97</f>
        <v>PaidContr</v>
      </c>
      <c r="D98" s="186"/>
      <c r="E98" s="187" t="s">
        <v>172</v>
      </c>
      <c r="F98" s="275" t="str">
        <f>F97</f>
        <v>NewPayment</v>
      </c>
      <c r="G98" s="195" t="s">
        <v>202</v>
      </c>
      <c r="H98" s="202" t="s">
        <v>203</v>
      </c>
      <c r="I98" s="202" t="s">
        <v>204</v>
      </c>
      <c r="J98" s="191"/>
      <c r="K98" s="267" t="str">
        <f>F98</f>
        <v>NewPayment</v>
      </c>
      <c r="M98" s="190"/>
      <c r="N98" s="195"/>
      <c r="O98" s="191"/>
    </row>
    <row r="99" spans="1:16" s="211" customFormat="1" ht="15.75" thickBot="1" x14ac:dyDescent="0.3">
      <c r="A99" s="249"/>
      <c r="B99" s="204" t="s">
        <v>32</v>
      </c>
      <c r="C99" s="273">
        <v>0</v>
      </c>
      <c r="D99" s="204"/>
      <c r="E99" s="199" t="s">
        <v>172</v>
      </c>
      <c r="F99" s="206"/>
      <c r="G99" s="207"/>
      <c r="H99" s="207"/>
      <c r="I99" s="207"/>
      <c r="J99" s="208"/>
      <c r="K99" s="209"/>
      <c r="L99" s="210"/>
      <c r="M99" s="207"/>
      <c r="N99" s="210"/>
      <c r="O99" s="208"/>
    </row>
    <row r="100" spans="1:16" s="177" customFormat="1" ht="16.5" thickTop="1" thickBot="1" x14ac:dyDescent="0.3">
      <c r="A100" s="245"/>
      <c r="B100" s="186" t="s">
        <v>167</v>
      </c>
      <c r="C100" s="263"/>
      <c r="D100" s="264"/>
      <c r="E100" s="257" t="s">
        <v>65</v>
      </c>
      <c r="F100" s="276" t="s">
        <v>209</v>
      </c>
      <c r="G100" s="190"/>
      <c r="H100" s="190"/>
      <c r="I100" s="190"/>
      <c r="J100" s="191"/>
      <c r="K100" s="182" t="str">
        <f>K24</f>
        <v>Договоры</v>
      </c>
      <c r="L100" s="195"/>
      <c r="M100" s="190"/>
      <c r="N100" s="195"/>
      <c r="O100" s="191"/>
    </row>
    <row r="101" spans="1:16" s="177" customFormat="1" ht="15.75" thickTop="1" x14ac:dyDescent="0.25">
      <c r="A101" s="245">
        <v>41521.6721875</v>
      </c>
      <c r="B101" s="186" t="s">
        <v>42</v>
      </c>
      <c r="C101" s="270" t="str">
        <f>F24&amp;"/"&amp;B25</f>
        <v>LOAD_1C_DOG/InsMyCol</v>
      </c>
      <c r="D101" s="186"/>
      <c r="E101" s="187" t="s">
        <v>172</v>
      </c>
      <c r="F101" s="267" t="s">
        <v>137</v>
      </c>
      <c r="G101" s="194"/>
      <c r="H101" s="190"/>
      <c r="I101" s="190"/>
      <c r="J101" s="191"/>
      <c r="K101" s="192" t="str">
        <f>K100</f>
        <v>Договоры</v>
      </c>
      <c r="L101" s="193" t="s">
        <v>62</v>
      </c>
      <c r="M101" s="193" t="s">
        <v>68</v>
      </c>
      <c r="N101" s="195"/>
      <c r="O101" s="191"/>
    </row>
    <row r="102" spans="1:16" s="177" customFormat="1" x14ac:dyDescent="0.25">
      <c r="A102" s="245">
        <v>41521.6721875</v>
      </c>
      <c r="B102" s="248" t="s">
        <v>135</v>
      </c>
      <c r="C102" s="268" t="str">
        <f>B101</f>
        <v>NewContr</v>
      </c>
      <c r="D102" s="186"/>
      <c r="E102" s="187" t="s">
        <v>172</v>
      </c>
      <c r="F102" s="275" t="str">
        <f>F101</f>
        <v>NewContract</v>
      </c>
      <c r="G102" s="195" t="s">
        <v>202</v>
      </c>
      <c r="H102" s="202" t="s">
        <v>210</v>
      </c>
      <c r="I102" s="202" t="s">
        <v>211</v>
      </c>
      <c r="J102" s="191"/>
      <c r="K102" s="267" t="str">
        <f>F102</f>
        <v>NewContract</v>
      </c>
      <c r="M102" s="190"/>
      <c r="N102" s="195"/>
      <c r="O102" s="191"/>
    </row>
    <row r="103" spans="1:16" s="211" customFormat="1" ht="15.75" thickBot="1" x14ac:dyDescent="0.3">
      <c r="A103" s="249"/>
      <c r="B103" s="204" t="s">
        <v>32</v>
      </c>
      <c r="C103" s="273">
        <v>13</v>
      </c>
      <c r="D103" s="204"/>
      <c r="E103" s="205" t="s">
        <v>172</v>
      </c>
      <c r="F103" s="206"/>
      <c r="G103" s="207"/>
      <c r="H103" s="207"/>
      <c r="I103" s="207"/>
      <c r="J103" s="208"/>
      <c r="K103" s="209"/>
      <c r="L103" s="210"/>
      <c r="M103" s="207"/>
      <c r="N103" s="210"/>
      <c r="O103" s="208"/>
    </row>
    <row r="104" spans="1:16" s="177" customFormat="1" ht="16.5" thickTop="1" thickBot="1" x14ac:dyDescent="0.3">
      <c r="A104" s="245"/>
      <c r="B104" s="186" t="s">
        <v>167</v>
      </c>
      <c r="C104" s="263"/>
      <c r="D104" s="264"/>
      <c r="E104" s="257" t="s">
        <v>65</v>
      </c>
      <c r="F104" s="276" t="s">
        <v>212</v>
      </c>
      <c r="G104" s="190"/>
      <c r="H104" s="190"/>
      <c r="I104" s="190"/>
      <c r="J104" s="191"/>
      <c r="K104" s="182" t="s">
        <v>99</v>
      </c>
      <c r="L104" s="195"/>
      <c r="M104" s="190"/>
      <c r="N104" s="195"/>
      <c r="O104" s="191"/>
      <c r="P104" s="278"/>
    </row>
    <row r="105" spans="1:16" s="177" customFormat="1" ht="15.75" thickTop="1" x14ac:dyDescent="0.25">
      <c r="A105" s="245">
        <v>41430.738321759258</v>
      </c>
      <c r="B105" s="186" t="s">
        <v>142</v>
      </c>
      <c r="C105" s="270" t="str">
        <f>F61&amp;"/"&amp;B64</f>
        <v>LOAD_Order/Adapt</v>
      </c>
      <c r="D105" s="186"/>
      <c r="E105" s="187" t="s">
        <v>172</v>
      </c>
      <c r="F105" s="267" t="s">
        <v>142</v>
      </c>
      <c r="G105" s="194"/>
      <c r="H105" s="190"/>
      <c r="I105" s="190"/>
      <c r="J105" s="191"/>
      <c r="K105" s="192" t="str">
        <f>K104</f>
        <v>Заказы</v>
      </c>
      <c r="L105" s="24" t="s">
        <v>31</v>
      </c>
      <c r="M105" s="193" t="s">
        <v>79</v>
      </c>
      <c r="N105" s="193" t="s">
        <v>57</v>
      </c>
      <c r="O105" s="191"/>
      <c r="P105" s="278"/>
    </row>
    <row r="106" spans="1:16" s="177" customFormat="1" x14ac:dyDescent="0.25">
      <c r="A106" s="245">
        <v>41430.738321759258</v>
      </c>
      <c r="B106" s="248" t="s">
        <v>135</v>
      </c>
      <c r="C106" s="268" t="str">
        <f>B105</f>
        <v>NewOrder</v>
      </c>
      <c r="D106" s="186"/>
      <c r="E106" s="187" t="s">
        <v>172</v>
      </c>
      <c r="F106" s="275" t="str">
        <f>F105</f>
        <v>NewOrder</v>
      </c>
      <c r="G106" s="195" t="s">
        <v>202</v>
      </c>
      <c r="H106" s="202" t="s">
        <v>213</v>
      </c>
      <c r="I106" s="202" t="s">
        <v>214</v>
      </c>
      <c r="J106" s="191"/>
      <c r="K106" s="267" t="str">
        <f>F106</f>
        <v>NewOrder</v>
      </c>
      <c r="M106" s="190"/>
      <c r="N106" s="195"/>
      <c r="O106" s="191"/>
      <c r="P106" s="278"/>
    </row>
    <row r="107" spans="1:16" s="211" customFormat="1" ht="15.75" thickBot="1" x14ac:dyDescent="0.3">
      <c r="A107" s="249"/>
      <c r="B107" s="204" t="s">
        <v>32</v>
      </c>
      <c r="C107" s="273">
        <v>0</v>
      </c>
      <c r="D107" s="204"/>
      <c r="E107" s="205" t="s">
        <v>172</v>
      </c>
      <c r="F107" s="206"/>
      <c r="G107" s="207"/>
      <c r="H107" s="207"/>
      <c r="I107" s="207"/>
      <c r="J107" s="208"/>
      <c r="K107" s="209"/>
      <c r="L107" s="210"/>
      <c r="M107" s="207"/>
      <c r="N107" s="210"/>
      <c r="O107" s="208"/>
      <c r="P107" s="279"/>
    </row>
    <row r="108" spans="1:16" s="177" customFormat="1" ht="16.5" thickTop="1" thickBot="1" x14ac:dyDescent="0.3">
      <c r="A108" s="245"/>
      <c r="B108" s="186" t="s">
        <v>167</v>
      </c>
      <c r="C108" s="263"/>
      <c r="D108" s="264"/>
      <c r="E108" s="257" t="s">
        <v>65</v>
      </c>
      <c r="F108" s="276" t="s">
        <v>215</v>
      </c>
      <c r="G108" s="190"/>
      <c r="H108" s="190"/>
      <c r="I108" s="190"/>
      <c r="J108" s="191"/>
      <c r="K108" s="182" t="s">
        <v>31</v>
      </c>
      <c r="L108" s="195"/>
      <c r="M108" s="190"/>
      <c r="N108" s="195"/>
      <c r="O108" s="191"/>
      <c r="P108" s="280"/>
    </row>
    <row r="109" spans="1:16" s="177" customFormat="1" ht="30.75" thickTop="1" x14ac:dyDescent="0.25">
      <c r="A109" s="245">
        <v>41344.979027777779</v>
      </c>
      <c r="B109" s="186" t="s">
        <v>100</v>
      </c>
      <c r="C109" s="281" t="str">
        <f>F100&amp;"/"&amp;B102</f>
        <v>HANDL_NewContract/WrCSV</v>
      </c>
      <c r="D109" s="186"/>
      <c r="E109" s="187" t="s">
        <v>172</v>
      </c>
      <c r="F109" s="282" t="s">
        <v>216</v>
      </c>
      <c r="G109" s="268" t="s">
        <v>31</v>
      </c>
      <c r="H109" s="283" t="str">
        <f>F110</f>
        <v>NewOpp</v>
      </c>
      <c r="I109" s="190"/>
      <c r="J109" s="191"/>
      <c r="K109" s="267" t="s">
        <v>139</v>
      </c>
      <c r="L109" s="195" t="s">
        <v>31</v>
      </c>
      <c r="M109" s="193" t="s">
        <v>62</v>
      </c>
      <c r="N109" s="193" t="s">
        <v>64</v>
      </c>
      <c r="O109" s="191"/>
      <c r="P109" s="280"/>
    </row>
    <row r="110" spans="1:16" s="177" customFormat="1" x14ac:dyDescent="0.25">
      <c r="A110" s="245">
        <v>41344.938113425924</v>
      </c>
      <c r="B110" s="248" t="s">
        <v>135</v>
      </c>
      <c r="C110" s="268" t="str">
        <f>B109</f>
        <v>Adapt</v>
      </c>
      <c r="D110" s="186"/>
      <c r="E110" s="187" t="s">
        <v>172</v>
      </c>
      <c r="F110" s="275" t="str">
        <f>K109</f>
        <v>NewOpp</v>
      </c>
      <c r="G110" s="195" t="s">
        <v>202</v>
      </c>
      <c r="H110" s="202" t="s">
        <v>217</v>
      </c>
      <c r="I110" s="202" t="s">
        <v>218</v>
      </c>
      <c r="J110" s="191"/>
      <c r="K110" s="267" t="str">
        <f>F110</f>
        <v>NewOpp</v>
      </c>
      <c r="M110" s="190"/>
      <c r="N110" s="195"/>
      <c r="O110" s="191"/>
      <c r="P110" s="280"/>
    </row>
    <row r="111" spans="1:16" s="211" customFormat="1" x14ac:dyDescent="0.25">
      <c r="A111" s="249"/>
      <c r="B111" s="204" t="s">
        <v>32</v>
      </c>
      <c r="C111" s="273">
        <v>217</v>
      </c>
      <c r="D111" s="204"/>
      <c r="E111" s="205" t="s">
        <v>172</v>
      </c>
      <c r="F111" s="206"/>
      <c r="G111" s="207"/>
      <c r="H111" s="207"/>
      <c r="I111" s="207"/>
      <c r="J111" s="208"/>
      <c r="K111" s="209"/>
      <c r="L111" s="210"/>
      <c r="M111" s="207"/>
      <c r="N111" s="210"/>
      <c r="O111" s="208"/>
      <c r="P111" s="284"/>
    </row>
    <row r="112" spans="1:16" s="177" customFormat="1" x14ac:dyDescent="0.25">
      <c r="A112" s="183"/>
      <c r="B112" s="184" t="s">
        <v>167</v>
      </c>
      <c r="C112" s="266"/>
      <c r="D112" s="264"/>
      <c r="E112" s="187" t="s">
        <v>172</v>
      </c>
      <c r="F112" s="265" t="s">
        <v>219</v>
      </c>
      <c r="G112" s="190"/>
      <c r="H112" s="190"/>
      <c r="I112" s="190"/>
      <c r="J112" s="191"/>
      <c r="K112" s="182" t="s">
        <v>40</v>
      </c>
      <c r="L112" s="195"/>
      <c r="M112" s="190"/>
      <c r="N112" s="195"/>
      <c r="O112" s="191"/>
    </row>
    <row r="113" spans="1:16" x14ac:dyDescent="0.25">
      <c r="A113" s="261"/>
      <c r="B113" s="248" t="s">
        <v>220</v>
      </c>
      <c r="C113" s="246" t="s">
        <v>42</v>
      </c>
      <c r="D113" s="198"/>
      <c r="E113" s="223" t="s">
        <v>172</v>
      </c>
      <c r="F113" s="192"/>
      <c r="G113" s="195"/>
      <c r="H113" s="202"/>
      <c r="I113" s="202"/>
      <c r="J113" s="243"/>
      <c r="K113" s="244" t="s">
        <v>40</v>
      </c>
      <c r="L113" s="202"/>
      <c r="M113" s="202"/>
      <c r="N113" s="202"/>
      <c r="O113" s="243"/>
    </row>
    <row r="114" spans="1:16" x14ac:dyDescent="0.25">
      <c r="A114" s="261"/>
      <c r="B114" s="248" t="s">
        <v>135</v>
      </c>
      <c r="C114" s="262" t="s">
        <v>220</v>
      </c>
      <c r="D114" s="198"/>
      <c r="E114" s="223"/>
      <c r="F114" s="192" t="s">
        <v>221</v>
      </c>
      <c r="G114" s="195" t="s">
        <v>196</v>
      </c>
      <c r="H114" s="202" t="s">
        <v>197</v>
      </c>
      <c r="I114" s="202" t="s">
        <v>198</v>
      </c>
      <c r="J114" s="243"/>
      <c r="K114" s="244"/>
      <c r="L114" s="202"/>
      <c r="M114" s="202"/>
      <c r="N114" s="202"/>
      <c r="O114" s="243"/>
    </row>
    <row r="115" spans="1:16" s="233" customFormat="1" ht="15.75" thickBot="1" x14ac:dyDescent="0.3">
      <c r="A115" s="285"/>
      <c r="B115" s="226" t="s">
        <v>32</v>
      </c>
      <c r="C115" s="285"/>
      <c r="D115" s="226"/>
      <c r="E115" s="227" t="s">
        <v>172</v>
      </c>
      <c r="F115" s="228"/>
      <c r="G115" s="229"/>
      <c r="H115" s="229"/>
      <c r="I115" s="229"/>
      <c r="J115" s="230"/>
      <c r="K115" s="231"/>
      <c r="L115" s="232"/>
      <c r="M115" s="229"/>
      <c r="N115" s="232"/>
      <c r="O115" s="230"/>
    </row>
    <row r="116" spans="1:16" s="177" customFormat="1" ht="16.5" thickTop="1" thickBot="1" x14ac:dyDescent="0.3">
      <c r="A116" s="245"/>
      <c r="B116" s="186" t="s">
        <v>167</v>
      </c>
      <c r="C116" s="263"/>
      <c r="D116" s="264"/>
      <c r="E116" s="257" t="s">
        <v>65</v>
      </c>
      <c r="F116" s="265" t="s">
        <v>222</v>
      </c>
      <c r="G116" s="190"/>
      <c r="H116" s="190"/>
      <c r="I116" s="190"/>
      <c r="J116" s="191"/>
      <c r="K116" s="182" t="s">
        <v>48</v>
      </c>
      <c r="L116" s="195"/>
      <c r="M116" s="190"/>
      <c r="N116" s="195"/>
      <c r="O116" s="191"/>
    </row>
    <row r="117" spans="1:16" ht="15.75" thickTop="1" x14ac:dyDescent="0.25">
      <c r="A117" s="245">
        <v>41237.062696759262</v>
      </c>
      <c r="B117" s="248" t="s">
        <v>223</v>
      </c>
      <c r="C117" s="39" t="str">
        <f>F32&amp;"/"&amp;B34</f>
        <v>LOAD_1C_ACC/InsMyCol</v>
      </c>
      <c r="D117" s="198"/>
      <c r="E117" s="223" t="s">
        <v>172</v>
      </c>
      <c r="F117" s="192" t="s">
        <v>127</v>
      </c>
      <c r="G117" s="195"/>
      <c r="H117" s="202"/>
      <c r="I117" s="202"/>
      <c r="J117" s="243"/>
      <c r="K117" s="2" t="str">
        <f>K116</f>
        <v>Список клиентов 1C</v>
      </c>
      <c r="L117" s="202"/>
      <c r="M117" s="202"/>
      <c r="N117" s="193" t="s">
        <v>68</v>
      </c>
      <c r="O117" s="243"/>
    </row>
    <row r="118" spans="1:16" s="211" customFormat="1" ht="15.75" thickBot="1" x14ac:dyDescent="0.3">
      <c r="A118" s="249"/>
      <c r="B118" s="204" t="s">
        <v>32</v>
      </c>
      <c r="C118" s="250"/>
      <c r="D118" s="204"/>
      <c r="E118" s="205" t="s">
        <v>172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6" s="177" customFormat="1" ht="16.5" thickTop="1" thickBot="1" x14ac:dyDescent="0.3">
      <c r="A119" s="245"/>
      <c r="B119" s="186" t="s">
        <v>167</v>
      </c>
      <c r="C119" s="263"/>
      <c r="D119" s="264"/>
      <c r="E119" s="257" t="s">
        <v>65</v>
      </c>
      <c r="F119" s="265" t="s">
        <v>224</v>
      </c>
      <c r="G119" s="190"/>
      <c r="H119" s="190"/>
      <c r="I119" s="190"/>
      <c r="J119" s="191"/>
      <c r="K119" s="182" t="s">
        <v>112</v>
      </c>
      <c r="L119" s="195"/>
      <c r="M119" s="190"/>
      <c r="N119" s="195"/>
      <c r="O119" s="191"/>
      <c r="P119" s="286"/>
    </row>
    <row r="120" spans="1:16" ht="15.75" thickTop="1" x14ac:dyDescent="0.25">
      <c r="A120" s="245">
        <v>41410.835046296299</v>
      </c>
      <c r="B120" s="248" t="s">
        <v>225</v>
      </c>
      <c r="C120" s="39" t="s">
        <v>66</v>
      </c>
      <c r="D120" s="198"/>
      <c r="E120" s="223" t="s">
        <v>172</v>
      </c>
      <c r="F120" s="287" t="s">
        <v>131</v>
      </c>
      <c r="G120" s="195"/>
      <c r="H120" s="202"/>
      <c r="I120" s="202"/>
      <c r="J120" s="243"/>
      <c r="K120" s="89" t="s">
        <v>99</v>
      </c>
      <c r="L120" s="288" t="s">
        <v>112</v>
      </c>
      <c r="M120" s="193" t="s">
        <v>79</v>
      </c>
      <c r="N120" s="193" t="s">
        <v>71</v>
      </c>
      <c r="O120" s="243"/>
      <c r="P120" s="289"/>
    </row>
    <row r="121" spans="1:16" s="177" customFormat="1" x14ac:dyDescent="0.25">
      <c r="A121" s="245"/>
      <c r="B121" s="248" t="s">
        <v>135</v>
      </c>
      <c r="C121" s="268" t="str">
        <f>B120</f>
        <v>BTO_Mail_track</v>
      </c>
      <c r="D121" s="186"/>
      <c r="E121" s="187" t="s">
        <v>172</v>
      </c>
      <c r="F121" s="287" t="str">
        <f>F120</f>
        <v>BTOlog</v>
      </c>
      <c r="G121" s="195" t="s">
        <v>202</v>
      </c>
      <c r="H121" s="202" t="s">
        <v>226</v>
      </c>
      <c r="I121" s="202" t="s">
        <v>227</v>
      </c>
      <c r="J121" s="191"/>
      <c r="K121" s="287" t="str">
        <f>F121</f>
        <v>BTOlog</v>
      </c>
      <c r="M121" s="190"/>
      <c r="N121" s="195"/>
      <c r="O121" s="191"/>
      <c r="P121" s="289"/>
    </row>
    <row r="122" spans="1:16" s="211" customFormat="1" ht="15.75" thickBot="1" x14ac:dyDescent="0.3">
      <c r="A122" s="249"/>
      <c r="B122" s="204" t="s">
        <v>32</v>
      </c>
      <c r="C122" s="250"/>
      <c r="D122" s="204"/>
      <c r="E122" s="205" t="s">
        <v>172</v>
      </c>
      <c r="F122" s="206"/>
      <c r="G122" s="207"/>
      <c r="H122" s="207"/>
      <c r="I122" s="207"/>
      <c r="J122" s="208"/>
      <c r="K122" s="209"/>
      <c r="L122" s="210"/>
      <c r="M122" s="207"/>
      <c r="N122" s="210"/>
      <c r="O122" s="208"/>
      <c r="P122" s="290"/>
    </row>
    <row r="123" spans="1:16" s="177" customFormat="1" ht="16.5" thickTop="1" thickBot="1" x14ac:dyDescent="0.3">
      <c r="A123" s="245"/>
      <c r="B123" s="186" t="s">
        <v>167</v>
      </c>
      <c r="C123" s="263"/>
      <c r="D123" s="264"/>
      <c r="E123" s="257" t="s">
        <v>65</v>
      </c>
      <c r="F123" s="265" t="s">
        <v>228</v>
      </c>
      <c r="G123" s="190"/>
      <c r="H123" s="190"/>
      <c r="I123" s="190"/>
      <c r="J123" s="191"/>
      <c r="K123" s="182" t="s">
        <v>71</v>
      </c>
      <c r="L123" s="195"/>
      <c r="M123" s="190"/>
      <c r="N123" s="195"/>
      <c r="O123" s="191"/>
      <c r="P123" s="291"/>
    </row>
    <row r="124" spans="1:16" ht="15.75" thickTop="1" x14ac:dyDescent="0.25">
      <c r="A124" s="245">
        <v>41499.705324074072</v>
      </c>
      <c r="B124" s="248" t="s">
        <v>100</v>
      </c>
      <c r="C124" s="39"/>
      <c r="D124" s="198"/>
      <c r="E124" s="223" t="s">
        <v>172</v>
      </c>
      <c r="F124" s="292" t="s">
        <v>148</v>
      </c>
      <c r="G124" s="293" t="str">
        <f>K123</f>
        <v>ADSKfrSF</v>
      </c>
      <c r="H124" s="294" t="s">
        <v>147</v>
      </c>
      <c r="J124" s="243"/>
      <c r="K124" s="294" t="str">
        <f>H124</f>
        <v>A_SN_1</v>
      </c>
      <c r="L124" s="56" t="str">
        <f>K123</f>
        <v>ADSKfrSF</v>
      </c>
      <c r="N124" s="195"/>
      <c r="O124" s="243"/>
      <c r="P124" s="295"/>
    </row>
    <row r="125" spans="1:16" x14ac:dyDescent="0.25">
      <c r="A125" s="245">
        <v>41502.225694444445</v>
      </c>
      <c r="B125" s="248" t="s">
        <v>72</v>
      </c>
      <c r="C125" s="39" t="str">
        <f>B124</f>
        <v>Adapt</v>
      </c>
      <c r="D125" s="198"/>
      <c r="E125" s="223" t="s">
        <v>172</v>
      </c>
      <c r="F125" s="296"/>
      <c r="G125" s="195"/>
      <c r="H125" s="202"/>
      <c r="I125" s="202"/>
      <c r="J125" s="243"/>
      <c r="K125" s="56" t="str">
        <f>L124</f>
        <v>ADSKfrSF</v>
      </c>
      <c r="L125" s="294" t="s">
        <v>149</v>
      </c>
      <c r="M125" s="294" t="s">
        <v>152</v>
      </c>
      <c r="N125" s="195"/>
      <c r="O125" s="243"/>
      <c r="P125" s="295"/>
    </row>
    <row r="126" spans="1:16" s="177" customFormat="1" x14ac:dyDescent="0.25">
      <c r="A126" s="245"/>
      <c r="B126" s="186" t="s">
        <v>192</v>
      </c>
      <c r="C126" s="259"/>
      <c r="D126" s="186"/>
      <c r="E126" s="187" t="s">
        <v>172</v>
      </c>
      <c r="F126" s="254" t="s">
        <v>168</v>
      </c>
      <c r="G126" s="194"/>
      <c r="H126" s="190"/>
      <c r="I126" s="190"/>
      <c r="J126" s="191"/>
      <c r="K126" s="192"/>
      <c r="L126" s="195"/>
      <c r="M126" s="190"/>
      <c r="N126" s="195"/>
      <c r="O126" s="191"/>
      <c r="P126" s="291"/>
    </row>
    <row r="127" spans="1:16" s="177" customFormat="1" x14ac:dyDescent="0.25">
      <c r="A127" s="245"/>
      <c r="B127" s="248" t="s">
        <v>135</v>
      </c>
      <c r="C127" s="268" t="str">
        <f>B124</f>
        <v>Adapt</v>
      </c>
      <c r="D127" s="186"/>
      <c r="E127" s="187" t="s">
        <v>172</v>
      </c>
      <c r="F127" s="296" t="str">
        <f>M125</f>
        <v>A_SN_3</v>
      </c>
      <c r="G127" s="195" t="s">
        <v>202</v>
      </c>
      <c r="H127" s="297" t="s">
        <v>226</v>
      </c>
      <c r="I127" s="297" t="s">
        <v>227</v>
      </c>
      <c r="J127" s="191"/>
      <c r="K127" s="296" t="str">
        <f>F127</f>
        <v>A_SN_3</v>
      </c>
      <c r="M127" s="190"/>
      <c r="N127" s="195"/>
      <c r="O127" s="191"/>
      <c r="P127" s="295"/>
    </row>
    <row r="128" spans="1:16" s="211" customFormat="1" ht="15.75" thickBot="1" x14ac:dyDescent="0.3">
      <c r="A128" s="249"/>
      <c r="B128" s="204" t="s">
        <v>32</v>
      </c>
      <c r="C128" s="250"/>
      <c r="D128" s="204"/>
      <c r="E128" s="205" t="s">
        <v>172</v>
      </c>
      <c r="F128" s="206"/>
      <c r="G128" s="207"/>
      <c r="H128" s="207"/>
      <c r="I128" s="207"/>
      <c r="J128" s="208"/>
      <c r="K128" s="209"/>
      <c r="L128" s="210"/>
      <c r="M128" s="207"/>
      <c r="N128" s="210"/>
      <c r="O128" s="208"/>
      <c r="P128" s="298"/>
    </row>
    <row r="129" spans="1:15" s="301" customFormat="1" ht="16.5" thickTop="1" thickBot="1" x14ac:dyDescent="0.3">
      <c r="A129" s="234">
        <v>41201.045671296299</v>
      </c>
      <c r="B129" s="235" t="s">
        <v>167</v>
      </c>
      <c r="C129" s="236"/>
      <c r="D129" s="237"/>
      <c r="E129" s="299" t="s">
        <v>65</v>
      </c>
      <c r="F129" s="300" t="s">
        <v>229</v>
      </c>
      <c r="G129" s="237"/>
      <c r="H129" s="237"/>
      <c r="I129" s="237"/>
      <c r="J129" s="240"/>
      <c r="K129" s="260" t="str">
        <f>K15</f>
        <v>Платежи</v>
      </c>
      <c r="L129" s="242"/>
      <c r="M129" s="237"/>
      <c r="N129" s="242"/>
      <c r="O129" s="240"/>
    </row>
    <row r="130" spans="1:15" s="177" customFormat="1" ht="16.5" thickTop="1" thickBot="1" x14ac:dyDescent="0.3">
      <c r="A130" s="183">
        <v>41289.96565972222</v>
      </c>
      <c r="B130" s="197" t="s">
        <v>230</v>
      </c>
      <c r="C130" s="302"/>
      <c r="D130" s="186"/>
      <c r="E130" s="201" t="s">
        <v>168</v>
      </c>
      <c r="F130" s="192" t="str">
        <f>F100</f>
        <v>HANDL_NewContract</v>
      </c>
      <c r="G130" s="303" t="str">
        <f>F129</f>
        <v>WP_PaidOpp</v>
      </c>
      <c r="H130" s="303" t="str">
        <f>B136</f>
        <v>WP_Paid</v>
      </c>
      <c r="I130" s="304">
        <v>7</v>
      </c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41289.96565972222</v>
      </c>
      <c r="B131" s="184" t="s">
        <v>231</v>
      </c>
      <c r="C131" s="277" t="str">
        <f>B130</f>
        <v>ProcReset</v>
      </c>
      <c r="D131" s="186"/>
      <c r="E131" s="187" t="s">
        <v>168</v>
      </c>
      <c r="F131" s="305">
        <f>C103</f>
        <v>13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183">
        <v>41289.965682870374</v>
      </c>
      <c r="B132" s="197" t="s">
        <v>230</v>
      </c>
      <c r="C132" s="302"/>
      <c r="D132" s="186"/>
      <c r="E132" s="201" t="s">
        <v>168</v>
      </c>
      <c r="F132" s="192" t="str">
        <f>F96</f>
        <v>HANDL_PaidContr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231</v>
      </c>
      <c r="C133" s="268" t="str">
        <f>B131</f>
        <v>CheckProc0</v>
      </c>
      <c r="D133" s="186"/>
      <c r="E133" s="187" t="s">
        <v>172</v>
      </c>
      <c r="F133" s="306">
        <f>C99</f>
        <v>0</v>
      </c>
      <c r="G133" s="194"/>
      <c r="H133" s="190"/>
      <c r="I133" s="190"/>
      <c r="J133" s="191"/>
      <c r="K133" s="192"/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139</v>
      </c>
      <c r="G134" s="190"/>
      <c r="H134" s="190"/>
      <c r="I134" s="190"/>
      <c r="J134" s="191"/>
      <c r="K134" s="267" t="str">
        <f>F134</f>
        <v>NewOpp</v>
      </c>
      <c r="L134" s="195"/>
      <c r="M134" s="190"/>
      <c r="N134" s="195"/>
      <c r="O134" s="191"/>
    </row>
    <row r="135" spans="1:15" s="177" customFormat="1" x14ac:dyDescent="0.25">
      <c r="A135" s="245"/>
      <c r="B135" s="186" t="s">
        <v>200</v>
      </c>
      <c r="C135" s="263"/>
      <c r="D135" s="264"/>
      <c r="E135" s="187" t="s">
        <v>172</v>
      </c>
      <c r="F135" s="267" t="s">
        <v>134</v>
      </c>
      <c r="G135" s="190"/>
      <c r="H135" s="190"/>
      <c r="I135" s="190"/>
      <c r="J135" s="191"/>
      <c r="K135" s="267" t="str">
        <f>F135</f>
        <v>NewPayment</v>
      </c>
      <c r="L135" s="195"/>
      <c r="M135" s="190"/>
      <c r="N135" s="195"/>
      <c r="O135" s="191"/>
    </row>
    <row r="136" spans="1:15" s="177" customFormat="1" ht="15.75" thickBot="1" x14ac:dyDescent="0.3">
      <c r="A136" s="307"/>
      <c r="B136" s="308" t="s">
        <v>232</v>
      </c>
      <c r="C136" s="309" t="str">
        <f>B131</f>
        <v>CheckProc0</v>
      </c>
      <c r="D136" s="308"/>
      <c r="E136" s="310" t="s">
        <v>172</v>
      </c>
      <c r="F136" s="311" t="s">
        <v>233</v>
      </c>
      <c r="G136" s="312" t="s">
        <v>172</v>
      </c>
      <c r="H136" s="313"/>
      <c r="I136" s="313"/>
      <c r="J136" s="314"/>
      <c r="K136" s="315" t="str">
        <f>K129</f>
        <v>Платежи</v>
      </c>
      <c r="L136" s="316" t="s">
        <v>68</v>
      </c>
      <c r="M136" s="316" t="s">
        <v>64</v>
      </c>
      <c r="N136" s="316" t="s">
        <v>62</v>
      </c>
      <c r="O136" s="314"/>
    </row>
    <row r="137" spans="1:15" s="177" customFormat="1" ht="15.75" thickTop="1" x14ac:dyDescent="0.25">
      <c r="A137" s="245"/>
      <c r="B137" s="248" t="s">
        <v>135</v>
      </c>
      <c r="C137" s="268" t="str">
        <f>B136</f>
        <v>WP_Paid</v>
      </c>
      <c r="D137" s="186"/>
      <c r="E137" s="187" t="s">
        <v>172</v>
      </c>
      <c r="F137" s="267" t="s">
        <v>139</v>
      </c>
      <c r="G137" s="195" t="s">
        <v>202</v>
      </c>
      <c r="H137" s="202" t="s">
        <v>217</v>
      </c>
      <c r="I137" s="202" t="s">
        <v>218</v>
      </c>
      <c r="J137" s="191"/>
      <c r="K137" s="267" t="str">
        <f>F137</f>
        <v>NewOpp</v>
      </c>
      <c r="L137" s="195"/>
      <c r="M137" s="190"/>
      <c r="N137" s="195"/>
      <c r="O137" s="191"/>
    </row>
    <row r="138" spans="1:15" s="177" customFormat="1" x14ac:dyDescent="0.25">
      <c r="A138" s="245"/>
      <c r="B138" s="248" t="s">
        <v>135</v>
      </c>
      <c r="C138" s="268" t="str">
        <f>B136</f>
        <v>WP_Paid</v>
      </c>
      <c r="D138" s="186"/>
      <c r="E138" s="187" t="s">
        <v>172</v>
      </c>
      <c r="F138" s="267" t="s">
        <v>134</v>
      </c>
      <c r="G138" s="195" t="s">
        <v>202</v>
      </c>
      <c r="H138" s="202" t="s">
        <v>203</v>
      </c>
      <c r="I138" s="202" t="s">
        <v>204</v>
      </c>
      <c r="J138" s="191"/>
      <c r="K138" s="267" t="str">
        <f>F138</f>
        <v>NewPayment</v>
      </c>
      <c r="L138" s="195"/>
      <c r="M138" s="190"/>
      <c r="N138" s="195"/>
      <c r="O138" s="191"/>
    </row>
    <row r="139" spans="1:15" s="180" customFormat="1" x14ac:dyDescent="0.25">
      <c r="A139" s="317"/>
      <c r="B139" s="248" t="s">
        <v>32</v>
      </c>
      <c r="C139" s="318">
        <v>0</v>
      </c>
      <c r="D139" s="248"/>
      <c r="E139" s="199" t="s">
        <v>172</v>
      </c>
      <c r="F139" s="319"/>
      <c r="G139" s="190"/>
      <c r="H139" s="190"/>
      <c r="I139" s="190"/>
      <c r="J139" s="191"/>
      <c r="K139" s="192"/>
      <c r="L139" s="195"/>
      <c r="M139" s="190"/>
      <c r="N139" s="195"/>
      <c r="O139" s="191"/>
    </row>
    <row r="140" spans="1:15" s="323" customFormat="1" ht="15.75" thickBot="1" x14ac:dyDescent="0.3">
      <c r="A140" s="251">
        <v>41201.045671296299</v>
      </c>
      <c r="B140" s="252" t="s">
        <v>167</v>
      </c>
      <c r="C140" s="253"/>
      <c r="D140" s="214"/>
      <c r="E140" s="320" t="s">
        <v>65</v>
      </c>
      <c r="F140" s="321" t="s">
        <v>234</v>
      </c>
      <c r="G140" s="214"/>
      <c r="H140" s="214"/>
      <c r="I140" s="214"/>
      <c r="J140" s="217"/>
      <c r="K140" s="322" t="s">
        <v>31</v>
      </c>
      <c r="L140" s="219"/>
      <c r="M140" s="214"/>
      <c r="N140" s="219"/>
      <c r="O140" s="217"/>
    </row>
    <row r="141" spans="1:15" s="177" customFormat="1" ht="15.75" thickTop="1" x14ac:dyDescent="0.25">
      <c r="A141" s="183">
        <v>41218.822870370372</v>
      </c>
      <c r="B141" s="184" t="s">
        <v>200</v>
      </c>
      <c r="C141" s="266"/>
      <c r="D141" s="264"/>
      <c r="E141" s="187"/>
      <c r="F141" s="267" t="s">
        <v>141</v>
      </c>
      <c r="G141" s="190"/>
      <c r="H141" s="190"/>
      <c r="I141" s="190"/>
      <c r="J141" s="191"/>
      <c r="K141" s="267" t="str">
        <f>F141</f>
        <v>NewAcc</v>
      </c>
      <c r="L141" s="195"/>
      <c r="M141" s="190"/>
      <c r="N141" s="195"/>
      <c r="O141" s="191"/>
    </row>
    <row r="142" spans="1:15" s="177" customFormat="1" x14ac:dyDescent="0.25">
      <c r="A142" s="183"/>
      <c r="B142" s="184" t="s">
        <v>235</v>
      </c>
      <c r="C142" s="268" t="str">
        <f>B141</f>
        <v>NewSheet</v>
      </c>
      <c r="D142" s="264"/>
      <c r="E142" s="187"/>
      <c r="F142" s="324"/>
      <c r="G142" s="190"/>
      <c r="H142" s="190"/>
      <c r="I142" s="190"/>
      <c r="J142" s="191"/>
      <c r="K142" s="267"/>
      <c r="L142" s="195"/>
      <c r="M142" s="190"/>
      <c r="N142" s="195"/>
      <c r="O142" s="191"/>
    </row>
    <row r="143" spans="1:15" s="177" customFormat="1" x14ac:dyDescent="0.25">
      <c r="A143" s="245"/>
      <c r="B143" s="186" t="s">
        <v>192</v>
      </c>
      <c r="C143" s="259"/>
      <c r="D143" s="186"/>
      <c r="E143" s="187" t="s">
        <v>172</v>
      </c>
      <c r="F143" s="254" t="s">
        <v>65</v>
      </c>
      <c r="G143" s="194" t="s">
        <v>193</v>
      </c>
      <c r="H143" s="190"/>
      <c r="I143" s="190"/>
      <c r="J143" s="191"/>
      <c r="K143" s="192"/>
      <c r="L143" s="195"/>
      <c r="M143" s="190"/>
      <c r="N143" s="195"/>
      <c r="O143" s="191"/>
    </row>
    <row r="144" spans="1:15" s="177" customFormat="1" ht="15.75" thickBot="1" x14ac:dyDescent="0.3">
      <c r="A144" s="307">
        <v>41218.824293981481</v>
      </c>
      <c r="B144" s="308" t="s">
        <v>232</v>
      </c>
      <c r="C144" s="309" t="str">
        <f>B142</f>
        <v>SFaccDicBuild</v>
      </c>
      <c r="D144" s="308"/>
      <c r="E144" s="310" t="s">
        <v>172</v>
      </c>
      <c r="F144" s="311" t="s">
        <v>236</v>
      </c>
      <c r="G144" s="325"/>
      <c r="H144" s="313"/>
      <c r="I144" s="313"/>
      <c r="J144" s="314"/>
      <c r="K144" s="315" t="str">
        <f>K140</f>
        <v>Платежи</v>
      </c>
      <c r="L144" s="316">
        <v>0</v>
      </c>
      <c r="M144" s="316">
        <v>0</v>
      </c>
      <c r="N144" s="316">
        <v>0</v>
      </c>
      <c r="O144" s="314"/>
    </row>
    <row r="145" spans="1:15" s="177" customFormat="1" ht="15.75" thickTop="1" x14ac:dyDescent="0.25">
      <c r="A145" s="245">
        <v>41218.824293981481</v>
      </c>
      <c r="B145" s="248" t="s">
        <v>135</v>
      </c>
      <c r="C145" s="268" t="str">
        <f>B144</f>
        <v>WP_Paid</v>
      </c>
      <c r="D145" s="186"/>
      <c r="E145" s="187" t="s">
        <v>172</v>
      </c>
      <c r="F145" s="267" t="str">
        <f>F141</f>
        <v>NewAcc</v>
      </c>
      <c r="G145" s="195" t="s">
        <v>202</v>
      </c>
      <c r="H145" s="202" t="s">
        <v>217</v>
      </c>
      <c r="I145" s="202" t="s">
        <v>218</v>
      </c>
      <c r="J145" s="191"/>
      <c r="K145" s="267" t="str">
        <f>F145</f>
        <v>NewAcc</v>
      </c>
      <c r="L145" s="195"/>
      <c r="M145" s="190"/>
      <c r="N145" s="195"/>
      <c r="O145" s="191"/>
    </row>
    <row r="146" spans="1:15" s="211" customFormat="1" x14ac:dyDescent="0.25">
      <c r="A146" s="249"/>
      <c r="B146" s="204" t="s">
        <v>32</v>
      </c>
      <c r="C146" s="250">
        <v>5</v>
      </c>
      <c r="D146" s="204"/>
      <c r="E146" s="205" t="s">
        <v>172</v>
      </c>
      <c r="F146" s="206"/>
      <c r="G146" s="207"/>
      <c r="H146" s="207"/>
      <c r="I146" s="207"/>
      <c r="J146" s="208"/>
      <c r="K146" s="209"/>
      <c r="L146" s="210"/>
      <c r="M146" s="207"/>
      <c r="N146" s="210"/>
      <c r="O146" s="208"/>
    </row>
    <row r="147" spans="1:15" s="177" customFormat="1" x14ac:dyDescent="0.25">
      <c r="A147" s="245"/>
      <c r="B147" s="186" t="s">
        <v>167</v>
      </c>
      <c r="C147" s="263"/>
      <c r="D147" s="264"/>
      <c r="E147" s="187" t="s">
        <v>172</v>
      </c>
      <c r="F147" s="265" t="s">
        <v>237</v>
      </c>
      <c r="G147" s="190"/>
      <c r="H147" s="190"/>
      <c r="I147" s="190"/>
      <c r="J147" s="191"/>
      <c r="K147" s="182" t="s">
        <v>31</v>
      </c>
      <c r="L147" s="195"/>
      <c r="M147" s="190"/>
      <c r="N147" s="195"/>
      <c r="O147" s="191"/>
    </row>
    <row r="148" spans="1:15" s="177" customFormat="1" x14ac:dyDescent="0.25">
      <c r="A148" s="261"/>
      <c r="B148" s="186" t="s">
        <v>192</v>
      </c>
      <c r="C148" s="259"/>
      <c r="D148" s="186"/>
      <c r="E148" s="187"/>
      <c r="F148" s="254" t="s">
        <v>168</v>
      </c>
      <c r="G148" s="194"/>
      <c r="H148" s="190"/>
      <c r="I148" s="190"/>
      <c r="J148" s="191"/>
      <c r="K148" s="192"/>
      <c r="L148" s="195"/>
      <c r="M148" s="190"/>
      <c r="N148" s="195"/>
      <c r="O148" s="191"/>
    </row>
    <row r="149" spans="1:15" ht="30" x14ac:dyDescent="0.25">
      <c r="A149" s="261"/>
      <c r="B149" s="248" t="s">
        <v>238</v>
      </c>
      <c r="C149" s="246" t="s">
        <v>195</v>
      </c>
      <c r="D149" s="198"/>
      <c r="E149" s="223" t="s">
        <v>172</v>
      </c>
      <c r="F149" s="192"/>
      <c r="G149" s="195"/>
      <c r="H149" s="202"/>
      <c r="I149" s="202"/>
      <c r="J149" s="243"/>
      <c r="K149" s="244" t="s">
        <v>31</v>
      </c>
      <c r="L149" s="202" t="s">
        <v>64</v>
      </c>
      <c r="M149" s="202"/>
      <c r="N149" s="202"/>
      <c r="O149" s="243"/>
    </row>
    <row r="150" spans="1:15" s="211" customFormat="1" x14ac:dyDescent="0.25">
      <c r="A150" s="249"/>
      <c r="B150" s="204" t="s">
        <v>32</v>
      </c>
      <c r="C150" s="250"/>
      <c r="D150" s="204"/>
      <c r="E150" s="205" t="s">
        <v>172</v>
      </c>
      <c r="F150" s="206"/>
      <c r="G150" s="207"/>
      <c r="H150" s="207"/>
      <c r="I150" s="207"/>
      <c r="J150" s="208"/>
      <c r="K150" s="209"/>
      <c r="L150" s="210"/>
      <c r="M150" s="207"/>
      <c r="N150" s="210"/>
      <c r="O150" s="208"/>
    </row>
    <row r="151" spans="1:15" s="22" customFormat="1" x14ac:dyDescent="0.25">
      <c r="A151" s="326"/>
      <c r="B151" s="327" t="s">
        <v>118</v>
      </c>
      <c r="C151" s="328" t="s">
        <v>119</v>
      </c>
      <c r="D151" s="252"/>
      <c r="E151" s="329"/>
      <c r="F151" s="330"/>
      <c r="G151" s="331"/>
      <c r="H151" s="331"/>
      <c r="I151" s="331"/>
      <c r="J151" s="332"/>
      <c r="K151" s="330" t="s">
        <v>239</v>
      </c>
      <c r="L151" s="331"/>
      <c r="M151" s="331"/>
      <c r="N151" s="331"/>
      <c r="O151" s="332"/>
    </row>
    <row r="152" spans="1:15" x14ac:dyDescent="0.25">
      <c r="A152" s="333"/>
      <c r="B152" s="334">
        <v>1043</v>
      </c>
      <c r="C152" s="335"/>
      <c r="D152" s="198"/>
      <c r="E152" s="187"/>
      <c r="F152" s="247"/>
      <c r="G152" s="202"/>
      <c r="H152" s="202"/>
      <c r="I152" s="202"/>
      <c r="J152" s="203"/>
      <c r="K152" s="247" t="s">
        <v>239</v>
      </c>
      <c r="L152" s="202"/>
      <c r="M152" s="202"/>
      <c r="N152" s="202"/>
      <c r="O152" s="203"/>
    </row>
    <row r="153" spans="1:15" s="22" customFormat="1" ht="15.75" thickBot="1" x14ac:dyDescent="0.3">
      <c r="A153" s="72"/>
      <c r="B153" s="336" t="s">
        <v>118</v>
      </c>
      <c r="C153" s="337" t="s">
        <v>119</v>
      </c>
      <c r="D153" s="70"/>
      <c r="E153" s="338"/>
      <c r="F153" s="339"/>
      <c r="G153" s="340"/>
      <c r="H153" s="340"/>
      <c r="I153" s="340"/>
      <c r="J153" s="341"/>
      <c r="K153" s="339" t="s">
        <v>120</v>
      </c>
      <c r="L153" s="340"/>
      <c r="M153" s="340"/>
      <c r="N153" s="340"/>
      <c r="O153" s="341"/>
    </row>
    <row r="154" spans="1:15" x14ac:dyDescent="0.25">
      <c r="A154" s="41"/>
    </row>
    <row r="155" spans="1:15" s="177" customFormat="1" x14ac:dyDescent="0.25">
      <c r="A155" s="245"/>
      <c r="B155" s="186" t="s">
        <v>192</v>
      </c>
      <c r="C155" s="259"/>
      <c r="D155" s="186"/>
      <c r="E155" s="187" t="s">
        <v>172</v>
      </c>
      <c r="F155" s="254" t="s">
        <v>65</v>
      </c>
      <c r="G155" s="194" t="s">
        <v>193</v>
      </c>
      <c r="H155" s="190"/>
      <c r="I155" s="190"/>
      <c r="J155" s="191"/>
      <c r="K155" s="192"/>
      <c r="L155" s="195"/>
      <c r="M155" s="190"/>
      <c r="N155" s="195"/>
      <c r="O155" s="191"/>
    </row>
    <row r="157" spans="1:15" ht="45" outlineLevel="1" x14ac:dyDescent="0.25">
      <c r="A157" s="245">
        <v>41217.705717592595</v>
      </c>
      <c r="B157" s="186" t="s">
        <v>240</v>
      </c>
      <c r="C157" s="246" t="s">
        <v>241</v>
      </c>
      <c r="D157" s="202"/>
      <c r="E157" s="223" t="s">
        <v>172</v>
      </c>
      <c r="F157" s="254" t="s">
        <v>62</v>
      </c>
      <c r="G157" s="195" t="s">
        <v>40</v>
      </c>
      <c r="H157" s="194" t="s">
        <v>164</v>
      </c>
      <c r="I157" s="194" t="s">
        <v>185</v>
      </c>
      <c r="J157" s="243"/>
      <c r="L157" s="193" t="s">
        <v>62</v>
      </c>
      <c r="M157" s="202"/>
      <c r="N157" s="202"/>
      <c r="O157" s="243"/>
    </row>
    <row r="160" spans="1:15" s="32" customFormat="1" outlineLevel="1" x14ac:dyDescent="0.25">
      <c r="A160" s="245">
        <v>41217.684374999997</v>
      </c>
      <c r="B160" s="186" t="s">
        <v>84</v>
      </c>
      <c r="C160" s="246" t="s">
        <v>66</v>
      </c>
      <c r="D160" s="186"/>
      <c r="E160" s="187" t="s">
        <v>172</v>
      </c>
      <c r="F160" s="188" t="s">
        <v>173</v>
      </c>
      <c r="G160" s="189" t="s">
        <v>174</v>
      </c>
      <c r="H160" s="190"/>
      <c r="I160" s="190"/>
      <c r="J160" s="203"/>
      <c r="K160" s="192">
        <v>0</v>
      </c>
      <c r="L160" s="193" t="s">
        <v>68</v>
      </c>
      <c r="M160" s="193" t="s">
        <v>62</v>
      </c>
      <c r="N160" s="202"/>
      <c r="O160" s="203"/>
    </row>
    <row r="163" spans="1:15" s="32" customFormat="1" outlineLevel="1" x14ac:dyDescent="0.25">
      <c r="A163" s="245">
        <v>41227.065937500003</v>
      </c>
      <c r="B163" s="186" t="s">
        <v>242</v>
      </c>
      <c r="C163" s="255" t="str">
        <f>B68</f>
        <v>InsMyCol</v>
      </c>
      <c r="D163" s="186"/>
      <c r="E163" s="187" t="s">
        <v>172</v>
      </c>
      <c r="F163" s="254" t="s">
        <v>185</v>
      </c>
      <c r="G163" s="194" t="s">
        <v>59</v>
      </c>
      <c r="H163" s="194" t="s">
        <v>243</v>
      </c>
      <c r="I163" s="194" t="s">
        <v>244</v>
      </c>
      <c r="J163" s="256"/>
      <c r="K163" s="258" t="str">
        <f>K66</f>
        <v>Склад</v>
      </c>
      <c r="L163" s="195" t="s">
        <v>31</v>
      </c>
      <c r="M163" s="202"/>
      <c r="N163" s="177"/>
      <c r="O163" s="191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1224</v>
      </c>
      <c r="B6" s="349" t="s">
        <v>1223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1218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1220</v>
      </c>
      <c r="B24" s="356" t="s">
        <v>1219</v>
      </c>
      <c r="C24" s="357"/>
      <c r="E24" s="357"/>
      <c r="F24" s="368" t="s">
        <v>1221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1226</v>
      </c>
      <c r="B43" s="356" t="s">
        <v>1225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65" t="s">
        <v>400</v>
      </c>
      <c r="I53" s="966"/>
      <c r="J53" s="966"/>
      <c r="K53" s="967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68" t="s">
        <v>400</v>
      </c>
      <c r="N54" s="969"/>
      <c r="O54" s="969"/>
      <c r="P54" s="969"/>
      <c r="Q54" s="970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1233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2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1222</v>
      </c>
      <c r="B69" s="385" t="s">
        <v>1222</v>
      </c>
      <c r="C69" s="371" t="s">
        <v>417</v>
      </c>
      <c r="D69" s="386" t="s">
        <v>1222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76"/>
  <sheetViews>
    <sheetView workbookViewId="0"/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176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1239</v>
      </c>
    </row>
    <row r="4" spans="1:4" x14ac:dyDescent="0.25">
      <c r="A4" s="417">
        <v>41533</v>
      </c>
      <c r="B4" s="418">
        <v>0.95903935185185185</v>
      </c>
      <c r="C4" s="421" t="s">
        <v>1237</v>
      </c>
    </row>
    <row r="5" spans="1:4" x14ac:dyDescent="0.25">
      <c r="A5" s="417">
        <v>41533</v>
      </c>
      <c r="B5" s="418">
        <v>0.95903935185185185</v>
      </c>
      <c r="C5" s="421" t="s">
        <v>1238</v>
      </c>
    </row>
    <row r="6" spans="1:4" x14ac:dyDescent="0.25">
      <c r="A6" s="417">
        <v>41533</v>
      </c>
      <c r="B6" s="418">
        <v>0.95903935185185185</v>
      </c>
      <c r="C6" s="421" t="s">
        <v>1239</v>
      </c>
    </row>
    <row r="7" spans="1:4" x14ac:dyDescent="0.25">
      <c r="A7" s="417">
        <v>41533</v>
      </c>
      <c r="B7" s="418">
        <v>0.95906249999999993</v>
      </c>
      <c r="C7" s="421" t="s">
        <v>1239</v>
      </c>
    </row>
    <row r="8" spans="1:4" x14ac:dyDescent="0.25">
      <c r="A8" s="417">
        <v>41533</v>
      </c>
      <c r="B8" s="418">
        <v>0.95908564814814812</v>
      </c>
      <c r="C8" s="421" t="s">
        <v>1239</v>
      </c>
    </row>
    <row r="9" spans="1:4" x14ac:dyDescent="0.25">
      <c r="A9" s="417">
        <v>41533</v>
      </c>
      <c r="B9" s="418">
        <v>0.95909722222222227</v>
      </c>
      <c r="C9" s="421" t="s">
        <v>1239</v>
      </c>
    </row>
    <row r="10" spans="1:4" x14ac:dyDescent="0.25">
      <c r="A10" s="417">
        <v>41533</v>
      </c>
      <c r="B10" s="418">
        <v>0.95912037037037035</v>
      </c>
      <c r="C10" s="421" t="s">
        <v>1239</v>
      </c>
    </row>
    <row r="11" spans="1:4" x14ac:dyDescent="0.25">
      <c r="A11" s="417">
        <v>41533</v>
      </c>
      <c r="B11" s="418">
        <v>0.95914351851851853</v>
      </c>
      <c r="C11" s="421" t="s">
        <v>1239</v>
      </c>
    </row>
    <row r="12" spans="1:4" x14ac:dyDescent="0.25">
      <c r="A12" s="417">
        <v>41533</v>
      </c>
      <c r="B12" s="418">
        <v>0.97017361111111111</v>
      </c>
      <c r="C12" s="421" t="s">
        <v>1239</v>
      </c>
    </row>
    <row r="13" spans="1:4" x14ac:dyDescent="0.25">
      <c r="A13" s="417">
        <v>41533</v>
      </c>
      <c r="B13" s="418">
        <v>0.97018518518518515</v>
      </c>
      <c r="C13" s="421" t="s">
        <v>1237</v>
      </c>
    </row>
    <row r="14" spans="1:4" x14ac:dyDescent="0.25">
      <c r="A14" s="417">
        <v>41533</v>
      </c>
      <c r="B14" s="418">
        <v>0.97018518518518515</v>
      </c>
      <c r="C14" s="421" t="s">
        <v>1238</v>
      </c>
    </row>
    <row r="15" spans="1:4" x14ac:dyDescent="0.25">
      <c r="A15" s="417">
        <v>41533</v>
      </c>
      <c r="B15" s="418">
        <v>0.97018518518518515</v>
      </c>
      <c r="C15" s="421" t="s">
        <v>1239</v>
      </c>
    </row>
    <row r="16" spans="1:4" x14ac:dyDescent="0.25">
      <c r="A16" s="417">
        <v>41533</v>
      </c>
      <c r="B16" s="418">
        <v>0.97687500000000005</v>
      </c>
      <c r="C16" s="421" t="s">
        <v>1239</v>
      </c>
    </row>
    <row r="17" spans="1:3" x14ac:dyDescent="0.25">
      <c r="A17" s="417">
        <v>41533</v>
      </c>
      <c r="B17" s="418">
        <v>0.98959490740740741</v>
      </c>
      <c r="C17" s="421" t="s">
        <v>1239</v>
      </c>
    </row>
    <row r="18" spans="1:3" x14ac:dyDescent="0.25">
      <c r="A18" s="417">
        <v>41533</v>
      </c>
      <c r="B18" s="418">
        <v>0.99079861111111101</v>
      </c>
      <c r="C18" s="421" t="s">
        <v>1237</v>
      </c>
    </row>
    <row r="19" spans="1:3" x14ac:dyDescent="0.25">
      <c r="A19" s="417">
        <v>41533</v>
      </c>
      <c r="B19" s="418">
        <v>0.99081018518518515</v>
      </c>
      <c r="C19" s="421" t="s">
        <v>1238</v>
      </c>
    </row>
    <row r="20" spans="1:3" x14ac:dyDescent="0.25">
      <c r="A20" s="417">
        <v>41533</v>
      </c>
      <c r="B20" s="418">
        <v>0.99092592592592599</v>
      </c>
      <c r="C20" s="421" t="s">
        <v>1239</v>
      </c>
    </row>
    <row r="21" spans="1:3" x14ac:dyDescent="0.25">
      <c r="A21" s="417">
        <v>41533</v>
      </c>
      <c r="B21" s="418">
        <v>0.99290509259259263</v>
      </c>
      <c r="C21" s="421" t="s">
        <v>1239</v>
      </c>
    </row>
    <row r="22" spans="1:3" x14ac:dyDescent="0.25">
      <c r="A22" s="417">
        <v>41533</v>
      </c>
      <c r="B22" s="418">
        <v>0.99315972222222226</v>
      </c>
      <c r="C22" s="421" t="s">
        <v>1237</v>
      </c>
    </row>
    <row r="23" spans="1:3" x14ac:dyDescent="0.25">
      <c r="A23" s="417">
        <v>41533</v>
      </c>
      <c r="B23" s="418">
        <v>0.99315972222222226</v>
      </c>
      <c r="C23" s="421" t="s">
        <v>1238</v>
      </c>
    </row>
    <row r="24" spans="1:3" x14ac:dyDescent="0.25">
      <c r="A24" s="417">
        <v>41533</v>
      </c>
      <c r="B24" s="418">
        <v>0.99315972222222226</v>
      </c>
      <c r="C24" s="421" t="s">
        <v>1239</v>
      </c>
    </row>
    <row r="25" spans="1:3" x14ac:dyDescent="0.25">
      <c r="A25" s="417">
        <v>41533</v>
      </c>
      <c r="B25" s="418">
        <v>0.99328703703703702</v>
      </c>
      <c r="C25" s="421" t="s">
        <v>1239</v>
      </c>
    </row>
    <row r="26" spans="1:3" x14ac:dyDescent="0.25">
      <c r="A26" s="417">
        <v>41533</v>
      </c>
      <c r="B26" s="418">
        <v>0.99818287037037035</v>
      </c>
      <c r="C26" s="421" t="s">
        <v>1239</v>
      </c>
    </row>
    <row r="27" spans="1:3" x14ac:dyDescent="0.25">
      <c r="A27" s="417">
        <v>41533</v>
      </c>
      <c r="B27" s="418">
        <v>0.99829861111111118</v>
      </c>
      <c r="C27" s="421" t="s">
        <v>1237</v>
      </c>
    </row>
    <row r="28" spans="1:3" x14ac:dyDescent="0.25">
      <c r="A28" s="417">
        <v>41533</v>
      </c>
      <c r="B28" s="418">
        <v>0.99829861111111118</v>
      </c>
      <c r="C28" s="421" t="s">
        <v>1238</v>
      </c>
    </row>
    <row r="29" spans="1:3" x14ac:dyDescent="0.25">
      <c r="A29" s="417">
        <v>41533</v>
      </c>
      <c r="B29" s="418">
        <v>0.99829861111111118</v>
      </c>
      <c r="C29" s="421" t="s">
        <v>1239</v>
      </c>
    </row>
    <row r="30" spans="1:3" x14ac:dyDescent="0.25">
      <c r="A30" s="417">
        <v>41534</v>
      </c>
      <c r="B30" s="418">
        <v>1.2037037037037038E-3</v>
      </c>
      <c r="C30" s="421" t="s">
        <v>1239</v>
      </c>
    </row>
    <row r="31" spans="1:3" x14ac:dyDescent="0.25">
      <c r="A31" s="417">
        <v>41534</v>
      </c>
      <c r="B31" s="418">
        <v>7.8472222222222224E-3</v>
      </c>
      <c r="C31" s="421" t="s">
        <v>1239</v>
      </c>
    </row>
    <row r="32" spans="1:3" x14ac:dyDescent="0.25">
      <c r="A32" s="417">
        <v>41534</v>
      </c>
      <c r="B32" s="418">
        <v>7.858796296296296E-3</v>
      </c>
      <c r="C32" s="421" t="s">
        <v>1237</v>
      </c>
    </row>
    <row r="33" spans="1:3" x14ac:dyDescent="0.25">
      <c r="A33" s="417">
        <v>41534</v>
      </c>
      <c r="B33" s="418">
        <v>7.858796296296296E-3</v>
      </c>
      <c r="C33" s="421" t="s">
        <v>1238</v>
      </c>
    </row>
    <row r="34" spans="1:3" x14ac:dyDescent="0.25">
      <c r="A34" s="417">
        <v>41534</v>
      </c>
      <c r="B34" s="418">
        <v>7.858796296296296E-3</v>
      </c>
      <c r="C34" s="421" t="s">
        <v>1239</v>
      </c>
    </row>
    <row r="35" spans="1:3" x14ac:dyDescent="0.25">
      <c r="A35" s="417">
        <v>41534</v>
      </c>
      <c r="B35" s="418">
        <v>7.858796296296296E-3</v>
      </c>
      <c r="C35" s="421" t="s">
        <v>1239</v>
      </c>
    </row>
    <row r="36" spans="1:3" x14ac:dyDescent="0.25">
      <c r="A36" s="417">
        <v>41534</v>
      </c>
      <c r="B36" s="418">
        <v>7.858796296296296E-3</v>
      </c>
      <c r="C36" s="421" t="s">
        <v>1239</v>
      </c>
    </row>
    <row r="37" spans="1:3" x14ac:dyDescent="0.25">
      <c r="A37" s="417">
        <v>41534</v>
      </c>
      <c r="B37" s="418">
        <v>7.858796296296296E-3</v>
      </c>
      <c r="C37" s="421" t="s">
        <v>1239</v>
      </c>
    </row>
    <row r="38" spans="1:3" x14ac:dyDescent="0.25">
      <c r="A38" s="417">
        <v>41534</v>
      </c>
      <c r="B38" s="418">
        <v>7.858796296296296E-3</v>
      </c>
      <c r="C38" s="421" t="s">
        <v>1239</v>
      </c>
    </row>
    <row r="39" spans="1:3" x14ac:dyDescent="0.25">
      <c r="A39" s="417">
        <v>41534</v>
      </c>
      <c r="B39" s="418">
        <v>7.858796296296296E-3</v>
      </c>
      <c r="C39" s="421" t="s">
        <v>1239</v>
      </c>
    </row>
    <row r="40" spans="1:3" x14ac:dyDescent="0.25">
      <c r="A40" s="417">
        <v>41534</v>
      </c>
      <c r="B40" s="418">
        <v>1.4363425925925925E-2</v>
      </c>
      <c r="C40" s="421" t="s">
        <v>1239</v>
      </c>
    </row>
    <row r="41" spans="1:3" x14ac:dyDescent="0.25">
      <c r="A41" s="417">
        <v>41534</v>
      </c>
      <c r="B41" s="418">
        <v>1.5960648148148151E-2</v>
      </c>
      <c r="C41" s="421" t="s">
        <v>1239</v>
      </c>
    </row>
    <row r="42" spans="1:3" x14ac:dyDescent="0.25">
      <c r="A42" s="417">
        <v>41534</v>
      </c>
      <c r="B42" s="418">
        <v>1.8483796296296297E-2</v>
      </c>
      <c r="C42" s="421" t="s">
        <v>1237</v>
      </c>
    </row>
    <row r="43" spans="1:3" x14ac:dyDescent="0.25">
      <c r="A43" s="417">
        <v>41534</v>
      </c>
      <c r="B43" s="418">
        <v>1.8483796296296297E-2</v>
      </c>
      <c r="C43" s="421" t="s">
        <v>1238</v>
      </c>
    </row>
    <row r="44" spans="1:3" x14ac:dyDescent="0.25">
      <c r="A44" s="417">
        <v>41534</v>
      </c>
      <c r="B44" s="418">
        <v>1.8483796296296297E-2</v>
      </c>
      <c r="C44" s="421" t="s">
        <v>1239</v>
      </c>
    </row>
    <row r="45" spans="1:3" x14ac:dyDescent="0.25">
      <c r="A45" s="417">
        <v>41534</v>
      </c>
      <c r="B45" s="418">
        <v>1.8483796296296297E-2</v>
      </c>
      <c r="C45" s="421" t="s">
        <v>1239</v>
      </c>
    </row>
    <row r="46" spans="1:3" x14ac:dyDescent="0.25">
      <c r="A46" s="417">
        <v>41534</v>
      </c>
      <c r="B46" s="418">
        <v>1.8483796296296297E-2</v>
      </c>
      <c r="C46" s="421" t="s">
        <v>1239</v>
      </c>
    </row>
    <row r="47" spans="1:3" x14ac:dyDescent="0.25">
      <c r="A47" s="417">
        <v>41534</v>
      </c>
      <c r="B47" s="418">
        <v>1.8483796296296297E-2</v>
      </c>
      <c r="C47" s="421" t="s">
        <v>1239</v>
      </c>
    </row>
    <row r="48" spans="1:3" x14ac:dyDescent="0.25">
      <c r="A48" s="417">
        <v>41534</v>
      </c>
      <c r="B48" s="418">
        <v>1.8483796296296297E-2</v>
      </c>
      <c r="C48" s="421" t="s">
        <v>1239</v>
      </c>
    </row>
    <row r="49" spans="1:3" x14ac:dyDescent="0.25">
      <c r="A49" s="417">
        <v>41534</v>
      </c>
      <c r="B49" s="418">
        <v>1.8483796296296297E-2</v>
      </c>
      <c r="C49" s="421" t="s">
        <v>1239</v>
      </c>
    </row>
    <row r="50" spans="1:3" x14ac:dyDescent="0.25">
      <c r="A50" s="417">
        <v>41534</v>
      </c>
      <c r="B50" s="418">
        <v>2.3194444444444445E-2</v>
      </c>
      <c r="C50" s="421" t="s">
        <v>1239</v>
      </c>
    </row>
    <row r="51" spans="1:3" x14ac:dyDescent="0.25">
      <c r="A51" s="417">
        <v>41534</v>
      </c>
      <c r="B51" s="418">
        <v>2.4548611111111115E-2</v>
      </c>
      <c r="C51" s="421" t="s">
        <v>1237</v>
      </c>
    </row>
    <row r="52" spans="1:3" x14ac:dyDescent="0.25">
      <c r="A52" s="417">
        <v>41534</v>
      </c>
      <c r="B52" s="418">
        <v>2.4548611111111115E-2</v>
      </c>
      <c r="C52" s="421" t="s">
        <v>1238</v>
      </c>
    </row>
    <row r="53" spans="1:3" x14ac:dyDescent="0.25">
      <c r="A53" s="417">
        <v>41534</v>
      </c>
      <c r="B53" s="418">
        <v>2.4548611111111115E-2</v>
      </c>
      <c r="C53" s="421" t="s">
        <v>1262</v>
      </c>
    </row>
    <row r="54" spans="1:3" x14ac:dyDescent="0.25">
      <c r="A54" s="417">
        <v>41534</v>
      </c>
      <c r="B54" s="418">
        <v>2.4548611111111115E-2</v>
      </c>
      <c r="C54" s="421" t="s">
        <v>1263</v>
      </c>
    </row>
    <row r="55" spans="1:3" x14ac:dyDescent="0.25">
      <c r="A55" s="417">
        <v>41534</v>
      </c>
      <c r="B55" s="418">
        <v>2.5104166666666664E-2</v>
      </c>
      <c r="C55" s="421" t="s">
        <v>1239</v>
      </c>
    </row>
    <row r="56" spans="1:3" x14ac:dyDescent="0.25">
      <c r="A56" s="417">
        <v>41534</v>
      </c>
      <c r="B56" s="418">
        <v>2.7465277777777772E-2</v>
      </c>
      <c r="C56" s="421" t="s">
        <v>1237</v>
      </c>
    </row>
    <row r="57" spans="1:3" x14ac:dyDescent="0.25">
      <c r="A57" s="417">
        <v>41534</v>
      </c>
      <c r="B57" s="418">
        <v>2.7465277777777772E-2</v>
      </c>
      <c r="C57" s="421" t="s">
        <v>1238</v>
      </c>
    </row>
    <row r="58" spans="1:3" x14ac:dyDescent="0.25">
      <c r="A58" s="417">
        <v>41534</v>
      </c>
      <c r="B58" s="418">
        <v>2.8692129629629633E-2</v>
      </c>
      <c r="C58" s="421" t="s">
        <v>1239</v>
      </c>
    </row>
    <row r="59" spans="1:3" x14ac:dyDescent="0.25">
      <c r="A59" s="417">
        <v>41534</v>
      </c>
      <c r="B59" s="418">
        <v>2.9409722222222223E-2</v>
      </c>
      <c r="C59" s="421" t="s">
        <v>1239</v>
      </c>
    </row>
    <row r="60" spans="1:3" x14ac:dyDescent="0.25">
      <c r="A60" s="417">
        <v>41534</v>
      </c>
      <c r="B60" s="418">
        <v>2.9548611111111109E-2</v>
      </c>
      <c r="C60" s="421" t="s">
        <v>1237</v>
      </c>
    </row>
    <row r="61" spans="1:3" x14ac:dyDescent="0.25">
      <c r="A61" s="417">
        <v>41534</v>
      </c>
      <c r="B61" s="418">
        <v>2.9548611111111109E-2</v>
      </c>
      <c r="C61" s="421" t="s">
        <v>1238</v>
      </c>
    </row>
    <row r="62" spans="1:3" x14ac:dyDescent="0.25">
      <c r="A62" s="417">
        <v>41534</v>
      </c>
      <c r="B62" s="418">
        <v>2.9560185185185189E-2</v>
      </c>
      <c r="C62" s="421" t="s">
        <v>1262</v>
      </c>
    </row>
    <row r="63" spans="1:3" x14ac:dyDescent="0.25">
      <c r="A63" s="417">
        <v>41534</v>
      </c>
      <c r="B63" s="418">
        <v>2.9560185185185189E-2</v>
      </c>
      <c r="C63" s="421" t="s">
        <v>1263</v>
      </c>
    </row>
    <row r="64" spans="1:3" x14ac:dyDescent="0.25">
      <c r="A64" s="417">
        <v>41534</v>
      </c>
      <c r="B64" s="418">
        <v>3.2546296296296295E-2</v>
      </c>
      <c r="C64" s="421" t="s">
        <v>1239</v>
      </c>
    </row>
    <row r="65" spans="1:3" x14ac:dyDescent="0.25">
      <c r="A65" s="417">
        <v>41534</v>
      </c>
      <c r="B65" s="418">
        <v>3.2731481481481479E-2</v>
      </c>
      <c r="C65" s="421" t="s">
        <v>1237</v>
      </c>
    </row>
    <row r="66" spans="1:3" x14ac:dyDescent="0.25">
      <c r="A66" s="417">
        <v>41534</v>
      </c>
      <c r="B66" s="418">
        <v>3.2731481481481479E-2</v>
      </c>
      <c r="C66" s="421" t="s">
        <v>1238</v>
      </c>
    </row>
    <row r="67" spans="1:3" x14ac:dyDescent="0.25">
      <c r="A67" s="417">
        <v>41534</v>
      </c>
      <c r="B67" s="418">
        <v>3.7210648148148152E-2</v>
      </c>
      <c r="C67" s="421" t="s">
        <v>1239</v>
      </c>
    </row>
    <row r="68" spans="1:3" x14ac:dyDescent="0.25">
      <c r="A68" s="417">
        <v>41534</v>
      </c>
      <c r="B68" s="418">
        <v>3.7291666666666667E-2</v>
      </c>
      <c r="C68" s="421" t="s">
        <v>1237</v>
      </c>
    </row>
    <row r="69" spans="1:3" x14ac:dyDescent="0.25">
      <c r="A69" s="417">
        <v>41534</v>
      </c>
      <c r="B69" s="418">
        <v>3.7291666666666667E-2</v>
      </c>
      <c r="C69" s="421" t="s">
        <v>1238</v>
      </c>
    </row>
    <row r="70" spans="1:3" x14ac:dyDescent="0.25">
      <c r="A70" s="417">
        <v>41534</v>
      </c>
      <c r="B70" s="418">
        <v>3.7291666666666667E-2</v>
      </c>
      <c r="C70" s="421" t="s">
        <v>1239</v>
      </c>
    </row>
    <row r="71" spans="1:3" x14ac:dyDescent="0.25">
      <c r="A71" s="417">
        <v>41534</v>
      </c>
      <c r="B71" s="418">
        <v>4.7928240740740737E-2</v>
      </c>
      <c r="C71" s="421" t="s">
        <v>1239</v>
      </c>
    </row>
    <row r="72" spans="1:3" x14ac:dyDescent="0.25">
      <c r="A72" s="417">
        <v>41534</v>
      </c>
      <c r="B72" s="418">
        <v>4.7928240740740737E-2</v>
      </c>
      <c r="C72" s="421" t="s">
        <v>1237</v>
      </c>
    </row>
    <row r="73" spans="1:3" x14ac:dyDescent="0.25">
      <c r="A73" s="417">
        <v>41534</v>
      </c>
      <c r="B73" s="418">
        <v>4.7928240740740737E-2</v>
      </c>
      <c r="C73" s="421" t="s">
        <v>1238</v>
      </c>
    </row>
    <row r="74" spans="1:3" x14ac:dyDescent="0.25">
      <c r="A74" s="417">
        <v>41534</v>
      </c>
      <c r="B74" s="418">
        <v>4.7928240740740737E-2</v>
      </c>
      <c r="C74" s="421" t="s">
        <v>1239</v>
      </c>
    </row>
    <row r="75" spans="1:3" x14ac:dyDescent="0.25">
      <c r="A75" s="417">
        <v>41534</v>
      </c>
      <c r="B75" s="418">
        <v>4.8993055555555554E-2</v>
      </c>
      <c r="C75" s="421" t="s">
        <v>1239</v>
      </c>
    </row>
    <row r="76" spans="1:3" x14ac:dyDescent="0.25">
      <c r="A76" s="417">
        <v>41534</v>
      </c>
      <c r="B76" s="418">
        <v>4.9004629629629627E-2</v>
      </c>
      <c r="C76" s="421" t="s">
        <v>1237</v>
      </c>
    </row>
    <row r="77" spans="1:3" x14ac:dyDescent="0.25">
      <c r="A77" s="417">
        <v>41534</v>
      </c>
      <c r="B77" s="418">
        <v>4.9004629629629627E-2</v>
      </c>
      <c r="C77" s="421" t="s">
        <v>1238</v>
      </c>
    </row>
    <row r="78" spans="1:3" x14ac:dyDescent="0.25">
      <c r="A78" s="417">
        <v>41534</v>
      </c>
      <c r="B78" s="418">
        <v>4.9004629629629627E-2</v>
      </c>
      <c r="C78" s="421" t="s">
        <v>1239</v>
      </c>
    </row>
    <row r="79" spans="1:3" x14ac:dyDescent="0.25">
      <c r="A79" s="417">
        <v>41534</v>
      </c>
      <c r="B79" s="418">
        <v>4.9907407407407407E-2</v>
      </c>
      <c r="C79" s="421" t="s">
        <v>1239</v>
      </c>
    </row>
    <row r="80" spans="1:3" x14ac:dyDescent="0.25">
      <c r="A80" s="417">
        <v>41534</v>
      </c>
      <c r="B80" s="418">
        <v>4.9907407407407407E-2</v>
      </c>
      <c r="C80" s="421" t="s">
        <v>1237</v>
      </c>
    </row>
    <row r="81" spans="1:3" x14ac:dyDescent="0.25">
      <c r="A81" s="417">
        <v>41534</v>
      </c>
      <c r="B81" s="418">
        <v>4.9907407407407407E-2</v>
      </c>
      <c r="C81" s="421" t="s">
        <v>1238</v>
      </c>
    </row>
    <row r="82" spans="1:3" x14ac:dyDescent="0.25">
      <c r="A82" s="417">
        <v>41534</v>
      </c>
      <c r="B82" s="418">
        <v>4.9907407407407407E-2</v>
      </c>
      <c r="C82" s="421" t="s">
        <v>1239</v>
      </c>
    </row>
    <row r="83" spans="1:3" x14ac:dyDescent="0.25">
      <c r="A83" s="417">
        <v>41534</v>
      </c>
      <c r="B83" s="418">
        <v>5.1249999999999997E-2</v>
      </c>
      <c r="C83" s="421" t="s">
        <v>1239</v>
      </c>
    </row>
    <row r="84" spans="1:3" x14ac:dyDescent="0.25">
      <c r="A84" s="417">
        <v>41534</v>
      </c>
      <c r="B84" s="418">
        <v>5.5185185185185191E-2</v>
      </c>
      <c r="C84" s="421" t="s">
        <v>1239</v>
      </c>
    </row>
    <row r="85" spans="1:3" x14ac:dyDescent="0.25">
      <c r="A85" s="417">
        <v>41534</v>
      </c>
      <c r="B85" s="418">
        <v>5.5185185185185191E-2</v>
      </c>
      <c r="C85" s="421" t="s">
        <v>1237</v>
      </c>
    </row>
    <row r="86" spans="1:3" x14ac:dyDescent="0.25">
      <c r="A86" s="417">
        <v>41534</v>
      </c>
      <c r="B86" s="418">
        <v>5.5185185185185191E-2</v>
      </c>
      <c r="C86" s="421" t="s">
        <v>1238</v>
      </c>
    </row>
    <row r="87" spans="1:3" x14ac:dyDescent="0.25">
      <c r="A87" s="417">
        <v>41534</v>
      </c>
      <c r="B87" s="418">
        <v>5.5185185185185191E-2</v>
      </c>
      <c r="C87" s="421" t="s">
        <v>1239</v>
      </c>
    </row>
    <row r="88" spans="1:3" x14ac:dyDescent="0.25">
      <c r="A88" s="417">
        <v>41534</v>
      </c>
      <c r="B88" s="418">
        <v>5.559027777777778E-2</v>
      </c>
      <c r="C88" s="421" t="s">
        <v>1239</v>
      </c>
    </row>
    <row r="89" spans="1:3" x14ac:dyDescent="0.25">
      <c r="A89" s="417">
        <v>41534</v>
      </c>
      <c r="B89" s="418">
        <v>5.559027777777778E-2</v>
      </c>
      <c r="C89" s="421" t="s">
        <v>1237</v>
      </c>
    </row>
    <row r="90" spans="1:3" x14ac:dyDescent="0.25">
      <c r="A90" s="417">
        <v>41534</v>
      </c>
      <c r="B90" s="418">
        <v>5.559027777777778E-2</v>
      </c>
      <c r="C90" s="421" t="s">
        <v>1238</v>
      </c>
    </row>
    <row r="91" spans="1:3" x14ac:dyDescent="0.25">
      <c r="A91" s="417">
        <v>41534</v>
      </c>
      <c r="B91" s="418">
        <v>5.559027777777778E-2</v>
      </c>
      <c r="C91" s="421" t="s">
        <v>1239</v>
      </c>
    </row>
    <row r="92" spans="1:3" x14ac:dyDescent="0.25">
      <c r="A92" s="417">
        <v>41534</v>
      </c>
      <c r="B92" s="418">
        <v>6.1840277777777779E-2</v>
      </c>
      <c r="C92" s="421" t="s">
        <v>1239</v>
      </c>
    </row>
    <row r="93" spans="1:3" x14ac:dyDescent="0.25">
      <c r="A93" s="417">
        <v>41534</v>
      </c>
      <c r="B93" s="418">
        <v>6.1851851851851852E-2</v>
      </c>
      <c r="C93" s="421" t="s">
        <v>1237</v>
      </c>
    </row>
    <row r="94" spans="1:3" x14ac:dyDescent="0.25">
      <c r="A94" s="417">
        <v>41534</v>
      </c>
      <c r="B94" s="418">
        <v>6.1851851851851852E-2</v>
      </c>
      <c r="C94" s="421" t="s">
        <v>1238</v>
      </c>
    </row>
    <row r="95" spans="1:3" x14ac:dyDescent="0.25">
      <c r="A95" s="417">
        <v>41534</v>
      </c>
      <c r="B95" s="418">
        <v>6.1851851851851852E-2</v>
      </c>
      <c r="C95" s="421" t="s">
        <v>1239</v>
      </c>
    </row>
    <row r="96" spans="1:3" x14ac:dyDescent="0.25">
      <c r="A96" s="417">
        <v>41534</v>
      </c>
      <c r="B96" s="418">
        <v>6.2685185185185191E-2</v>
      </c>
      <c r="C96" s="421" t="s">
        <v>1239</v>
      </c>
    </row>
    <row r="97" spans="1:3" x14ac:dyDescent="0.25">
      <c r="A97" s="417">
        <v>41534</v>
      </c>
      <c r="B97" s="418">
        <v>6.2685185185185191E-2</v>
      </c>
      <c r="C97" s="421" t="s">
        <v>1237</v>
      </c>
    </row>
    <row r="98" spans="1:3" x14ac:dyDescent="0.25">
      <c r="A98" s="417">
        <v>41534</v>
      </c>
      <c r="B98" s="418">
        <v>6.2685185185185191E-2</v>
      </c>
      <c r="C98" s="421" t="s">
        <v>1238</v>
      </c>
    </row>
    <row r="99" spans="1:3" x14ac:dyDescent="0.25">
      <c r="A99" s="417">
        <v>41534</v>
      </c>
      <c r="B99" s="418">
        <v>6.2685185185185191E-2</v>
      </c>
      <c r="C99" s="421" t="s">
        <v>1239</v>
      </c>
    </row>
    <row r="100" spans="1:3" x14ac:dyDescent="0.25">
      <c r="A100" s="417">
        <v>41534</v>
      </c>
      <c r="B100" s="418">
        <v>6.8032407407407403E-2</v>
      </c>
      <c r="C100" s="421" t="s">
        <v>1239</v>
      </c>
    </row>
    <row r="101" spans="1:3" x14ac:dyDescent="0.25">
      <c r="A101" s="417">
        <v>41534</v>
      </c>
      <c r="B101" s="418">
        <v>6.8414351851851851E-2</v>
      </c>
      <c r="C101" s="421" t="s">
        <v>1237</v>
      </c>
    </row>
    <row r="102" spans="1:3" x14ac:dyDescent="0.25">
      <c r="A102" s="417">
        <v>41534</v>
      </c>
      <c r="B102" s="418">
        <v>6.8414351851851851E-2</v>
      </c>
      <c r="C102" s="421" t="s">
        <v>1238</v>
      </c>
    </row>
    <row r="103" spans="1:3" x14ac:dyDescent="0.25">
      <c r="A103" s="417">
        <v>41534</v>
      </c>
      <c r="B103" s="418">
        <v>6.8414351851851851E-2</v>
      </c>
      <c r="C103" s="421" t="s">
        <v>1239</v>
      </c>
    </row>
    <row r="104" spans="1:3" x14ac:dyDescent="0.25">
      <c r="A104" s="417">
        <v>41534</v>
      </c>
      <c r="B104" s="418">
        <v>6.9930555555555551E-2</v>
      </c>
      <c r="C104" s="421" t="s">
        <v>1239</v>
      </c>
    </row>
    <row r="105" spans="1:3" x14ac:dyDescent="0.25">
      <c r="A105" s="417">
        <v>41534</v>
      </c>
      <c r="B105" s="418">
        <v>6.9942129629629632E-2</v>
      </c>
      <c r="C105" s="421" t="s">
        <v>1237</v>
      </c>
    </row>
    <row r="106" spans="1:3" x14ac:dyDescent="0.25">
      <c r="A106" s="417">
        <v>41534</v>
      </c>
      <c r="B106" s="418">
        <v>6.9942129629629632E-2</v>
      </c>
      <c r="C106" s="421" t="s">
        <v>1238</v>
      </c>
    </row>
    <row r="107" spans="1:3" x14ac:dyDescent="0.25">
      <c r="A107" s="417">
        <v>41534</v>
      </c>
      <c r="B107" s="418">
        <v>6.9942129629629632E-2</v>
      </c>
      <c r="C107" s="421" t="s">
        <v>1239</v>
      </c>
    </row>
    <row r="108" spans="1:3" x14ac:dyDescent="0.25">
      <c r="A108" s="417">
        <v>41534</v>
      </c>
      <c r="B108" s="418">
        <v>7.2615740740740745E-2</v>
      </c>
      <c r="C108" s="421" t="s">
        <v>1239</v>
      </c>
    </row>
    <row r="109" spans="1:3" x14ac:dyDescent="0.25">
      <c r="A109" s="417">
        <v>41534</v>
      </c>
      <c r="B109" s="418">
        <v>7.2627314814814811E-2</v>
      </c>
      <c r="C109" s="421" t="s">
        <v>1237</v>
      </c>
    </row>
    <row r="110" spans="1:3" x14ac:dyDescent="0.25">
      <c r="A110" s="417">
        <v>41534</v>
      </c>
      <c r="B110" s="418">
        <v>7.2627314814814811E-2</v>
      </c>
      <c r="C110" s="421" t="s">
        <v>1238</v>
      </c>
    </row>
    <row r="111" spans="1:3" x14ac:dyDescent="0.25">
      <c r="A111" s="417">
        <v>41534</v>
      </c>
      <c r="B111" s="418">
        <v>7.2627314814814811E-2</v>
      </c>
      <c r="C111" s="421" t="s">
        <v>1239</v>
      </c>
    </row>
    <row r="112" spans="1:3" x14ac:dyDescent="0.25">
      <c r="A112" s="417">
        <v>41534</v>
      </c>
      <c r="B112" s="418">
        <v>7.9236111111111118E-2</v>
      </c>
      <c r="C112" s="421" t="s">
        <v>1239</v>
      </c>
    </row>
    <row r="113" spans="1:3" x14ac:dyDescent="0.25">
      <c r="A113" s="417">
        <v>41534</v>
      </c>
      <c r="B113" s="418">
        <v>7.9374999999999987E-2</v>
      </c>
      <c r="C113" s="421" t="s">
        <v>1237</v>
      </c>
    </row>
    <row r="114" spans="1:3" x14ac:dyDescent="0.25">
      <c r="A114" s="417">
        <v>41534</v>
      </c>
      <c r="B114" s="418">
        <v>7.9374999999999987E-2</v>
      </c>
      <c r="C114" s="421" t="s">
        <v>1238</v>
      </c>
    </row>
    <row r="115" spans="1:3" x14ac:dyDescent="0.25">
      <c r="A115" s="417">
        <v>41534</v>
      </c>
      <c r="B115" s="418">
        <v>7.9398148148148148E-2</v>
      </c>
      <c r="C115" s="421" t="s">
        <v>1239</v>
      </c>
    </row>
    <row r="116" spans="1:3" x14ac:dyDescent="0.25">
      <c r="A116" s="417">
        <v>41534</v>
      </c>
      <c r="B116" s="418">
        <v>8.0914351851851848E-2</v>
      </c>
      <c r="C116" s="421" t="s">
        <v>1239</v>
      </c>
    </row>
    <row r="117" spans="1:3" x14ac:dyDescent="0.25">
      <c r="A117" s="417">
        <v>41534</v>
      </c>
      <c r="B117" s="418">
        <v>8.1018518518518517E-2</v>
      </c>
      <c r="C117" s="421" t="s">
        <v>1237</v>
      </c>
    </row>
    <row r="118" spans="1:3" x14ac:dyDescent="0.25">
      <c r="A118" s="417">
        <v>41534</v>
      </c>
      <c r="B118" s="418">
        <v>8.1018518518518517E-2</v>
      </c>
      <c r="C118" s="421" t="s">
        <v>1238</v>
      </c>
    </row>
    <row r="119" spans="1:3" x14ac:dyDescent="0.25">
      <c r="A119" s="417">
        <v>41534</v>
      </c>
      <c r="B119" s="418">
        <v>8.1041666666666665E-2</v>
      </c>
      <c r="C119" s="421" t="s">
        <v>1239</v>
      </c>
    </row>
    <row r="120" spans="1:3" x14ac:dyDescent="0.25">
      <c r="A120" s="417">
        <v>41534</v>
      </c>
      <c r="B120" s="418">
        <v>8.143518518518518E-2</v>
      </c>
      <c r="C120" s="421" t="s">
        <v>1239</v>
      </c>
    </row>
    <row r="121" spans="1:3" x14ac:dyDescent="0.25">
      <c r="A121" s="417">
        <v>41534</v>
      </c>
      <c r="B121" s="418">
        <v>8.1504629629629635E-2</v>
      </c>
      <c r="C121" s="421" t="s">
        <v>1237</v>
      </c>
    </row>
    <row r="122" spans="1:3" x14ac:dyDescent="0.25">
      <c r="A122" s="417">
        <v>41534</v>
      </c>
      <c r="B122" s="418">
        <v>8.1504629629629635E-2</v>
      </c>
      <c r="C122" s="421" t="s">
        <v>1238</v>
      </c>
    </row>
    <row r="123" spans="1:3" x14ac:dyDescent="0.25">
      <c r="A123" s="417">
        <v>41534</v>
      </c>
      <c r="B123" s="418">
        <v>8.1527777777777768E-2</v>
      </c>
      <c r="C123" s="421" t="s">
        <v>1239</v>
      </c>
    </row>
    <row r="124" spans="1:3" ht="60" x14ac:dyDescent="0.25">
      <c r="A124" s="417">
        <v>41534</v>
      </c>
      <c r="B124" s="418">
        <v>0.93855324074074076</v>
      </c>
      <c r="C124" s="946" t="s">
        <v>1264</v>
      </c>
    </row>
    <row r="125" spans="1:3" ht="45" x14ac:dyDescent="0.25">
      <c r="A125" s="417">
        <v>41534</v>
      </c>
      <c r="B125" s="418">
        <v>0.9529050925925926</v>
      </c>
      <c r="C125" s="946" t="s">
        <v>1265</v>
      </c>
    </row>
    <row r="126" spans="1:3" ht="45" x14ac:dyDescent="0.25">
      <c r="A126" s="417">
        <v>41534</v>
      </c>
      <c r="B126" s="418">
        <v>0.96237268518518515</v>
      </c>
      <c r="C126" s="946" t="s">
        <v>1266</v>
      </c>
    </row>
    <row r="127" spans="1:3" ht="45" x14ac:dyDescent="0.25">
      <c r="A127" s="417">
        <v>41534</v>
      </c>
      <c r="B127" s="418">
        <v>0.96453703703703697</v>
      </c>
      <c r="C127" s="946" t="s">
        <v>1267</v>
      </c>
    </row>
    <row r="128" spans="1:3" ht="60" x14ac:dyDescent="0.25">
      <c r="A128" s="417">
        <v>41534</v>
      </c>
      <c r="B128" s="418">
        <v>0.97200231481481481</v>
      </c>
      <c r="C128" s="946" t="s">
        <v>1264</v>
      </c>
    </row>
    <row r="129" spans="1:3" x14ac:dyDescent="0.25">
      <c r="A129" s="417">
        <v>41534</v>
      </c>
      <c r="B129" s="418">
        <v>0.98201388888888896</v>
      </c>
      <c r="C129" s="421" t="s">
        <v>1268</v>
      </c>
    </row>
    <row r="130" spans="1:3" x14ac:dyDescent="0.25">
      <c r="A130" s="417">
        <v>41534</v>
      </c>
      <c r="B130" s="418">
        <v>0.98347222222222219</v>
      </c>
      <c r="C130" s="421" t="s">
        <v>1268</v>
      </c>
    </row>
    <row r="131" spans="1:3" ht="45" x14ac:dyDescent="0.25">
      <c r="A131" s="417">
        <v>41534</v>
      </c>
      <c r="B131" s="418">
        <v>0.984837962962963</v>
      </c>
      <c r="C131" s="946" t="s">
        <v>1267</v>
      </c>
    </row>
    <row r="132" spans="1:3" ht="45" x14ac:dyDescent="0.25">
      <c r="A132" s="417">
        <v>41534</v>
      </c>
      <c r="B132" s="418">
        <v>0.9903587962962962</v>
      </c>
      <c r="C132" s="946" t="s">
        <v>1267</v>
      </c>
    </row>
    <row r="133" spans="1:3" ht="45" x14ac:dyDescent="0.25">
      <c r="A133" s="417">
        <v>41534</v>
      </c>
      <c r="B133" s="418">
        <v>0.99189814814814825</v>
      </c>
      <c r="C133" s="946" t="s">
        <v>1267</v>
      </c>
    </row>
    <row r="134" spans="1:3" ht="45" x14ac:dyDescent="0.25">
      <c r="A134" s="417">
        <v>41534</v>
      </c>
      <c r="B134" s="418">
        <v>0.99381944444444448</v>
      </c>
      <c r="C134" s="946" t="s">
        <v>1267</v>
      </c>
    </row>
    <row r="135" spans="1:3" ht="45" x14ac:dyDescent="0.25">
      <c r="A135" s="417">
        <v>41535</v>
      </c>
      <c r="B135" s="418">
        <v>6.4699074074074069E-3</v>
      </c>
      <c r="C135" s="946" t="s">
        <v>1267</v>
      </c>
    </row>
    <row r="136" spans="1:3" ht="45" x14ac:dyDescent="0.25">
      <c r="A136" s="417">
        <v>41535</v>
      </c>
      <c r="B136" s="418">
        <v>8.7037037037037031E-3</v>
      </c>
      <c r="C136" s="946" t="s">
        <v>1267</v>
      </c>
    </row>
    <row r="137" spans="1:3" ht="45" x14ac:dyDescent="0.25">
      <c r="A137" s="417">
        <v>41535</v>
      </c>
      <c r="B137" s="418">
        <v>9.2708333333333341E-3</v>
      </c>
      <c r="C137" s="946" t="s">
        <v>1267</v>
      </c>
    </row>
    <row r="138" spans="1:3" ht="45" x14ac:dyDescent="0.25">
      <c r="A138" s="417">
        <v>41535</v>
      </c>
      <c r="B138" s="418">
        <v>1.6284722222222221E-2</v>
      </c>
      <c r="C138" s="946" t="s">
        <v>1267</v>
      </c>
    </row>
    <row r="139" spans="1:3" x14ac:dyDescent="0.25">
      <c r="A139" s="417">
        <v>41535</v>
      </c>
      <c r="B139" s="418">
        <v>1.6400462962962964E-2</v>
      </c>
      <c r="C139" s="421" t="s">
        <v>1269</v>
      </c>
    </row>
    <row r="140" spans="1:3" ht="45" x14ac:dyDescent="0.25">
      <c r="A140" s="417">
        <v>41535</v>
      </c>
      <c r="B140" s="418">
        <v>1.8298611111111113E-2</v>
      </c>
      <c r="C140" s="946" t="s">
        <v>1270</v>
      </c>
    </row>
    <row r="141" spans="1:3" ht="45" x14ac:dyDescent="0.25">
      <c r="A141" s="417">
        <v>41535</v>
      </c>
      <c r="B141" s="418">
        <v>3.2824074074074075E-2</v>
      </c>
      <c r="C141" s="946" t="s">
        <v>1267</v>
      </c>
    </row>
    <row r="142" spans="1:3" ht="45" x14ac:dyDescent="0.25">
      <c r="A142" s="417">
        <v>41535</v>
      </c>
      <c r="B142" s="418">
        <v>4.5150462962962962E-2</v>
      </c>
      <c r="C142" s="946" t="s">
        <v>1271</v>
      </c>
    </row>
    <row r="143" spans="1:3" ht="60" x14ac:dyDescent="0.25">
      <c r="A143" s="417">
        <v>41535</v>
      </c>
      <c r="B143" s="418">
        <v>4.5162037037037035E-2</v>
      </c>
      <c r="C143" s="946" t="s">
        <v>1272</v>
      </c>
    </row>
    <row r="144" spans="1:3" ht="60" x14ac:dyDescent="0.25">
      <c r="A144" s="417">
        <v>41535</v>
      </c>
      <c r="B144" s="418">
        <v>4.6817129629629632E-2</v>
      </c>
      <c r="C144" s="946" t="s">
        <v>1272</v>
      </c>
    </row>
    <row r="145" spans="1:3" ht="60" x14ac:dyDescent="0.25">
      <c r="A145" s="417">
        <v>41535</v>
      </c>
      <c r="B145" s="418">
        <v>4.8032407407407406E-2</v>
      </c>
      <c r="C145" s="946" t="s">
        <v>1272</v>
      </c>
    </row>
    <row r="146" spans="1:3" x14ac:dyDescent="0.25">
      <c r="A146" s="417">
        <v>41535</v>
      </c>
      <c r="B146" s="418">
        <v>5.0081018518518518E-2</v>
      </c>
      <c r="C146" s="421" t="s">
        <v>1273</v>
      </c>
    </row>
    <row r="147" spans="1:3" ht="60" x14ac:dyDescent="0.25">
      <c r="A147" s="417">
        <v>41535</v>
      </c>
      <c r="B147" s="418">
        <v>5.1238425925925923E-2</v>
      </c>
      <c r="C147" s="946" t="s">
        <v>1274</v>
      </c>
    </row>
    <row r="148" spans="1:3" ht="30" x14ac:dyDescent="0.25">
      <c r="A148" s="417">
        <v>41535</v>
      </c>
      <c r="B148" s="418">
        <v>5.393518518518519E-2</v>
      </c>
      <c r="C148" s="946" t="s">
        <v>1275</v>
      </c>
    </row>
    <row r="149" spans="1:3" ht="45" x14ac:dyDescent="0.25">
      <c r="A149" s="417">
        <v>41535</v>
      </c>
      <c r="B149" s="418">
        <v>5.4814814814814816E-2</v>
      </c>
      <c r="C149" s="946" t="s">
        <v>1276</v>
      </c>
    </row>
    <row r="150" spans="1:3" ht="30" x14ac:dyDescent="0.25">
      <c r="A150" s="417">
        <v>41535</v>
      </c>
      <c r="B150" s="418">
        <v>5.5243055555555559E-2</v>
      </c>
      <c r="C150" s="946" t="s">
        <v>1277</v>
      </c>
    </row>
    <row r="151" spans="1:3" ht="45" x14ac:dyDescent="0.25">
      <c r="A151" s="417">
        <v>41535</v>
      </c>
      <c r="B151" s="418">
        <v>5.7962962962962959E-2</v>
      </c>
      <c r="C151" s="946" t="s">
        <v>1278</v>
      </c>
    </row>
    <row r="152" spans="1:3" ht="45" x14ac:dyDescent="0.25">
      <c r="A152" s="417">
        <v>41535</v>
      </c>
      <c r="B152" s="418">
        <v>5.8773148148148151E-2</v>
      </c>
      <c r="C152" s="946" t="s">
        <v>1279</v>
      </c>
    </row>
    <row r="153" spans="1:3" ht="45" x14ac:dyDescent="0.25">
      <c r="A153" s="417">
        <v>41535</v>
      </c>
      <c r="B153" s="418">
        <v>5.9120370370370372E-2</v>
      </c>
      <c r="C153" s="946" t="s">
        <v>1280</v>
      </c>
    </row>
    <row r="154" spans="1:3" ht="30" x14ac:dyDescent="0.25">
      <c r="A154" s="417">
        <v>41535</v>
      </c>
      <c r="B154" s="418">
        <v>5.9305555555555556E-2</v>
      </c>
      <c r="C154" s="946" t="s">
        <v>1281</v>
      </c>
    </row>
    <row r="155" spans="1:3" ht="45" x14ac:dyDescent="0.25">
      <c r="A155" s="417">
        <v>41535</v>
      </c>
      <c r="B155" s="418">
        <v>6.267361111111111E-2</v>
      </c>
      <c r="C155" s="946" t="s">
        <v>1282</v>
      </c>
    </row>
    <row r="156" spans="1:3" ht="45" x14ac:dyDescent="0.25">
      <c r="A156" s="417">
        <v>41535</v>
      </c>
      <c r="B156" s="418">
        <v>6.2708333333333324E-2</v>
      </c>
      <c r="C156" s="946" t="s">
        <v>1283</v>
      </c>
    </row>
    <row r="157" spans="1:3" ht="45" x14ac:dyDescent="0.25">
      <c r="A157" s="417">
        <v>41535</v>
      </c>
      <c r="B157" s="418">
        <v>6.4837962962962958E-2</v>
      </c>
      <c r="C157" s="946" t="s">
        <v>1284</v>
      </c>
    </row>
    <row r="158" spans="1:3" ht="45" x14ac:dyDescent="0.25">
      <c r="A158" s="417">
        <v>41535</v>
      </c>
      <c r="B158" s="418">
        <v>6.4861111111111105E-2</v>
      </c>
      <c r="C158" s="946" t="s">
        <v>1285</v>
      </c>
    </row>
    <row r="159" spans="1:3" ht="45" x14ac:dyDescent="0.25">
      <c r="A159" s="417">
        <v>41535</v>
      </c>
      <c r="B159" s="418">
        <v>7.0740740740740743E-2</v>
      </c>
      <c r="C159" s="946" t="s">
        <v>1286</v>
      </c>
    </row>
    <row r="160" spans="1:3" ht="30" x14ac:dyDescent="0.25">
      <c r="A160" s="417">
        <v>41535</v>
      </c>
      <c r="B160" s="418">
        <v>7.0960648148148148E-2</v>
      </c>
      <c r="C160" s="946" t="s">
        <v>1287</v>
      </c>
    </row>
    <row r="161" spans="1:3" ht="45" x14ac:dyDescent="0.25">
      <c r="A161" s="417">
        <v>41535</v>
      </c>
      <c r="B161" s="418">
        <v>7.7754629629629632E-2</v>
      </c>
      <c r="C161" s="946" t="s">
        <v>1288</v>
      </c>
    </row>
    <row r="162" spans="1:3" ht="30" x14ac:dyDescent="0.25">
      <c r="A162" s="417">
        <v>41535</v>
      </c>
      <c r="B162" s="418">
        <v>7.7754629629629632E-2</v>
      </c>
      <c r="C162" s="946" t="s">
        <v>1289</v>
      </c>
    </row>
    <row r="163" spans="1:3" ht="45" x14ac:dyDescent="0.25">
      <c r="A163" s="417">
        <v>41535</v>
      </c>
      <c r="B163" s="418">
        <v>7.8842592592592589E-2</v>
      </c>
      <c r="C163" s="946" t="s">
        <v>1288</v>
      </c>
    </row>
    <row r="164" spans="1:3" ht="30" x14ac:dyDescent="0.25">
      <c r="A164" s="417">
        <v>41535</v>
      </c>
      <c r="B164" s="418">
        <v>7.8958333333333339E-2</v>
      </c>
      <c r="C164" s="946" t="s">
        <v>1290</v>
      </c>
    </row>
    <row r="165" spans="1:3" ht="45" x14ac:dyDescent="0.25">
      <c r="A165" s="417">
        <v>41535</v>
      </c>
      <c r="B165" s="418">
        <v>7.9062499999999994E-2</v>
      </c>
      <c r="C165" s="946" t="s">
        <v>1291</v>
      </c>
    </row>
    <row r="166" spans="1:3" ht="45" x14ac:dyDescent="0.25">
      <c r="A166" s="417">
        <v>41535</v>
      </c>
      <c r="B166" s="418">
        <v>7.9756944444444436E-2</v>
      </c>
      <c r="C166" s="946" t="s">
        <v>1292</v>
      </c>
    </row>
    <row r="167" spans="1:3" ht="45" x14ac:dyDescent="0.25">
      <c r="A167" s="417">
        <v>41535</v>
      </c>
      <c r="B167" s="418">
        <v>8.1076388888888892E-2</v>
      </c>
      <c r="C167" s="946" t="s">
        <v>1288</v>
      </c>
    </row>
    <row r="168" spans="1:3" ht="30" x14ac:dyDescent="0.25">
      <c r="A168" s="417">
        <v>41535</v>
      </c>
      <c r="B168" s="418">
        <v>8.1168981481481481E-2</v>
      </c>
      <c r="C168" s="946" t="s">
        <v>1293</v>
      </c>
    </row>
    <row r="169" spans="1:3" ht="45" x14ac:dyDescent="0.25">
      <c r="A169" s="417">
        <v>41535</v>
      </c>
      <c r="B169" s="418">
        <v>8.1273148148148136E-2</v>
      </c>
      <c r="C169" s="946" t="s">
        <v>1294</v>
      </c>
    </row>
    <row r="170" spans="1:3" ht="45" x14ac:dyDescent="0.25">
      <c r="A170" s="417">
        <v>41535</v>
      </c>
      <c r="B170" s="418">
        <v>8.2592592592592592E-2</v>
      </c>
      <c r="C170" s="946" t="s">
        <v>1295</v>
      </c>
    </row>
    <row r="171" spans="1:3" ht="45" x14ac:dyDescent="0.25">
      <c r="A171" s="417">
        <v>41535</v>
      </c>
      <c r="B171" s="418">
        <v>8.3506944444444453E-2</v>
      </c>
      <c r="C171" s="946" t="s">
        <v>1296</v>
      </c>
    </row>
    <row r="172" spans="1:3" ht="45" x14ac:dyDescent="0.25">
      <c r="A172" s="417">
        <v>41535</v>
      </c>
      <c r="B172" s="418">
        <v>8.4317129629629631E-2</v>
      </c>
      <c r="C172" s="946" t="s">
        <v>1297</v>
      </c>
    </row>
    <row r="173" spans="1:3" ht="60" x14ac:dyDescent="0.25">
      <c r="A173" s="417">
        <v>41535</v>
      </c>
      <c r="B173" s="418">
        <v>8.5231481481481478E-2</v>
      </c>
      <c r="C173" s="946" t="s">
        <v>1298</v>
      </c>
    </row>
    <row r="174" spans="1:3" ht="30" x14ac:dyDescent="0.25">
      <c r="A174" s="417">
        <v>41535</v>
      </c>
      <c r="B174" s="418">
        <v>8.6608796296296295E-2</v>
      </c>
      <c r="C174" s="946" t="s">
        <v>1299</v>
      </c>
    </row>
    <row r="175" spans="1:3" ht="45" x14ac:dyDescent="0.25">
      <c r="A175" s="417">
        <v>41535</v>
      </c>
      <c r="B175" s="418">
        <v>8.8935185185185187E-2</v>
      </c>
      <c r="C175" s="946" t="s">
        <v>1300</v>
      </c>
    </row>
    <row r="176" spans="1:3" ht="60" x14ac:dyDescent="0.25">
      <c r="A176" s="417">
        <v>41535</v>
      </c>
      <c r="B176" s="418">
        <v>0.1149074074074074</v>
      </c>
      <c r="C176" s="946" t="s">
        <v>1302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1"/>
  <sheetViews>
    <sheetView zoomScale="80" zoomScaleNormal="8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F10" sqref="AF10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2" s="423" customFormat="1" ht="15.75" thickBot="1" x14ac:dyDescent="0.3">
      <c r="A1" s="422">
        <v>41517</v>
      </c>
    </row>
    <row r="2" spans="1:42" s="423" customFormat="1" ht="19.5" x14ac:dyDescent="0.3">
      <c r="C2" s="424" t="s">
        <v>738</v>
      </c>
    </row>
    <row r="3" spans="1:42" s="423" customFormat="1" x14ac:dyDescent="0.25"/>
    <row r="4" spans="1:42" s="423" customFormat="1" x14ac:dyDescent="0.25">
      <c r="A4" s="423" t="s">
        <v>1199</v>
      </c>
    </row>
    <row r="5" spans="1:42" s="423" customFormat="1" ht="15.75" thickBot="1" x14ac:dyDescent="0.3">
      <c r="A5" s="866">
        <v>41517</v>
      </c>
      <c r="B5" s="423" t="s">
        <v>1213</v>
      </c>
    </row>
    <row r="6" spans="1:42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1244</v>
      </c>
      <c r="AF6" s="864" t="s">
        <v>1212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2" s="423" customFormat="1" x14ac:dyDescent="0.25">
      <c r="A7" s="430" t="s">
        <v>1214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2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1245</v>
      </c>
      <c r="AF8" s="865" t="s">
        <v>924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2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Process!F80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2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1246</v>
      </c>
      <c r="AF10" s="863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2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1252</v>
      </c>
      <c r="AF11" s="608"/>
      <c r="AM11" s="447" t="s">
        <v>784</v>
      </c>
      <c r="AP11" s="447" t="s">
        <v>784</v>
      </c>
    </row>
    <row r="12" spans="1:42" s="423" customFormat="1" x14ac:dyDescent="0.25">
      <c r="Z12" s="438"/>
    </row>
    <row r="13" spans="1:42" s="423" customFormat="1" ht="15.75" thickBot="1" x14ac:dyDescent="0.3">
      <c r="A13" s="423" t="s">
        <v>785</v>
      </c>
      <c r="Z13" s="438"/>
    </row>
    <row r="14" spans="1:42" s="448" customFormat="1" ht="15.75" thickBot="1" x14ac:dyDescent="0.3">
      <c r="F14" s="449"/>
      <c r="G14" s="450"/>
      <c r="H14" s="449"/>
      <c r="I14" s="451" t="s">
        <v>786</v>
      </c>
      <c r="J14" s="452"/>
      <c r="K14" s="453"/>
      <c r="L14" s="454"/>
      <c r="M14" s="454"/>
      <c r="N14" s="454"/>
      <c r="O14" s="454"/>
      <c r="P14" s="454"/>
      <c r="Q14" s="454"/>
      <c r="R14" s="455">
        <f>SUM(R$2:R12)</f>
        <v>0</v>
      </c>
      <c r="S14" s="456"/>
      <c r="V14" s="457" t="s">
        <v>787</v>
      </c>
      <c r="W14" s="458"/>
      <c r="X14" s="458"/>
      <c r="Y14" s="459">
        <f>1 - COUNTIF(A$2:A12,"")/COUNTA(A$2:A12)</f>
        <v>0.625</v>
      </c>
      <c r="Z14" s="457" t="s">
        <v>788</v>
      </c>
      <c r="AA14" s="455">
        <f>R14-SUMIF(B$2:B12,"1",R$2:R12)</f>
        <v>0</v>
      </c>
      <c r="AB14" s="460" t="e">
        <f>AA14/R14</f>
        <v>#DIV/0!</v>
      </c>
      <c r="AC14" s="461" t="e">
        <f>1-AB14</f>
        <v>#DIV/0!</v>
      </c>
    </row>
    <row r="15" spans="1:42" s="423" customFormat="1" x14ac:dyDescent="0.25"/>
    <row r="16" spans="1:42" s="423" customFormat="1" x14ac:dyDescent="0.25">
      <c r="A16" s="423" t="s">
        <v>789</v>
      </c>
    </row>
    <row r="17" spans="1:27" s="423" customFormat="1" ht="15.75" thickBot="1" x14ac:dyDescent="0.3">
      <c r="B17" s="423" t="s">
        <v>790</v>
      </c>
    </row>
    <row r="18" spans="1:27" s="440" customFormat="1" ht="60.75" thickBot="1" x14ac:dyDescent="0.3">
      <c r="A18" s="425" t="s">
        <v>739</v>
      </c>
      <c r="B18" s="462" t="s">
        <v>791</v>
      </c>
      <c r="C18" s="463" t="s">
        <v>792</v>
      </c>
      <c r="D18" s="463" t="s">
        <v>793</v>
      </c>
      <c r="E18" s="464" t="s">
        <v>794</v>
      </c>
      <c r="F18" s="465" t="s">
        <v>795</v>
      </c>
      <c r="G18" s="466" t="s">
        <v>796</v>
      </c>
      <c r="H18" s="467" t="s">
        <v>797</v>
      </c>
      <c r="I18" s="468"/>
      <c r="J18" s="469"/>
      <c r="K18" s="470" t="s">
        <v>43</v>
      </c>
      <c r="L18" s="470"/>
      <c r="M18" s="471" t="s">
        <v>46</v>
      </c>
      <c r="N18" s="469" t="s">
        <v>753</v>
      </c>
      <c r="O18" s="469" t="s">
        <v>108</v>
      </c>
      <c r="P18" s="469" t="s">
        <v>798</v>
      </c>
      <c r="Q18" s="469" t="s">
        <v>799</v>
      </c>
      <c r="R18" s="469" t="s">
        <v>800</v>
      </c>
      <c r="S18" s="469" t="s">
        <v>801</v>
      </c>
      <c r="T18" s="470" t="s">
        <v>802</v>
      </c>
      <c r="U18" s="472" t="s">
        <v>803</v>
      </c>
      <c r="V18" s="472" t="s">
        <v>804</v>
      </c>
      <c r="W18" s="472" t="s">
        <v>805</v>
      </c>
      <c r="X18" s="469" t="s">
        <v>806</v>
      </c>
      <c r="Y18" s="469" t="s">
        <v>807</v>
      </c>
      <c r="Z18" s="469" t="s">
        <v>761</v>
      </c>
      <c r="AA18" s="469" t="s">
        <v>808</v>
      </c>
    </row>
    <row r="19" spans="1:27" s="423" customFormat="1" ht="18" customHeight="1" x14ac:dyDescent="0.25">
      <c r="A19" s="430" t="s">
        <v>1214</v>
      </c>
      <c r="B19" s="473" t="s">
        <v>168</v>
      </c>
      <c r="C19" s="474" t="s">
        <v>809</v>
      </c>
      <c r="D19" s="475"/>
      <c r="E19" s="476">
        <v>1</v>
      </c>
      <c r="F19" s="477" t="str">
        <f>IF(AND(U19=W19,W19&gt;0),"1","")</f>
        <v/>
      </c>
      <c r="G19" s="478" t="str">
        <f>IF(U19=V19,"1","")</f>
        <v/>
      </c>
      <c r="H19" s="479"/>
      <c r="I19" s="480" t="str">
        <f>IF(S19="",TRIM(K19),TRIM(MID(S19,9,55))&amp;"/"&amp;TRIM(K19))</f>
        <v>2009-1-065</v>
      </c>
      <c r="J19" s="481"/>
      <c r="K19" s="482" t="s">
        <v>810</v>
      </c>
      <c r="L19" s="482"/>
      <c r="M19" s="483">
        <v>40058</v>
      </c>
      <c r="N19" s="481" t="s">
        <v>251</v>
      </c>
      <c r="O19" s="481" t="s">
        <v>373</v>
      </c>
      <c r="P19" s="481" t="s">
        <v>811</v>
      </c>
      <c r="Q19" s="481"/>
      <c r="R19" s="481" t="s">
        <v>812</v>
      </c>
      <c r="S19" s="481"/>
      <c r="T19" s="482" t="s">
        <v>813</v>
      </c>
      <c r="U19" s="484">
        <v>324000</v>
      </c>
      <c r="V19" s="484">
        <v>0</v>
      </c>
      <c r="W19" s="484">
        <v>0</v>
      </c>
      <c r="X19" s="481" t="s">
        <v>392</v>
      </c>
      <c r="Y19" s="485"/>
      <c r="Z19" s="485" t="s">
        <v>814</v>
      </c>
      <c r="AA19" s="481" t="s">
        <v>815</v>
      </c>
    </row>
    <row r="20" spans="1:27" s="423" customFormat="1" x14ac:dyDescent="0.25">
      <c r="A20" s="425" t="s">
        <v>769</v>
      </c>
      <c r="B20" s="436">
        <v>0.5</v>
      </c>
      <c r="C20" s="436">
        <v>8</v>
      </c>
      <c r="D20" s="423">
        <v>6</v>
      </c>
      <c r="E20" s="436">
        <v>5</v>
      </c>
      <c r="F20" s="437">
        <v>2</v>
      </c>
      <c r="G20" s="436">
        <v>2</v>
      </c>
      <c r="H20" s="436">
        <v>2</v>
      </c>
      <c r="I20" s="423">
        <v>0.5</v>
      </c>
      <c r="J20" s="423">
        <v>0.5</v>
      </c>
      <c r="K20" s="436">
        <v>10</v>
      </c>
      <c r="L20" s="438">
        <v>0.7</v>
      </c>
      <c r="M20" s="438">
        <v>10</v>
      </c>
      <c r="N20" s="438">
        <v>7</v>
      </c>
      <c r="O20" s="438">
        <v>10</v>
      </c>
      <c r="P20" s="438">
        <v>20</v>
      </c>
      <c r="Q20" s="438">
        <v>12</v>
      </c>
      <c r="R20" s="438">
        <v>12</v>
      </c>
      <c r="S20" s="438">
        <v>10</v>
      </c>
      <c r="T20" s="438">
        <v>8</v>
      </c>
      <c r="U20" s="439">
        <v>12</v>
      </c>
      <c r="V20" s="438">
        <v>11</v>
      </c>
      <c r="W20" s="438">
        <v>11</v>
      </c>
      <c r="X20" s="438">
        <v>10</v>
      </c>
      <c r="Y20" s="438">
        <v>12</v>
      </c>
      <c r="Z20" s="438">
        <v>20</v>
      </c>
      <c r="AA20" s="438">
        <v>10</v>
      </c>
    </row>
    <row r="21" spans="1:27" s="423" customFormat="1" x14ac:dyDescent="0.25">
      <c r="A21" s="425" t="s">
        <v>771</v>
      </c>
      <c r="B21" s="436">
        <v>15</v>
      </c>
      <c r="C21" s="436">
        <v>8</v>
      </c>
      <c r="D21" s="423">
        <v>8</v>
      </c>
      <c r="E21" s="436"/>
      <c r="F21" s="437"/>
      <c r="G21" s="436"/>
      <c r="H21" s="436">
        <v>8</v>
      </c>
      <c r="K21" s="436"/>
      <c r="L21" s="438"/>
      <c r="M21" s="438"/>
      <c r="N21" s="438"/>
      <c r="O21" s="438"/>
      <c r="P21" s="438"/>
      <c r="Q21" s="438"/>
      <c r="R21" s="438"/>
      <c r="S21" s="438"/>
      <c r="T21" s="438"/>
      <c r="U21" s="439"/>
      <c r="V21" s="438"/>
      <c r="W21" s="438"/>
      <c r="X21" s="438"/>
      <c r="Y21" s="438"/>
      <c r="Z21" s="438"/>
      <c r="AA21" s="438"/>
    </row>
    <row r="22" spans="1:27" s="423" customFormat="1" x14ac:dyDescent="0.25">
      <c r="A22" s="425" t="s">
        <v>772</v>
      </c>
      <c r="B22" s="436"/>
      <c r="C22" s="436"/>
      <c r="E22" s="436"/>
      <c r="F22" s="437"/>
      <c r="G22" s="436"/>
      <c r="H22" s="436"/>
      <c r="K22" s="436"/>
      <c r="L22" s="438"/>
      <c r="M22" s="438"/>
      <c r="N22" s="438"/>
      <c r="O22" s="438"/>
      <c r="P22" s="438"/>
      <c r="Q22" s="438"/>
      <c r="R22" s="438"/>
      <c r="S22" s="438"/>
      <c r="T22" s="438"/>
      <c r="U22" s="439"/>
      <c r="V22" s="438"/>
      <c r="W22" s="438"/>
      <c r="X22" s="438"/>
      <c r="Y22" s="438"/>
      <c r="Z22" s="438"/>
      <c r="AA22" s="438"/>
    </row>
    <row r="23" spans="1:27" s="423" customFormat="1" x14ac:dyDescent="0.25">
      <c r="A23" s="425" t="s">
        <v>780</v>
      </c>
      <c r="B23" s="436" t="s">
        <v>781</v>
      </c>
      <c r="C23" s="436" t="s">
        <v>816</v>
      </c>
      <c r="D23" s="423" t="s">
        <v>817</v>
      </c>
      <c r="E23" s="436"/>
      <c r="F23" s="437"/>
      <c r="G23" s="436"/>
      <c r="H23" s="436" t="s">
        <v>818</v>
      </c>
      <c r="K23" s="436"/>
      <c r="L23" s="438"/>
      <c r="M23" s="438"/>
      <c r="N23" s="438"/>
      <c r="O23" s="438"/>
      <c r="P23" s="438"/>
      <c r="Q23" s="438"/>
      <c r="R23" s="438"/>
      <c r="S23" s="438"/>
      <c r="T23" s="438"/>
      <c r="U23" s="439"/>
      <c r="V23" s="438"/>
      <c r="W23" s="438"/>
      <c r="X23" s="438"/>
      <c r="Y23" s="438"/>
      <c r="Z23" s="438"/>
      <c r="AA23" s="438"/>
    </row>
    <row r="24" spans="1:27" s="423" customFormat="1" x14ac:dyDescent="0.25">
      <c r="A24" s="436"/>
      <c r="B24" s="436"/>
      <c r="D24" s="436"/>
      <c r="E24" s="437"/>
      <c r="F24" s="438"/>
      <c r="G24" s="438"/>
      <c r="H24" s="438"/>
      <c r="I24" s="438"/>
      <c r="J24" s="438"/>
      <c r="K24" s="438"/>
      <c r="L24" s="438"/>
      <c r="M24" s="438"/>
      <c r="N24" s="438"/>
      <c r="O24" s="438"/>
      <c r="P24" s="438"/>
      <c r="Q24" s="438"/>
      <c r="R24" s="438"/>
      <c r="S24" s="438"/>
      <c r="T24" s="438"/>
      <c r="U24" s="438"/>
      <c r="V24" s="438"/>
      <c r="W24" s="438"/>
      <c r="X24" s="438"/>
      <c r="Y24" s="438"/>
      <c r="Z24" s="438"/>
    </row>
    <row r="25" spans="1:27" s="423" customFormat="1" x14ac:dyDescent="0.25">
      <c r="A25" s="423" t="s">
        <v>819</v>
      </c>
    </row>
    <row r="26" spans="1:27" s="423" customFormat="1" ht="15.75" thickBot="1" x14ac:dyDescent="0.3">
      <c r="A26" s="486">
        <v>41504</v>
      </c>
      <c r="B26" s="423" t="s">
        <v>820</v>
      </c>
    </row>
    <row r="27" spans="1:27" s="503" customFormat="1" ht="15" customHeight="1" x14ac:dyDescent="0.25">
      <c r="A27" s="487"/>
      <c r="B27" s="488" t="s">
        <v>821</v>
      </c>
      <c r="C27" s="489">
        <f>COUNTIF(B$1:B25,B27)</f>
        <v>0</v>
      </c>
      <c r="D27" s="490" t="e">
        <f>C27/C32</f>
        <v>#DIV/0!</v>
      </c>
      <c r="E27" s="491"/>
      <c r="F27" s="492"/>
      <c r="G27" s="493"/>
      <c r="H27" s="493"/>
      <c r="I27" s="494"/>
      <c r="J27" s="495">
        <f>SUMIF(B$2:B25,B27,T$2:T25)</f>
        <v>0</v>
      </c>
      <c r="K27" s="496"/>
      <c r="L27" s="497" t="e">
        <f>J27/J32</f>
        <v>#DIV/0!</v>
      </c>
      <c r="M27" s="498"/>
      <c r="N27" s="498"/>
      <c r="O27" s="498"/>
      <c r="P27" s="499"/>
      <c r="Q27" s="499"/>
      <c r="R27" s="499"/>
      <c r="S27" s="500" t="s">
        <v>786</v>
      </c>
      <c r="T27" s="501">
        <f>SUM(T$1:T26)</f>
        <v>48</v>
      </c>
      <c r="U27" s="501">
        <f>SUM(U$1:U26)</f>
        <v>324012</v>
      </c>
      <c r="V27" s="501">
        <f>SUM(V$1:V26)</f>
        <v>11</v>
      </c>
      <c r="W27" s="499" t="s">
        <v>822</v>
      </c>
      <c r="X27" s="502"/>
      <c r="Y27" s="502"/>
      <c r="Z27" s="499"/>
    </row>
    <row r="28" spans="1:27" s="503" customFormat="1" ht="15" customHeight="1" x14ac:dyDescent="0.25">
      <c r="A28" s="487"/>
      <c r="B28" s="504" t="s">
        <v>823</v>
      </c>
      <c r="C28" s="505">
        <f>COUNTIF(B$1:B25,B28)</f>
        <v>0</v>
      </c>
      <c r="D28" s="506" t="e">
        <f>C28/C32</f>
        <v>#DIV/0!</v>
      </c>
      <c r="E28" s="491"/>
      <c r="F28" s="492"/>
      <c r="G28" s="493"/>
      <c r="H28" s="493"/>
      <c r="I28" s="494"/>
      <c r="J28" s="507">
        <f>SUMIF(B$2:B25,B28,T$2:T25)</f>
        <v>0</v>
      </c>
      <c r="K28" s="508"/>
      <c r="L28" s="509" t="e">
        <f>J28/J32</f>
        <v>#DIV/0!</v>
      </c>
      <c r="M28" s="498"/>
      <c r="N28" s="498"/>
      <c r="O28" s="498"/>
      <c r="S28" s="510"/>
      <c r="T28" s="511"/>
      <c r="U28" s="511"/>
      <c r="V28" s="511"/>
      <c r="X28" s="512"/>
      <c r="Y28" s="512"/>
    </row>
    <row r="29" spans="1:27" s="503" customFormat="1" ht="15" customHeight="1" x14ac:dyDescent="0.25">
      <c r="A29" s="487"/>
      <c r="B29" s="513" t="s">
        <v>824</v>
      </c>
      <c r="C29" s="514">
        <f>COUNTIF(B$1:B25,B29)</f>
        <v>0</v>
      </c>
      <c r="D29" s="515" t="e">
        <f>C29/C32</f>
        <v>#DIV/0!</v>
      </c>
      <c r="E29" s="491"/>
      <c r="F29" s="492"/>
      <c r="G29" s="493"/>
      <c r="H29" s="493"/>
      <c r="I29" s="494"/>
      <c r="J29" s="516">
        <f>SUMIF(B$2:B25,B29,T$2:T25)</f>
        <v>0</v>
      </c>
      <c r="K29" s="517"/>
      <c r="L29" s="518" t="e">
        <f>J29/J32</f>
        <v>#DIV/0!</v>
      </c>
      <c r="M29" s="519"/>
      <c r="N29" s="498"/>
      <c r="O29" s="498"/>
      <c r="S29" s="510"/>
      <c r="T29" s="511"/>
      <c r="U29" s="511"/>
      <c r="V29" s="511"/>
      <c r="X29" s="512"/>
      <c r="Y29" s="512"/>
    </row>
    <row r="30" spans="1:27" s="503" customFormat="1" ht="15" customHeight="1" thickBot="1" x14ac:dyDescent="0.3">
      <c r="A30" s="487"/>
      <c r="B30" s="520" t="s">
        <v>825</v>
      </c>
      <c r="C30" s="521">
        <f>COUNTIF(B$1:B25,B30)</f>
        <v>0</v>
      </c>
      <c r="D30" s="522" t="e">
        <f>C30/C32</f>
        <v>#DIV/0!</v>
      </c>
      <c r="E30" s="491"/>
      <c r="F30" s="492"/>
      <c r="G30" s="493"/>
      <c r="H30" s="493"/>
      <c r="I30" s="494"/>
      <c r="J30" s="523">
        <f>SUMIF(B$2:B25,B30,T$2:T25)</f>
        <v>0</v>
      </c>
      <c r="K30" s="524"/>
      <c r="L30" s="525" t="e">
        <f>J30/J32</f>
        <v>#DIV/0!</v>
      </c>
      <c r="M30" s="519"/>
      <c r="N30" s="498"/>
      <c r="O30" s="498"/>
      <c r="S30" s="510"/>
      <c r="T30" s="511"/>
      <c r="U30" s="511"/>
      <c r="V30" s="511"/>
      <c r="X30" s="512"/>
      <c r="Y30" s="512"/>
    </row>
    <row r="31" spans="1:27" s="503" customFormat="1" ht="15" customHeight="1" thickTop="1" thickBot="1" x14ac:dyDescent="0.3">
      <c r="A31" s="526"/>
      <c r="B31" s="527" t="s">
        <v>809</v>
      </c>
      <c r="C31" s="528">
        <f>COUNTIF(B$1:B25,B31)</f>
        <v>0</v>
      </c>
      <c r="D31" s="529" t="e">
        <f>C31/C32</f>
        <v>#DIV/0!</v>
      </c>
      <c r="E31" s="530"/>
      <c r="F31" s="531"/>
      <c r="G31" s="532"/>
      <c r="H31" s="532"/>
      <c r="I31" s="533"/>
      <c r="J31" s="534">
        <f>SUMIF(B$2:B25,B31,T$2:T25)</f>
        <v>0</v>
      </c>
      <c r="K31" s="535"/>
      <c r="L31" s="536" t="e">
        <f>J31/J32</f>
        <v>#DIV/0!</v>
      </c>
      <c r="M31" s="537"/>
      <c r="N31" s="537"/>
      <c r="O31" s="537"/>
      <c r="S31" s="510"/>
      <c r="T31" s="511"/>
      <c r="U31" s="511"/>
      <c r="V31" s="511"/>
      <c r="X31" s="512"/>
      <c r="Y31" s="512"/>
    </row>
    <row r="32" spans="1:27" s="503" customFormat="1" ht="15" customHeight="1" x14ac:dyDescent="0.25">
      <c r="A32" s="487"/>
      <c r="B32" s="538"/>
      <c r="C32" s="539">
        <f>SUM(C27:C31)</f>
        <v>0</v>
      </c>
      <c r="D32" s="540"/>
      <c r="E32" s="491"/>
      <c r="F32" s="492"/>
      <c r="G32" s="493"/>
      <c r="H32" s="493"/>
      <c r="I32" s="494"/>
      <c r="J32" s="541">
        <f>SUM(J27:J31)</f>
        <v>0</v>
      </c>
      <c r="K32" s="542"/>
      <c r="L32" s="543"/>
      <c r="M32" s="519"/>
      <c r="N32" s="498"/>
      <c r="O32" s="498"/>
      <c r="S32" s="510"/>
      <c r="T32" s="511"/>
      <c r="U32" s="511"/>
      <c r="V32" s="511"/>
      <c r="X32" s="512"/>
      <c r="Y32" s="512"/>
    </row>
    <row r="33" spans="1:26" s="423" customFormat="1" x14ac:dyDescent="0.25">
      <c r="A33" s="436"/>
      <c r="B33" s="436"/>
      <c r="D33" s="436"/>
      <c r="E33" s="437"/>
      <c r="F33" s="438"/>
      <c r="G33" s="438"/>
      <c r="H33" s="438"/>
      <c r="I33" s="438"/>
      <c r="J33" s="438"/>
      <c r="K33" s="438"/>
      <c r="L33" s="438"/>
      <c r="M33" s="438"/>
      <c r="N33" s="438"/>
      <c r="O33" s="438"/>
      <c r="P33" s="438"/>
      <c r="Q33" s="438"/>
      <c r="R33" s="438"/>
      <c r="S33" s="438"/>
      <c r="T33" s="438"/>
      <c r="U33" s="438"/>
      <c r="V33" s="438"/>
      <c r="W33" s="438"/>
      <c r="X33" s="438"/>
      <c r="Y33" s="438"/>
      <c r="Z33" s="438"/>
    </row>
    <row r="34" spans="1:26" s="423" customFormat="1" x14ac:dyDescent="0.25">
      <c r="A34" s="544" t="s">
        <v>1201</v>
      </c>
    </row>
    <row r="35" spans="1:26" s="423" customFormat="1" ht="17.25" x14ac:dyDescent="0.4">
      <c r="A35" s="425" t="s">
        <v>739</v>
      </c>
      <c r="B35" s="545" t="s">
        <v>740</v>
      </c>
      <c r="C35" s="546"/>
    </row>
    <row r="36" spans="1:26" s="423" customFormat="1" ht="17.25" x14ac:dyDescent="0.4">
      <c r="A36" s="430" t="s">
        <v>1214</v>
      </c>
      <c r="B36" s="547"/>
      <c r="C36" s="546"/>
    </row>
    <row r="37" spans="1:26" s="423" customFormat="1" x14ac:dyDescent="0.25">
      <c r="A37" s="425" t="s">
        <v>769</v>
      </c>
      <c r="B37" s="436">
        <v>0.5</v>
      </c>
      <c r="C37" s="436"/>
    </row>
    <row r="38" spans="1:26" s="423" customFormat="1" x14ac:dyDescent="0.25">
      <c r="A38" s="425" t="s">
        <v>771</v>
      </c>
      <c r="B38" s="436">
        <v>3</v>
      </c>
      <c r="C38" s="436"/>
    </row>
    <row r="39" spans="1:26" s="423" customFormat="1" x14ac:dyDescent="0.25">
      <c r="A39" s="425" t="s">
        <v>772</v>
      </c>
      <c r="B39" s="436"/>
      <c r="C39" s="436"/>
    </row>
    <row r="40" spans="1:26" s="423" customFormat="1" x14ac:dyDescent="0.25">
      <c r="A40" s="425" t="s">
        <v>780</v>
      </c>
      <c r="B40" s="436" t="s">
        <v>781</v>
      </c>
      <c r="C40" s="436"/>
    </row>
    <row r="41" spans="1:26" s="423" customFormat="1" x14ac:dyDescent="0.25">
      <c r="A41" s="436"/>
      <c r="B41" s="436"/>
      <c r="D41" s="436"/>
      <c r="E41" s="437"/>
      <c r="F41" s="438"/>
      <c r="G41" s="438"/>
      <c r="H41" s="438"/>
      <c r="I41" s="438"/>
      <c r="J41" s="438"/>
      <c r="K41" s="438"/>
      <c r="L41" s="438"/>
      <c r="M41" s="438"/>
      <c r="N41" s="438"/>
      <c r="O41" s="438"/>
      <c r="P41" s="438"/>
      <c r="Q41" s="438"/>
      <c r="R41" s="438"/>
      <c r="S41" s="438"/>
      <c r="T41" s="438"/>
      <c r="U41" s="438"/>
      <c r="V41" s="438"/>
      <c r="W41" s="438"/>
      <c r="X41" s="438"/>
      <c r="Y41" s="438"/>
      <c r="Z41" s="438"/>
    </row>
    <row r="42" spans="1:26" s="423" customFormat="1" x14ac:dyDescent="0.25">
      <c r="A42" s="544" t="s">
        <v>1202</v>
      </c>
    </row>
    <row r="43" spans="1:26" s="423" customFormat="1" ht="15.75" thickBot="1" x14ac:dyDescent="0.3">
      <c r="A43" s="850"/>
      <c r="B43" s="545"/>
      <c r="C43" s="992" t="s">
        <v>740</v>
      </c>
      <c r="D43" s="838"/>
      <c r="E43" s="839" t="s">
        <v>1203</v>
      </c>
      <c r="F43" s="840">
        <f>COUNTA(D$2:D41)</f>
        <v>13</v>
      </c>
      <c r="G43" s="838"/>
      <c r="H43" s="838"/>
      <c r="I43" s="838"/>
    </row>
    <row r="44" spans="1:26" s="423" customFormat="1" ht="15.75" thickBot="1" x14ac:dyDescent="0.3">
      <c r="A44" s="851"/>
      <c r="B44" s="851"/>
      <c r="C44" s="993" t="s">
        <v>1301</v>
      </c>
      <c r="D44" s="841"/>
      <c r="E44" s="839" t="s">
        <v>1204</v>
      </c>
      <c r="F44" s="840">
        <f>F43-I44</f>
        <v>-2</v>
      </c>
      <c r="G44" s="842" t="s">
        <v>1205</v>
      </c>
      <c r="H44" s="843">
        <f>1-F44/F43</f>
        <v>1.1538461538461537</v>
      </c>
      <c r="I44" s="844">
        <f>COUNTIF(A$2:A41,"")</f>
        <v>15</v>
      </c>
      <c r="K44" s="840"/>
    </row>
    <row r="45" spans="1:26" s="423" customFormat="1" x14ac:dyDescent="0.25">
      <c r="A45" s="850"/>
    </row>
    <row r="46" spans="1:26" s="548" customFormat="1" ht="7.5" customHeight="1" x14ac:dyDescent="0.25">
      <c r="D46" s="549"/>
      <c r="E46" s="549"/>
    </row>
    <row r="47" spans="1:26" s="550" customFormat="1" ht="19.5" x14ac:dyDescent="0.3">
      <c r="A47" s="423"/>
      <c r="C47" s="551" t="s">
        <v>826</v>
      </c>
    </row>
    <row r="48" spans="1:26" s="550" customFormat="1" x14ac:dyDescent="0.25"/>
    <row r="49" spans="1:7" s="550" customFormat="1" ht="15.75" thickBot="1" x14ac:dyDescent="0.3">
      <c r="A49" s="550" t="s">
        <v>827</v>
      </c>
    </row>
    <row r="50" spans="1:7" s="550" customFormat="1" ht="17.25" x14ac:dyDescent="0.4">
      <c r="A50" s="971" t="s">
        <v>31</v>
      </c>
      <c r="B50" s="425" t="s">
        <v>739</v>
      </c>
      <c r="C50" s="546" t="s">
        <v>828</v>
      </c>
      <c r="D50" s="552" t="s">
        <v>829</v>
      </c>
      <c r="G50" s="550" t="s">
        <v>830</v>
      </c>
    </row>
    <row r="51" spans="1:7" s="550" customFormat="1" x14ac:dyDescent="0.25">
      <c r="A51" s="972"/>
      <c r="B51" s="430" t="s">
        <v>767</v>
      </c>
      <c r="C51" s="553">
        <v>4240</v>
      </c>
      <c r="D51" s="554" t="str">
        <f>IF(F51="&lt;&lt;ПУСТО&gt;&gt;",E51&amp;ROUND(H51/1000,0),F51&amp;E51&amp;ROUND(H51/1000,0))</f>
        <v>0</v>
      </c>
      <c r="G51" s="550" t="s">
        <v>831</v>
      </c>
    </row>
    <row r="52" spans="1:7" s="550" customFormat="1" x14ac:dyDescent="0.25">
      <c r="A52" s="972"/>
      <c r="B52" s="425" t="s">
        <v>769</v>
      </c>
      <c r="C52" s="555">
        <v>8</v>
      </c>
      <c r="D52" s="555">
        <v>1</v>
      </c>
      <c r="G52" s="550" t="s">
        <v>832</v>
      </c>
    </row>
    <row r="53" spans="1:7" s="550" customFormat="1" x14ac:dyDescent="0.25">
      <c r="A53" s="972"/>
      <c r="B53" s="425" t="s">
        <v>771</v>
      </c>
      <c r="C53" s="555">
        <v>2</v>
      </c>
      <c r="D53" s="555"/>
    </row>
    <row r="54" spans="1:7" s="550" customFormat="1" x14ac:dyDescent="0.25">
      <c r="A54" s="972"/>
      <c r="B54" s="425" t="s">
        <v>772</v>
      </c>
      <c r="C54" s="555"/>
      <c r="D54" s="555"/>
    </row>
    <row r="55" spans="1:7" s="550" customFormat="1" ht="15.75" thickBot="1" x14ac:dyDescent="0.3">
      <c r="A55" s="973"/>
      <c r="B55" s="425" t="s">
        <v>780</v>
      </c>
      <c r="C55" s="555" t="s">
        <v>833</v>
      </c>
      <c r="D55" s="555"/>
      <c r="G55" s="423" t="s">
        <v>834</v>
      </c>
    </row>
    <row r="56" spans="1:7" s="550" customFormat="1" x14ac:dyDescent="0.25"/>
    <row r="57" spans="1:7" s="550" customFormat="1" ht="15.75" thickBot="1" x14ac:dyDescent="0.3">
      <c r="A57" s="550" t="s">
        <v>835</v>
      </c>
    </row>
    <row r="58" spans="1:7" s="550" customFormat="1" x14ac:dyDescent="0.25">
      <c r="A58" s="556">
        <f>(SUMIF(A$2:A55,"",F$2:F55)-F58)/1000000</f>
        <v>1.1E-5</v>
      </c>
      <c r="B58" s="557"/>
      <c r="C58" s="558" t="s">
        <v>60</v>
      </c>
      <c r="E58" s="559" t="s">
        <v>836</v>
      </c>
      <c r="F58" s="560">
        <f>SUMIF(I$47:I52,"Наталья Константиновна Лидер",F$47:F52)</f>
        <v>0</v>
      </c>
    </row>
    <row r="59" spans="1:7" s="550" customFormat="1" ht="15.75" thickBot="1" x14ac:dyDescent="0.3">
      <c r="A59" s="561">
        <f>COUNTIF(A$2:A55,"")-F59</f>
        <v>26</v>
      </c>
      <c r="B59" s="557"/>
      <c r="C59" s="558" t="s">
        <v>837</v>
      </c>
      <c r="E59" s="562"/>
      <c r="F59" s="563">
        <f>COUNTIF(I$47:I60,"Наталья Константиновна Лидер")</f>
        <v>0</v>
      </c>
    </row>
    <row r="60" spans="1:7" s="550" customFormat="1" x14ac:dyDescent="0.25"/>
    <row r="61" spans="1:7" s="550" customFormat="1" x14ac:dyDescent="0.25">
      <c r="A61" s="550" t="s">
        <v>838</v>
      </c>
    </row>
    <row r="62" spans="1:7" s="550" customFormat="1" ht="15.75" thickBot="1" x14ac:dyDescent="0.3">
      <c r="B62" s="550" t="s">
        <v>839</v>
      </c>
    </row>
    <row r="63" spans="1:7" s="550" customFormat="1" ht="17.25" x14ac:dyDescent="0.4">
      <c r="A63" s="971" t="s">
        <v>40</v>
      </c>
      <c r="B63" s="425" t="s">
        <v>739</v>
      </c>
      <c r="C63" s="546" t="s">
        <v>828</v>
      </c>
      <c r="D63" s="546" t="s">
        <v>840</v>
      </c>
      <c r="G63" s="550" t="s">
        <v>830</v>
      </c>
    </row>
    <row r="64" spans="1:7" s="550" customFormat="1" x14ac:dyDescent="0.25">
      <c r="A64" s="972"/>
      <c r="B64" s="430" t="s">
        <v>1214</v>
      </c>
      <c r="C64" s="547">
        <f>O64</f>
        <v>0</v>
      </c>
      <c r="D64" s="564" t="str">
        <f>IF(G64="",F64,G64&amp;"/"&amp;F64)</f>
        <v>Match=&lt;номер строки Договора1С&gt;/</v>
      </c>
      <c r="G64" s="550" t="s">
        <v>841</v>
      </c>
    </row>
    <row r="65" spans="1:9" s="550" customFormat="1" x14ac:dyDescent="0.25">
      <c r="A65" s="972"/>
      <c r="B65" s="425" t="s">
        <v>769</v>
      </c>
      <c r="C65" s="550">
        <v>10</v>
      </c>
      <c r="D65" s="555">
        <v>1</v>
      </c>
      <c r="F65" s="565" t="str">
        <f>"/=""Не состоялся"":"&amp;F66</f>
        <v>/="Не состоялся":/="Договор расторгнут"</v>
      </c>
      <c r="G65" s="550" t="s">
        <v>842</v>
      </c>
    </row>
    <row r="66" spans="1:9" s="423" customFormat="1" x14ac:dyDescent="0.25">
      <c r="A66" s="972"/>
      <c r="B66" s="425" t="s">
        <v>771</v>
      </c>
      <c r="C66" s="436">
        <v>2</v>
      </c>
      <c r="D66" s="436"/>
      <c r="F66" s="566" t="s">
        <v>843</v>
      </c>
    </row>
    <row r="67" spans="1:9" s="423" customFormat="1" x14ac:dyDescent="0.25">
      <c r="A67" s="972"/>
      <c r="B67" s="425" t="s">
        <v>772</v>
      </c>
      <c r="C67" s="436"/>
      <c r="D67" s="436"/>
    </row>
    <row r="68" spans="1:9" s="423" customFormat="1" ht="15.75" thickBot="1" x14ac:dyDescent="0.3">
      <c r="A68" s="973"/>
      <c r="B68" s="425" t="s">
        <v>780</v>
      </c>
      <c r="C68" s="436" t="s">
        <v>844</v>
      </c>
      <c r="D68" s="436"/>
      <c r="F68" s="555" t="str">
        <f>"10/="""":"&amp;F65</f>
        <v>10/="":/="Не состоялся":/="Договор расторгнут"</v>
      </c>
      <c r="G68" s="423" t="s">
        <v>845</v>
      </c>
    </row>
    <row r="69" spans="1:9" s="550" customFormat="1" x14ac:dyDescent="0.25">
      <c r="E69" s="423"/>
      <c r="H69" s="423"/>
    </row>
    <row r="70" spans="1:9" s="550" customFormat="1" x14ac:dyDescent="0.25">
      <c r="A70" s="550" t="s">
        <v>846</v>
      </c>
      <c r="E70" s="423"/>
      <c r="H70" s="423"/>
    </row>
    <row r="71" spans="1:9" s="550" customFormat="1" ht="15.75" thickBot="1" x14ac:dyDescent="0.3">
      <c r="B71" s="550" t="s">
        <v>847</v>
      </c>
    </row>
    <row r="72" spans="1:9" s="550" customFormat="1" ht="15.75" thickBot="1" x14ac:dyDescent="0.3">
      <c r="A72" s="567">
        <f>COUNTIF(A$2:A66,"")-COUNTIF(M$2:M63,"Не состоялся")-COUNTIF(M$2:M63,"Договор расторгнут")</f>
        <v>32</v>
      </c>
      <c r="B72" s="557"/>
    </row>
    <row r="73" spans="1:9" s="550" customFormat="1" x14ac:dyDescent="0.25">
      <c r="B73" s="557"/>
    </row>
    <row r="74" spans="1:9" s="550" customFormat="1" x14ac:dyDescent="0.25">
      <c r="A74" s="550" t="s">
        <v>848</v>
      </c>
    </row>
    <row r="75" spans="1:9" s="550" customFormat="1" x14ac:dyDescent="0.25">
      <c r="A75" s="568" t="s">
        <v>849</v>
      </c>
      <c r="B75" s="568" t="s">
        <v>850</v>
      </c>
      <c r="C75" s="568" t="s">
        <v>851</v>
      </c>
      <c r="D75" s="568" t="s">
        <v>852</v>
      </c>
      <c r="E75" s="568" t="s">
        <v>853</v>
      </c>
      <c r="F75" s="568" t="s">
        <v>854</v>
      </c>
      <c r="G75" s="568" t="s">
        <v>855</v>
      </c>
      <c r="H75" s="568" t="s">
        <v>856</v>
      </c>
      <c r="I75" s="568" t="s">
        <v>857</v>
      </c>
    </row>
    <row r="76" spans="1:9" s="550" customFormat="1" x14ac:dyDescent="0.25">
      <c r="A76" s="550" t="s">
        <v>858</v>
      </c>
      <c r="B76" s="550" t="s">
        <v>859</v>
      </c>
      <c r="D76" s="555" t="s">
        <v>57</v>
      </c>
      <c r="E76" s="555">
        <v>1</v>
      </c>
      <c r="F76" s="550" t="s">
        <v>860</v>
      </c>
      <c r="G76" s="550" t="s">
        <v>861</v>
      </c>
      <c r="H76" s="550" t="s">
        <v>31</v>
      </c>
      <c r="I76" s="550" t="s">
        <v>862</v>
      </c>
    </row>
    <row r="77" spans="1:9" s="548" customFormat="1" ht="7.5" customHeight="1" x14ac:dyDescent="0.25">
      <c r="D77" s="549"/>
      <c r="E77" s="549"/>
    </row>
    <row r="78" spans="1:9" s="550" customFormat="1" ht="19.5" x14ac:dyDescent="0.3">
      <c r="A78" s="423"/>
      <c r="C78" s="551" t="s">
        <v>863</v>
      </c>
      <c r="I78" s="550">
        <f>C84</f>
        <v>5</v>
      </c>
    </row>
    <row r="79" spans="1:9" s="423" customFormat="1" x14ac:dyDescent="0.25"/>
    <row r="80" spans="1:9" s="423" customFormat="1" x14ac:dyDescent="0.25">
      <c r="A80" s="423" t="s">
        <v>864</v>
      </c>
    </row>
    <row r="81" spans="1:38" s="423" customFormat="1" ht="25.5" x14ac:dyDescent="0.25">
      <c r="A81" s="425" t="s">
        <v>739</v>
      </c>
      <c r="B81" s="569" t="s">
        <v>865</v>
      </c>
      <c r="C81" s="569" t="s">
        <v>866</v>
      </c>
      <c r="D81" s="570" t="s">
        <v>867</v>
      </c>
      <c r="E81" s="571" t="s">
        <v>868</v>
      </c>
      <c r="F81" s="572" t="s">
        <v>869</v>
      </c>
      <c r="G81" s="569" t="s">
        <v>108</v>
      </c>
      <c r="H81" s="569" t="s">
        <v>798</v>
      </c>
      <c r="I81" s="569" t="s">
        <v>870</v>
      </c>
      <c r="J81" s="569" t="s">
        <v>757</v>
      </c>
      <c r="L81" s="573" t="s">
        <v>871</v>
      </c>
      <c r="M81" s="574" t="s">
        <v>872</v>
      </c>
      <c r="N81" s="575"/>
      <c r="O81" s="576" t="s">
        <v>101</v>
      </c>
      <c r="P81" s="577" t="s">
        <v>873</v>
      </c>
      <c r="Q81" s="576" t="s">
        <v>105</v>
      </c>
      <c r="R81" s="576" t="s">
        <v>51</v>
      </c>
      <c r="S81" s="576" t="s">
        <v>108</v>
      </c>
      <c r="T81" s="578" t="s">
        <v>110</v>
      </c>
      <c r="U81" s="579" t="s">
        <v>874</v>
      </c>
      <c r="V81" s="580" t="s">
        <v>875</v>
      </c>
      <c r="W81" s="576" t="s">
        <v>876</v>
      </c>
      <c r="X81" s="581" t="s">
        <v>93</v>
      </c>
      <c r="Y81" s="582" t="s">
        <v>93</v>
      </c>
      <c r="Z81" s="582" t="s">
        <v>93</v>
      </c>
      <c r="AA81" s="582" t="s">
        <v>93</v>
      </c>
      <c r="AB81" s="576" t="s">
        <v>93</v>
      </c>
      <c r="AC81" s="576" t="s">
        <v>877</v>
      </c>
      <c r="AD81" s="576" t="s">
        <v>93</v>
      </c>
      <c r="AE81" s="576"/>
      <c r="AF81" s="576" t="s">
        <v>93</v>
      </c>
      <c r="AG81" s="583" t="s">
        <v>878</v>
      </c>
      <c r="AH81" s="584" t="s">
        <v>93</v>
      </c>
      <c r="AI81" s="576" t="s">
        <v>93</v>
      </c>
      <c r="AJ81" s="576" t="s">
        <v>93</v>
      </c>
      <c r="AK81" s="585" t="s">
        <v>879</v>
      </c>
      <c r="AL81" s="586"/>
    </row>
    <row r="82" spans="1:38" s="423" customFormat="1" x14ac:dyDescent="0.25">
      <c r="A82" s="430" t="s">
        <v>1214</v>
      </c>
      <c r="B82" s="587"/>
      <c r="C82" s="588"/>
      <c r="D82" s="589">
        <v>41367</v>
      </c>
      <c r="E82" s="590" t="s">
        <v>880</v>
      </c>
      <c r="F82" s="591">
        <f>T82</f>
        <v>0</v>
      </c>
      <c r="G82" s="436"/>
      <c r="H82" s="437"/>
    </row>
    <row r="83" spans="1:38" s="423" customFormat="1" x14ac:dyDescent="0.25">
      <c r="A83" s="425" t="s">
        <v>769</v>
      </c>
      <c r="B83" s="436">
        <v>1</v>
      </c>
      <c r="C83" s="436">
        <v>5</v>
      </c>
      <c r="D83" s="436">
        <v>8</v>
      </c>
      <c r="E83" s="436">
        <v>13</v>
      </c>
      <c r="F83" s="436">
        <v>14</v>
      </c>
      <c r="G83" s="436">
        <v>11</v>
      </c>
      <c r="H83" s="437">
        <v>20</v>
      </c>
      <c r="I83" s="438">
        <v>15</v>
      </c>
      <c r="J83" s="438">
        <v>10</v>
      </c>
      <c r="K83" s="438">
        <v>6</v>
      </c>
      <c r="L83" s="438">
        <v>6</v>
      </c>
      <c r="M83" s="438">
        <v>10</v>
      </c>
      <c r="N83" s="438">
        <v>1</v>
      </c>
      <c r="O83" s="438">
        <v>45</v>
      </c>
      <c r="P83" s="438"/>
      <c r="Q83" s="438">
        <v>13</v>
      </c>
      <c r="R83" s="438">
        <v>16</v>
      </c>
      <c r="S83" s="438">
        <v>10</v>
      </c>
      <c r="T83" s="438">
        <v>10</v>
      </c>
      <c r="U83" s="438">
        <v>10</v>
      </c>
      <c r="V83" s="438">
        <v>10</v>
      </c>
      <c r="W83" s="438">
        <v>10</v>
      </c>
      <c r="X83" s="438">
        <v>10</v>
      </c>
      <c r="Y83" s="438">
        <v>0</v>
      </c>
      <c r="Z83" s="438">
        <v>0</v>
      </c>
      <c r="AA83" s="438">
        <v>0</v>
      </c>
      <c r="AB83" s="438">
        <v>0</v>
      </c>
      <c r="AC83" s="438">
        <v>0</v>
      </c>
      <c r="AD83" s="438">
        <v>0</v>
      </c>
      <c r="AE83" s="438"/>
      <c r="AF83" s="438">
        <v>0</v>
      </c>
      <c r="AG83" s="438">
        <v>0</v>
      </c>
      <c r="AH83" s="438">
        <v>0</v>
      </c>
      <c r="AI83" s="438">
        <v>0</v>
      </c>
      <c r="AJ83" s="438">
        <v>0</v>
      </c>
      <c r="AK83" s="438">
        <v>0</v>
      </c>
      <c r="AL83" s="438">
        <v>0</v>
      </c>
    </row>
    <row r="84" spans="1:38" s="423" customFormat="1" x14ac:dyDescent="0.25">
      <c r="A84" s="425" t="s">
        <v>771</v>
      </c>
      <c r="B84" s="436">
        <v>5</v>
      </c>
      <c r="C84" s="436">
        <v>5</v>
      </c>
      <c r="D84" s="436" t="s">
        <v>881</v>
      </c>
      <c r="E84" s="436">
        <v>5</v>
      </c>
      <c r="F84" s="436"/>
      <c r="G84" s="436">
        <v>5</v>
      </c>
      <c r="H84" s="423">
        <v>5</v>
      </c>
      <c r="I84" s="423">
        <v>1</v>
      </c>
      <c r="J84" s="436">
        <v>1</v>
      </c>
      <c r="K84" s="437">
        <v>-1</v>
      </c>
      <c r="L84" s="436"/>
      <c r="O84" s="436"/>
      <c r="P84" s="436"/>
      <c r="Q84" s="438"/>
      <c r="R84" s="438"/>
      <c r="S84" s="438"/>
      <c r="T84" s="438"/>
      <c r="U84" s="438"/>
      <c r="V84" s="438"/>
      <c r="W84" s="438"/>
      <c r="X84" s="438"/>
      <c r="Y84" s="438"/>
      <c r="Z84" s="439"/>
      <c r="AA84" s="438"/>
      <c r="AB84" s="438"/>
      <c r="AC84" s="438"/>
      <c r="AD84" s="438"/>
      <c r="AE84" s="438"/>
      <c r="AF84" s="438"/>
      <c r="AG84" s="438"/>
    </row>
    <row r="85" spans="1:38" s="423" customFormat="1" x14ac:dyDescent="0.25">
      <c r="A85" s="425" t="s">
        <v>772</v>
      </c>
      <c r="B85" s="436"/>
      <c r="C85" s="436"/>
      <c r="D85" s="436"/>
      <c r="E85" s="436"/>
      <c r="F85" s="436"/>
      <c r="G85" s="436"/>
      <c r="J85" s="436"/>
      <c r="K85" s="437"/>
      <c r="L85" s="436"/>
      <c r="O85" s="436" t="s">
        <v>882</v>
      </c>
      <c r="P85" s="436"/>
      <c r="Q85" s="438"/>
      <c r="R85" s="438"/>
      <c r="S85" s="438"/>
      <c r="T85" s="438"/>
      <c r="U85" s="438"/>
      <c r="V85" s="438"/>
      <c r="W85" s="438"/>
      <c r="X85" s="438"/>
      <c r="Y85" s="438"/>
      <c r="Z85" s="439"/>
      <c r="AA85" s="438"/>
      <c r="AB85" s="438"/>
      <c r="AC85" s="438"/>
      <c r="AD85" s="438"/>
      <c r="AE85" s="438"/>
      <c r="AF85" s="438"/>
      <c r="AG85" s="438"/>
    </row>
    <row r="86" spans="1:38" s="423" customFormat="1" x14ac:dyDescent="0.25">
      <c r="A86" s="425" t="s">
        <v>780</v>
      </c>
      <c r="B86" s="436" t="s">
        <v>883</v>
      </c>
      <c r="C86" s="436" t="s">
        <v>884</v>
      </c>
      <c r="D86" s="447" t="s">
        <v>885</v>
      </c>
      <c r="E86" s="447" t="s">
        <v>886</v>
      </c>
      <c r="F86" s="447"/>
      <c r="G86" s="436" t="s">
        <v>887</v>
      </c>
      <c r="H86" s="592" t="s">
        <v>888</v>
      </c>
      <c r="I86" s="436" t="s">
        <v>889</v>
      </c>
      <c r="J86" s="436" t="s">
        <v>890</v>
      </c>
      <c r="K86" s="436"/>
      <c r="L86" s="436"/>
      <c r="O86" s="436"/>
      <c r="P86" s="436"/>
      <c r="Q86" s="438"/>
      <c r="R86" s="438"/>
      <c r="S86" s="438"/>
      <c r="T86" s="438"/>
      <c r="U86" s="438"/>
      <c r="V86" s="438"/>
      <c r="W86" s="438"/>
      <c r="X86" s="438"/>
      <c r="Y86" s="438"/>
      <c r="Z86" s="439"/>
      <c r="AA86" s="438"/>
      <c r="AB86" s="438"/>
      <c r="AC86" s="438"/>
      <c r="AD86" s="438"/>
      <c r="AE86" s="438"/>
      <c r="AF86" s="438"/>
      <c r="AG86" s="438"/>
    </row>
    <row r="87" spans="1:38" s="423" customFormat="1" x14ac:dyDescent="0.25">
      <c r="N87" s="423" t="s">
        <v>891</v>
      </c>
    </row>
    <row r="88" spans="1:38" s="423" customFormat="1" x14ac:dyDescent="0.25">
      <c r="A88" s="423" t="s">
        <v>892</v>
      </c>
    </row>
    <row r="89" spans="1:38" s="423" customFormat="1" ht="25.5" x14ac:dyDescent="0.25">
      <c r="A89" s="425" t="s">
        <v>739</v>
      </c>
      <c r="B89" s="569" t="s">
        <v>865</v>
      </c>
      <c r="C89" s="569" t="s">
        <v>866</v>
      </c>
      <c r="D89" s="570" t="s">
        <v>867</v>
      </c>
      <c r="E89" s="571" t="s">
        <v>868</v>
      </c>
      <c r="F89" s="572" t="s">
        <v>869</v>
      </c>
      <c r="G89" s="569" t="s">
        <v>108</v>
      </c>
      <c r="H89" s="569" t="s">
        <v>798</v>
      </c>
      <c r="I89" s="569" t="s">
        <v>870</v>
      </c>
      <c r="J89" s="569" t="s">
        <v>757</v>
      </c>
      <c r="L89" s="573" t="s">
        <v>871</v>
      </c>
      <c r="M89" s="574" t="s">
        <v>872</v>
      </c>
      <c r="N89" s="575"/>
      <c r="O89" s="576" t="s">
        <v>101</v>
      </c>
      <c r="P89" s="577" t="s">
        <v>873</v>
      </c>
      <c r="Q89" s="576" t="s">
        <v>105</v>
      </c>
      <c r="R89" s="576" t="s">
        <v>51</v>
      </c>
      <c r="S89" s="576" t="s">
        <v>108</v>
      </c>
      <c r="T89" s="578" t="s">
        <v>110</v>
      </c>
      <c r="U89" s="579" t="s">
        <v>874</v>
      </c>
      <c r="V89" s="580" t="s">
        <v>875</v>
      </c>
      <c r="W89" s="576" t="s">
        <v>876</v>
      </c>
      <c r="X89" s="581" t="s">
        <v>93</v>
      </c>
      <c r="Y89" s="582" t="s">
        <v>93</v>
      </c>
      <c r="Z89" s="582" t="s">
        <v>93</v>
      </c>
      <c r="AA89" s="582" t="s">
        <v>93</v>
      </c>
      <c r="AB89" s="576" t="s">
        <v>93</v>
      </c>
      <c r="AC89" s="576" t="s">
        <v>877</v>
      </c>
      <c r="AD89" s="576" t="s">
        <v>93</v>
      </c>
      <c r="AE89" s="576"/>
      <c r="AF89" s="576" t="s">
        <v>93</v>
      </c>
      <c r="AG89" s="583" t="s">
        <v>878</v>
      </c>
      <c r="AH89" s="584" t="s">
        <v>93</v>
      </c>
      <c r="AI89" s="576" t="s">
        <v>93</v>
      </c>
      <c r="AJ89" s="576" t="s">
        <v>93</v>
      </c>
      <c r="AK89" s="585" t="s">
        <v>879</v>
      </c>
      <c r="AL89" s="586"/>
    </row>
    <row r="90" spans="1:38" s="423" customFormat="1" x14ac:dyDescent="0.25">
      <c r="A90" s="430" t="s">
        <v>1214</v>
      </c>
      <c r="B90" s="587"/>
      <c r="C90" s="588"/>
      <c r="D90" s="589">
        <v>41367</v>
      </c>
      <c r="E90" s="590" t="s">
        <v>880</v>
      </c>
      <c r="F90" s="591">
        <f>T90</f>
        <v>0</v>
      </c>
      <c r="G90" s="436"/>
      <c r="H90" s="437"/>
    </row>
    <row r="91" spans="1:38" s="423" customFormat="1" x14ac:dyDescent="0.25">
      <c r="A91" s="425" t="s">
        <v>769</v>
      </c>
      <c r="B91" s="436">
        <v>1</v>
      </c>
      <c r="C91" s="436">
        <v>5</v>
      </c>
      <c r="D91" s="436">
        <v>8</v>
      </c>
      <c r="E91" s="436">
        <v>13</v>
      </c>
      <c r="F91" s="436">
        <v>14</v>
      </c>
      <c r="G91" s="436">
        <v>11</v>
      </c>
      <c r="H91" s="437">
        <v>20</v>
      </c>
      <c r="I91" s="438">
        <v>15</v>
      </c>
      <c r="J91" s="438">
        <v>10</v>
      </c>
      <c r="K91" s="438">
        <v>6</v>
      </c>
      <c r="L91" s="438">
        <v>6</v>
      </c>
      <c r="M91" s="438">
        <v>10</v>
      </c>
      <c r="N91" s="438">
        <v>1</v>
      </c>
      <c r="O91" s="438">
        <v>45</v>
      </c>
      <c r="P91" s="438"/>
      <c r="Q91" s="438">
        <v>13</v>
      </c>
      <c r="R91" s="438">
        <v>16</v>
      </c>
      <c r="S91" s="438">
        <v>10</v>
      </c>
      <c r="T91" s="438">
        <v>10</v>
      </c>
      <c r="U91" s="438">
        <v>10</v>
      </c>
      <c r="V91" s="438">
        <v>10</v>
      </c>
      <c r="W91" s="438">
        <v>10</v>
      </c>
      <c r="X91" s="438">
        <v>10</v>
      </c>
      <c r="Y91" s="438">
        <v>0</v>
      </c>
      <c r="Z91" s="438">
        <v>0</v>
      </c>
      <c r="AA91" s="438">
        <v>0</v>
      </c>
      <c r="AB91" s="438">
        <v>0</v>
      </c>
      <c r="AC91" s="438">
        <v>0</v>
      </c>
      <c r="AD91" s="438">
        <v>0</v>
      </c>
      <c r="AE91" s="438"/>
      <c r="AF91" s="438">
        <v>0</v>
      </c>
      <c r="AG91" s="438">
        <v>0</v>
      </c>
      <c r="AH91" s="438">
        <v>0</v>
      </c>
      <c r="AI91" s="438">
        <v>0</v>
      </c>
      <c r="AJ91" s="438">
        <v>0</v>
      </c>
      <c r="AK91" s="438">
        <v>0</v>
      </c>
      <c r="AL91" s="438">
        <v>0</v>
      </c>
    </row>
    <row r="92" spans="1:38" s="423" customFormat="1" x14ac:dyDescent="0.25">
      <c r="A92" s="425" t="s">
        <v>771</v>
      </c>
      <c r="B92" s="436">
        <v>5</v>
      </c>
      <c r="C92" s="436">
        <v>5</v>
      </c>
      <c r="D92" s="436" t="s">
        <v>881</v>
      </c>
      <c r="E92" s="436">
        <v>5</v>
      </c>
      <c r="F92" s="436"/>
      <c r="G92" s="436">
        <v>5</v>
      </c>
      <c r="H92" s="423">
        <v>5</v>
      </c>
      <c r="I92" s="423">
        <v>1</v>
      </c>
      <c r="J92" s="436">
        <v>1</v>
      </c>
      <c r="K92" s="437">
        <v>-1</v>
      </c>
      <c r="L92" s="436"/>
      <c r="O92" s="436"/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772</v>
      </c>
      <c r="B93" s="436"/>
      <c r="C93" s="436"/>
      <c r="D93" s="436"/>
      <c r="E93" s="436"/>
      <c r="F93" s="436"/>
      <c r="G93" s="436"/>
      <c r="J93" s="436"/>
      <c r="K93" s="437"/>
      <c r="L93" s="436"/>
      <c r="O93" s="436" t="s">
        <v>882</v>
      </c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A94" s="425" t="s">
        <v>780</v>
      </c>
      <c r="B94" s="436" t="s">
        <v>883</v>
      </c>
      <c r="C94" s="436" t="s">
        <v>884</v>
      </c>
      <c r="D94" s="447" t="s">
        <v>885</v>
      </c>
      <c r="E94" s="447" t="s">
        <v>886</v>
      </c>
      <c r="F94" s="447"/>
      <c r="G94" s="436" t="s">
        <v>887</v>
      </c>
      <c r="H94" s="592" t="s">
        <v>888</v>
      </c>
      <c r="I94" s="436" t="s">
        <v>889</v>
      </c>
      <c r="J94" s="436" t="s">
        <v>890</v>
      </c>
      <c r="K94" s="436"/>
      <c r="L94" s="436"/>
      <c r="O94" s="436"/>
      <c r="P94" s="436"/>
      <c r="Q94" s="438"/>
      <c r="R94" s="438"/>
      <c r="S94" s="438"/>
      <c r="T94" s="438"/>
      <c r="U94" s="438"/>
      <c r="V94" s="438"/>
      <c r="W94" s="438"/>
      <c r="X94" s="438"/>
      <c r="Y94" s="438"/>
      <c r="Z94" s="439"/>
      <c r="AA94" s="438"/>
      <c r="AB94" s="438"/>
      <c r="AC94" s="438"/>
      <c r="AD94" s="438"/>
      <c r="AE94" s="438"/>
      <c r="AF94" s="438"/>
      <c r="AG94" s="438"/>
    </row>
    <row r="95" spans="1:38" s="423" customFormat="1" x14ac:dyDescent="0.25">
      <c r="N95" s="423" t="s">
        <v>891</v>
      </c>
    </row>
    <row r="96" spans="1:38" s="423" customFormat="1" ht="15.75" thickBot="1" x14ac:dyDescent="0.3">
      <c r="A96" s="423" t="s">
        <v>893</v>
      </c>
      <c r="F96" s="423">
        <v>5</v>
      </c>
      <c r="I96" s="423">
        <v>8</v>
      </c>
      <c r="P96" s="423">
        <v>10</v>
      </c>
      <c r="T96" s="423">
        <v>14</v>
      </c>
    </row>
    <row r="97" spans="1:37" s="423" customFormat="1" ht="75" x14ac:dyDescent="0.25">
      <c r="A97" s="593" t="s">
        <v>82</v>
      </c>
      <c r="B97" s="594" t="s">
        <v>894</v>
      </c>
      <c r="C97" s="569" t="s">
        <v>742</v>
      </c>
      <c r="D97" s="569" t="s">
        <v>895</v>
      </c>
      <c r="E97" s="569" t="s">
        <v>896</v>
      </c>
      <c r="F97" s="569" t="s">
        <v>108</v>
      </c>
      <c r="G97" s="569" t="s">
        <v>865</v>
      </c>
      <c r="H97" s="569" t="s">
        <v>870</v>
      </c>
      <c r="I97" s="569" t="s">
        <v>405</v>
      </c>
      <c r="J97" s="569" t="s">
        <v>757</v>
      </c>
      <c r="K97" s="569"/>
      <c r="L97" s="569"/>
      <c r="M97" s="569" t="s">
        <v>897</v>
      </c>
      <c r="N97" s="595" t="s">
        <v>125</v>
      </c>
      <c r="O97" s="569" t="s">
        <v>898</v>
      </c>
      <c r="P97" s="569" t="s">
        <v>899</v>
      </c>
      <c r="Q97" s="596" t="s">
        <v>900</v>
      </c>
      <c r="R97" s="596" t="s">
        <v>89</v>
      </c>
      <c r="S97" s="597" t="s">
        <v>91</v>
      </c>
      <c r="T97" s="596" t="s">
        <v>97</v>
      </c>
      <c r="U97" s="598" t="s">
        <v>93</v>
      </c>
      <c r="V97" s="598" t="s">
        <v>95</v>
      </c>
      <c r="W97" s="598" t="s">
        <v>901</v>
      </c>
      <c r="X97" s="598" t="s">
        <v>902</v>
      </c>
      <c r="Y97" s="598" t="s">
        <v>903</v>
      </c>
    </row>
    <row r="98" spans="1:37" s="423" customFormat="1" x14ac:dyDescent="0.25">
      <c r="A98" s="599"/>
      <c r="B98" s="430" t="s">
        <v>1214</v>
      </c>
      <c r="D98" s="600"/>
      <c r="M98" s="437"/>
      <c r="N98" s="432"/>
      <c r="O98" s="433"/>
      <c r="P98" s="433"/>
      <c r="Q98" s="436" t="s">
        <v>768</v>
      </c>
      <c r="R98" s="436" t="s">
        <v>768</v>
      </c>
      <c r="S98" s="436" t="s">
        <v>768</v>
      </c>
      <c r="T98" s="436" t="s">
        <v>768</v>
      </c>
      <c r="U98" s="436" t="s">
        <v>768</v>
      </c>
      <c r="V98" s="436" t="s">
        <v>768</v>
      </c>
      <c r="W98" s="436" t="s">
        <v>768</v>
      </c>
      <c r="X98" s="436" t="s">
        <v>768</v>
      </c>
      <c r="Y98" s="436" t="s">
        <v>768</v>
      </c>
    </row>
    <row r="99" spans="1:37" s="423" customFormat="1" x14ac:dyDescent="0.25">
      <c r="A99" s="599"/>
      <c r="B99" s="425" t="s">
        <v>769</v>
      </c>
      <c r="C99" s="436">
        <v>9</v>
      </c>
      <c r="D99" s="436">
        <v>5</v>
      </c>
      <c r="E99" s="436">
        <v>22</v>
      </c>
      <c r="F99" s="436">
        <v>10</v>
      </c>
      <c r="G99" s="436">
        <v>1</v>
      </c>
      <c r="H99" s="436">
        <v>15</v>
      </c>
      <c r="I99" s="436">
        <v>10</v>
      </c>
      <c r="J99" s="436">
        <v>8</v>
      </c>
      <c r="K99" s="436">
        <v>1</v>
      </c>
      <c r="L99" s="436">
        <v>1</v>
      </c>
      <c r="M99" s="436">
        <v>12</v>
      </c>
      <c r="N99" s="436">
        <v>14</v>
      </c>
      <c r="O99" s="436">
        <v>12</v>
      </c>
      <c r="P99" s="436">
        <v>8</v>
      </c>
      <c r="Q99" s="436">
        <v>47</v>
      </c>
      <c r="R99" s="436">
        <v>44</v>
      </c>
      <c r="S99" s="436">
        <v>8</v>
      </c>
      <c r="T99" s="436">
        <v>44</v>
      </c>
      <c r="U99" s="436">
        <v>9</v>
      </c>
      <c r="V99" s="436">
        <v>25</v>
      </c>
      <c r="W99" s="436">
        <v>22</v>
      </c>
      <c r="X99" s="436">
        <v>0</v>
      </c>
      <c r="Y99" s="438">
        <v>0</v>
      </c>
    </row>
    <row r="100" spans="1:37" s="423" customFormat="1" x14ac:dyDescent="0.25">
      <c r="A100" s="599"/>
      <c r="B100" s="425" t="s">
        <v>771</v>
      </c>
      <c r="C100" s="436">
        <v>15</v>
      </c>
      <c r="D100" s="436">
        <v>19</v>
      </c>
      <c r="E100" s="436">
        <v>2</v>
      </c>
      <c r="G100" s="423">
        <v>-1</v>
      </c>
      <c r="M100" s="436"/>
      <c r="N100" s="436"/>
      <c r="O100" s="436"/>
      <c r="P100" s="436"/>
      <c r="T100" s="436"/>
      <c r="U100" s="438"/>
      <c r="V100" s="438"/>
      <c r="W100" s="438"/>
      <c r="X100" s="438"/>
      <c r="Y100" s="438"/>
    </row>
    <row r="101" spans="1:37" s="423" customFormat="1" ht="30" x14ac:dyDescent="0.25">
      <c r="A101" s="599"/>
      <c r="B101" s="425" t="s">
        <v>772</v>
      </c>
      <c r="C101" s="436" t="s">
        <v>904</v>
      </c>
      <c r="D101" s="601" t="s">
        <v>905</v>
      </c>
      <c r="E101" s="602" t="s">
        <v>906</v>
      </c>
      <c r="G101" s="436"/>
      <c r="M101" s="436"/>
      <c r="N101" s="436"/>
      <c r="O101" s="436"/>
      <c r="P101" s="436"/>
      <c r="Q101" s="436"/>
      <c r="T101" s="436"/>
      <c r="U101" s="438"/>
      <c r="V101" s="438"/>
      <c r="W101" s="438"/>
      <c r="X101" s="438"/>
      <c r="Y101" s="438"/>
      <c r="Z101" s="438"/>
      <c r="AA101" s="438"/>
      <c r="AB101" s="438"/>
      <c r="AC101" s="438"/>
      <c r="AD101" s="439"/>
      <c r="AE101" s="439"/>
      <c r="AF101" s="438"/>
      <c r="AG101" s="438"/>
      <c r="AH101" s="438"/>
      <c r="AI101" s="438"/>
      <c r="AJ101" s="438"/>
      <c r="AK101" s="438"/>
    </row>
    <row r="102" spans="1:37" s="423" customFormat="1" x14ac:dyDescent="0.25">
      <c r="A102" s="599"/>
      <c r="B102" s="425" t="s">
        <v>780</v>
      </c>
      <c r="D102" s="437"/>
      <c r="E102" s="436"/>
      <c r="F102" s="436"/>
      <c r="H102" s="436"/>
      <c r="K102" s="436"/>
      <c r="L102" s="438"/>
      <c r="M102" s="447"/>
      <c r="N102" s="447"/>
      <c r="O102" s="447"/>
      <c r="P102" s="447"/>
      <c r="Q102" s="438"/>
      <c r="R102" s="438"/>
      <c r="S102" s="438"/>
      <c r="T102" s="438"/>
      <c r="U102" s="438"/>
      <c r="V102" s="438"/>
      <c r="W102" s="438"/>
      <c r="X102" s="438"/>
      <c r="Y102" s="439"/>
      <c r="Z102" s="438"/>
      <c r="AA102" s="438"/>
      <c r="AB102" s="438"/>
      <c r="AC102" s="438"/>
      <c r="AD102" s="438"/>
      <c r="AE102" s="438"/>
      <c r="AF102" s="438"/>
    </row>
    <row r="104" spans="1:37" x14ac:dyDescent="0.25">
      <c r="D104" s="423">
        <v>5</v>
      </c>
      <c r="E104" s="423">
        <v>5</v>
      </c>
      <c r="J104" s="436"/>
      <c r="K104" s="436">
        <v>5</v>
      </c>
      <c r="L104" s="423">
        <v>5</v>
      </c>
      <c r="M104" s="437">
        <v>-1</v>
      </c>
      <c r="N104" s="436"/>
      <c r="O104" s="436"/>
      <c r="P104" s="436"/>
    </row>
    <row r="105" spans="1:37" ht="36.75" x14ac:dyDescent="0.25">
      <c r="D105" s="602" t="s">
        <v>906</v>
      </c>
      <c r="E105" s="602" t="s">
        <v>907</v>
      </c>
      <c r="F105" s="436" t="s">
        <v>904</v>
      </c>
      <c r="K105" s="603" t="s">
        <v>908</v>
      </c>
      <c r="L105" s="603" t="s">
        <v>909</v>
      </c>
      <c r="M105" s="603"/>
      <c r="N105" s="603"/>
      <c r="O105" s="603"/>
      <c r="P105" s="603"/>
    </row>
    <row r="107" spans="1:37" s="548" customFormat="1" ht="7.5" customHeight="1" x14ac:dyDescent="0.25">
      <c r="D107" s="549"/>
      <c r="E107" s="549"/>
    </row>
    <row r="108" spans="1:37" s="550" customFormat="1" ht="19.5" x14ac:dyDescent="0.3">
      <c r="A108" s="423"/>
      <c r="C108" s="551" t="s">
        <v>910</v>
      </c>
      <c r="I108" s="550">
        <f>G147</f>
        <v>0</v>
      </c>
    </row>
    <row r="110" spans="1:37" ht="15.75" thickBot="1" x14ac:dyDescent="0.3">
      <c r="A110" s="604" t="s">
        <v>911</v>
      </c>
    </row>
    <row r="111" spans="1:37" ht="16.5" thickBot="1" x14ac:dyDescent="0.3">
      <c r="A111" s="605">
        <v>40954</v>
      </c>
      <c r="B111" s="606" t="s">
        <v>736</v>
      </c>
      <c r="D111" s="607">
        <v>1</v>
      </c>
    </row>
    <row r="112" spans="1:37" s="423" customFormat="1" x14ac:dyDescent="0.25">
      <c r="A112" s="447"/>
      <c r="B112" s="447"/>
      <c r="C112" s="447"/>
      <c r="D112" s="447"/>
      <c r="E112" s="447"/>
      <c r="F112" s="437"/>
      <c r="G112" s="436"/>
      <c r="H112" s="436"/>
      <c r="K112" s="436"/>
      <c r="L112" s="438"/>
      <c r="M112" s="438"/>
      <c r="N112" s="438"/>
      <c r="O112" s="438"/>
      <c r="P112" s="438"/>
      <c r="Q112" s="438"/>
      <c r="R112" s="438"/>
      <c r="S112" s="438"/>
      <c r="T112" s="438"/>
      <c r="U112" s="439"/>
      <c r="V112" s="438"/>
      <c r="W112" s="438"/>
      <c r="X112" s="438"/>
      <c r="Y112" s="438"/>
      <c r="Z112" s="438"/>
      <c r="AA112" s="438"/>
    </row>
    <row r="113" spans="1:24" s="608" customFormat="1" ht="7.5" customHeight="1" x14ac:dyDescent="0.25">
      <c r="D113" s="609"/>
      <c r="E113" s="609"/>
    </row>
    <row r="114" spans="1:24" s="423" customFormat="1" ht="19.5" x14ac:dyDescent="0.3">
      <c r="C114" s="424" t="s">
        <v>912</v>
      </c>
    </row>
    <row r="116" spans="1:24" ht="15.75" thickBot="1" x14ac:dyDescent="0.3">
      <c r="A116" s="604" t="s">
        <v>913</v>
      </c>
    </row>
    <row r="117" spans="1:24" ht="15.75" thickBot="1" x14ac:dyDescent="0.3">
      <c r="A117" s="425" t="s">
        <v>914</v>
      </c>
      <c r="B117" s="610" t="s">
        <v>915</v>
      </c>
      <c r="C117" s="610" t="s">
        <v>4</v>
      </c>
      <c r="D117" s="610" t="s">
        <v>916</v>
      </c>
      <c r="E117" s="610" t="s">
        <v>917</v>
      </c>
      <c r="F117" s="610" t="s">
        <v>918</v>
      </c>
      <c r="G117" s="610" t="s">
        <v>919</v>
      </c>
      <c r="H117" s="611" t="s">
        <v>920</v>
      </c>
      <c r="I117" s="612" t="s">
        <v>921</v>
      </c>
      <c r="J117" s="612" t="s">
        <v>922</v>
      </c>
    </row>
    <row r="118" spans="1:24" s="613" customFormat="1" x14ac:dyDescent="0.25">
      <c r="A118" s="430" t="s">
        <v>917</v>
      </c>
      <c r="J118" s="614"/>
      <c r="K118" s="614"/>
      <c r="L118" s="615"/>
      <c r="M118" s="616"/>
      <c r="N118" s="617"/>
      <c r="O118" s="398"/>
      <c r="P118" s="398"/>
      <c r="Q118" s="398"/>
      <c r="R118" s="398"/>
      <c r="S118" s="398"/>
      <c r="T118" s="398"/>
      <c r="U118" s="398"/>
      <c r="V118" s="398"/>
      <c r="W118" s="398"/>
      <c r="X118" s="398"/>
    </row>
    <row r="119" spans="1:24" x14ac:dyDescent="0.25">
      <c r="A119" s="425" t="s">
        <v>923</v>
      </c>
      <c r="B119" s="614" t="s">
        <v>924</v>
      </c>
      <c r="C119" s="614" t="s">
        <v>925</v>
      </c>
      <c r="D119" s="614" t="s">
        <v>924</v>
      </c>
      <c r="E119" s="614" t="s">
        <v>80</v>
      </c>
      <c r="F119" s="614" t="s">
        <v>770</v>
      </c>
      <c r="G119" s="614" t="s">
        <v>924</v>
      </c>
      <c r="H119" s="614" t="s">
        <v>924</v>
      </c>
      <c r="I119" s="614" t="s">
        <v>926</v>
      </c>
      <c r="J119" s="614" t="s">
        <v>926</v>
      </c>
      <c r="K119" s="614"/>
      <c r="L119" s="614"/>
      <c r="M119" s="614"/>
      <c r="N119" s="614"/>
    </row>
    <row r="120" spans="1:24" x14ac:dyDescent="0.25">
      <c r="A120" s="425" t="s">
        <v>927</v>
      </c>
      <c r="B120" s="614" t="s">
        <v>119</v>
      </c>
      <c r="C120" s="614" t="s">
        <v>33</v>
      </c>
      <c r="D120" s="614" t="s">
        <v>185</v>
      </c>
      <c r="E120" s="614" t="s">
        <v>928</v>
      </c>
      <c r="F120" s="614" t="s">
        <v>244</v>
      </c>
      <c r="G120" s="614" t="s">
        <v>929</v>
      </c>
      <c r="H120" s="618" t="s">
        <v>156</v>
      </c>
      <c r="I120" s="619" t="s">
        <v>930</v>
      </c>
      <c r="J120" s="614" t="s">
        <v>59</v>
      </c>
      <c r="K120" s="614"/>
      <c r="L120" s="614"/>
      <c r="M120" s="614"/>
      <c r="N120" s="614"/>
    </row>
    <row r="121" spans="1:24" x14ac:dyDescent="0.25">
      <c r="A121" s="425" t="s">
        <v>931</v>
      </c>
      <c r="E121" s="398" t="s">
        <v>932</v>
      </c>
      <c r="H121" s="398" t="s">
        <v>933</v>
      </c>
      <c r="I121" s="620"/>
      <c r="J121" s="621"/>
      <c r="N121" s="621"/>
      <c r="O121" s="621"/>
      <c r="P121" s="622"/>
      <c r="Q121" s="621"/>
    </row>
    <row r="122" spans="1:24" x14ac:dyDescent="0.25">
      <c r="A122" s="425" t="s">
        <v>934</v>
      </c>
      <c r="E122" s="623"/>
      <c r="H122" s="623" t="s">
        <v>935</v>
      </c>
      <c r="I122" s="624" t="s">
        <v>936</v>
      </c>
      <c r="J122" s="436"/>
      <c r="O122" s="625"/>
      <c r="S122" s="626"/>
      <c r="T122" s="626"/>
      <c r="U122" s="626"/>
      <c r="V122" s="626"/>
      <c r="W122" s="626"/>
    </row>
    <row r="124" spans="1:24" ht="15.75" thickBot="1" x14ac:dyDescent="0.3">
      <c r="A124" s="604" t="s">
        <v>937</v>
      </c>
    </row>
    <row r="125" spans="1:24" ht="15.75" thickBot="1" x14ac:dyDescent="0.3">
      <c r="A125" s="425" t="s">
        <v>914</v>
      </c>
      <c r="B125" s="610" t="s">
        <v>915</v>
      </c>
      <c r="C125" s="610" t="s">
        <v>4</v>
      </c>
      <c r="D125" s="610" t="s">
        <v>916</v>
      </c>
      <c r="E125" s="610" t="s">
        <v>917</v>
      </c>
      <c r="F125" s="610" t="s">
        <v>918</v>
      </c>
      <c r="G125" s="610" t="s">
        <v>919</v>
      </c>
      <c r="H125" s="611" t="s">
        <v>920</v>
      </c>
      <c r="I125" s="612" t="s">
        <v>921</v>
      </c>
      <c r="J125" s="612" t="s">
        <v>922</v>
      </c>
    </row>
    <row r="126" spans="1:24" s="613" customFormat="1" x14ac:dyDescent="0.25">
      <c r="A126" s="430" t="s">
        <v>917</v>
      </c>
      <c r="J126" s="614"/>
      <c r="K126" s="614"/>
      <c r="L126" s="615"/>
      <c r="M126" s="616"/>
      <c r="N126" s="617"/>
      <c r="O126" s="398"/>
      <c r="P126" s="398"/>
      <c r="Q126" s="398"/>
      <c r="R126" s="398"/>
      <c r="S126" s="398"/>
      <c r="T126" s="398"/>
      <c r="U126" s="398"/>
      <c r="V126" s="398"/>
      <c r="W126" s="398"/>
      <c r="X126" s="398"/>
    </row>
    <row r="127" spans="1:24" x14ac:dyDescent="0.25">
      <c r="A127" s="425" t="s">
        <v>923</v>
      </c>
      <c r="B127" s="614" t="s">
        <v>924</v>
      </c>
      <c r="C127" s="614" t="s">
        <v>925</v>
      </c>
      <c r="D127" s="614" t="s">
        <v>924</v>
      </c>
      <c r="E127" s="614" t="s">
        <v>80</v>
      </c>
      <c r="F127" s="614" t="s">
        <v>770</v>
      </c>
      <c r="G127" s="614" t="s">
        <v>924</v>
      </c>
      <c r="H127" s="614" t="s">
        <v>924</v>
      </c>
      <c r="I127" s="614" t="s">
        <v>926</v>
      </c>
      <c r="J127" s="614" t="s">
        <v>926</v>
      </c>
      <c r="K127" s="614"/>
      <c r="L127" s="614"/>
      <c r="M127" s="614"/>
      <c r="N127" s="614"/>
    </row>
    <row r="128" spans="1:24" x14ac:dyDescent="0.25">
      <c r="A128" s="425" t="s">
        <v>927</v>
      </c>
      <c r="B128" s="614" t="s">
        <v>119</v>
      </c>
      <c r="C128" s="614" t="s">
        <v>33</v>
      </c>
      <c r="D128" s="614" t="s">
        <v>185</v>
      </c>
      <c r="E128" s="614" t="s">
        <v>928</v>
      </c>
      <c r="F128" s="614" t="s">
        <v>244</v>
      </c>
      <c r="G128" s="614" t="s">
        <v>929</v>
      </c>
      <c r="H128" s="618" t="s">
        <v>156</v>
      </c>
      <c r="I128" s="627" t="s">
        <v>938</v>
      </c>
      <c r="J128" s="614" t="s">
        <v>59</v>
      </c>
      <c r="K128" s="614"/>
      <c r="L128" s="614"/>
      <c r="M128" s="614"/>
      <c r="N128" s="614"/>
    </row>
    <row r="129" spans="1:31" x14ac:dyDescent="0.25">
      <c r="A129" s="425" t="s">
        <v>931</v>
      </c>
      <c r="B129" s="398" t="s">
        <v>939</v>
      </c>
      <c r="E129" s="398" t="s">
        <v>932</v>
      </c>
      <c r="H129" s="398" t="s">
        <v>933</v>
      </c>
      <c r="I129" s="628" t="s">
        <v>940</v>
      </c>
      <c r="J129" s="621"/>
      <c r="N129" s="621"/>
      <c r="O129" s="621"/>
      <c r="P129" s="622"/>
      <c r="Q129" s="621"/>
    </row>
    <row r="130" spans="1:31" x14ac:dyDescent="0.25">
      <c r="A130" s="425" t="s">
        <v>934</v>
      </c>
      <c r="E130" s="623"/>
      <c r="H130" s="623" t="s">
        <v>935</v>
      </c>
      <c r="I130" s="629"/>
      <c r="J130" s="436"/>
      <c r="O130" s="625"/>
      <c r="S130" s="626"/>
      <c r="T130" s="626"/>
      <c r="U130" s="626"/>
      <c r="V130" s="626"/>
      <c r="W130" s="626"/>
    </row>
    <row r="132" spans="1:31" ht="15.75" thickBot="1" x14ac:dyDescent="0.3">
      <c r="A132" s="604" t="s">
        <v>941</v>
      </c>
    </row>
    <row r="133" spans="1:31" s="375" customFormat="1" ht="15.75" thickBot="1" x14ac:dyDescent="0.3">
      <c r="A133" s="425" t="s">
        <v>914</v>
      </c>
      <c r="B133" s="630" t="s">
        <v>942</v>
      </c>
      <c r="C133" s="630" t="s">
        <v>4</v>
      </c>
      <c r="D133" s="631" t="s">
        <v>943</v>
      </c>
      <c r="E133" s="632" t="s">
        <v>246</v>
      </c>
      <c r="F133" s="631" t="s">
        <v>944</v>
      </c>
      <c r="G133" s="633" t="s">
        <v>273</v>
      </c>
      <c r="H133" s="631" t="s">
        <v>945</v>
      </c>
      <c r="I133" s="633" t="s">
        <v>946</v>
      </c>
      <c r="J133" s="632" t="s">
        <v>947</v>
      </c>
      <c r="K133" s="633" t="s">
        <v>948</v>
      </c>
      <c r="L133" s="631" t="s">
        <v>949</v>
      </c>
      <c r="M133" s="634" t="s">
        <v>917</v>
      </c>
      <c r="N133" s="635" t="s">
        <v>389</v>
      </c>
      <c r="O133" s="636" t="s">
        <v>390</v>
      </c>
      <c r="P133" s="636" t="s">
        <v>950</v>
      </c>
      <c r="Q133" s="636" t="s">
        <v>951</v>
      </c>
      <c r="R133" s="637" t="s">
        <v>952</v>
      </c>
      <c r="S133" s="637" t="s">
        <v>953</v>
      </c>
      <c r="T133" s="637" t="s">
        <v>954</v>
      </c>
      <c r="U133" s="637" t="s">
        <v>955</v>
      </c>
      <c r="V133" s="637" t="s">
        <v>956</v>
      </c>
      <c r="AE133" s="862"/>
    </row>
    <row r="134" spans="1:31" s="613" customFormat="1" x14ac:dyDescent="0.25">
      <c r="A134" s="430" t="s">
        <v>917</v>
      </c>
      <c r="B134" s="616" t="s">
        <v>957</v>
      </c>
      <c r="C134" s="638">
        <v>40918</v>
      </c>
      <c r="D134" s="615" t="s">
        <v>251</v>
      </c>
      <c r="E134" s="639"/>
      <c r="F134" s="615" t="s">
        <v>365</v>
      </c>
      <c r="G134" s="640"/>
      <c r="H134" s="615" t="s">
        <v>958</v>
      </c>
      <c r="I134" s="641"/>
      <c r="J134" s="615" t="s">
        <v>959</v>
      </c>
      <c r="K134" s="615"/>
      <c r="L134" s="616" t="s">
        <v>813</v>
      </c>
      <c r="M134" s="617">
        <v>130000</v>
      </c>
      <c r="N134" s="642" t="s">
        <v>392</v>
      </c>
      <c r="O134" s="643" t="s">
        <v>393</v>
      </c>
      <c r="P134" s="644"/>
      <c r="Q134" s="645"/>
      <c r="R134" s="646"/>
      <c r="S134" s="646"/>
      <c r="T134" s="646"/>
      <c r="U134" s="646"/>
      <c r="V134" s="646"/>
      <c r="W134" s="375"/>
    </row>
    <row r="135" spans="1:31" x14ac:dyDescent="0.25">
      <c r="A135" s="425" t="s">
        <v>923</v>
      </c>
      <c r="B135" s="614" t="s">
        <v>924</v>
      </c>
      <c r="C135" s="614" t="s">
        <v>924</v>
      </c>
      <c r="D135" s="614" t="s">
        <v>960</v>
      </c>
      <c r="E135" s="614" t="s">
        <v>961</v>
      </c>
      <c r="F135" s="614" t="s">
        <v>960</v>
      </c>
      <c r="G135" s="614" t="s">
        <v>961</v>
      </c>
      <c r="H135" s="614" t="s">
        <v>924</v>
      </c>
      <c r="I135" s="614" t="s">
        <v>961</v>
      </c>
      <c r="J135" s="614" t="s">
        <v>960</v>
      </c>
      <c r="K135" s="614" t="s">
        <v>924</v>
      </c>
      <c r="L135" s="614" t="s">
        <v>164</v>
      </c>
      <c r="M135" s="614" t="s">
        <v>175</v>
      </c>
      <c r="N135" s="614" t="s">
        <v>33</v>
      </c>
      <c r="O135" s="614" t="s">
        <v>59</v>
      </c>
      <c r="P135" s="614" t="s">
        <v>165</v>
      </c>
      <c r="Q135" s="614" t="s">
        <v>59</v>
      </c>
      <c r="R135" s="614" t="s">
        <v>80</v>
      </c>
      <c r="S135" s="614" t="s">
        <v>80</v>
      </c>
      <c r="T135" s="614" t="s">
        <v>960</v>
      </c>
      <c r="U135" s="614" t="s">
        <v>165</v>
      </c>
      <c r="V135" s="614" t="s">
        <v>165</v>
      </c>
    </row>
    <row r="136" spans="1:31" x14ac:dyDescent="0.25">
      <c r="A136" s="425" t="s">
        <v>927</v>
      </c>
      <c r="B136" s="614">
        <v>10</v>
      </c>
      <c r="C136" s="614">
        <v>12</v>
      </c>
      <c r="D136" s="614" t="s">
        <v>962</v>
      </c>
      <c r="E136" s="614" t="s">
        <v>962</v>
      </c>
      <c r="F136" s="614" t="s">
        <v>83</v>
      </c>
      <c r="G136" s="614" t="s">
        <v>83</v>
      </c>
      <c r="H136" s="614" t="s">
        <v>243</v>
      </c>
      <c r="I136" s="614" t="s">
        <v>168</v>
      </c>
      <c r="J136" s="614" t="s">
        <v>963</v>
      </c>
      <c r="K136" s="614">
        <v>18</v>
      </c>
      <c r="L136" s="614" t="s">
        <v>964</v>
      </c>
      <c r="M136" s="614" t="s">
        <v>77</v>
      </c>
      <c r="N136" s="614" t="s">
        <v>965</v>
      </c>
      <c r="O136" s="614" t="s">
        <v>965</v>
      </c>
      <c r="P136" s="614" t="s">
        <v>965</v>
      </c>
      <c r="Q136" s="614">
        <v>12</v>
      </c>
      <c r="R136" s="614" t="s">
        <v>168</v>
      </c>
      <c r="S136" s="614" t="s">
        <v>168</v>
      </c>
      <c r="T136" s="614" t="s">
        <v>168</v>
      </c>
      <c r="U136" s="614" t="s">
        <v>168</v>
      </c>
      <c r="V136" s="614" t="s">
        <v>168</v>
      </c>
    </row>
    <row r="137" spans="1:31" x14ac:dyDescent="0.25">
      <c r="A137" s="425" t="s">
        <v>931</v>
      </c>
      <c r="E137" s="623" t="s">
        <v>966</v>
      </c>
      <c r="G137" s="623" t="s">
        <v>967</v>
      </c>
      <c r="I137" s="621"/>
      <c r="K137" s="623" t="s">
        <v>948</v>
      </c>
      <c r="M137" s="621" t="s">
        <v>932</v>
      </c>
      <c r="N137" s="621"/>
      <c r="O137" s="622" t="s">
        <v>968</v>
      </c>
      <c r="P137" s="621" t="s">
        <v>969</v>
      </c>
    </row>
    <row r="138" spans="1:31" x14ac:dyDescent="0.25">
      <c r="A138" s="425" t="s">
        <v>934</v>
      </c>
      <c r="E138" s="623"/>
      <c r="G138" s="623"/>
      <c r="I138" s="436"/>
      <c r="K138" s="626" t="s">
        <v>935</v>
      </c>
      <c r="N138" s="625"/>
      <c r="R138" s="626" t="s">
        <v>970</v>
      </c>
      <c r="S138" s="626" t="s">
        <v>971</v>
      </c>
      <c r="T138" s="626" t="s">
        <v>972</v>
      </c>
      <c r="U138" s="626" t="s">
        <v>973</v>
      </c>
      <c r="V138" s="626" t="s">
        <v>974</v>
      </c>
    </row>
    <row r="140" spans="1:31" ht="15.75" thickBot="1" x14ac:dyDescent="0.3">
      <c r="A140" s="604" t="s">
        <v>1228</v>
      </c>
      <c r="B140" s="604"/>
      <c r="C140" s="604"/>
      <c r="D140" s="604"/>
      <c r="E140" s="604"/>
      <c r="F140" s="604"/>
      <c r="G140" s="604"/>
      <c r="H140" s="604"/>
      <c r="I140" s="604"/>
      <c r="J140" s="604"/>
      <c r="P140" s="604"/>
      <c r="Q140" s="604"/>
    </row>
    <row r="141" spans="1:31" ht="15.75" thickBot="1" x14ac:dyDescent="0.3">
      <c r="A141" s="875" t="s">
        <v>155</v>
      </c>
      <c r="B141" s="425" t="s">
        <v>914</v>
      </c>
      <c r="C141" s="610" t="s">
        <v>975</v>
      </c>
      <c r="D141" s="610" t="s">
        <v>766</v>
      </c>
      <c r="E141" s="610" t="s">
        <v>976</v>
      </c>
      <c r="F141" s="610" t="s">
        <v>977</v>
      </c>
      <c r="G141" s="610" t="s">
        <v>917</v>
      </c>
      <c r="H141" s="610" t="s">
        <v>978</v>
      </c>
      <c r="I141" s="610" t="s">
        <v>979</v>
      </c>
      <c r="J141" s="610" t="s">
        <v>980</v>
      </c>
      <c r="K141" s="610" t="s">
        <v>981</v>
      </c>
      <c r="L141" s="610" t="s">
        <v>982</v>
      </c>
      <c r="M141" s="610" t="s">
        <v>983</v>
      </c>
      <c r="N141" s="610" t="s">
        <v>984</v>
      </c>
      <c r="P141" s="610" t="s">
        <v>979</v>
      </c>
      <c r="Q141" s="610" t="s">
        <v>980</v>
      </c>
      <c r="R141" s="610" t="s">
        <v>981</v>
      </c>
      <c r="S141" s="610" t="s">
        <v>982</v>
      </c>
      <c r="T141" s="610" t="s">
        <v>983</v>
      </c>
      <c r="U141" s="610" t="s">
        <v>984</v>
      </c>
    </row>
    <row r="142" spans="1:31" s="613" customFormat="1" x14ac:dyDescent="0.25">
      <c r="A142" s="876"/>
      <c r="B142" s="430" t="s">
        <v>917</v>
      </c>
      <c r="C142" s="647" t="s">
        <v>985</v>
      </c>
      <c r="D142" s="638" t="s">
        <v>986</v>
      </c>
      <c r="E142" s="648" t="s">
        <v>987</v>
      </c>
      <c r="F142" s="639"/>
      <c r="G142" s="649">
        <v>2298687.7200000002</v>
      </c>
      <c r="H142" s="640"/>
      <c r="I142" s="650" t="s">
        <v>454</v>
      </c>
      <c r="J142" s="651" t="s">
        <v>988</v>
      </c>
      <c r="K142" s="650"/>
      <c r="L142" s="650"/>
      <c r="M142" s="652"/>
      <c r="N142" s="653"/>
      <c r="O142" s="398"/>
      <c r="P142" s="615" t="s">
        <v>454</v>
      </c>
      <c r="Q142" s="654"/>
      <c r="R142" s="615" t="s">
        <v>989</v>
      </c>
      <c r="S142" s="615" t="s">
        <v>454</v>
      </c>
      <c r="T142" s="616" t="s">
        <v>333</v>
      </c>
      <c r="U142" s="617" t="s">
        <v>990</v>
      </c>
      <c r="V142" s="398"/>
      <c r="W142" s="398"/>
      <c r="X142" s="398"/>
      <c r="Y142" s="398"/>
    </row>
    <row r="143" spans="1:31" x14ac:dyDescent="0.25">
      <c r="A143" s="876"/>
      <c r="B143" s="425" t="s">
        <v>923</v>
      </c>
      <c r="C143" s="614" t="s">
        <v>243</v>
      </c>
      <c r="D143" s="614" t="s">
        <v>991</v>
      </c>
      <c r="E143" s="614" t="s">
        <v>175</v>
      </c>
      <c r="F143" s="614" t="s">
        <v>243</v>
      </c>
      <c r="G143" s="614" t="s">
        <v>243</v>
      </c>
      <c r="H143" s="614" t="s">
        <v>59</v>
      </c>
      <c r="I143" s="655"/>
      <c r="J143" s="656"/>
      <c r="K143" s="614"/>
      <c r="L143" s="614"/>
      <c r="M143" s="614"/>
      <c r="N143" s="614"/>
      <c r="P143" s="614">
        <v>10</v>
      </c>
      <c r="Q143" s="614" t="s">
        <v>80</v>
      </c>
      <c r="R143" s="614" t="s">
        <v>33</v>
      </c>
      <c r="S143" s="614" t="s">
        <v>175</v>
      </c>
      <c r="T143" s="614" t="s">
        <v>80</v>
      </c>
      <c r="U143" s="614" t="s">
        <v>80</v>
      </c>
    </row>
    <row r="144" spans="1:31" x14ac:dyDescent="0.25">
      <c r="A144" s="876"/>
      <c r="B144" s="425" t="s">
        <v>927</v>
      </c>
      <c r="C144" s="614" t="s">
        <v>59</v>
      </c>
      <c r="D144" s="614" t="s">
        <v>59</v>
      </c>
      <c r="E144" s="614" t="s">
        <v>83</v>
      </c>
      <c r="F144" s="614" t="s">
        <v>77</v>
      </c>
      <c r="G144" s="614" t="s">
        <v>929</v>
      </c>
      <c r="H144" s="614" t="s">
        <v>965</v>
      </c>
      <c r="I144" s="655" t="s">
        <v>964</v>
      </c>
      <c r="J144" s="656"/>
      <c r="K144" s="614"/>
      <c r="L144" s="614"/>
      <c r="M144" s="614"/>
      <c r="N144" s="614"/>
      <c r="P144" s="614" t="s">
        <v>80</v>
      </c>
      <c r="Q144" s="614" t="s">
        <v>80</v>
      </c>
      <c r="R144" s="614"/>
      <c r="S144" s="614" t="s">
        <v>80</v>
      </c>
      <c r="T144" s="614" t="s">
        <v>244</v>
      </c>
      <c r="U144" s="614" t="s">
        <v>166</v>
      </c>
    </row>
    <row r="145" spans="1:26" x14ac:dyDescent="0.25">
      <c r="A145" s="876"/>
      <c r="B145" s="425" t="s">
        <v>931</v>
      </c>
      <c r="D145" s="623" t="s">
        <v>992</v>
      </c>
      <c r="F145" s="623" t="s">
        <v>993</v>
      </c>
      <c r="G145" s="657" t="s">
        <v>994</v>
      </c>
      <c r="H145" s="623" t="s">
        <v>968</v>
      </c>
      <c r="I145" s="658" t="s">
        <v>995</v>
      </c>
      <c r="K145" s="659"/>
      <c r="L145" s="658"/>
      <c r="M145" s="658"/>
      <c r="N145" s="660"/>
      <c r="P145" s="623" t="s">
        <v>996</v>
      </c>
      <c r="Q145" s="658" t="s">
        <v>997</v>
      </c>
      <c r="R145" s="659"/>
      <c r="S145" s="658" t="s">
        <v>998</v>
      </c>
      <c r="T145" s="658" t="s">
        <v>999</v>
      </c>
      <c r="U145" s="660"/>
    </row>
    <row r="146" spans="1:26" x14ac:dyDescent="0.25">
      <c r="A146" s="876"/>
      <c r="B146" s="425" t="s">
        <v>934</v>
      </c>
      <c r="D146" s="398" t="s">
        <v>1000</v>
      </c>
      <c r="F146" s="623"/>
      <c r="H146" s="623"/>
      <c r="J146" s="661"/>
      <c r="L146" s="626"/>
      <c r="Q146" s="436"/>
      <c r="S146" s="626"/>
      <c r="U146" s="398" t="s">
        <v>1001</v>
      </c>
    </row>
    <row r="148" spans="1:26" ht="15.75" thickBot="1" x14ac:dyDescent="0.3">
      <c r="A148" s="604" t="s">
        <v>1227</v>
      </c>
      <c r="B148" s="604"/>
      <c r="C148" s="604"/>
      <c r="D148" s="604"/>
      <c r="E148" s="604"/>
      <c r="F148" s="604"/>
      <c r="G148" s="604"/>
      <c r="H148" s="604"/>
      <c r="I148" s="604"/>
      <c r="J148" s="604"/>
      <c r="P148" s="604"/>
      <c r="Q148" s="604"/>
    </row>
    <row r="149" spans="1:26" ht="15.75" thickBot="1" x14ac:dyDescent="0.3">
      <c r="A149" s="974" t="s">
        <v>31</v>
      </c>
      <c r="B149" s="425" t="s">
        <v>914</v>
      </c>
      <c r="C149" s="610" t="s">
        <v>975</v>
      </c>
      <c r="D149" s="610" t="s">
        <v>766</v>
      </c>
      <c r="E149" s="610" t="s">
        <v>976</v>
      </c>
      <c r="F149" s="880" t="s">
        <v>944</v>
      </c>
      <c r="G149" s="610" t="s">
        <v>977</v>
      </c>
      <c r="H149" s="610" t="s">
        <v>917</v>
      </c>
      <c r="I149" s="610" t="s">
        <v>978</v>
      </c>
      <c r="J149" s="610" t="s">
        <v>979</v>
      </c>
      <c r="K149" s="610" t="s">
        <v>980</v>
      </c>
      <c r="L149" s="610" t="s">
        <v>981</v>
      </c>
      <c r="M149" s="610" t="s">
        <v>982</v>
      </c>
      <c r="N149" s="610" t="s">
        <v>983</v>
      </c>
      <c r="O149" s="610" t="s">
        <v>984</v>
      </c>
      <c r="Q149" s="610" t="s">
        <v>979</v>
      </c>
      <c r="R149" s="610" t="s">
        <v>980</v>
      </c>
      <c r="S149" s="610" t="s">
        <v>981</v>
      </c>
      <c r="T149" s="610" t="s">
        <v>982</v>
      </c>
      <c r="U149" s="610" t="s">
        <v>983</v>
      </c>
      <c r="V149" s="610" t="s">
        <v>984</v>
      </c>
    </row>
    <row r="150" spans="1:26" s="613" customFormat="1" x14ac:dyDescent="0.25">
      <c r="A150" s="975"/>
      <c r="B150" s="430" t="s">
        <v>917</v>
      </c>
      <c r="C150" s="647" t="s">
        <v>985</v>
      </c>
      <c r="D150" s="878" t="s">
        <v>986</v>
      </c>
      <c r="E150" s="648" t="s">
        <v>987</v>
      </c>
      <c r="F150" s="881" t="s">
        <v>364</v>
      </c>
      <c r="G150" s="882" t="s">
        <v>367</v>
      </c>
      <c r="H150" s="649">
        <v>2298687.7200000002</v>
      </c>
      <c r="I150" s="640"/>
      <c r="J150" s="623" t="s">
        <v>454</v>
      </c>
      <c r="K150" s="651" t="s">
        <v>988</v>
      </c>
      <c r="L150" s="615" t="s">
        <v>989</v>
      </c>
      <c r="M150" s="663" t="s">
        <v>415</v>
      </c>
      <c r="N150" s="616" t="s">
        <v>369</v>
      </c>
      <c r="O150" s="653"/>
      <c r="P150" s="398"/>
      <c r="Q150" s="615" t="s">
        <v>454</v>
      </c>
      <c r="R150" s="654"/>
      <c r="S150" s="615" t="s">
        <v>989</v>
      </c>
      <c r="T150" s="615" t="s">
        <v>454</v>
      </c>
      <c r="U150" s="616" t="s">
        <v>333</v>
      </c>
      <c r="V150" s="617" t="s">
        <v>990</v>
      </c>
      <c r="W150" s="398"/>
      <c r="X150" s="398"/>
      <c r="Y150" s="398"/>
      <c r="Z150" s="398"/>
    </row>
    <row r="151" spans="1:26" x14ac:dyDescent="0.25">
      <c r="A151" s="975"/>
      <c r="B151" s="425" t="s">
        <v>923</v>
      </c>
      <c r="C151" s="877" t="s">
        <v>1229</v>
      </c>
      <c r="D151" s="879" t="s">
        <v>1230</v>
      </c>
      <c r="E151" s="877" t="s">
        <v>1052</v>
      </c>
      <c r="F151" s="877" t="s">
        <v>1052</v>
      </c>
      <c r="G151" s="877" t="s">
        <v>1229</v>
      </c>
      <c r="H151" s="614" t="s">
        <v>243</v>
      </c>
      <c r="I151" s="614" t="s">
        <v>59</v>
      </c>
      <c r="J151" s="656"/>
      <c r="K151" s="656"/>
      <c r="L151" s="614" t="s">
        <v>33</v>
      </c>
      <c r="N151" s="656"/>
      <c r="O151" s="614"/>
      <c r="Q151" s="614">
        <v>10</v>
      </c>
      <c r="R151" s="614" t="s">
        <v>80</v>
      </c>
      <c r="S151" s="614" t="s">
        <v>33</v>
      </c>
      <c r="T151" s="614" t="s">
        <v>175</v>
      </c>
      <c r="U151" s="614" t="s">
        <v>80</v>
      </c>
      <c r="V151" s="614" t="s">
        <v>80</v>
      </c>
    </row>
    <row r="152" spans="1:26" x14ac:dyDescent="0.25">
      <c r="A152" s="975"/>
      <c r="B152" s="425" t="s">
        <v>927</v>
      </c>
      <c r="C152" s="877" t="s">
        <v>168</v>
      </c>
      <c r="D152" s="619" t="s">
        <v>930</v>
      </c>
      <c r="E152" s="877" t="s">
        <v>33</v>
      </c>
      <c r="F152" s="877" t="s">
        <v>929</v>
      </c>
      <c r="G152" s="877" t="s">
        <v>1231</v>
      </c>
      <c r="H152" s="614" t="s">
        <v>929</v>
      </c>
      <c r="I152" s="614" t="s">
        <v>965</v>
      </c>
      <c r="J152" s="871" t="s">
        <v>244</v>
      </c>
      <c r="K152" s="656"/>
      <c r="L152" s="877" t="s">
        <v>244</v>
      </c>
      <c r="M152" s="877" t="s">
        <v>244</v>
      </c>
      <c r="N152" s="871" t="s">
        <v>929</v>
      </c>
      <c r="O152" s="614"/>
      <c r="Q152" s="614" t="s">
        <v>80</v>
      </c>
      <c r="R152" s="614" t="s">
        <v>80</v>
      </c>
      <c r="S152" s="614"/>
      <c r="T152" s="614" t="s">
        <v>80</v>
      </c>
      <c r="U152" s="614" t="s">
        <v>244</v>
      </c>
      <c r="V152" s="614" t="s">
        <v>166</v>
      </c>
    </row>
    <row r="153" spans="1:26" ht="75" x14ac:dyDescent="0.25">
      <c r="A153" s="975"/>
      <c r="B153" s="425" t="s">
        <v>931</v>
      </c>
      <c r="C153" s="773"/>
      <c r="D153" s="884"/>
      <c r="E153" s="773"/>
      <c r="F153" s="773"/>
      <c r="G153" s="885" t="s">
        <v>993</v>
      </c>
      <c r="H153" s="886" t="s">
        <v>1232</v>
      </c>
      <c r="I153" s="885" t="s">
        <v>968</v>
      </c>
      <c r="J153" s="885" t="s">
        <v>979</v>
      </c>
      <c r="K153" s="887" t="s">
        <v>1011</v>
      </c>
      <c r="L153" s="748" t="s">
        <v>1012</v>
      </c>
      <c r="M153" s="891" t="s">
        <v>1235</v>
      </c>
      <c r="N153" s="893" t="s">
        <v>1236</v>
      </c>
      <c r="O153" s="889"/>
      <c r="P153" s="773"/>
      <c r="Q153" s="885" t="s">
        <v>996</v>
      </c>
      <c r="R153" s="888" t="s">
        <v>997</v>
      </c>
      <c r="S153" s="890"/>
      <c r="T153" s="888" t="s">
        <v>998</v>
      </c>
      <c r="U153" s="888" t="s">
        <v>999</v>
      </c>
      <c r="V153" s="889"/>
      <c r="W153" s="773"/>
    </row>
    <row r="154" spans="1:26" x14ac:dyDescent="0.25">
      <c r="A154" s="975"/>
      <c r="B154" s="425" t="s">
        <v>934</v>
      </c>
      <c r="D154" s="624"/>
      <c r="G154" s="623"/>
      <c r="I154" s="623"/>
      <c r="J154" s="671"/>
      <c r="K154" s="661"/>
      <c r="R154" s="436"/>
      <c r="T154" s="626"/>
      <c r="V154" s="398" t="s">
        <v>1001</v>
      </c>
    </row>
    <row r="156" spans="1:26" ht="15.75" thickBot="1" x14ac:dyDescent="0.3">
      <c r="A156" s="604" t="s">
        <v>1002</v>
      </c>
      <c r="B156" s="604"/>
      <c r="C156" s="604"/>
      <c r="D156" s="604"/>
      <c r="E156" s="604"/>
      <c r="F156" s="604"/>
      <c r="G156" s="604"/>
      <c r="H156" s="604"/>
      <c r="I156" s="604"/>
      <c r="J156" s="604"/>
    </row>
    <row r="157" spans="1:26" ht="15.75" thickBot="1" x14ac:dyDescent="0.3">
      <c r="A157" s="593" t="s">
        <v>31</v>
      </c>
      <c r="B157" s="425" t="s">
        <v>914</v>
      </c>
      <c r="C157" s="610" t="s">
        <v>975</v>
      </c>
      <c r="D157" s="610" t="s">
        <v>766</v>
      </c>
      <c r="E157" s="610" t="s">
        <v>976</v>
      </c>
      <c r="F157" s="610" t="s">
        <v>977</v>
      </c>
      <c r="G157" s="610" t="s">
        <v>917</v>
      </c>
      <c r="H157" s="610" t="s">
        <v>978</v>
      </c>
      <c r="I157" s="610" t="s">
        <v>979</v>
      </c>
      <c r="J157" s="610" t="s">
        <v>980</v>
      </c>
      <c r="K157" s="610" t="s">
        <v>981</v>
      </c>
      <c r="L157" s="610" t="s">
        <v>982</v>
      </c>
      <c r="M157" s="610" t="s">
        <v>983</v>
      </c>
      <c r="N157" s="610" t="s">
        <v>984</v>
      </c>
      <c r="Q157" s="394" t="s">
        <v>420</v>
      </c>
    </row>
    <row r="158" spans="1:26" s="613" customFormat="1" x14ac:dyDescent="0.25">
      <c r="A158" s="599"/>
      <c r="B158" s="430" t="s">
        <v>917</v>
      </c>
      <c r="C158" s="647" t="s">
        <v>985</v>
      </c>
      <c r="D158" s="638" t="s">
        <v>986</v>
      </c>
      <c r="E158" s="648" t="s">
        <v>987</v>
      </c>
      <c r="F158" s="639"/>
      <c r="G158" s="649">
        <v>2298687.7200000002</v>
      </c>
      <c r="H158" s="640"/>
      <c r="I158" s="662" t="s">
        <v>357</v>
      </c>
      <c r="J158" s="651" t="s">
        <v>988</v>
      </c>
      <c r="K158" s="663" t="s">
        <v>1003</v>
      </c>
      <c r="L158" s="663" t="s">
        <v>415</v>
      </c>
      <c r="M158" s="664" t="s">
        <v>283</v>
      </c>
      <c r="N158" s="653"/>
      <c r="O158" s="398"/>
      <c r="P158" s="398"/>
      <c r="Q158" s="394" t="s">
        <v>408</v>
      </c>
      <c r="R158" s="398"/>
      <c r="S158" s="398"/>
      <c r="T158" s="398"/>
      <c r="U158" s="398"/>
      <c r="V158" s="398"/>
      <c r="W158" s="398"/>
      <c r="X158" s="398"/>
      <c r="Y158" s="398"/>
    </row>
    <row r="159" spans="1:26" x14ac:dyDescent="0.25">
      <c r="A159" s="599"/>
      <c r="B159" s="425" t="s">
        <v>923</v>
      </c>
      <c r="C159" s="614" t="s">
        <v>243</v>
      </c>
      <c r="D159" s="614" t="s">
        <v>991</v>
      </c>
      <c r="E159" s="614" t="s">
        <v>175</v>
      </c>
      <c r="F159" s="614" t="s">
        <v>243</v>
      </c>
      <c r="G159" s="614" t="s">
        <v>243</v>
      </c>
      <c r="H159" s="614" t="s">
        <v>59</v>
      </c>
      <c r="I159" s="614" t="s">
        <v>938</v>
      </c>
      <c r="J159" s="656"/>
      <c r="K159" s="614"/>
      <c r="M159" s="614" t="s">
        <v>185</v>
      </c>
      <c r="N159" s="614"/>
      <c r="Q159" s="394" t="s">
        <v>411</v>
      </c>
    </row>
    <row r="160" spans="1:26" x14ac:dyDescent="0.25">
      <c r="A160" s="599"/>
      <c r="B160" s="425" t="s">
        <v>927</v>
      </c>
      <c r="C160" s="614" t="s">
        <v>168</v>
      </c>
      <c r="D160" s="614" t="s">
        <v>1004</v>
      </c>
      <c r="E160" s="656" t="s">
        <v>33</v>
      </c>
      <c r="F160" s="656" t="s">
        <v>929</v>
      </c>
      <c r="G160" s="614" t="s">
        <v>1005</v>
      </c>
      <c r="H160" s="614" t="s">
        <v>1006</v>
      </c>
      <c r="I160" s="614" t="s">
        <v>1007</v>
      </c>
      <c r="J160" s="656" t="s">
        <v>168</v>
      </c>
      <c r="K160" s="877" t="s">
        <v>1234</v>
      </c>
      <c r="L160" s="877" t="s">
        <v>1234</v>
      </c>
      <c r="M160" s="614" t="s">
        <v>929</v>
      </c>
      <c r="N160" s="614"/>
      <c r="Q160" s="394" t="s">
        <v>336</v>
      </c>
    </row>
    <row r="161" spans="1:17" ht="60" x14ac:dyDescent="0.25">
      <c r="A161" s="599"/>
      <c r="B161" s="425" t="s">
        <v>931</v>
      </c>
      <c r="C161" s="871" t="s">
        <v>1008</v>
      </c>
      <c r="D161" s="656" t="s">
        <v>1009</v>
      </c>
      <c r="E161" s="623"/>
      <c r="F161" s="665" t="s">
        <v>993</v>
      </c>
      <c r="G161" s="656" t="s">
        <v>1008</v>
      </c>
      <c r="H161" s="656" t="s">
        <v>968</v>
      </c>
      <c r="I161" s="666" t="s">
        <v>1010</v>
      </c>
      <c r="J161" s="667" t="s">
        <v>1011</v>
      </c>
      <c r="K161" s="668" t="s">
        <v>1012</v>
      </c>
      <c r="M161" s="669" t="s">
        <v>1236</v>
      </c>
      <c r="N161" s="660"/>
      <c r="Q161" s="394" t="s">
        <v>455</v>
      </c>
    </row>
    <row r="162" spans="1:17" x14ac:dyDescent="0.25">
      <c r="A162" s="599"/>
      <c r="B162" s="425" t="s">
        <v>934</v>
      </c>
      <c r="E162" s="621"/>
      <c r="F162" s="623"/>
      <c r="H162" s="623"/>
      <c r="I162" s="623"/>
      <c r="J162" s="661"/>
      <c r="M162" s="670"/>
    </row>
    <row r="163" spans="1:17" x14ac:dyDescent="0.25">
      <c r="I163" s="671"/>
    </row>
    <row r="164" spans="1:17" x14ac:dyDescent="0.25">
      <c r="A164" s="672" t="s">
        <v>1013</v>
      </c>
      <c r="B164" s="604"/>
      <c r="C164" s="604"/>
      <c r="D164" s="604"/>
      <c r="E164" s="604"/>
      <c r="F164" s="604"/>
      <c r="G164" s="604"/>
      <c r="H164" s="604"/>
      <c r="I164" s="604"/>
      <c r="J164" s="604"/>
    </row>
    <row r="165" spans="1:17" ht="15.75" thickBot="1" x14ac:dyDescent="0.3">
      <c r="A165" s="833">
        <v>41529</v>
      </c>
      <c r="B165" s="899" t="s">
        <v>1241</v>
      </c>
      <c r="C165" s="604"/>
      <c r="D165" s="604"/>
      <c r="E165" s="604"/>
      <c r="F165" s="604"/>
      <c r="G165" s="604"/>
      <c r="H165" s="604"/>
      <c r="I165" s="604"/>
      <c r="J165" s="604"/>
    </row>
    <row r="166" spans="1:17" ht="15.75" thickBot="1" x14ac:dyDescent="0.3">
      <c r="A166" s="974" t="s">
        <v>31</v>
      </c>
      <c r="B166" s="425" t="s">
        <v>914</v>
      </c>
      <c r="C166" s="611" t="s">
        <v>920</v>
      </c>
      <c r="D166" s="611" t="s">
        <v>765</v>
      </c>
      <c r="L166" s="673"/>
    </row>
    <row r="167" spans="1:17" x14ac:dyDescent="0.25">
      <c r="A167" s="975"/>
      <c r="B167" s="430" t="s">
        <v>917</v>
      </c>
      <c r="C167" s="613"/>
      <c r="D167" s="613"/>
    </row>
    <row r="168" spans="1:17" x14ac:dyDescent="0.25">
      <c r="A168" s="975"/>
      <c r="B168" s="425" t="s">
        <v>923</v>
      </c>
      <c r="C168" s="877" t="s">
        <v>1229</v>
      </c>
      <c r="D168" s="877" t="s">
        <v>1229</v>
      </c>
    </row>
    <row r="169" spans="1:17" x14ac:dyDescent="0.25">
      <c r="A169" s="975"/>
      <c r="B169" s="425" t="s">
        <v>927</v>
      </c>
      <c r="C169" s="618" t="s">
        <v>156</v>
      </c>
      <c r="D169" s="619" t="s">
        <v>930</v>
      </c>
    </row>
    <row r="170" spans="1:17" x14ac:dyDescent="0.25">
      <c r="A170" s="975"/>
      <c r="B170" s="425" t="s">
        <v>931</v>
      </c>
      <c r="C170" s="621" t="s">
        <v>933</v>
      </c>
    </row>
    <row r="171" spans="1:17" x14ac:dyDescent="0.25">
      <c r="A171" s="975"/>
      <c r="B171" s="425" t="s">
        <v>934</v>
      </c>
      <c r="C171" s="623" t="s">
        <v>1147</v>
      </c>
    </row>
    <row r="173" spans="1:17" ht="15.75" thickBot="1" x14ac:dyDescent="0.3">
      <c r="A173" s="604" t="s">
        <v>1014</v>
      </c>
      <c r="B173" s="604"/>
      <c r="C173" s="604"/>
      <c r="D173" s="604"/>
      <c r="E173" s="604"/>
      <c r="F173" s="604"/>
      <c r="G173" s="604"/>
      <c r="H173" s="604"/>
      <c r="I173" s="604"/>
      <c r="J173" s="604"/>
    </row>
    <row r="174" spans="1:17" ht="15.75" thickBot="1" x14ac:dyDescent="0.3">
      <c r="A174" s="611" t="s">
        <v>1015</v>
      </c>
      <c r="B174" s="611" t="s">
        <v>1016</v>
      </c>
      <c r="J174" s="673"/>
    </row>
    <row r="176" spans="1:17" ht="15.75" thickBot="1" x14ac:dyDescent="0.3">
      <c r="A176" s="672" t="s">
        <v>1216</v>
      </c>
      <c r="B176" s="674"/>
      <c r="C176" s="674"/>
      <c r="D176" s="674"/>
      <c r="E176" s="674"/>
      <c r="F176" s="604"/>
      <c r="G176" s="604"/>
      <c r="H176" s="604"/>
      <c r="I176" s="604"/>
      <c r="J176" s="604"/>
    </row>
    <row r="177" spans="1:22" ht="15.75" thickBot="1" x14ac:dyDescent="0.3">
      <c r="A177" s="610" t="s">
        <v>1017</v>
      </c>
      <c r="B177" s="610" t="s">
        <v>1018</v>
      </c>
      <c r="C177" s="610" t="s">
        <v>977</v>
      </c>
      <c r="D177" s="610" t="s">
        <v>1019</v>
      </c>
      <c r="E177" s="610" t="s">
        <v>952</v>
      </c>
      <c r="F177" s="610" t="s">
        <v>953</v>
      </c>
      <c r="G177" s="610" t="s">
        <v>954</v>
      </c>
      <c r="H177" s="610" t="s">
        <v>955</v>
      </c>
      <c r="I177" s="610" t="s">
        <v>956</v>
      </c>
      <c r="J177" s="610" t="s">
        <v>1020</v>
      </c>
      <c r="K177" s="610" t="s">
        <v>1021</v>
      </c>
      <c r="L177" s="610" t="s">
        <v>1022</v>
      </c>
      <c r="M177" s="610" t="s">
        <v>1023</v>
      </c>
      <c r="N177" s="610" t="s">
        <v>1024</v>
      </c>
      <c r="O177" s="610" t="s">
        <v>1025</v>
      </c>
      <c r="P177" s="610" t="s">
        <v>1026</v>
      </c>
      <c r="Q177" s="610" t="s">
        <v>1027</v>
      </c>
      <c r="R177" s="610" t="s">
        <v>1028</v>
      </c>
      <c r="S177" s="610" t="s">
        <v>1029</v>
      </c>
      <c r="T177" s="610" t="s">
        <v>1030</v>
      </c>
      <c r="U177" s="610" t="s">
        <v>1031</v>
      </c>
      <c r="V177" s="675" t="s">
        <v>1032</v>
      </c>
    </row>
    <row r="179" spans="1:22" ht="15.75" thickBot="1" x14ac:dyDescent="0.3">
      <c r="A179" s="604" t="s">
        <v>1033</v>
      </c>
    </row>
    <row r="180" spans="1:22" ht="15.75" thickBot="1" x14ac:dyDescent="0.3">
      <c r="A180" s="610" t="s">
        <v>68</v>
      </c>
      <c r="B180" s="610" t="s">
        <v>896</v>
      </c>
      <c r="C180" s="610" t="s">
        <v>1019</v>
      </c>
      <c r="D180" s="610" t="s">
        <v>1024</v>
      </c>
      <c r="E180" s="610" t="s">
        <v>952</v>
      </c>
      <c r="F180" s="610" t="s">
        <v>953</v>
      </c>
      <c r="G180" s="610" t="s">
        <v>954</v>
      </c>
      <c r="H180" s="610" t="s">
        <v>955</v>
      </c>
      <c r="I180" s="610" t="s">
        <v>956</v>
      </c>
      <c r="J180" s="610" t="s">
        <v>1027</v>
      </c>
      <c r="K180" s="610" t="s">
        <v>1028</v>
      </c>
      <c r="L180" s="610" t="s">
        <v>1029</v>
      </c>
      <c r="M180" s="610" t="s">
        <v>1030</v>
      </c>
      <c r="N180" s="610" t="s">
        <v>1031</v>
      </c>
    </row>
    <row r="182" spans="1:22" ht="15.75" thickBot="1" x14ac:dyDescent="0.3">
      <c r="A182" s="604" t="s">
        <v>1034</v>
      </c>
    </row>
    <row r="183" spans="1:22" ht="15.75" thickBot="1" x14ac:dyDescent="0.3">
      <c r="A183" s="610" t="s">
        <v>1035</v>
      </c>
      <c r="B183" s="610" t="s">
        <v>896</v>
      </c>
      <c r="C183" s="610" t="s">
        <v>1036</v>
      </c>
    </row>
    <row r="184" spans="1:22" x14ac:dyDescent="0.25">
      <c r="A184" s="421" t="s">
        <v>243</v>
      </c>
      <c r="B184" s="421" t="s">
        <v>1037</v>
      </c>
      <c r="C184" s="421" t="s">
        <v>928</v>
      </c>
    </row>
    <row r="185" spans="1:22" x14ac:dyDescent="0.25">
      <c r="I185" s="671"/>
    </row>
    <row r="186" spans="1:22" ht="15.75" thickBot="1" x14ac:dyDescent="0.3">
      <c r="A186" s="833" t="s">
        <v>1255</v>
      </c>
      <c r="B186" s="604"/>
      <c r="C186" s="604"/>
      <c r="D186" s="604"/>
      <c r="E186" s="604"/>
      <c r="F186" s="604"/>
      <c r="G186" s="604"/>
      <c r="H186" s="604"/>
      <c r="I186" s="604"/>
      <c r="J186" s="604"/>
    </row>
    <row r="187" spans="1:22" x14ac:dyDescent="0.25">
      <c r="A187" s="976" t="s">
        <v>1251</v>
      </c>
      <c r="B187" s="425" t="s">
        <v>914</v>
      </c>
      <c r="C187" s="935" t="s">
        <v>1256</v>
      </c>
      <c r="D187" s="936" t="s">
        <v>1249</v>
      </c>
      <c r="L187" s="673"/>
    </row>
    <row r="188" spans="1:22" x14ac:dyDescent="0.25">
      <c r="A188" s="977"/>
      <c r="B188" s="430" t="s">
        <v>917</v>
      </c>
      <c r="C188" s="933" t="s">
        <v>768</v>
      </c>
      <c r="D188" s="934" t="s">
        <v>768</v>
      </c>
    </row>
    <row r="189" spans="1:22" x14ac:dyDescent="0.25">
      <c r="A189" s="977"/>
      <c r="B189" s="425" t="s">
        <v>923</v>
      </c>
      <c r="C189" s="877" t="s">
        <v>1257</v>
      </c>
      <c r="D189" s="877" t="s">
        <v>1258</v>
      </c>
    </row>
    <row r="190" spans="1:22" x14ac:dyDescent="0.25">
      <c r="A190" s="977"/>
      <c r="B190" s="425" t="s">
        <v>927</v>
      </c>
      <c r="C190" s="619" t="s">
        <v>930</v>
      </c>
      <c r="D190" s="932" t="s">
        <v>165</v>
      </c>
    </row>
    <row r="191" spans="1:22" x14ac:dyDescent="0.25">
      <c r="A191" s="977"/>
      <c r="B191" s="425" t="s">
        <v>931</v>
      </c>
      <c r="C191" s="621"/>
    </row>
    <row r="192" spans="1:22" x14ac:dyDescent="0.25">
      <c r="A192" s="977"/>
      <c r="B192" s="425" t="s">
        <v>934</v>
      </c>
      <c r="C192" s="623"/>
    </row>
    <row r="193" spans="1:39" ht="15.75" thickBot="1" x14ac:dyDescent="0.3">
      <c r="A193" s="421"/>
      <c r="B193" s="421"/>
    </row>
    <row r="194" spans="1:39" ht="15.75" thickBot="1" x14ac:dyDescent="0.3">
      <c r="A194" s="676" t="s">
        <v>1038</v>
      </c>
      <c r="B194" s="421"/>
      <c r="I194" s="677" t="s">
        <v>110</v>
      </c>
      <c r="N194" s="678" t="s">
        <v>876</v>
      </c>
    </row>
    <row r="195" spans="1:39" s="423" customFormat="1" ht="25.5" x14ac:dyDescent="0.25">
      <c r="A195" s="425" t="s">
        <v>739</v>
      </c>
      <c r="B195" s="679" t="s">
        <v>1039</v>
      </c>
      <c r="C195" s="569" t="s">
        <v>1040</v>
      </c>
      <c r="D195" s="680" t="s">
        <v>1041</v>
      </c>
      <c r="E195" s="680" t="s">
        <v>1042</v>
      </c>
      <c r="F195" s="681" t="s">
        <v>1043</v>
      </c>
      <c r="G195" s="681" t="s">
        <v>1044</v>
      </c>
      <c r="H195" s="681" t="s">
        <v>1045</v>
      </c>
      <c r="I195" s="682" t="s">
        <v>1046</v>
      </c>
      <c r="J195" s="683" t="s">
        <v>1047</v>
      </c>
      <c r="K195" s="684" t="s">
        <v>1048</v>
      </c>
      <c r="L195" s="685" t="s">
        <v>1049</v>
      </c>
      <c r="M195" s="685" t="s">
        <v>1050</v>
      </c>
      <c r="N195" s="685" t="s">
        <v>259</v>
      </c>
    </row>
    <row r="196" spans="1:39" s="423" customFormat="1" x14ac:dyDescent="0.25">
      <c r="A196" s="430" t="s">
        <v>1214</v>
      </c>
      <c r="B196" s="587"/>
      <c r="C196" s="588"/>
    </row>
    <row r="197" spans="1:39" s="423" customFormat="1" x14ac:dyDescent="0.25">
      <c r="A197" s="425" t="s">
        <v>769</v>
      </c>
      <c r="B197" s="436">
        <v>1</v>
      </c>
      <c r="C197" s="436">
        <v>5</v>
      </c>
      <c r="D197" s="686">
        <v>45</v>
      </c>
      <c r="E197" s="686">
        <v>5</v>
      </c>
      <c r="F197" s="686">
        <v>7</v>
      </c>
      <c r="G197" s="686">
        <v>16</v>
      </c>
      <c r="H197" s="686">
        <v>10</v>
      </c>
      <c r="I197" s="686" t="s">
        <v>1051</v>
      </c>
      <c r="J197" s="686" t="s">
        <v>1052</v>
      </c>
      <c r="K197" s="686">
        <v>10</v>
      </c>
      <c r="L197" s="686" t="s">
        <v>1053</v>
      </c>
      <c r="M197" s="686" t="s">
        <v>924</v>
      </c>
      <c r="N197" s="686" t="s">
        <v>924</v>
      </c>
    </row>
    <row r="198" spans="1:39" s="423" customFormat="1" x14ac:dyDescent="0.25">
      <c r="A198" s="425" t="s">
        <v>771</v>
      </c>
      <c r="B198" s="687" t="s">
        <v>1054</v>
      </c>
      <c r="C198" s="436" t="s">
        <v>1055</v>
      </c>
      <c r="D198" s="436">
        <v>13</v>
      </c>
      <c r="E198" s="436">
        <v>14</v>
      </c>
      <c r="F198" s="436">
        <v>15</v>
      </c>
      <c r="G198" s="436">
        <v>16</v>
      </c>
      <c r="H198" s="436">
        <v>17</v>
      </c>
      <c r="I198" s="436">
        <v>18</v>
      </c>
      <c r="J198" s="436">
        <v>19</v>
      </c>
      <c r="K198" s="436">
        <v>20</v>
      </c>
      <c r="L198" s="436">
        <v>21</v>
      </c>
      <c r="M198" s="436">
        <v>22</v>
      </c>
      <c r="N198" s="436">
        <v>23</v>
      </c>
    </row>
    <row r="199" spans="1:39" s="614" customFormat="1" x14ac:dyDescent="0.25">
      <c r="A199" s="688" t="s">
        <v>772</v>
      </c>
      <c r="L199" s="614" t="s">
        <v>932</v>
      </c>
      <c r="M199" s="614" t="s">
        <v>932</v>
      </c>
      <c r="N199" s="614" t="s">
        <v>1056</v>
      </c>
    </row>
    <row r="200" spans="1:39" s="421" customFormat="1" x14ac:dyDescent="0.25">
      <c r="A200" s="425" t="s">
        <v>780</v>
      </c>
      <c r="C200" s="421" t="s">
        <v>1057</v>
      </c>
    </row>
    <row r="202" spans="1:39" s="423" customFormat="1" ht="25.5" x14ac:dyDescent="0.25">
      <c r="A202" s="425" t="s">
        <v>739</v>
      </c>
      <c r="B202" s="569" t="s">
        <v>1058</v>
      </c>
      <c r="C202" s="569" t="s">
        <v>1059</v>
      </c>
      <c r="D202" s="569" t="s">
        <v>1040</v>
      </c>
      <c r="E202" s="570" t="s">
        <v>867</v>
      </c>
      <c r="F202" s="571" t="s">
        <v>868</v>
      </c>
      <c r="G202" s="572" t="s">
        <v>869</v>
      </c>
      <c r="H202" s="569" t="s">
        <v>1060</v>
      </c>
      <c r="I202" s="569" t="s">
        <v>798</v>
      </c>
      <c r="J202" s="569" t="s">
        <v>870</v>
      </c>
      <c r="K202" s="569" t="s">
        <v>1061</v>
      </c>
      <c r="M202" s="573" t="s">
        <v>871</v>
      </c>
      <c r="N202" s="574" t="s">
        <v>872</v>
      </c>
      <c r="O202" s="575"/>
      <c r="P202" s="576" t="s">
        <v>101</v>
      </c>
      <c r="Q202" s="577" t="s">
        <v>873</v>
      </c>
      <c r="R202" s="576" t="s">
        <v>105</v>
      </c>
      <c r="S202" s="576" t="s">
        <v>51</v>
      </c>
      <c r="T202" s="576" t="s">
        <v>108</v>
      </c>
      <c r="U202" s="578" t="s">
        <v>110</v>
      </c>
      <c r="V202" s="579" t="s">
        <v>874</v>
      </c>
      <c r="W202" s="580" t="s">
        <v>875</v>
      </c>
      <c r="X202" s="576" t="s">
        <v>876</v>
      </c>
      <c r="Y202" s="581" t="s">
        <v>93</v>
      </c>
      <c r="Z202" s="582" t="s">
        <v>93</v>
      </c>
      <c r="AA202" s="582" t="s">
        <v>93</v>
      </c>
      <c r="AB202" s="582" t="s">
        <v>93</v>
      </c>
      <c r="AC202" s="576" t="s">
        <v>93</v>
      </c>
      <c r="AD202" s="576" t="s">
        <v>877</v>
      </c>
      <c r="AE202" s="576"/>
      <c r="AF202" s="576" t="s">
        <v>93</v>
      </c>
      <c r="AG202" s="576" t="s">
        <v>93</v>
      </c>
      <c r="AH202" s="583" t="s">
        <v>878</v>
      </c>
      <c r="AI202" s="584" t="s">
        <v>93</v>
      </c>
      <c r="AJ202" s="576" t="s">
        <v>93</v>
      </c>
      <c r="AK202" s="576" t="s">
        <v>93</v>
      </c>
      <c r="AL202" s="585" t="s">
        <v>879</v>
      </c>
      <c r="AM202" s="586"/>
    </row>
    <row r="203" spans="1:39" s="423" customFormat="1" x14ac:dyDescent="0.25">
      <c r="A203" s="430" t="s">
        <v>767</v>
      </c>
      <c r="B203" s="587"/>
      <c r="C203" s="587" t="str">
        <f>IF(B203&lt;&gt;"",1,"")</f>
        <v/>
      </c>
      <c r="D203" s="588"/>
      <c r="E203" s="689"/>
      <c r="F203" s="432"/>
      <c r="G203" s="591">
        <f>U203</f>
        <v>0</v>
      </c>
      <c r="H203" s="433"/>
      <c r="I203" s="437"/>
    </row>
    <row r="204" spans="1:39" s="423" customFormat="1" x14ac:dyDescent="0.25">
      <c r="A204" s="425" t="s">
        <v>769</v>
      </c>
      <c r="B204" s="436">
        <v>1</v>
      </c>
      <c r="C204" s="436"/>
      <c r="D204" s="436">
        <v>5</v>
      </c>
      <c r="E204" s="436">
        <v>8</v>
      </c>
      <c r="F204" s="436">
        <v>13</v>
      </c>
      <c r="G204" s="436">
        <v>14</v>
      </c>
      <c r="H204" s="436">
        <v>11</v>
      </c>
      <c r="I204" s="437">
        <v>20</v>
      </c>
      <c r="J204" s="438">
        <v>15</v>
      </c>
      <c r="K204" s="438">
        <v>10</v>
      </c>
      <c r="L204" s="438">
        <v>6</v>
      </c>
      <c r="M204" s="438">
        <v>6</v>
      </c>
      <c r="N204" s="438">
        <v>10</v>
      </c>
      <c r="O204" s="438">
        <v>1</v>
      </c>
      <c r="P204" s="438">
        <v>45</v>
      </c>
      <c r="Q204" s="438"/>
      <c r="R204" s="438">
        <v>13</v>
      </c>
      <c r="S204" s="438">
        <v>16</v>
      </c>
      <c r="T204" s="438">
        <v>10</v>
      </c>
      <c r="U204" s="438">
        <v>10</v>
      </c>
      <c r="V204" s="438">
        <v>10</v>
      </c>
      <c r="W204" s="438">
        <v>10</v>
      </c>
      <c r="X204" s="438">
        <v>10</v>
      </c>
      <c r="Y204" s="438">
        <v>10</v>
      </c>
      <c r="Z204" s="438">
        <v>0</v>
      </c>
      <c r="AA204" s="438">
        <v>0</v>
      </c>
      <c r="AB204" s="438">
        <v>0</v>
      </c>
      <c r="AC204" s="438">
        <v>0</v>
      </c>
      <c r="AD204" s="438">
        <v>0</v>
      </c>
      <c r="AE204" s="438"/>
      <c r="AF204" s="438">
        <v>0</v>
      </c>
      <c r="AG204" s="438">
        <v>0</v>
      </c>
      <c r="AH204" s="438">
        <v>0</v>
      </c>
      <c r="AI204" s="438">
        <v>0</v>
      </c>
      <c r="AJ204" s="438">
        <v>0</v>
      </c>
      <c r="AK204" s="438">
        <v>0</v>
      </c>
      <c r="AL204" s="438">
        <v>0</v>
      </c>
      <c r="AM204" s="438">
        <v>0</v>
      </c>
    </row>
    <row r="205" spans="1:39" s="423" customFormat="1" x14ac:dyDescent="0.25">
      <c r="A205" s="425" t="s">
        <v>771</v>
      </c>
      <c r="B205" s="436">
        <v>5</v>
      </c>
      <c r="C205" s="436"/>
      <c r="D205" s="436">
        <v>1</v>
      </c>
      <c r="E205" s="436">
        <v>2</v>
      </c>
      <c r="F205" s="436">
        <v>2</v>
      </c>
      <c r="G205" s="436"/>
      <c r="H205" s="436">
        <v>2</v>
      </c>
      <c r="I205" s="423">
        <v>2</v>
      </c>
      <c r="J205" s="423">
        <v>2</v>
      </c>
      <c r="K205" s="436">
        <v>2</v>
      </c>
      <c r="L205" s="437">
        <v>-1</v>
      </c>
      <c r="M205" s="436"/>
      <c r="P205" s="436"/>
      <c r="Q205" s="436"/>
      <c r="R205" s="438"/>
      <c r="S205" s="438"/>
      <c r="T205" s="438"/>
      <c r="U205" s="438"/>
      <c r="V205" s="438"/>
      <c r="W205" s="438"/>
      <c r="X205" s="438"/>
      <c r="Y205" s="438"/>
      <c r="Z205" s="438"/>
      <c r="AA205" s="439"/>
      <c r="AB205" s="438"/>
      <c r="AC205" s="438"/>
      <c r="AD205" s="438"/>
      <c r="AE205" s="438"/>
      <c r="AF205" s="438"/>
      <c r="AG205" s="438"/>
      <c r="AH205" s="438"/>
    </row>
    <row r="206" spans="1:39" s="423" customFormat="1" ht="44.25" customHeight="1" x14ac:dyDescent="0.25">
      <c r="A206" s="425" t="s">
        <v>772</v>
      </c>
      <c r="B206" s="690"/>
      <c r="C206" s="691" t="s">
        <v>1062</v>
      </c>
      <c r="D206" s="692" t="s">
        <v>1063</v>
      </c>
      <c r="E206" s="693" t="s">
        <v>1064</v>
      </c>
      <c r="F206" s="693" t="s">
        <v>1065</v>
      </c>
      <c r="G206" s="436"/>
      <c r="H206" s="693" t="s">
        <v>907</v>
      </c>
      <c r="I206" s="693" t="s">
        <v>906</v>
      </c>
      <c r="J206" s="690" t="s">
        <v>909</v>
      </c>
      <c r="K206" s="690" t="s">
        <v>1066</v>
      </c>
      <c r="L206" s="436"/>
      <c r="M206" s="436"/>
      <c r="P206" s="694" t="s">
        <v>882</v>
      </c>
      <c r="Q206" s="694"/>
      <c r="R206" s="438"/>
      <c r="S206" s="438"/>
      <c r="T206" s="438"/>
      <c r="U206" s="438"/>
      <c r="V206" s="438"/>
      <c r="W206" s="438"/>
      <c r="X206" s="438"/>
      <c r="Y206" s="438"/>
      <c r="Z206" s="438"/>
      <c r="AA206" s="439"/>
      <c r="AB206" s="438"/>
      <c r="AC206" s="438"/>
      <c r="AD206" s="438"/>
      <c r="AE206" s="438"/>
      <c r="AF206" s="438"/>
      <c r="AG206" s="438"/>
      <c r="AH206" s="438"/>
    </row>
    <row r="207" spans="1:39" s="423" customFormat="1" x14ac:dyDescent="0.25">
      <c r="A207" s="425" t="s">
        <v>780</v>
      </c>
      <c r="B207" s="436" t="s">
        <v>883</v>
      </c>
      <c r="C207" s="436"/>
      <c r="D207" s="436"/>
      <c r="E207" s="447"/>
      <c r="F207" s="447"/>
      <c r="G207" s="447"/>
      <c r="H207" s="447"/>
      <c r="I207" s="437"/>
      <c r="J207" s="436"/>
      <c r="K207" s="436"/>
      <c r="L207" s="436"/>
      <c r="M207" s="436"/>
      <c r="P207" s="436"/>
      <c r="Q207" s="436"/>
      <c r="R207" s="438"/>
      <c r="S207" s="438"/>
      <c r="T207" s="438"/>
      <c r="U207" s="438"/>
      <c r="V207" s="438"/>
      <c r="W207" s="438"/>
      <c r="X207" s="438"/>
      <c r="Y207" s="438"/>
      <c r="Z207" s="438"/>
      <c r="AA207" s="439"/>
      <c r="AB207" s="438"/>
      <c r="AC207" s="438"/>
      <c r="AD207" s="438"/>
      <c r="AE207" s="438"/>
      <c r="AF207" s="438"/>
      <c r="AG207" s="438"/>
      <c r="AH207" s="438"/>
    </row>
    <row r="209" spans="1:14" ht="15.75" thickBot="1" x14ac:dyDescent="0.3">
      <c r="A209" s="676" t="s">
        <v>1067</v>
      </c>
      <c r="B209" s="421"/>
    </row>
    <row r="210" spans="1:14" ht="29.25" customHeight="1" thickBot="1" x14ac:dyDescent="0.3">
      <c r="A210" s="425" t="s">
        <v>739</v>
      </c>
      <c r="B210" s="695" t="s">
        <v>1068</v>
      </c>
      <c r="C210" s="695" t="s">
        <v>1069</v>
      </c>
      <c r="D210" s="695" t="s">
        <v>1070</v>
      </c>
      <c r="E210" s="695" t="s">
        <v>868</v>
      </c>
      <c r="F210" s="695" t="s">
        <v>108</v>
      </c>
      <c r="G210" s="695" t="s">
        <v>798</v>
      </c>
      <c r="H210" s="695" t="s">
        <v>126</v>
      </c>
      <c r="I210" s="695" t="s">
        <v>1071</v>
      </c>
      <c r="J210" s="695" t="s">
        <v>1072</v>
      </c>
      <c r="K210" s="695" t="s">
        <v>1073</v>
      </c>
      <c r="L210" s="696" t="s">
        <v>922</v>
      </c>
      <c r="M210" s="695" t="s">
        <v>1074</v>
      </c>
    </row>
    <row r="211" spans="1:14" s="421" customFormat="1" x14ac:dyDescent="0.25">
      <c r="A211" s="430" t="s">
        <v>1214</v>
      </c>
      <c r="B211" s="421" t="s">
        <v>1075</v>
      </c>
      <c r="C211" s="421" t="s">
        <v>1076</v>
      </c>
      <c r="D211" s="421" t="s">
        <v>1077</v>
      </c>
      <c r="E211" s="432" t="s">
        <v>1078</v>
      </c>
      <c r="F211" s="421" t="s">
        <v>384</v>
      </c>
      <c r="G211" s="421" t="s">
        <v>1079</v>
      </c>
      <c r="H211" s="421" t="s">
        <v>1080</v>
      </c>
      <c r="I211" s="421" t="s">
        <v>1081</v>
      </c>
      <c r="J211" s="421" t="s">
        <v>1082</v>
      </c>
      <c r="K211" s="614" t="s">
        <v>168</v>
      </c>
      <c r="L211" s="697" t="str">
        <f>H211&amp;" "&amp;C211&amp;" "&amp;B211</f>
        <v>394-1234567 7749/169409 04.04.2013 14:26:36</v>
      </c>
      <c r="M211" s="614" t="s">
        <v>168</v>
      </c>
      <c r="N211" s="398"/>
    </row>
    <row r="212" spans="1:14" s="421" customFormat="1" x14ac:dyDescent="0.25">
      <c r="A212" s="425" t="s">
        <v>769</v>
      </c>
      <c r="B212" s="614" t="s">
        <v>938</v>
      </c>
      <c r="C212" s="614" t="s">
        <v>1052</v>
      </c>
      <c r="D212" s="614" t="s">
        <v>164</v>
      </c>
      <c r="E212" s="614" t="s">
        <v>928</v>
      </c>
      <c r="F212" s="614" t="s">
        <v>80</v>
      </c>
      <c r="G212" s="614" t="s">
        <v>50</v>
      </c>
      <c r="H212" s="614" t="s">
        <v>175</v>
      </c>
      <c r="I212" s="614" t="s">
        <v>164</v>
      </c>
      <c r="J212" s="614" t="s">
        <v>50</v>
      </c>
      <c r="K212" s="614" t="s">
        <v>1083</v>
      </c>
      <c r="L212" s="698" t="s">
        <v>1084</v>
      </c>
      <c r="M212" s="614" t="s">
        <v>1085</v>
      </c>
      <c r="N212" s="398"/>
    </row>
    <row r="213" spans="1:14" s="421" customFormat="1" x14ac:dyDescent="0.25">
      <c r="A213" s="425" t="s">
        <v>771</v>
      </c>
      <c r="B213" s="421" t="s">
        <v>168</v>
      </c>
      <c r="C213" s="421" t="s">
        <v>168</v>
      </c>
      <c r="D213" s="614" t="s">
        <v>881</v>
      </c>
      <c r="E213" s="614" t="s">
        <v>881</v>
      </c>
      <c r="F213" s="614" t="s">
        <v>881</v>
      </c>
      <c r="G213" s="614" t="s">
        <v>881</v>
      </c>
      <c r="H213" s="699" t="s">
        <v>1054</v>
      </c>
      <c r="I213" s="614" t="s">
        <v>1086</v>
      </c>
      <c r="J213" s="699" t="s">
        <v>1087</v>
      </c>
      <c r="K213" s="699" t="s">
        <v>1088</v>
      </c>
      <c r="L213" s="699" t="s">
        <v>1089</v>
      </c>
      <c r="M213" s="421" t="s">
        <v>168</v>
      </c>
      <c r="N213" s="398"/>
    </row>
    <row r="214" spans="1:14" s="421" customFormat="1" x14ac:dyDescent="0.25">
      <c r="A214" s="688" t="s">
        <v>772</v>
      </c>
      <c r="B214" s="421" t="s">
        <v>1090</v>
      </c>
      <c r="C214" s="870" t="s">
        <v>1091</v>
      </c>
      <c r="L214" s="700"/>
      <c r="N214" s="398"/>
    </row>
    <row r="215" spans="1:14" s="421" customFormat="1" x14ac:dyDescent="0.25">
      <c r="A215" s="425" t="s">
        <v>780</v>
      </c>
      <c r="D215" s="701" t="s">
        <v>883</v>
      </c>
      <c r="E215" s="421" t="s">
        <v>1092</v>
      </c>
      <c r="F215" s="421" t="s">
        <v>1093</v>
      </c>
      <c r="G215" s="421" t="s">
        <v>1094</v>
      </c>
      <c r="I215" s="702" t="s">
        <v>1095</v>
      </c>
      <c r="L215" s="703"/>
    </row>
    <row r="217" spans="1:14" x14ac:dyDescent="0.25">
      <c r="A217" s="676" t="s">
        <v>1096</v>
      </c>
      <c r="B217" s="421"/>
    </row>
    <row r="218" spans="1:14" s="423" customFormat="1" x14ac:dyDescent="0.25">
      <c r="A218" s="425" t="s">
        <v>739</v>
      </c>
      <c r="B218" s="704" t="s">
        <v>126</v>
      </c>
      <c r="C218" s="705" t="s">
        <v>1097</v>
      </c>
      <c r="D218" s="614"/>
      <c r="E218" s="614"/>
      <c r="F218" s="614"/>
      <c r="G218" s="398"/>
      <c r="H218" s="398"/>
      <c r="I218" s="398"/>
      <c r="J218" s="398"/>
      <c r="K218" s="398"/>
      <c r="L218" s="398"/>
      <c r="M218" s="398"/>
      <c r="N218" s="398"/>
    </row>
    <row r="219" spans="1:14" s="423" customFormat="1" x14ac:dyDescent="0.25">
      <c r="A219" s="430" t="s">
        <v>1214</v>
      </c>
      <c r="B219" s="706"/>
      <c r="C219" s="706"/>
      <c r="D219" s="614"/>
      <c r="E219" s="614"/>
      <c r="F219" s="614"/>
      <c r="G219" s="398"/>
      <c r="H219" s="398"/>
      <c r="I219" s="398"/>
      <c r="J219" s="398"/>
      <c r="K219" s="398"/>
      <c r="L219" s="398"/>
      <c r="M219" s="398"/>
      <c r="N219" s="398"/>
    </row>
    <row r="220" spans="1:14" s="423" customFormat="1" x14ac:dyDescent="0.25">
      <c r="A220" s="425" t="s">
        <v>769</v>
      </c>
      <c r="B220" s="436" t="s">
        <v>1098</v>
      </c>
      <c r="C220" s="436" t="s">
        <v>924</v>
      </c>
      <c r="D220" s="614"/>
      <c r="E220" s="614"/>
      <c r="F220" s="614"/>
      <c r="G220" s="398"/>
      <c r="H220" s="398"/>
      <c r="I220" s="398"/>
      <c r="J220" s="398"/>
      <c r="K220" s="398"/>
      <c r="L220" s="398"/>
      <c r="M220" s="398"/>
      <c r="N220" s="398"/>
    </row>
    <row r="221" spans="1:14" s="423" customFormat="1" x14ac:dyDescent="0.25">
      <c r="A221" s="425" t="s">
        <v>771</v>
      </c>
      <c r="B221" s="661">
        <v>4</v>
      </c>
      <c r="C221" s="661">
        <v>7</v>
      </c>
      <c r="D221" s="614"/>
      <c r="E221" s="614"/>
      <c r="F221" s="614"/>
      <c r="G221" s="398"/>
      <c r="H221" s="398"/>
      <c r="I221" s="398"/>
      <c r="J221" s="398"/>
      <c r="K221" s="398"/>
      <c r="L221" s="398"/>
      <c r="M221" s="398"/>
      <c r="N221" s="398"/>
    </row>
    <row r="222" spans="1:14" s="614" customFormat="1" x14ac:dyDescent="0.25">
      <c r="A222" s="688" t="s">
        <v>772</v>
      </c>
      <c r="B222" s="614" t="s">
        <v>1099</v>
      </c>
      <c r="C222" s="694" t="s">
        <v>1100</v>
      </c>
      <c r="G222" s="398"/>
      <c r="H222" s="398"/>
      <c r="I222" s="398"/>
      <c r="J222" s="398"/>
      <c r="K222" s="398"/>
      <c r="L222" s="398"/>
      <c r="M222" s="398"/>
      <c r="N222" s="398"/>
    </row>
    <row r="223" spans="1:14" s="421" customFormat="1" x14ac:dyDescent="0.25">
      <c r="A223" s="425" t="s">
        <v>780</v>
      </c>
      <c r="C223" s="614"/>
      <c r="D223" s="614"/>
      <c r="E223" s="614"/>
      <c r="F223" s="614"/>
      <c r="G223" s="398"/>
      <c r="H223" s="398"/>
      <c r="I223" s="398"/>
      <c r="J223" s="398"/>
      <c r="K223" s="398"/>
      <c r="L223" s="398"/>
      <c r="M223" s="398"/>
      <c r="N223" s="398"/>
    </row>
    <row r="225" spans="1:18" x14ac:dyDescent="0.25">
      <c r="A225" s="676" t="s">
        <v>1101</v>
      </c>
      <c r="B225" s="421"/>
    </row>
    <row r="226" spans="1:18" s="423" customFormat="1" x14ac:dyDescent="0.25">
      <c r="A226" s="425" t="s">
        <v>739</v>
      </c>
      <c r="B226" s="707" t="s">
        <v>126</v>
      </c>
      <c r="C226" s="707" t="s">
        <v>1102</v>
      </c>
      <c r="D226" s="707" t="s">
        <v>1103</v>
      </c>
      <c r="E226" s="707" t="s">
        <v>1104</v>
      </c>
      <c r="F226" s="707" t="s">
        <v>1105</v>
      </c>
      <c r="G226" s="707" t="s">
        <v>1106</v>
      </c>
      <c r="H226" s="707" t="s">
        <v>1107</v>
      </c>
      <c r="I226" s="707" t="s">
        <v>1108</v>
      </c>
      <c r="J226" s="707" t="s">
        <v>1109</v>
      </c>
      <c r="K226" s="707" t="s">
        <v>419</v>
      </c>
      <c r="L226" s="707" t="s">
        <v>1110</v>
      </c>
      <c r="M226" s="707" t="s">
        <v>1111</v>
      </c>
      <c r="N226" s="707" t="s">
        <v>1112</v>
      </c>
      <c r="O226" s="707" t="s">
        <v>1113</v>
      </c>
      <c r="P226" s="707" t="s">
        <v>1114</v>
      </c>
      <c r="Q226" s="707" t="s">
        <v>1115</v>
      </c>
      <c r="R226" s="707" t="s">
        <v>1116</v>
      </c>
    </row>
    <row r="227" spans="1:18" s="423" customFormat="1" x14ac:dyDescent="0.25">
      <c r="A227" s="430" t="s">
        <v>1214</v>
      </c>
      <c r="B227" s="687" t="s">
        <v>1117</v>
      </c>
      <c r="C227" s="687" t="s">
        <v>1118</v>
      </c>
      <c r="D227" s="687"/>
      <c r="E227" s="687"/>
      <c r="F227" s="687"/>
      <c r="G227" s="687"/>
      <c r="H227" s="687"/>
      <c r="I227" s="687"/>
      <c r="J227" s="687"/>
      <c r="K227" s="687"/>
      <c r="L227" s="687" t="s">
        <v>1118</v>
      </c>
      <c r="M227" s="687"/>
      <c r="N227" s="687"/>
      <c r="O227" s="687" t="s">
        <v>1118</v>
      </c>
      <c r="P227" s="687"/>
      <c r="Q227" s="687"/>
      <c r="R227" s="687"/>
    </row>
    <row r="228" spans="1:18" s="423" customFormat="1" x14ac:dyDescent="0.25">
      <c r="A228" s="425" t="s">
        <v>769</v>
      </c>
      <c r="B228" s="436" t="s">
        <v>1098</v>
      </c>
      <c r="C228" s="436" t="s">
        <v>1098</v>
      </c>
      <c r="D228" s="436" t="s">
        <v>1098</v>
      </c>
      <c r="E228" s="436" t="s">
        <v>924</v>
      </c>
      <c r="F228" s="436" t="s">
        <v>770</v>
      </c>
      <c r="G228" s="436" t="s">
        <v>1119</v>
      </c>
      <c r="H228" s="436" t="s">
        <v>1120</v>
      </c>
      <c r="I228" s="436" t="s">
        <v>924</v>
      </c>
      <c r="J228" s="436" t="s">
        <v>924</v>
      </c>
      <c r="K228" s="436" t="s">
        <v>1120</v>
      </c>
      <c r="L228" s="436">
        <v>1</v>
      </c>
      <c r="M228" s="436" t="s">
        <v>924</v>
      </c>
      <c r="N228" s="436" t="s">
        <v>926</v>
      </c>
      <c r="O228" s="436" t="s">
        <v>926</v>
      </c>
      <c r="P228" s="436" t="s">
        <v>926</v>
      </c>
      <c r="Q228" s="436" t="s">
        <v>926</v>
      </c>
      <c r="R228" s="436" t="s">
        <v>926</v>
      </c>
    </row>
    <row r="229" spans="1:18" s="423" customFormat="1" x14ac:dyDescent="0.25">
      <c r="A229" s="425" t="s">
        <v>771</v>
      </c>
      <c r="B229" s="661"/>
      <c r="C229" s="661"/>
      <c r="D229" s="614"/>
      <c r="E229" s="614"/>
      <c r="F229" s="614"/>
      <c r="G229" s="614"/>
      <c r="H229" s="614"/>
      <c r="I229" s="614"/>
      <c r="J229" s="614"/>
      <c r="K229" s="398"/>
      <c r="L229" s="614"/>
      <c r="M229" s="614"/>
      <c r="N229" s="614"/>
      <c r="O229" s="614"/>
      <c r="P229" s="614"/>
      <c r="Q229" s="614"/>
      <c r="R229" s="398"/>
    </row>
    <row r="230" spans="1:18" s="614" customFormat="1" x14ac:dyDescent="0.25">
      <c r="A230" s="688" t="s">
        <v>772</v>
      </c>
      <c r="F230" s="398"/>
      <c r="G230" s="398"/>
      <c r="H230" s="398"/>
      <c r="I230" s="398"/>
      <c r="J230" s="398"/>
      <c r="K230" s="398"/>
      <c r="L230" s="398"/>
      <c r="M230" s="398"/>
    </row>
    <row r="231" spans="1:18" s="421" customFormat="1" x14ac:dyDescent="0.25">
      <c r="A231" s="425" t="s">
        <v>780</v>
      </c>
      <c r="C231" s="614"/>
      <c r="D231" s="614"/>
      <c r="E231" s="614"/>
      <c r="F231" s="398"/>
      <c r="G231" s="398"/>
      <c r="H231" s="398"/>
      <c r="I231" s="398"/>
      <c r="J231" s="398"/>
      <c r="K231" s="398"/>
      <c r="L231" s="398"/>
      <c r="M231" s="398"/>
    </row>
    <row r="232" spans="1:18" s="709" customFormat="1" x14ac:dyDescent="0.25">
      <c r="A232" s="708"/>
      <c r="C232" s="656"/>
      <c r="D232" s="656"/>
      <c r="E232" s="656"/>
      <c r="F232" s="671"/>
      <c r="G232" s="671"/>
      <c r="H232" s="671"/>
      <c r="I232" s="671"/>
      <c r="J232" s="671"/>
      <c r="K232" s="671"/>
      <c r="L232" s="671"/>
      <c r="M232" s="671"/>
    </row>
    <row r="233" spans="1:18" x14ac:dyDescent="0.25">
      <c r="A233" s="676" t="s">
        <v>1121</v>
      </c>
      <c r="B233" s="421"/>
    </row>
    <row r="234" spans="1:18" s="423" customFormat="1" x14ac:dyDescent="0.25">
      <c r="A234" s="425" t="s">
        <v>739</v>
      </c>
      <c r="B234" s="707" t="s">
        <v>126</v>
      </c>
      <c r="C234" s="707" t="s">
        <v>1102</v>
      </c>
      <c r="D234" s="707" t="s">
        <v>1103</v>
      </c>
      <c r="E234" s="707" t="s">
        <v>1104</v>
      </c>
      <c r="F234" s="707" t="s">
        <v>1105</v>
      </c>
      <c r="G234" s="707" t="s">
        <v>1106</v>
      </c>
      <c r="H234" s="707" t="s">
        <v>1107</v>
      </c>
      <c r="I234" s="707" t="s">
        <v>1108</v>
      </c>
      <c r="J234" s="707" t="s">
        <v>1109</v>
      </c>
      <c r="K234" s="707" t="s">
        <v>419</v>
      </c>
      <c r="L234" s="707" t="s">
        <v>1110</v>
      </c>
      <c r="M234" s="707" t="s">
        <v>1111</v>
      </c>
      <c r="N234" s="707" t="s">
        <v>1112</v>
      </c>
      <c r="O234" s="707" t="s">
        <v>1113</v>
      </c>
      <c r="P234" s="707" t="s">
        <v>1114</v>
      </c>
      <c r="Q234" s="707" t="s">
        <v>1115</v>
      </c>
      <c r="R234" s="707" t="s">
        <v>1116</v>
      </c>
    </row>
    <row r="235" spans="1:18" s="423" customFormat="1" x14ac:dyDescent="0.25">
      <c r="A235" s="430" t="s">
        <v>1214</v>
      </c>
      <c r="B235" s="687" t="s">
        <v>1117</v>
      </c>
      <c r="C235" s="687" t="s">
        <v>1118</v>
      </c>
      <c r="D235" s="687"/>
      <c r="E235" s="687"/>
      <c r="F235" s="687"/>
      <c r="G235" s="687"/>
      <c r="H235" s="687"/>
      <c r="I235" s="687"/>
      <c r="J235" s="687"/>
      <c r="K235" s="687"/>
      <c r="L235" s="687" t="s">
        <v>1118</v>
      </c>
      <c r="M235" s="687"/>
      <c r="N235" s="687"/>
      <c r="O235" s="687" t="s">
        <v>1118</v>
      </c>
      <c r="P235" s="687"/>
      <c r="Q235" s="687"/>
      <c r="R235" s="687"/>
    </row>
    <row r="236" spans="1:18" s="423" customFormat="1" x14ac:dyDescent="0.25">
      <c r="A236" s="425" t="s">
        <v>769</v>
      </c>
      <c r="B236" s="436" t="s">
        <v>1098</v>
      </c>
      <c r="C236" s="436" t="s">
        <v>1098</v>
      </c>
      <c r="D236" s="436" t="s">
        <v>1098</v>
      </c>
      <c r="E236" s="436" t="s">
        <v>924</v>
      </c>
      <c r="F236" s="436" t="s">
        <v>770</v>
      </c>
      <c r="G236" s="436" t="s">
        <v>1119</v>
      </c>
      <c r="H236" s="436" t="s">
        <v>1120</v>
      </c>
      <c r="I236" s="436" t="s">
        <v>924</v>
      </c>
      <c r="J236" s="436" t="s">
        <v>924</v>
      </c>
      <c r="K236" s="436" t="s">
        <v>1120</v>
      </c>
      <c r="L236" s="436">
        <v>1</v>
      </c>
      <c r="M236" s="436" t="s">
        <v>924</v>
      </c>
      <c r="N236" s="436" t="s">
        <v>926</v>
      </c>
      <c r="O236" s="436" t="s">
        <v>926</v>
      </c>
      <c r="P236" s="436" t="s">
        <v>926</v>
      </c>
      <c r="Q236" s="436" t="s">
        <v>926</v>
      </c>
      <c r="R236" s="436" t="s">
        <v>926</v>
      </c>
    </row>
    <row r="237" spans="1:18" s="423" customFormat="1" x14ac:dyDescent="0.25">
      <c r="A237" s="425" t="s">
        <v>771</v>
      </c>
      <c r="B237" s="661"/>
      <c r="C237" s="661"/>
      <c r="D237" s="614"/>
      <c r="E237" s="614"/>
      <c r="F237" s="614"/>
      <c r="G237" s="614"/>
      <c r="H237" s="614"/>
      <c r="I237" s="614"/>
      <c r="J237" s="614"/>
      <c r="K237" s="398"/>
      <c r="L237" s="614"/>
      <c r="M237" s="614"/>
      <c r="N237" s="614"/>
      <c r="O237" s="614"/>
      <c r="P237" s="614"/>
      <c r="Q237" s="614"/>
      <c r="R237" s="398"/>
    </row>
    <row r="238" spans="1:18" s="614" customFormat="1" x14ac:dyDescent="0.25">
      <c r="A238" s="688" t="s">
        <v>772</v>
      </c>
      <c r="F238" s="398"/>
      <c r="G238" s="398"/>
      <c r="H238" s="398"/>
      <c r="I238" s="398"/>
      <c r="J238" s="398"/>
      <c r="K238" s="398"/>
      <c r="L238" s="398"/>
      <c r="M238" s="398"/>
    </row>
    <row r="239" spans="1:18" s="421" customFormat="1" x14ac:dyDescent="0.25">
      <c r="A239" s="425" t="s">
        <v>780</v>
      </c>
      <c r="C239" s="614"/>
      <c r="D239" s="614"/>
      <c r="E239" s="614"/>
      <c r="F239" s="398"/>
      <c r="G239" s="398"/>
      <c r="H239" s="398"/>
      <c r="I239" s="398"/>
      <c r="J239" s="398"/>
      <c r="K239" s="398"/>
      <c r="L239" s="398"/>
      <c r="M239" s="398"/>
    </row>
    <row r="240" spans="1:18" s="709" customFormat="1" x14ac:dyDescent="0.25">
      <c r="A240" s="708"/>
      <c r="C240" s="656"/>
      <c r="D240" s="656"/>
      <c r="E240" s="656"/>
      <c r="F240" s="671"/>
      <c r="G240" s="671"/>
      <c r="H240" s="671"/>
      <c r="I240" s="671"/>
      <c r="J240" s="671"/>
      <c r="K240" s="671"/>
      <c r="L240" s="671"/>
      <c r="M240" s="671"/>
    </row>
    <row r="241" spans="1:48" ht="15.75" thickBot="1" x14ac:dyDescent="0.3">
      <c r="A241" s="676" t="s">
        <v>1122</v>
      </c>
      <c r="G241" s="621"/>
    </row>
    <row r="242" spans="1:48" ht="71.25" thickBot="1" x14ac:dyDescent="0.3">
      <c r="A242" s="710" t="s">
        <v>1123</v>
      </c>
      <c r="B242" s="711" t="s">
        <v>1124</v>
      </c>
      <c r="C242" s="712">
        <v>40057</v>
      </c>
      <c r="D242" s="712">
        <v>40087</v>
      </c>
      <c r="E242" s="712">
        <v>40118</v>
      </c>
      <c r="F242" s="712">
        <v>40148</v>
      </c>
      <c r="G242" s="713" t="s">
        <v>1125</v>
      </c>
      <c r="H242" s="712">
        <v>40179</v>
      </c>
      <c r="I242" s="712">
        <v>40210</v>
      </c>
      <c r="J242" s="712">
        <v>40238</v>
      </c>
      <c r="K242" s="712">
        <v>40269</v>
      </c>
      <c r="L242" s="712">
        <v>40299</v>
      </c>
      <c r="M242" s="712">
        <v>40330</v>
      </c>
      <c r="N242" s="712">
        <v>40360</v>
      </c>
      <c r="O242" s="712">
        <v>40391</v>
      </c>
      <c r="P242" s="712">
        <v>40422</v>
      </c>
      <c r="Q242" s="712">
        <v>40452</v>
      </c>
      <c r="R242" s="712">
        <v>40483</v>
      </c>
      <c r="S242" s="712">
        <v>40513</v>
      </c>
      <c r="T242" s="713" t="s">
        <v>1126</v>
      </c>
      <c r="U242" s="712">
        <v>40544</v>
      </c>
      <c r="V242" s="712">
        <v>40575</v>
      </c>
      <c r="W242" s="712">
        <v>40603</v>
      </c>
      <c r="X242" s="712">
        <v>40634</v>
      </c>
      <c r="Y242" s="712">
        <v>40664</v>
      </c>
      <c r="Z242" s="712">
        <v>40695</v>
      </c>
      <c r="AA242" s="712">
        <v>40725</v>
      </c>
      <c r="AB242" s="712">
        <v>40756</v>
      </c>
      <c r="AC242" s="712">
        <v>40787</v>
      </c>
      <c r="AD242" s="712">
        <v>40817</v>
      </c>
      <c r="AE242" s="712"/>
      <c r="AF242" s="712">
        <v>40848</v>
      </c>
      <c r="AG242" s="712">
        <v>40878</v>
      </c>
      <c r="AH242" s="713" t="s">
        <v>1127</v>
      </c>
      <c r="AI242" s="712">
        <v>40909</v>
      </c>
      <c r="AJ242" s="712">
        <v>40940</v>
      </c>
      <c r="AK242" s="712">
        <v>40969</v>
      </c>
      <c r="AL242" s="712">
        <v>41000</v>
      </c>
      <c r="AM242" s="712">
        <v>41030</v>
      </c>
      <c r="AN242" s="712">
        <v>41061</v>
      </c>
      <c r="AO242" s="712">
        <v>41091</v>
      </c>
      <c r="AP242" s="712">
        <v>41122</v>
      </c>
      <c r="AQ242" s="712">
        <v>41153</v>
      </c>
      <c r="AR242" s="712">
        <v>41183</v>
      </c>
      <c r="AS242" s="712">
        <v>41214</v>
      </c>
      <c r="AT242" s="712">
        <v>41244</v>
      </c>
      <c r="AU242" s="713" t="s">
        <v>1128</v>
      </c>
      <c r="AV242" s="714" t="s">
        <v>1129</v>
      </c>
    </row>
    <row r="243" spans="1:48" x14ac:dyDescent="0.25">
      <c r="A243" s="715" t="s">
        <v>624</v>
      </c>
      <c r="B243" s="716" t="s">
        <v>623</v>
      </c>
      <c r="C243" s="717"/>
      <c r="D243" s="717"/>
      <c r="E243" s="717"/>
      <c r="F243" s="718"/>
      <c r="G243" s="719">
        <f t="shared" ref="G243:G275" si="0">SUM(C243:F243)</f>
        <v>0</v>
      </c>
      <c r="H243" s="717"/>
      <c r="I243" s="717"/>
      <c r="J243" s="717"/>
      <c r="K243" s="717"/>
      <c r="L243" s="717"/>
      <c r="M243" s="717"/>
      <c r="N243" s="717"/>
      <c r="O243" s="717"/>
      <c r="P243" s="717"/>
      <c r="Q243" s="717"/>
      <c r="R243" s="717"/>
      <c r="S243" s="717"/>
      <c r="T243" s="719">
        <f t="shared" ref="T243:T275" si="1">SUM(H243:S243)</f>
        <v>0</v>
      </c>
      <c r="U243" s="717"/>
      <c r="V243" s="717"/>
      <c r="W243" s="717"/>
      <c r="X243" s="717"/>
      <c r="Y243" s="717"/>
      <c r="Z243" s="717"/>
      <c r="AA243" s="717"/>
      <c r="AB243" s="717"/>
      <c r="AC243" s="717"/>
      <c r="AD243" s="717"/>
      <c r="AE243" s="717"/>
      <c r="AF243" s="717"/>
      <c r="AG243" s="717"/>
      <c r="AH243" s="719">
        <f t="shared" ref="AH243:AH275" si="2">SUM(U243:AG243)</f>
        <v>0</v>
      </c>
      <c r="AI243" s="717"/>
      <c r="AJ243" s="717"/>
      <c r="AK243" s="717"/>
      <c r="AL243" s="717"/>
      <c r="AM243" s="717"/>
      <c r="AN243" s="717"/>
      <c r="AO243" s="717"/>
      <c r="AP243" s="717"/>
      <c r="AQ243" s="717"/>
      <c r="AR243" s="717"/>
      <c r="AS243" s="717"/>
      <c r="AT243" s="717"/>
      <c r="AU243" s="719">
        <f t="shared" ref="AU243:AU275" si="3">SUM(AI243:AT243)</f>
        <v>0</v>
      </c>
      <c r="AV243" s="720">
        <f t="shared" ref="AV243:AV275" si="4">G243+T243+AH243+AU243</f>
        <v>0</v>
      </c>
    </row>
    <row r="244" spans="1:48" x14ac:dyDescent="0.25">
      <c r="A244" s="715" t="s">
        <v>624</v>
      </c>
      <c r="B244" s="716" t="s">
        <v>627</v>
      </c>
      <c r="C244" s="721"/>
      <c r="D244" s="721"/>
      <c r="E244" s="721"/>
      <c r="F244" s="722"/>
      <c r="G244" s="723">
        <f t="shared" si="0"/>
        <v>0</v>
      </c>
      <c r="H244" s="721"/>
      <c r="I244" s="721"/>
      <c r="J244" s="721"/>
      <c r="K244" s="721"/>
      <c r="L244" s="721"/>
      <c r="M244" s="721"/>
      <c r="N244" s="721"/>
      <c r="O244" s="721"/>
      <c r="P244" s="721"/>
      <c r="Q244" s="721"/>
      <c r="R244" s="721"/>
      <c r="S244" s="721"/>
      <c r="T244" s="723">
        <f t="shared" si="1"/>
        <v>0</v>
      </c>
      <c r="U244" s="721"/>
      <c r="V244" s="721"/>
      <c r="W244" s="721"/>
      <c r="X244" s="721"/>
      <c r="Y244" s="721"/>
      <c r="Z244" s="721"/>
      <c r="AA244" s="721"/>
      <c r="AB244" s="721"/>
      <c r="AC244" s="721"/>
      <c r="AD244" s="721"/>
      <c r="AE244" s="721"/>
      <c r="AF244" s="721"/>
      <c r="AG244" s="721"/>
      <c r="AH244" s="723">
        <f t="shared" si="2"/>
        <v>0</v>
      </c>
      <c r="AI244" s="721"/>
      <c r="AJ244" s="721"/>
      <c r="AK244" s="721"/>
      <c r="AL244" s="721"/>
      <c r="AM244" s="721"/>
      <c r="AN244" s="721"/>
      <c r="AO244" s="721"/>
      <c r="AP244" s="721"/>
      <c r="AQ244" s="721"/>
      <c r="AR244" s="721"/>
      <c r="AS244" s="721"/>
      <c r="AT244" s="721"/>
      <c r="AU244" s="723">
        <f t="shared" si="3"/>
        <v>0</v>
      </c>
      <c r="AV244" s="720">
        <f t="shared" si="4"/>
        <v>0</v>
      </c>
    </row>
    <row r="245" spans="1:48" x14ac:dyDescent="0.25">
      <c r="A245" s="715" t="s">
        <v>624</v>
      </c>
      <c r="B245" s="716" t="s">
        <v>630</v>
      </c>
      <c r="C245" s="721"/>
      <c r="D245" s="721"/>
      <c r="E245" s="721"/>
      <c r="F245" s="722"/>
      <c r="G245" s="723">
        <f t="shared" si="0"/>
        <v>0</v>
      </c>
      <c r="H245" s="721"/>
      <c r="I245" s="721"/>
      <c r="J245" s="721"/>
      <c r="K245" s="721"/>
      <c r="L245" s="721"/>
      <c r="M245" s="721"/>
      <c r="N245" s="721"/>
      <c r="O245" s="721"/>
      <c r="P245" s="721"/>
      <c r="Q245" s="721"/>
      <c r="R245" s="721"/>
      <c r="S245" s="721"/>
      <c r="T245" s="723">
        <f t="shared" si="1"/>
        <v>0</v>
      </c>
      <c r="U245" s="721"/>
      <c r="V245" s="721"/>
      <c r="W245" s="721"/>
      <c r="X245" s="721"/>
      <c r="Y245" s="721"/>
      <c r="Z245" s="721"/>
      <c r="AA245" s="721"/>
      <c r="AB245" s="721"/>
      <c r="AC245" s="721"/>
      <c r="AD245" s="721"/>
      <c r="AE245" s="721"/>
      <c r="AF245" s="721"/>
      <c r="AG245" s="721"/>
      <c r="AH245" s="723">
        <f t="shared" si="2"/>
        <v>0</v>
      </c>
      <c r="AI245" s="721"/>
      <c r="AJ245" s="721"/>
      <c r="AK245" s="721"/>
      <c r="AL245" s="721"/>
      <c r="AM245" s="721"/>
      <c r="AN245" s="721"/>
      <c r="AO245" s="721"/>
      <c r="AP245" s="721"/>
      <c r="AQ245" s="721"/>
      <c r="AR245" s="721"/>
      <c r="AS245" s="721"/>
      <c r="AT245" s="721"/>
      <c r="AU245" s="723">
        <f t="shared" si="3"/>
        <v>0</v>
      </c>
      <c r="AV245" s="720">
        <f t="shared" si="4"/>
        <v>0</v>
      </c>
    </row>
    <row r="246" spans="1:48" x14ac:dyDescent="0.25">
      <c r="A246" s="724" t="s">
        <v>624</v>
      </c>
      <c r="B246" s="716" t="s">
        <v>632</v>
      </c>
      <c r="C246" s="721"/>
      <c r="D246" s="721"/>
      <c r="E246" s="721"/>
      <c r="F246" s="722"/>
      <c r="G246" s="723">
        <f t="shared" si="0"/>
        <v>0</v>
      </c>
      <c r="H246" s="721"/>
      <c r="I246" s="721"/>
      <c r="J246" s="721"/>
      <c r="K246" s="721"/>
      <c r="L246" s="721"/>
      <c r="M246" s="721"/>
      <c r="N246" s="721"/>
      <c r="O246" s="721"/>
      <c r="P246" s="721"/>
      <c r="Q246" s="721"/>
      <c r="R246" s="721"/>
      <c r="S246" s="721"/>
      <c r="T246" s="723">
        <f t="shared" si="1"/>
        <v>0</v>
      </c>
      <c r="U246" s="721"/>
      <c r="V246" s="721"/>
      <c r="W246" s="721"/>
      <c r="X246" s="721"/>
      <c r="Y246" s="721"/>
      <c r="Z246" s="721"/>
      <c r="AA246" s="721"/>
      <c r="AB246" s="721"/>
      <c r="AC246" s="721"/>
      <c r="AD246" s="721"/>
      <c r="AE246" s="721"/>
      <c r="AF246" s="721"/>
      <c r="AG246" s="721"/>
      <c r="AH246" s="723">
        <f t="shared" si="2"/>
        <v>0</v>
      </c>
      <c r="AI246" s="721"/>
      <c r="AJ246" s="721"/>
      <c r="AK246" s="721"/>
      <c r="AL246" s="721"/>
      <c r="AM246" s="721"/>
      <c r="AN246" s="721"/>
      <c r="AO246" s="721"/>
      <c r="AP246" s="721"/>
      <c r="AQ246" s="721"/>
      <c r="AR246" s="721"/>
      <c r="AS246" s="721"/>
      <c r="AT246" s="721"/>
      <c r="AU246" s="723">
        <f t="shared" si="3"/>
        <v>0</v>
      </c>
      <c r="AV246" s="720">
        <f t="shared" si="4"/>
        <v>0</v>
      </c>
    </row>
    <row r="247" spans="1:48" x14ac:dyDescent="0.25">
      <c r="A247" s="715" t="s">
        <v>624</v>
      </c>
      <c r="B247" s="716" t="s">
        <v>634</v>
      </c>
      <c r="C247" s="721"/>
      <c r="D247" s="721"/>
      <c r="E247" s="721"/>
      <c r="F247" s="722"/>
      <c r="G247" s="723">
        <f t="shared" si="0"/>
        <v>0</v>
      </c>
      <c r="H247" s="721"/>
      <c r="I247" s="721"/>
      <c r="J247" s="721"/>
      <c r="K247" s="721"/>
      <c r="L247" s="721"/>
      <c r="M247" s="721"/>
      <c r="N247" s="721"/>
      <c r="O247" s="721"/>
      <c r="P247" s="721"/>
      <c r="Q247" s="721"/>
      <c r="R247" s="721"/>
      <c r="S247" s="721"/>
      <c r="T247" s="723">
        <f t="shared" si="1"/>
        <v>0</v>
      </c>
      <c r="U247" s="721"/>
      <c r="V247" s="721"/>
      <c r="W247" s="721"/>
      <c r="X247" s="721"/>
      <c r="Y247" s="721"/>
      <c r="Z247" s="721"/>
      <c r="AA247" s="721"/>
      <c r="AB247" s="721"/>
      <c r="AC247" s="721"/>
      <c r="AD247" s="721"/>
      <c r="AE247" s="721"/>
      <c r="AF247" s="721"/>
      <c r="AG247" s="721"/>
      <c r="AH247" s="723">
        <f t="shared" si="2"/>
        <v>0</v>
      </c>
      <c r="AI247" s="721"/>
      <c r="AJ247" s="721"/>
      <c r="AK247" s="721"/>
      <c r="AL247" s="721"/>
      <c r="AM247" s="721"/>
      <c r="AN247" s="721"/>
      <c r="AO247" s="721"/>
      <c r="AP247" s="721"/>
      <c r="AQ247" s="721"/>
      <c r="AR247" s="721"/>
      <c r="AS247" s="721"/>
      <c r="AT247" s="721"/>
      <c r="AU247" s="723">
        <f t="shared" si="3"/>
        <v>0</v>
      </c>
      <c r="AV247" s="720">
        <f t="shared" si="4"/>
        <v>0</v>
      </c>
    </row>
    <row r="248" spans="1:48" x14ac:dyDescent="0.25">
      <c r="A248" s="715" t="s">
        <v>624</v>
      </c>
      <c r="B248" s="716" t="s">
        <v>637</v>
      </c>
      <c r="C248" s="721"/>
      <c r="D248" s="721"/>
      <c r="E248" s="721"/>
      <c r="F248" s="722"/>
      <c r="G248" s="723">
        <f t="shared" si="0"/>
        <v>0</v>
      </c>
      <c r="H248" s="721"/>
      <c r="I248" s="721"/>
      <c r="J248" s="721"/>
      <c r="K248" s="721"/>
      <c r="L248" s="721"/>
      <c r="M248" s="721"/>
      <c r="N248" s="721"/>
      <c r="O248" s="721"/>
      <c r="P248" s="721"/>
      <c r="Q248" s="721"/>
      <c r="R248" s="721"/>
      <c r="S248" s="721"/>
      <c r="T248" s="723">
        <f t="shared" si="1"/>
        <v>0</v>
      </c>
      <c r="U248" s="721"/>
      <c r="V248" s="721"/>
      <c r="W248" s="721"/>
      <c r="X248" s="721"/>
      <c r="Y248" s="721"/>
      <c r="Z248" s="721"/>
      <c r="AA248" s="721"/>
      <c r="AB248" s="721"/>
      <c r="AC248" s="721"/>
      <c r="AD248" s="721"/>
      <c r="AE248" s="721"/>
      <c r="AF248" s="721"/>
      <c r="AG248" s="721"/>
      <c r="AH248" s="723">
        <f t="shared" si="2"/>
        <v>0</v>
      </c>
      <c r="AI248" s="721"/>
      <c r="AJ248" s="721"/>
      <c r="AK248" s="721"/>
      <c r="AL248" s="721"/>
      <c r="AM248" s="721"/>
      <c r="AN248" s="721"/>
      <c r="AO248" s="721"/>
      <c r="AP248" s="721"/>
      <c r="AQ248" s="721"/>
      <c r="AR248" s="721"/>
      <c r="AS248" s="721"/>
      <c r="AT248" s="721"/>
      <c r="AU248" s="723">
        <f t="shared" si="3"/>
        <v>0</v>
      </c>
      <c r="AV248" s="720">
        <f t="shared" si="4"/>
        <v>0</v>
      </c>
    </row>
    <row r="249" spans="1:48" x14ac:dyDescent="0.25">
      <c r="A249" s="715" t="s">
        <v>624</v>
      </c>
      <c r="B249" s="716" t="s">
        <v>640</v>
      </c>
      <c r="C249" s="721"/>
      <c r="D249" s="721"/>
      <c r="E249" s="721"/>
      <c r="F249" s="722"/>
      <c r="G249" s="723">
        <f t="shared" si="0"/>
        <v>0</v>
      </c>
      <c r="H249" s="721"/>
      <c r="I249" s="721"/>
      <c r="J249" s="721"/>
      <c r="K249" s="721"/>
      <c r="L249" s="721"/>
      <c r="M249" s="721"/>
      <c r="N249" s="721"/>
      <c r="O249" s="721"/>
      <c r="P249" s="721"/>
      <c r="Q249" s="721"/>
      <c r="R249" s="721"/>
      <c r="S249" s="721"/>
      <c r="T249" s="723">
        <f t="shared" si="1"/>
        <v>0</v>
      </c>
      <c r="U249" s="721"/>
      <c r="V249" s="721"/>
      <c r="W249" s="721"/>
      <c r="X249" s="721"/>
      <c r="Y249" s="721"/>
      <c r="Z249" s="721"/>
      <c r="AA249" s="721"/>
      <c r="AB249" s="721"/>
      <c r="AC249" s="721"/>
      <c r="AD249" s="721"/>
      <c r="AE249" s="721"/>
      <c r="AF249" s="721"/>
      <c r="AG249" s="721"/>
      <c r="AH249" s="723">
        <f t="shared" si="2"/>
        <v>0</v>
      </c>
      <c r="AI249" s="721"/>
      <c r="AJ249" s="721"/>
      <c r="AK249" s="721"/>
      <c r="AL249" s="721"/>
      <c r="AM249" s="721"/>
      <c r="AN249" s="721"/>
      <c r="AO249" s="721"/>
      <c r="AP249" s="721"/>
      <c r="AQ249" s="721"/>
      <c r="AR249" s="721"/>
      <c r="AS249" s="721"/>
      <c r="AT249" s="721"/>
      <c r="AU249" s="723">
        <f t="shared" si="3"/>
        <v>0</v>
      </c>
      <c r="AV249" s="720">
        <f t="shared" si="4"/>
        <v>0</v>
      </c>
    </row>
    <row r="250" spans="1:48" x14ac:dyDescent="0.25">
      <c r="A250" s="715" t="s">
        <v>624</v>
      </c>
      <c r="B250" s="716" t="s">
        <v>635</v>
      </c>
      <c r="C250" s="721"/>
      <c r="D250" s="721"/>
      <c r="E250" s="721"/>
      <c r="F250" s="722"/>
      <c r="G250" s="723">
        <f t="shared" si="0"/>
        <v>0</v>
      </c>
      <c r="H250" s="721"/>
      <c r="I250" s="721"/>
      <c r="J250" s="721"/>
      <c r="K250" s="721"/>
      <c r="L250" s="721"/>
      <c r="M250" s="721"/>
      <c r="N250" s="721"/>
      <c r="O250" s="721"/>
      <c r="P250" s="721"/>
      <c r="Q250" s="721"/>
      <c r="R250" s="721"/>
      <c r="S250" s="721"/>
      <c r="T250" s="723">
        <f t="shared" si="1"/>
        <v>0</v>
      </c>
      <c r="U250" s="721"/>
      <c r="V250" s="721"/>
      <c r="W250" s="721"/>
      <c r="X250" s="721"/>
      <c r="Y250" s="721"/>
      <c r="Z250" s="721"/>
      <c r="AA250" s="721"/>
      <c r="AB250" s="721"/>
      <c r="AC250" s="721"/>
      <c r="AD250" s="721"/>
      <c r="AE250" s="721"/>
      <c r="AF250" s="721"/>
      <c r="AG250" s="721"/>
      <c r="AH250" s="723">
        <f t="shared" si="2"/>
        <v>0</v>
      </c>
      <c r="AI250" s="721"/>
      <c r="AJ250" s="721"/>
      <c r="AK250" s="721"/>
      <c r="AL250" s="721"/>
      <c r="AM250" s="721"/>
      <c r="AN250" s="721"/>
      <c r="AO250" s="721"/>
      <c r="AP250" s="721"/>
      <c r="AQ250" s="721"/>
      <c r="AR250" s="721"/>
      <c r="AS250" s="721"/>
      <c r="AT250" s="721"/>
      <c r="AU250" s="723">
        <f t="shared" si="3"/>
        <v>0</v>
      </c>
      <c r="AV250" s="720">
        <f t="shared" si="4"/>
        <v>0</v>
      </c>
    </row>
    <row r="251" spans="1:48" x14ac:dyDescent="0.25">
      <c r="A251" s="715" t="s">
        <v>624</v>
      </c>
      <c r="B251" s="716" t="s">
        <v>645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647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15" t="s">
        <v>624</v>
      </c>
      <c r="B253" s="716" t="s">
        <v>649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651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654</v>
      </c>
      <c r="B255" s="716" t="s">
        <v>653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654</v>
      </c>
      <c r="B256" s="716" t="s">
        <v>657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24" t="s">
        <v>660</v>
      </c>
      <c r="B257" s="716" t="s">
        <v>655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24" t="s">
        <v>660</v>
      </c>
      <c r="B258" s="716" t="s">
        <v>641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24" t="s">
        <v>660</v>
      </c>
      <c r="B259" s="716" t="s">
        <v>664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660</v>
      </c>
      <c r="B260" s="716" t="s">
        <v>666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660</v>
      </c>
      <c r="B261" s="716" t="s">
        <v>668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660</v>
      </c>
      <c r="B262" s="716" t="s">
        <v>670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24" t="s">
        <v>660</v>
      </c>
      <c r="B263" s="716" t="s">
        <v>672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15" t="s">
        <v>660</v>
      </c>
      <c r="B264" s="716" t="s">
        <v>659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15" t="s">
        <v>660</v>
      </c>
      <c r="B265" s="716" t="s">
        <v>674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15" t="s">
        <v>677</v>
      </c>
      <c r="B266" s="716" t="s">
        <v>676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677</v>
      </c>
      <c r="B267" s="716" t="s">
        <v>625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677</v>
      </c>
      <c r="B268" s="716" t="s">
        <v>680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677</v>
      </c>
      <c r="B269" s="716" t="s">
        <v>682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15" t="s">
        <v>677</v>
      </c>
      <c r="B270" s="716" t="s">
        <v>638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677</v>
      </c>
      <c r="B271" s="716" t="s">
        <v>685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677</v>
      </c>
      <c r="B272" s="716" t="s">
        <v>687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689</v>
      </c>
      <c r="B273" s="716" t="s">
        <v>689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628</v>
      </c>
      <c r="B274" s="716" t="s">
        <v>628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ht="15.75" thickBot="1" x14ac:dyDescent="0.3">
      <c r="A275" s="725" t="s">
        <v>643</v>
      </c>
      <c r="B275" s="726" t="s">
        <v>643</v>
      </c>
      <c r="C275" s="727"/>
      <c r="D275" s="727"/>
      <c r="E275" s="727"/>
      <c r="F275" s="728"/>
      <c r="G275" s="729">
        <f t="shared" si="0"/>
        <v>0</v>
      </c>
      <c r="H275" s="727"/>
      <c r="I275" s="727"/>
      <c r="J275" s="727"/>
      <c r="K275" s="727"/>
      <c r="L275" s="727"/>
      <c r="M275" s="727"/>
      <c r="N275" s="727"/>
      <c r="O275" s="727"/>
      <c r="P275" s="727"/>
      <c r="Q275" s="727"/>
      <c r="R275" s="727"/>
      <c r="S275" s="727"/>
      <c r="T275" s="729">
        <f t="shared" si="1"/>
        <v>0</v>
      </c>
      <c r="U275" s="727"/>
      <c r="V275" s="727"/>
      <c r="W275" s="727"/>
      <c r="X275" s="727"/>
      <c r="Y275" s="727"/>
      <c r="Z275" s="727"/>
      <c r="AA275" s="727"/>
      <c r="AB275" s="727"/>
      <c r="AC275" s="727"/>
      <c r="AD275" s="727"/>
      <c r="AE275" s="727"/>
      <c r="AF275" s="727"/>
      <c r="AG275" s="727"/>
      <c r="AH275" s="729">
        <f t="shared" si="2"/>
        <v>0</v>
      </c>
      <c r="AI275" s="727"/>
      <c r="AJ275" s="727"/>
      <c r="AK275" s="727"/>
      <c r="AL275" s="727"/>
      <c r="AM275" s="727"/>
      <c r="AN275" s="727"/>
      <c r="AO275" s="727"/>
      <c r="AP275" s="727"/>
      <c r="AQ275" s="727"/>
      <c r="AR275" s="727"/>
      <c r="AS275" s="727"/>
      <c r="AT275" s="727"/>
      <c r="AU275" s="729">
        <f t="shared" si="3"/>
        <v>0</v>
      </c>
      <c r="AV275" s="730">
        <f t="shared" si="4"/>
        <v>0</v>
      </c>
    </row>
    <row r="276" spans="1:48" ht="15.75" thickBot="1" x14ac:dyDescent="0.3">
      <c r="A276" s="621"/>
      <c r="B276" s="731" t="s">
        <v>1130</v>
      </c>
      <c r="C276" s="732">
        <f t="shared" ref="C276:AV276" si="5">SUM(C243:C275)</f>
        <v>0</v>
      </c>
      <c r="D276" s="732">
        <f t="shared" si="5"/>
        <v>0</v>
      </c>
      <c r="E276" s="732">
        <f t="shared" si="5"/>
        <v>0</v>
      </c>
      <c r="F276" s="732">
        <f t="shared" si="5"/>
        <v>0</v>
      </c>
      <c r="G276" s="733">
        <f t="shared" si="5"/>
        <v>0</v>
      </c>
      <c r="H276" s="732">
        <f t="shared" si="5"/>
        <v>0</v>
      </c>
      <c r="I276" s="732">
        <f t="shared" si="5"/>
        <v>0</v>
      </c>
      <c r="J276" s="732">
        <f t="shared" si="5"/>
        <v>0</v>
      </c>
      <c r="K276" s="732">
        <f t="shared" si="5"/>
        <v>0</v>
      </c>
      <c r="L276" s="732">
        <f t="shared" si="5"/>
        <v>0</v>
      </c>
      <c r="M276" s="732">
        <f t="shared" si="5"/>
        <v>0</v>
      </c>
      <c r="N276" s="732">
        <f t="shared" si="5"/>
        <v>0</v>
      </c>
      <c r="O276" s="732">
        <f t="shared" si="5"/>
        <v>0</v>
      </c>
      <c r="P276" s="732">
        <f t="shared" si="5"/>
        <v>0</v>
      </c>
      <c r="Q276" s="732">
        <f t="shared" si="5"/>
        <v>0</v>
      </c>
      <c r="R276" s="732">
        <f t="shared" si="5"/>
        <v>0</v>
      </c>
      <c r="S276" s="732">
        <f t="shared" si="5"/>
        <v>0</v>
      </c>
      <c r="T276" s="733">
        <f t="shared" si="5"/>
        <v>0</v>
      </c>
      <c r="U276" s="732">
        <f t="shared" si="5"/>
        <v>0</v>
      </c>
      <c r="V276" s="732">
        <f t="shared" si="5"/>
        <v>0</v>
      </c>
      <c r="W276" s="732">
        <f t="shared" si="5"/>
        <v>0</v>
      </c>
      <c r="X276" s="732">
        <f t="shared" si="5"/>
        <v>0</v>
      </c>
      <c r="Y276" s="732">
        <f t="shared" si="5"/>
        <v>0</v>
      </c>
      <c r="Z276" s="732">
        <f t="shared" si="5"/>
        <v>0</v>
      </c>
      <c r="AA276" s="732">
        <f t="shared" si="5"/>
        <v>0</v>
      </c>
      <c r="AB276" s="732">
        <f t="shared" si="5"/>
        <v>0</v>
      </c>
      <c r="AC276" s="732">
        <f t="shared" si="5"/>
        <v>0</v>
      </c>
      <c r="AD276" s="732">
        <f t="shared" si="5"/>
        <v>0</v>
      </c>
      <c r="AE276" s="732"/>
      <c r="AF276" s="732">
        <f t="shared" si="5"/>
        <v>0</v>
      </c>
      <c r="AG276" s="732">
        <f t="shared" si="5"/>
        <v>0</v>
      </c>
      <c r="AH276" s="733">
        <f t="shared" si="5"/>
        <v>0</v>
      </c>
      <c r="AI276" s="732">
        <f t="shared" si="5"/>
        <v>0</v>
      </c>
      <c r="AJ276" s="732">
        <f t="shared" si="5"/>
        <v>0</v>
      </c>
      <c r="AK276" s="732">
        <f t="shared" si="5"/>
        <v>0</v>
      </c>
      <c r="AL276" s="732">
        <f t="shared" si="5"/>
        <v>0</v>
      </c>
      <c r="AM276" s="732">
        <f t="shared" si="5"/>
        <v>0</v>
      </c>
      <c r="AN276" s="732">
        <f t="shared" si="5"/>
        <v>0</v>
      </c>
      <c r="AO276" s="732">
        <f t="shared" si="5"/>
        <v>0</v>
      </c>
      <c r="AP276" s="732">
        <f t="shared" si="5"/>
        <v>0</v>
      </c>
      <c r="AQ276" s="732">
        <f t="shared" si="5"/>
        <v>0</v>
      </c>
      <c r="AR276" s="732">
        <f t="shared" si="5"/>
        <v>0</v>
      </c>
      <c r="AS276" s="732">
        <f t="shared" si="5"/>
        <v>0</v>
      </c>
      <c r="AT276" s="732">
        <f t="shared" si="5"/>
        <v>0</v>
      </c>
      <c r="AU276" s="733">
        <f t="shared" si="5"/>
        <v>0</v>
      </c>
      <c r="AV276" s="734">
        <f t="shared" si="5"/>
        <v>0</v>
      </c>
    </row>
    <row r="1215" spans="1:23" ht="15.75" thickBot="1" x14ac:dyDescent="0.3">
      <c r="A1215" s="487"/>
      <c r="B1215" s="735"/>
      <c r="C1215" s="540"/>
      <c r="D1215" s="540"/>
      <c r="E1215" s="736"/>
      <c r="F1215" s="492"/>
      <c r="G1215" s="493"/>
      <c r="H1215" s="493"/>
      <c r="I1215" s="519"/>
      <c r="J1215" s="737"/>
      <c r="K1215" s="737"/>
      <c r="L1215" s="738"/>
      <c r="M1215" s="519"/>
      <c r="N1215" s="498"/>
      <c r="O1215" s="498"/>
      <c r="P1215" s="499"/>
      <c r="Q1215" s="499"/>
      <c r="R1215" s="499"/>
      <c r="S1215" s="500"/>
      <c r="T1215" s="739"/>
      <c r="U1215" s="739"/>
      <c r="V1215" s="739"/>
      <c r="W1215" s="499"/>
    </row>
    <row r="1216" spans="1:23" x14ac:dyDescent="0.25">
      <c r="A1216" s="487"/>
      <c r="B1216" s="488" t="s">
        <v>821</v>
      </c>
      <c r="C1216" s="489">
        <f>COUNTIF(B$1:B1213,B1216)</f>
        <v>1</v>
      </c>
      <c r="D1216" s="490">
        <f>C1216/C1221</f>
        <v>0.2</v>
      </c>
      <c r="E1216" s="491"/>
      <c r="F1216" s="492"/>
      <c r="G1216" s="493"/>
      <c r="H1216" s="493"/>
      <c r="I1216" s="494"/>
      <c r="J1216" s="495">
        <f>SUMIF(B$3:B1213,B1216,T$3:T1220)</f>
        <v>48</v>
      </c>
      <c r="K1216" s="496"/>
      <c r="L1216" s="497">
        <f>J1216/J1221</f>
        <v>1</v>
      </c>
      <c r="M1216" s="498"/>
      <c r="N1216" s="498"/>
      <c r="O1216" s="498"/>
      <c r="P1216" s="499"/>
      <c r="Q1216" s="499"/>
      <c r="R1216" s="499"/>
      <c r="S1216" s="500" t="s">
        <v>786</v>
      </c>
      <c r="T1216" s="501">
        <v>1261915799.52244</v>
      </c>
      <c r="U1216" s="501" t="e">
        <f>SUM(#REF!)</f>
        <v>#REF!</v>
      </c>
      <c r="V1216" s="501" t="e">
        <f>SUM(#REF!)</f>
        <v>#REF!</v>
      </c>
      <c r="W1216" s="499" t="s">
        <v>822</v>
      </c>
    </row>
    <row r="1217" spans="1:23" x14ac:dyDescent="0.25">
      <c r="A1217" s="487"/>
      <c r="B1217" s="504" t="s">
        <v>823</v>
      </c>
      <c r="C1217" s="505">
        <f>COUNTIF(B$1:B1213,B1217)</f>
        <v>1</v>
      </c>
      <c r="D1217" s="506">
        <f>C1217/C1221</f>
        <v>0.2</v>
      </c>
      <c r="E1217" s="491"/>
      <c r="F1217" s="492"/>
      <c r="G1217" s="493"/>
      <c r="H1217" s="493"/>
      <c r="I1217" s="494"/>
      <c r="J1217" s="507">
        <f>SUMIF(B$3:B1216,B1217,T$3:T1221)</f>
        <v>0</v>
      </c>
      <c r="K1217" s="508"/>
      <c r="L1217" s="509">
        <f>J1217/J1221</f>
        <v>0</v>
      </c>
      <c r="M1217" s="498"/>
      <c r="N1217" s="498"/>
      <c r="O1217" s="498"/>
      <c r="P1217" s="503"/>
      <c r="Q1217" s="503"/>
      <c r="R1217" s="503"/>
      <c r="S1217" s="510"/>
      <c r="T1217" s="511"/>
      <c r="U1217" s="511"/>
      <c r="V1217" s="511"/>
      <c r="W1217" s="503"/>
    </row>
    <row r="1218" spans="1:23" x14ac:dyDescent="0.25">
      <c r="A1218" s="487"/>
      <c r="B1218" s="513" t="s">
        <v>824</v>
      </c>
      <c r="C1218" s="514">
        <f>COUNTIF(B$1:B1213,B1218)</f>
        <v>1</v>
      </c>
      <c r="D1218" s="515">
        <f>C1218/C1221</f>
        <v>0.2</v>
      </c>
      <c r="E1218" s="491"/>
      <c r="F1218" s="492"/>
      <c r="G1218" s="493"/>
      <c r="H1218" s="493"/>
      <c r="I1218" s="494"/>
      <c r="J1218" s="516">
        <f>SUMIF(B$3:B1217,B1218,T$3:T1221)</f>
        <v>0</v>
      </c>
      <c r="K1218" s="517"/>
      <c r="L1218" s="518">
        <f>J1218/J1221</f>
        <v>0</v>
      </c>
      <c r="M1218" s="519"/>
      <c r="N1218" s="498"/>
      <c r="O1218" s="498"/>
      <c r="P1218" s="503"/>
      <c r="Q1218" s="503"/>
      <c r="R1218" s="503"/>
      <c r="S1218" s="510"/>
      <c r="T1218" s="511"/>
      <c r="U1218" s="511"/>
      <c r="V1218" s="511"/>
      <c r="W1218" s="503"/>
    </row>
    <row r="1219" spans="1:23" ht="15.75" thickBot="1" x14ac:dyDescent="0.3">
      <c r="A1219" s="487"/>
      <c r="B1219" s="520" t="s">
        <v>825</v>
      </c>
      <c r="C1219" s="521">
        <f>COUNTIF(B$1:B1216,B1219)</f>
        <v>1</v>
      </c>
      <c r="D1219" s="522">
        <f>C1219/C1221</f>
        <v>0.2</v>
      </c>
      <c r="E1219" s="491"/>
      <c r="F1219" s="492"/>
      <c r="G1219" s="493"/>
      <c r="H1219" s="493"/>
      <c r="I1219" s="494"/>
      <c r="J1219" s="523">
        <f>SUMIF(B$3:B1218,B1219,T$3:T1221)</f>
        <v>0</v>
      </c>
      <c r="K1219" s="524"/>
      <c r="L1219" s="525">
        <f>J1219/J1221</f>
        <v>0</v>
      </c>
      <c r="M1219" s="519"/>
      <c r="N1219" s="498"/>
      <c r="O1219" s="498"/>
      <c r="P1219" s="503"/>
      <c r="Q1219" s="503"/>
      <c r="R1219" s="503"/>
      <c r="S1219" s="510"/>
      <c r="T1219" s="511"/>
      <c r="U1219" s="511"/>
      <c r="V1219" s="511"/>
      <c r="W1219" s="503"/>
    </row>
    <row r="1220" spans="1:23" ht="16.5" thickTop="1" thickBot="1" x14ac:dyDescent="0.3">
      <c r="A1220" s="526"/>
      <c r="B1220" s="527" t="s">
        <v>809</v>
      </c>
      <c r="C1220" s="528">
        <f>COUNTIF(B$1:B1213,B1220)</f>
        <v>1</v>
      </c>
      <c r="D1220" s="529">
        <f>C1220/C1221</f>
        <v>0.2</v>
      </c>
      <c r="E1220" s="530"/>
      <c r="F1220" s="531"/>
      <c r="G1220" s="532"/>
      <c r="H1220" s="532"/>
      <c r="I1220" s="533"/>
      <c r="J1220" s="534">
        <f>SUMIF(B$3:B1219,B1220,T$3:T1221)</f>
        <v>0</v>
      </c>
      <c r="K1220" s="535"/>
      <c r="L1220" s="536">
        <f>J1220/J1221</f>
        <v>0</v>
      </c>
      <c r="M1220" s="537"/>
      <c r="N1220" s="537"/>
      <c r="O1220" s="537"/>
      <c r="P1220" s="503"/>
      <c r="Q1220" s="503"/>
      <c r="R1220" s="503"/>
      <c r="S1220" s="510"/>
      <c r="T1220" s="511"/>
      <c r="U1220" s="511"/>
      <c r="V1220" s="511"/>
      <c r="W1220" s="503"/>
    </row>
    <row r="1221" spans="1:23" x14ac:dyDescent="0.25">
      <c r="A1221" s="487"/>
      <c r="B1221" s="538"/>
      <c r="C1221" s="539">
        <f>SUM(C1216:C1220)</f>
        <v>5</v>
      </c>
      <c r="D1221" s="540"/>
      <c r="E1221" s="491"/>
      <c r="F1221" s="492"/>
      <c r="G1221" s="493"/>
      <c r="H1221" s="493"/>
      <c r="I1221" s="494"/>
      <c r="J1221" s="541">
        <f>SUM(J1216:J1220)</f>
        <v>48</v>
      </c>
      <c r="K1221" s="542"/>
      <c r="L1221" s="543"/>
      <c r="M1221" s="519"/>
      <c r="N1221" s="498"/>
      <c r="O1221" s="498"/>
      <c r="P1221" s="503"/>
      <c r="Q1221" s="503"/>
      <c r="R1221" s="503"/>
      <c r="S1221" s="510"/>
      <c r="T1221" s="511"/>
      <c r="U1221" s="511"/>
      <c r="V1221" s="511"/>
      <c r="W1221" s="503"/>
    </row>
  </sheetData>
  <mergeCells count="5">
    <mergeCell ref="A50:A55"/>
    <mergeCell ref="A63:A68"/>
    <mergeCell ref="A149:A154"/>
    <mergeCell ref="A166:A171"/>
    <mergeCell ref="A187:A192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1131</v>
      </c>
      <c r="K2" s="740"/>
    </row>
    <row r="4" spans="1:34" ht="15.75" thickBot="1" x14ac:dyDescent="0.3">
      <c r="A4" s="604" t="s">
        <v>1132</v>
      </c>
    </row>
    <row r="5" spans="1:34" s="613" customFormat="1" ht="15.75" thickBot="1" x14ac:dyDescent="0.3">
      <c r="A5" s="398"/>
      <c r="B5" s="741" t="s">
        <v>1133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1134</v>
      </c>
      <c r="N5" s="746" t="s">
        <v>1135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5" t="s">
        <v>50</v>
      </c>
      <c r="M7" s="895" t="s">
        <v>77</v>
      </c>
      <c r="N7" s="895" t="s">
        <v>80</v>
      </c>
      <c r="O7" s="758" t="s">
        <v>963</v>
      </c>
      <c r="P7" s="895" t="s">
        <v>80</v>
      </c>
      <c r="Q7" s="895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5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927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931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934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1" t="s">
        <v>31</v>
      </c>
      <c r="B11" s="760" t="s">
        <v>1136</v>
      </c>
      <c r="C11" s="761" t="s">
        <v>1137</v>
      </c>
      <c r="D11" s="762"/>
      <c r="E11" s="426" t="s">
        <v>740</v>
      </c>
      <c r="F11" s="763" t="s">
        <v>51</v>
      </c>
      <c r="G11" s="763" t="s">
        <v>1138</v>
      </c>
      <c r="H11" s="764" t="s">
        <v>757</v>
      </c>
      <c r="I11" s="764"/>
      <c r="J11" s="427" t="s">
        <v>1139</v>
      </c>
      <c r="K11" s="765" t="s">
        <v>400</v>
      </c>
      <c r="L11" s="766" t="s">
        <v>1140</v>
      </c>
      <c r="M11" s="767" t="s">
        <v>35</v>
      </c>
      <c r="N11" s="767" t="s">
        <v>38</v>
      </c>
      <c r="O11" s="768" t="s">
        <v>742</v>
      </c>
      <c r="P11" s="767" t="s">
        <v>1141</v>
      </c>
      <c r="Q11" s="769" t="s">
        <v>751</v>
      </c>
      <c r="R11" s="988" t="s">
        <v>752</v>
      </c>
      <c r="S11" s="989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2"/>
      <c r="B12" s="774" t="s">
        <v>917</v>
      </c>
      <c r="C12" s="755" t="s">
        <v>1137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90"/>
      <c r="S12" s="991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2"/>
      <c r="B13" s="754" t="s">
        <v>923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929</v>
      </c>
      <c r="M13" s="656" t="s">
        <v>83</v>
      </c>
      <c r="N13" s="656" t="s">
        <v>80</v>
      </c>
      <c r="O13" s="656" t="s">
        <v>928</v>
      </c>
      <c r="P13" s="656" t="s">
        <v>1142</v>
      </c>
      <c r="Q13" s="656" t="s">
        <v>1142</v>
      </c>
      <c r="R13" s="656" t="s">
        <v>1143</v>
      </c>
      <c r="S13" s="656"/>
      <c r="T13" s="871" t="s">
        <v>1229</v>
      </c>
      <c r="U13" s="656" t="s">
        <v>185</v>
      </c>
      <c r="V13" s="656" t="s">
        <v>185</v>
      </c>
      <c r="W13" s="656" t="s">
        <v>1142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2"/>
      <c r="B14" s="754" t="s">
        <v>927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1086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928</v>
      </c>
      <c r="R14" s="656" t="s">
        <v>244</v>
      </c>
      <c r="S14" s="656"/>
      <c r="T14" s="656" t="s">
        <v>929</v>
      </c>
      <c r="U14" s="656"/>
      <c r="V14" s="656" t="s">
        <v>1144</v>
      </c>
      <c r="W14" s="656" t="s">
        <v>1005</v>
      </c>
      <c r="X14" s="656" t="s">
        <v>1006</v>
      </c>
      <c r="Y14" s="656" t="s">
        <v>1145</v>
      </c>
      <c r="AD14" s="626"/>
      <c r="AE14" s="626"/>
      <c r="AF14" s="626"/>
      <c r="AG14" s="626"/>
      <c r="AH14" s="626"/>
    </row>
    <row r="15" spans="1:34" x14ac:dyDescent="0.25">
      <c r="A15" s="972"/>
      <c r="B15" s="754" t="s">
        <v>931</v>
      </c>
      <c r="C15" s="755"/>
      <c r="D15" s="756"/>
      <c r="E15" s="661"/>
      <c r="F15" s="661"/>
      <c r="G15" s="661" t="s">
        <v>933</v>
      </c>
      <c r="H15" s="398" t="s">
        <v>1146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73"/>
      <c r="B16" s="759" t="s">
        <v>934</v>
      </c>
      <c r="C16" s="785"/>
      <c r="D16" s="786"/>
      <c r="E16" s="787"/>
      <c r="F16" s="787"/>
      <c r="G16" s="787" t="s">
        <v>1147</v>
      </c>
      <c r="J16" s="787" t="s">
        <v>1148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1" t="s">
        <v>68</v>
      </c>
      <c r="B17" s="594" t="s">
        <v>894</v>
      </c>
      <c r="C17" s="761" t="s">
        <v>1137</v>
      </c>
      <c r="D17" s="762"/>
      <c r="E17" s="788" t="s">
        <v>741</v>
      </c>
      <c r="F17" s="788"/>
      <c r="G17" s="788"/>
      <c r="H17" s="789" t="s">
        <v>1149</v>
      </c>
      <c r="I17" s="789"/>
      <c r="J17" s="790" t="s">
        <v>117</v>
      </c>
      <c r="K17" s="791"/>
      <c r="L17" s="792" t="s">
        <v>1150</v>
      </c>
      <c r="M17" s="793" t="s">
        <v>1151</v>
      </c>
      <c r="N17" s="794" t="s">
        <v>1152</v>
      </c>
      <c r="O17" s="794" t="s">
        <v>1153</v>
      </c>
      <c r="P17" s="795" t="s">
        <v>1154</v>
      </c>
      <c r="Q17" s="795" t="s">
        <v>1155</v>
      </c>
      <c r="R17" s="978" t="s">
        <v>1156</v>
      </c>
      <c r="S17" s="979"/>
      <c r="T17" s="792" t="s">
        <v>1157</v>
      </c>
      <c r="W17" s="792" t="s">
        <v>1158</v>
      </c>
      <c r="X17" s="796"/>
    </row>
    <row r="18" spans="1:37" s="773" customFormat="1" ht="15.75" thickBot="1" x14ac:dyDescent="0.3">
      <c r="A18" s="972"/>
      <c r="B18" s="774" t="s">
        <v>917</v>
      </c>
      <c r="C18" s="755" t="s">
        <v>1159</v>
      </c>
      <c r="D18" s="797">
        <f>E12</f>
        <v>0</v>
      </c>
      <c r="H18" s="798"/>
      <c r="I18" s="798"/>
      <c r="J18" s="799"/>
      <c r="K18" s="800"/>
      <c r="L18" s="941"/>
      <c r="M18" s="802"/>
      <c r="N18" s="803"/>
      <c r="O18" s="803"/>
      <c r="P18" s="942"/>
      <c r="Q18" s="802"/>
      <c r="R18" s="980"/>
      <c r="S18" s="981"/>
      <c r="T18" s="804"/>
      <c r="W18" s="896"/>
      <c r="X18" s="796"/>
    </row>
    <row r="19" spans="1:37" x14ac:dyDescent="0.25">
      <c r="A19" s="972"/>
      <c r="B19" s="754" t="s">
        <v>923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1142</v>
      </c>
      <c r="X19" s="777"/>
    </row>
    <row r="20" spans="1:37" x14ac:dyDescent="0.25">
      <c r="A20" s="972"/>
      <c r="B20" s="754" t="s">
        <v>927</v>
      </c>
      <c r="C20" s="755"/>
      <c r="D20" s="756"/>
      <c r="E20" s="883" t="s">
        <v>1231</v>
      </c>
      <c r="J20" s="671"/>
      <c r="K20" s="398"/>
      <c r="L20" s="883" t="s">
        <v>1231</v>
      </c>
      <c r="M20" s="777" t="s">
        <v>1231</v>
      </c>
      <c r="N20" s="806" t="s">
        <v>1231</v>
      </c>
      <c r="O20" s="806" t="s">
        <v>1231</v>
      </c>
      <c r="P20" s="806" t="s">
        <v>1231</v>
      </c>
      <c r="Q20" s="806" t="s">
        <v>1231</v>
      </c>
      <c r="R20" s="806" t="s">
        <v>1231</v>
      </c>
      <c r="S20" s="806"/>
      <c r="T20" s="806" t="s">
        <v>1231</v>
      </c>
      <c r="W20" s="806" t="s">
        <v>1231</v>
      </c>
      <c r="X20" s="777"/>
    </row>
    <row r="21" spans="1:37" x14ac:dyDescent="0.25">
      <c r="A21" s="972"/>
      <c r="B21" s="754" t="s">
        <v>931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73"/>
      <c r="B22" s="759" t="s">
        <v>934</v>
      </c>
      <c r="C22" s="807"/>
      <c r="D22" s="808"/>
      <c r="E22" s="809" t="s">
        <v>1160</v>
      </c>
      <c r="F22" s="809"/>
      <c r="G22" s="398"/>
      <c r="H22" s="398"/>
      <c r="I22" s="398"/>
      <c r="J22" s="671"/>
      <c r="K22" s="787"/>
      <c r="L22" s="809" t="s">
        <v>1161</v>
      </c>
      <c r="M22" s="809" t="s">
        <v>1162</v>
      </c>
      <c r="N22" s="809" t="s">
        <v>1163</v>
      </c>
      <c r="O22" s="809" t="s">
        <v>1164</v>
      </c>
      <c r="P22" s="809" t="s">
        <v>1165</v>
      </c>
      <c r="Q22" s="809" t="s">
        <v>1166</v>
      </c>
      <c r="R22" s="809" t="s">
        <v>1167</v>
      </c>
      <c r="S22" s="806"/>
      <c r="T22" s="809" t="s">
        <v>1168</v>
      </c>
      <c r="U22" s="809"/>
      <c r="W22" s="809" t="s">
        <v>1169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1" t="s">
        <v>64</v>
      </c>
      <c r="B23" s="811" t="s">
        <v>1170</v>
      </c>
      <c r="C23" s="761" t="s">
        <v>1137</v>
      </c>
      <c r="D23" s="762"/>
      <c r="E23" s="427" t="s">
        <v>946</v>
      </c>
      <c r="F23" s="427" t="s">
        <v>1171</v>
      </c>
      <c r="G23" s="427" t="s">
        <v>870</v>
      </c>
      <c r="H23" s="812" t="s">
        <v>1172</v>
      </c>
      <c r="I23" s="812" t="s">
        <v>1138</v>
      </c>
      <c r="J23" s="813" t="s">
        <v>117</v>
      </c>
      <c r="K23" s="814"/>
      <c r="L23" s="982" t="s">
        <v>870</v>
      </c>
      <c r="M23" s="983"/>
      <c r="N23" s="815" t="s">
        <v>1173</v>
      </c>
      <c r="O23" s="816" t="s">
        <v>1174</v>
      </c>
      <c r="P23" s="816" t="s">
        <v>1175</v>
      </c>
      <c r="Q23" s="816" t="s">
        <v>1176</v>
      </c>
      <c r="R23" s="816" t="s">
        <v>1177</v>
      </c>
      <c r="S23" s="816" t="s">
        <v>1178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1179</v>
      </c>
      <c r="Y23" s="816" t="s">
        <v>126</v>
      </c>
      <c r="Z23" s="614"/>
      <c r="AA23" s="614"/>
      <c r="AB23" s="614"/>
    </row>
    <row r="24" spans="1:37" ht="15.75" thickBot="1" x14ac:dyDescent="0.3">
      <c r="A24" s="972"/>
      <c r="B24" s="774" t="s">
        <v>917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1180</v>
      </c>
      <c r="L24" s="986">
        <f>HYPERLINK("https://eu1.salesforce.com/"&amp;F24,G24)</f>
        <v>0</v>
      </c>
      <c r="M24" s="987"/>
      <c r="N24" s="613"/>
      <c r="O24" s="943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2"/>
      <c r="B25" s="754" t="s">
        <v>923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929</v>
      </c>
      <c r="M25" s="826"/>
      <c r="N25" s="826" t="s">
        <v>80</v>
      </c>
      <c r="O25" s="826"/>
      <c r="P25" s="656" t="s">
        <v>1181</v>
      </c>
      <c r="Q25" s="656" t="s">
        <v>1182</v>
      </c>
      <c r="R25" s="944" t="s">
        <v>924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2"/>
      <c r="B26" s="754" t="s">
        <v>927</v>
      </c>
      <c r="C26" s="755" t="s">
        <v>168</v>
      </c>
      <c r="D26" s="827" t="s">
        <v>185</v>
      </c>
      <c r="E26" s="828" t="s">
        <v>1183</v>
      </c>
      <c r="F26" s="777" t="s">
        <v>168</v>
      </c>
      <c r="G26" s="777">
        <v>3</v>
      </c>
      <c r="H26" s="945" t="s">
        <v>1261</v>
      </c>
      <c r="I26" s="945" t="s">
        <v>1261</v>
      </c>
      <c r="J26" s="806"/>
      <c r="K26" s="829"/>
      <c r="L26" s="777"/>
      <c r="M26" s="777"/>
      <c r="N26" s="806" t="s">
        <v>938</v>
      </c>
      <c r="O26" s="806">
        <v>26</v>
      </c>
      <c r="P26" s="806" t="s">
        <v>962</v>
      </c>
      <c r="Q26" s="777" t="s">
        <v>1184</v>
      </c>
      <c r="R26" s="777" t="s">
        <v>145</v>
      </c>
      <c r="S26" s="826" t="s">
        <v>928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2"/>
      <c r="B27" s="754" t="s">
        <v>931</v>
      </c>
      <c r="C27" s="755"/>
      <c r="D27" s="756"/>
      <c r="E27" s="897" t="s">
        <v>1240</v>
      </c>
      <c r="K27" s="831" t="s">
        <v>1185</v>
      </c>
      <c r="L27" s="831" t="s">
        <v>1186</v>
      </c>
      <c r="M27" s="670"/>
      <c r="N27" s="670"/>
      <c r="O27" s="670"/>
      <c r="T27" s="670"/>
      <c r="U27" s="831" t="s">
        <v>1186</v>
      </c>
      <c r="AG27" s="626"/>
      <c r="AH27" s="626"/>
      <c r="AI27" s="626"/>
      <c r="AJ27" s="626"/>
      <c r="AK27" s="626"/>
    </row>
    <row r="28" spans="1:37" ht="15.75" thickBot="1" x14ac:dyDescent="0.3">
      <c r="A28" s="973"/>
      <c r="B28" s="759" t="s">
        <v>934</v>
      </c>
      <c r="C28" s="785"/>
      <c r="D28" s="808"/>
      <c r="E28" s="421"/>
      <c r="H28" s="787" t="s">
        <v>1187</v>
      </c>
      <c r="I28" s="787" t="s">
        <v>1188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1189</v>
      </c>
    </row>
    <row r="31" spans="1:37" s="613" customFormat="1" ht="15.75" thickBot="1" x14ac:dyDescent="0.3">
      <c r="A31" s="398"/>
      <c r="B31" s="741" t="s">
        <v>1133</v>
      </c>
      <c r="C31" s="749" t="s">
        <v>964</v>
      </c>
      <c r="D31" s="749" t="s">
        <v>962</v>
      </c>
      <c r="K31" s="743"/>
      <c r="L31" s="744" t="s">
        <v>141</v>
      </c>
      <c r="M31" s="745" t="s">
        <v>1134</v>
      </c>
      <c r="N31" s="746" t="s">
        <v>1135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929</v>
      </c>
      <c r="M33" s="758" t="s">
        <v>83</v>
      </c>
      <c r="N33" s="758" t="s">
        <v>83</v>
      </c>
      <c r="O33" s="758" t="s">
        <v>963</v>
      </c>
      <c r="P33" s="758" t="s">
        <v>929</v>
      </c>
      <c r="Q33" s="758" t="s">
        <v>962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927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931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934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1" t="s">
        <v>31</v>
      </c>
      <c r="B37" s="760" t="s">
        <v>1136</v>
      </c>
      <c r="C37" s="761" t="s">
        <v>1137</v>
      </c>
      <c r="D37" s="762"/>
      <c r="E37" s="426" t="s">
        <v>740</v>
      </c>
      <c r="F37" s="763" t="s">
        <v>51</v>
      </c>
      <c r="G37" s="763" t="s">
        <v>1138</v>
      </c>
      <c r="H37" s="764" t="s">
        <v>757</v>
      </c>
      <c r="I37" s="764"/>
      <c r="J37" s="427" t="s">
        <v>1139</v>
      </c>
      <c r="K37" s="765" t="s">
        <v>400</v>
      </c>
      <c r="L37" s="766" t="s">
        <v>1140</v>
      </c>
      <c r="M37" s="767" t="s">
        <v>35</v>
      </c>
      <c r="N37" s="767" t="s">
        <v>38</v>
      </c>
      <c r="O37" s="768" t="s">
        <v>742</v>
      </c>
      <c r="P37" s="767" t="s">
        <v>1141</v>
      </c>
      <c r="Q37" s="769" t="s">
        <v>751</v>
      </c>
      <c r="R37" s="988" t="s">
        <v>752</v>
      </c>
      <c r="S37" s="989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2"/>
      <c r="B38" s="774" t="s">
        <v>917</v>
      </c>
      <c r="C38" s="755" t="s">
        <v>1137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90"/>
      <c r="S38" s="991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2"/>
      <c r="B39" s="754" t="s">
        <v>923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929</v>
      </c>
      <c r="M39" s="656" t="s">
        <v>83</v>
      </c>
      <c r="N39" s="656" t="s">
        <v>80</v>
      </c>
      <c r="O39" s="656" t="s">
        <v>928</v>
      </c>
      <c r="P39" s="656" t="s">
        <v>1142</v>
      </c>
      <c r="Q39" s="656" t="s">
        <v>1142</v>
      </c>
      <c r="R39" s="656" t="s">
        <v>1143</v>
      </c>
      <c r="S39" s="656"/>
      <c r="T39" s="656" t="s">
        <v>80</v>
      </c>
      <c r="U39" s="656" t="s">
        <v>185</v>
      </c>
      <c r="V39" s="656" t="s">
        <v>185</v>
      </c>
      <c r="W39" s="656" t="s">
        <v>1142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2"/>
      <c r="B40" s="754" t="s">
        <v>927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1086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928</v>
      </c>
      <c r="R40" s="656" t="s">
        <v>244</v>
      </c>
      <c r="S40" s="656"/>
      <c r="T40" s="656" t="s">
        <v>929</v>
      </c>
      <c r="U40" s="656"/>
      <c r="V40" s="656" t="s">
        <v>1144</v>
      </c>
      <c r="W40" s="656" t="s">
        <v>1005</v>
      </c>
      <c r="X40" s="656" t="s">
        <v>1006</v>
      </c>
      <c r="Y40" s="656" t="s">
        <v>1145</v>
      </c>
      <c r="AD40" s="626"/>
      <c r="AE40" s="626"/>
      <c r="AF40" s="626"/>
      <c r="AG40" s="626"/>
      <c r="AH40" s="626"/>
    </row>
    <row r="41" spans="1:35" x14ac:dyDescent="0.25">
      <c r="A41" s="972"/>
      <c r="B41" s="754" t="s">
        <v>931</v>
      </c>
      <c r="C41" s="755"/>
      <c r="D41" s="756"/>
      <c r="E41" s="661"/>
      <c r="F41" s="661"/>
      <c r="G41" s="661" t="s">
        <v>933</v>
      </c>
      <c r="H41" s="398" t="s">
        <v>1146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73"/>
      <c r="B42" s="759" t="s">
        <v>934</v>
      </c>
      <c r="C42" s="785"/>
      <c r="D42" s="786"/>
      <c r="E42" s="787"/>
      <c r="F42" s="787"/>
      <c r="G42" s="787" t="s">
        <v>1147</v>
      </c>
      <c r="J42" s="787" t="s">
        <v>1148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1" t="s">
        <v>68</v>
      </c>
      <c r="B43" s="594" t="s">
        <v>894</v>
      </c>
      <c r="C43" s="761" t="s">
        <v>1137</v>
      </c>
      <c r="D43" s="762"/>
      <c r="E43" s="788" t="s">
        <v>741</v>
      </c>
      <c r="F43" s="788"/>
      <c r="G43" s="788"/>
      <c r="H43" s="789" t="s">
        <v>1149</v>
      </c>
      <c r="I43" s="789"/>
      <c r="J43" s="790" t="s">
        <v>117</v>
      </c>
      <c r="K43" s="791"/>
      <c r="L43" s="792" t="s">
        <v>1150</v>
      </c>
      <c r="M43" s="793" t="s">
        <v>1151</v>
      </c>
      <c r="N43" s="794" t="s">
        <v>1152</v>
      </c>
      <c r="O43" s="794" t="s">
        <v>1153</v>
      </c>
      <c r="P43" s="795" t="s">
        <v>1154</v>
      </c>
      <c r="Q43" s="795" t="s">
        <v>1155</v>
      </c>
      <c r="R43" s="978" t="s">
        <v>1156</v>
      </c>
      <c r="S43" s="979"/>
      <c r="T43" s="792" t="s">
        <v>1157</v>
      </c>
      <c r="W43" s="792" t="s">
        <v>1158</v>
      </c>
      <c r="X43" s="796"/>
    </row>
    <row r="44" spans="1:35" s="773" customFormat="1" ht="15.75" thickBot="1" x14ac:dyDescent="0.3">
      <c r="A44" s="972"/>
      <c r="B44" s="774" t="s">
        <v>917</v>
      </c>
      <c r="C44" s="755" t="s">
        <v>1159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80"/>
      <c r="S44" s="981"/>
      <c r="T44" s="804"/>
      <c r="W44" s="805"/>
      <c r="X44" s="796"/>
    </row>
    <row r="45" spans="1:35" x14ac:dyDescent="0.25">
      <c r="A45" s="972"/>
      <c r="B45" s="754" t="s">
        <v>923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1142</v>
      </c>
      <c r="X45" s="777"/>
    </row>
    <row r="46" spans="1:35" x14ac:dyDescent="0.25">
      <c r="A46" s="972"/>
      <c r="B46" s="754" t="s">
        <v>927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2"/>
      <c r="B47" s="754" t="s">
        <v>931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73"/>
      <c r="B48" s="759" t="s">
        <v>934</v>
      </c>
      <c r="C48" s="807"/>
      <c r="D48" s="808"/>
      <c r="E48" s="809" t="s">
        <v>1160</v>
      </c>
      <c r="F48" s="809"/>
      <c r="G48" s="398"/>
      <c r="H48" s="398"/>
      <c r="I48" s="398"/>
      <c r="J48" s="671"/>
      <c r="K48" s="787"/>
      <c r="L48" s="809" t="s">
        <v>1161</v>
      </c>
      <c r="M48" s="809" t="s">
        <v>1162</v>
      </c>
      <c r="N48" s="809" t="s">
        <v>1163</v>
      </c>
      <c r="O48" s="809" t="s">
        <v>1164</v>
      </c>
      <c r="P48" s="809" t="s">
        <v>1165</v>
      </c>
      <c r="Q48" s="809" t="s">
        <v>1166</v>
      </c>
      <c r="R48" s="809" t="s">
        <v>1167</v>
      </c>
      <c r="S48" s="806"/>
      <c r="T48" s="809" t="s">
        <v>1168</v>
      </c>
      <c r="W48" s="809" t="s">
        <v>1169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1" t="s">
        <v>64</v>
      </c>
      <c r="B49" s="811" t="s">
        <v>1170</v>
      </c>
      <c r="C49" s="761" t="s">
        <v>1137</v>
      </c>
      <c r="D49" s="762"/>
      <c r="E49" s="427" t="s">
        <v>946</v>
      </c>
      <c r="F49" s="427" t="s">
        <v>1171</v>
      </c>
      <c r="G49" s="427" t="s">
        <v>870</v>
      </c>
      <c r="H49" s="832" t="s">
        <v>757</v>
      </c>
      <c r="I49" s="832"/>
      <c r="J49" s="813" t="s">
        <v>117</v>
      </c>
      <c r="K49" s="814"/>
      <c r="L49" s="982" t="s">
        <v>870</v>
      </c>
      <c r="M49" s="983"/>
      <c r="N49" s="815" t="s">
        <v>1173</v>
      </c>
      <c r="O49" s="816" t="s">
        <v>1174</v>
      </c>
      <c r="P49" s="816" t="s">
        <v>1175</v>
      </c>
      <c r="Q49" s="816" t="s">
        <v>1176</v>
      </c>
      <c r="R49" s="816" t="s">
        <v>1177</v>
      </c>
      <c r="S49" s="816" t="s">
        <v>1178</v>
      </c>
      <c r="T49" s="816" t="s">
        <v>108</v>
      </c>
      <c r="U49" s="816" t="s">
        <v>101</v>
      </c>
      <c r="V49" s="816" t="s">
        <v>82</v>
      </c>
      <c r="W49" s="816" t="s">
        <v>1179</v>
      </c>
      <c r="X49" s="816" t="s">
        <v>126</v>
      </c>
      <c r="Y49" s="614"/>
      <c r="Z49" s="614"/>
      <c r="AA49" s="614"/>
    </row>
    <row r="50" spans="1:36" ht="15.75" thickBot="1" x14ac:dyDescent="0.3">
      <c r="A50" s="972"/>
      <c r="B50" s="774" t="s">
        <v>917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1180</v>
      </c>
      <c r="L50" s="984">
        <f>HYPERLINK("https://eu1.salesforce.com/"&amp;F50,G50)</f>
        <v>0</v>
      </c>
      <c r="M50" s="985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2"/>
      <c r="B51" s="754" t="s">
        <v>923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929</v>
      </c>
      <c r="M51" s="826"/>
      <c r="N51" s="826" t="s">
        <v>80</v>
      </c>
      <c r="O51" s="826"/>
      <c r="P51" s="656" t="s">
        <v>1181</v>
      </c>
      <c r="Q51" s="656" t="s">
        <v>1182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2"/>
      <c r="B52" s="754" t="s">
        <v>927</v>
      </c>
      <c r="C52" s="755" t="s">
        <v>168</v>
      </c>
      <c r="D52" s="827" t="s">
        <v>185</v>
      </c>
      <c r="E52" s="828" t="s">
        <v>1183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938</v>
      </c>
      <c r="O52" s="806">
        <v>26</v>
      </c>
      <c r="P52" s="806" t="s">
        <v>962</v>
      </c>
      <c r="Q52" s="777" t="s">
        <v>1184</v>
      </c>
      <c r="R52" s="777" t="s">
        <v>145</v>
      </c>
      <c r="S52" s="826" t="s">
        <v>928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2"/>
      <c r="B53" s="754" t="s">
        <v>931</v>
      </c>
      <c r="C53" s="755"/>
      <c r="D53" s="756"/>
      <c r="E53" s="830" t="s">
        <v>1190</v>
      </c>
      <c r="K53" s="831" t="s">
        <v>1186</v>
      </c>
      <c r="L53" s="831" t="s">
        <v>1186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73"/>
      <c r="B54" s="759" t="s">
        <v>934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2013-09-17T22:48:13Z</dcterms:modified>
</cp:coreProperties>
</file>