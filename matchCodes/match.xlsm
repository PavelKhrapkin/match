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vel_Khrapkin\Documents\Pavel\match\matchDBs\"/>
    </mc:Choice>
  </mc:AlternateContent>
  <bookViews>
    <workbookView xWindow="14505" yWindow="6405" windowWidth="14310" windowHeight="6435"/>
  </bookViews>
  <sheets>
    <sheet name="TOCmatch" sheetId="9" r:id="rId1"/>
    <sheet name="Process" sheetId="10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1" hidden="1">Process!$A$4:$O$149</definedName>
    <definedName name="_xlnm._FilterDatabase" localSheetId="2" hidden="1">We!$A$1:$I$1</definedName>
    <definedName name="Acc1C_MyCol" comment="2.11.12 Acc1C_MyCol 1C.xlsm колонка -- для связки Организаций 1С с SFacc">Header!$B$42:$B$47</definedName>
    <definedName name="Acc1C_Summary" comment="25.8.13 Acc1C_Summary --пятка списка Организаций 1С">Header!$A$50:$I$51</definedName>
    <definedName name="Currency">We!$A$49:$C$52</definedName>
    <definedName name="DBs" localSheetId="0">TOCmatch!$N$8</definedName>
    <definedName name="DIC_Area" comment="9.5.12 А.Пасс изм.словаря к 1 колонке 5.5.12 Словарь областей">We!$A$204:$A$208</definedName>
    <definedName name="DIC_Build_Autodesk_Material_Description" comment="7/5/12 список групп товаров ADSK       10/5/12 - добавлена 1 кол. - результат ">We!$C$227:$E$302</definedName>
    <definedName name="DIC_CityNames" comment="9.5.12 А.Пасс - словарь по 1 колонке 5.5.12 Словарь городов">We!$A$175:$B$201</definedName>
    <definedName name="DIC_CtryNames" comment="9.5.12 А.Пасс - словарь из 1 колонки 6.5.12 Словарь стран">We!$A$211:$A$213</definedName>
    <definedName name="DIC_GoodADSK" comment="7.5.12 DIC_GoodADSK - словарь Продуктов Autodesk">We!$A$227:$A$259</definedName>
    <definedName name="Fr1CtoSF">We!$A$17:$C$47</definedName>
    <definedName name="Glossary" comment="5.4.12 слова, игнорируемые при сравнении имен Организаций">We!$A$85:$B$172</definedName>
    <definedName name="Goods" comment="типы товаров по Счетам 1С">We!$A$56:$B$70</definedName>
    <definedName name="GoodSbs" comment="29.10.12 - типы подписок для Товара">We!$A$56:$K$68</definedName>
    <definedName name="HDR_1C_Contract_MyCol" comment="11.9.12 HDR_1C_Contract_MyCol">Header!$B$22:$AA$27</definedName>
    <definedName name="HDR_1C_Contract_MyCol_Pass0" comment="23.09.13 HDR_1C_Contract_MyCol_Pass0 - Дополнительная информация к Шаблону поДоговорам 1С с указанием предварительно обрабатываемых колонок">Header!$A$30:$B$30</definedName>
    <definedName name="HDR_1C_Contract_Summary" comment="11.9.12 HDR_1C_Contract_Summary">Header!$A$34:$W$39</definedName>
    <definedName name="HDR_1C_Payment_MyCol" comment="11.9.12 HDR_1C_Payment_MyCol">Header!$B$6:$AE$11</definedName>
    <definedName name="HDR_1C_Payment_MyCol_Pass0" comment="23.09.13 HDR_1C_Payment_MyCol_Pass0 - Дополнительная информация к Шаблону по Платежам 1С с указанием предварительно обрабатываемых колонок">Header!$A$14:$B$14</definedName>
    <definedName name="HDR_1C_Payment_Summary" comment="11.9.12 HDR_1C_Payment_Summary">Header!$A$17:$AC$17</definedName>
    <definedName name="HDR_A_SN_1" comment="11.8.13 шаблон для Registered SN из ADSKfrSF">Header!$B$226:$C$231</definedName>
    <definedName name="HDR_A_SN_2" comment="Sheet_для_загрузки_output.csv_с_SN_из_License_Inquiry_PartnerCenter.Autodesk">Header!$B$234:$R$240</definedName>
    <definedName name="HDR_A_SN_3" comment="16.08.13 HDR_A_SN_3 - Sheet для Upsert данных по SN Autodesk в SF -- SN_UPDATE">Header!$B$242:$R$248</definedName>
    <definedName name="HDR_AccntUpd" comment="18.6.12 HDR_AccntUpd шапка изменений Организаций SF, включая связь с 1С">Header!$A$188:$N$188</definedName>
    <definedName name="HDR_AdAcc" comment="11.6.12 - Шапка полей новой Организации">Header!$A$185:$V$185</definedName>
    <definedName name="HDR_BTOlog" comment="7.4.13 HDR_BTOlog шапка для журнала писем БТО">Header!$B$218:$N$223</definedName>
    <definedName name="HDR_ContractUpdate" comment="31.10.12 ContractUpdate  -  связывание существующего Договора с Проектом">Header!$C$174:$D$179</definedName>
    <definedName name="HDR_DicAcc" comment="19.6.12 HDR_AccDic - шапка Словаря Организаций">Header!$A$191:$C$192</definedName>
    <definedName name="HDR_DicAccSynonims" comment="15.09.2013 HDR_DicAссSynonims - Шаблон словаря синонимов названий Организаций в 1С">Header!$C$195:$D$200</definedName>
    <definedName name="HDR_NewAcc" comment="HDR_NewAcc для занесения новых Организаций в SF">Header!$A$185:$V$185</definedName>
    <definedName name="HDR_NewContract" comment="25.3.12 HDR_NewContract - шапка &quot;голубого&quot; листа в NewContract">Header!$B$141:$V$145</definedName>
    <definedName name="HDR_NewOpp" comment="28.10.12 HDR_NewOpp - создание Проектов SF. Они записываются в файл OppInsert.csv и загружаются в SF Data Loader'ом">Header!$C$157:$O$162</definedName>
    <definedName name="HDR_NewOppByPaidContr">Header!$C$165:$N$170</definedName>
    <definedName name="HDR_NewOrder" comment="25.4.12 HDR_NewOrder - шапка для новых Заказов">Header!$B$203:$N$208</definedName>
    <definedName name="HDR_NewPayment" comment="26.9.12  занесение Платежей в SF. Они записываются в файл Payment.csv и загружаются в SF Data Loader'ом">Header!$B$125:$J$130</definedName>
    <definedName name="HDR_NewSN" comment="6.6.12 шапки для занесения новыз SN в SF -- 2PASS">Header!$A$215:$C$215</definedName>
    <definedName name="HDR_P_ADSKlink" comment="14/5/12 новые связи Платежей и Контрактов ADSK">Header!$A$212:$C$212</definedName>
    <definedName name="HDR_PaidBalky" comment="23/1/2003">Header!$B$133:$J$138</definedName>
    <definedName name="HDR_PaymentUpd" comment="11.3.12 Update Платежа - связывание существующего Платежа с Договором">Header!$A$182:$B$182</definedName>
    <definedName name="HDR_WP" comment="5.10.12 HDR_WP - Шапка листа WP для &quot;ручного&quot; просмотра и анализа Платежей выбранной Организации">WP_Prototype!$A$5:$Y$34</definedName>
    <definedName name="HDR_WPacc" comment="5.11.12 WPacc форма для ввода новых Организаций">WP_Prototype!$A$37:$Y$60</definedName>
    <definedName name="HDR_WPcontract" comment="ВРЕМЯНКА">WP_Prototype!$A$17</definedName>
    <definedName name="HDR_WPopp" comment="ВРЕМЯНКА">WP_Prototype!$A$17</definedName>
    <definedName name="NewOppHeader">Header!$C$157:$M$157</definedName>
    <definedName name="OppTypeRng" comment="22.3.12">We!$A$56:$D$70</definedName>
    <definedName name="Orders_MyCol" comment="1.10.12 Orders_MyCol  - шаблон для колонок листа Заказов">Header!$B$88:$AL$93</definedName>
    <definedName name="RUB_Rate">We!$A$50:$C$52</definedName>
    <definedName name="RUB_Rate_2">We!$B$50:$C$52</definedName>
    <definedName name="SF_MyCol" comment="31.1.13 SF_MyCol SFDC.xlsm SF формулы -- используется для связки с Платежами 1С">Header!$C$57:$D$62</definedName>
    <definedName name="SF_Summary" comment="14.7.12 SF_Summary SFDC.xlsm SF  -- пятка. Фильтрует обороты CSIT">Header!$A$65:$F$66</definedName>
    <definedName name="SFD_MyCol" comment="4.11.12 SFD_MyCol SFDC.xlsm SFD формулы -- для связки с Договорами 1С">Header!$C$70:$D$75</definedName>
    <definedName name="SFD_Summary" comment="14.7.12 SF_Summary SFDC.xlsm SFD  -- пятка">Header!$A$79</definedName>
    <definedName name="Stock_MyCol" comment="1.10.12 Stock_MyCol  - шаблон для колонок листа Stock">Header!$C$104:$Y$109</definedName>
    <definedName name="Team">We!$A$17:$E$47</definedName>
    <definedName name="TOCmatch" comment="11.7.12 TOCmatch - Оглавление по всем отчетам в базе данных" localSheetId="1">Process!$A$147:$L$150</definedName>
    <definedName name="TOCmatch" comment="11.7.12 TOCmatch - Оглавление по всем отчетам в базе данных" localSheetId="0">TOCmatch!$A$14:$J$41</definedName>
    <definedName name="Vendor" comment="2/5/2013 Vendor и его Id">We!$A$11:$B$15</definedName>
    <definedName name="WorksTable" comment="29.10.12 WorksTable">We!$A$77:$B$78</definedName>
    <definedName name="ВСЕ_ПРОДАВЦЫ">We!$A$18:$A$47</definedName>
    <definedName name="Мы" comment="Наши юридические имена как в 1С и Id в Salesforce.com">We!$A$1:$B$7</definedName>
    <definedName name="Поиск">We!$B$60:$B$63</definedName>
    <definedName name="Продавец_в_SF">We!$B$17:$D$47</definedName>
    <definedName name="Продавец_в_Договорах_1С">We!$A$17:$D$47</definedName>
    <definedName name="Продавцы">We!$A$17:$G$47</definedName>
    <definedName name="Тема_Вид_деятельности">We!$D$55:$F$75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9" l="1"/>
  <c r="A6" i="9"/>
  <c r="A5" i="9"/>
  <c r="K71" i="10" l="1"/>
  <c r="K65" i="10"/>
  <c r="K51" i="10"/>
  <c r="K38" i="10"/>
  <c r="K57" i="10"/>
  <c r="F78" i="10" l="1"/>
  <c r="F77" i="10"/>
  <c r="F76" i="10"/>
  <c r="F75" i="10"/>
  <c r="N74" i="10"/>
  <c r="M74" i="10"/>
  <c r="L74" i="10"/>
  <c r="L73" i="10"/>
  <c r="F59" i="10"/>
  <c r="K60" i="10" s="1"/>
  <c r="L56" i="10"/>
  <c r="L55" i="10"/>
  <c r="L54" i="10"/>
  <c r="K53" i="10"/>
  <c r="F53" i="10"/>
  <c r="L42" i="10"/>
  <c r="K41" i="10"/>
  <c r="K39" i="10"/>
  <c r="N37" i="10"/>
  <c r="N36" i="10"/>
  <c r="N30" i="10"/>
  <c r="L29" i="10"/>
  <c r="M27" i="10"/>
  <c r="L27" i="10"/>
  <c r="K25" i="10"/>
  <c r="K32" i="10" s="1"/>
  <c r="F23" i="10"/>
  <c r="N21" i="10"/>
  <c r="O18" i="10"/>
  <c r="N18" i="10"/>
  <c r="M18" i="10"/>
  <c r="L18" i="10"/>
  <c r="K16" i="10"/>
  <c r="K24" i="10" s="1"/>
  <c r="K13" i="10"/>
  <c r="K11" i="10"/>
  <c r="K10" i="10"/>
  <c r="K9" i="10"/>
  <c r="K8" i="10"/>
  <c r="K7" i="10"/>
  <c r="T23" i="9"/>
  <c r="F12" i="10" s="1"/>
  <c r="F141" i="10" l="1"/>
  <c r="K141" i="10" s="1"/>
  <c r="C141" i="10"/>
  <c r="K140" i="10"/>
  <c r="C140" i="10"/>
  <c r="C138" i="10"/>
  <c r="K137" i="10"/>
  <c r="K134" i="10"/>
  <c r="C134" i="10"/>
  <c r="K133" i="10"/>
  <c r="C133" i="10"/>
  <c r="C132" i="10"/>
  <c r="K131" i="10"/>
  <c r="K130" i="10"/>
  <c r="F129" i="10"/>
  <c r="C129" i="10"/>
  <c r="F128" i="10"/>
  <c r="F127" i="10"/>
  <c r="C127" i="10"/>
  <c r="H126" i="10"/>
  <c r="G126" i="10"/>
  <c r="F126" i="10"/>
  <c r="F123" i="10"/>
  <c r="K123" i="10" s="1"/>
  <c r="C123" i="10"/>
  <c r="C121" i="10"/>
  <c r="L120" i="10"/>
  <c r="K121" i="10" s="1"/>
  <c r="K120" i="10"/>
  <c r="G120" i="10"/>
  <c r="F117" i="10"/>
  <c r="K117" i="10" s="1"/>
  <c r="C117" i="10"/>
  <c r="K113" i="10"/>
  <c r="C113" i="10"/>
  <c r="F110" i="10"/>
  <c r="H109" i="10" s="1"/>
  <c r="C110" i="10"/>
  <c r="C109" i="10"/>
  <c r="F106" i="10"/>
  <c r="K106" i="10" s="1"/>
  <c r="C106" i="10"/>
  <c r="K105" i="10"/>
  <c r="C105" i="10"/>
  <c r="F102" i="10"/>
  <c r="K102" i="10" s="1"/>
  <c r="C102" i="10"/>
  <c r="C101" i="10"/>
  <c r="F98" i="10"/>
  <c r="K98" i="10" s="1"/>
  <c r="C98" i="10"/>
  <c r="K97" i="10"/>
  <c r="C97" i="10"/>
  <c r="K94" i="10"/>
  <c r="C94" i="10"/>
  <c r="K93" i="10"/>
  <c r="G93" i="10" s="1"/>
  <c r="H93" i="10"/>
  <c r="C93" i="10"/>
  <c r="C90" i="10"/>
  <c r="K89" i="10"/>
  <c r="C89" i="10"/>
  <c r="K88" i="10"/>
  <c r="C84" i="10"/>
  <c r="K83" i="10"/>
  <c r="C83" i="10"/>
  <c r="K82" i="10"/>
  <c r="K78" i="10"/>
  <c r="C78" i="10"/>
  <c r="K77" i="10"/>
  <c r="C77" i="10"/>
  <c r="K76" i="10"/>
  <c r="C76" i="10"/>
  <c r="K75" i="10"/>
  <c r="C75" i="10"/>
  <c r="K73" i="10"/>
  <c r="F73" i="10"/>
  <c r="L70" i="10"/>
  <c r="K70" i="10"/>
  <c r="F70" i="10"/>
  <c r="C70" i="10"/>
  <c r="K68" i="10"/>
  <c r="C68" i="10"/>
  <c r="K67" i="10"/>
  <c r="C64" i="10"/>
  <c r="K63" i="10"/>
  <c r="C63" i="10"/>
  <c r="K62" i="10"/>
  <c r="K64" i="10" s="1"/>
  <c r="K56" i="10"/>
  <c r="F56" i="10"/>
  <c r="K55" i="10"/>
  <c r="F55" i="10"/>
  <c r="K54" i="10"/>
  <c r="F54" i="10"/>
  <c r="F50" i="10"/>
  <c r="C50" i="10"/>
  <c r="C49" i="10"/>
  <c r="C48" i="10"/>
  <c r="C42" i="10"/>
  <c r="F41" i="10"/>
  <c r="C41" i="10"/>
  <c r="K45" i="10"/>
  <c r="K37" i="10"/>
  <c r="C37" i="10"/>
  <c r="K36" i="10"/>
  <c r="C36" i="10"/>
  <c r="K35" i="10"/>
  <c r="C35" i="10"/>
  <c r="K34" i="10"/>
  <c r="C31" i="10"/>
  <c r="C30" i="10"/>
  <c r="C29" i="10"/>
  <c r="C28" i="10"/>
  <c r="C27" i="10"/>
  <c r="K30" i="10"/>
  <c r="C22" i="10"/>
  <c r="C21" i="10"/>
  <c r="C20" i="10"/>
  <c r="C19" i="10"/>
  <c r="C18" i="10"/>
  <c r="K19" i="10"/>
  <c r="F14" i="10"/>
  <c r="F13" i="10"/>
  <c r="F11" i="10"/>
  <c r="F10" i="10"/>
  <c r="F9" i="10"/>
  <c r="F8" i="10"/>
  <c r="F7" i="10"/>
  <c r="K20" i="10" l="1"/>
  <c r="K18" i="10"/>
  <c r="L41" i="10"/>
  <c r="K42" i="10"/>
  <c r="K44" i="10"/>
  <c r="K100" i="10"/>
  <c r="K101" i="10" s="1"/>
  <c r="K28" i="10"/>
  <c r="K31" i="10"/>
  <c r="K110" i="10"/>
  <c r="K26" i="10"/>
  <c r="K29" i="10"/>
  <c r="K21" i="10"/>
  <c r="K40" i="10"/>
  <c r="K43" i="10"/>
  <c r="K27" i="10"/>
  <c r="K22" i="10"/>
  <c r="K23" i="10" s="1"/>
  <c r="K125" i="10"/>
  <c r="K132" i="10" s="1"/>
  <c r="K17" i="10"/>
  <c r="H14" i="9" l="1"/>
  <c r="H15" i="9"/>
  <c r="H16" i="9"/>
  <c r="H17" i="9"/>
  <c r="H18" i="9"/>
  <c r="H19" i="9"/>
  <c r="H20" i="9"/>
  <c r="H21" i="9"/>
  <c r="H22" i="9"/>
  <c r="B23" i="9"/>
  <c r="H23" i="9"/>
  <c r="I24" i="9"/>
  <c r="I30" i="9"/>
  <c r="I42" i="9"/>
  <c r="I43" i="9"/>
  <c r="K58" i="10" l="1"/>
  <c r="K59" i="10" s="1"/>
  <c r="K12" i="10"/>
  <c r="E30" i="8"/>
  <c r="L24" i="8"/>
  <c r="C24" i="8"/>
  <c r="U12" i="8"/>
  <c r="L56" i="8" l="1"/>
  <c r="C56" i="8"/>
  <c r="D50" i="8"/>
  <c r="U44" i="8"/>
  <c r="L44" i="8"/>
  <c r="L30" i="8"/>
  <c r="C30" i="8"/>
  <c r="D18" i="8"/>
  <c r="L12" i="8"/>
  <c r="D5" i="8"/>
  <c r="C5" i="8"/>
  <c r="J1228" i="6"/>
  <c r="C1228" i="6"/>
  <c r="J1227" i="6"/>
  <c r="C1227" i="6"/>
  <c r="J1226" i="6"/>
  <c r="C1226" i="6"/>
  <c r="J1225" i="6"/>
  <c r="C1225" i="6"/>
  <c r="V1224" i="6"/>
  <c r="U1224" i="6"/>
  <c r="C1224" i="6"/>
  <c r="AT284" i="6"/>
  <c r="AS284" i="6"/>
  <c r="AR284" i="6"/>
  <c r="AQ284" i="6"/>
  <c r="AP284" i="6"/>
  <c r="AO284" i="6"/>
  <c r="AN284" i="6"/>
  <c r="AM284" i="6"/>
  <c r="AL284" i="6"/>
  <c r="AK284" i="6"/>
  <c r="AJ284" i="6"/>
  <c r="AI284" i="6"/>
  <c r="AG284" i="6"/>
  <c r="AF284" i="6"/>
  <c r="AD284" i="6"/>
  <c r="AC284" i="6"/>
  <c r="AB284" i="6"/>
  <c r="AA284" i="6"/>
  <c r="Z284" i="6"/>
  <c r="Y284" i="6"/>
  <c r="X284" i="6"/>
  <c r="W284" i="6"/>
  <c r="V284" i="6"/>
  <c r="U284" i="6"/>
  <c r="S284" i="6"/>
  <c r="R284" i="6"/>
  <c r="Q284" i="6"/>
  <c r="P284" i="6"/>
  <c r="O284" i="6"/>
  <c r="N284" i="6"/>
  <c r="M284" i="6"/>
  <c r="L284" i="6"/>
  <c r="K284" i="6"/>
  <c r="J284" i="6"/>
  <c r="I284" i="6"/>
  <c r="H284" i="6"/>
  <c r="F284" i="6"/>
  <c r="E284" i="6"/>
  <c r="D284" i="6"/>
  <c r="C284" i="6"/>
  <c r="AU283" i="6"/>
  <c r="AH283" i="6"/>
  <c r="T283" i="6"/>
  <c r="G283" i="6"/>
  <c r="AU282" i="6"/>
  <c r="AH282" i="6"/>
  <c r="T282" i="6"/>
  <c r="G282" i="6"/>
  <c r="AU281" i="6"/>
  <c r="AH281" i="6"/>
  <c r="T281" i="6"/>
  <c r="G281" i="6"/>
  <c r="AU280" i="6"/>
  <c r="AH280" i="6"/>
  <c r="T280" i="6"/>
  <c r="G280" i="6"/>
  <c r="AU279" i="6"/>
  <c r="AH279" i="6"/>
  <c r="T279" i="6"/>
  <c r="G279" i="6"/>
  <c r="AU278" i="6"/>
  <c r="AH278" i="6"/>
  <c r="T278" i="6"/>
  <c r="G278" i="6"/>
  <c r="AU277" i="6"/>
  <c r="AH277" i="6"/>
  <c r="T277" i="6"/>
  <c r="G277" i="6"/>
  <c r="AU276" i="6"/>
  <c r="AH276" i="6"/>
  <c r="T276" i="6"/>
  <c r="G276" i="6"/>
  <c r="AU275" i="6"/>
  <c r="AH275" i="6"/>
  <c r="T275" i="6"/>
  <c r="G275" i="6"/>
  <c r="AU274" i="6"/>
  <c r="AH274" i="6"/>
  <c r="T274" i="6"/>
  <c r="G274" i="6"/>
  <c r="AU273" i="6"/>
  <c r="AH273" i="6"/>
  <c r="T273" i="6"/>
  <c r="G273" i="6"/>
  <c r="AU272" i="6"/>
  <c r="AH272" i="6"/>
  <c r="T272" i="6"/>
  <c r="G272" i="6"/>
  <c r="AU271" i="6"/>
  <c r="AH271" i="6"/>
  <c r="T271" i="6"/>
  <c r="G271" i="6"/>
  <c r="AU270" i="6"/>
  <c r="AH270" i="6"/>
  <c r="T270" i="6"/>
  <c r="G270" i="6"/>
  <c r="AU269" i="6"/>
  <c r="AH269" i="6"/>
  <c r="T269" i="6"/>
  <c r="G269" i="6"/>
  <c r="AU268" i="6"/>
  <c r="AH268" i="6"/>
  <c r="T268" i="6"/>
  <c r="G268" i="6"/>
  <c r="AU267" i="6"/>
  <c r="AH267" i="6"/>
  <c r="T267" i="6"/>
  <c r="G267" i="6"/>
  <c r="AU266" i="6"/>
  <c r="AH266" i="6"/>
  <c r="T266" i="6"/>
  <c r="G266" i="6"/>
  <c r="AU265" i="6"/>
  <c r="AH265" i="6"/>
  <c r="T265" i="6"/>
  <c r="G265" i="6"/>
  <c r="AU264" i="6"/>
  <c r="AH264" i="6"/>
  <c r="T264" i="6"/>
  <c r="G264" i="6"/>
  <c r="AU263" i="6"/>
  <c r="AH263" i="6"/>
  <c r="T263" i="6"/>
  <c r="G263" i="6"/>
  <c r="AU262" i="6"/>
  <c r="AH262" i="6"/>
  <c r="T262" i="6"/>
  <c r="G262" i="6"/>
  <c r="AU261" i="6"/>
  <c r="AH261" i="6"/>
  <c r="T261" i="6"/>
  <c r="G261" i="6"/>
  <c r="AU260" i="6"/>
  <c r="AH260" i="6"/>
  <c r="T260" i="6"/>
  <c r="G260" i="6"/>
  <c r="AU259" i="6"/>
  <c r="AH259" i="6"/>
  <c r="T259" i="6"/>
  <c r="G259" i="6"/>
  <c r="AU258" i="6"/>
  <c r="AH258" i="6"/>
  <c r="T258" i="6"/>
  <c r="G258" i="6"/>
  <c r="AU257" i="6"/>
  <c r="AH257" i="6"/>
  <c r="T257" i="6"/>
  <c r="G257" i="6"/>
  <c r="AU256" i="6"/>
  <c r="AH256" i="6"/>
  <c r="T256" i="6"/>
  <c r="G256" i="6"/>
  <c r="AU255" i="6"/>
  <c r="AH255" i="6"/>
  <c r="T255" i="6"/>
  <c r="G255" i="6"/>
  <c r="AU254" i="6"/>
  <c r="AH254" i="6"/>
  <c r="T254" i="6"/>
  <c r="G254" i="6"/>
  <c r="AU253" i="6"/>
  <c r="AH253" i="6"/>
  <c r="T253" i="6"/>
  <c r="G253" i="6"/>
  <c r="AU252" i="6"/>
  <c r="AH252" i="6"/>
  <c r="T252" i="6"/>
  <c r="G252" i="6"/>
  <c r="AU251" i="6"/>
  <c r="AH251" i="6"/>
  <c r="T251" i="6"/>
  <c r="G251" i="6"/>
  <c r="L219" i="6"/>
  <c r="G211" i="6"/>
  <c r="C211" i="6"/>
  <c r="I115" i="6"/>
  <c r="F97" i="6"/>
  <c r="F89" i="6"/>
  <c r="I85" i="6"/>
  <c r="F72" i="6"/>
  <c r="F75" i="6" s="1"/>
  <c r="D71" i="6"/>
  <c r="C71" i="6"/>
  <c r="F66" i="6"/>
  <c r="A66" i="6" s="1"/>
  <c r="F65" i="6"/>
  <c r="D58" i="6"/>
  <c r="I51" i="6"/>
  <c r="J38" i="6"/>
  <c r="C38" i="6"/>
  <c r="J37" i="6"/>
  <c r="C37" i="6"/>
  <c r="J36" i="6"/>
  <c r="C36" i="6"/>
  <c r="J35" i="6"/>
  <c r="C35" i="6"/>
  <c r="V34" i="6"/>
  <c r="U34" i="6"/>
  <c r="T34" i="6"/>
  <c r="J1224" i="6" s="1"/>
  <c r="J34" i="6"/>
  <c r="C34" i="6"/>
  <c r="I23" i="6"/>
  <c r="G23" i="6"/>
  <c r="F23" i="6"/>
  <c r="Y17" i="6"/>
  <c r="R17" i="6"/>
  <c r="AA17" i="6" s="1"/>
  <c r="AB17" i="6" s="1"/>
  <c r="AC17" i="6" s="1"/>
  <c r="AK9" i="6"/>
  <c r="AN9" i="6" s="1"/>
  <c r="F7" i="6"/>
  <c r="C7" i="6"/>
  <c r="M66" i="4"/>
  <c r="M67" i="4" s="1"/>
  <c r="M62" i="4"/>
  <c r="M63" i="4" s="1"/>
  <c r="P61" i="4"/>
  <c r="P65" i="4" s="1"/>
  <c r="M60" i="4"/>
  <c r="AV257" i="6" l="1"/>
  <c r="AV277" i="6"/>
  <c r="AV279" i="6"/>
  <c r="AV281" i="6"/>
  <c r="J39" i="6"/>
  <c r="L37" i="6" s="1"/>
  <c r="AV278" i="6"/>
  <c r="AV280" i="6"/>
  <c r="AV265" i="6"/>
  <c r="AV273" i="6"/>
  <c r="AV259" i="6"/>
  <c r="AV283" i="6"/>
  <c r="G284" i="6"/>
  <c r="AV253" i="6"/>
  <c r="AV255" i="6"/>
  <c r="AV282" i="6"/>
  <c r="AV261" i="6"/>
  <c r="AV263" i="6"/>
  <c r="AV251" i="6"/>
  <c r="AV269" i="6"/>
  <c r="AV271" i="6"/>
  <c r="AV252" i="6"/>
  <c r="AV267" i="6"/>
  <c r="T284" i="6"/>
  <c r="AV254" i="6"/>
  <c r="AV256" i="6"/>
  <c r="AV258" i="6"/>
  <c r="AV260" i="6"/>
  <c r="AV275" i="6"/>
  <c r="AV262" i="6"/>
  <c r="AV264" i="6"/>
  <c r="AV266" i="6"/>
  <c r="AV268" i="6"/>
  <c r="AU284" i="6"/>
  <c r="AV270" i="6"/>
  <c r="AV272" i="6"/>
  <c r="AV274" i="6"/>
  <c r="AV276" i="6"/>
  <c r="J1229" i="6"/>
  <c r="L1227" i="6" s="1"/>
  <c r="AL9" i="6"/>
  <c r="AM9" i="6"/>
  <c r="C1229" i="6"/>
  <c r="D1227" i="6" s="1"/>
  <c r="C39" i="6"/>
  <c r="D34" i="6" s="1"/>
  <c r="AH284" i="6"/>
  <c r="L35" i="6" l="1"/>
  <c r="L38" i="6"/>
  <c r="D1226" i="6"/>
  <c r="L36" i="6"/>
  <c r="D1224" i="6"/>
  <c r="L34" i="6"/>
  <c r="AV284" i="6"/>
  <c r="L1225" i="6"/>
  <c r="L1228" i="6"/>
  <c r="D1228" i="6"/>
  <c r="L1226" i="6"/>
  <c r="L1224" i="6"/>
  <c r="D1225" i="6"/>
  <c r="D35" i="6"/>
  <c r="F50" i="6" s="1"/>
  <c r="D38" i="6"/>
  <c r="D36" i="6"/>
  <c r="D37" i="6"/>
  <c r="F51" i="6" l="1"/>
  <c r="H51" i="6" s="1"/>
  <c r="A65" i="6"/>
  <c r="A79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30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30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<sst xmlns="http://schemas.openxmlformats.org/spreadsheetml/2006/main" count="4784" uniqueCount="1850">
  <si>
    <t>Date</t>
  </si>
  <si>
    <t>Платежи</t>
  </si>
  <si>
    <t>&lt;*&gt;ProcEnd</t>
  </si>
  <si>
    <t>7</t>
  </si>
  <si>
    <t>Плат. док.</t>
  </si>
  <si>
    <t>LOAD_1C_P</t>
  </si>
  <si>
    <t>Дата прих. денег</t>
  </si>
  <si>
    <t>Договоры</t>
  </si>
  <si>
    <t>NewContr</t>
  </si>
  <si>
    <t>Номер договора</t>
  </si>
  <si>
    <t>LOAD_1C_DOG</t>
  </si>
  <si>
    <t>Дата подписания</t>
  </si>
  <si>
    <t>Список клиентов 1C</t>
  </si>
  <si>
    <t>AccPaint</t>
  </si>
  <si>
    <t>30</t>
  </si>
  <si>
    <t>Клиент</t>
  </si>
  <si>
    <t>LOAD_1C_ACC</t>
  </si>
  <si>
    <t>SF</t>
  </si>
  <si>
    <t>DateSort</t>
  </si>
  <si>
    <t>5</t>
  </si>
  <si>
    <t>Платежи: Сверка SF с 1С</t>
  </si>
  <si>
    <t>SFD</t>
  </si>
  <si>
    <t>SFopp</t>
  </si>
  <si>
    <t>0</t>
  </si>
  <si>
    <t>Loaded</t>
  </si>
  <si>
    <t>SFacc</t>
  </si>
  <si>
    <t>ADSKfrSF</t>
  </si>
  <si>
    <t>SN_PC_pass</t>
  </si>
  <si>
    <t>SF_PA</t>
  </si>
  <si>
    <t>20</t>
  </si>
  <si>
    <t>SForders</t>
  </si>
  <si>
    <t>10</t>
  </si>
  <si>
    <t>Склад</t>
  </si>
  <si>
    <t>14</t>
  </si>
  <si>
    <t>InsMyCol</t>
  </si>
  <si>
    <t>LOAD_Stock</t>
  </si>
  <si>
    <t>Наименование продукта</t>
  </si>
  <si>
    <t>Поставка</t>
  </si>
  <si>
    <t>Дата</t>
  </si>
  <si>
    <t>Доставка</t>
  </si>
  <si>
    <t>СЕРИЙНЫЙ №</t>
  </si>
  <si>
    <t>Заказы</t>
  </si>
  <si>
    <t>Adapt</t>
  </si>
  <si>
    <t>Заказ</t>
  </si>
  <si>
    <t>LOAD_Order</t>
  </si>
  <si>
    <t>Номер счета 1С</t>
  </si>
  <si>
    <t>Продавец</t>
  </si>
  <si>
    <t>№ заказа</t>
  </si>
  <si>
    <t>BTOmails</t>
  </si>
  <si>
    <t>ADSK</t>
  </si>
  <si>
    <t>14392</t>
  </si>
  <si>
    <t>6</t>
  </si>
  <si>
    <t>ADSK.xlsm</t>
  </si>
  <si>
    <t>ContrADSK</t>
  </si>
  <si>
    <t>SN</t>
  </si>
  <si>
    <t>DicAcc</t>
  </si>
  <si>
    <t>BTOlog</t>
  </si>
  <si>
    <t>NewPayment</t>
  </si>
  <si>
    <t>WrCSV</t>
  </si>
  <si>
    <t>NewContract</t>
  </si>
  <si>
    <t>NewOpp</t>
  </si>
  <si>
    <t>NewAcc</t>
  </si>
  <si>
    <t>NewOrder</t>
  </si>
  <si>
    <t>21</t>
  </si>
  <si>
    <t>A_SN_1</t>
  </si>
  <si>
    <t>HDR_A_SN_1</t>
  </si>
  <si>
    <t>A_SN_2</t>
  </si>
  <si>
    <t>A_SN_3</t>
  </si>
  <si>
    <t>WP</t>
  </si>
  <si>
    <t>25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</si>
  <si>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</si>
  <si>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</si>
  <si>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</si>
  <si>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</si>
  <si>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</si>
  <si>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</si>
  <si>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</si>
  <si>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</si>
  <si>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</si>
  <si>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</si>
  <si>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</si>
  <si>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</si>
  <si>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</si>
  <si>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</si>
  <si>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</si>
  <si>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</si>
  <si>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</si>
  <si>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</si>
  <si>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</si>
  <si>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>ProcStart</t>
  </si>
  <si>
    <t>LOAD_SFD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</si>
  <si>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</si>
  <si>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</si>
  <si>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</si>
  <si>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</si>
  <si>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</si>
  <si>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</si>
  <si>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</si>
  <si>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</si>
  <si>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</si>
  <si>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</si>
  <si>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</si>
  <si>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</si>
  <si>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</si>
  <si>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</si>
  <si>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</si>
  <si>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</si>
  <si>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</si>
  <si>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</si>
  <si>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</si>
  <si>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</si>
  <si>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</si>
  <si>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</si>
  <si>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</si>
  <si>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</si>
  <si>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</si>
  <si>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</si>
  <si>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</si>
  <si>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</si>
  <si>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</si>
  <si>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</si>
  <si>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</si>
  <si>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</si>
  <si>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</si>
  <si>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</si>
  <si>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</si>
  <si>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</si>
  <si>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</si>
  <si>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</si>
  <si>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</si>
  <si>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</si>
  <si>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</si>
  <si>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</si>
  <si>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</si>
  <si>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</si>
  <si>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</si>
  <si>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</si>
  <si>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</si>
  <si>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</si>
  <si>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</si>
  <si>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</si>
  <si>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</si>
  <si>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</si>
  <si>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</si>
  <si>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</si>
  <si>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</si>
  <si>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</si>
  <si>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</si>
  <si>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</si>
  <si>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</si>
  <si>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</si>
  <si>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</si>
  <si>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</si>
  <si>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</si>
  <si>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</si>
  <si>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</si>
  <si>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</si>
  <si>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</si>
  <si>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</si>
  <si>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</si>
  <si>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</si>
  <si>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</si>
  <si>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</si>
  <si>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</si>
  <si>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</si>
  <si>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</si>
  <si>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</si>
  <si>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</si>
  <si>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</si>
  <si>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</si>
  <si>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</si>
  <si>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</si>
  <si>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</si>
  <si>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</si>
  <si>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</si>
  <si>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</si>
  <si>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</si>
  <si>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</si>
  <si>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</si>
  <si>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</si>
  <si>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</si>
  <si>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</si>
  <si>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</si>
  <si>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</si>
  <si>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</si>
  <si>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</si>
  <si>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</si>
  <si>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</si>
  <si>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</si>
  <si>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</si>
  <si>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</si>
  <si>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</si>
  <si>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</si>
  <si>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</si>
  <si>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</si>
  <si>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</si>
  <si>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</si>
  <si>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</si>
  <si>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</si>
  <si>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</si>
  <si>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</si>
  <si>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</si>
  <si>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</si>
  <si>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</si>
  <si>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</si>
  <si>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</si>
  <si>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</si>
  <si>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</si>
  <si>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</si>
  <si>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</si>
  <si>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</si>
  <si>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</si>
  <si>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</si>
  <si>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</si>
  <si>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</si>
  <si>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</si>
  <si>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</si>
  <si>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</si>
  <si>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</si>
  <si>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</si>
  <si>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</si>
  <si>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</si>
  <si>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</si>
  <si>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</si>
  <si>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</si>
  <si>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</si>
  <si>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</si>
  <si>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</si>
  <si>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</si>
  <si>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</si>
  <si>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</si>
  <si>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</si>
  <si>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</si>
  <si>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</si>
  <si>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</si>
  <si>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</si>
  <si>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</si>
  <si>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</si>
  <si>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</si>
  <si>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</si>
  <si>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</si>
  <si>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</si>
  <si>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</si>
  <si>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</si>
  <si>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</si>
  <si>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</si>
  <si>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</si>
  <si>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</si>
  <si>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</si>
  <si>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</si>
  <si>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</si>
  <si>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</si>
  <si>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</si>
  <si>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</si>
  <si>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</si>
  <si>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</si>
  <si>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</si>
  <si>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</si>
  <si>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</si>
  <si>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</si>
  <si>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</si>
  <si>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</si>
  <si>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</si>
  <si>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</si>
  <si>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</si>
  <si>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</si>
  <si>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</si>
  <si>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</si>
  <si>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</si>
  <si>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</si>
  <si>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</si>
  <si>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</si>
  <si>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</si>
  <si>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</si>
  <si>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</si>
  <si>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</si>
  <si>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</si>
  <si>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</si>
  <si>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</si>
  <si>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</si>
  <si>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</si>
  <si>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</si>
  <si>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</si>
  <si>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</si>
  <si>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</si>
  <si>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</si>
  <si>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</si>
  <si>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</si>
  <si>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</si>
  <si>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</si>
  <si>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</si>
  <si>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</si>
  <si>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</si>
  <si>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</si>
  <si>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</si>
  <si>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</si>
  <si>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</si>
  <si>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</si>
  <si>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</si>
  <si>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</si>
  <si>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</si>
  <si>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</si>
  <si>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</si>
  <si>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</si>
  <si>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</si>
  <si>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</si>
  <si>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</si>
  <si>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</si>
  <si>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</si>
  <si>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</si>
  <si>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</si>
  <si>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</si>
  <si>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</si>
  <si>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</si>
  <si>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</si>
  <si>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</si>
  <si>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</si>
  <si>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</si>
  <si>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</si>
  <si>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</si>
  <si>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</si>
  <si>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</si>
  <si>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</si>
  <si>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</si>
  <si>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</si>
  <si>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</si>
  <si>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</si>
  <si>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</si>
  <si>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</si>
  <si>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</si>
  <si>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</si>
  <si>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</si>
  <si>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</si>
  <si>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</si>
  <si>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</si>
  <si>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</si>
  <si>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</si>
  <si>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</si>
  <si>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</si>
  <si>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</si>
  <si>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</si>
  <si>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</si>
  <si>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</si>
  <si>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</si>
  <si>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</si>
  <si>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</si>
  <si>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</si>
  <si>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</si>
  <si>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</si>
  <si>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Услуги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</si>
  <si>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</si>
  <si>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</si>
  <si>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</si>
  <si>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</si>
  <si>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</si>
  <si>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</si>
  <si>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</si>
  <si>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</si>
  <si>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</si>
  <si>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</si>
  <si>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</si>
  <si>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</si>
  <si>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</si>
  <si>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</si>
  <si>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</si>
  <si>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</si>
  <si>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</si>
  <si>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</si>
  <si>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</si>
  <si>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</si>
  <si>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</si>
  <si>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</si>
  <si>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</si>
  <si>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</si>
  <si>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</si>
  <si>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</si>
  <si>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</si>
  <si>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</si>
  <si>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</si>
  <si>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</si>
  <si>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</si>
  <si>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</si>
  <si>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</si>
  <si>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</si>
  <si>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</si>
  <si>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</si>
  <si>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</si>
  <si>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</si>
  <si>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</si>
  <si>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</si>
  <si>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</si>
  <si>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</si>
  <si>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</si>
  <si>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</si>
  <si>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</si>
  <si>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</si>
  <si>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</si>
  <si>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</si>
  <si>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</si>
  <si>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</si>
  <si>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</si>
  <si>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</si>
  <si>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</si>
  <si>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</si>
  <si>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</si>
  <si>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</si>
  <si>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</si>
  <si>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</si>
  <si>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</si>
  <si>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</si>
  <si>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</si>
  <si>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</si>
  <si>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</si>
  <si>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</si>
  <si>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</si>
  <si>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</si>
  <si>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</si>
  <si>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</si>
  <si>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</si>
  <si>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</si>
  <si>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</si>
  <si>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</si>
  <si>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</si>
  <si>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</si>
  <si>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</si>
  <si>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</si>
  <si>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</si>
  <si>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</si>
  <si>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</si>
  <si>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</si>
  <si>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</si>
  <si>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</si>
  <si>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</si>
  <si>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</si>
  <si>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</si>
  <si>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</si>
  <si>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</si>
  <si>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</si>
  <si>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</si>
  <si>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</si>
  <si>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</si>
  <si>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</si>
  <si>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</si>
  <si>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</si>
  <si>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</si>
  <si>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</si>
  <si>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</si>
  <si>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</si>
  <si>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</si>
  <si>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</si>
  <si>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</si>
  <si>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</si>
  <si>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</si>
  <si>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</si>
  <si>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</si>
  <si>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</si>
  <si>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</si>
  <si>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</si>
  <si>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</si>
  <si>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</si>
  <si>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</si>
  <si>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</si>
  <si>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</si>
  <si>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</si>
  <si>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</si>
  <si>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</si>
  <si>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</si>
  <si>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</si>
  <si>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</si>
  <si>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</si>
  <si>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</si>
  <si>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</si>
  <si>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</si>
  <si>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</si>
  <si>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</si>
  <si>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</si>
  <si>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</si>
  <si>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</si>
  <si>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</si>
  <si>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</si>
  <si>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</si>
  <si>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</si>
  <si>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</si>
  <si>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</si>
  <si>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</si>
  <si>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</si>
  <si>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</si>
  <si>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</si>
  <si>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</si>
  <si>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</si>
  <si>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</si>
  <si>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</si>
  <si>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</si>
  <si>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</si>
  <si>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</si>
  <si>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</si>
  <si>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</si>
  <si>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</si>
  <si>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</si>
  <si>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</si>
  <si>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</si>
  <si>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</si>
  <si>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</si>
  <si>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</si>
  <si>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</si>
  <si>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</si>
  <si>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</si>
  <si>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</si>
  <si>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</si>
  <si>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</si>
  <si>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</si>
  <si>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</si>
  <si>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</si>
  <si>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</si>
  <si>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</si>
  <si>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</si>
  <si>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</si>
  <si>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</si>
  <si>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</si>
  <si>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</si>
  <si>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</si>
  <si>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</si>
  <si>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</si>
  <si>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</si>
  <si>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</si>
  <si>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</si>
  <si>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</si>
  <si>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</si>
  <si>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</si>
  <si>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</si>
  <si>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</si>
  <si>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</si>
  <si>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</si>
  <si>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</si>
  <si>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</si>
  <si>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</si>
  <si>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</si>
  <si>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</si>
  <si>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</si>
  <si>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</si>
  <si>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</si>
  <si>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</si>
  <si>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</si>
  <si>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</si>
  <si>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</si>
  <si>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</si>
  <si>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</si>
  <si>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</si>
  <si>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</si>
  <si>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</si>
  <si>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</si>
  <si>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</si>
  <si>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</si>
  <si>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</si>
  <si>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</si>
  <si>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</si>
  <si>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</si>
  <si>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</si>
  <si>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</si>
  <si>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</si>
  <si>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</si>
  <si>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</si>
  <si>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</si>
  <si>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</si>
  <si>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</si>
  <si>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</si>
  <si>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</si>
  <si>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</si>
  <si>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</si>
  <si>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</si>
  <si>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</si>
  <si>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</si>
  <si>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</si>
  <si>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</si>
  <si>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</si>
  <si>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</si>
  <si>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</si>
  <si>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</si>
  <si>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</si>
  <si>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</si>
  <si>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</si>
  <si>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</si>
  <si>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</si>
  <si>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</si>
  <si>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</si>
  <si>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</si>
  <si>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</si>
  <si>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</si>
  <si>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</si>
  <si>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</si>
  <si>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</si>
  <si>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</si>
  <si>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</si>
  <si>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</si>
  <si>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</si>
  <si>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</si>
  <si>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</si>
  <si>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</si>
  <si>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</si>
  <si>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</si>
  <si>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</si>
  <si>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</si>
  <si>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</si>
  <si>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</si>
  <si>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</si>
  <si>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</si>
  <si>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</si>
  <si>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</si>
  <si>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</si>
  <si>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</si>
  <si>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</si>
  <si>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</si>
  <si>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</si>
  <si>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</si>
  <si>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</si>
  <si>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</si>
  <si>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</si>
  <si>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</si>
  <si>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</si>
  <si>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</si>
  <si>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</si>
  <si>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</si>
  <si>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</si>
  <si>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</si>
  <si>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</si>
  <si>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</si>
  <si>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</si>
  <si>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</si>
  <si>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</si>
  <si>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</si>
  <si>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</si>
  <si>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</si>
  <si>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</si>
  <si>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</si>
  <si>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</si>
  <si>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</si>
  <si>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</si>
  <si>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</si>
  <si>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</si>
  <si>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</si>
  <si>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</si>
  <si>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</si>
  <si>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</si>
  <si>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</si>
  <si>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</si>
  <si>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</si>
  <si>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</si>
  <si>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</si>
  <si>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</si>
  <si>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</si>
  <si>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</si>
  <si>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</si>
  <si>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</si>
  <si>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</si>
  <si>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</si>
  <si>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</si>
  <si>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</si>
  <si>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</si>
  <si>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</si>
  <si>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</si>
  <si>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</si>
  <si>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</si>
  <si>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</si>
  <si>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</si>
  <si>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</si>
  <si>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</si>
  <si>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</si>
  <si>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</si>
  <si>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</si>
  <si>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</si>
  <si>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</si>
  <si>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</si>
  <si>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</si>
  <si>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</si>
  <si>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</si>
  <si>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</si>
  <si>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</si>
  <si>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</si>
  <si>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</si>
  <si>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</si>
  <si>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</si>
  <si>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</si>
  <si>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</si>
  <si>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</si>
  <si>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</si>
  <si>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</si>
  <si>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</si>
  <si>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</si>
  <si>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</si>
  <si>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</si>
  <si>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</si>
  <si>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</si>
  <si>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</si>
  <si>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</si>
  <si>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</si>
  <si>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</si>
  <si>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</si>
  <si>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</si>
  <si>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</si>
  <si>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</si>
  <si>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</si>
  <si>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</si>
  <si>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</si>
  <si>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</si>
  <si>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</si>
  <si>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</si>
  <si>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</si>
  <si>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</si>
  <si>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</si>
  <si>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</si>
  <si>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</si>
  <si>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</si>
  <si>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</si>
  <si>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</si>
  <si>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</si>
  <si>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</si>
  <si>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</si>
  <si>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</si>
  <si>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</si>
  <si>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</si>
  <si>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</si>
  <si>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</si>
  <si>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</si>
  <si>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</si>
  <si>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</si>
  <si>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</si>
  <si>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</si>
  <si>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</si>
  <si>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</si>
  <si>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</si>
  <si>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</si>
  <si>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</si>
  <si>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</si>
  <si>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</si>
  <si>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</si>
  <si>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</si>
  <si>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</si>
  <si>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</si>
  <si>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</si>
  <si>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</si>
  <si>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</si>
  <si>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</si>
  <si>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</si>
  <si>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</si>
  <si>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</si>
  <si>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</si>
  <si>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</si>
  <si>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</si>
  <si>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</si>
  <si>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</si>
  <si>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</si>
  <si>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</si>
  <si>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</si>
  <si>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</si>
  <si>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</si>
  <si>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</si>
  <si>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</si>
  <si>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</si>
  <si>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</si>
  <si>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</si>
  <si>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</si>
  <si>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</si>
  <si>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</si>
  <si>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</si>
  <si>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</si>
  <si>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</si>
  <si>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</si>
  <si>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</si>
  <si>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</si>
  <si>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</si>
  <si>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</si>
  <si>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</si>
  <si>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</si>
  <si>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</si>
  <si>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</si>
  <si>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</si>
  <si>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</si>
  <si>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</si>
  <si>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</si>
  <si>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</si>
  <si>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</si>
  <si>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</si>
  <si>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</si>
  <si>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</si>
  <si>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</si>
  <si>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</si>
  <si>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</si>
  <si>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</si>
  <si>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</si>
  <si>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</si>
  <si>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</si>
  <si>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</si>
  <si>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</si>
  <si>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</si>
  <si>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</si>
  <si>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</si>
  <si>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</si>
  <si>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</si>
  <si>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</si>
  <si>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</si>
  <si>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</si>
  <si>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</si>
  <si>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</si>
  <si>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</si>
  <si>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</si>
  <si>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</si>
  <si>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</si>
  <si>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</si>
  <si>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</si>
  <si>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</si>
  <si>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</si>
  <si>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</si>
  <si>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</si>
  <si>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</si>
  <si>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</si>
  <si>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</si>
  <si>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</si>
  <si>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</si>
  <si>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</si>
  <si>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</si>
  <si>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</si>
  <si>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</si>
  <si>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</si>
  <si>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</si>
  <si>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</si>
  <si>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</si>
  <si>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</si>
  <si>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</si>
  <si>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</si>
  <si>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</si>
  <si>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</si>
  <si>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</si>
  <si>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</si>
  <si>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</si>
  <si>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</si>
  <si>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</si>
  <si>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</si>
  <si>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</si>
  <si>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</si>
  <si>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</si>
  <si>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</si>
  <si>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</si>
  <si>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</si>
  <si>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</si>
  <si>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</si>
  <si>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</si>
  <si>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</si>
  <si>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</si>
  <si>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</si>
  <si>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</si>
  <si>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</si>
  <si>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</si>
  <si>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</si>
  <si>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</si>
  <si>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</si>
  <si>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</si>
  <si>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</si>
  <si>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</si>
  <si>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</si>
  <si>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</si>
  <si>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</si>
  <si>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</si>
  <si>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</si>
  <si>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</si>
  <si>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</si>
  <si>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</si>
  <si>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</si>
  <si>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</si>
  <si>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</si>
  <si>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</si>
  <si>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</si>
  <si>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</si>
  <si>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</si>
  <si>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</si>
  <si>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</si>
  <si>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</si>
  <si>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</si>
  <si>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</si>
  <si>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</si>
  <si>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</si>
  <si>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</si>
  <si>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</si>
  <si>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</si>
  <si>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</si>
  <si>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</si>
  <si>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</si>
  <si>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</si>
  <si>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</si>
  <si>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</si>
  <si>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</si>
  <si>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</si>
  <si>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</si>
  <si>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</si>
  <si>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</si>
  <si>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</si>
  <si>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</si>
  <si>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</si>
  <si>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</si>
  <si>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</si>
  <si>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</si>
  <si>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</si>
  <si>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</si>
  <si>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</si>
  <si>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</si>
  <si>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</si>
  <si>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</si>
  <si>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</si>
  <si>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</si>
  <si>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</si>
  <si>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</si>
  <si>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</si>
  <si>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</si>
  <si>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</si>
  <si>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</si>
  <si>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</si>
  <si>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</si>
  <si>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</si>
  <si>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</si>
  <si>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</si>
  <si>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</si>
  <si>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</si>
  <si>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</si>
  <si>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</si>
  <si>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</si>
  <si>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</si>
  <si>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</si>
  <si>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</si>
  <si>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</si>
  <si>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</si>
  <si>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</si>
  <si>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</si>
  <si>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</si>
  <si>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</si>
  <si>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</si>
  <si>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</si>
  <si>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</si>
  <si>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</si>
  <si>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</si>
  <si>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</si>
  <si>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</si>
  <si>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</si>
  <si>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</si>
  <si>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</si>
  <si>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</si>
  <si>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</si>
  <si>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</si>
  <si>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</si>
  <si>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</si>
  <si>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</si>
  <si>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</si>
  <si>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</si>
  <si>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</si>
  <si>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</si>
  <si>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</si>
  <si>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</si>
  <si>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</si>
  <si>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</si>
  <si>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</si>
  <si>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</si>
  <si>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</si>
  <si>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</si>
  <si>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</si>
  <si>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</si>
  <si>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</si>
  <si>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</si>
  <si>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</si>
  <si>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</si>
  <si>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</si>
  <si>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</si>
  <si>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</si>
  <si>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</si>
  <si>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</si>
  <si>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</si>
  <si>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</si>
  <si>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</si>
  <si>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</si>
  <si>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</si>
  <si>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</si>
  <si>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</si>
  <si>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</si>
  <si>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</si>
  <si>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</si>
  <si>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</si>
  <si>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</si>
  <si>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</si>
  <si>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</si>
  <si>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</si>
  <si>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</si>
  <si>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</si>
  <si>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</si>
  <si>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</si>
  <si>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</si>
  <si>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</si>
  <si>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</si>
  <si>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</si>
  <si>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</si>
  <si>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</si>
  <si>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</si>
  <si>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</si>
  <si>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</si>
  <si>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</si>
  <si>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</si>
  <si>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</si>
  <si>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</si>
  <si>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</si>
  <si>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</si>
  <si>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</si>
  <si>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</si>
  <si>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</si>
  <si>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</si>
  <si>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</si>
  <si>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</si>
  <si>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</si>
  <si>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</si>
  <si>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</si>
  <si>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</si>
  <si>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</si>
  <si>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</si>
  <si>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</si>
  <si>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</si>
  <si>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</si>
  <si>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</si>
  <si>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</si>
  <si>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</si>
  <si>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</si>
  <si>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</si>
  <si>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</si>
  <si>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</si>
  <si>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</si>
  <si>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</si>
  <si>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</si>
  <si>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</si>
  <si>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</si>
  <si>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</si>
  <si>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</si>
  <si>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</si>
  <si>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</si>
  <si>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</si>
  <si>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</si>
  <si>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</si>
  <si>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</si>
  <si>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</si>
  <si>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</si>
  <si>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</si>
  <si>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</si>
  <si>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</si>
  <si>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</si>
  <si>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</si>
  <si>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</si>
  <si>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</si>
  <si>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</si>
  <si>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</si>
  <si>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</si>
  <si>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</si>
  <si>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</si>
  <si>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</si>
  <si>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</si>
  <si>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</si>
  <si>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</si>
  <si>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</si>
  <si>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</si>
  <si>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</si>
  <si>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</si>
  <si>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</si>
  <si>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</si>
  <si>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</si>
  <si>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</si>
  <si>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</si>
  <si>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</si>
  <si>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</si>
  <si>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16</t>
  </si>
  <si>
    <t>CopyToVal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</si>
  <si>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</si>
  <si>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</si>
  <si>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MergeReps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</si>
  <si>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</si>
  <si>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SF_Paint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</si>
  <si>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</si>
  <si>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</si>
  <si>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</si>
  <si>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</si>
  <si>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</si>
  <si>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LOADER</t>
  </si>
  <si>
    <t>CheckRepDate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</si>
  <si>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</si>
  <si>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</si>
  <si>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2)Value</t>
  </si>
  <si>
    <t>Paid1C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</si>
  <si>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</si>
  <si>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Гогина Ольга Олеговна</t>
  </si>
  <si>
    <t>Иванов Дмитрий Александрович</t>
  </si>
  <si>
    <t>ИвановДА</t>
  </si>
  <si>
    <t>О П Л А Т А,  ПО Csoft, Tekla</t>
  </si>
  <si>
    <t>Tekla</t>
  </si>
  <si>
    <t>001D000001Bsfmi</t>
  </si>
  <si>
    <t>ООО "ПетроСАПР"</t>
  </si>
  <si>
    <t>Хабаров Алексей Валерьевич</t>
  </si>
  <si>
    <t>Хабаров</t>
  </si>
  <si>
    <r>
      <t>8.9.13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</si>
  <si>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NewOppSAV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 -- этот Шаблон будет написан позже</t>
    </r>
  </si>
  <si>
    <t>15/Txt</t>
  </si>
  <si>
    <t>40/Txt</t>
  </si>
  <si>
    <t>#4</t>
  </si>
  <si>
    <t>DogVal</t>
  </si>
  <si>
    <t>консультац</t>
  </si>
  <si>
    <t>32</t>
  </si>
  <si>
    <t>KindOpp</t>
  </si>
  <si>
    <t>EmptyBuddy</t>
  </si>
  <si>
    <t>полноценный Шаблон для WrNewSheet</t>
  </si>
  <si>
    <t>ContrUpd.txt</t>
  </si>
  <si>
    <t>quotaContUpd.bat</t>
  </si>
  <si>
    <t>CanonicAccName</t>
  </si>
  <si>
    <t>25/Txt</t>
  </si>
  <si>
    <t>AltFetch</t>
  </si>
  <si>
    <t>Каноническое имя 1С</t>
  </si>
  <si>
    <t>SF_DicAccSyn</t>
  </si>
  <si>
    <t>DicAccSynonims/1:2/0</t>
  </si>
  <si>
    <t>DicAccSyn</t>
  </si>
  <si>
    <r>
      <t xml:space="preserve">15.09.2013 </t>
    </r>
    <r>
      <rPr>
        <b/>
        <i/>
        <u/>
        <sz val="11"/>
        <color theme="1"/>
        <rFont val="Calibri"/>
        <family val="2"/>
        <charset val="204"/>
        <scheme val="minor"/>
      </rPr>
      <t>HDR_DicAccSynonims</t>
    </r>
    <r>
      <rPr>
        <sz val="11"/>
        <color theme="1"/>
        <rFont val="Calibri"/>
        <family val="2"/>
        <charset val="204"/>
        <scheme val="minor"/>
      </rPr>
      <t xml:space="preserve"> - Шаблон словаря синонимов названий Организаций в 1С</t>
    </r>
  </si>
  <si>
    <t>Альтернатива 1С</t>
  </si>
  <si>
    <t>75/Txt</t>
  </si>
  <si>
    <t>95/Txt</t>
  </si>
  <si>
    <t>HANDL_PaidInSF</t>
  </si>
  <si>
    <t>LOAD_SF_DicAccSyn</t>
  </si>
  <si>
    <t>Каноническое имя Заказчика</t>
  </si>
  <si>
    <t>22.09.13 - используется каноническое имя Заказчика в колонке 15, а прежнее поле Заказчик в колонке 9</t>
  </si>
  <si>
    <t>0,5/Txt</t>
  </si>
  <si>
    <r>
      <t xml:space="preserve">23.09.13 </t>
    </r>
    <r>
      <rPr>
        <b/>
        <i/>
        <u/>
        <sz val="11"/>
        <color theme="1"/>
        <rFont val="Calibri"/>
        <family val="2"/>
        <charset val="204"/>
      </rPr>
      <t>HDR_1C_Payment_MyCol_Pass0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 Платежам 1С с указанием предварительно обрабатываемых колонок</t>
    </r>
  </si>
  <si>
    <r>
      <t>23.09.13 HDR_1C_Contract_MyCol</t>
    </r>
    <r>
      <rPr>
        <b/>
        <i/>
        <u/>
        <sz val="11"/>
        <color theme="1"/>
        <rFont val="Calibri"/>
        <family val="2"/>
        <charset val="204"/>
      </rPr>
      <t>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поДоговорам 1С с указанием предварительно обрабатываемых колонок</t>
    </r>
  </si>
  <si>
    <t>ExtPar2</t>
  </si>
  <si>
    <t>ExtPar3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</si>
  <si>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литиевая, карта системной памяти</t>
  </si>
  <si>
    <t>Norma, строительство, нии лот, нормативный документ, ОСТ5Р</t>
  </si>
  <si>
    <t>Статус Договора</t>
  </si>
  <si>
    <t>SetOppButton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</si>
  <si>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право, реализация процедур маршрутизации документов, использования программы монтаж (s24, 128, 392, smax)</t>
  </si>
  <si>
    <t>SFD/2:13</t>
  </si>
  <si>
    <t>IdSFopp по Договору</t>
  </si>
  <si>
    <t>Дата начала Договора</t>
  </si>
  <si>
    <t>22/Txt</t>
  </si>
  <si>
    <t>SFD/2:8/0</t>
  </si>
  <si>
    <t>SFD/2:9/0</t>
  </si>
  <si>
    <t>SFD/2:13/0</t>
  </si>
  <si>
    <t>Сумма в руб</t>
  </si>
  <si>
    <t>#12</t>
  </si>
  <si>
    <t>Продавец по Договору</t>
  </si>
  <si>
    <t>SFD/2:20/0</t>
  </si>
  <si>
    <t>SFD/2:12/0</t>
  </si>
  <si>
    <t>18/Txt</t>
  </si>
  <si>
    <t>CopyPattern</t>
  </si>
  <si>
    <t>22.10.13 - bug fix - ContractId Fetch SFD/2:15</t>
  </si>
  <si>
    <t>WP_Prototype</t>
  </si>
  <si>
    <t>N</t>
  </si>
  <si>
    <t>W_TMP.xlsm</t>
  </si>
  <si>
    <t>HDR_A_SN_3</t>
  </si>
  <si>
    <t>SNupdate</t>
  </si>
  <si>
    <t>HDR_A_SN_2</t>
  </si>
  <si>
    <t>SNread</t>
  </si>
  <si>
    <t>HDR_ContractUpdate</t>
  </si>
  <si>
    <t>ContractUpdate</t>
  </si>
  <si>
    <t>HDR_NewOrder</t>
  </si>
  <si>
    <t>HDR_NewAcc</t>
  </si>
  <si>
    <t>HDR_NewOpp</t>
  </si>
  <si>
    <t>HDR_NewContract</t>
  </si>
  <si>
    <t>HDR_NewPayment</t>
  </si>
  <si>
    <t>HDR_BTOlog</t>
  </si>
  <si>
    <t>WrNewSheet</t>
  </si>
  <si>
    <t>HDR_DicAccSynonims</t>
  </si>
  <si>
    <t>=</t>
  </si>
  <si>
    <t>DicAccSynonims</t>
  </si>
  <si>
    <t>HDR_DicAcc</t>
  </si>
  <si>
    <t>*</t>
  </si>
  <si>
    <t>Имя /тип отчета</t>
  </si>
  <si>
    <t>LOAD_ADSK</t>
  </si>
  <si>
    <t>Дата обработки Match</t>
  </si>
  <si>
    <t>TOC_ADSK</t>
  </si>
  <si>
    <t>I</t>
  </si>
  <si>
    <t>Счет:#</t>
  </si>
  <si>
    <t>Оформлял:</t>
  </si>
  <si>
    <t>БТО: Обновление по подписке</t>
  </si>
  <si>
    <t>Stock.xlsx</t>
  </si>
  <si>
    <t>2399</t>
  </si>
  <si>
    <t>10, 18</t>
  </si>
  <si>
    <t>1, 3</t>
  </si>
  <si>
    <t>9, 17</t>
  </si>
  <si>
    <t>8, 16</t>
  </si>
  <si>
    <t>7, 15</t>
  </si>
  <si>
    <t>\\Server-b\vol_cs_spb\CS ESG\Заказ продукции\Заказ продукции и CIF\Проводка заказов\Проводка заказов_2012.xls</t>
  </si>
  <si>
    <t>5, 13</t>
  </si>
  <si>
    <t>4, 18</t>
  </si>
  <si>
    <t>6, 20</t>
  </si>
  <si>
    <t>5, 19</t>
  </si>
  <si>
    <t>3, 17</t>
  </si>
  <si>
    <t>2, 16</t>
  </si>
  <si>
    <t>\\Server-b\vol_cs_spb\CS ESG\Заказ продукции\Серийные номера ПО</t>
  </si>
  <si>
    <t>1, 15</t>
  </si>
  <si>
    <t>Match:Организации 1С - синонимы</t>
  </si>
  <si>
    <t>Match: Заказы</t>
  </si>
  <si>
    <t>Match: Связка Платеж-Контракт Autodesk</t>
  </si>
  <si>
    <t>Match:Обновления БТО по подпискам ADSK</t>
  </si>
  <si>
    <t>BTO</t>
  </si>
  <si>
    <t>Match ADSK from SF</t>
  </si>
  <si>
    <t>Match: Все Контакты</t>
  </si>
  <si>
    <t>SFcont</t>
  </si>
  <si>
    <t>Match SFopp</t>
  </si>
  <si>
    <t>SFD_Summary</t>
  </si>
  <si>
    <t xml:space="preserve"> SFD_MyCol</t>
  </si>
  <si>
    <t>Match: SFD</t>
  </si>
  <si>
    <t>SF_Summary</t>
  </si>
  <si>
    <t xml:space="preserve"> SF_MyCol</t>
  </si>
  <si>
    <t>3, 4</t>
  </si>
  <si>
    <t>4, 1</t>
  </si>
  <si>
    <t>Контакт</t>
  </si>
  <si>
    <t>Acc1C_Summary</t>
  </si>
  <si>
    <t>Acc1C_MyCol</t>
  </si>
  <si>
    <t>2, 3</t>
  </si>
  <si>
    <t>1C.xlsx</t>
  </si>
  <si>
    <t>0 /3</t>
  </si>
  <si>
    <t>4, 12</t>
  </si>
  <si>
    <t>EOL</t>
  </si>
  <si>
    <t>2, 10</t>
  </si>
  <si>
    <t>2 / 7</t>
  </si>
  <si>
    <t>2, 7</t>
  </si>
  <si>
    <t>HDR_1C_Payment_Summary</t>
  </si>
  <si>
    <t>HDR_1C_Payment_MyCol</t>
  </si>
  <si>
    <t>1, 6</t>
  </si>
  <si>
    <t>InterCAD</t>
  </si>
  <si>
    <t>Salesforce.com</t>
  </si>
  <si>
    <t>SFDC.xlsx</t>
  </si>
  <si>
    <t>-1</t>
  </si>
  <si>
    <t>SFDC</t>
  </si>
  <si>
    <t>Process</t>
  </si>
  <si>
    <t>match.xlsm</t>
  </si>
  <si>
    <t>200</t>
  </si>
  <si>
    <t>TOCmatch</t>
  </si>
  <si>
    <t>Loader</t>
  </si>
  <si>
    <t>Параметры</t>
  </si>
  <si>
    <t>Создан</t>
  </si>
  <si>
    <t>C</t>
  </si>
  <si>
    <t>R</t>
  </si>
  <si>
    <t>Тип</t>
  </si>
  <si>
    <t>Штамп</t>
  </si>
  <si>
    <t>Лист</t>
  </si>
  <si>
    <t>Файл</t>
  </si>
  <si>
    <t>Периодичность</t>
  </si>
  <si>
    <t>Made</t>
  </si>
  <si>
    <t>ResLines</t>
  </si>
  <si>
    <t>MyCol</t>
  </si>
  <si>
    <t>Last ToDate</t>
  </si>
  <si>
    <t>Last FrDate</t>
  </si>
  <si>
    <t>Date_Col</t>
  </si>
  <si>
    <t>ToDate_Row</t>
  </si>
  <si>
    <t>FrDate_Row</t>
  </si>
  <si>
    <t>ToDate</t>
  </si>
  <si>
    <t>FrDate</t>
  </si>
  <si>
    <t>Шаблон 
пятки</t>
  </si>
  <si>
    <t>Шаблон
документа</t>
  </si>
  <si>
    <t>ParCheck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</si>
  <si>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</si>
  <si>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IsComment</t>
  </si>
  <si>
    <t>с</t>
  </si>
  <si>
    <t>DocCheckSum</t>
  </si>
  <si>
    <t>&lt;*&gt;ProcStart LOADER Doc='' DocCS=0</t>
  </si>
  <si>
    <t>&lt;*&gt;ProcStart LOAD_1C_ACC Doc='Список клиентов 1C' DocCS=55238937</t>
  </si>
  <si>
    <t>&lt;*&gt;ProcEnd LOAD_1C_ACC  Doc='Список клиентов 1C' DocCS=55238937</t>
  </si>
  <si>
    <t>&lt;*&gt;ProcStart LOAD_SF_DicAccSyn Doc='SF_DicAccSyn' DocCS=0</t>
  </si>
  <si>
    <t>&lt;*&gt;ProcEnd LOAD_SF_DicAccSyn  Doc='SF_DicAccSyn' DocCS=0</t>
  </si>
  <si>
    <t>&lt;*&gt;ProcStart LOAD_SFacc Doc='SFacc' DocCS=117639848</t>
  </si>
  <si>
    <t>&lt;*&gt;ProcEnd LOAD_SFacc  Doc='SFacc' DocCS=117639848</t>
  </si>
  <si>
    <t>&lt;*&gt;ProcStart LOAD_1C_DOG Doc='Договоры' DocCS=72727797</t>
  </si>
  <si>
    <t>&lt;*&gt;ProcStart LOAD_SFD Doc='SFD' DocCS=32020374</t>
  </si>
  <si>
    <t>&lt;*&gt;ProcStart LOAD_SF Doc='SF' DocCS=269496703</t>
  </si>
  <si>
    <t>&gt;&gt; iEOL=2035 Columns.Count=9</t>
  </si>
  <si>
    <t>&gt;&gt; iEOL=5609 Columns.Count=20</t>
  </si>
  <si>
    <t>&gt;&gt; iEOL=1258 Columns.Count=20</t>
  </si>
  <si>
    <t>&gt;&gt; iEOL=129 Columns.Count=2</t>
  </si>
  <si>
    <t>&gt;&gt; iEOL=5011 Columns.Count=19</t>
  </si>
  <si>
    <t>RRERRRR</t>
  </si>
  <si>
    <t>&lt;*&gt;ProcStart LOAD_1C_P Doc='Платежи' DocCS=329373607</t>
  </si>
  <si>
    <t>LogReset, предыдущий Log из 245  строк стерт</t>
  </si>
  <si>
    <t>MoveToMatch: В файл '1C.xlsx' загружен новый отчет 'Платежи'; EOL=30 строк, в прежнем 5885_x000D_
Это изменяемая ЧАСТЬ данных.</t>
  </si>
  <si>
    <t>adapt profile: total = 1,92_x000D_
By steps =  0,11 0,00 0,19 0,81 0,00 0,00 0,00 0,00 0,00 0,00 0,00 0,00 0,00 0,00 0,00 0,00 0,00 0,00 0,00 0,00 0,00 0,00 0,00 0,00 0,00 0,00 0,00 0,00 0,00 0,79</t>
  </si>
  <si>
    <t>&gt;&gt; iEOL=5900 Columns.Count=30</t>
  </si>
  <si>
    <t>&lt;*&gt;ProcEnd LOAD_1C_P  Doc='Платежи' DocCS=330037271</t>
  </si>
  <si>
    <t>MoveToMatch: В файл '1C.xlsx' загружен новый отчет 'Договоры'; EOL=43 строк, в прежнем 1462_x000D_
Это изменяемая ЧАСТЬ данных.</t>
  </si>
  <si>
    <t>adapt profile: total = 0,18_x000D_
By steps =  0,03 0,04 0,01 0,00 0,00 0,00 0,01 0,00 0,05 0,00 0,00 0,00 0,00 0,00 0,00 0,00 0,00 0,00 0,00 0,00 0,00 0,00 0,00 0,00 0,00 0,00</t>
  </si>
  <si>
    <t>&gt;&gt; iEOL=1473 Columns.Count=26</t>
  </si>
  <si>
    <t>&lt;*&gt;ProcEnd LOAD_1C_DOG  Doc='Договоры' DocCS=72873620</t>
  </si>
  <si>
    <t>&lt;*&gt;ProcStart LOAD_1C_P Doc='Платежи' DocCS=330037271</t>
  </si>
  <si>
    <t>&lt;*&gt;ProcStart LOAD_1C_DOG Doc='Договоры' DocCS=72873620</t>
  </si>
  <si>
    <t>adapt profile: total = 27,11_x000D_
By steps =  25,43 0,09</t>
  </si>
  <si>
    <t>&lt;*&gt;ProcEnd LOAD_SF  Doc='SF' DocCS=269454988</t>
  </si>
  <si>
    <t>adapt profile: total = 6,00_x000D_
By steps =  5,62 0,02</t>
  </si>
  <si>
    <t>&lt;*&gt;ProcEnd LOAD_SFD  Doc='SFD' DocCS=32020370</t>
  </si>
  <si>
    <t>adapt profile: total = 51,86_x000D_
By steps =  12,80 0,03 12,11 3,76 0,03 0,01 0,01 0,01 0,01 0,02 0,01 0,01 0,01 0,02 0,02 0,01 0,01 0,01 0,02 0,02 0,02 0,01 0,01 0,01 0,02 0,01 0,01 0,01 0,02 21,38</t>
  </si>
  <si>
    <t>adapt profile: total = 8,15_x000D_
By steps =  0,97 3,24 0,70 0,00 0,01 0,00 0,68 0,01 1,99 0,01 0,00 0,00 0,00 0,00 0,00 0,00 0,00 0,00 0,00 0,00 0,00 0,00 0,00 0,00 0,00 0,00</t>
  </si>
  <si>
    <t>&lt;*&gt;ProcEnd LOAD_1C_DOG  Doc='Договоры' DocCS=72873650</t>
  </si>
  <si>
    <t>&lt;*&gt;ProcStart HANDL_Payment Doc='Платежи' DocCS=330037271</t>
  </si>
  <si>
    <t>&lt;! ERROR !&gt; Неизвестный тип товара лицензия early adopter spe handover solutionware/1;лицензия spe validation, transformation &amp; loading (vtl)/1;лицензия early adopter-spe req. mgmt &amp; traceability solutionware (epc)/1;</t>
  </si>
  <si>
    <t>&lt; WARNING &gt; В строке 394Платежей 1С ссылка на Договор 2008-2-050, которого нет в листе Договоров 1С</t>
  </si>
  <si>
    <t>&lt; WARNING &gt; В строке 395Платежей 1С ссылка на Договор 1311-07, которого нет в листе Договоров 1С</t>
  </si>
  <si>
    <t>&lt; WARNING &gt; В строке 396Платежей 1С ссылка на Договор 1311-07, которого нет в листе Договоров 1С</t>
  </si>
  <si>
    <t>&lt; WARNING &gt; В строке 438Платежей 1С ссылка на Договор 2008-1-048, которого нет в листе Договоров 1С</t>
  </si>
  <si>
    <t>&lt; WARNING &gt; В строке 439Платежей 1С ссылка на Договор 2008-1-048, которого нет в листе Договоров 1С</t>
  </si>
  <si>
    <t>&lt; WARNING &gt; В строке 440Платежей 1С ссылка на Договор 2008-1-048, которого нет в листе Договоров 1С</t>
  </si>
  <si>
    <t>&lt; WARNING &gt; В строке 441Платежей 1С ссылка на Договор 2008-1-048, которого нет в листе Договоров 1С</t>
  </si>
  <si>
    <t>&lt; WARNING &gt; В строке 492Платежей 1С ссылка на Договор 0107-07/2с, которого нет в листе Договоров 1С</t>
  </si>
  <si>
    <t>&lt; WARNING &gt; В строке 493Платежей 1С ссылка на Договор 0107-07/2с, которого нет в листе Договоров 1С</t>
  </si>
  <si>
    <t>&lt; WARNING &gt; В строке 494Платежей 1С ссылка на Договор 0107-07/2с, которого нет в листе Договоров 1С</t>
  </si>
  <si>
    <t>&lt; WARNING &gt; В строке 495Платежей 1С ссылка на Договор 0107-07/2с, которого нет в листе Договоров 1С</t>
  </si>
  <si>
    <t>&lt; WARNING &gt; В строке 496Платежей 1С ссылка на Договор 0107-07/2с, которого нет в листе Договоров 1С</t>
  </si>
  <si>
    <t>WrCSV&gt; в 'Dogovor.txt' записано 2 строк.</t>
  </si>
  <si>
    <t>WrCSV&gt; в 'Payment.txt' записано 19 строк.</t>
  </si>
  <si>
    <t>WrCSV&gt; в 'ContrUpd.txt' записано 6 строк.</t>
  </si>
  <si>
    <t>&gt;&gt; iEOL=3793 Columns.Count=26</t>
  </si>
  <si>
    <t>&lt;*&gt;ProcEnd HANDL_Payment  Doc='Платежи' DocCS=330037271</t>
  </si>
  <si>
    <t>Intergraph, INTERGRAPH, SP3D,CAXpert, Smart, PDS, CAESAR, Plant Design, GeoMed, G/Technology Designer, Adopter</t>
  </si>
  <si>
    <t>&lt;*&gt;ProcEnd LOAD_1C_P  Doc='Платежи' DocCS=330036950</t>
  </si>
  <si>
    <t>&lt;*&gt;ProcStart LOAD_1C_DOG Doc='Договоры' DocCS=72873650</t>
  </si>
  <si>
    <t>&lt;*&gt;ProcStart LOAD_SF Doc='SF' DocCS=269454988</t>
  </si>
  <si>
    <t>&lt;*&gt;ProcStart LOAD_1C_P Doc='Платежи' DocCS=330036950</t>
  </si>
  <si>
    <t>adapt profile: total = 36,44_x000D_
By steps =  34,60 0,13</t>
  </si>
  <si>
    <t>&lt;*&gt;ProcEnd LOAD_SF  Doc='SF' DocCS=269497515</t>
  </si>
  <si>
    <t>&lt;*&gt;ProcStart LOAD_SFD Doc='SFD' DocCS=32020370</t>
  </si>
  <si>
    <t>adapt profile: total = 6,09_x000D_
By steps =  5,65 0,02</t>
  </si>
  <si>
    <t>adapt profile: total = 53,52_x000D_
By steps =  12,94 0,05 12,50 3,90 0,03 0,02 0,01 0,02 0,01 0,02 0,01 0,01 0,01 0,01 0,01 0,01 0,01 0,01 0,01 0,01 0,01 0,01 0,02 0,02 0,01 0,01 0,02 0,01 0,02 21,89</t>
  </si>
  <si>
    <t>&lt;! ERROR !&gt; Неизвестный тип товара права на программы для эвм global mapper_x000D_
15/1;</t>
  </si>
  <si>
    <t>&lt;! ERROR !&gt; Неизвестный тип товара программа для эвм forest pack professional_x000D_
subscription. 1 year 2 seat/1;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</si>
  <si>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VisioStd,  $программ(а|ы) для эвм</t>
  </si>
  <si>
    <t>&lt;*&gt;ProcStart LOAD_SF Doc='SF' DocCS=269497515</t>
  </si>
  <si>
    <t>adapt profile: total = 29,36_x000D_
By steps =  27,74 0,08</t>
  </si>
  <si>
    <t>&lt;*&gt;ProcStart HANDL_Payment Doc='Платежи' DocCS=330036950</t>
  </si>
  <si>
    <t>&lt;*&gt;ProcEnd HANDL_Payment  Doc='Платежи' DocCS=330036950</t>
  </si>
  <si>
    <t>WrCSV&gt; в 'NewOpp.txt' записано 4 строк.</t>
  </si>
  <si>
    <t>WrCSV&gt; в 'ContrUpd.txt' записано 7 строк.</t>
  </si>
  <si>
    <t>MoveToMatch: В файл 'SFDC.xlsx' загружен новый отчет 'SFopp'; EOL=3790 строк, в прежнем 3787_x000D_
Это ПОЛНЫЙ документ.</t>
  </si>
  <si>
    <t>MoveToMatch: В файл 'SFDC.xlsx' загружен новый отчет 'SF'; EOL=5613 строк, в прежнем 5603_x000D_
Это ПОЛНЫЙ документ.</t>
  </si>
  <si>
    <t>adapt profile: total = 37,02_x000D_
By steps =  35,13 0,12</t>
  </si>
  <si>
    <t>&gt;&gt; iEOL=5619 Columns.Count=20</t>
  </si>
  <si>
    <t>&lt;*&gt;ProcEnd LOAD_SF  Doc='SF' DocCS=270019747</t>
  </si>
  <si>
    <t>MoveToMatch: В файл 'SFDC.xlsx' загружен новый отчет 'SFD'; EOL=1252 строк, в прежнем 1252_x000D_
Это ПОЛНЫЙ документ.</t>
  </si>
  <si>
    <t>adapt profile: total = 6,21_x000D_
By steps =  5,82 0,02</t>
  </si>
  <si>
    <t>&lt;*&gt;ProcEnd LOAD_SFD  Doc='SFD' DocCS=32043395</t>
  </si>
  <si>
    <t>adapt profile: total = 57,19_x000D_
By steps =  13,82 0,05 13,39 4,31 0,04 0,02 0,01 0,01 0,01 0,02 0,01 0,01 0,02 0,01 0,01 0,01 0,01 0,01 0,01 0,01 0,02 0,02 0,01 0,01 0,01 0,01 0,01 0,01 0,01 23,36</t>
  </si>
  <si>
    <t>&lt;*&gt;ProcEnd LOAD_1C_P  Doc='Платежи' DocCS=330048131</t>
  </si>
  <si>
    <t>adapt profile: total = 8,52_x000D_
By steps =  1,01 3,42 0,70 0,01 0,00 0,00 0,69 0,00 2,16 0,00 0,00 0,00 0,00 0,00 0,01 0,00 0,01 0,00 0,00 0,00 0,00 0,00 0,00 0,00 0,01 0,00</t>
  </si>
  <si>
    <t>&lt;*&gt;ProcEnd LOAD_1C_DOG  Doc='Договоры' DocCS=72872936</t>
  </si>
  <si>
    <t>&lt;*&gt;ProcStart LOAD_SF Doc='SF' DocCS=270019747</t>
  </si>
  <si>
    <t>&lt;*&gt;ProcStart LOAD_1C_P Doc='Платежи' DocCS=330048131</t>
  </si>
  <si>
    <t>adapt profile: total = 28,31_x000D_
By steps =  26,54 0,10</t>
  </si>
  <si>
    <t>&lt;*&gt;ProcEnd LOAD_SF  Doc='SF' DocCS=269978006</t>
  </si>
  <si>
    <t>&lt;*&gt;ProcStart LOAD_SFD Doc='SFD' DocCS=32043395</t>
  </si>
  <si>
    <t>adapt profile: total = 6,26_x000D_
By steps =  5,88 0,02</t>
  </si>
  <si>
    <t>&lt;*&gt;ProcStart LOAD_1C_DOG Doc='Договоры' DocCS=72872936</t>
  </si>
  <si>
    <t>adapt profile: total = 53,78_x000D_
By steps =  13,00 0,05 12,55 3,98 0,04 0,03 0,02 0,02 0,02 0,02 0,01 0,02 0,02 0,02 0,02 0,01 0,01 0,01 0,02 0,01 0,01 0,01 0,02 0,02 0,02 0,01 0,02 0,01 0,01 22,00</t>
  </si>
  <si>
    <t>&lt;*&gt;ProcStart HANDL_Payment Doc='Платежи' DocCS=330048131</t>
  </si>
  <si>
    <t>&lt; WARNING &gt; В строке 388Платежей 1С ссылка на Договор 2008-2-050, которого нет в листе Договоров 1С</t>
  </si>
  <si>
    <t>&lt; WARNING &gt; В строке 389Платежей 1С ссылка на Договор 1311-07, которого нет в листе Договоров 1С</t>
  </si>
  <si>
    <t>&lt; WARNING &gt; В строке 390Платежей 1С ссылка на Договор 1311-07, которого нет в листе Договоров 1С</t>
  </si>
  <si>
    <t>&lt; WARNING &gt; В строке 431Платежей 1С ссылка на Договор 2008-1-048, которого нет в листе Договоров 1С</t>
  </si>
  <si>
    <t>&lt; WARNING &gt; В строке 432Платежей 1С ссылка на Договор 2008-1-048, которого нет в листе Договоров 1С</t>
  </si>
  <si>
    <t>&lt; WARNING &gt; В строке 433Платежей 1С ссылка на Договор 2008-1-048, которого нет в листе Договоров 1С</t>
  </si>
  <si>
    <t>&lt; WARNING &gt; В строке 434Платежей 1С ссылка на Договор 2008-1-048, которого нет в листе Договоров 1С</t>
  </si>
  <si>
    <t>&lt; WARNING &gt; В строке 484Платежей 1С ссылка на Договор 0107-07/2с, которого нет в листе Договоров 1С</t>
  </si>
  <si>
    <t>&lt; WARNING &gt; В строке 485Платежей 1С ссылка на Договор 0107-07/2с, которого нет в листе Договоров 1С</t>
  </si>
  <si>
    <t>&lt; WARNING &gt; В строке 486Платежей 1С ссылка на Договор 0107-07/2с, которого нет в листе Договоров 1С</t>
  </si>
  <si>
    <t>&lt; WARNING &gt; В строке 487Платежей 1С ссылка на Договор 0107-07/2с, которого нет в листе Договоров 1С</t>
  </si>
  <si>
    <t>&lt; WARNING &gt; В строке 488Платежей 1С ссылка на Договор 0107-07/2с, которого нет в листе Договоров 1С</t>
  </si>
  <si>
    <t>WrCSV&gt; в 'Payment.txt' записано 12 строк.</t>
  </si>
  <si>
    <t>&gt;&gt; iEOL=3796 Columns.Count=26</t>
  </si>
  <si>
    <t>&lt;*&gt;ProcEnd HANDL_Payment  Doc='Платежи' DocCS=330048131</t>
  </si>
  <si>
    <t>MoveToMatch: В файл 'SFDC.xlsx' загружен новый отчет 'SF'; EOL=5616 строк, в прежнем 5613_x000D_
Это ПОЛНЫЙ документ.</t>
  </si>
  <si>
    <t>&lt;*&gt;ProcStart LOAD_SF Doc='SF' DocCS=269978006</t>
  </si>
  <si>
    <t>&lt;*&gt;ProcEnd LOAD_1C_P  Doc='Платежи' DocCS=330047876</t>
  </si>
  <si>
    <t>adapt profile: total = 31,73_x000D_
By steps =  29,91 0,10</t>
  </si>
  <si>
    <t>&gt;&gt; iEOL=5622 Columns.Count=20</t>
  </si>
  <si>
    <t>&lt;*&gt;ProcEnd LOAD_SF  Doc='SF' DocCS=270146669</t>
  </si>
  <si>
    <t>MoveToMatch: В файл '1C.xlsx' загружен новый отчет 'Платежи'; EOL=54 строк, в прежнем 5898_x000D_
Это изменяемая ЧАСТЬ данных.</t>
  </si>
  <si>
    <t>&lt;*&gt;ProcStart LOAD_1C_P Doc='Платежи' DocCS=330047876</t>
  </si>
  <si>
    <t>adapt profile: total = 3,69_x000D_
By steps =  0,17 0,00 0,34 1,16 0,00 0,00 0,00 0,00 0,00 0,00 0,00 0,00 0,00 0,00 0,00 0,00 0,00 0,00 0,00 0,00 0,00 0,00 0,00 0,00 0,00 0,00 0,00 0,00 0,00 1,99</t>
  </si>
  <si>
    <t>&gt;&gt; iEOL=5929 Columns.Count=30</t>
  </si>
  <si>
    <t>&lt;*&gt;ProcEnd LOAD_1C_P  Doc='Платежи' DocCS=331567314</t>
  </si>
  <si>
    <t>&lt;*&gt;ProcStart LOAD_1C_P Doc='Платежи' DocCS=331567314</t>
  </si>
  <si>
    <t>MoveToMatch: В файл '1C.xlsx' загружен новый отчет 'Договоры'; EOL=48 строк, в прежнем 1466_x000D_
Это изменяемая ЧАСТЬ данных.</t>
  </si>
  <si>
    <t>adapt profile: total = 0,20_x000D_
By steps =  0,03 0,05 0,02 0,00 0,00 0,00 0,01 0,00 0,05 0,00 0,00 0,00 0,00 0,00 0,00 0,00 0,00 0,00 0,00 0,00 0,00 0,00 0,00 0,00 0,00 0,00</t>
  </si>
  <si>
    <t>&gt;&gt; iEOL=1478 Columns.Count=26</t>
  </si>
  <si>
    <t>&lt;*&gt;ProcEnd LOAD_1C_DOG  Doc='Договоры' DocCS=73102087</t>
  </si>
  <si>
    <t>MoveToMatch: В файл 'SFDC.xlsx' загружен новый отчет 'SFopp'; EOL=3804 строк, в прежнем 3790_x000D_
Это ПОЛНЫЙ документ.</t>
  </si>
  <si>
    <t>adapt profile: total = 7,03_x000D_
By steps =  6,70 0,05</t>
  </si>
  <si>
    <t>&lt;*&gt;ProcStart LOAD_1C_DOG Doc='Договоры' DocCS=73102087</t>
  </si>
  <si>
    <t>&lt;*&gt;ProcEnd LOAD_SFD  Doc='SFD' DocCS=32043460</t>
  </si>
  <si>
    <t>MoveToMatch: В файл 'SFDC.xlsx' загружен новый отчет 'SF'; EOL=5616 строк, в прежнем 5616_x000D_
Это ПОЛНЫЙ документ.</t>
  </si>
  <si>
    <t>&lt;*&gt;ProcStart LOAD_SF Doc='SF' DocCS=270146669</t>
  </si>
  <si>
    <t>adapt profile: total = 25,95_x000D_
By steps =  24,45 0,11</t>
  </si>
  <si>
    <t>&lt;*&gt;ProcEnd LOAD_SF  Doc='SF' DocCS=270105658</t>
  </si>
  <si>
    <t>adapt profile: total = 50,74_x000D_
By steps =  13,04 0,06 12,22 3,87 0,03 0,00 0,02 0,02 0,00 0,01 0,01 0,01 0,01 0,02 0,02 0,03 0,01 0,00 0,01 0,05 0,01 0,00 0,01 0,02 0,00 0,03 0,01 0,00 0,02 19,69</t>
  </si>
  <si>
    <t>&lt;*&gt;ProcEnd LOAD_1C_P  Doc='Платежи' DocCS=331568379</t>
  </si>
  <si>
    <t>adapt profile: total = 8,10_x000D_
By steps =  1,04 3,29 0,68 0,00 0,00 0,00 0,58 0,01 2,00 0,01 0,00 0,01 0,01 0,00 0,00 0,00 0,02 0,01 0,00 0,00 0,00 0,01 0,00 0,00 0,00 0,01</t>
  </si>
  <si>
    <t>&lt;*&gt;ProcStart LOAD_SF Doc='SF' DocCS=270105658</t>
  </si>
  <si>
    <t>&lt;*&gt;ProcStart LOAD_1C_P Doc='Платежи' DocCS=331568379</t>
  </si>
  <si>
    <t>adapt profile: total = 25,84_x000D_
By steps =  24,39 0,09</t>
  </si>
  <si>
    <t>&lt;*&gt;ProcStart LOAD_SFD Doc='SFD' DocCS=32043460</t>
  </si>
  <si>
    <t>&lt;*&gt;ProcStart HANDL_Payment Doc='Платежи' DocCS=331568379</t>
  </si>
  <si>
    <t>&lt; WARNING &gt; В строке 409Платежей 1С ссылка на Договор 2008-2-050, которого нет в листе Договоров 1С</t>
  </si>
  <si>
    <t>&lt; WARNING &gt; В строке 410Платежей 1С ссылка на Договор 1311-07, которого нет в листе Договоров 1С</t>
  </si>
  <si>
    <t>&lt; WARNING &gt; В строке 411Платежей 1С ссылка на Договор 1311-07, которого нет в листе Договоров 1С</t>
  </si>
  <si>
    <t>&lt; WARNING &gt; В строке 452Платежей 1С ссылка на Договор 2008-1-048, которого нет в листе Договоров 1С</t>
  </si>
  <si>
    <t>&lt; WARNING &gt; В строке 453Платежей 1С ссылка на Договор 2008-1-048, которого нет в листе Договоров 1С</t>
  </si>
  <si>
    <t>&lt; WARNING &gt; В строке 454Платежей 1С ссылка на Договор 2008-1-048, которого нет в листе Договоров 1С</t>
  </si>
  <si>
    <t>&lt; WARNING &gt; В строке 455Платежей 1С ссылка на Договор 2008-1-048, которого нет в листе Договоров 1С</t>
  </si>
  <si>
    <t>&lt; WARNING &gt; В строке 507Платежей 1С ссылка на Договор 0107-07/2с, которого нет в листе Договоров 1С</t>
  </si>
  <si>
    <t>&lt; WARNING &gt; В строке 508Платежей 1С ссылка на Договор 0107-07/2с, которого нет в листе Договоров 1С</t>
  </si>
  <si>
    <t>&lt; WARNING &gt; В строке 509Платежей 1С ссылка на Договор 0107-07/2с, которого нет в листе Договоров 1С</t>
  </si>
  <si>
    <t>&lt; WARNING &gt; В строке 510Платежей 1С ссылка на Договор 0107-07/2с, которого нет в листе Договоров 1С</t>
  </si>
  <si>
    <t>&lt; WARNING &gt; В строке 511Платежей 1С ссылка на Договор 0107-07/2с, которого нет в листе Договоров 1С</t>
  </si>
  <si>
    <t>WrCSV&gt; в 'Dogovor.txt' записано 6 строк.</t>
  </si>
  <si>
    <t>WrCSV&gt; в 'Payment.txt' записано 20 строк.</t>
  </si>
  <si>
    <t>&gt;&gt; iEOL=3810 Columns.Count=26</t>
  </si>
  <si>
    <t>&lt;*&gt;ProcEnd HANDL_Payment  Doc='Платежи' DocCS=331568379</t>
  </si>
  <si>
    <t>MoveToMatch: В файл 'SFDC.xlsx' загружен новый отчет 'SF_DicAccSyn'; EOL=65 строк, в прежнем 65_x000D_
Это ПОЛНЫЙ документ.</t>
  </si>
  <si>
    <t>MoveToMatch: В файл 'SFDC.xlsx' загружен новый отчет 'SFacc'; EOL=5026 строк, в прежнем 5005_x000D_
Это ПОЛНЫЙ документ.</t>
  </si>
  <si>
    <t>&lt;*&gt;ProcEnd LOAD_1C_P  Doc='Платежи' DocCS=331568125</t>
  </si>
  <si>
    <t>&gt;&gt; iEOL=5032 Columns.Count=19</t>
  </si>
  <si>
    <t>&lt;*&gt;ProcEnd LOAD_SFacc  Doc='SFacc' DocCS=118097362</t>
  </si>
  <si>
    <t>MoveToMatch: В файл 'SFDC.xlsx' загружен новый отчет 'SFopp'; EOL=3805 строк, в прежнем 3804_x000D_
Это ПОЛНЫЙ документ.</t>
  </si>
  <si>
    <t>adapt profile: total = 7,29_x000D_
By steps =  6,98 0,06</t>
  </si>
  <si>
    <t>adapt profile: total = 10,16_x000D_
By steps =  1,70 4,06 0,73 0,01 0,00 0,00 0,64 0,01 2,61 0,02 0,00 0,01 0,01 0,00 0,00 0,01 0,00 0,00 0,00 0,02 0,01 0,01 0,00 0,01 0,01 0,00</t>
  </si>
  <si>
    <t>&lt;*&gt;ProcEnd LOAD_1C_DOG  Doc='Договоры' DocCS=73102062</t>
  </si>
  <si>
    <t>&lt;*&gt;ProcEnd LOAD_SFD  Doc='SFD' DocCS=32043403</t>
  </si>
  <si>
    <t>MoveToMatch: В файл 'SFDC.xlsx' загружен новый отчет 'SF'; EOL=5627 строк, в прежнем 5616_x000D_
Это ПОЛНЫЙ документ.</t>
  </si>
  <si>
    <t>&lt;*&gt;ProcStart LOAD_1C_P Doc='Платежи' DocCS=331568125</t>
  </si>
  <si>
    <t>adapt profile: total = 72,36_x000D_
By steps =  15,88 0,08 27,09 4,47 0,02 0,01 0,01 0,00 0,01 0,00 0,00 0,01 0,02 0,01 0,02 0,03 0,00 0,01 0,03 0,03 0,00 0,01 0,02 0,02 0,00 0,01 0,02 0,02 0,01 23,14</t>
  </si>
  <si>
    <t>&lt;*&gt;ProcEnd LOAD_1C_P  Doc='Платежи' DocCS=331579749</t>
  </si>
  <si>
    <t>adapt profile: total = 51,48_x000D_
By steps =  49,98 0,06</t>
  </si>
  <si>
    <t>&gt;&gt; iEOL=5633 Columns.Count=20</t>
  </si>
  <si>
    <t>&lt;*&gt;ProcEnd LOAD_SF  Doc='SF' DocCS=270590720</t>
  </si>
  <si>
    <t>&lt;*&gt;ProcStart LOAD_SF Doc='SF' DocCS=270590720</t>
  </si>
  <si>
    <t>&lt;*&gt;ProcStart LOAD_1C_P Doc='Платежи' DocCS=331579749</t>
  </si>
  <si>
    <t>adapt profile: total = 72,23_x000D_
By steps =  15,79 0,05 26,66 4,46 0,04 0,01 0,01 0,03 0,02 0,03 0,02 0,03 0,02 0,01 0,01 0,00 0,02 0,01 0,01 0,01 0,02 0,01 0,01 0,01 0,00 0,02 0,00 0,02 0,01 23,54</t>
  </si>
  <si>
    <t>&lt;*&gt;ProcStart LOAD_1C_DOG Doc='Договоры' DocCS=73102062</t>
  </si>
  <si>
    <t>adapt profile: total = 10,41_x000D_
By steps =  1,61 4,05 0,95 0,00 0,00 0,00 0,73 0,02 2,34 0,02 0,00 0,00 0,00 0,00 0,00 0,01 0,00 0,00 0,00 0,00 0,01 0,00 0,00 0,00 0,00 0,00</t>
  </si>
  <si>
    <t>adapt profile: total = 10,71_x000D_
By steps =  10,34</t>
  </si>
  <si>
    <t>&lt;*&gt;ProcStart LOAD_SFD Doc='SFD' DocCS=32043403</t>
  </si>
  <si>
    <t>&lt;*&gt;ProcStart LOAD_SFacc Doc='SFacc' DocCS=118097362</t>
  </si>
  <si>
    <t>&lt;*&gt;ProcStart HANDL_Payment Doc='Платежи' DocCS=331579749</t>
  </si>
  <si>
    <t>&lt; WARNING &gt; В строке 402Платежей 1С ссылка на Договор 2008-2-050, которого нет в листе Договоров 1С</t>
  </si>
  <si>
    <t>&lt; WARNING &gt; В строке 403Платежей 1С ссылка на Договор 1311-07, которого нет в листе Договоров 1С</t>
  </si>
  <si>
    <t>&lt; WARNING &gt; В строке 404Платежей 1С ссылка на Договор 1311-07, которого нет в листе Договоров 1С</t>
  </si>
  <si>
    <t>&lt; WARNING &gt; В строке 445Платежей 1С ссылка на Договор 2008-1-048, которого нет в листе Договоров 1С</t>
  </si>
  <si>
    <t>&lt; WARNING &gt; В строке 446Платежей 1С ссылка на Договор 2008-1-048, которого нет в листе Договоров 1С</t>
  </si>
  <si>
    <t>&lt; WARNING &gt; В строке 447Платежей 1С ссылка на Договор 2008-1-048, которого нет в листе Договоров 1С</t>
  </si>
  <si>
    <t>&lt; WARNING &gt; В строке 448Платежей 1С ссылка на Договор 2008-1-048, которого нет в листе Договоров 1С</t>
  </si>
  <si>
    <t>&lt; WARNING &gt; В строке 498Платежей 1С ссылка на Договор 0107-07/2с, которого нет в листе Договоров 1С</t>
  </si>
  <si>
    <t>&lt; WARNING &gt; В строке 499Платежей 1С ссылка на Договор 0107-07/2с, которого нет в листе Договоров 1С</t>
  </si>
  <si>
    <t>&lt; WARNING &gt; В строке 500Платежей 1С ссылка на Договор 0107-07/2с, которого нет в листе Договоров 1С</t>
  </si>
  <si>
    <t>&lt; WARNING &gt; В строке 501Платежей 1С ссылка на Договор 0107-07/2с, которого нет в листе Договоров 1С</t>
  </si>
  <si>
    <t>&lt; WARNING &gt; В строке 502Платежей 1С ссылка на Договор 0107-07/2с, которого нет в листе Договоров 1С</t>
  </si>
  <si>
    <t>WrCSV&gt; в 'Payment.txt' записано 9 строк.</t>
  </si>
  <si>
    <t>&gt;&gt; iEOL=3811 Columns.Count=26</t>
  </si>
  <si>
    <t>&lt;*&gt;ProcEnd HANDL_Payment  Doc='Платежи' DocCS=331579749</t>
  </si>
  <si>
    <t>&lt;*&gt;ProcEnd LOAD_1C_P  Doc='Платежи' DocCS=331579372</t>
  </si>
  <si>
    <t>&lt;*&gt;ProcStart LOAD_1C_P Doc='Платежи' DocCS=331579372</t>
  </si>
  <si>
    <t>adapt profile: total = 62,04_x000D_
By steps =  60,48 0,13</t>
  </si>
  <si>
    <t>&lt;*&gt;ProcEnd LOAD_SF  Doc='SF' DocCS=270633393</t>
  </si>
  <si>
    <t>adapt profile: total = 77,40_x000D_
By steps =  17,63 0,14 27,56 4,64 0,02 0,01 0,02 0,02 0,02 0,01 0,03 0,01 0,02 0,02 0,01 0,02 0,02 0,01 0,00 0,00 0,01 0,02 0,02 0,01 0,02 0,01 0,03 0,02 0,02 25,38</t>
  </si>
  <si>
    <t>&lt;*&gt;ProcStart HANDL_Payment Doc='Платежи' DocCS=331579372</t>
  </si>
  <si>
    <t>&lt;*&gt;ProcEnd HANDL_Payment  Doc='Платежи' DocCS=331579372</t>
  </si>
  <si>
    <t>WrCSV&gt; в 'Dogovor.txt' записано 5 строк.</t>
  </si>
  <si>
    <t>ВНИМАНИЕ:&lt;&gt; Процесс LOADER перед выполнением Шага ProcReset</t>
  </si>
  <si>
    <t>MoveToMatch: В файл 'SFDC.xlsx' загружен новый отчет 'SFD'; EOL=1255 строк, в прежнем 1252_x000D_
Это ПОЛНЫЙ документ.</t>
  </si>
  <si>
    <t>adapt profile: total = 8,14_x000D_
By steps =  7,79 0,02</t>
  </si>
  <si>
    <t>&gt;&gt; iEOL=1261 Columns.Count=20</t>
  </si>
  <si>
    <t>&lt;*&gt;ProcEnd LOAD_SFD  Doc='SFD' DocCS=32117716</t>
  </si>
  <si>
    <t>MoveToMatch: В файл 'SFDC.xlsx' загружен новый отчет 'SFD'; EOL=1255 строк, в прежнем 1255_x000D_
Это ПОЛНЫЙ документ.</t>
  </si>
  <si>
    <t>&lt;*&gt;ProcStart LOAD_SFD Doc='SFD' DocCS=32117716</t>
  </si>
  <si>
    <t>adapt profile: total = 7,46_x000D_
By steps =  7,06 0,03</t>
  </si>
  <si>
    <t>adapt profile: total = 10,23_x000D_
By steps =  1,64 4,09 0,84 0,01 0,00 0,01 0,67 0,00 2,26 0,01 0,00 0,00 0,00 0,00 0,00 0,00 0,01 0,00 0,00 0,00 0,00 0,00 0,00 0,00 0,00 0,00</t>
  </si>
  <si>
    <t>&lt;*&gt;ProcEnd LOAD_1C_DOG  Doc='Договоры' DocCS=73107483</t>
  </si>
  <si>
    <t>&lt;*&gt;ProcEnd LOAD_SFD  Doc='SFD' DocCS=32117719</t>
  </si>
  <si>
    <t>&lt;*&gt;ProcStart LOAD_1C_DOG Doc='Договоры' DocCS=73107483</t>
  </si>
  <si>
    <t>adapt profile: total = 10,45_x000D_
By steps =  1,62 4,17 0,89 0,01 0,00 0,00 0,71 0,01 2,31 0,01 0,00 0,01 0,00 0,00 0,00 0,00 0,00 0,00 0,00 0,00 0,00 0,00 0,00 0,00 0,00 0,00</t>
  </si>
  <si>
    <t>&lt;*&gt;ProcStart LOAD_SF Doc='SF' DocCS=270633393</t>
  </si>
  <si>
    <t>adapt profile: total = 57,73_x000D_
By steps =  56,18 0,10</t>
  </si>
  <si>
    <t>&lt;*&gt;ProcStart LOAD_SFD Doc='SFD' DocCS=32117719</t>
  </si>
  <si>
    <t>&lt; WARNING &gt; Адаптер&gt; ссылка SFD/4:15(2008-2-050) не работает, результат &lt;пусто&gt;</t>
  </si>
  <si>
    <t>ВНИМАНИЕ:WrNewSheet: Ошибка при записи в лист 'NewContract'_x000D_
 из листа 'Договоры' строки=1228_x000D_
 в колонке=10 =18 (MainContract)  X=Договор 2008-2-050_x000D_
 Адаптер=MainContract Fetch =SFD/4:15</t>
  </si>
  <si>
    <t>&lt; WARNING &gt; Адаптер&gt; ссылка SFacc/3:4/W(001D000000viXYI) не работает, результат &lt;пусто&gt;</t>
  </si>
  <si>
    <t>ВНИМАНИЕ:WrNewSheet: Ошибка при записи в лист 'NewContract'_x000D_
 из листа 'Договоры' строки=1298_x000D_
 в колонке=17 =1 (AccStreet)  X=001D000000viXYI_x000D_
 Адаптер= Fetch =SFacc/3:4/W</t>
  </si>
  <si>
    <t>ВНИМАНИЕ:WrNewSheet: Ошибка при записи в лист 'NewContract'_x000D_
 из листа 'Договоры' строки=1300_x000D_
 в колонке=17 =1 (AccStreet)  X=001D000000viXYI_x000D_
 Адаптер= Fetch =SFacc/3:4/W</t>
  </si>
  <si>
    <t>&lt; WARNING &gt; Адаптер&gt; ссылка SFacc/3:5/W(001D000001Cj7sa) не работает, результат &lt;пусто&gt;</t>
  </si>
  <si>
    <t>ВНИМАНИЕ:WrNewSheet: Ошибка при записи в лист 'NewContract'_x000D_
 из листа 'Договоры' строки=1336_x000D_
 в колонке=18 =1 (AccCity)  X=001D000001Cj7sa_x000D_
 Адаптер= Fetch =SFacc/3:5/W</t>
  </si>
  <si>
    <t>&lt; WARNING &gt; Адаптер&gt; ссылка SFacc/3:4/W(001D000001Ckcm5) не работает, результат &lt;пусто&gt;</t>
  </si>
  <si>
    <t>ВНИМАНИЕ:WrNewSheet: Ошибка при записи в лист 'NewContract'_x000D_
 из листа 'Договоры' строки=1380_x000D_
 в колонке=17 =1 (AccStreet)  X=001D000001Ckcm5_x000D_
 Адаптер= Fetch =SFacc/3:4/W</t>
  </si>
  <si>
    <t>WrCSV&gt; в 'Dogovor.txt' записано 15 строк.</t>
  </si>
  <si>
    <t>MoveToMatch: В файл 'SFDC.xlsx' загружен новый отчет 'SFD'; EOL=1267 строк, в прежнем 1255_x000D_
Это ПОЛНЫЙ документ.</t>
  </si>
  <si>
    <t>adapt profile: total = 7,10_x000D_
By steps =  6,71 0,02</t>
  </si>
  <si>
    <t>&gt;&gt; iEOL=1273 Columns.Count=20</t>
  </si>
  <si>
    <t>&lt;*&gt;ProcEnd LOAD_SFD  Doc='SFD' DocCS=32358432</t>
  </si>
  <si>
    <t>MoveToMatch: В файл 'SFDC.xlsx' загружен новый отчет 'SFD'; EOL=1267 строк, в прежнем 1267_x000D_
Это ПОЛНЫЙ документ.</t>
  </si>
  <si>
    <t>&lt;*&gt;ProcStart LOAD_SFD Doc='SFD' DocCS=32358432</t>
  </si>
  <si>
    <t>adapt profile: total = 9,08_x000D_
By steps =  8,68 0,03</t>
  </si>
  <si>
    <t>adapt profile: total = 8,88_x000D_
By steps =  0,98 3,89 0,71 0,01 0,01 0,00 0,67 0,01 2,04 0,01 0,00 0,00 0,00 0,00 0,00 0,00 0,00 0,00 0,00 0,00 0,00 0,00 0,00 0,00 0,00 0,01</t>
  </si>
  <si>
    <t>&lt;*&gt;ProcEnd LOAD_1C_DOG  Doc='Договоры' DocCS=73128131</t>
  </si>
  <si>
    <t>&lt;*&gt;ProcEnd LOAD_SFD  Doc='SFD' DocCS=32358428</t>
  </si>
  <si>
    <t>MoveToMatch: В файл 'SFDC.xlsx' загружен новый отчет 'SFacc'; EOL=5026 строк, в прежнем 5026_x000D_
Это ПОЛНЫЙ документ.</t>
  </si>
  <si>
    <t>adapt profile: total = 81,27_x000D_
By steps =  18,87 0,05 28,82 4,30 0,04 0,02 0,02 0,02 0,02 0,01 0,01 0,02 0,01 0,01 0,02 0,01 0,02 0,02 0,02 0,01 0,03 0,01 0,01 0,01 0,01 0,01 0,02 0,01 0,01 27,19</t>
  </si>
  <si>
    <t>&lt;*&gt;ProcEnd LOAD_1C_P  Doc='Платежи' DocCS=331562824</t>
  </si>
  <si>
    <t>&lt;*&gt;ProcStart LOAD_1C_DOG Doc='Договоры' DocCS=73128131</t>
  </si>
  <si>
    <t>adapt profile: total = 11,32_x000D_
By steps =  1,62 5,06 0,97 0,01 0,01 0,00 0,73 0,01 2,25 0,01 0,00 0,00 0,00 0,00 0,00 0,00 0,00 0,00 0,01 0,00 0,00 0,00 0,00 0,00 0,00 0,00</t>
  </si>
  <si>
    <t>&lt;*&gt;ProcEnd LOAD_SFacc  Doc='SFacc' DocCS=118097575</t>
  </si>
  <si>
    <t>MoveToMatch: В файл '1C.xlsx' загружен новый отчет 'Список клиентов 1C'; EOL=2041 строк, в прежнем 2032_x000D_
Это ПОЛНЫЙ документ.</t>
  </si>
  <si>
    <t>adapt profile: total = 17,24_x000D_
By steps =  16,59</t>
  </si>
  <si>
    <t>&gt;&gt; iEOL=2041 Columns.Count=9</t>
  </si>
  <si>
    <t>&lt;*&gt;ProcEnd LOAD_1C_ACC  Doc='Список клиентов 1C' DocCS=55438541</t>
  </si>
  <si>
    <t>&lt;*&gt;ProcStart LOAD_1C_P Doc='Платежи' DocCS=331562824</t>
  </si>
  <si>
    <t>adapt profile: total = 52,99_x000D_
By steps =  12,74 0,04 12,04 4,26 0,03 0,02 0,02 0,02 0,03 0,02 0,01 0,02 0,02 0,00 0,01 0,01 0,02 0,01 0,02 0,02 0,03 0,01 0,02 0,02 0,00 0,02 0,01 0,02 0,01 22,02</t>
  </si>
  <si>
    <t>adapt profile: total = 7,85_x000D_
By steps =  0,73 3,34 0,68 0,00 0,01 0,00 0,62 0,00 2,09 0,00 0,00 0,01 0,00 0,00 0,00 0,00 0,00 0,00 0,00 0,00 0,00 0,00 0,00 0,00 0,00 0,00</t>
  </si>
  <si>
    <t>&lt;*&gt;ProcStart LOAD_1C_ACC Doc='Список клиентов 1C' DocCS=55438541</t>
  </si>
  <si>
    <t>MoveToMatch: В файл 'SFDC.xlsx' загружен новый отчет 'ADSKfrSF'; EOL=2261 строк, в прежнем 2249_x000D_
Это ПОЛНЫЙ документ.</t>
  </si>
  <si>
    <t>MoveToMatch: В файл '1C.xlsx' загружен новый отчет 'Договоры'; EOL=56 строк, в прежнем 1471_x000D_
Это изменяемая ЧАСТЬ данных.</t>
  </si>
  <si>
    <t>adapt profile: total = 3,98_x000D_
By steps =  0,03 0,09 0,04 0,00 0,00 0,00 0,03 0,00 3,77 0,00 0,00 0,00 0,00 0,00 0,00 0,00 0,01 0,00 0,00 0,00 0,00 0,01 0,00 0,00 0,00 0,00</t>
  </si>
  <si>
    <t>&gt;&gt; iEOL=1486 Columns.Count=26</t>
  </si>
  <si>
    <t>&lt;*&gt;ProcEnd LOAD_1C_DOG  Doc='Договоры' DocCS=73541460</t>
  </si>
  <si>
    <t>MoveToMatch: В файл '1C.xlsx' загружен новый отчет 'Платежи'; EOL=318 строк, в прежнем 5927_x000D_
Это изменяемая ЧАСТЬ данных.</t>
  </si>
  <si>
    <t>adapt profile: total = 3,70_x000D_
By steps =  0,82 0,00 0,91 0,21 0,02 0,01 0,00 0,00 0,00 0,00 0,01 0,00 0,00 0,00 0,00 0,00 0,00 0,00 0,00 0,00 0,00 0,00 0,00 0,00 0,00 0,00 0,00 0,01 0,00 1,59</t>
  </si>
  <si>
    <t>&gt;&gt; iEOL=294 Columns.Count=30</t>
  </si>
  <si>
    <t>&lt;*&gt;ProcEnd LOAD_1C_P  Doc='Платежи' DocCS=18557594</t>
  </si>
  <si>
    <t>MoveToMatch: В файл '1C.xlsx' загружен новый отчет 'Платежи'; EOL=318 строк, в прежнем 292_x000D_
Это ПОЛНЫЙ документ.</t>
  </si>
  <si>
    <t>&lt;*&gt;ProcStart LOAD_1C_P Doc='Платежи' DocCS=18557594</t>
  </si>
  <si>
    <t>adapt profile: total = 15,76_x000D_
By steps =  0,93 0,01 1,97 5,86 0,00 0,00 0,00 0,00 0,00 0,00 0,00 0,00 0,00 0,00 0,00 0,00 0,00 0,00 0,00 0,00 0,00 0,00 0,00 0,00 0,00 0,00 0,00 0,00 0,00 6,83</t>
  </si>
  <si>
    <t>MoveToMatch: В файл '1C.xlsx' загружен новый отчет 'Платежи'; EOL=318 строк, в прежнем 318_x000D_
Это изменяемая ЧАСТЬ данных.</t>
  </si>
  <si>
    <t>adapt profile: total = 3,03_x000D_
By steps =  0,64 0,00 0,74 0,17 0,00 0,00 0,00 0,00 0,00 0,00 0,00 0,00 0,00 0,00 0,00 0,00 0,00 0,00 0,00 0,00 0,00 0,00 0,00 0,00 0,00 0,00 0,00 0,00 0,00 1,38</t>
  </si>
  <si>
    <t>MoveToMatch: В файл '1C.xlsx' загружен новый отчет 'Платежи'; EOL=318 строк, в прежнем 292_x000D_
Это изменяемая ЧАСТЬ данных.</t>
  </si>
  <si>
    <t>adapt profile: total = 15,80_x000D_
By steps =  1,11 0,00 1,91 5,35 0,00 0,00 0,00 0,00 0,00 0,00 0,00 0,00 0,00 0,00 0,00 0,00 0,00 0,00 0,00 0,00 0,00 0,00 0,00 0,00 0,00 0,00 0,00 0,00 0,00 7,27</t>
  </si>
  <si>
    <t>adapt profile: total = 6,93_x000D_
By steps =  0,80 0,00 1,15 1,48 0,00 0,00 0,00 0,00 0,00 0,00 0,00 0,00 0,00 0,00 0,00 0,00 0,00 0,00 0,00 0,00 0,00 0,00 0,00 0,00 0,00 0,00 0,00 0,00 0,00 3,37</t>
  </si>
  <si>
    <t>adapt profile: total = 15,78_x000D_
By steps =  1,10 0,00 1,95 5,21 0,00 0,00 0,00 0,00 0,00 0,00 0,00 0,00 0,00 0,00 0,00 0,00 0,00 0,00 0,00 0,00 0,00 0,00 0,00 0,00 0,00 0,00 0,00 0,00 0,00 7,37</t>
  </si>
  <si>
    <t>adapt profile: total = 5,22_x000D_
By steps =  0,64 0,00 0,92 1,10 0,00 0,00 0,00 0,00 0,00 0,00 0,00 0,00 0,00 0,00 0,00 0,00 0,00 0,00 0,00 0,00 0,00 0,00 0,00 0,00 0,00 0,00 0,00 0,00 0,00 2,45</t>
  </si>
  <si>
    <t>adapt profile: total = 7,96_x000D_
By steps =  0,73 0,00 1,92 3,56 0,02 0,00 0,00 0,00 0,00 0,00 0,00 0,00 0,00 0,00 0,00 0,00 0,00 0,00 0,00 0,00 0,00 0,00 0,00 0,00 0,00 0,00 0,01 0,00 0,00 1,64</t>
  </si>
  <si>
    <t>&gt;&gt; iEOL=5948 Columns.Count=30</t>
  </si>
  <si>
    <t>&lt;*&gt;ProcEnd LOAD_1C_P  Doc='Платежи' DocCS=333098187</t>
  </si>
  <si>
    <t>&lt;*&gt;ProcStart LOAD_1C_P Doc='Платежи' DocCS=333098187</t>
  </si>
  <si>
    <t>&lt;*&gt;ProcStart LOAD_1C_DOG Doc='Договоры' DocCS=73541460</t>
  </si>
  <si>
    <t>&lt;! ERROR !&gt; IsDone: Не 'Loaded' файл для Процесса LOAD_SF на Шаге Loaded_x000D_
_x000D_
Отчет SF надо загрузить заново!</t>
  </si>
  <si>
    <t>MoveToMatch: В файл 'SFDC.xlsx' загружен новый отчет 'SF'; EOL=5627 строк, в прежнем 5627_x000D_
Это ПОЛНЫЙ документ.</t>
  </si>
  <si>
    <t>adapt profile: total = 25,86_x000D_
By steps =  24,48 0,10</t>
  </si>
  <si>
    <t>&lt;*&gt;ProcEnd LOAD_SF  Doc='SF' DocCS=270597027</t>
  </si>
  <si>
    <t>&lt;*&gt;ProcStart LOAD_SF Doc='SF' DocCS=270597027</t>
  </si>
  <si>
    <t>adapt profile: total = 54,92_x000D_
By steps =  12,43 0,05 12,43 4,38 0,04 0,01 0,02 0,01 0,02 0,02 0,01 0,02 0,02 0,02 0,02 0,01 0,01 0,02 0,01 0,01 0,01 0,01 0,03 0,03 0,01 0,01 0,01 0,01 0,01 23,50</t>
  </si>
  <si>
    <t>&lt;*&gt;ProcEnd LOAD_1C_P  Doc='Платежи' DocCS=333053953</t>
  </si>
  <si>
    <t>adapt profile: total = 36,98_x000D_
By steps =  35,29 0,12</t>
  </si>
  <si>
    <t>&lt;*&gt;ProcStart LOAD_1C_P Doc='Платежи' DocCS=333053953</t>
  </si>
  <si>
    <t>&lt;*&gt;ProcEnd LOAD_1C_P  Doc='Платежи' DocCS=333053807</t>
  </si>
  <si>
    <t>adapt profile: total = 28,46_x000D_
By steps =  26,96 0,11</t>
  </si>
  <si>
    <t>&lt;*&gt;ProcEnd LOAD_SF  Doc='SF' DocCS=270641607</t>
  </si>
  <si>
    <t>&lt;*&gt;ProcStart LOAD_1C_P Doc='Платежи' DocCS=333053807</t>
  </si>
  <si>
    <t>adapt profile: total = 57,82_x000D_
By steps =  12,76 0,08 12,80 4,07 0,04 0,02 0,02 0,01 0,02 0,01 0,02 0,02 0,02 0,01 0,01 0,03 0,02 0,01 0,02 0,01 0,02 0,02 0,02 0,01 0,01 0,02 0,02 0,02 0,02 26,00</t>
  </si>
  <si>
    <t>&lt;*&gt;ProcEnd LOAD_1C_P  Doc='Платежи' DocCS=333055057</t>
  </si>
  <si>
    <t>MoveToMatch: В файл 'SFDC.xlsx' загружен новый отчет 'SFacc'; EOL=5039 строк, в прежнем 5026_x000D_
Это ПОЛНЫЙ документ.</t>
  </si>
  <si>
    <t>&lt;*&gt;ProcStart LOAD_SFacc Doc='SFacc' DocCS=118097575</t>
  </si>
  <si>
    <t>&lt;*&gt;ProcStart LOAD_1C_P Doc='Платежи' DocCS=333055057</t>
  </si>
  <si>
    <t>&lt;*&gt;ProcEnd LOAD_1C_P  Doc='Платежи' DocCS=333054905</t>
  </si>
  <si>
    <t>&gt;&gt; iEOL=5045 Columns.Count=19</t>
  </si>
  <si>
    <t>&lt;*&gt;ProcEnd LOAD_SFacc  Doc='SFacc' DocCS=118379909</t>
  </si>
  <si>
    <t>MoveToMatch: В файл 'SFDC.xlsx' загружен новый отчет 'SF_DicAccSyn'; EOL=66 строк, в прежнем 65_x000D_
Это ПОЛНЫЙ документ.</t>
  </si>
  <si>
    <t>&gt;&gt; iEOL=131 Columns.Count=2</t>
  </si>
  <si>
    <t>MoveToMatch: В файл 'SFDC.xlsx' загружен новый отчет 'SFacc'; EOL=5039 строк, в прежнем 5039_x000D_
Это ПОЛНЫЙ документ.</t>
  </si>
  <si>
    <t>&lt;*&gt;ProcStart LOAD_SFacc Doc='SFacc' DocCS=118379909</t>
  </si>
  <si>
    <t>&lt;*&gt;ProcStart LOAD_1C_P Doc='Платежи' DocCS=333054905</t>
  </si>
  <si>
    <t>adapt profile: total = 69,14_x000D_
By steps =  14,75 0,03 25,81 4,88 0,02 0,02 0,00 0,01 0,01 0,01 0,00 0,01 0,01 0,01 0,01 0,02 0,00 0,01 0,01 0,01 0,01 0,01 0,02 0,00 0,01 0,02 0,00 0,01 0,01 22,29</t>
  </si>
  <si>
    <t>&lt;*&gt;ProcEnd LOAD_1C_P  Doc='Платежи' DocCS=333232862</t>
  </si>
  <si>
    <t>adapt profile: total = 9,96_x000D_
By steps =  1,51 4,13 0,66 0,00 0,00 0,01 0,82 0,00 2,36 0,00 0,00 0,00 0,01 0,00 0,00 0,00 0,00 0,00 0,00 0,00 0,00 0,00 0,00 0,01 0,00 0,01</t>
  </si>
  <si>
    <t>adapt profile: total = 11,02_x000D_
By steps =  10,63</t>
  </si>
  <si>
    <t>&lt;*&gt;ProcEnd LOAD_1C_ACC  Doc='Список клиентов 1C' DocCS=55437689</t>
  </si>
  <si>
    <t>&lt;*&gt;ProcEnd LOAD_SFacc  Doc='SFacc' DocCS=118383482</t>
  </si>
  <si>
    <t>&lt;*&gt;ProcStart LOAD_1C_P Doc='Платежи' DocCS=333232862</t>
  </si>
  <si>
    <t>adapt profile: total = 70,66_x000D_
By steps =  14,96 0,02 25,60 5,20 0,03 0,01 0,01 0,01 0,02 0,02 0,02 0,00 0,01 0,02 0,00 0,00 0,01 0,01 0,02 0,01 0,02 0,02 0,01 0,01 0,01 0,01 0,02 0,01 0,01 23,38</t>
  </si>
  <si>
    <t>&lt;*&gt;ProcStart LOAD_SF Doc='SF' DocCS=270641607</t>
  </si>
  <si>
    <t>adapt profile: total = 48,77_x000D_
By steps =  47,55 0,06</t>
  </si>
  <si>
    <t>&lt;*&gt;ProcEnd LOAD_SF  Doc='SF' DocCS=270597175</t>
  </si>
  <si>
    <t>&lt;*&gt;ProcStart LOAD_SF Doc='SF' DocCS=270597175</t>
  </si>
  <si>
    <t>adapt profile: total = 68,04_x000D_
By steps =  14,70 0,04 25,43 3,87 0,07 0,02 0,02 0,02 0,03 0,02 0,03 0,02 0,02 0,02 0,03 0,02 0,03 0,02 0,02 0,02 0,02 0,02 0,02 0,01 0,02 0,01 0,02 0,02 0,04 22,05</t>
  </si>
  <si>
    <t>&lt;*&gt;ProcEnd LOAD_1C_P  Doc='Платежи' DocCS=333259328</t>
  </si>
  <si>
    <t>adapt profile: total = 48,02_x000D_
By steps =  46,94 0,07</t>
  </si>
  <si>
    <t>&lt;*&gt;ProcEnd LOAD_SF  Doc='SF' DocCS=270743502</t>
  </si>
  <si>
    <t>&lt;*&gt;ProcStart LOAD_1C_P Doc='Платежи' DocCS=333259328</t>
  </si>
  <si>
    <t>adapt profile: total = 69,47_x000D_
By steps =  14,86 0,03 25,86 5,04 0,02 0,02 0,00 0,00 0,01 0,02 0,02 0,00 0,00 0,02 0,01 0,01 0,01 0,01 0,01 0,01 0,01 0,00 0,01 0,02 0,02 0,00 0,02 0,01 0,01 22,55</t>
  </si>
  <si>
    <t>adapt profile: total = 10,30_x000D_
By steps =  1,63 4,22 0,82 0,01 0,01 0,00 0,75 0,01 2,23 0,00 0,00 0,01 0,00 0,00 0,00 0,00 0,01 0,00 0,00 0,00 0,00 0,02 0,01 0,00 0,00 0,00</t>
  </si>
  <si>
    <t>&lt;*&gt;ProcStart LOAD_1C_ACC Doc='Список клиентов 1C' DocCS=55437689</t>
  </si>
  <si>
    <t>adapt profile: total = 10,12_x000D_
By steps =  9,57</t>
  </si>
  <si>
    <t>&lt;*&gt;ProcStart LOAD_SF Doc='SF' DocCS=270743502</t>
  </si>
  <si>
    <t>&lt;*&gt;ProcStart LOAD_SFD Doc='SFD' DocCS=32358428</t>
  </si>
  <si>
    <t>adapt profile: total = 6,71_x000D_
By steps =  6,38 0,02</t>
  </si>
  <si>
    <t>&lt;*&gt;ProcStart LOAD_SFacc Doc='SFacc' DocCS=118383482</t>
  </si>
  <si>
    <t>&lt;*&gt;ProcStart HANDL_Payment Doc='Платежи' DocCS=333259328</t>
  </si>
  <si>
    <t>&lt; WARNING &gt; В строке 413Платежей 1С ссылка на Договор 2008-2-050, которого нет в листе Договоров 1С</t>
  </si>
  <si>
    <t>&lt; WARNING &gt; В строке 414Платежей 1С ссылка на Договор 1311-07, которого нет в листе Договоров 1С</t>
  </si>
  <si>
    <t>&lt; WARNING &gt; В строке 415Платежей 1С ссылка на Договор 1311-07, которого нет в листе Договоров 1С</t>
  </si>
  <si>
    <t>&lt; WARNING &gt; В строке 457Платежей 1С ссылка на Договор 2008-1-048, которого нет в листе Договоров 1С</t>
  </si>
  <si>
    <t>&lt; WARNING &gt; В строке 458Платежей 1С ссылка на Договор 2008-1-048, которого нет в листе Договоров 1С</t>
  </si>
  <si>
    <t>&lt; WARNING &gt; В строке 459Платежей 1С ссылка на Договор 2008-1-048, которого нет в листе Договоров 1С</t>
  </si>
  <si>
    <t>&lt; WARNING &gt; В строке 460Платежей 1С ссылка на Договор 2008-1-048, которого нет в листе Договоров 1С</t>
  </si>
  <si>
    <t>&lt; WARNING &gt; В строке 512Платежей 1С ссылка на Договор 0107-07/2с, которого нет в листе Договоров 1С</t>
  </si>
  <si>
    <t>&lt; WARNING &gt; В строке 513Платежей 1С ссылка на Договор 0107-07/2с, которого нет в листе Договоров 1С</t>
  </si>
  <si>
    <t>&lt; WARNING &gt; В строке 514Платежей 1С ссылка на Договор 0107-07/2с, которого нет в листе Договоров 1С</t>
  </si>
  <si>
    <t>&lt; WARNING &gt; В строке 515Платежей 1С ссылка на Договор 0107-07/2с, которого нет в листе Договоров 1С</t>
  </si>
  <si>
    <t>&lt; WARNING &gt; В строке 516Платежей 1С ссылка на Договор 0107-07/2с, которого нет в листе Договоров 1С</t>
  </si>
  <si>
    <t>WrCSV&gt; в 'Dogovor.txt' записано 4 строк.</t>
  </si>
  <si>
    <t>WrCSV&gt; в 'Payment.txt' записано 18 строк.</t>
  </si>
  <si>
    <t>WrCSV&gt; в 'NewOpp.txt' записано 2 строк.</t>
  </si>
  <si>
    <t>&lt;*&gt;ProcEnd HANDL_Payment  Doc='Платежи' DocCS=333259328</t>
  </si>
  <si>
    <t>MoveToMatch: В файл 'SFDC.xlsx' загружен новый отчет 'SF'; EOL=5636 строк, в прежнем 5627_x000D_
Это ПОЛНЫЙ документ.</t>
  </si>
  <si>
    <t>&lt;*&gt;ProcEnd LOAD_1C_P  Doc='Платежи' DocCS=333259074</t>
  </si>
  <si>
    <t>adapt profile: total = 24,64_x000D_
By steps =  23,43 0,07</t>
  </si>
  <si>
    <t>&gt;&gt; iEOL=5642 Columns.Count=20</t>
  </si>
  <si>
    <t>&lt;*&gt;ProcEnd LOAD_SF  Doc='SF' DocCS=271467010</t>
  </si>
  <si>
    <t>MoveToMatch: В файл 'SFDC.xlsx' загружен новый отчет 'SFD'; EOL=1268 строк, в прежнем 1267_x000D_
Это ПОЛНЫЙ документ.</t>
  </si>
  <si>
    <t>adapt profile: total = 9,72_x000D_
By steps =  9,32 0,05</t>
  </si>
  <si>
    <t>&gt;&gt; iEOL=1274 Columns.Count=20</t>
  </si>
  <si>
    <t>&lt;*&gt;ProcEnd LOAD_SFD  Doc='SFD' DocCS=32382902</t>
  </si>
  <si>
    <t>MoveToMatch: В файл 'SFDC.xlsx' загружен новый отчет 'SFopp'; EOL=3811 строк, в прежнем 3805_x000D_
Это ПОЛНЫЙ документ.</t>
  </si>
  <si>
    <t>&lt;*&gt;ProcStart LOAD_1C_P Doc='Платежи' DocCS=333259074</t>
  </si>
  <si>
    <t>adapt profile: total = 47,67_x000D_
By steps =  10,34 0,03 11,01 5,19 0,04 0,02 0,01 0,02 0,01 0,01 0,02 0,01 0,01 0,03 0,01 0,01 0,00 0,00 0,02 0,02 0,00 0,01 0,01 0,01 0,01 0,01 0,01 0,01 0,01 19,64</t>
  </si>
  <si>
    <t>&lt;*&gt;ProcEnd LOAD_1C_P  Doc='Платежи' DocCS=333268873</t>
  </si>
  <si>
    <t>adapt profile: total = 7,78_x000D_
By steps =  0,73 3,29 0,51 0,01 0,00 0,00 0,67 0,00 2,10 0,01 0,00 0,00 0,00 0,00 0,00 0,00 0,00 0,00 0,00 0,00 0,00 0,00 0,00 0,00 0,00 0,00</t>
  </si>
  <si>
    <t>&lt;*&gt;ProcEnd LOAD_1C_DOG  Doc='Договоры' DocCS=73129662</t>
  </si>
  <si>
    <t>&lt;*&gt;ProcStart LOAD_SF Doc='SF' DocCS=271467010</t>
  </si>
  <si>
    <t>&lt;*&gt;ProcStart LOAD_1C_P Doc='Платежи' DocCS=333268873</t>
  </si>
  <si>
    <t>adapt profile: total = 26,65_x000D_
By steps =  25,05 0,10</t>
  </si>
  <si>
    <t>&lt;*&gt;ProcEnd LOAD_SF  Doc='SF' DocCS=271424244</t>
  </si>
  <si>
    <t>&lt;*&gt;ProcStart LOAD_SFD Doc='SFD' DocCS=32382902</t>
  </si>
  <si>
    <t>adapt profile: total = 6,06_x000D_
By steps =  5,65 0,04</t>
  </si>
  <si>
    <t>&lt;*&gt;ProcStart LOAD_1C_DOG Doc='Договоры' DocCS=73129662</t>
  </si>
  <si>
    <t>adapt profile: total = 55,96_x000D_
By steps =  12,75 0,05 12,86 4,32 0,02 0,02 0,01 0,02 0,02 0,00 0,01 0,00 0,02 0,02 0,01 0,02 0,01 0,01 0,02 0,01 0,01 0,02 0,02 0,02 0,02 0,01 0,00 0,01 0,02 23,93</t>
  </si>
  <si>
    <t>&lt;*&gt;ProcStart HANDL_Payment Doc='Платежи' DocCS=333268873</t>
  </si>
  <si>
    <t>&lt; WARNING &gt; В строке 406Платежей 1С ссылка на Договор 2008-2-050, которого нет в листе Договоров 1С</t>
  </si>
  <si>
    <t>&lt; WARNING &gt; В строке 407Платежей 1С ссылка на Договор 1311-07, которого нет в листе Договоров 1С</t>
  </si>
  <si>
    <t>&lt; WARNING &gt; В строке 408Платежей 1С ссылка на Договор 1311-07, которого нет в листе Договоров 1С</t>
  </si>
  <si>
    <t>&lt; WARNING &gt; В строке 450Платежей 1С ссылка на Договор 2008-1-048, которого нет в листе Договоров 1С</t>
  </si>
  <si>
    <t>&lt; WARNING &gt; В строке 451Платежей 1С ссылка на Договор 2008-1-048, которого нет в листе Договоров 1С</t>
  </si>
  <si>
    <t>&lt; WARNING &gt; В строке 503Платежей 1С ссылка на Договор 0107-07/2с, которого нет в листе Договоров 1С</t>
  </si>
  <si>
    <t>&lt; WARNING &gt; В строке 504Платежей 1С ссылка на Договор 0107-07/2с, которого нет в листе Договоров 1С</t>
  </si>
  <si>
    <t>&lt; WARNING &gt; В строке 505Платежей 1С ссылка на Договор 0107-07/2с, которого нет в листе Договоров 1С</t>
  </si>
  <si>
    <t>&lt; WARNING &gt; В строке 506Платежей 1С ссылка на Договор 0107-07/2с, которого нет в листе Договоров 1С</t>
  </si>
  <si>
    <t>&lt; WARNING &gt; Адаптер&gt; ссылка SFacc/3:12(0012000000NaPDI) не работает, результат &lt;пусто&gt;</t>
  </si>
  <si>
    <t>WrCSV&gt; в 'Payment.txt' записано 10 строк.</t>
  </si>
  <si>
    <t>WrCSV&gt; в 'ContrUpd.txt' записано 9 строк.</t>
  </si>
  <si>
    <t>&gt;&gt; iEOL=3817 Columns.Count=26</t>
  </si>
  <si>
    <t>&lt;*&gt;ProcEnd HANDL_Payment  Doc='Платежи' DocCS=333268873</t>
  </si>
  <si>
    <t>MoveToMatch: В файл '1C.xlsx' загружен новый отчет 'Платежи'; EOL=85 строк, в прежнем 5946_x000D_
Это изменяемая ЧАСТЬ данных.</t>
  </si>
  <si>
    <t>adapt profile: total = 0,67_x000D_
By steps =  0,15 0,01 0,17 0,01 0,00 0,00 0,00 0,00 0,00 0,00 0,00 0,00 0,00 0,00 0,00 0,00 0,00 0,00 0,00 0,00 0,00 0,00 0,00 0,00 0,00 0,00 0,00 0,00 0,00 0,29</t>
  </si>
  <si>
    <t>&gt;&gt; iEOL=5985 Columns.Count=30</t>
  </si>
  <si>
    <t>&lt;*&gt;ProcEnd LOAD_1C_P  Doc='Платежи' DocCS=335356271</t>
  </si>
  <si>
    <t>&lt;*&gt;ProcStart LOAD_1C_P Doc='Платежи' DocCS=335356271</t>
  </si>
  <si>
    <t>&lt;*&gt;ProcStart LOAD_SF Doc='SF' DocCS=271424244</t>
  </si>
  <si>
    <t>adapt profile: total = 22,84_x000D_
By steps =  21,39 0,06</t>
  </si>
  <si>
    <t>&lt;*&gt;ProcEnd LOAD_SF  Doc='SF' DocCS=271424236</t>
  </si>
  <si>
    <t>adapt profile: total = 4,84_x000D_
By steps =  4,54 0,01</t>
  </si>
  <si>
    <t>adapt profile: total = 47,61_x000D_
By steps =  11,45 0,04 10,74 4,46 0,04 0,02 0,01 0,02 0,03 0,02 0,00 0,00 0,00 0,00 0,03 0,02 0,02 0,01 0,02 0,01 0,02 0,02 0,00 0,02 0,02 0,00 0,02 0,02 0,01 19,03</t>
  </si>
  <si>
    <t>&lt;*&gt;ProcStart HANDL_Payment Doc='Платежи' DocCS=335356271</t>
  </si>
  <si>
    <t>&lt; WARNING &gt; В строке 9Платежей 1С ссылка на Договор 2013-1-195, которого нет в листе Договоров 1С</t>
  </si>
  <si>
    <t>&lt; WARNING &gt; В строке 94Платежей 1С ссылка на Договор 2013-1-194, которого нет в листе Договоров 1С</t>
  </si>
  <si>
    <t>&lt; WARNING &gt; В строке 121Платежей 1С ссылка на Договор 2012-1-169/9, которого нет в листе Договоров 1С</t>
  </si>
  <si>
    <t>&lt; WARNING &gt; В строке 193Платежей 1С ссылка на Договор 2013-1-197, которого нет в листе Договоров 1С</t>
  </si>
  <si>
    <t>&lt; WARNING &gt; В строке 436Платежей 1С ссылка на Договор 2008-2-050, которого нет в листе Договоров 1С</t>
  </si>
  <si>
    <t>&lt; WARNING &gt; В строке 437Платежей 1С ссылка на Договор 1311-07, которого нет в листе Договоров 1С</t>
  </si>
  <si>
    <t>&lt; WARNING &gt; В строке 438Платежей 1С ссылка на Договор 1311-07, которого нет в листе Договоров 1С</t>
  </si>
  <si>
    <t>&lt; WARNING &gt; В строке 481Платежей 1С ссылка на Договор 2008-1-048, которого нет в листе Договоров 1С</t>
  </si>
  <si>
    <t>&lt; WARNING &gt; В строке 482Платежей 1С ссылка на Договор 2008-1-048, которого нет в листе Договоров 1С</t>
  </si>
  <si>
    <t>&lt; WARNING &gt; В строке 483Платежей 1С ссылка на Договор 2008-1-048, которого нет в листе Договоров 1С</t>
  </si>
  <si>
    <t>&lt; WARNING &gt; В строке 484Платежей 1С ссылка на Договор 2008-1-048, которого нет в листе Договоров 1С</t>
  </si>
  <si>
    <t>&lt; WARNING &gt; В строке 538Платежей 1С ссылка на Договор 0107-07/2с, которого нет в листе Договоров 1С</t>
  </si>
  <si>
    <t>&lt; WARNING &gt; В строке 539Платежей 1С ссылка на Договор 0107-07/2с, которого нет в листе Договоров 1С</t>
  </si>
  <si>
    <t>&lt; WARNING &gt; В строке 540Платежей 1С ссылка на Договор 0107-07/2с, которого нет в листе Договоров 1С</t>
  </si>
  <si>
    <t>&lt; WARNING &gt; В строке 541Платежей 1С ссылка на Договор 0107-07/2с, которого нет в листе Договоров 1С</t>
  </si>
  <si>
    <t>&lt; WARNING &gt; В строке 542Платежей 1С ссылка на Договор 0107-07/2с, которого нет в листе Договоров 1С</t>
  </si>
  <si>
    <t>WrCSV&gt; в 'ContrUpd.txt' записано 10 строк.</t>
  </si>
  <si>
    <t>&lt;*&gt;ProcEnd HANDL_Payment  Doc='Платежи' DocCS=335356271</t>
  </si>
  <si>
    <t>MoveToMatch: В файл 'SFDC.xlsx' загружен новый отчет 'SF'; EOL=5653 строк, в прежнем 5636_x000D_
Это ПОЛНЫЙ документ.</t>
  </si>
  <si>
    <t>&lt;*&gt;ProcStart LOAD_SF Doc='SF' DocCS=271424236</t>
  </si>
  <si>
    <t>&lt;*&gt;ProcEnd LOAD_1C_P  Doc='Платежи' DocCS=335356114</t>
  </si>
  <si>
    <t>adapt profile: total = 29,80_x000D_
By steps =  27,75 0,13</t>
  </si>
  <si>
    <t>&gt;&gt; iEOL=5659 Columns.Count=20</t>
  </si>
  <si>
    <t>&lt;*&gt;ProcEnd LOAD_SF  Doc='SF' DocCS=272188336</t>
  </si>
  <si>
    <t>MoveToMatch: В файл 'SFDC.xlsx' загружен новый отчет 'SFD'; EOL=1268 строк, в прежнем 1268_x000D_
Это ПОЛНЫЙ документ.</t>
  </si>
  <si>
    <t>adapt profile: total = 5,84_x000D_
By steps =  5,55 0,03</t>
  </si>
  <si>
    <t>&lt;*&gt;ProcEnd LOAD_SFD  Doc='SFD' DocCS=32387716</t>
  </si>
  <si>
    <t>MoveToMatch: В файл 'SFDC.xlsx' загружен новый отчет 'SFopp'; EOL=3831 строк, в прежнем 3811_x000D_
Это ПОЛНЫЙ документ.</t>
  </si>
  <si>
    <t>&lt;*&gt;ProcStart LOAD_1C_P Doc='Платежи' DocCS=335356114</t>
  </si>
  <si>
    <t>adapt profile: total = 55,65_x000D_
By steps =  12,39 0,05 12,27 6,34 0,02 0,03 0,01 0,03 0,01 0,02 0,03 0,02 0,02 0,01 0,02 0,00 0,01 0,00 0,00 0,02 0,02 0,02 0,02 0,01 0,02 0,02 0,02 0,01 0,01 22,47</t>
  </si>
  <si>
    <t>&lt;*&gt;ProcEnd LOAD_1C_P  Doc='Платежи' DocCS=335367406</t>
  </si>
  <si>
    <t>adapt profile: total = 7,45_x000D_
By steps =  0,85 3,07 0,66 0,00 0,01 0,00 0,55 0,00 1,70 0,00 0,00 0,00 0,00 0,01 0,00 0,00 0,01 0,00 0,00 0,01 0,01 0,00 0,02 0,01 0,01 0,00</t>
  </si>
  <si>
    <t>&lt;*&gt;ProcEnd LOAD_1C_DOG  Doc='Договоры' DocCS=73129655</t>
  </si>
  <si>
    <t>&lt;*&gt;ProcStart LOAD_SF Doc='SF' DocCS=272188336</t>
  </si>
  <si>
    <t>&lt;*&gt;ProcStart LOAD_1C_P Doc='Платежи' DocCS=335367406</t>
  </si>
  <si>
    <t>adapt profile: total = 24,22_x000D_
By steps =  22,35 0,13</t>
  </si>
  <si>
    <t>&lt;*&gt;ProcEnd LOAD_SF  Doc='SF' DocCS=272144005</t>
  </si>
  <si>
    <t>&lt;*&gt;ProcStart LOAD_SFD Doc='SFD' DocCS=32387716</t>
  </si>
  <si>
    <t>adapt profile: total = 5,21_x000D_
By steps =  4,91 0,00</t>
  </si>
  <si>
    <t>&lt;*&gt;ProcStart LOAD_1C_DOG Doc='Договоры' DocCS=73129655</t>
  </si>
  <si>
    <t>adapt profile: total = 46,75_x000D_
By steps =  11,05 0,05 10,34 3,43 0,04 0,02 0,01 0,01 0,01 0,03 0,02 0,00 0,01 0,02 0,00 0,03 0,02 0,01 0,02 0,02 0,01 0,05 0,02 0,00 0,02 0,01 0,01 0,00 0,05 19,57</t>
  </si>
  <si>
    <t>&lt;*&gt;ProcStart HANDL_Payment Doc='Платежи' DocCS=335367406</t>
  </si>
  <si>
    <t>&lt; WARNING &gt; В строке 8Платежей 1С ссылка на Договор 2013-1-195, которого нет в листе Договоров 1С</t>
  </si>
  <si>
    <t>&lt; WARNING &gt; В строке 92Платежей 1С ссылка на Договор 2013-1-194, которого нет в листе Договоров 1С</t>
  </si>
  <si>
    <t>&lt; WARNING &gt; В строке 119Платежей 1С ссылка на Договор 2012-1-169/9, которого нет в листе Договоров 1С</t>
  </si>
  <si>
    <t>&lt; WARNING &gt; В строке 188Платежей 1С ссылка на Договор 2013-1-197, которого нет в листе Договоров 1С</t>
  </si>
  <si>
    <t>&lt; WARNING &gt; В строке 429Платежей 1С ссылка на Договор 2008-2-050, которого нет в листе Договоров 1С</t>
  </si>
  <si>
    <t>&lt; WARNING &gt; В строке 430Платежей 1С ссылка на Договор 1311-07, которого нет в листе Договоров 1С</t>
  </si>
  <si>
    <t>&lt; WARNING &gt; В строке 431Платежей 1С ссылка на Договор 1311-07, которого нет в листе Договоров 1С</t>
  </si>
  <si>
    <t>&lt; WARNING &gt; В строке 474Платежей 1С ссылка на Договор 2008-1-048, которого нет в листе Договоров 1С</t>
  </si>
  <si>
    <t>&lt; WARNING &gt; В строке 475Платежей 1С ссылка на Договор 2008-1-048, которого нет в листе Договоров 1С</t>
  </si>
  <si>
    <t>&lt; WARNING &gt; В строке 476Платежей 1С ссылка на Договор 2008-1-048, которого нет в листе Договоров 1С</t>
  </si>
  <si>
    <t>&lt; WARNING &gt; В строке 477Платежей 1С ссылка на Договор 2008-1-048, которого нет в листе Договоров 1С</t>
  </si>
  <si>
    <t>&lt; WARNING &gt; В строке 529Платежей 1С ссылка на Договор 0107-07/2с, которого нет в листе Договоров 1С</t>
  </si>
  <si>
    <t>&lt; WARNING &gt; В строке 530Платежей 1С ссылка на Договор 0107-07/2с, которого нет в листе Договоров 1С</t>
  </si>
  <si>
    <t>&lt; WARNING &gt; В строке 531Платежей 1С ссылка на Договор 0107-07/2с, которого нет в листе Договоров 1С</t>
  </si>
  <si>
    <t>&lt; WARNING &gt; В строке 532Платежей 1С ссылка на Договор 0107-07/2с, которого нет в листе Договоров 1С</t>
  </si>
  <si>
    <t>&lt; WARNING &gt; В строке 533Платежей 1С ссылка на Договор 0107-07/2с, которого нет в листе Договоров 1С</t>
  </si>
  <si>
    <t>&gt;&gt; iEOL=3837 Columns.Count=26</t>
  </si>
  <si>
    <t>&lt;*&gt;ProcEnd HANDL_Payment  Doc='Платежи' DocCS=335367406</t>
  </si>
  <si>
    <t>adapt profile: total = 5,37_x000D_
By steps =  5,14 0,02</t>
  </si>
  <si>
    <t>&lt;*&gt;ProcEnd LOAD_SFD  Doc='SFD' DocCS=32387261</t>
  </si>
  <si>
    <t>MoveToMatch: В файл '1C.xlsx' загружен новый отчет 'Договоры'; EOL=35 строк, в прежнем 1471_x000D_
Это изменяемая ЧАСТЬ данных.</t>
  </si>
  <si>
    <t>adapt profile: total = 0,10_x000D_
By steps =  0,02 0,00 0,01 0,00 0,00 0,00 0,00 0,00 0,03 0,01 0,00 0,00 0,00 0,00 0,00 0,00 0,00 0,00 0,00 0,00 0,00 0,00 0,00 0,00 0,00 0,00</t>
  </si>
  <si>
    <t>&gt;&gt; iEOL=1512 Columns.Count=26</t>
  </si>
  <si>
    <t>&lt;*&gt;ProcEnd LOAD_1C_DOG  Doc='Договоры' DocCS=74301160</t>
  </si>
  <si>
    <t>&lt;*&gt;ProcStart LOAD_1C_DOG Doc='Договоры' DocCS=74301160</t>
  </si>
  <si>
    <t>&lt;*&gt;ProcStart LOAD_SF Doc='SF' DocCS=272144005</t>
  </si>
  <si>
    <t>&lt;*&gt;ProcStart LOAD_SFD Doc='SFD' DocCS=32387261</t>
  </si>
  <si>
    <t>adapt profile: total = 5,94_x000D_
By steps =  5,59 0,02</t>
  </si>
  <si>
    <t>&lt;*&gt;ProcEnd LOAD_SFD  Doc='SFD' DocCS=32387472</t>
  </si>
  <si>
    <t>adapt profile: total = 8,20_x000D_
By steps =  0,80 3,54 0,69 0,00 0,00 0,01 0,50 0,02 2,01 0,00 0,02 0,00 0,00 0,00 0,00 0,00 0,00 0,00 0,00 0,01 0,00 0,00 0,00 0,00 0,00 0,00</t>
  </si>
  <si>
    <t>&lt;*&gt;ProcEnd LOAD_1C_DOG  Doc='Договоры' DocCS=74300680</t>
  </si>
  <si>
    <t>adapt profile: total = 53,59_x000D_
By steps =  12,76 0,06 12,52 4,31 0,04 0,01 0,01 0,01 0,02 0,02 0,00 0,00 0,03 0,00 0,01 0,00 0,01 0,01 0,02 0,01 0,03 0,02 0,02 0,02 0,01 0,02 0,02 0,03 0,02 21,75</t>
  </si>
  <si>
    <t>WrCSV&gt; в 'Dogovor.txt' записано 25 строк.</t>
  </si>
  <si>
    <t>Документ</t>
  </si>
  <si>
    <t>не написано</t>
  </si>
  <si>
    <t>D:\Pavel\match\matchDBs\</t>
  </si>
  <si>
    <t>MoveToMatch: В файл '1C.xlsx' загружен новый отчет 'Платежи'; EOL=248 строк, в прежнем 5983_x000D_
Это изменяемая ЧАСТЬ данных.</t>
  </si>
  <si>
    <t>adapt profile: total = 3,63_x000D_
By steps =  0,85 0,02 0,79 0,27 0,00 0,01 0,00 0,00 0,00 0,00 0,00 0,01 0,00 0,00 0,00 0,00 0,00 0,00 0,00 0,01 0,00 0,00 0,00 0,00 0,00 0,01 0,00 0,00 0,00 1,42</t>
  </si>
  <si>
    <t>&gt;&gt; iEOL=6054 Columns.Count=30</t>
  </si>
  <si>
    <t>&lt;*&gt;ProcEnd LOAD_1C_P  Doc='Платежи' DocCS=338952811</t>
  </si>
  <si>
    <t>MoveToMatch: В файл 'SFDC.xlsx' загружен новый отчет 'SF'; EOL=5653 строк, в прежнем 5653_x000D_
Это ПОЛНЫЙ документ.</t>
  </si>
  <si>
    <t>&lt;*&gt;ProcStart LOAD_1C_P Doc='Платежи' DocCS=338952811</t>
  </si>
  <si>
    <t>adapt profile: total = 48,45_x000D_
By steps =  41,22 0,33</t>
  </si>
  <si>
    <t>&lt;*&gt;ProcEnd LOAD_SF  Doc='SF' DocCS=272467087</t>
  </si>
  <si>
    <t>MoveToMatch: В файл 'SFDC.xlsx' загружен новый отчет 'SFopp'; EOL=3861 строк, в прежнем 3831_x000D_
Это ПОЛНЫЙ документ.</t>
  </si>
  <si>
    <t>MoveToMatch: В файл 'SFDC.xlsx' загружен новый отчет 'SF_PA'; EOL=191 строк, в прежнем 191_x000D_
Это ПОЛНЫЙ документ.</t>
  </si>
  <si>
    <t>MoveToMatch: В файл 'SFDC.xlsx' загружен новый отчет 'SF_DicAccSyn'; EOL=68 строк, в прежнем 66_x000D_
Это ПОЛНЫЙ документ.</t>
  </si>
  <si>
    <t>&gt;&gt; iEOL=135 Columns.Count=2</t>
  </si>
  <si>
    <t>MoveToMatch: В файл '1C.xlsx' загружен новый отчет 'Договоры'; EOL=102 строк, в прежнем 1505_x000D_
Это изменяемая ЧАСТЬ данных.</t>
  </si>
  <si>
    <t>&lt;*&gt;ProcStart LOAD_1C_DOG Doc='Договоры' DocCS=74300680</t>
  </si>
  <si>
    <t>adapt profile: total = 0,62_x000D_
By steps =  0,13 0,12 0,01 0,00 0,00 0,00 0,03 0,00 0,17 0,00 0,00 0,00 0,00 0,00 0,00 0,00 0,00 0,00 0,00 0,00 0,00 0,00 0,00 0,00 0,00 0,00</t>
  </si>
  <si>
    <t>&gt;&gt; iEOL=1532 Columns.Count=26</t>
  </si>
  <si>
    <t>&lt;*&gt;ProcEnd LOAD_1C_DOG  Doc='Договоры' DocCS=75558073</t>
  </si>
  <si>
    <t>MoveToMatch: В файл 'SFDC.xlsx' загружен новый отчет 'SF_DicAccSyn'; EOL=68 строк, в прежнем 68_x000D_
Это ПОЛНЫЙ документ.</t>
  </si>
  <si>
    <t>MoveToMatch: В файл '1C.xlsx' загружен новый отчет 'Договоры'; EOL=102 строк, в прежнем 1525_x000D_
Это изменяемая ЧАСТЬ данных.</t>
  </si>
  <si>
    <t>&lt;*&gt;ProcStart LOAD_1C_DOG Doc='Договоры' DocCS=75558073</t>
  </si>
  <si>
    <t>adapt profile: total = 0,59_x000D_
By steps =  0,09 0,09 0,05 0,00 0,00 0,00 0,02 0,00 0,15 0,00 0,00 0,00 0,00 0,00 0,00 0,00 0,00 0,00 0,00 0,00 0,00 0,00 0,00 0,00 0,01 0,00</t>
  </si>
  <si>
    <t>&lt;*&gt;ProcStart LOAD_SFD Doc='SFD' DocCS=32387472</t>
  </si>
  <si>
    <t>adapt profile: total = 9,20_x000D_
By steps =  7,65 0,05</t>
  </si>
  <si>
    <t>&lt;*&gt;ProcEnd LOAD_SFD  Doc='SFD' DocCS=32404397</t>
  </si>
  <si>
    <t>MoveToMatch: В файл '1C.xlsx' загружен новый отчет 'Список клиентов 1C'; EOL=2050 строк, в прежнем 2038_x000D_
Это ПОЛНЫЙ документ.</t>
  </si>
  <si>
    <t>Список клиентов 1С на 09.12.13</t>
  </si>
  <si>
    <t>Рассматриваются документы с даты 01.01.07 по дату 09.12.13</t>
  </si>
  <si>
    <t>adapt profile: total = 13,04_x000D_
By steps =  10,87</t>
  </si>
  <si>
    <t>&gt;&gt; iEOL=2050 Columns.Count=9</t>
  </si>
  <si>
    <t>&lt;*&gt;ProcEnd LOAD_1C_ACC  Doc='Список клиентов 1C' DocCS=55694702</t>
  </si>
  <si>
    <t>MoveToMatch: В файл 'SFDC.xlsx' загружен новый отчет 'SFacc'; EOL=5170 строк, в прежнем 5039_x000D_
Это ПОЛНЫЙ документ.</t>
  </si>
  <si>
    <t>adapt profile: total = 103,05_x000D_
By steps =  23,73 0,07 36,94 7,08 0,09 0,01 0,03 0,03 0,02 0,02 0,02 0,02 0,02 0,02 0,02 0,07 0,01 0,01 0,01 0,02 0,02 0,05 0,04 0,02 0,03 0,01 0,02 0,02 0,04 27,59</t>
  </si>
  <si>
    <t>&lt;*&gt;ProcEnd LOAD_1C_P  Doc='Платежи' DocCS=339338838</t>
  </si>
  <si>
    <t>adapt profile: total = 16,77_x000D_
By steps =  2,44 6,78 1,13 0,00 0,00 0,00 0,88 0,00 3,16 0,00 0,01 0,01 0,02 0,01 0,00 0,01 0,00 0,00 0,01 0,00 0,02 0,00 0,00 0,01 0,02 0,00</t>
  </si>
  <si>
    <t>&lt;*&gt;ProcEnd LOAD_1C_DOG  Doc='Договоры' DocCS=75557532</t>
  </si>
  <si>
    <t>&lt;*&gt;ProcStart LOAD_1C_ACC Doc='Список клиентов 1C' DocCS=55694702</t>
  </si>
  <si>
    <t>&gt;&gt; iEOL=5176 Columns.Count=19</t>
  </si>
  <si>
    <t>&lt;*&gt;ProcEnd LOAD_SFacc  Doc='SFacc' DocCS=121852884</t>
  </si>
  <si>
    <t>MoveToMatch: В файл 'SFDC.xlsx' загружен новый отчет 'SFacc'; EOL=5170 строк, в прежнем 5170_x000D_
Это ПОЛНЫЙ документ.</t>
  </si>
  <si>
    <t>&lt;*&gt;ProcStart LOAD_SFacc Doc='SFacc' DocCS=121852884</t>
  </si>
  <si>
    <t>&lt;*&gt;ProcStart LOAD_1C_P Doc='Платежи' DocCS=339338838</t>
  </si>
  <si>
    <t>adapt profile: total = 112,20_x000D_
By steps =  25,42 0,18 39,93 5,36 0,02 0,02 0,04 0,02 0,02 0,01 0,02 0,04 0,03 0,02 0,03 0,04 0,01 0,02 0,02 0,05 0,03 0,01 0,04 0,03 0,02 0,01 0,04 0,03 0,02 32,16</t>
  </si>
  <si>
    <t>&lt;*&gt;ProcStart LOAD_1C_DOG Doc='Договоры' DocCS=75557532</t>
  </si>
  <si>
    <t>adapt profile: total = 16,52_x000D_
By steps =  2,58 6,74 1,05 0,02 0,00 0,02 0,96 0,00 3,08 0,00 0,02 0,01 0,01 0,00 0,01 0,01 0,02 0,00 0,00 0,00 0,01 0,00 0,00 0,00 0,01 0,00</t>
  </si>
  <si>
    <t>adapt profile: total = 16,81_x000D_
By steps =  14,49</t>
  </si>
  <si>
    <t>&lt;*&gt;ProcEnd LOAD_1C_ACC  Doc='Список клиентов 1C' DocCS=55815417</t>
  </si>
  <si>
    <t>&lt;*&gt;ProcStart LOAD_1C_ACC Doc='Список клиентов 1C' DocCS=55815417</t>
  </si>
  <si>
    <t>&lt;*&gt;ProcStart LOAD_SF Doc='SF' DocCS=272467087</t>
  </si>
  <si>
    <t>adapt profile: total = 77,39_x000D_
By steps =  69,46 0,23</t>
  </si>
  <si>
    <t>&lt;*&gt;ProcEnd LOAD_SF  Doc='SF' DocCS=272472094</t>
  </si>
  <si>
    <t>&lt;*&gt;ProcStart LOAD_SFD Doc='SFD' DocCS=32404397</t>
  </si>
  <si>
    <t>adapt profile: total = 11,30_x000D_
By steps =  9,78 0,03</t>
  </si>
  <si>
    <t>&lt;*&gt;ProcStart HANDL_Payment Doc='Платежи' DocCS=339338838</t>
  </si>
  <si>
    <t>adapt profile: total = 110,08_x000D_
By steps =  24,92 0,14 39,54 4,80 0,05 0,03 0,01 0,02 0,00 0,05 0,03 0,03 0,05 0,04 0,03 0,02 0,02 0,02 0,03 0,05 0,02 0,02 0,02 0,05 0,07 0,05 0,03 0,04 0,04 31,41</t>
  </si>
  <si>
    <t>&lt; WARNING &gt; В строке 144Платежей 1С ссылка на Договор 2012-1-169/9, которого нет в листе Договоров 1С</t>
  </si>
  <si>
    <t>&lt; WARNING &gt; В строке 477Платежей 1С ссылка на Договор 2008-2-050, которого нет в листе Договоров 1С</t>
  </si>
  <si>
    <t>&lt; WARNING &gt; В строке 478Платежей 1С ссылка на Договор 1311-07, которого нет в листе Договоров 1С</t>
  </si>
  <si>
    <t>&lt; WARNING &gt; В строке 479Платежей 1С ссылка на Договор 1311-07, которого нет в листе Договоров 1С</t>
  </si>
  <si>
    <t>&lt; WARNING &gt; В строке 526Платежей 1С ссылка на Договор 2008-1-048, которого нет в листе Договоров 1С</t>
  </si>
  <si>
    <t>&lt; WARNING &gt; В строке 527Платежей 1С ссылка на Договор 2008-1-048, которого нет в листе Договоров 1С</t>
  </si>
  <si>
    <t>&lt; WARNING &gt; В строке 528Платежей 1С ссылка на Договор 2008-1-048, которого нет в листе Договоров 1С</t>
  </si>
  <si>
    <t>&lt; WARNING &gt; В строке 529Платежей 1С ссылка на Договор 2008-1-048, которого нет в листе Договоров 1С</t>
  </si>
  <si>
    <t>&lt; WARNING &gt; В строке 583Платежей 1С ссылка на Договор 0107-07/2с, которого нет в листе Договоров 1С</t>
  </si>
  <si>
    <t>&lt; WARNING &gt; В строке 584Платежей 1С ссылка на Договор 0107-07/2с, которого нет в листе Договоров 1С</t>
  </si>
  <si>
    <t>&lt; WARNING &gt; В строке 585Платежей 1С ссылка на Договор 0107-07/2с, которого нет в листе Договоров 1С</t>
  </si>
  <si>
    <t>&lt; WARNING &gt; В строке 586Платежей 1С ссылка на Договор 0107-07/2с, которого нет в листе Договоров 1С</t>
  </si>
  <si>
    <t>&lt; WARNING &gt; В строке 587Платежей 1С ссылка на Договор 0107-07/2с, которого нет в листе Договоров 1С</t>
  </si>
  <si>
    <t>WrCSV&gt; в 'Dogovor.txt' записано 39 строк.</t>
  </si>
  <si>
    <t>WrCSV&gt; в 'Payment.txt' записано 38 строк.</t>
  </si>
  <si>
    <t>WrCSV&gt; в 'NewOpp.txt' записано 5 строк.</t>
  </si>
  <si>
    <t>WrCSV&gt; в 'ContrUpd.txt' записано 11 строк.</t>
  </si>
  <si>
    <t>&gt;&gt; iEOL=3867 Columns.Count=26</t>
  </si>
  <si>
    <t>&lt;*&gt;ProcEnd HANDL_Payment  Doc='Платежи' DocCS=339338838</t>
  </si>
  <si>
    <t>MoveToMatch: В файл 'SFDC.xlsx' загружен новый отчет 'SFcont'; EOL=9510 строк, в прежнем 8938_x000D_
Это ПОЛНЫЙ документ.</t>
  </si>
  <si>
    <t>MoveToMatch: В файл 'SFDC.xlsx' загружен новый отчет 'SFcont'; EOL=9510 строк, в прежнем 9510_x000D_
Это ПОЛНЫЙ документ.</t>
  </si>
  <si>
    <t>MoveToMatch: В файл 'SFDC.xlsx' загружен новый отчет 'SFopp'; EOL=3865 строк, в прежнем 3861_x000D_
Это ПОЛНЫЙ документ.</t>
  </si>
  <si>
    <t>MoveToMatch: В файл 'SFDC.xlsx' загружен новый отчет 'SF'; EOL=5682 строк, в прежнем 5653_x000D_
Это ПОЛНЫЙ документ.</t>
  </si>
  <si>
    <t>&lt;*&gt;ProcStart LOAD_SF Doc='SF' DocCS=272472094</t>
  </si>
  <si>
    <t>&lt;*&gt;ProcEnd LOAD_1C_P  Doc='Платежи' DocCS=339338808</t>
  </si>
  <si>
    <t>adapt profile: total = 84,51_x000D_
By steps =  77,04 0,21</t>
  </si>
  <si>
    <t>&gt;&gt; iEOL=5688 Columns.Count=20</t>
  </si>
  <si>
    <t>&lt;*&gt;ProcEnd LOAD_SF  Doc='SF' DocCS=274097614</t>
  </si>
  <si>
    <t>MoveToMatch: В файл 'SFDC.xlsx' загружен новый отчет 'SFD'; EOL=1302 строк, в прежнем 1268_x000D_
Это ПОЛНЫЙ документ.</t>
  </si>
  <si>
    <t>adapt profile: total = 11,35_x000D_
By steps =  9,88 0,04</t>
  </si>
  <si>
    <t>&gt;&gt; iEOL=1308 Columns.Count=20</t>
  </si>
  <si>
    <t>&lt;*&gt;ProcEnd LOAD_SFD  Doc='SFD' DocCS=33083144</t>
  </si>
  <si>
    <t>&lt;*&gt;ProcStart LOAD_1C_P Doc='Платежи' DocCS=339338808</t>
  </si>
  <si>
    <t>adapt profile: total = 110,08_x000D_
By steps =  25,10 0,20 39,37 5,41 0,06 0,04 0,02 0,02 0,02 0,02 0,03 0,05 0,02 0,01 0,02 0,04 0,02 0,02 0,03 0,03 0,02 0,02 0,02 0,04 0,02 0,04 0,03 0,03 0,02 30,59</t>
  </si>
  <si>
    <t>&lt;*&gt;ProcEnd LOAD_1C_P  Doc='Платежи' DocCS=339371572</t>
  </si>
  <si>
    <t>adapt profile: total = 18,59_x000D_
By steps =  2,69 7,92 1,20 0,00 0,01 0,01 1,02 0,00 3,23 0,02 0,03 0,00 0,00 0,00 0,00 0,02 0,01 0,01 0,00 0,00 0,00 0,00 0,00 0,02 0,01 0,01</t>
  </si>
  <si>
    <t>&lt;*&gt;ProcEnd LOAD_1C_DOG  Doc='Договоры' DocCS=75616415</t>
  </si>
  <si>
    <t>&lt;*&gt;ProcStart LOAD_SF Doc='SF' DocCS=274097614</t>
  </si>
  <si>
    <t>&lt;*&gt;ProcStart LOAD_1C_P Doc='Платежи' DocCS=339371572</t>
  </si>
  <si>
    <t>adapt profile: total = 79,13_x000D_
By steps =  70,88 0,22</t>
  </si>
  <si>
    <t>&lt;*&gt;ProcEnd LOAD_SF  Doc='SF' DocCS=274051493</t>
  </si>
  <si>
    <t>&lt;*&gt;ProcStart LOAD_SFD Doc='SFD' DocCS=33083144</t>
  </si>
  <si>
    <t>adapt profile: total = 12,34_x000D_
By steps =  10,34 0,04</t>
  </si>
  <si>
    <t>&lt;*&gt;ProcStart LOAD_1C_DOG Doc='Договоры' DocCS=75616415</t>
  </si>
  <si>
    <t>adapt profile: total = 108,14_x000D_
By steps =  24,48 0,14 38,95 5,24 0,08 0,02 0,04 0,02 0,02 0,05 0,02 0,04 0,02 0,02 0,02 0,02 0,04 0,02 0,03 0,02 0,03 0,02 0,04 0,03 0,04 0,04 0,02 0,05 0,02 30,23</t>
  </si>
  <si>
    <t>&lt;*&gt;ProcStart HANDL_Payment Doc='Платежи' DocCS=339371572</t>
  </si>
  <si>
    <t>&lt; WARNING &gt; В строке 137Платежей 1С ссылка на Договор 2012-1-169/9, которого нет в листе Договоров 1С</t>
  </si>
  <si>
    <t>&lt; WARNING &gt; В строке 457Платежей 1С ссылка на Договор 2008-2-050, которого нет в листе Договоров 1С</t>
  </si>
  <si>
    <t>&lt; WARNING &gt; В строке 458Платежей 1С ссылка на Договор 1311-07, которого нет в листе Договоров 1С</t>
  </si>
  <si>
    <t>&lt; WARNING &gt; В строке 459Платежей 1С ссылка на Договор 1311-07, которого нет в листе Договоров 1С</t>
  </si>
  <si>
    <t>&lt; WARNING &gt; В строке 502Платежей 1С ссылка на Договор 2008-1-048, которого нет в листе Договоров 1С</t>
  </si>
  <si>
    <t>&lt; WARNING &gt; В строке 503Платежей 1С ссылка на Договор 2008-1-048, которого нет в листе Договоров 1С</t>
  </si>
  <si>
    <t>&lt; WARNING &gt; В строке 504Платежей 1С ссылка на Договор 2008-1-048, которого нет в листе Договоров 1С</t>
  </si>
  <si>
    <t>&lt; WARNING &gt; В строке 505Платежей 1С ссылка на Договор 2008-1-048, которого нет в листе Договоров 1С</t>
  </si>
  <si>
    <t>&lt; WARNING &gt; В строке 557Платежей 1С ссылка на Договор 0107-07/2с, которого нет в листе Договоров 1С</t>
  </si>
  <si>
    <t>&lt; WARNING &gt; В строке 558Платежей 1С ссылка на Договор 0107-07/2с, которого нет в листе Договоров 1С</t>
  </si>
  <si>
    <t>&lt; WARNING &gt; В строке 559Платежей 1С ссылка на Договор 0107-07/2с, которого нет в листе Договоров 1С</t>
  </si>
  <si>
    <t>&lt; WARNING &gt; В строке 560Платежей 1С ссылка на Договор 0107-07/2с, которого нет в листе Договоров 1С</t>
  </si>
  <si>
    <t>&lt; WARNING &gt; В строке 561Платежей 1С ссылка на Договор 0107-07/2с, которого нет в листе Договоров 1С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</si>
</sst>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* #,##0.00_);_(* \(#,##0.00\);_(* &quot;-&quot;??_);_(@_)"/>
    <numFmt numFmtId="167" formatCode="[$-F400]h:mm:ss\ AM/PM"/>
    <numFmt numFmtId="168" formatCode="dd/mm/yy\ h:mm;@"/>
    <numFmt numFmtId="169" formatCode="dd/mm/yy;@"/>
    <numFmt numFmtId="170" formatCode="_(* #,##0_);_(* \(#,##0\);_(* &quot;-&quot;??_);_(@_)"/>
    <numFmt numFmtId="171" formatCode="#,##0_ ;\-#,##0\ "/>
    <numFmt numFmtId="172" formatCode="d/m/yy;@"/>
    <numFmt numFmtId="173" formatCode="dd\-mm\-yyyy"/>
    <numFmt numFmtId="174" formatCode="0.0%"/>
    <numFmt numFmtId="175" formatCode="_-* #,##0_р_._-;\-* #,##0_р_._-;_-* &quot;-&quot;??_р_._-;_-@_-"/>
    <numFmt numFmtId="176" formatCode="[$-419]mmmm\ yyyy;@"/>
    <numFmt numFmtId="177" formatCode="_-* #,##0[$р.-419]_-;\-* #,##0[$р.-419]_-;_-* &quot;-&quot;??[$р.-419]_-;_-@_-"/>
    <numFmt numFmtId="178" formatCode="_-* #\ #,#00\ _р_._-;\-* #\ #,#00\ _р_._-;_-* &quot;-&quot;??\ _р_._-;_-@_-"/>
  </numFmts>
  <fonts count="7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9"/>
      <color rgb="FFFF6A00"/>
      <name val="Arial"/>
      <family val="2"/>
      <charset val="204"/>
    </font>
    <font>
      <b/>
      <u/>
      <sz val="9"/>
      <color theme="1"/>
      <name val="Calibri"/>
      <family val="2"/>
      <charset val="204"/>
      <scheme val="minor"/>
    </font>
    <font>
      <b/>
      <i/>
      <u/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  <font>
      <u/>
      <sz val="9"/>
      <color theme="1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auto="1"/>
      </top>
      <bottom/>
      <diagonal/>
    </border>
  </borders>
  <cellStyleXfs count="55">
    <xf numFmtId="0" fontId="0" fillId="0" borderId="0"/>
    <xf numFmtId="167" fontId="1" fillId="0" borderId="0"/>
    <xf numFmtId="167" fontId="8" fillId="0" borderId="0"/>
    <xf numFmtId="167" fontId="8" fillId="0" borderId="0"/>
    <xf numFmtId="167" fontId="8" fillId="0" borderId="0"/>
    <xf numFmtId="167" fontId="8" fillId="0" borderId="0"/>
    <xf numFmtId="167" fontId="8" fillId="0" borderId="0"/>
    <xf numFmtId="167" fontId="10" fillId="0" borderId="0" applyNumberFormat="0" applyFill="0" applyBorder="0" applyAlignment="0" applyProtection="0"/>
    <xf numFmtId="167" fontId="1" fillId="0" borderId="0"/>
    <xf numFmtId="165" fontId="1" fillId="0" borderId="0" applyFont="0" applyFill="0" applyBorder="0" applyAlignment="0" applyProtection="0"/>
    <xf numFmtId="167" fontId="1" fillId="0" borderId="0"/>
    <xf numFmtId="167" fontId="1" fillId="0" borderId="0"/>
    <xf numFmtId="167" fontId="8" fillId="0" borderId="0"/>
    <xf numFmtId="167" fontId="8" fillId="0" borderId="0"/>
    <xf numFmtId="0" fontId="8" fillId="0" borderId="0"/>
    <xf numFmtId="167" fontId="1" fillId="0" borderId="0"/>
    <xf numFmtId="165" fontId="8" fillId="0" borderId="0" applyFont="0" applyFill="0" applyBorder="0" applyAlignment="0" applyProtection="0"/>
    <xf numFmtId="167" fontId="1" fillId="0" borderId="0"/>
    <xf numFmtId="0" fontId="1" fillId="0" borderId="0"/>
    <xf numFmtId="167" fontId="28" fillId="0" borderId="0"/>
    <xf numFmtId="167" fontId="1" fillId="0" borderId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1" fillId="0" borderId="0"/>
    <xf numFmtId="0" fontId="8" fillId="0" borderId="0"/>
    <xf numFmtId="167" fontId="36" fillId="0" borderId="0"/>
    <xf numFmtId="167" fontId="1" fillId="0" borderId="0"/>
    <xf numFmtId="167" fontId="1" fillId="0" borderId="0"/>
    <xf numFmtId="165" fontId="1" fillId="0" borderId="0" applyFont="0" applyFill="0" applyBorder="0" applyAlignment="0" applyProtection="0"/>
    <xf numFmtId="0" fontId="8" fillId="0" borderId="0"/>
    <xf numFmtId="176" fontId="1" fillId="0" borderId="0"/>
    <xf numFmtId="176" fontId="1" fillId="0" borderId="0"/>
    <xf numFmtId="164" fontId="8" fillId="0" borderId="0" applyFont="0" applyFill="0" applyBorder="0" applyAlignment="0" applyProtection="0"/>
    <xf numFmtId="167" fontId="42" fillId="0" borderId="0"/>
    <xf numFmtId="0" fontId="8" fillId="0" borderId="0"/>
    <xf numFmtId="0" fontId="1" fillId="0" borderId="0"/>
    <xf numFmtId="167" fontId="28" fillId="0" borderId="0"/>
    <xf numFmtId="167" fontId="36" fillId="0" borderId="0"/>
    <xf numFmtId="0" fontId="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0" fontId="1" fillId="0" borderId="0"/>
    <xf numFmtId="0" fontId="1" fillId="0" borderId="0"/>
  </cellStyleXfs>
  <cellXfs count="1098">
    <xf numFmtId="0" fontId="0" fillId="0" borderId="0" xfId="0"/>
    <xf numFmtId="168" fontId="2" fillId="2" borderId="1" xfId="1" applyNumberFormat="1" applyFont="1" applyFill="1" applyBorder="1" applyAlignment="1">
      <alignment horizontal="center" vertical="center"/>
    </xf>
    <xf numFmtId="167" fontId="1" fillId="0" borderId="0" xfId="1"/>
    <xf numFmtId="167" fontId="3" fillId="0" borderId="0" xfId="1" applyFont="1"/>
    <xf numFmtId="167" fontId="1" fillId="0" borderId="0" xfId="1" applyAlignment="1">
      <alignment horizontal="center"/>
    </xf>
    <xf numFmtId="167" fontId="7" fillId="0" borderId="0" xfId="1" applyFont="1"/>
    <xf numFmtId="167" fontId="7" fillId="0" borderId="0" xfId="1" applyFont="1" applyAlignment="1">
      <alignment horizontal="center"/>
    </xf>
    <xf numFmtId="167" fontId="1" fillId="6" borderId="3" xfId="1" applyFill="1" applyBorder="1"/>
    <xf numFmtId="167" fontId="1" fillId="0" borderId="0" xfId="1" applyBorder="1"/>
    <xf numFmtId="167" fontId="1" fillId="0" borderId="0" xfId="1" applyFill="1" applyBorder="1"/>
    <xf numFmtId="49" fontId="1" fillId="0" borderId="0" xfId="1" applyNumberFormat="1" applyAlignment="1">
      <alignment horizontal="center"/>
    </xf>
    <xf numFmtId="167" fontId="1" fillId="0" borderId="0" xfId="1" applyFill="1"/>
    <xf numFmtId="167" fontId="1" fillId="8" borderId="0" xfId="1" applyFill="1" applyBorder="1"/>
    <xf numFmtId="49" fontId="1" fillId="0" borderId="3" xfId="1" applyNumberFormat="1" applyFill="1" applyBorder="1" applyAlignment="1">
      <alignment horizontal="center"/>
    </xf>
    <xf numFmtId="167" fontId="1" fillId="9" borderId="0" xfId="1" applyFill="1" applyBorder="1"/>
    <xf numFmtId="49" fontId="1" fillId="0" borderId="0" xfId="1" applyNumberFormat="1" applyFill="1" applyAlignment="1">
      <alignment horizontal="center"/>
    </xf>
    <xf numFmtId="49" fontId="0" fillId="0" borderId="0" xfId="1" applyNumberFormat="1" applyFont="1"/>
    <xf numFmtId="167" fontId="13" fillId="0" borderId="0" xfId="1" applyFont="1"/>
    <xf numFmtId="49" fontId="7" fillId="0" borderId="8" xfId="1" applyNumberFormat="1" applyFont="1" applyBorder="1" applyAlignment="1">
      <alignment horizontal="center"/>
    </xf>
    <xf numFmtId="49" fontId="7" fillId="0" borderId="9" xfId="1" applyNumberFormat="1" applyFont="1" applyBorder="1" applyAlignment="1">
      <alignment horizontal="center"/>
    </xf>
    <xf numFmtId="49" fontId="7" fillId="0" borderId="10" xfId="1" applyNumberFormat="1" applyFont="1" applyBorder="1" applyAlignment="1">
      <alignment horizontal="center"/>
    </xf>
    <xf numFmtId="167" fontId="7" fillId="16" borderId="0" xfId="1" applyFont="1" applyFill="1"/>
    <xf numFmtId="49" fontId="1" fillId="16" borderId="0" xfId="1" applyNumberFormat="1" applyFill="1" applyAlignment="1">
      <alignment horizontal="center"/>
    </xf>
    <xf numFmtId="49" fontId="0" fillId="16" borderId="0" xfId="1" applyNumberFormat="1" applyFont="1" applyFill="1"/>
    <xf numFmtId="167" fontId="7" fillId="16" borderId="11" xfId="1" applyFont="1" applyFill="1" applyBorder="1"/>
    <xf numFmtId="167" fontId="7" fillId="16" borderId="0" xfId="1" applyFont="1" applyFill="1" applyBorder="1"/>
    <xf numFmtId="167" fontId="7" fillId="16" borderId="12" xfId="1" applyFont="1" applyFill="1" applyBorder="1"/>
    <xf numFmtId="167" fontId="7" fillId="17" borderId="0" xfId="1" applyFont="1" applyFill="1"/>
    <xf numFmtId="49" fontId="1" fillId="17" borderId="0" xfId="1" applyNumberFormat="1" applyFill="1" applyAlignment="1">
      <alignment horizontal="center"/>
    </xf>
    <xf numFmtId="167" fontId="7" fillId="0" borderId="0" xfId="1" applyFont="1" applyFill="1"/>
    <xf numFmtId="49" fontId="0" fillId="2" borderId="0" xfId="1" applyNumberFormat="1" applyFont="1" applyFill="1"/>
    <xf numFmtId="167" fontId="0" fillId="0" borderId="11" xfId="1" applyFont="1" applyFill="1" applyBorder="1" applyAlignment="1">
      <alignment horizontal="left"/>
    </xf>
    <xf numFmtId="167" fontId="7" fillId="0" borderId="0" xfId="1" applyFont="1" applyFill="1" applyBorder="1"/>
    <xf numFmtId="167" fontId="7" fillId="0" borderId="12" xfId="1" applyFont="1" applyFill="1" applyBorder="1"/>
    <xf numFmtId="167" fontId="0" fillId="0" borderId="11" xfId="1" applyFont="1" applyFill="1" applyBorder="1"/>
    <xf numFmtId="168" fontId="1" fillId="17" borderId="0" xfId="1" applyNumberFormat="1" applyFill="1" applyAlignment="1">
      <alignment horizontal="center" vertical="center"/>
    </xf>
    <xf numFmtId="49" fontId="1" fillId="17" borderId="0" xfId="1" applyNumberFormat="1" applyFill="1" applyAlignment="1">
      <alignment horizontal="center" vertical="center"/>
    </xf>
    <xf numFmtId="49" fontId="1" fillId="17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7" fontId="5" fillId="0" borderId="11" xfId="1" applyFont="1" applyFill="1" applyBorder="1" applyAlignment="1">
      <alignment vertical="center"/>
    </xf>
    <xf numFmtId="167" fontId="13" fillId="0" borderId="0" xfId="1" applyFont="1" applyFill="1" applyBorder="1" applyAlignment="1">
      <alignment vertical="center"/>
    </xf>
    <xf numFmtId="167" fontId="7" fillId="0" borderId="0" xfId="1" applyFont="1" applyFill="1" applyBorder="1" applyAlignment="1">
      <alignment vertical="center"/>
    </xf>
    <xf numFmtId="167" fontId="7" fillId="0" borderId="12" xfId="1" applyFont="1" applyFill="1" applyBorder="1" applyAlignment="1">
      <alignment vertical="center"/>
    </xf>
    <xf numFmtId="167" fontId="0" fillId="0" borderId="11" xfId="1" applyFont="1" applyFill="1" applyBorder="1" applyAlignment="1">
      <alignment vertical="center"/>
    </xf>
    <xf numFmtId="167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7" fontId="0" fillId="0" borderId="0" xfId="1" applyFont="1" applyFill="1" applyBorder="1" applyAlignment="1">
      <alignment vertical="center"/>
    </xf>
    <xf numFmtId="168" fontId="1" fillId="17" borderId="0" xfId="1" applyNumberFormat="1" applyFill="1" applyBorder="1" applyAlignment="1">
      <alignment horizontal="center" vertical="center"/>
    </xf>
    <xf numFmtId="49" fontId="1" fillId="17" borderId="0" xfId="1" applyNumberFormat="1" applyFill="1" applyBorder="1" applyAlignment="1">
      <alignment horizontal="center" vertical="center"/>
    </xf>
    <xf numFmtId="167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49" fontId="0" fillId="2" borderId="12" xfId="1" applyNumberFormat="1" applyFont="1" applyFill="1" applyBorder="1" applyAlignment="1">
      <alignment vertical="center"/>
    </xf>
    <xf numFmtId="167" fontId="1" fillId="0" borderId="0" xfId="1" applyBorder="1" applyAlignment="1">
      <alignment vertical="center"/>
    </xf>
    <xf numFmtId="167" fontId="1" fillId="0" borderId="12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7" fontId="7" fillId="0" borderId="13" xfId="1" applyFont="1" applyFill="1" applyBorder="1" applyAlignment="1">
      <alignment vertical="center"/>
    </xf>
    <xf numFmtId="167" fontId="7" fillId="0" borderId="2" xfId="1" applyFont="1" applyFill="1" applyBorder="1" applyAlignment="1">
      <alignment vertical="center"/>
    </xf>
    <xf numFmtId="167" fontId="7" fillId="0" borderId="14" xfId="1" applyFont="1" applyFill="1" applyBorder="1" applyAlignment="1">
      <alignment vertical="center"/>
    </xf>
    <xf numFmtId="167" fontId="0" fillId="0" borderId="13" xfId="1" applyFont="1" applyFill="1" applyBorder="1" applyAlignment="1">
      <alignment vertical="center"/>
    </xf>
    <xf numFmtId="167" fontId="0" fillId="0" borderId="2" xfId="1" applyFont="1" applyFill="1" applyBorder="1" applyAlignment="1">
      <alignment vertical="center"/>
    </xf>
    <xf numFmtId="167" fontId="7" fillId="0" borderId="2" xfId="1" applyFont="1" applyFill="1" applyBorder="1"/>
    <xf numFmtId="168" fontId="1" fillId="17" borderId="3" xfId="1" applyNumberFormat="1" applyFill="1" applyBorder="1" applyAlignment="1">
      <alignment horizontal="center" vertical="center"/>
    </xf>
    <xf numFmtId="49" fontId="7" fillId="17" borderId="3" xfId="1" applyNumberFormat="1" applyFont="1" applyFill="1" applyBorder="1" applyAlignment="1">
      <alignment horizontal="left" vertical="center" wrapText="1"/>
    </xf>
    <xf numFmtId="167" fontId="7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7" fontId="1" fillId="0" borderId="15" xfId="1" applyBorder="1" applyAlignment="1">
      <alignment horizontal="left" vertical="center"/>
    </xf>
    <xf numFmtId="167" fontId="7" fillId="0" borderId="16" xfId="1" applyFont="1" applyFill="1" applyBorder="1" applyAlignment="1">
      <alignment vertical="center"/>
    </xf>
    <xf numFmtId="167" fontId="0" fillId="0" borderId="15" xfId="1" applyFont="1" applyFill="1" applyBorder="1" applyAlignment="1">
      <alignment vertical="center"/>
    </xf>
    <xf numFmtId="167" fontId="0" fillId="0" borderId="3" xfId="1" applyFont="1" applyFill="1" applyBorder="1" applyAlignment="1">
      <alignment vertical="center"/>
    </xf>
    <xf numFmtId="167" fontId="0" fillId="0" borderId="11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1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7" fontId="1" fillId="0" borderId="15" xfId="1" applyBorder="1" applyAlignment="1">
      <alignment vertical="center"/>
    </xf>
    <xf numFmtId="167" fontId="1" fillId="17" borderId="0" xfId="1" applyFill="1" applyBorder="1"/>
    <xf numFmtId="49" fontId="1" fillId="0" borderId="17" xfId="1" applyNumberFormat="1" applyFill="1" applyBorder="1" applyAlignment="1">
      <alignment horizontal="center" vertical="center"/>
    </xf>
    <xf numFmtId="49" fontId="0" fillId="2" borderId="17" xfId="1" applyNumberFormat="1" applyFont="1" applyFill="1" applyBorder="1" applyAlignment="1">
      <alignment vertical="center"/>
    </xf>
    <xf numFmtId="167" fontId="7" fillId="0" borderId="18" xfId="1" applyFont="1" applyFill="1" applyBorder="1" applyAlignment="1">
      <alignment vertical="center"/>
    </xf>
    <xf numFmtId="167" fontId="7" fillId="0" borderId="17" xfId="1" applyFont="1" applyFill="1" applyBorder="1" applyAlignment="1">
      <alignment vertical="center"/>
    </xf>
    <xf numFmtId="167" fontId="7" fillId="0" borderId="19" xfId="1" applyFont="1" applyFill="1" applyBorder="1" applyAlignment="1">
      <alignment vertical="center"/>
    </xf>
    <xf numFmtId="167" fontId="0" fillId="0" borderId="18" xfId="1" applyFont="1" applyFill="1" applyBorder="1" applyAlignment="1">
      <alignment vertical="center"/>
    </xf>
    <xf numFmtId="167" fontId="0" fillId="0" borderId="17" xfId="1" applyFont="1" applyFill="1" applyBorder="1" applyAlignment="1">
      <alignment vertical="center"/>
    </xf>
    <xf numFmtId="167" fontId="7" fillId="0" borderId="17" xfId="1" applyFont="1" applyFill="1" applyBorder="1"/>
    <xf numFmtId="168" fontId="1" fillId="0" borderId="20" xfId="1" applyNumberForma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49" fontId="7" fillId="0" borderId="20" xfId="1" applyNumberFormat="1" applyFont="1" applyFill="1" applyBorder="1" applyAlignment="1">
      <alignment horizontal="left" vertical="center" wrapText="1"/>
    </xf>
    <xf numFmtId="167" fontId="7" fillId="0" borderId="20" xfId="1" applyFont="1" applyFill="1" applyBorder="1" applyAlignment="1">
      <alignment vertical="center"/>
    </xf>
    <xf numFmtId="49" fontId="0" fillId="2" borderId="20" xfId="1" applyNumberFormat="1" applyFont="1" applyFill="1" applyBorder="1" applyAlignment="1">
      <alignment vertical="center"/>
    </xf>
    <xf numFmtId="167" fontId="1" fillId="0" borderId="21" xfId="1" applyBorder="1" applyAlignment="1">
      <alignment horizontal="left" vertical="center"/>
    </xf>
    <xf numFmtId="167" fontId="7" fillId="0" borderId="22" xfId="1" applyFont="1" applyFill="1" applyBorder="1" applyAlignment="1">
      <alignment vertical="center"/>
    </xf>
    <xf numFmtId="167" fontId="0" fillId="0" borderId="21" xfId="1" applyFont="1" applyFill="1" applyBorder="1" applyAlignment="1">
      <alignment vertical="center"/>
    </xf>
    <xf numFmtId="167" fontId="0" fillId="0" borderId="20" xfId="1" applyFont="1" applyFill="1" applyBorder="1" applyAlignment="1">
      <alignment vertical="center"/>
    </xf>
    <xf numFmtId="167" fontId="1" fillId="0" borderId="12" xfId="1" applyFill="1" applyBorder="1" applyAlignment="1">
      <alignment vertical="center"/>
    </xf>
    <xf numFmtId="49" fontId="1" fillId="0" borderId="11" xfId="1" applyNumberFormat="1" applyBorder="1" applyAlignment="1">
      <alignment horizontal="left" vertical="center"/>
    </xf>
    <xf numFmtId="168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7" fontId="1" fillId="0" borderId="11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8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8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7" fillId="0" borderId="3" xfId="1" applyNumberFormat="1" applyFont="1" applyFill="1" applyBorder="1" applyAlignment="1">
      <alignment horizontal="left" vertical="center" wrapText="1"/>
    </xf>
    <xf numFmtId="49" fontId="1" fillId="0" borderId="11" xfId="1" applyNumberFormat="1" applyBorder="1" applyAlignment="1">
      <alignment horizontal="center" vertical="center"/>
    </xf>
    <xf numFmtId="167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3" borderId="23" xfId="1" applyNumberFormat="1" applyFont="1" applyFill="1" applyBorder="1" applyAlignment="1">
      <alignment vertical="center"/>
    </xf>
    <xf numFmtId="0" fontId="0" fillId="0" borderId="11" xfId="1" applyNumberFormat="1" applyFont="1" applyFill="1" applyBorder="1" applyAlignment="1">
      <alignment vertical="center"/>
    </xf>
    <xf numFmtId="167" fontId="7" fillId="0" borderId="0" xfId="1" applyFont="1" applyFill="1" applyAlignment="1">
      <alignment horizontal="left"/>
    </xf>
    <xf numFmtId="167" fontId="0" fillId="0" borderId="21" xfId="1" applyFont="1" applyFill="1" applyBorder="1"/>
    <xf numFmtId="168" fontId="1" fillId="0" borderId="0" xfId="1" applyNumberFormat="1" applyAlignment="1">
      <alignment horizontal="center" vertical="center"/>
    </xf>
    <xf numFmtId="49" fontId="7" fillId="0" borderId="0" xfId="1" applyNumberFormat="1" applyFont="1" applyFill="1" applyAlignment="1">
      <alignment horizontal="left" vertical="center" wrapText="1"/>
    </xf>
    <xf numFmtId="167" fontId="1" fillId="0" borderId="11" xfId="1" applyBorder="1" applyAlignment="1">
      <alignment horizontal="left" vertical="center"/>
    </xf>
    <xf numFmtId="167" fontId="1" fillId="13" borderId="11" xfId="1" applyFill="1" applyBorder="1" applyAlignment="1">
      <alignment horizontal="left" vertical="center"/>
    </xf>
    <xf numFmtId="167" fontId="1" fillId="0" borderId="0" xfId="1" applyFill="1" applyBorder="1" applyAlignment="1">
      <alignment horizontal="left" vertical="center"/>
    </xf>
    <xf numFmtId="167" fontId="7" fillId="10" borderId="0" xfId="1" applyFont="1" applyFill="1"/>
    <xf numFmtId="0" fontId="1" fillId="0" borderId="0" xfId="1" applyNumberFormat="1" applyFill="1" applyBorder="1" applyAlignment="1">
      <alignment horizontal="left" vertical="center"/>
    </xf>
    <xf numFmtId="167" fontId="0" fillId="0" borderId="0" xfId="1" applyFont="1" applyFill="1"/>
    <xf numFmtId="167" fontId="0" fillId="13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7" fontId="7" fillId="10" borderId="2" xfId="1" applyFont="1" applyFill="1" applyBorder="1"/>
    <xf numFmtId="167" fontId="0" fillId="13" borderId="11" xfId="1" applyFont="1" applyFill="1" applyBorder="1" applyAlignment="1">
      <alignment vertical="center"/>
    </xf>
    <xf numFmtId="167" fontId="1" fillId="0" borderId="0" xfId="1" applyBorder="1" applyAlignment="1">
      <alignment horizontal="left" vertical="center"/>
    </xf>
    <xf numFmtId="167" fontId="7" fillId="9" borderId="0" xfId="1" applyFont="1" applyFill="1"/>
    <xf numFmtId="167" fontId="7" fillId="9" borderId="2" xfId="1" applyFont="1" applyFill="1" applyBorder="1"/>
    <xf numFmtId="167" fontId="7" fillId="2" borderId="0" xfId="1" applyFont="1" applyFill="1"/>
    <xf numFmtId="167" fontId="0" fillId="0" borderId="0" xfId="1" applyFont="1" applyFill="1" applyAlignment="1">
      <alignment horizontal="left" wrapText="1"/>
    </xf>
    <xf numFmtId="49" fontId="1" fillId="0" borderId="11" xfId="1" applyNumberFormat="1" applyFill="1" applyBorder="1" applyAlignment="1">
      <alignment horizontal="left" vertical="center" wrapText="1"/>
    </xf>
    <xf numFmtId="167" fontId="2" fillId="13" borderId="0" xfId="1" applyFont="1" applyFill="1"/>
    <xf numFmtId="167" fontId="7" fillId="2" borderId="2" xfId="1" applyFont="1" applyFill="1" applyBorder="1"/>
    <xf numFmtId="168" fontId="1" fillId="0" borderId="17" xfId="1" applyNumberFormat="1" applyFill="1" applyBorder="1" applyAlignment="1">
      <alignment horizontal="center" vertical="center"/>
    </xf>
    <xf numFmtId="167" fontId="7" fillId="12" borderId="0" xfId="1" applyFont="1" applyFill="1"/>
    <xf numFmtId="167" fontId="1" fillId="12" borderId="24" xfId="1" applyFill="1" applyBorder="1"/>
    <xf numFmtId="167" fontId="1" fillId="10" borderId="0" xfId="1" applyFill="1" applyBorder="1"/>
    <xf numFmtId="167" fontId="1" fillId="12" borderId="0" xfId="1" applyFill="1"/>
    <xf numFmtId="167" fontId="7" fillId="12" borderId="2" xfId="1" applyFont="1" applyFill="1" applyBorder="1"/>
    <xf numFmtId="167" fontId="7" fillId="14" borderId="0" xfId="1" applyFont="1" applyFill="1"/>
    <xf numFmtId="49" fontId="1" fillId="0" borderId="11" xfId="1" applyNumberFormat="1" applyFill="1" applyBorder="1" applyAlignment="1">
      <alignment horizontal="center" vertical="center"/>
    </xf>
    <xf numFmtId="167" fontId="1" fillId="8" borderId="4" xfId="1" applyFill="1" applyBorder="1"/>
    <xf numFmtId="167" fontId="0" fillId="14" borderId="0" xfId="1" applyFont="1" applyFill="1" applyBorder="1" applyAlignment="1">
      <alignment vertical="center"/>
    </xf>
    <xf numFmtId="167" fontId="1" fillId="14" borderId="0" xfId="1" applyFill="1"/>
    <xf numFmtId="167" fontId="1" fillId="14" borderId="24" xfId="1" applyFill="1" applyBorder="1"/>
    <xf numFmtId="167" fontId="1" fillId="6" borderId="0" xfId="1" applyFill="1" applyBorder="1" applyAlignment="1">
      <alignment vertical="center"/>
    </xf>
    <xf numFmtId="167" fontId="7" fillId="14" borderId="2" xfId="1" applyFont="1" applyFill="1" applyBorder="1"/>
    <xf numFmtId="49" fontId="0" fillId="13" borderId="25" xfId="1" applyNumberFormat="1" applyFont="1" applyFill="1" applyBorder="1" applyAlignment="1">
      <alignment vertical="center"/>
    </xf>
    <xf numFmtId="167" fontId="1" fillId="0" borderId="20" xfId="1" applyBorder="1" applyAlignment="1">
      <alignment horizontal="left" vertical="center"/>
    </xf>
    <xf numFmtId="167" fontId="7" fillId="0" borderId="20" xfId="1" applyFont="1" applyFill="1" applyBorder="1"/>
    <xf numFmtId="167" fontId="1" fillId="11" borderId="26" xfId="1" applyFill="1" applyBorder="1" applyAlignment="1">
      <alignment horizontal="left" vertical="center"/>
    </xf>
    <xf numFmtId="0" fontId="1" fillId="11" borderId="27" xfId="1" applyNumberFormat="1" applyFill="1" applyBorder="1" applyAlignment="1">
      <alignment horizontal="center" vertical="center"/>
    </xf>
    <xf numFmtId="0" fontId="0" fillId="9" borderId="11" xfId="1" applyNumberFormat="1" applyFont="1" applyFill="1" applyBorder="1" applyAlignment="1">
      <alignment horizontal="center" vertical="center"/>
    </xf>
    <xf numFmtId="49" fontId="0" fillId="9" borderId="11" xfId="1" applyNumberFormat="1" applyFont="1" applyFill="1" applyBorder="1" applyAlignment="1">
      <alignment horizontal="center" vertical="center"/>
    </xf>
    <xf numFmtId="168" fontId="1" fillId="0" borderId="28" xfId="1" applyNumberFormat="1" applyFill="1" applyBorder="1" applyAlignment="1">
      <alignment horizontal="center" vertical="center"/>
    </xf>
    <xf numFmtId="49" fontId="1" fillId="0" borderId="28" xfId="1" applyNumberFormat="1" applyFill="1" applyBorder="1" applyAlignment="1">
      <alignment horizontal="center" vertical="center"/>
    </xf>
    <xf numFmtId="167" fontId="1" fillId="0" borderId="28" xfId="1" applyFill="1" applyBorder="1" applyAlignment="1">
      <alignment horizontal="left" vertical="center"/>
    </xf>
    <xf numFmtId="49" fontId="0" fillId="2" borderId="28" xfId="1" applyNumberFormat="1" applyFont="1" applyFill="1" applyBorder="1" applyAlignment="1">
      <alignment vertical="center"/>
    </xf>
    <xf numFmtId="49" fontId="1" fillId="0" borderId="29" xfId="1" applyNumberFormat="1" applyBorder="1" applyAlignment="1">
      <alignment horizontal="center" vertical="center"/>
    </xf>
    <xf numFmtId="49" fontId="1" fillId="11" borderId="30" xfId="1" applyNumberFormat="1" applyFill="1" applyBorder="1" applyAlignment="1">
      <alignment horizontal="center" vertical="center"/>
    </xf>
    <xf numFmtId="167" fontId="7" fillId="0" borderId="28" xfId="1" applyFont="1" applyFill="1" applyBorder="1" applyAlignment="1">
      <alignment vertical="center"/>
    </xf>
    <xf numFmtId="167" fontId="7" fillId="0" borderId="31" xfId="1" applyFont="1" applyFill="1" applyBorder="1" applyAlignment="1">
      <alignment vertical="center"/>
    </xf>
    <xf numFmtId="167" fontId="0" fillId="0" borderId="29" xfId="1" applyFont="1" applyFill="1" applyBorder="1" applyAlignment="1">
      <alignment vertical="center"/>
    </xf>
    <xf numFmtId="167" fontId="0" fillId="8" borderId="28" xfId="1" applyFont="1" applyFill="1" applyBorder="1" applyAlignment="1">
      <alignment vertical="center"/>
    </xf>
    <xf numFmtId="168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7" fontId="7" fillId="0" borderId="11" xfId="1" applyFont="1" applyFill="1" applyBorder="1" applyAlignment="1">
      <alignment vertical="center"/>
    </xf>
    <xf numFmtId="49" fontId="0" fillId="13" borderId="32" xfId="1" applyNumberFormat="1" applyFont="1" applyFill="1" applyBorder="1" applyAlignment="1">
      <alignment vertical="center"/>
    </xf>
    <xf numFmtId="167" fontId="1" fillId="0" borderId="3" xfId="1" applyBorder="1" applyAlignment="1">
      <alignment horizontal="left" vertical="center"/>
    </xf>
    <xf numFmtId="167" fontId="0" fillId="0" borderId="15" xfId="1" applyFont="1" applyFill="1" applyBorder="1"/>
    <xf numFmtId="167" fontId="7" fillId="0" borderId="3" xfId="1" applyFont="1" applyFill="1" applyBorder="1"/>
    <xf numFmtId="167" fontId="7" fillId="0" borderId="11" xfId="1" applyFont="1" applyFill="1" applyBorder="1"/>
    <xf numFmtId="49" fontId="1" fillId="0" borderId="28" xfId="1" applyNumberFormat="1" applyBorder="1" applyAlignment="1">
      <alignment horizontal="center" vertical="center"/>
    </xf>
    <xf numFmtId="167" fontId="15" fillId="0" borderId="33" xfId="8" applyFont="1" applyBorder="1"/>
    <xf numFmtId="49" fontId="15" fillId="0" borderId="0" xfId="8" applyNumberFormat="1" applyFont="1"/>
    <xf numFmtId="167" fontId="1" fillId="0" borderId="0" xfId="8"/>
    <xf numFmtId="49" fontId="1" fillId="0" borderId="0" xfId="8" applyNumberFormat="1" applyAlignment="1">
      <alignment horizontal="right"/>
    </xf>
    <xf numFmtId="170" fontId="1" fillId="0" borderId="0" xfId="9" applyNumberFormat="1"/>
    <xf numFmtId="167" fontId="2" fillId="0" borderId="33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7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7" fontId="15" fillId="0" borderId="0" xfId="8" applyFont="1"/>
    <xf numFmtId="49" fontId="15" fillId="0" borderId="0" xfId="8" applyNumberFormat="1" applyFont="1" applyAlignment="1">
      <alignment horizontal="right"/>
    </xf>
    <xf numFmtId="170" fontId="15" fillId="0" borderId="0" xfId="9" applyNumberFormat="1" applyFont="1"/>
    <xf numFmtId="167" fontId="0" fillId="2" borderId="0" xfId="8" applyFont="1" applyFill="1"/>
    <xf numFmtId="49" fontId="0" fillId="2" borderId="0" xfId="8" applyNumberFormat="1" applyFont="1" applyFill="1"/>
    <xf numFmtId="167" fontId="0" fillId="0" borderId="0" xfId="10" applyFont="1" applyAlignment="1">
      <alignment vertical="top"/>
    </xf>
    <xf numFmtId="167" fontId="1" fillId="0" borderId="0" xfId="8" applyAlignment="1">
      <alignment vertical="center"/>
    </xf>
    <xf numFmtId="167" fontId="0" fillId="0" borderId="0" xfId="8" applyFont="1"/>
    <xf numFmtId="49" fontId="0" fillId="0" borderId="0" xfId="8" applyNumberFormat="1" applyFont="1" applyAlignment="1">
      <alignment horizontal="right"/>
    </xf>
    <xf numFmtId="167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7" fontId="0" fillId="0" borderId="0" xfId="10" applyFont="1" applyAlignment="1">
      <alignment vertical="center"/>
    </xf>
    <xf numFmtId="167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70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7" fontId="10" fillId="0" borderId="0" xfId="7"/>
    <xf numFmtId="49" fontId="1" fillId="2" borderId="0" xfId="8" applyNumberFormat="1" applyFill="1"/>
    <xf numFmtId="167" fontId="0" fillId="0" borderId="0" xfId="8" applyFont="1" applyFill="1"/>
    <xf numFmtId="167" fontId="1" fillId="0" borderId="0" xfId="11" applyAlignment="1">
      <alignment vertical="top"/>
    </xf>
    <xf numFmtId="167" fontId="0" fillId="7" borderId="0" xfId="8" applyFont="1" applyFill="1" applyAlignment="1">
      <alignment horizontal="center"/>
    </xf>
    <xf numFmtId="167" fontId="1" fillId="7" borderId="0" xfId="11" applyFill="1" applyAlignment="1">
      <alignment horizontal="center"/>
    </xf>
    <xf numFmtId="167" fontId="1" fillId="0" borderId="0" xfId="11" applyAlignment="1"/>
    <xf numFmtId="167" fontId="18" fillId="0" borderId="0" xfId="12" applyFont="1" applyAlignment="1">
      <alignment horizontal="center" vertical="center" wrapText="1"/>
    </xf>
    <xf numFmtId="167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70" fontId="0" fillId="0" borderId="0" xfId="9" applyNumberFormat="1" applyFont="1"/>
    <xf numFmtId="167" fontId="0" fillId="7" borderId="0" xfId="8" applyFont="1" applyFill="1"/>
    <xf numFmtId="167" fontId="0" fillId="18" borderId="0" xfId="8" applyFont="1" applyFill="1" applyAlignment="1">
      <alignment horizontal="center" wrapText="1"/>
    </xf>
    <xf numFmtId="167" fontId="2" fillId="7" borderId="0" xfId="8" applyFont="1" applyFill="1" applyAlignment="1">
      <alignment horizontal="center" vertical="center" wrapText="1"/>
    </xf>
    <xf numFmtId="167" fontId="2" fillId="7" borderId="0" xfId="8" applyFont="1" applyFill="1" applyAlignment="1">
      <alignment horizontal="center"/>
    </xf>
    <xf numFmtId="167" fontId="2" fillId="18" borderId="0" xfId="8" applyFont="1" applyFill="1" applyAlignment="1">
      <alignment horizontal="center" wrapText="1"/>
    </xf>
    <xf numFmtId="49" fontId="19" fillId="2" borderId="0" xfId="13" applyNumberFormat="1" applyFont="1" applyFill="1" applyAlignment="1">
      <alignment vertical="top"/>
    </xf>
    <xf numFmtId="49" fontId="9" fillId="0" borderId="0" xfId="12" applyNumberFormat="1" applyFont="1" applyFill="1" applyAlignment="1">
      <alignment wrapText="1"/>
    </xf>
    <xf numFmtId="167" fontId="19" fillId="2" borderId="0" xfId="13" applyFont="1" applyFill="1" applyAlignment="1">
      <alignment vertical="top"/>
    </xf>
    <xf numFmtId="167" fontId="0" fillId="0" borderId="0" xfId="8" applyFont="1" applyAlignment="1">
      <alignment vertical="center" wrapText="1"/>
    </xf>
    <xf numFmtId="167" fontId="1" fillId="0" borderId="0" xfId="8" applyAlignment="1">
      <alignment vertical="center" wrapText="1"/>
    </xf>
    <xf numFmtId="167" fontId="1" fillId="0" borderId="0" xfId="8" applyFill="1"/>
    <xf numFmtId="49" fontId="19" fillId="2" borderId="0" xfId="13" applyNumberFormat="1" applyFont="1" applyFill="1" applyAlignment="1">
      <alignment vertical="top" wrapText="1"/>
    </xf>
    <xf numFmtId="167" fontId="13" fillId="0" borderId="0" xfId="8" applyFont="1" applyAlignment="1">
      <alignment vertical="center" wrapText="1"/>
    </xf>
    <xf numFmtId="167" fontId="0" fillId="13" borderId="0" xfId="8" applyFont="1" applyFill="1"/>
    <xf numFmtId="167" fontId="0" fillId="19" borderId="0" xfId="8" applyFont="1" applyFill="1"/>
    <xf numFmtId="167" fontId="7" fillId="0" borderId="0" xfId="8" applyFont="1"/>
    <xf numFmtId="167" fontId="2" fillId="0" borderId="0" xfId="8" applyFont="1"/>
    <xf numFmtId="167" fontId="20" fillId="0" borderId="0" xfId="11" applyFont="1" applyAlignment="1">
      <alignment vertical="center"/>
    </xf>
    <xf numFmtId="167" fontId="1" fillId="0" borderId="0" xfId="11"/>
    <xf numFmtId="167" fontId="2" fillId="0" borderId="34" xfId="8" applyFont="1" applyBorder="1"/>
    <xf numFmtId="49" fontId="1" fillId="0" borderId="35" xfId="8" applyNumberFormat="1" applyBorder="1"/>
    <xf numFmtId="167" fontId="2" fillId="2" borderId="34" xfId="8" applyFont="1" applyFill="1" applyBorder="1"/>
    <xf numFmtId="167" fontId="2" fillId="0" borderId="35" xfId="8" applyFont="1" applyBorder="1"/>
    <xf numFmtId="167" fontId="1" fillId="0" borderId="35" xfId="8" applyBorder="1"/>
    <xf numFmtId="167" fontId="1" fillId="0" borderId="36" xfId="8" applyBorder="1"/>
    <xf numFmtId="167" fontId="0" fillId="2" borderId="11" xfId="8" applyFont="1" applyFill="1" applyBorder="1"/>
    <xf numFmtId="49" fontId="0" fillId="0" borderId="0" xfId="8" applyNumberFormat="1" applyFont="1" applyBorder="1"/>
    <xf numFmtId="167" fontId="1" fillId="2" borderId="11" xfId="8" applyFill="1" applyBorder="1"/>
    <xf numFmtId="167" fontId="1" fillId="0" borderId="0" xfId="8" applyBorder="1"/>
    <xf numFmtId="167" fontId="1" fillId="0" borderId="12" xfId="8" applyBorder="1"/>
    <xf numFmtId="167" fontId="0" fillId="0" borderId="0" xfId="8" applyFont="1" applyBorder="1"/>
    <xf numFmtId="167" fontId="0" fillId="2" borderId="8" xfId="8" applyFont="1" applyFill="1" applyBorder="1"/>
    <xf numFmtId="49" fontId="0" fillId="0" borderId="10" xfId="8" applyNumberFormat="1" applyFont="1" applyBorder="1"/>
    <xf numFmtId="167" fontId="1" fillId="2" borderId="8" xfId="8" applyFill="1" applyBorder="1"/>
    <xf numFmtId="167" fontId="0" fillId="0" borderId="9" xfId="8" applyFont="1" applyBorder="1"/>
    <xf numFmtId="167" fontId="1" fillId="0" borderId="9" xfId="8" applyBorder="1"/>
    <xf numFmtId="167" fontId="1" fillId="0" borderId="10" xfId="8" applyBorder="1"/>
    <xf numFmtId="14" fontId="1" fillId="0" borderId="0" xfId="11" applyNumberFormat="1"/>
    <xf numFmtId="167" fontId="1" fillId="0" borderId="0" xfId="11" applyNumberFormat="1"/>
    <xf numFmtId="49" fontId="1" fillId="0" borderId="0" xfId="11" applyNumberFormat="1"/>
    <xf numFmtId="172" fontId="2" fillId="2" borderId="1" xfId="14" applyNumberFormat="1" applyFont="1" applyFill="1" applyBorder="1" applyAlignment="1">
      <alignment horizontal="center"/>
    </xf>
    <xf numFmtId="0" fontId="8" fillId="0" borderId="0" xfId="14"/>
    <xf numFmtId="49" fontId="22" fillId="0" borderId="0" xfId="14" applyNumberFormat="1" applyFont="1"/>
    <xf numFmtId="49" fontId="7" fillId="3" borderId="0" xfId="11" applyNumberFormat="1" applyFont="1" applyFill="1" applyAlignment="1">
      <alignment horizontal="left" vertical="center"/>
    </xf>
    <xf numFmtId="49" fontId="8" fillId="20" borderId="26" xfId="15" applyNumberFormat="1" applyFont="1" applyFill="1" applyBorder="1" applyAlignment="1">
      <alignment horizontal="center"/>
    </xf>
    <xf numFmtId="171" fontId="24" fillId="20" borderId="37" xfId="16" applyNumberFormat="1" applyFont="1" applyFill="1" applyBorder="1" applyAlignment="1">
      <alignment horizontal="center"/>
    </xf>
    <xf numFmtId="0" fontId="8" fillId="22" borderId="1" xfId="14" applyFill="1" applyBorder="1" applyAlignment="1">
      <alignment horizontal="center" vertical="center"/>
    </xf>
    <xf numFmtId="0" fontId="0" fillId="22" borderId="1" xfId="14" applyFont="1" applyFill="1" applyBorder="1" applyAlignment="1">
      <alignment horizontal="center" vertical="center"/>
    </xf>
    <xf numFmtId="49" fontId="7" fillId="3" borderId="0" xfId="17" applyNumberFormat="1" applyFont="1" applyFill="1" applyAlignment="1">
      <alignment horizontal="left" vertical="center"/>
    </xf>
    <xf numFmtId="49" fontId="8" fillId="6" borderId="0" xfId="15" applyNumberFormat="1" applyFont="1" applyFill="1" applyAlignment="1">
      <alignment horizontal="center"/>
    </xf>
    <xf numFmtId="171" fontId="19" fillId="4" borderId="0" xfId="16" applyNumberFormat="1" applyFont="1" applyFill="1" applyAlignment="1">
      <alignment horizontal="center"/>
    </xf>
    <xf numFmtId="171" fontId="8" fillId="4" borderId="0" xfId="16" applyNumberFormat="1" applyFont="1" applyFill="1" applyAlignment="1">
      <alignment horizontal="center"/>
    </xf>
    <xf numFmtId="171" fontId="8" fillId="3" borderId="0" xfId="16" applyNumberFormat="1" applyFont="1" applyFill="1"/>
    <xf numFmtId="0" fontId="8" fillId="3" borderId="0" xfId="14" applyFill="1" applyAlignment="1">
      <alignment horizontal="center"/>
    </xf>
    <xf numFmtId="0" fontId="8" fillId="0" borderId="0" xfId="14" applyAlignment="1">
      <alignment horizontal="center"/>
    </xf>
    <xf numFmtId="0" fontId="8" fillId="0" borderId="0" xfId="14" applyAlignment="1"/>
    <xf numFmtId="2" fontId="8" fillId="0" borderId="0" xfId="14" applyNumberFormat="1"/>
    <xf numFmtId="1" fontId="8" fillId="0" borderId="0" xfId="14" applyNumberFormat="1"/>
    <xf numFmtId="0" fontId="8" fillId="0" borderId="0" xfId="14" applyAlignment="1">
      <alignment horizontal="center" vertical="center"/>
    </xf>
    <xf numFmtId="0" fontId="8" fillId="0" borderId="0" xfId="14" applyAlignment="1">
      <alignment vertical="center"/>
    </xf>
    <xf numFmtId="2" fontId="8" fillId="0" borderId="0" xfId="14" applyNumberFormat="1" applyAlignment="1">
      <alignment vertical="center"/>
    </xf>
    <xf numFmtId="1" fontId="8" fillId="0" borderId="0" xfId="14" applyNumberFormat="1" applyAlignment="1">
      <alignment vertical="center"/>
    </xf>
    <xf numFmtId="0" fontId="26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/>
    </xf>
    <xf numFmtId="0" fontId="26" fillId="0" borderId="0" xfId="14" applyFont="1" applyFill="1" applyAlignment="1">
      <alignment horizontal="center" vertical="center" wrapText="1"/>
    </xf>
    <xf numFmtId="0" fontId="19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3" fontId="1" fillId="0" borderId="0" xfId="18" applyNumberFormat="1"/>
    <xf numFmtId="167" fontId="29" fillId="0" borderId="0" xfId="19" applyFont="1" applyFill="1" applyAlignment="1">
      <alignment horizontal="right" vertical="top" wrapText="1"/>
    </xf>
    <xf numFmtId="4" fontId="30" fillId="0" borderId="0" xfId="19" applyNumberFormat="1" applyFont="1" applyFill="1" applyAlignment="1">
      <alignment horizontal="right" vertical="top"/>
    </xf>
    <xf numFmtId="4" fontId="30" fillId="0" borderId="0" xfId="19" applyNumberFormat="1" applyFont="1" applyFill="1" applyAlignment="1">
      <alignment vertical="top"/>
    </xf>
    <xf numFmtId="4" fontId="31" fillId="0" borderId="0" xfId="19" applyNumberFormat="1" applyFont="1" applyFill="1" applyAlignment="1">
      <alignment vertical="top"/>
    </xf>
    <xf numFmtId="3" fontId="32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39" xfId="18" applyFont="1" applyBorder="1" applyAlignment="1">
      <alignment horizontal="right"/>
    </xf>
    <xf numFmtId="9" fontId="5" fillId="0" borderId="40" xfId="21" applyFont="1" applyBorder="1" applyAlignment="1">
      <alignment horizontal="center" vertical="center"/>
    </xf>
    <xf numFmtId="9" fontId="5" fillId="2" borderId="38" xfId="21" applyFont="1" applyFill="1" applyBorder="1" applyAlignment="1">
      <alignment horizontal="center" vertical="center"/>
    </xf>
    <xf numFmtId="174" fontId="33" fillId="0" borderId="1" xfId="22" applyNumberFormat="1" applyFont="1" applyFill="1" applyBorder="1" applyAlignment="1">
      <alignment horizontal="center" vertical="top"/>
    </xf>
    <xf numFmtId="174" fontId="33" fillId="2" borderId="1" xfId="22" applyNumberFormat="1" applyFont="1" applyFill="1" applyBorder="1" applyAlignment="1">
      <alignment horizontal="center" vertical="top"/>
    </xf>
    <xf numFmtId="49" fontId="19" fillId="2" borderId="0" xfId="15" applyNumberFormat="1" applyFont="1" applyFill="1" applyAlignment="1">
      <alignment horizontal="center" vertical="center" textRotation="90" wrapText="1"/>
    </xf>
    <xf numFmtId="167" fontId="34" fillId="23" borderId="0" xfId="15" applyFont="1" applyFill="1" applyAlignment="1">
      <alignment horizontal="center" vertical="center" textRotation="90" wrapText="1"/>
    </xf>
    <xf numFmtId="167" fontId="19" fillId="18" borderId="0" xfId="15" applyFont="1" applyFill="1" applyAlignment="1">
      <alignment horizontal="center" vertical="center" textRotation="90" wrapText="1"/>
    </xf>
    <xf numFmtId="167" fontId="25" fillId="9" borderId="1" xfId="23" applyFont="1" applyFill="1" applyBorder="1" applyAlignment="1">
      <alignment horizontal="center" vertical="center" textRotation="90"/>
    </xf>
    <xf numFmtId="4" fontId="25" fillId="24" borderId="1" xfId="23" applyNumberFormat="1" applyFont="1" applyFill="1" applyBorder="1" applyAlignment="1">
      <alignment horizontal="center" vertical="center" textRotation="90" wrapText="1"/>
    </xf>
    <xf numFmtId="167" fontId="35" fillId="23" borderId="1" xfId="23" applyFont="1" applyFill="1" applyBorder="1" applyAlignment="1">
      <alignment horizontal="center" vertical="center" textRotation="90"/>
    </xf>
    <xf numFmtId="167" fontId="25" fillId="3" borderId="41" xfId="23" applyFont="1" applyFill="1" applyBorder="1" applyAlignment="1">
      <alignment horizontal="center" vertical="center" textRotation="90"/>
    </xf>
    <xf numFmtId="0" fontId="25" fillId="0" borderId="1" xfId="24" applyFont="1" applyBorder="1" applyAlignment="1">
      <alignment horizontal="center" vertical="center" wrapText="1"/>
    </xf>
    <xf numFmtId="49" fontId="25" fillId="0" borderId="1" xfId="24" applyNumberFormat="1" applyFont="1" applyBorder="1" applyAlignment="1">
      <alignment horizontal="center" vertical="center" wrapText="1"/>
    </xf>
    <xf numFmtId="173" fontId="25" fillId="0" borderId="1" xfId="24" applyNumberFormat="1" applyFont="1" applyBorder="1" applyAlignment="1">
      <alignment horizontal="center" vertical="center" wrapText="1"/>
    </xf>
    <xf numFmtId="4" fontId="25" fillId="0" borderId="1" xfId="24" applyNumberFormat="1" applyFont="1" applyBorder="1" applyAlignment="1">
      <alignment horizontal="center" vertical="center" wrapText="1"/>
    </xf>
    <xf numFmtId="49" fontId="37" fillId="2" borderId="0" xfId="25" applyNumberFormat="1" applyFont="1" applyFill="1" applyAlignment="1">
      <alignment horizontal="center"/>
    </xf>
    <xf numFmtId="167" fontId="37" fillId="25" borderId="0" xfId="25" applyFont="1" applyFill="1"/>
    <xf numFmtId="167" fontId="37" fillId="25" borderId="0" xfId="25" applyFont="1" applyFill="1" applyAlignment="1">
      <alignment horizontal="center"/>
    </xf>
    <xf numFmtId="175" fontId="37" fillId="25" borderId="0" xfId="16" applyNumberFormat="1" applyFont="1" applyFill="1" applyAlignment="1">
      <alignment horizontal="center"/>
    </xf>
    <xf numFmtId="167" fontId="19" fillId="25" borderId="0" xfId="23" applyFont="1" applyFill="1" applyAlignment="1">
      <alignment horizontal="center" vertical="top"/>
    </xf>
    <xf numFmtId="167" fontId="19" fillId="25" borderId="0" xfId="23" applyFont="1" applyFill="1"/>
    <xf numFmtId="1" fontId="19" fillId="25" borderId="0" xfId="10" applyNumberFormat="1" applyFont="1" applyFill="1"/>
    <xf numFmtId="167" fontId="19" fillId="25" borderId="0" xfId="23" applyFont="1" applyFill="1" applyBorder="1" applyAlignment="1">
      <alignment horizontal="left" vertical="top"/>
    </xf>
    <xf numFmtId="0" fontId="19" fillId="25" borderId="0" xfId="24" applyFont="1" applyFill="1" applyAlignment="1">
      <alignment vertical="top"/>
    </xf>
    <xf numFmtId="49" fontId="19" fillId="25" borderId="0" xfId="24" applyNumberFormat="1" applyFont="1" applyFill="1" applyAlignment="1">
      <alignment vertical="top"/>
    </xf>
    <xf numFmtId="173" fontId="19" fillId="25" borderId="0" xfId="24" applyNumberFormat="1" applyFont="1" applyFill="1" applyAlignment="1">
      <alignment vertical="top"/>
    </xf>
    <xf numFmtId="4" fontId="19" fillId="25" borderId="0" xfId="24" applyNumberFormat="1" applyFont="1" applyFill="1" applyAlignment="1">
      <alignment vertical="top"/>
    </xf>
    <xf numFmtId="0" fontId="19" fillId="25" borderId="0" xfId="24" applyFont="1" applyFill="1" applyAlignment="1">
      <alignment horizontal="left" vertical="top" wrapText="1"/>
    </xf>
    <xf numFmtId="14" fontId="8" fillId="0" borderId="0" xfId="14" applyNumberFormat="1"/>
    <xf numFmtId="49" fontId="37" fillId="0" borderId="0" xfId="25" applyNumberFormat="1" applyFont="1" applyFill="1" applyAlignment="1">
      <alignment horizontal="center"/>
    </xf>
    <xf numFmtId="167" fontId="37" fillId="9" borderId="34" xfId="25" applyFont="1" applyFill="1" applyBorder="1" applyAlignment="1">
      <alignment horizontal="left"/>
    </xf>
    <xf numFmtId="175" fontId="37" fillId="9" borderId="36" xfId="16" applyNumberFormat="1" applyFont="1" applyFill="1" applyBorder="1" applyAlignment="1">
      <alignment horizontal="center"/>
    </xf>
    <xf numFmtId="9" fontId="37" fillId="9" borderId="36" xfId="22" applyFont="1" applyFill="1" applyBorder="1"/>
    <xf numFmtId="167" fontId="19" fillId="0" borderId="0" xfId="23" applyFont="1"/>
    <xf numFmtId="167" fontId="19" fillId="0" borderId="0" xfId="23" applyFont="1" applyFill="1" applyAlignment="1">
      <alignment horizontal="center"/>
    </xf>
    <xf numFmtId="167" fontId="19" fillId="0" borderId="0" xfId="10" applyFont="1" applyFill="1"/>
    <xf numFmtId="167" fontId="19" fillId="0" borderId="0" xfId="26" applyFont="1"/>
    <xf numFmtId="3" fontId="19" fillId="9" borderId="41" xfId="17" applyNumberFormat="1" applyFont="1" applyFill="1" applyBorder="1" applyAlignment="1">
      <alignment vertical="top"/>
    </xf>
    <xf numFmtId="49" fontId="19" fillId="9" borderId="35" xfId="26" applyNumberFormat="1" applyFont="1" applyFill="1" applyBorder="1"/>
    <xf numFmtId="174" fontId="19" fillId="9" borderId="36" xfId="22" applyNumberFormat="1" applyFont="1" applyFill="1" applyBorder="1" applyAlignment="1">
      <alignment horizontal="center"/>
    </xf>
    <xf numFmtId="167" fontId="19" fillId="0" borderId="0" xfId="17" applyFont="1" applyFill="1" applyAlignment="1">
      <alignment vertical="top"/>
    </xf>
    <xf numFmtId="0" fontId="8" fillId="0" borderId="0" xfId="24" applyAlignment="1">
      <alignment vertical="top"/>
    </xf>
    <xf numFmtId="49" fontId="8" fillId="0" borderId="0" xfId="24" applyNumberFormat="1" applyAlignment="1">
      <alignment vertical="top"/>
    </xf>
    <xf numFmtId="3" fontId="38" fillId="0" borderId="0" xfId="24" applyNumberFormat="1" applyFont="1" applyAlignment="1">
      <alignment vertical="top"/>
    </xf>
    <xf numFmtId="0" fontId="8" fillId="0" borderId="0" xfId="24" applyAlignment="1">
      <alignment horizontal="left" vertical="top" wrapText="1"/>
    </xf>
    <xf numFmtId="0" fontId="8" fillId="0" borderId="0" xfId="24"/>
    <xf numFmtId="167" fontId="37" fillId="15" borderId="11" xfId="25" applyFont="1" applyFill="1" applyBorder="1" applyAlignment="1">
      <alignment horizontal="left"/>
    </xf>
    <xf numFmtId="175" fontId="37" fillId="15" borderId="12" xfId="16" applyNumberFormat="1" applyFont="1" applyFill="1" applyBorder="1" applyAlignment="1">
      <alignment horizontal="center"/>
    </xf>
    <xf numFmtId="9" fontId="37" fillId="15" borderId="12" xfId="22" applyFont="1" applyFill="1" applyBorder="1"/>
    <xf numFmtId="3" fontId="19" fillId="15" borderId="42" xfId="17" applyNumberFormat="1" applyFont="1" applyFill="1" applyBorder="1" applyAlignment="1">
      <alignment vertical="top"/>
    </xf>
    <xf numFmtId="49" fontId="19" fillId="15" borderId="0" xfId="26" applyNumberFormat="1" applyFont="1" applyFill="1" applyBorder="1"/>
    <xf numFmtId="174" fontId="19" fillId="15" borderId="12" xfId="22" applyNumberFormat="1" applyFont="1" applyFill="1" applyBorder="1" applyAlignment="1">
      <alignment horizontal="center"/>
    </xf>
    <xf numFmtId="49" fontId="8" fillId="0" borderId="0" xfId="24" applyNumberFormat="1"/>
    <xf numFmtId="4" fontId="8" fillId="0" borderId="0" xfId="24" applyNumberFormat="1"/>
    <xf numFmtId="0" fontId="8" fillId="0" borderId="0" xfId="24" applyAlignment="1">
      <alignment horizontal="left" wrapText="1"/>
    </xf>
    <xf numFmtId="167" fontId="37" fillId="13" borderId="11" xfId="25" applyFont="1" applyFill="1" applyBorder="1" applyAlignment="1">
      <alignment horizontal="left"/>
    </xf>
    <xf numFmtId="175" fontId="37" fillId="13" borderId="12" xfId="16" applyNumberFormat="1" applyFont="1" applyFill="1" applyBorder="1" applyAlignment="1">
      <alignment horizontal="center"/>
    </xf>
    <xf numFmtId="9" fontId="37" fillId="13" borderId="12" xfId="22" applyFont="1" applyFill="1" applyBorder="1"/>
    <xf numFmtId="3" fontId="19" fillId="13" borderId="42" xfId="17" applyNumberFormat="1" applyFont="1" applyFill="1" applyBorder="1" applyAlignment="1">
      <alignment vertical="top"/>
    </xf>
    <xf numFmtId="49" fontId="19" fillId="13" borderId="0" xfId="26" applyNumberFormat="1" applyFont="1" applyFill="1" applyBorder="1"/>
    <xf numFmtId="174" fontId="19" fillId="13" borderId="12" xfId="22" applyNumberFormat="1" applyFont="1" applyFill="1" applyBorder="1" applyAlignment="1">
      <alignment horizontal="center"/>
    </xf>
    <xf numFmtId="167" fontId="19" fillId="0" borderId="0" xfId="17" applyFont="1" applyFill="1"/>
    <xf numFmtId="167" fontId="37" fillId="26" borderId="11" xfId="25" applyFont="1" applyFill="1" applyBorder="1"/>
    <xf numFmtId="175" fontId="37" fillId="26" borderId="12" xfId="16" applyNumberFormat="1" applyFont="1" applyFill="1" applyBorder="1" applyAlignment="1">
      <alignment horizontal="center"/>
    </xf>
    <xf numFmtId="9" fontId="37" fillId="26" borderId="12" xfId="22" applyFont="1" applyFill="1" applyBorder="1"/>
    <xf numFmtId="3" fontId="19" fillId="26" borderId="42" xfId="17" applyNumberFormat="1" applyFont="1" applyFill="1" applyBorder="1" applyAlignment="1">
      <alignment vertical="top"/>
    </xf>
    <xf numFmtId="49" fontId="19" fillId="26" borderId="0" xfId="26" applyNumberFormat="1" applyFont="1" applyFill="1" applyBorder="1"/>
    <xf numFmtId="174" fontId="19" fillId="26" borderId="12" xfId="22" applyNumberFormat="1" applyFont="1" applyFill="1" applyBorder="1" applyAlignment="1">
      <alignment horizontal="center"/>
    </xf>
    <xf numFmtId="49" fontId="37" fillId="0" borderId="0" xfId="25" applyNumberFormat="1" applyFont="1" applyFill="1" applyAlignment="1">
      <alignment horizontal="center" vertical="center"/>
    </xf>
    <xf numFmtId="167" fontId="39" fillId="2" borderId="39" xfId="25" applyFont="1" applyFill="1" applyBorder="1" applyAlignment="1">
      <alignment horizontal="left" vertical="center"/>
    </xf>
    <xf numFmtId="175" fontId="39" fillId="2" borderId="43" xfId="16" applyNumberFormat="1" applyFont="1" applyFill="1" applyBorder="1" applyAlignment="1">
      <alignment horizontal="center" vertical="center"/>
    </xf>
    <xf numFmtId="9" fontId="39" fillId="2" borderId="43" xfId="22" applyFont="1" applyFill="1" applyBorder="1" applyAlignment="1">
      <alignment vertical="center"/>
    </xf>
    <xf numFmtId="167" fontId="19" fillId="0" borderId="0" xfId="23" applyFont="1" applyAlignment="1">
      <alignment vertical="center"/>
    </xf>
    <xf numFmtId="167" fontId="19" fillId="0" borderId="0" xfId="23" applyFont="1" applyFill="1" applyAlignment="1">
      <alignment horizontal="center" vertical="center"/>
    </xf>
    <xf numFmtId="167" fontId="19" fillId="0" borderId="0" xfId="10" applyFont="1" applyFill="1" applyAlignment="1">
      <alignment vertical="center"/>
    </xf>
    <xf numFmtId="167" fontId="19" fillId="0" borderId="0" xfId="26" applyFont="1" applyAlignment="1">
      <alignment vertical="center"/>
    </xf>
    <xf numFmtId="3" fontId="39" fillId="2" borderId="44" xfId="17" applyNumberFormat="1" applyFont="1" applyFill="1" applyBorder="1" applyAlignment="1">
      <alignment vertical="center"/>
    </xf>
    <xf numFmtId="49" fontId="19" fillId="2" borderId="45" xfId="26" applyNumberFormat="1" applyFont="1" applyFill="1" applyBorder="1" applyAlignment="1">
      <alignment vertical="center"/>
    </xf>
    <xf numFmtId="174" fontId="39" fillId="2" borderId="46" xfId="22" applyNumberFormat="1" applyFont="1" applyFill="1" applyBorder="1" applyAlignment="1">
      <alignment horizontal="center" vertical="center"/>
    </xf>
    <xf numFmtId="167" fontId="19" fillId="0" borderId="0" xfId="17" applyFont="1" applyFill="1" applyAlignment="1">
      <alignment vertical="center"/>
    </xf>
    <xf numFmtId="167" fontId="37" fillId="0" borderId="0" xfId="25" applyFont="1"/>
    <xf numFmtId="175" fontId="37" fillId="0" borderId="0" xfId="16" applyNumberFormat="1" applyFont="1" applyBorder="1" applyAlignment="1">
      <alignment horizontal="center"/>
    </xf>
    <xf numFmtId="167" fontId="37" fillId="0" borderId="0" xfId="25" applyFont="1" applyFill="1" applyAlignment="1">
      <alignment horizontal="center"/>
    </xf>
    <xf numFmtId="3" fontId="19" fillId="0" borderId="0" xfId="17" applyNumberFormat="1" applyFont="1" applyAlignment="1">
      <alignment vertical="top"/>
    </xf>
    <xf numFmtId="49" fontId="19" fillId="0" borderId="0" xfId="26" applyNumberFormat="1" applyFont="1"/>
    <xf numFmtId="173" fontId="19" fillId="0" borderId="0" xfId="27" applyNumberFormat="1" applyFont="1"/>
    <xf numFmtId="0" fontId="8" fillId="0" borderId="0" xfId="14" applyFont="1"/>
    <xf numFmtId="165" fontId="8" fillId="0" borderId="0" xfId="16" applyFont="1" applyFill="1"/>
    <xf numFmtId="165" fontId="41" fillId="0" borderId="0" xfId="16" applyFont="1" applyFill="1"/>
    <xf numFmtId="175" fontId="1" fillId="3" borderId="0" xfId="28" applyNumberFormat="1" applyFill="1"/>
    <xf numFmtId="0" fontId="8" fillId="16" borderId="0" xfId="14" applyFill="1"/>
    <xf numFmtId="0" fontId="8" fillId="16" borderId="0" xfId="14" applyFill="1" applyAlignment="1">
      <alignment horizontal="center"/>
    </xf>
    <xf numFmtId="0" fontId="8" fillId="0" borderId="0" xfId="29"/>
    <xf numFmtId="49" fontId="22" fillId="0" borderId="0" xfId="29" applyNumberFormat="1" applyFont="1"/>
    <xf numFmtId="176" fontId="41" fillId="0" borderId="0" xfId="30" applyFont="1" applyFill="1"/>
    <xf numFmtId="175" fontId="8" fillId="3" borderId="0" xfId="16" applyNumberFormat="1" applyFill="1"/>
    <xf numFmtId="176" fontId="1" fillId="7" borderId="0" xfId="30" applyFill="1"/>
    <xf numFmtId="0" fontId="8" fillId="0" borderId="0" xfId="29" applyAlignment="1">
      <alignment horizontal="center"/>
    </xf>
    <xf numFmtId="165" fontId="2" fillId="6" borderId="41" xfId="16" applyNumberFormat="1" applyFont="1" applyFill="1" applyBorder="1" applyAlignment="1">
      <alignment horizontal="center"/>
    </xf>
    <xf numFmtId="176" fontId="1" fillId="0" borderId="0" xfId="30" applyFill="1" applyAlignment="1">
      <alignment horizontal="left" indent="2"/>
    </xf>
    <xf numFmtId="167" fontId="13" fillId="0" borderId="0" xfId="11" applyFont="1"/>
    <xf numFmtId="176" fontId="0" fillId="13" borderId="34" xfId="31" applyFont="1" applyFill="1" applyBorder="1" applyAlignment="1">
      <alignment horizontal="right"/>
    </xf>
    <xf numFmtId="177" fontId="5" fillId="13" borderId="36" xfId="32" applyNumberFormat="1" applyFont="1" applyFill="1" applyBorder="1" applyAlignment="1"/>
    <xf numFmtId="175" fontId="2" fillId="6" borderId="50" xfId="16" applyNumberFormat="1" applyFont="1" applyFill="1" applyBorder="1" applyAlignment="1">
      <alignment horizontal="center"/>
    </xf>
    <xf numFmtId="176" fontId="1" fillId="13" borderId="8" xfId="31" applyFill="1" applyBorder="1"/>
    <xf numFmtId="175" fontId="8" fillId="13" borderId="10" xfId="16" applyNumberFormat="1" applyFill="1" applyBorder="1" applyAlignment="1">
      <alignment horizontal="left" indent="1"/>
    </xf>
    <xf numFmtId="176" fontId="1" fillId="7" borderId="0" xfId="31" applyFill="1"/>
    <xf numFmtId="0" fontId="8" fillId="27" borderId="0" xfId="29" applyFill="1"/>
    <xf numFmtId="0" fontId="8" fillId="13" borderId="0" xfId="29" applyFill="1"/>
    <xf numFmtId="175" fontId="2" fillId="6" borderId="1" xfId="16" applyNumberFormat="1" applyFont="1" applyFill="1" applyBorder="1" applyAlignment="1">
      <alignment horizontal="center"/>
    </xf>
    <xf numFmtId="0" fontId="23" fillId="0" borderId="0" xfId="29" applyFont="1"/>
    <xf numFmtId="167" fontId="43" fillId="8" borderId="51" xfId="33" applyFont="1" applyFill="1" applyBorder="1" applyAlignment="1">
      <alignment horizontal="center" vertical="center" wrapText="1"/>
    </xf>
    <xf numFmtId="167" fontId="44" fillId="8" borderId="51" xfId="33" applyFont="1" applyFill="1" applyBorder="1" applyAlignment="1">
      <alignment horizontal="center" vertical="center" wrapText="1"/>
    </xf>
    <xf numFmtId="167" fontId="44" fillId="8" borderId="51" xfId="33" applyFont="1" applyFill="1" applyBorder="1" applyAlignment="1">
      <alignment vertical="center" wrapText="1"/>
    </xf>
    <xf numFmtId="49" fontId="44" fillId="8" borderId="51" xfId="33" applyNumberFormat="1" applyFont="1" applyFill="1" applyBorder="1" applyAlignment="1">
      <alignment horizontal="center" vertical="center" wrapText="1"/>
    </xf>
    <xf numFmtId="167" fontId="42" fillId="0" borderId="51" xfId="33" applyFont="1" applyBorder="1" applyAlignment="1">
      <alignment vertical="center" wrapText="1"/>
    </xf>
    <xf numFmtId="167" fontId="45" fillId="0" borderId="51" xfId="33" applyFont="1" applyBorder="1" applyAlignment="1">
      <alignment horizontal="center" vertical="center" wrapText="1"/>
    </xf>
    <xf numFmtId="167" fontId="46" fillId="0" borderId="51" xfId="33" applyFont="1" applyBorder="1" applyAlignment="1">
      <alignment horizontal="center" vertical="center" wrapText="1"/>
    </xf>
    <xf numFmtId="167" fontId="42" fillId="0" borderId="51" xfId="33" applyBorder="1" applyAlignment="1">
      <alignment horizontal="center" vertical="center" wrapText="1"/>
    </xf>
    <xf numFmtId="0" fontId="47" fillId="28" borderId="51" xfId="34" applyFont="1" applyFill="1" applyBorder="1" applyAlignment="1">
      <alignment horizontal="center" vertical="center" wrapText="1"/>
    </xf>
    <xf numFmtId="167" fontId="42" fillId="29" borderId="51" xfId="33" applyFill="1" applyBorder="1" applyAlignment="1">
      <alignment horizontal="center" vertical="center" wrapText="1"/>
    </xf>
    <xf numFmtId="167" fontId="42" fillId="0" borderId="51" xfId="33" applyBorder="1" applyAlignment="1">
      <alignment horizontal="left" vertical="center" wrapText="1"/>
    </xf>
    <xf numFmtId="169" fontId="45" fillId="0" borderId="51" xfId="33" applyNumberFormat="1" applyFont="1" applyBorder="1" applyAlignment="1">
      <alignment horizontal="center" vertical="center" wrapText="1"/>
    </xf>
    <xf numFmtId="167" fontId="48" fillId="0" borderId="51" xfId="33" applyFont="1" applyBorder="1" applyAlignment="1">
      <alignment horizontal="center" vertical="center" wrapText="1"/>
    </xf>
    <xf numFmtId="168" fontId="42" fillId="0" borderId="51" xfId="33" applyNumberFormat="1" applyBorder="1" applyAlignment="1">
      <alignment horizontal="center" vertical="center" wrapText="1"/>
    </xf>
    <xf numFmtId="167" fontId="42" fillId="0" borderId="0" xfId="33" applyAlignment="1">
      <alignment horizontal="left" vertical="center" wrapText="1"/>
    </xf>
    <xf numFmtId="169" fontId="42" fillId="0" borderId="51" xfId="33" applyNumberFormat="1" applyBorder="1" applyAlignment="1">
      <alignment horizontal="center" vertical="center" wrapText="1"/>
    </xf>
    <xf numFmtId="167" fontId="49" fillId="0" borderId="51" xfId="33" applyFont="1" applyBorder="1" applyAlignment="1">
      <alignment horizontal="center" vertical="center" wrapText="1"/>
    </xf>
    <xf numFmtId="167" fontId="42" fillId="0" borderId="51" xfId="33" applyBorder="1" applyAlignment="1">
      <alignment vertical="center" wrapText="1"/>
    </xf>
    <xf numFmtId="0" fontId="8" fillId="8" borderId="0" xfId="14" applyFill="1"/>
    <xf numFmtId="0" fontId="8" fillId="7" borderId="0" xfId="14" applyFill="1"/>
    <xf numFmtId="14" fontId="13" fillId="0" borderId="0" xfId="35" applyNumberFormat="1" applyFont="1" applyAlignment="1">
      <alignment horizontal="left" wrapText="1"/>
    </xf>
    <xf numFmtId="171" fontId="19" fillId="4" borderId="0" xfId="16" applyNumberFormat="1" applyFont="1" applyFill="1" applyAlignment="1">
      <alignment horizontal="left"/>
    </xf>
    <xf numFmtId="0" fontId="8" fillId="9" borderId="0" xfId="14" applyFill="1" applyAlignment="1">
      <alignment horizontal="center"/>
    </xf>
    <xf numFmtId="0" fontId="27" fillId="0" borderId="0" xfId="14" applyFont="1" applyAlignment="1">
      <alignment horizontal="center"/>
    </xf>
    <xf numFmtId="165" fontId="7" fillId="16" borderId="47" xfId="11" applyNumberFormat="1" applyFont="1" applyFill="1" applyBorder="1" applyAlignment="1">
      <alignment horizontal="center" vertical="center"/>
    </xf>
    <xf numFmtId="49" fontId="50" fillId="16" borderId="52" xfId="11" applyNumberFormat="1" applyFont="1" applyFill="1" applyBorder="1" applyAlignment="1">
      <alignment horizontal="center" vertical="center"/>
    </xf>
    <xf numFmtId="167" fontId="43" fillId="8" borderId="51" xfId="33" applyFont="1" applyFill="1" applyBorder="1" applyAlignment="1">
      <alignment vertical="center" wrapText="1"/>
    </xf>
    <xf numFmtId="167" fontId="43" fillId="30" borderId="51" xfId="33" applyFont="1" applyFill="1" applyBorder="1" applyAlignment="1">
      <alignment horizontal="center" vertical="center" wrapText="1"/>
    </xf>
    <xf numFmtId="167" fontId="51" fillId="30" borderId="51" xfId="33" applyFont="1" applyFill="1" applyBorder="1" applyAlignment="1">
      <alignment horizontal="center" vertical="center" wrapText="1"/>
    </xf>
    <xf numFmtId="167" fontId="52" fillId="30" borderId="51" xfId="33" applyFont="1" applyFill="1" applyBorder="1" applyAlignment="1">
      <alignment horizontal="center" vertical="center" wrapText="1"/>
    </xf>
    <xf numFmtId="165" fontId="7" fillId="16" borderId="48" xfId="11" applyNumberFormat="1" applyFont="1" applyFill="1" applyBorder="1" applyAlignment="1">
      <alignment horizontal="center" vertical="center"/>
    </xf>
    <xf numFmtId="0" fontId="8" fillId="7" borderId="0" xfId="14" applyFill="1" applyAlignment="1"/>
    <xf numFmtId="0" fontId="8" fillId="0" borderId="0" xfId="14" applyFont="1" applyAlignment="1">
      <alignment wrapText="1"/>
    </xf>
    <xf numFmtId="0" fontId="27" fillId="0" borderId="0" xfId="14" applyFont="1" applyAlignment="1">
      <alignment horizontal="center" wrapText="1"/>
    </xf>
    <xf numFmtId="0" fontId="27" fillId="11" borderId="0" xfId="14" applyFont="1" applyFill="1" applyAlignment="1">
      <alignment horizontal="center" wrapText="1"/>
    </xf>
    <xf numFmtId="167" fontId="53" fillId="0" borderId="0" xfId="11" applyFont="1"/>
    <xf numFmtId="14" fontId="2" fillId="2" borderId="1" xfId="11" applyNumberFormat="1" applyFont="1" applyFill="1" applyBorder="1" applyAlignment="1">
      <alignment horizontal="center"/>
    </xf>
    <xf numFmtId="167" fontId="21" fillId="0" borderId="0" xfId="11" applyFont="1"/>
    <xf numFmtId="171" fontId="1" fillId="9" borderId="0" xfId="11" applyNumberFormat="1" applyFill="1"/>
    <xf numFmtId="0" fontId="8" fillId="13" borderId="0" xfId="14" applyFill="1"/>
    <xf numFmtId="0" fontId="8" fillId="13" borderId="0" xfId="14" applyFill="1" applyAlignment="1">
      <alignment horizontal="center"/>
    </xf>
    <xf numFmtId="49" fontId="0" fillId="9" borderId="1" xfId="11" applyNumberFormat="1" applyFont="1" applyFill="1" applyBorder="1" applyAlignment="1">
      <alignment horizontal="center" vertical="center"/>
    </xf>
    <xf numFmtId="167" fontId="0" fillId="9" borderId="1" xfId="11" applyFont="1" applyFill="1" applyBorder="1" applyAlignment="1">
      <alignment horizontal="center" vertical="center"/>
    </xf>
    <xf numFmtId="49" fontId="1" fillId="9" borderId="1" xfId="11" applyNumberFormat="1" applyFill="1" applyBorder="1" applyAlignment="1">
      <alignment horizontal="center" vertical="center"/>
    </xf>
    <xf numFmtId="167" fontId="1" fillId="0" borderId="0" xfId="17"/>
    <xf numFmtId="49" fontId="1" fillId="0" borderId="0" xfId="11" applyNumberFormat="1" applyAlignment="1">
      <alignment horizontal="center"/>
    </xf>
    <xf numFmtId="167" fontId="19" fillId="0" borderId="0" xfId="36" applyFont="1" applyFill="1" applyAlignment="1">
      <alignment vertical="top"/>
    </xf>
    <xf numFmtId="49" fontId="19" fillId="0" borderId="0" xfId="36" applyNumberFormat="1" applyFont="1" applyFill="1" applyAlignment="1">
      <alignment vertical="top"/>
    </xf>
    <xf numFmtId="4" fontId="19" fillId="0" borderId="0" xfId="36" applyNumberFormat="1" applyFont="1" applyFill="1" applyAlignment="1">
      <alignment vertical="top"/>
    </xf>
    <xf numFmtId="49" fontId="1" fillId="13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7" fontId="1" fillId="2" borderId="0" xfId="11" applyFill="1"/>
    <xf numFmtId="167" fontId="1" fillId="0" borderId="0" xfId="11" applyAlignment="1">
      <alignment horizontal="center"/>
    </xf>
    <xf numFmtId="167" fontId="0" fillId="0" borderId="0" xfId="17" applyFont="1" applyFill="1" applyAlignment="1">
      <alignment horizontal="center" vertical="top"/>
    </xf>
    <xf numFmtId="167" fontId="19" fillId="0" borderId="0" xfId="36" applyFont="1" applyFill="1" applyAlignment="1">
      <alignment horizontal="center" vertical="top"/>
    </xf>
    <xf numFmtId="167" fontId="19" fillId="2" borderId="0" xfId="36" applyFont="1" applyFill="1" applyAlignment="1">
      <alignment horizontal="center" vertical="top"/>
    </xf>
    <xf numFmtId="167" fontId="1" fillId="0" borderId="0" xfId="17" applyFill="1" applyAlignment="1">
      <alignment vertical="top"/>
    </xf>
    <xf numFmtId="0" fontId="26" fillId="0" borderId="0" xfId="14" applyFont="1" applyAlignment="1">
      <alignment horizontal="center"/>
    </xf>
    <xf numFmtId="49" fontId="1" fillId="31" borderId="0" xfId="11" applyNumberFormat="1" applyFill="1" applyAlignment="1">
      <alignment horizontal="center"/>
    </xf>
    <xf numFmtId="167" fontId="1" fillId="31" borderId="0" xfId="11" applyFill="1"/>
    <xf numFmtId="167" fontId="19" fillId="31" borderId="0" xfId="36" applyFont="1" applyFill="1" applyAlignment="1">
      <alignment horizontal="center" vertical="top"/>
    </xf>
    <xf numFmtId="49" fontId="54" fillId="9" borderId="1" xfId="37" applyNumberFormat="1" applyFont="1" applyFill="1" applyBorder="1" applyAlignment="1">
      <alignment vertical="top"/>
    </xf>
    <xf numFmtId="167" fontId="54" fillId="6" borderId="1" xfId="37" applyFont="1" applyFill="1" applyBorder="1" applyAlignment="1">
      <alignment vertical="top"/>
    </xf>
    <xf numFmtId="167" fontId="54" fillId="9" borderId="1" xfId="37" applyFont="1" applyFill="1" applyBorder="1" applyAlignment="1">
      <alignment vertical="top"/>
    </xf>
    <xf numFmtId="167" fontId="54" fillId="23" borderId="1" xfId="37" applyFont="1" applyFill="1" applyBorder="1" applyAlignment="1">
      <alignment vertical="top"/>
    </xf>
    <xf numFmtId="49" fontId="54" fillId="9" borderId="1" xfId="37" applyNumberFormat="1" applyFont="1" applyFill="1" applyBorder="1" applyAlignment="1">
      <alignment horizontal="right" vertical="top"/>
    </xf>
    <xf numFmtId="1" fontId="54" fillId="6" borderId="1" xfId="37" applyNumberFormat="1" applyFont="1" applyFill="1" applyBorder="1" applyAlignment="1">
      <alignment horizontal="right" vertical="top"/>
    </xf>
    <xf numFmtId="1" fontId="54" fillId="9" borderId="1" xfId="37" applyNumberFormat="1" applyFont="1" applyFill="1" applyBorder="1" applyAlignment="1">
      <alignment horizontal="right" vertical="top"/>
    </xf>
    <xf numFmtId="1" fontId="54" fillId="32" borderId="1" xfId="37" applyNumberFormat="1" applyFont="1" applyFill="1" applyBorder="1" applyAlignment="1">
      <alignment horizontal="right" vertical="top"/>
    </xf>
    <xf numFmtId="173" fontId="19" fillId="0" borderId="0" xfId="36" applyNumberFormat="1" applyFont="1" applyFill="1" applyAlignment="1">
      <alignment vertical="top"/>
    </xf>
    <xf numFmtId="167" fontId="1" fillId="7" borderId="0" xfId="17" applyFill="1" applyAlignment="1">
      <alignment vertical="top"/>
    </xf>
    <xf numFmtId="167" fontId="1" fillId="2" borderId="0" xfId="17" applyFill="1" applyAlignment="1">
      <alignment vertical="top"/>
    </xf>
    <xf numFmtId="167" fontId="2" fillId="23" borderId="0" xfId="17" applyFont="1" applyFill="1" applyAlignment="1">
      <alignment vertical="top"/>
    </xf>
    <xf numFmtId="167" fontId="1" fillId="0" borderId="0" xfId="17" applyAlignment="1">
      <alignment vertical="top"/>
    </xf>
    <xf numFmtId="167" fontId="0" fillId="27" borderId="0" xfId="17" applyFont="1" applyFill="1"/>
    <xf numFmtId="167" fontId="1" fillId="13" borderId="0" xfId="17" applyFill="1"/>
    <xf numFmtId="173" fontId="1" fillId="13" borderId="0" xfId="17" applyNumberFormat="1" applyFill="1"/>
    <xf numFmtId="167" fontId="1" fillId="33" borderId="0" xfId="17" applyFill="1"/>
    <xf numFmtId="49" fontId="7" fillId="2" borderId="0" xfId="11" applyNumberFormat="1" applyFont="1" applyFill="1" applyBorder="1" applyAlignment="1">
      <alignment horizontal="left" vertical="center"/>
    </xf>
    <xf numFmtId="167" fontId="1" fillId="34" borderId="0" xfId="17" applyFill="1" applyAlignment="1">
      <alignment horizontal="center" vertical="center"/>
    </xf>
    <xf numFmtId="165" fontId="0" fillId="34" borderId="0" xfId="9" applyFont="1" applyFill="1" applyAlignment="1">
      <alignment horizontal="center" vertical="center"/>
    </xf>
    <xf numFmtId="167" fontId="19" fillId="6" borderId="0" xfId="36" applyFont="1" applyFill="1" applyAlignment="1">
      <alignment vertical="top"/>
    </xf>
    <xf numFmtId="167" fontId="57" fillId="0" borderId="0" xfId="11" applyFont="1" applyFill="1"/>
    <xf numFmtId="49" fontId="19" fillId="6" borderId="0" xfId="36" applyNumberFormat="1" applyFont="1" applyFill="1" applyAlignment="1">
      <alignment vertical="top"/>
    </xf>
    <xf numFmtId="4" fontId="19" fillId="6" borderId="0" xfId="36" applyNumberFormat="1" applyFont="1" applyFill="1" applyAlignment="1">
      <alignment vertical="top"/>
    </xf>
    <xf numFmtId="167" fontId="2" fillId="18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7" fontId="19" fillId="13" borderId="0" xfId="36" applyFont="1" applyFill="1" applyAlignment="1">
      <alignment horizontal="center" vertical="top"/>
    </xf>
    <xf numFmtId="167" fontId="19" fillId="6" borderId="0" xfId="36" applyFont="1" applyFill="1" applyAlignment="1">
      <alignment horizontal="center" vertical="top"/>
    </xf>
    <xf numFmtId="167" fontId="1" fillId="6" borderId="0" xfId="11" applyFill="1"/>
    <xf numFmtId="167" fontId="1" fillId="6" borderId="0" xfId="11" applyFill="1" applyAlignment="1">
      <alignment horizontal="center"/>
    </xf>
    <xf numFmtId="0" fontId="8" fillId="0" borderId="0" xfId="14" applyFill="1" applyAlignment="1">
      <alignment horizontal="center"/>
    </xf>
    <xf numFmtId="167" fontId="8" fillId="35" borderId="0" xfId="36" applyFont="1" applyFill="1" applyAlignment="1">
      <alignment vertical="top"/>
    </xf>
    <xf numFmtId="167" fontId="19" fillId="23" borderId="0" xfId="36" applyFont="1" applyFill="1" applyAlignment="1">
      <alignment vertical="top"/>
    </xf>
    <xf numFmtId="49" fontId="26" fillId="35" borderId="0" xfId="36" applyNumberFormat="1" applyFont="1" applyFill="1" applyAlignment="1">
      <alignment vertical="top"/>
    </xf>
    <xf numFmtId="167" fontId="27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7" fontId="8" fillId="0" borderId="0" xfId="36" quotePrefix="1" applyFont="1" applyFill="1" applyAlignment="1">
      <alignment horizontal="center" vertical="top" wrapText="1"/>
    </xf>
    <xf numFmtId="167" fontId="8" fillId="0" borderId="0" xfId="36" applyFont="1" applyFill="1" applyAlignment="1">
      <alignment horizontal="center" vertical="top"/>
    </xf>
    <xf numFmtId="167" fontId="27" fillId="35" borderId="0" xfId="36" applyFont="1" applyFill="1" applyAlignment="1">
      <alignment horizontal="center" vertical="top"/>
    </xf>
    <xf numFmtId="167" fontId="1" fillId="35" borderId="0" xfId="11" applyFill="1"/>
    <xf numFmtId="167" fontId="1" fillId="0" borderId="0" xfId="11" applyFill="1"/>
    <xf numFmtId="167" fontId="0" fillId="0" borderId="0" xfId="11" applyFont="1"/>
    <xf numFmtId="167" fontId="57" fillId="0" borderId="0" xfId="11" applyFont="1"/>
    <xf numFmtId="167" fontId="16" fillId="0" borderId="0" xfId="11" applyFont="1"/>
    <xf numFmtId="49" fontId="0" fillId="16" borderId="42" xfId="11" applyNumberFormat="1" applyFont="1" applyFill="1" applyBorder="1" applyAlignment="1">
      <alignment horizontal="center" vertical="center"/>
    </xf>
    <xf numFmtId="49" fontId="53" fillId="0" borderId="0" xfId="11" applyNumberFormat="1" applyFont="1"/>
    <xf numFmtId="0" fontId="8" fillId="29" borderId="1" xfId="38" applyFill="1" applyBorder="1" applyAlignment="1">
      <alignment horizontal="center" vertical="center" wrapText="1"/>
    </xf>
    <xf numFmtId="0" fontId="8" fillId="0" borderId="1" xfId="38" applyBorder="1" applyAlignment="1">
      <alignment horizontal="center" vertical="center" wrapText="1"/>
    </xf>
    <xf numFmtId="167" fontId="43" fillId="8" borderId="51" xfId="33" applyFont="1" applyFill="1" applyBorder="1" applyAlignment="1">
      <alignment horizontal="center" vertical="center"/>
    </xf>
    <xf numFmtId="0" fontId="42" fillId="9" borderId="51" xfId="34" applyFont="1" applyFill="1" applyBorder="1" applyAlignment="1">
      <alignment horizontal="center" vertical="center" wrapText="1"/>
    </xf>
    <xf numFmtId="167" fontId="42" fillId="9" borderId="51" xfId="33" applyFont="1" applyFill="1" applyBorder="1" applyAlignment="1">
      <alignment horizontal="center" vertical="center" wrapText="1"/>
    </xf>
    <xf numFmtId="167" fontId="42" fillId="29" borderId="53" xfId="33" applyFont="1" applyFill="1" applyBorder="1" applyAlignment="1">
      <alignment horizontal="center" vertical="center" wrapText="1"/>
    </xf>
    <xf numFmtId="167" fontId="42" fillId="9" borderId="51" xfId="33" applyFont="1" applyFill="1" applyBorder="1" applyAlignment="1">
      <alignment horizontal="left" vertical="center" wrapText="1"/>
    </xf>
    <xf numFmtId="169" fontId="45" fillId="9" borderId="51" xfId="33" applyNumberFormat="1" applyFont="1" applyFill="1" applyBorder="1" applyAlignment="1">
      <alignment horizontal="center" vertical="center" wrapText="1"/>
    </xf>
    <xf numFmtId="169" fontId="45" fillId="9" borderId="53" xfId="33" applyNumberFormat="1" applyFont="1" applyFill="1" applyBorder="1" applyAlignment="1">
      <alignment horizontal="center" vertical="center" wrapText="1"/>
    </xf>
    <xf numFmtId="2" fontId="8" fillId="0" borderId="0" xfId="14" applyNumberFormat="1" applyAlignment="1">
      <alignment horizontal="center"/>
    </xf>
    <xf numFmtId="0" fontId="8" fillId="2" borderId="0" xfId="14" applyFill="1" applyAlignment="1">
      <alignment horizontal="center"/>
    </xf>
    <xf numFmtId="49" fontId="7" fillId="3" borderId="0" xfId="11" applyNumberFormat="1" applyFont="1" applyFill="1" applyAlignment="1">
      <alignment horizontal="center" vertical="center"/>
    </xf>
    <xf numFmtId="0" fontId="19" fillId="0" borderId="0" xfId="14" applyFont="1" applyAlignment="1"/>
    <xf numFmtId="0" fontId="8" fillId="0" borderId="0" xfId="14" applyAlignment="1">
      <alignment horizontal="left" wrapText="1"/>
    </xf>
    <xf numFmtId="0" fontId="8" fillId="0" borderId="0" xfId="14" applyAlignment="1">
      <alignment horizontal="center" vertical="center" wrapText="1"/>
    </xf>
    <xf numFmtId="0" fontId="26" fillId="0" borderId="0" xfId="14" applyFont="1" applyAlignment="1">
      <alignment horizontal="center" vertical="center" wrapText="1"/>
    </xf>
    <xf numFmtId="0" fontId="8" fillId="0" borderId="0" xfId="14" applyAlignment="1">
      <alignment horizontal="center" wrapText="1"/>
    </xf>
    <xf numFmtId="0" fontId="8" fillId="0" borderId="0" xfId="14" quotePrefix="1" applyAlignment="1">
      <alignment horizontal="center"/>
    </xf>
    <xf numFmtId="167" fontId="0" fillId="9" borderId="1" xfId="11" applyFont="1" applyFill="1" applyBorder="1" applyAlignment="1">
      <alignment horizontal="center" vertical="center" wrapText="1"/>
    </xf>
    <xf numFmtId="167" fontId="0" fillId="3" borderId="1" xfId="11" applyFont="1" applyFill="1" applyBorder="1" applyAlignment="1">
      <alignment horizontal="center" vertical="center" wrapText="1"/>
    </xf>
    <xf numFmtId="167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6" fillId="3" borderId="0" xfId="11" applyNumberFormat="1" applyFont="1" applyFill="1" applyAlignment="1">
      <alignment horizontal="center"/>
    </xf>
    <xf numFmtId="49" fontId="5" fillId="0" borderId="0" xfId="11" applyNumberFormat="1" applyFont="1"/>
    <xf numFmtId="167" fontId="5" fillId="0" borderId="0" xfId="11" applyFont="1"/>
    <xf numFmtId="49" fontId="1" fillId="3" borderId="0" xfId="11" applyNumberFormat="1" applyFill="1"/>
    <xf numFmtId="167" fontId="43" fillId="14" borderId="51" xfId="33" applyFont="1" applyFill="1" applyBorder="1" applyAlignment="1">
      <alignment horizontal="center" vertical="center"/>
    </xf>
    <xf numFmtId="167" fontId="43" fillId="14" borderId="51" xfId="33" applyFont="1" applyFill="1" applyBorder="1" applyAlignment="1">
      <alignment horizontal="center" vertical="center" wrapText="1"/>
    </xf>
    <xf numFmtId="0" fontId="8" fillId="14" borderId="0" xfId="14" applyFill="1" applyAlignment="1">
      <alignment horizontal="center"/>
    </xf>
    <xf numFmtId="167" fontId="43" fillId="2" borderId="51" xfId="33" applyFont="1" applyFill="1" applyBorder="1" applyAlignment="1">
      <alignment horizontal="center" vertical="center"/>
    </xf>
    <xf numFmtId="49" fontId="7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7" fontId="2" fillId="0" borderId="39" xfId="11" applyFont="1" applyBorder="1" applyAlignment="1">
      <alignment horizontal="center" vertical="center" textRotation="90"/>
    </xf>
    <xf numFmtId="167" fontId="2" fillId="0" borderId="1" xfId="11" applyFont="1" applyBorder="1" applyAlignment="1">
      <alignment horizontal="center" vertical="center"/>
    </xf>
    <xf numFmtId="167" fontId="2" fillId="0" borderId="36" xfId="11" applyNumberFormat="1" applyFont="1" applyBorder="1" applyAlignment="1">
      <alignment textRotation="90"/>
    </xf>
    <xf numFmtId="167" fontId="2" fillId="33" borderId="36" xfId="11" quotePrefix="1" applyNumberFormat="1" applyFont="1" applyFill="1" applyBorder="1" applyAlignment="1">
      <alignment vertical="center" textRotation="90"/>
    </xf>
    <xf numFmtId="167" fontId="2" fillId="24" borderId="1" xfId="11" applyFont="1" applyFill="1" applyBorder="1" applyAlignment="1">
      <alignment horizontal="center" vertical="center" wrapText="1"/>
    </xf>
    <xf numFmtId="49" fontId="0" fillId="0" borderId="11" xfId="8" applyNumberFormat="1" applyFont="1" applyBorder="1" applyAlignment="1">
      <alignment horizontal="center"/>
    </xf>
    <xf numFmtId="167" fontId="0" fillId="2" borderId="11" xfId="8" applyFont="1" applyFill="1" applyBorder="1" applyAlignment="1">
      <alignment horizontal="center"/>
    </xf>
    <xf numFmtId="1" fontId="1" fillId="0" borderId="54" xfId="11" applyNumberFormat="1" applyBorder="1"/>
    <xf numFmtId="1" fontId="1" fillId="0" borderId="55" xfId="11" applyNumberFormat="1" applyBorder="1"/>
    <xf numFmtId="1" fontId="1" fillId="33" borderId="41" xfId="11" applyNumberFormat="1" applyFill="1" applyBorder="1"/>
    <xf numFmtId="1" fontId="1" fillId="24" borderId="12" xfId="11" applyNumberFormat="1" applyFill="1" applyBorder="1"/>
    <xf numFmtId="1" fontId="1" fillId="0" borderId="56" xfId="11" applyNumberFormat="1" applyBorder="1"/>
    <xf numFmtId="1" fontId="1" fillId="0" borderId="57" xfId="11" applyNumberFormat="1" applyBorder="1"/>
    <xf numFmtId="1" fontId="1" fillId="33" borderId="42" xfId="11" applyNumberFormat="1" applyFill="1" applyBorder="1"/>
    <xf numFmtId="167" fontId="0" fillId="0" borderId="11" xfId="8" applyFont="1" applyBorder="1" applyAlignment="1">
      <alignment horizontal="center"/>
    </xf>
    <xf numFmtId="49" fontId="0" fillId="0" borderId="50" xfId="8" applyNumberFormat="1" applyFont="1" applyBorder="1" applyAlignment="1">
      <alignment horizontal="center"/>
    </xf>
    <xf numFmtId="167" fontId="0" fillId="2" borderId="8" xfId="8" applyFont="1" applyFill="1" applyBorder="1" applyAlignment="1">
      <alignment horizontal="center"/>
    </xf>
    <xf numFmtId="1" fontId="1" fillId="0" borderId="58" xfId="11" applyNumberFormat="1" applyBorder="1"/>
    <xf numFmtId="1" fontId="1" fillId="0" borderId="59" xfId="11" applyNumberFormat="1" applyBorder="1"/>
    <xf numFmtId="1" fontId="1" fillId="33" borderId="50" xfId="11" applyNumberFormat="1" applyFill="1" applyBorder="1"/>
    <xf numFmtId="1" fontId="1" fillId="24" borderId="10" xfId="11" applyNumberFormat="1" applyFill="1" applyBorder="1"/>
    <xf numFmtId="167" fontId="2" fillId="0" borderId="0" xfId="11" applyFont="1" applyAlignment="1">
      <alignment horizontal="center"/>
    </xf>
    <xf numFmtId="1" fontId="1" fillId="0" borderId="0" xfId="11" applyNumberFormat="1"/>
    <xf numFmtId="1" fontId="1" fillId="33" borderId="1" xfId="11" applyNumberFormat="1" applyFill="1" applyBorder="1"/>
    <xf numFmtId="1" fontId="2" fillId="24" borderId="1" xfId="11" applyNumberFormat="1" applyFont="1" applyFill="1" applyBorder="1"/>
    <xf numFmtId="167" fontId="37" fillId="0" borderId="0" xfId="25" applyFont="1" applyFill="1"/>
    <xf numFmtId="167" fontId="19" fillId="0" borderId="0" xfId="23" applyFont="1" applyFill="1"/>
    <xf numFmtId="49" fontId="19" fillId="0" borderId="0" xfId="17" applyNumberFormat="1" applyFont="1" applyFill="1"/>
    <xf numFmtId="173" fontId="19" fillId="0" borderId="0" xfId="17" applyNumberFormat="1" applyFont="1" applyFill="1"/>
    <xf numFmtId="4" fontId="8" fillId="0" borderId="0" xfId="24" applyNumberFormat="1" applyAlignment="1">
      <alignment vertical="top"/>
    </xf>
    <xf numFmtId="0" fontId="8" fillId="0" borderId="0" xfId="14" applyFill="1"/>
    <xf numFmtId="167" fontId="1" fillId="11" borderId="0" xfId="11" applyFill="1" applyAlignment="1">
      <alignment horizontal="center" vertical="center"/>
    </xf>
    <xf numFmtId="0" fontId="1" fillId="3" borderId="51" xfId="17" applyNumberFormat="1" applyFill="1" applyBorder="1"/>
    <xf numFmtId="167" fontId="1" fillId="0" borderId="0" xfId="17" applyFill="1"/>
    <xf numFmtId="167" fontId="2" fillId="13" borderId="60" xfId="17" applyFont="1" applyFill="1" applyBorder="1" applyAlignment="1">
      <alignment horizontal="center"/>
    </xf>
    <xf numFmtId="0" fontId="58" fillId="2" borderId="60" xfId="17" quotePrefix="1" applyNumberFormat="1" applyFont="1" applyFill="1" applyBorder="1" applyAlignment="1">
      <alignment horizontal="center"/>
    </xf>
    <xf numFmtId="167" fontId="2" fillId="6" borderId="60" xfId="17" applyFont="1" applyFill="1" applyBorder="1" applyAlignment="1">
      <alignment horizontal="center"/>
    </xf>
    <xf numFmtId="167" fontId="1" fillId="0" borderId="0" xfId="11" applyFill="1" applyAlignment="1">
      <alignment horizontal="left" vertical="center"/>
    </xf>
    <xf numFmtId="167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7" fillId="5" borderId="0" xfId="17" applyNumberFormat="1" applyFont="1" applyFill="1" applyAlignment="1">
      <alignment horizontal="left" vertical="center"/>
    </xf>
    <xf numFmtId="167" fontId="2" fillId="0" borderId="0" xfId="17" applyFont="1" applyFill="1" applyBorder="1" applyAlignment="1">
      <alignment horizontal="center"/>
    </xf>
    <xf numFmtId="0" fontId="58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7" fillId="3" borderId="0" xfId="11" applyNumberFormat="1" applyFont="1" applyFill="1" applyBorder="1" applyAlignment="1">
      <alignment horizontal="left" vertical="center"/>
    </xf>
    <xf numFmtId="49" fontId="7" fillId="5" borderId="0" xfId="11" applyNumberFormat="1" applyFont="1" applyFill="1" applyBorder="1" applyAlignment="1">
      <alignment horizontal="left" vertical="center"/>
    </xf>
    <xf numFmtId="49" fontId="7" fillId="5" borderId="61" xfId="11" applyNumberFormat="1" applyFont="1" applyFill="1" applyBorder="1" applyAlignment="1">
      <alignment horizontal="left" vertical="center"/>
    </xf>
    <xf numFmtId="0" fontId="8" fillId="24" borderId="0" xfId="14" applyFill="1" applyAlignment="1">
      <alignment horizontal="center"/>
    </xf>
    <xf numFmtId="49" fontId="1" fillId="24" borderId="0" xfId="11" applyNumberFormat="1" applyFill="1" applyAlignment="1">
      <alignment horizontal="center"/>
    </xf>
    <xf numFmtId="49" fontId="7" fillId="3" borderId="62" xfId="11" applyNumberFormat="1" applyFont="1" applyFill="1" applyBorder="1" applyAlignment="1">
      <alignment horizontal="left" vertical="center"/>
    </xf>
    <xf numFmtId="49" fontId="7" fillId="7" borderId="52" xfId="11" applyNumberFormat="1" applyFont="1" applyFill="1" applyBorder="1" applyAlignment="1">
      <alignment horizontal="center" vertical="center"/>
    </xf>
    <xf numFmtId="49" fontId="7" fillId="5" borderId="52" xfId="11" applyNumberFormat="1" applyFont="1" applyFill="1" applyBorder="1" applyAlignment="1">
      <alignment horizontal="left" vertical="center"/>
    </xf>
    <xf numFmtId="49" fontId="7" fillId="5" borderId="63" xfId="11" applyNumberFormat="1" applyFont="1" applyFill="1" applyBorder="1" applyAlignment="1">
      <alignment horizontal="left" vertical="center"/>
    </xf>
    <xf numFmtId="49" fontId="8" fillId="20" borderId="27" xfId="15" applyNumberFormat="1" applyFont="1" applyFill="1" applyBorder="1" applyAlignment="1">
      <alignment horizontal="center"/>
    </xf>
    <xf numFmtId="171" fontId="59" fillId="20" borderId="37" xfId="16" applyNumberFormat="1" applyFont="1" applyFill="1" applyBorder="1" applyAlignment="1">
      <alignment horizontal="center" vertical="center" wrapText="1"/>
    </xf>
    <xf numFmtId="173" fontId="24" fillId="36" borderId="1" xfId="14" applyNumberFormat="1" applyFont="1" applyFill="1" applyBorder="1" applyAlignment="1">
      <alignment horizontal="center" vertical="center" wrapText="1"/>
    </xf>
    <xf numFmtId="0" fontId="59" fillId="15" borderId="1" xfId="14" applyFont="1" applyFill="1" applyBorder="1" applyAlignment="1">
      <alignment horizontal="center" vertical="center" wrapText="1"/>
    </xf>
    <xf numFmtId="173" fontId="25" fillId="15" borderId="1" xfId="14" applyNumberFormat="1" applyFont="1" applyFill="1" applyBorder="1" applyAlignment="1">
      <alignment horizontal="center" vertical="center" wrapText="1"/>
    </xf>
    <xf numFmtId="49" fontId="25" fillId="15" borderId="1" xfId="14" applyNumberFormat="1" applyFont="1" applyFill="1" applyBorder="1" applyAlignment="1">
      <alignment horizontal="center" vertical="center" wrapText="1"/>
    </xf>
    <xf numFmtId="4" fontId="25" fillId="15" borderId="1" xfId="14" applyNumberFormat="1" applyFont="1" applyFill="1" applyBorder="1" applyAlignment="1">
      <alignment horizontal="center" vertical="center" wrapText="1"/>
    </xf>
    <xf numFmtId="0" fontId="25" fillId="15" borderId="1" xfId="14" applyFont="1" applyFill="1" applyBorder="1" applyAlignment="1">
      <alignment horizontal="center" vertical="center" wrapText="1"/>
    </xf>
    <xf numFmtId="4" fontId="54" fillId="15" borderId="1" xfId="39" applyNumberFormat="1" applyFont="1" applyFill="1" applyBorder="1" applyAlignment="1">
      <alignment horizontal="center" vertical="top" wrapText="1"/>
    </xf>
    <xf numFmtId="0" fontId="54" fillId="15" borderId="1" xfId="39" applyFont="1" applyFill="1" applyBorder="1" applyAlignment="1">
      <alignment horizontal="center" vertical="top" wrapText="1"/>
    </xf>
    <xf numFmtId="167" fontId="1" fillId="0" borderId="0" xfId="11" applyAlignment="1">
      <alignment vertical="center"/>
    </xf>
    <xf numFmtId="49" fontId="7" fillId="3" borderId="0" xfId="17" applyNumberFormat="1" applyFont="1" applyFill="1" applyBorder="1" applyAlignment="1">
      <alignment horizontal="left" vertical="center"/>
    </xf>
    <xf numFmtId="49" fontId="7" fillId="16" borderId="61" xfId="11" applyNumberFormat="1" applyFont="1" applyFill="1" applyBorder="1" applyAlignment="1">
      <alignment horizontal="left" vertical="center"/>
    </xf>
    <xf numFmtId="49" fontId="7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8" fillId="15" borderId="1" xfId="14" applyNumberFormat="1" applyFill="1" applyBorder="1" applyAlignment="1">
      <alignment horizontal="center"/>
    </xf>
    <xf numFmtId="0" fontId="10" fillId="34" borderId="0" xfId="7" applyNumberFormat="1" applyFill="1" applyAlignment="1">
      <alignment vertical="center"/>
    </xf>
    <xf numFmtId="167" fontId="5" fillId="34" borderId="0" xfId="17" applyFont="1" applyFill="1" applyAlignment="1">
      <alignment horizontal="center" vertical="center"/>
    </xf>
    <xf numFmtId="4" fontId="54" fillId="34" borderId="51" xfId="39" applyNumberFormat="1" applyFont="1" applyFill="1" applyBorder="1" applyAlignment="1">
      <alignment horizontal="center" vertical="center"/>
    </xf>
    <xf numFmtId="167" fontId="1" fillId="34" borderId="0" xfId="17" applyFill="1" applyAlignment="1">
      <alignment vertical="center"/>
    </xf>
    <xf numFmtId="49" fontId="1" fillId="34" borderId="0" xfId="11" applyNumberFormat="1" applyFill="1" applyAlignment="1">
      <alignment horizontal="center" vertical="center"/>
    </xf>
    <xf numFmtId="0" fontId="26" fillId="0" borderId="0" xfId="14" applyFont="1" applyFill="1" applyAlignment="1">
      <alignment horizontal="center"/>
    </xf>
    <xf numFmtId="49" fontId="7" fillId="5" borderId="62" xfId="11" applyNumberFormat="1" applyFont="1" applyFill="1" applyBorder="1" applyAlignment="1">
      <alignment horizontal="left" vertical="center"/>
    </xf>
    <xf numFmtId="49" fontId="7" fillId="5" borderId="65" xfId="11" applyNumberFormat="1" applyFont="1" applyFill="1" applyBorder="1" applyAlignment="1">
      <alignment horizontal="left" vertical="center"/>
    </xf>
    <xf numFmtId="0" fontId="19" fillId="0" borderId="0" xfId="14" applyFont="1" applyFill="1" applyAlignment="1">
      <alignment horizontal="center"/>
    </xf>
    <xf numFmtId="171" fontId="24" fillId="20" borderId="37" xfId="16" applyNumberFormat="1" applyFont="1" applyFill="1" applyBorder="1" applyAlignment="1">
      <alignment horizontal="center" vertical="center"/>
    </xf>
    <xf numFmtId="171" fontId="24" fillId="37" borderId="37" xfId="16" applyNumberFormat="1" applyFont="1" applyFill="1" applyBorder="1" applyAlignment="1">
      <alignment horizontal="center" vertical="center"/>
    </xf>
    <xf numFmtId="171" fontId="24" fillId="6" borderId="37" xfId="16" applyNumberFormat="1" applyFont="1" applyFill="1" applyBorder="1" applyAlignment="1">
      <alignment horizontal="center" vertical="center"/>
    </xf>
    <xf numFmtId="171" fontId="24" fillId="0" borderId="57" xfId="16" applyNumberFormat="1" applyFont="1" applyFill="1" applyBorder="1" applyAlignment="1">
      <alignment horizontal="center" vertical="center"/>
    </xf>
    <xf numFmtId="0" fontId="2" fillId="27" borderId="51" xfId="11" applyNumberFormat="1" applyFont="1" applyFill="1" applyBorder="1" applyAlignment="1">
      <alignment horizontal="center" vertical="center" wrapText="1"/>
    </xf>
    <xf numFmtId="0" fontId="7" fillId="27" borderId="51" xfId="11" applyNumberFormat="1" applyFont="1" applyFill="1" applyBorder="1" applyAlignment="1">
      <alignment horizontal="center" vertical="center"/>
    </xf>
    <xf numFmtId="0" fontId="2" fillId="27" borderId="51" xfId="11" applyNumberFormat="1" applyFont="1" applyFill="1" applyBorder="1" applyAlignment="1">
      <alignment vertical="center"/>
    </xf>
    <xf numFmtId="0" fontId="2" fillId="27" borderId="51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6" borderId="1" xfId="11" applyNumberFormat="1" applyFill="1" applyBorder="1" applyAlignment="1">
      <alignment vertical="center"/>
    </xf>
    <xf numFmtId="171" fontId="8" fillId="38" borderId="0" xfId="16" applyNumberFormat="1" applyFont="1" applyFill="1" applyAlignment="1">
      <alignment horizontal="center" vertical="center"/>
    </xf>
    <xf numFmtId="171" fontId="8" fillId="39" borderId="0" xfId="16" applyNumberFormat="1" applyFont="1" applyFill="1" applyAlignment="1">
      <alignment horizontal="center" vertical="center"/>
    </xf>
    <xf numFmtId="171" fontId="8" fillId="0" borderId="0" xfId="16" applyNumberFormat="1" applyFont="1" applyFill="1" applyAlignment="1">
      <alignment horizontal="center" vertical="center"/>
    </xf>
    <xf numFmtId="0" fontId="5" fillId="40" borderId="0" xfId="11" applyNumberFormat="1" applyFont="1" applyFill="1" applyAlignment="1">
      <alignment vertical="center"/>
    </xf>
    <xf numFmtId="0" fontId="1" fillId="40" borderId="0" xfId="11" applyNumberFormat="1" applyFill="1" applyAlignment="1">
      <alignment horizontal="center" vertical="center"/>
    </xf>
    <xf numFmtId="0" fontId="1" fillId="40" borderId="0" xfId="11" applyNumberFormat="1" applyFill="1" applyAlignment="1">
      <alignment vertical="center"/>
    </xf>
    <xf numFmtId="0" fontId="1" fillId="40" borderId="0" xfId="11" applyNumberFormat="1" applyFill="1" applyAlignment="1">
      <alignment horizontal="center" vertical="center" wrapText="1"/>
    </xf>
    <xf numFmtId="4" fontId="13" fillId="40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7" fillId="5" borderId="62" xfId="17" applyNumberFormat="1" applyFont="1" applyFill="1" applyBorder="1" applyAlignment="1">
      <alignment horizontal="left" vertical="center"/>
    </xf>
    <xf numFmtId="49" fontId="7" fillId="5" borderId="65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19" fillId="0" borderId="0" xfId="36" applyNumberFormat="1" applyFont="1" applyFill="1" applyAlignment="1">
      <alignment vertical="top"/>
    </xf>
    <xf numFmtId="49" fontId="60" fillId="13" borderId="52" xfId="11" applyNumberFormat="1" applyFont="1" applyFill="1" applyBorder="1" applyAlignment="1">
      <alignment horizontal="center" vertical="center"/>
    </xf>
    <xf numFmtId="171" fontId="24" fillId="6" borderId="37" xfId="16" applyNumberFormat="1" applyFont="1" applyFill="1" applyBorder="1" applyAlignment="1">
      <alignment horizontal="center"/>
    </xf>
    <xf numFmtId="171" fontId="24" fillId="0" borderId="0" xfId="16" applyNumberFormat="1" applyFont="1" applyFill="1" applyBorder="1" applyAlignment="1">
      <alignment horizontal="center"/>
    </xf>
    <xf numFmtId="0" fontId="0" fillId="27" borderId="68" xfId="11" applyNumberFormat="1" applyFont="1" applyFill="1" applyBorder="1" applyAlignment="1">
      <alignment horizontal="center" wrapText="1"/>
    </xf>
    <xf numFmtId="0" fontId="0" fillId="27" borderId="68" xfId="11" applyNumberFormat="1" applyFont="1" applyFill="1" applyBorder="1" applyAlignment="1">
      <alignment horizontal="center"/>
    </xf>
    <xf numFmtId="0" fontId="1" fillId="13" borderId="1" xfId="11" applyNumberFormat="1" applyFill="1" applyBorder="1"/>
    <xf numFmtId="0" fontId="2" fillId="16" borderId="1" xfId="11" applyNumberFormat="1" applyFont="1" applyFill="1" applyBorder="1" applyAlignment="1">
      <alignment horizontal="center"/>
    </xf>
    <xf numFmtId="171" fontId="8" fillId="23" borderId="0" xfId="16" applyNumberFormat="1" applyFont="1" applyFill="1" applyAlignment="1">
      <alignment horizontal="center"/>
    </xf>
    <xf numFmtId="171" fontId="8" fillId="38" borderId="0" xfId="16" applyNumberFormat="1" applyFont="1" applyFill="1" applyAlignment="1">
      <alignment horizontal="center"/>
    </xf>
    <xf numFmtId="171" fontId="8" fillId="39" borderId="0" xfId="16" applyNumberFormat="1" applyFont="1" applyFill="1" applyAlignment="1">
      <alignment horizontal="center"/>
    </xf>
    <xf numFmtId="0" fontId="61" fillId="13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49" fontId="1" fillId="35" borderId="0" xfId="11" applyNumberFormat="1" applyFill="1" applyAlignment="1">
      <alignment horizontal="center"/>
    </xf>
    <xf numFmtId="49" fontId="7" fillId="7" borderId="61" xfId="11" applyNumberFormat="1" applyFont="1" applyFill="1" applyBorder="1" applyAlignment="1">
      <alignment horizontal="center" vertical="center"/>
    </xf>
    <xf numFmtId="0" fontId="8" fillId="35" borderId="0" xfId="14" applyFill="1" applyAlignment="1">
      <alignment horizontal="center"/>
    </xf>
    <xf numFmtId="49" fontId="7" fillId="13" borderId="61" xfId="11" applyNumberFormat="1" applyFont="1" applyFill="1" applyBorder="1" applyAlignment="1">
      <alignment horizontal="left" vertical="center" wrapText="1"/>
    </xf>
    <xf numFmtId="49" fontId="5" fillId="35" borderId="0" xfId="11" applyNumberFormat="1" applyFont="1" applyFill="1" applyAlignment="1">
      <alignment horizontal="center" vertical="center"/>
    </xf>
    <xf numFmtId="171" fontId="24" fillId="37" borderId="37" xfId="16" applyNumberFormat="1" applyFont="1" applyFill="1" applyBorder="1" applyAlignment="1">
      <alignment horizontal="center"/>
    </xf>
    <xf numFmtId="14" fontId="0" fillId="0" borderId="0" xfId="11" applyNumberFormat="1" applyFont="1"/>
    <xf numFmtId="1" fontId="0" fillId="0" borderId="11" xfId="1" applyNumberFormat="1" applyFont="1" applyFill="1" applyBorder="1" applyAlignment="1">
      <alignment horizontal="center" vertical="center"/>
    </xf>
    <xf numFmtId="1" fontId="1" fillId="0" borderId="11" xfId="1" applyNumberFormat="1" applyBorder="1" applyAlignment="1">
      <alignment horizontal="center" vertical="center"/>
    </xf>
    <xf numFmtId="0" fontId="63" fillId="0" borderId="0" xfId="40" applyFont="1"/>
    <xf numFmtId="0" fontId="64" fillId="0" borderId="0" xfId="40" applyFont="1"/>
    <xf numFmtId="0" fontId="63" fillId="0" borderId="0" xfId="40" applyFont="1" applyAlignment="1">
      <alignment horizontal="center"/>
    </xf>
    <xf numFmtId="0" fontId="1" fillId="0" borderId="0" xfId="40"/>
    <xf numFmtId="0" fontId="1" fillId="2" borderId="39" xfId="40" applyFont="1" applyFill="1" applyBorder="1" applyAlignment="1">
      <alignment horizontal="right"/>
    </xf>
    <xf numFmtId="10" fontId="1" fillId="2" borderId="40" xfId="21" applyNumberFormat="1" applyFont="1" applyFill="1" applyBorder="1" applyAlignment="1">
      <alignment horizontal="center"/>
    </xf>
    <xf numFmtId="0" fontId="1" fillId="2" borderId="43" xfId="40" applyFill="1" applyBorder="1" applyAlignment="1">
      <alignment horizontal="center"/>
    </xf>
    <xf numFmtId="0" fontId="1" fillId="0" borderId="11" xfId="1" applyNumberFormat="1" applyBorder="1" applyAlignment="1">
      <alignment horizontal="center" vertical="center"/>
    </xf>
    <xf numFmtId="49" fontId="1" fillId="0" borderId="17" xfId="1" applyNumberFormat="1" applyFill="1" applyBorder="1" applyAlignment="1">
      <alignment horizontal="left" vertical="center" wrapText="1"/>
    </xf>
    <xf numFmtId="0" fontId="62" fillId="0" borderId="0" xfId="41" applyFont="1"/>
    <xf numFmtId="175" fontId="1" fillId="0" borderId="0" xfId="28" applyNumberFormat="1" applyFill="1"/>
    <xf numFmtId="49" fontId="0" fillId="17" borderId="0" xfId="1" applyNumberFormat="1" applyFont="1" applyFill="1" applyAlignment="1">
      <alignment horizontal="center" vertical="center"/>
    </xf>
    <xf numFmtId="49" fontId="1" fillId="17" borderId="3" xfId="1" applyNumberFormat="1" applyFill="1" applyBorder="1" applyAlignment="1">
      <alignment horizontal="center" vertical="center"/>
    </xf>
    <xf numFmtId="49" fontId="0" fillId="9" borderId="0" xfId="1" applyNumberFormat="1" applyFont="1" applyFill="1" applyAlignment="1">
      <alignment horizontal="center" vertical="center"/>
    </xf>
    <xf numFmtId="49" fontId="0" fillId="9" borderId="17" xfId="1" applyNumberFormat="1" applyFont="1" applyFill="1" applyBorder="1" applyAlignment="1">
      <alignment vertical="center"/>
    </xf>
    <xf numFmtId="167" fontId="0" fillId="0" borderId="15" xfId="1" applyFont="1" applyBorder="1" applyAlignment="1">
      <alignment horizontal="left" vertical="center"/>
    </xf>
    <xf numFmtId="167" fontId="0" fillId="8" borderId="11" xfId="1" applyFont="1" applyFill="1" applyBorder="1" applyAlignment="1">
      <alignment vertical="center"/>
    </xf>
    <xf numFmtId="167" fontId="1" fillId="6" borderId="11" xfId="1" applyFill="1" applyBorder="1" applyAlignment="1">
      <alignment horizontal="left" vertical="center"/>
    </xf>
    <xf numFmtId="167" fontId="1" fillId="0" borderId="0" xfId="11" applyAlignment="1"/>
    <xf numFmtId="0" fontId="8" fillId="13" borderId="0" xfId="14" applyFill="1" applyAlignment="1">
      <alignment vertical="center"/>
    </xf>
    <xf numFmtId="0" fontId="25" fillId="13" borderId="39" xfId="14" applyFont="1" applyFill="1" applyBorder="1" applyAlignment="1">
      <alignment horizontal="center" vertical="center" wrapText="1"/>
    </xf>
    <xf numFmtId="2" fontId="8" fillId="13" borderId="0" xfId="14" applyNumberFormat="1" applyFill="1" applyAlignment="1">
      <alignment horizontal="center"/>
    </xf>
    <xf numFmtId="169" fontId="8" fillId="0" borderId="0" xfId="14" applyNumberFormat="1"/>
    <xf numFmtId="167" fontId="1" fillId="7" borderId="0" xfId="1" applyFill="1"/>
    <xf numFmtId="167" fontId="7" fillId="7" borderId="2" xfId="1" applyFont="1" applyFill="1" applyBorder="1"/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7" fontId="1" fillId="13" borderId="0" xfId="1" applyFill="1"/>
    <xf numFmtId="49" fontId="0" fillId="0" borderId="0" xfId="1" applyNumberFormat="1" applyFont="1" applyFill="1" applyAlignment="1">
      <alignment horizontal="center" vertical="center"/>
    </xf>
    <xf numFmtId="165" fontId="7" fillId="13" borderId="47" xfId="11" applyNumberFormat="1" applyFont="1" applyFill="1" applyBorder="1" applyAlignment="1">
      <alignment horizontal="center" vertical="center"/>
    </xf>
    <xf numFmtId="165" fontId="7" fillId="13" borderId="48" xfId="1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horizontal="center"/>
    </xf>
    <xf numFmtId="173" fontId="19" fillId="2" borderId="0" xfId="36" applyNumberFormat="1" applyFont="1" applyFill="1" applyAlignment="1">
      <alignment vertical="top"/>
    </xf>
    <xf numFmtId="49" fontId="0" fillId="2" borderId="0" xfId="11" applyNumberFormat="1" applyFont="1" applyFill="1" applyAlignment="1">
      <alignment horizontal="center"/>
    </xf>
    <xf numFmtId="49" fontId="0" fillId="6" borderId="1" xfId="11" applyNumberFormat="1" applyFont="1" applyFill="1" applyBorder="1" applyAlignment="1">
      <alignment horizontal="center" vertical="center"/>
    </xf>
    <xf numFmtId="167" fontId="0" fillId="6" borderId="0" xfId="17" applyFont="1" applyFill="1" applyAlignment="1">
      <alignment horizontal="center" vertical="center"/>
    </xf>
    <xf numFmtId="167" fontId="0" fillId="7" borderId="0" xfId="17" applyFont="1" applyFill="1" applyAlignment="1">
      <alignment vertical="top"/>
    </xf>
    <xf numFmtId="0" fontId="0" fillId="0" borderId="0" xfId="11" applyNumberFormat="1" applyFont="1"/>
    <xf numFmtId="167" fontId="19" fillId="2" borderId="0" xfId="36" applyFont="1" applyFill="1" applyAlignment="1">
      <alignment horizontal="center" vertical="center"/>
    </xf>
    <xf numFmtId="167" fontId="19" fillId="0" borderId="0" xfId="36" applyFont="1" applyFill="1" applyAlignment="1">
      <alignment horizontal="center" vertical="center"/>
    </xf>
    <xf numFmtId="167" fontId="19" fillId="13" borderId="0" xfId="36" applyFont="1" applyFill="1" applyAlignment="1">
      <alignment horizontal="center" vertical="center"/>
    </xf>
    <xf numFmtId="167" fontId="8" fillId="0" borderId="0" xfId="36" quotePrefix="1" applyFont="1" applyFill="1" applyAlignment="1">
      <alignment horizontal="center" vertical="center" wrapText="1"/>
    </xf>
    <xf numFmtId="167" fontId="19" fillId="6" borderId="0" xfId="36" applyFont="1" applyFill="1" applyAlignment="1">
      <alignment horizontal="center" vertical="center"/>
    </xf>
    <xf numFmtId="167" fontId="1" fillId="6" borderId="0" xfId="11" applyFill="1" applyAlignment="1">
      <alignment horizontal="center" vertical="center"/>
    </xf>
    <xf numFmtId="167" fontId="1" fillId="6" borderId="0" xfId="11" applyFill="1" applyAlignment="1">
      <alignment vertical="center"/>
    </xf>
    <xf numFmtId="167" fontId="0" fillId="0" borderId="0" xfId="11" applyFont="1" applyAlignment="1">
      <alignment vertical="center"/>
    </xf>
    <xf numFmtId="0" fontId="65" fillId="0" borderId="0" xfId="0" applyFont="1"/>
    <xf numFmtId="167" fontId="27" fillId="35" borderId="0" xfId="36" applyFont="1" applyFill="1" applyAlignment="1">
      <alignment horizontal="center" vertical="center"/>
    </xf>
    <xf numFmtId="167" fontId="0" fillId="0" borderId="0" xfId="1" applyFont="1" applyBorder="1" applyAlignment="1">
      <alignment vertical="center"/>
    </xf>
    <xf numFmtId="49" fontId="0" fillId="24" borderId="0" xfId="11" applyNumberFormat="1" applyFont="1" applyFill="1" applyAlignment="1">
      <alignment horizontal="center"/>
    </xf>
    <xf numFmtId="167" fontId="1" fillId="0" borderId="0" xfId="11" applyFont="1"/>
    <xf numFmtId="49" fontId="8" fillId="20" borderId="26" xfId="15" applyNumberFormat="1" applyFont="1" applyFill="1" applyBorder="1" applyAlignment="1">
      <alignment horizontal="center" vertical="center"/>
    </xf>
    <xf numFmtId="171" fontId="24" fillId="3" borderId="38" xfId="16" applyNumberFormat="1" applyFont="1" applyFill="1" applyBorder="1" applyAlignment="1">
      <alignment horizontal="center" vertical="center"/>
    </xf>
    <xf numFmtId="49" fontId="25" fillId="0" borderId="1" xfId="14" applyNumberFormat="1" applyFont="1" applyBorder="1" applyAlignment="1">
      <alignment horizontal="center" vertical="center" wrapText="1"/>
    </xf>
    <xf numFmtId="173" fontId="25" fillId="0" borderId="1" xfId="14" applyNumberFormat="1" applyFont="1" applyBorder="1" applyAlignment="1">
      <alignment horizontal="center" vertical="center" wrapText="1"/>
    </xf>
    <xf numFmtId="0" fontId="25" fillId="0" borderId="1" xfId="14" applyFont="1" applyBorder="1" applyAlignment="1">
      <alignment horizontal="center" vertical="center" wrapText="1"/>
    </xf>
    <xf numFmtId="4" fontId="25" fillId="0" borderId="1" xfId="14" applyNumberFormat="1" applyFont="1" applyBorder="1" applyAlignment="1">
      <alignment horizontal="center" vertical="center" wrapText="1"/>
    </xf>
    <xf numFmtId="4" fontId="25" fillId="21" borderId="1" xfId="14" applyNumberFormat="1" applyFont="1" applyFill="1" applyBorder="1" applyAlignment="1">
      <alignment horizontal="center" vertical="center" wrapText="1"/>
    </xf>
    <xf numFmtId="0" fontId="25" fillId="0" borderId="39" xfId="14" applyFont="1" applyBorder="1" applyAlignment="1">
      <alignment horizontal="center" vertical="center" wrapText="1"/>
    </xf>
    <xf numFmtId="0" fontId="8" fillId="3" borderId="1" xfId="14" applyFill="1" applyBorder="1" applyAlignment="1">
      <alignment vertical="center"/>
    </xf>
    <xf numFmtId="2" fontId="8" fillId="41" borderId="0" xfId="14" applyNumberFormat="1" applyFill="1" applyAlignment="1">
      <alignment horizontal="center"/>
    </xf>
    <xf numFmtId="0" fontId="8" fillId="41" borderId="0" xfId="14" applyFill="1" applyAlignment="1">
      <alignment horizontal="center"/>
    </xf>
    <xf numFmtId="0" fontId="8" fillId="41" borderId="0" xfId="14" applyFill="1" applyAlignment="1">
      <alignment horizontal="center" vertical="center"/>
    </xf>
    <xf numFmtId="0" fontId="27" fillId="41" borderId="0" xfId="14" applyFont="1" applyFill="1" applyAlignment="1">
      <alignment horizontal="center"/>
    </xf>
    <xf numFmtId="167" fontId="1" fillId="0" borderId="3" xfId="1" applyFill="1" applyBorder="1"/>
    <xf numFmtId="167" fontId="0" fillId="0" borderId="15" xfId="1" applyFont="1" applyBorder="1" applyAlignment="1">
      <alignment vertical="center"/>
    </xf>
    <xf numFmtId="167" fontId="1" fillId="41" borderId="12" xfId="1" applyFont="1" applyFill="1" applyBorder="1" applyAlignment="1">
      <alignment vertical="center"/>
    </xf>
    <xf numFmtId="167" fontId="0" fillId="42" borderId="11" xfId="1" applyFont="1" applyFill="1" applyBorder="1" applyAlignment="1">
      <alignment vertical="center"/>
    </xf>
    <xf numFmtId="49" fontId="0" fillId="13" borderId="0" xfId="11" applyNumberFormat="1" applyFont="1" applyFill="1" applyAlignment="1">
      <alignment horizontal="center"/>
    </xf>
    <xf numFmtId="167" fontId="0" fillId="0" borderId="0" xfId="17" applyFont="1" applyAlignment="1">
      <alignment horizontal="center"/>
    </xf>
    <xf numFmtId="167" fontId="1" fillId="0" borderId="0" xfId="17" applyAlignment="1">
      <alignment horizontal="center"/>
    </xf>
    <xf numFmtId="0" fontId="16" fillId="42" borderId="0" xfId="0" applyFont="1" applyFill="1"/>
    <xf numFmtId="0" fontId="67" fillId="42" borderId="0" xfId="47" applyFont="1" applyFill="1" applyAlignment="1">
      <alignment horizontal="left" vertical="center"/>
    </xf>
    <xf numFmtId="167" fontId="0" fillId="17" borderId="0" xfId="1" applyFont="1" applyFill="1" applyBorder="1"/>
    <xf numFmtId="168" fontId="1" fillId="17" borderId="17" xfId="1" applyNumberFormat="1" applyFill="1" applyBorder="1" applyAlignment="1">
      <alignment horizontal="center" vertical="center"/>
    </xf>
    <xf numFmtId="49" fontId="1" fillId="17" borderId="17" xfId="1" applyNumberFormat="1" applyFill="1" applyBorder="1" applyAlignment="1">
      <alignment horizontal="center" vertical="center"/>
    </xf>
    <xf numFmtId="167" fontId="0" fillId="0" borderId="11" xfId="1" applyFont="1" applyBorder="1" applyAlignment="1">
      <alignment horizontal="left" vertical="center"/>
    </xf>
    <xf numFmtId="0" fontId="5" fillId="40" borderId="55" xfId="11" applyNumberFormat="1" applyFont="1" applyFill="1" applyBorder="1" applyAlignment="1">
      <alignment vertical="center"/>
    </xf>
    <xf numFmtId="0" fontId="5" fillId="40" borderId="0" xfId="11" applyNumberFormat="1" applyFont="1" applyFill="1" applyAlignment="1">
      <alignment vertical="center" wrapText="1"/>
    </xf>
    <xf numFmtId="167" fontId="5" fillId="0" borderId="0" xfId="17" applyFont="1"/>
    <xf numFmtId="49" fontId="0" fillId="35" borderId="0" xfId="11" applyNumberFormat="1" applyFont="1" applyFill="1" applyAlignment="1">
      <alignment horizontal="center"/>
    </xf>
    <xf numFmtId="0" fontId="0" fillId="0" borderId="0" xfId="11" applyNumberFormat="1" applyFont="1" applyAlignment="1">
      <alignment horizontal="center"/>
    </xf>
    <xf numFmtId="167" fontId="0" fillId="0" borderId="0" xfId="11" applyFont="1" applyAlignment="1">
      <alignment horizontal="center" vertical="center"/>
    </xf>
    <xf numFmtId="0" fontId="25" fillId="41" borderId="1" xfId="24" applyFont="1" applyFill="1" applyBorder="1" applyAlignment="1">
      <alignment horizontal="center" vertical="center" wrapText="1"/>
    </xf>
    <xf numFmtId="0" fontId="8" fillId="16" borderId="0" xfId="14" applyFill="1" applyAlignment="1">
      <alignment horizontal="center" vertical="center"/>
    </xf>
    <xf numFmtId="167" fontId="1" fillId="2" borderId="0" xfId="17" applyFill="1" applyAlignment="1">
      <alignment horizontal="center" vertical="center"/>
    </xf>
    <xf numFmtId="167" fontId="1" fillId="2" borderId="0" xfId="11" applyFill="1" applyAlignment="1">
      <alignment vertical="center"/>
    </xf>
    <xf numFmtId="165" fontId="5" fillId="34" borderId="0" xfId="9" applyNumberFormat="1" applyFont="1" applyFill="1" applyAlignment="1">
      <alignment horizontal="center" vertical="center"/>
    </xf>
    <xf numFmtId="167" fontId="0" fillId="0" borderId="0" xfId="0" applyNumberFormat="1"/>
    <xf numFmtId="172" fontId="2" fillId="2" borderId="1" xfId="0" applyNumberFormat="1" applyFont="1" applyFill="1" applyBorder="1" applyAlignment="1">
      <alignment horizontal="center"/>
    </xf>
    <xf numFmtId="171" fontId="0" fillId="9" borderId="0" xfId="0" applyNumberFormat="1" applyFill="1" applyAlignment="1">
      <alignment horizontal="center" vertical="center"/>
    </xf>
    <xf numFmtId="0" fontId="1" fillId="37" borderId="0" xfId="11" applyNumberFormat="1" applyFill="1"/>
    <xf numFmtId="0" fontId="0" fillId="27" borderId="68" xfId="11" applyNumberFormat="1" applyFont="1" applyFill="1" applyBorder="1" applyAlignment="1">
      <alignment horizontal="center" vertical="center" wrapText="1"/>
    </xf>
    <xf numFmtId="167" fontId="13" fillId="0" borderId="0" xfId="11" applyFont="1" applyAlignment="1">
      <alignment horizontal="center" vertical="center"/>
    </xf>
    <xf numFmtId="49" fontId="8" fillId="20" borderId="27" xfId="15" applyNumberFormat="1" applyFont="1" applyFill="1" applyBorder="1" applyAlignment="1">
      <alignment horizontal="center" vertical="center"/>
    </xf>
    <xf numFmtId="4" fontId="54" fillId="15" borderId="1" xfId="39" applyNumberFormat="1" applyFont="1" applyFill="1" applyBorder="1" applyAlignment="1">
      <alignment horizontal="center" vertical="center" wrapText="1"/>
    </xf>
    <xf numFmtId="0" fontId="54" fillId="15" borderId="1" xfId="39" applyFont="1" applyFill="1" applyBorder="1" applyAlignment="1">
      <alignment horizontal="center" vertical="center" wrapText="1"/>
    </xf>
    <xf numFmtId="0" fontId="0" fillId="0" borderId="0" xfId="11" applyNumberFormat="1" applyFont="1" applyAlignment="1">
      <alignment horizontal="center" vertical="center"/>
    </xf>
    <xf numFmtId="49" fontId="24" fillId="20" borderId="27" xfId="15" applyNumberFormat="1" applyFont="1" applyFill="1" applyBorder="1" applyAlignment="1">
      <alignment horizontal="center" vertical="center"/>
    </xf>
    <xf numFmtId="49" fontId="59" fillId="20" borderId="27" xfId="15" applyNumberFormat="1" applyFont="1" applyFill="1" applyBorder="1" applyAlignment="1">
      <alignment horizontal="center" vertical="center" wrapText="1"/>
    </xf>
    <xf numFmtId="0" fontId="0" fillId="13" borderId="66" xfId="11" applyNumberFormat="1" applyFont="1" applyFill="1" applyBorder="1" applyAlignment="1">
      <alignment horizontal="center" vertical="center" wrapText="1"/>
    </xf>
    <xf numFmtId="171" fontId="24" fillId="37" borderId="37" xfId="16" applyNumberFormat="1" applyFont="1" applyFill="1" applyBorder="1" applyAlignment="1">
      <alignment horizontal="center" vertical="center" wrapText="1"/>
    </xf>
    <xf numFmtId="171" fontId="24" fillId="0" borderId="0" xfId="16" applyNumberFormat="1" applyFont="1" applyFill="1" applyBorder="1" applyAlignment="1">
      <alignment horizontal="center" vertical="center"/>
    </xf>
    <xf numFmtId="0" fontId="0" fillId="27" borderId="68" xfId="11" applyNumberFormat="1" applyFont="1" applyFill="1" applyBorder="1" applyAlignment="1">
      <alignment horizontal="center" vertical="center"/>
    </xf>
    <xf numFmtId="0" fontId="0" fillId="13" borderId="68" xfId="11" applyNumberFormat="1" applyFont="1" applyFill="1" applyBorder="1" applyAlignment="1">
      <alignment horizontal="center" vertical="center"/>
    </xf>
    <xf numFmtId="49" fontId="1" fillId="0" borderId="0" xfId="11" applyNumberFormat="1" applyAlignment="1">
      <alignment horizontal="center" vertical="center"/>
    </xf>
    <xf numFmtId="4" fontId="54" fillId="37" borderId="53" xfId="39" applyNumberFormat="1" applyFont="1" applyFill="1" applyBorder="1" applyAlignment="1">
      <alignment horizontal="center" vertical="center"/>
    </xf>
    <xf numFmtId="0" fontId="2" fillId="27" borderId="1" xfId="11" applyNumberFormat="1" applyFont="1" applyFill="1" applyBorder="1" applyAlignment="1">
      <alignment horizontal="center" vertical="center" wrapText="1"/>
    </xf>
    <xf numFmtId="0" fontId="10" fillId="13" borderId="0" xfId="7" applyNumberFormat="1" applyFill="1" applyAlignment="1">
      <alignment horizontal="center" vertical="center"/>
    </xf>
    <xf numFmtId="49" fontId="68" fillId="0" borderId="0" xfId="7" applyNumberFormat="1" applyFont="1" applyFill="1" applyAlignment="1">
      <alignment horizontal="center" vertical="center"/>
    </xf>
    <xf numFmtId="167" fontId="0" fillId="0" borderId="0" xfId="11" applyFont="1" applyAlignment="1">
      <alignment horizontal="center"/>
    </xf>
    <xf numFmtId="49" fontId="68" fillId="0" borderId="0" xfId="7" applyNumberFormat="1" applyFont="1" applyFill="1" applyAlignment="1">
      <alignment horizontal="center"/>
    </xf>
    <xf numFmtId="4" fontId="68" fillId="0" borderId="0" xfId="9" applyNumberFormat="1" applyFont="1" applyFill="1" applyAlignment="1">
      <alignment horizontal="center"/>
    </xf>
    <xf numFmtId="0" fontId="0" fillId="27" borderId="66" xfId="11" applyNumberFormat="1" applyFont="1" applyFill="1" applyBorder="1" applyAlignment="1">
      <alignment horizontal="center" vertical="center"/>
    </xf>
    <xf numFmtId="167" fontId="1" fillId="0" borderId="0" xfId="17" applyAlignment="1">
      <alignment horizontal="center" vertical="center"/>
    </xf>
    <xf numFmtId="0" fontId="1" fillId="37" borderId="1" xfId="11" applyNumberFormat="1" applyFill="1" applyBorder="1" applyAlignment="1">
      <alignment vertical="center"/>
    </xf>
    <xf numFmtId="171" fontId="59" fillId="37" borderId="37" xfId="16" applyNumberFormat="1" applyFont="1" applyFill="1" applyBorder="1" applyAlignment="1">
      <alignment horizontal="center" vertical="center" wrapText="1"/>
    </xf>
    <xf numFmtId="167" fontId="55" fillId="0" borderId="0" xfId="11" applyFont="1"/>
    <xf numFmtId="49" fontId="0" fillId="0" borderId="2" xfId="1" applyNumberFormat="1" applyFont="1" applyFill="1" applyBorder="1" applyAlignment="1">
      <alignment vertical="center"/>
    </xf>
    <xf numFmtId="167" fontId="1" fillId="0" borderId="21" xfId="1" applyFill="1" applyBorder="1" applyAlignment="1">
      <alignment horizontal="left" vertical="center"/>
    </xf>
    <xf numFmtId="49" fontId="0" fillId="0" borderId="0" xfId="1" applyNumberFormat="1" applyFont="1" applyFill="1" applyAlignment="1">
      <alignment vertical="center"/>
    </xf>
    <xf numFmtId="167" fontId="1" fillId="0" borderId="0" xfId="1" applyFill="1" applyBorder="1" applyAlignment="1">
      <alignment vertical="center"/>
    </xf>
    <xf numFmtId="49" fontId="0" fillId="0" borderId="0" xfId="1" applyNumberFormat="1" applyFont="1" applyFill="1"/>
    <xf numFmtId="167" fontId="1" fillId="0" borderId="0" xfId="1" applyFill="1" applyAlignment="1">
      <alignment horizontal="center"/>
    </xf>
    <xf numFmtId="167" fontId="1" fillId="4" borderId="0" xfId="1" applyFill="1"/>
    <xf numFmtId="167" fontId="1" fillId="0" borderId="2" xfId="1" applyBorder="1"/>
    <xf numFmtId="1" fontId="1" fillId="0" borderId="2" xfId="1" applyNumberFormat="1" applyFill="1" applyBorder="1" applyAlignment="1">
      <alignment horizontal="center"/>
    </xf>
    <xf numFmtId="1" fontId="1" fillId="0" borderId="2" xfId="1" quotePrefix="1" applyNumberFormat="1" applyBorder="1"/>
    <xf numFmtId="168" fontId="1" fillId="0" borderId="2" xfId="1" applyNumberFormat="1" applyBorder="1" applyAlignment="1">
      <alignment horizontal="center"/>
    </xf>
    <xf numFmtId="167" fontId="1" fillId="5" borderId="2" xfId="1" applyFill="1" applyBorder="1" applyAlignment="1">
      <alignment horizontal="center"/>
    </xf>
    <xf numFmtId="167" fontId="1" fillId="5" borderId="2" xfId="1" applyFill="1" applyBorder="1"/>
    <xf numFmtId="167" fontId="71" fillId="43" borderId="2" xfId="1" applyFont="1" applyFill="1" applyBorder="1"/>
    <xf numFmtId="49" fontId="1" fillId="0" borderId="2" xfId="1" applyNumberFormat="1" applyFill="1" applyBorder="1" applyAlignment="1">
      <alignment horizontal="center"/>
    </xf>
    <xf numFmtId="168" fontId="1" fillId="4" borderId="2" xfId="1" applyNumberFormat="1" applyFill="1" applyBorder="1" applyAlignment="1">
      <alignment horizontal="center"/>
    </xf>
    <xf numFmtId="167" fontId="1" fillId="0" borderId="73" xfId="1" applyBorder="1"/>
    <xf numFmtId="167" fontId="1" fillId="6" borderId="73" xfId="1" applyFill="1" applyBorder="1"/>
    <xf numFmtId="1" fontId="1" fillId="6" borderId="73" xfId="1" applyNumberFormat="1" applyFill="1" applyBorder="1" applyAlignment="1">
      <alignment horizontal="center"/>
    </xf>
    <xf numFmtId="1" fontId="1" fillId="6" borderId="0" xfId="1" quotePrefix="1" applyNumberFormat="1" applyFill="1" applyBorder="1"/>
    <xf numFmtId="167" fontId="1" fillId="6" borderId="0" xfId="1" applyFill="1" applyBorder="1"/>
    <xf numFmtId="1" fontId="1" fillId="0" borderId="73" xfId="1" quotePrefix="1" applyNumberFormat="1" applyBorder="1"/>
    <xf numFmtId="168" fontId="1" fillId="0" borderId="73" xfId="1" applyNumberFormat="1" applyBorder="1" applyAlignment="1">
      <alignment horizontal="center"/>
    </xf>
    <xf numFmtId="167" fontId="1" fillId="5" borderId="73" xfId="1" applyFill="1" applyBorder="1" applyAlignment="1">
      <alignment horizontal="center"/>
    </xf>
    <xf numFmtId="167" fontId="1" fillId="5" borderId="73" xfId="1" applyFill="1" applyBorder="1"/>
    <xf numFmtId="167" fontId="1" fillId="14" borderId="73" xfId="1" applyFill="1" applyBorder="1"/>
    <xf numFmtId="49" fontId="1" fillId="0" borderId="73" xfId="1" applyNumberFormat="1" applyFill="1" applyBorder="1" applyAlignment="1">
      <alignment horizontal="center"/>
    </xf>
    <xf numFmtId="168" fontId="1" fillId="6" borderId="73" xfId="1" applyNumberFormat="1" applyFill="1" applyBorder="1" applyAlignment="1">
      <alignment horizontal="center"/>
    </xf>
    <xf numFmtId="1" fontId="1" fillId="6" borderId="0" xfId="1" applyNumberFormat="1" applyFill="1" applyBorder="1" applyAlignment="1">
      <alignment horizontal="center"/>
    </xf>
    <xf numFmtId="1" fontId="1" fillId="6" borderId="74" xfId="1" quotePrefix="1" applyNumberFormat="1" applyFill="1" applyBorder="1"/>
    <xf numFmtId="167" fontId="1" fillId="6" borderId="74" xfId="1" applyFill="1" applyBorder="1"/>
    <xf numFmtId="1" fontId="1" fillId="0" borderId="0" xfId="1" quotePrefix="1" applyNumberFormat="1" applyBorder="1"/>
    <xf numFmtId="168" fontId="1" fillId="0" borderId="0" xfId="1" applyNumberFormat="1" applyBorder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7" fontId="1" fillId="5" borderId="0" xfId="1" applyFill="1" applyBorder="1" applyAlignment="1">
      <alignment horizontal="center"/>
    </xf>
    <xf numFmtId="167" fontId="1" fillId="5" borderId="0" xfId="1" applyFill="1" applyBorder="1"/>
    <xf numFmtId="167" fontId="1" fillId="14" borderId="0" xfId="1" applyFill="1" applyBorder="1"/>
    <xf numFmtId="49" fontId="1" fillId="0" borderId="0" xfId="1" applyNumberFormat="1" applyFill="1" applyBorder="1" applyAlignment="1">
      <alignment horizontal="center"/>
    </xf>
    <xf numFmtId="168" fontId="1" fillId="6" borderId="0" xfId="1" applyNumberFormat="1" applyFill="1" applyBorder="1" applyAlignment="1">
      <alignment horizontal="center"/>
    </xf>
    <xf numFmtId="167" fontId="1" fillId="0" borderId="74" xfId="1" applyBorder="1"/>
    <xf numFmtId="1" fontId="1" fillId="6" borderId="74" xfId="1" applyNumberFormat="1" applyFill="1" applyBorder="1" applyAlignment="1">
      <alignment horizontal="center"/>
    </xf>
    <xf numFmtId="1" fontId="1" fillId="0" borderId="74" xfId="1" quotePrefix="1" applyNumberFormat="1" applyBorder="1"/>
    <xf numFmtId="168" fontId="1" fillId="0" borderId="74" xfId="1" applyNumberFormat="1" applyBorder="1" applyAlignment="1">
      <alignment horizontal="center"/>
    </xf>
    <xf numFmtId="167" fontId="1" fillId="5" borderId="74" xfId="1" applyFill="1" applyBorder="1" applyAlignment="1">
      <alignment horizontal="center"/>
    </xf>
    <xf numFmtId="167" fontId="1" fillId="5" borderId="74" xfId="1" applyFill="1" applyBorder="1"/>
    <xf numFmtId="167" fontId="1" fillId="14" borderId="74" xfId="1" applyFill="1" applyBorder="1"/>
    <xf numFmtId="49" fontId="1" fillId="0" borderId="74" xfId="1" applyNumberFormat="1" applyFill="1" applyBorder="1" applyAlignment="1">
      <alignment horizontal="center"/>
    </xf>
    <xf numFmtId="168" fontId="1" fillId="6" borderId="74" xfId="1" applyNumberFormat="1" applyFill="1" applyBorder="1" applyAlignment="1">
      <alignment horizontal="center"/>
    </xf>
    <xf numFmtId="1" fontId="1" fillId="6" borderId="73" xfId="1" quotePrefix="1" applyNumberFormat="1" applyFill="1" applyBorder="1"/>
    <xf numFmtId="167" fontId="0" fillId="13" borderId="73" xfId="1" applyFont="1" applyFill="1" applyBorder="1"/>
    <xf numFmtId="1" fontId="1" fillId="0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7" fontId="1" fillId="13" borderId="0" xfId="1" applyFill="1" applyBorder="1"/>
    <xf numFmtId="167" fontId="0" fillId="0" borderId="0" xfId="1" applyFont="1" applyBorder="1"/>
    <xf numFmtId="168" fontId="1" fillId="4" borderId="0" xfId="1" applyNumberFormat="1" applyFill="1" applyBorder="1" applyAlignment="1">
      <alignment horizontal="center"/>
    </xf>
    <xf numFmtId="167" fontId="1" fillId="0" borderId="75" xfId="1" applyBorder="1"/>
    <xf numFmtId="1" fontId="1" fillId="0" borderId="75" xfId="1" applyNumberFormat="1" applyFill="1" applyBorder="1" applyAlignment="1">
      <alignment horizontal="center"/>
    </xf>
    <xf numFmtId="1" fontId="1" fillId="0" borderId="75" xfId="1" quotePrefix="1" applyNumberFormat="1" applyBorder="1"/>
    <xf numFmtId="168" fontId="1" fillId="0" borderId="75" xfId="1" applyNumberFormat="1" applyBorder="1" applyAlignment="1">
      <alignment horizontal="center"/>
    </xf>
    <xf numFmtId="167" fontId="1" fillId="5" borderId="75" xfId="1" applyFill="1" applyBorder="1" applyAlignment="1">
      <alignment horizontal="center"/>
    </xf>
    <xf numFmtId="167" fontId="1" fillId="5" borderId="75" xfId="1" applyFill="1" applyBorder="1"/>
    <xf numFmtId="167" fontId="1" fillId="12" borderId="75" xfId="1" applyFill="1" applyBorder="1"/>
    <xf numFmtId="49" fontId="1" fillId="0" borderId="75" xfId="1" applyNumberFormat="1" applyFill="1" applyBorder="1" applyAlignment="1">
      <alignment horizontal="center"/>
    </xf>
    <xf numFmtId="168" fontId="1" fillId="4" borderId="75" xfId="1" applyNumberFormat="1" applyFill="1" applyBorder="1" applyAlignment="1">
      <alignment horizontal="center"/>
    </xf>
    <xf numFmtId="167" fontId="1" fillId="0" borderId="4" xfId="1" applyBorder="1"/>
    <xf numFmtId="1" fontId="1" fillId="0" borderId="4" xfId="1" applyNumberFormat="1" applyFill="1" applyBorder="1" applyAlignment="1">
      <alignment horizontal="center"/>
    </xf>
    <xf numFmtId="1" fontId="1" fillId="0" borderId="4" xfId="1" quotePrefix="1" applyNumberFormat="1" applyBorder="1"/>
    <xf numFmtId="167" fontId="0" fillId="0" borderId="4" xfId="1" applyFont="1" applyBorder="1"/>
    <xf numFmtId="168" fontId="1" fillId="0" borderId="4" xfId="1" applyNumberFormat="1" applyBorder="1" applyAlignment="1">
      <alignment horizontal="center"/>
    </xf>
    <xf numFmtId="167" fontId="0" fillId="5" borderId="4" xfId="1" applyFont="1" applyFill="1" applyBorder="1" applyAlignment="1">
      <alignment horizontal="center"/>
    </xf>
    <xf numFmtId="167" fontId="1" fillId="5" borderId="4" xfId="1" applyFill="1" applyBorder="1"/>
    <xf numFmtId="167" fontId="1" fillId="11" borderId="4" xfId="1" applyFill="1" applyBorder="1"/>
    <xf numFmtId="49" fontId="1" fillId="0" borderId="4" xfId="1" applyNumberFormat="1" applyFill="1" applyBorder="1" applyAlignment="1">
      <alignment horizontal="center"/>
    </xf>
    <xf numFmtId="49" fontId="0" fillId="0" borderId="4" xfId="1" applyNumberFormat="1" applyFont="1" applyFill="1" applyBorder="1" applyAlignment="1">
      <alignment horizontal="center"/>
    </xf>
    <xf numFmtId="168" fontId="1" fillId="4" borderId="4" xfId="1" applyNumberFormat="1" applyFill="1" applyBorder="1" applyAlignment="1">
      <alignment horizontal="center"/>
    </xf>
    <xf numFmtId="167" fontId="1" fillId="0" borderId="76" xfId="1" applyBorder="1"/>
    <xf numFmtId="1" fontId="1" fillId="0" borderId="76" xfId="1" applyNumberFormat="1" applyFill="1" applyBorder="1" applyAlignment="1">
      <alignment horizontal="center"/>
    </xf>
    <xf numFmtId="1" fontId="1" fillId="0" borderId="76" xfId="1" quotePrefix="1" applyNumberFormat="1" applyBorder="1"/>
    <xf numFmtId="168" fontId="1" fillId="0" borderId="76" xfId="1" applyNumberFormat="1" applyBorder="1" applyAlignment="1">
      <alignment horizontal="center"/>
    </xf>
    <xf numFmtId="167" fontId="1" fillId="5" borderId="76" xfId="1" applyFill="1" applyBorder="1" applyAlignment="1">
      <alignment horizontal="center"/>
    </xf>
    <xf numFmtId="167" fontId="1" fillId="5" borderId="76" xfId="1" applyFill="1" applyBorder="1"/>
    <xf numFmtId="167" fontId="1" fillId="11" borderId="76" xfId="1" applyFill="1" applyBorder="1"/>
    <xf numFmtId="49" fontId="1" fillId="0" borderId="76" xfId="1" applyNumberFormat="1" applyFill="1" applyBorder="1" applyAlignment="1">
      <alignment horizontal="center"/>
    </xf>
    <xf numFmtId="168" fontId="1" fillId="6" borderId="76" xfId="1" applyNumberFormat="1" applyFill="1" applyBorder="1" applyAlignment="1">
      <alignment horizontal="center"/>
    </xf>
    <xf numFmtId="167" fontId="1" fillId="0" borderId="2" xfId="1" applyBorder="1" applyAlignment="1">
      <alignment horizontal="center"/>
    </xf>
    <xf numFmtId="167" fontId="1" fillId="4" borderId="2" xfId="1" applyFill="1" applyBorder="1"/>
    <xf numFmtId="167" fontId="1" fillId="0" borderId="3" xfId="1" applyBorder="1"/>
    <xf numFmtId="1" fontId="1" fillId="0" borderId="3" xfId="1" applyNumberFormat="1" applyFill="1" applyBorder="1" applyAlignment="1">
      <alignment horizontal="center"/>
    </xf>
    <xf numFmtId="1" fontId="1" fillId="0" borderId="3" xfId="1" quotePrefix="1" applyNumberFormat="1" applyBorder="1"/>
    <xf numFmtId="168" fontId="1" fillId="0" borderId="3" xfId="1" applyNumberFormat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7" fontId="1" fillId="5" borderId="3" xfId="1" applyFill="1" applyBorder="1" applyAlignment="1">
      <alignment horizontal="center"/>
    </xf>
    <xf numFmtId="167" fontId="1" fillId="5" borderId="3" xfId="1" applyFill="1" applyBorder="1"/>
    <xf numFmtId="167" fontId="1" fillId="44" borderId="3" xfId="1" applyFill="1" applyBorder="1"/>
    <xf numFmtId="168" fontId="1" fillId="4" borderId="3" xfId="1" applyNumberFormat="1" applyFill="1" applyBorder="1" applyAlignment="1">
      <alignment horizontal="center"/>
    </xf>
    <xf numFmtId="0" fontId="1" fillId="0" borderId="0" xfId="1" applyNumberFormat="1" applyBorder="1"/>
    <xf numFmtId="168" fontId="1" fillId="4" borderId="0" xfId="1" applyNumberFormat="1" applyFill="1" applyBorder="1"/>
    <xf numFmtId="167" fontId="1" fillId="0" borderId="77" xfId="1" applyBorder="1"/>
    <xf numFmtId="0" fontId="1" fillId="0" borderId="77" xfId="1" applyNumberFormat="1" applyBorder="1"/>
    <xf numFmtId="168" fontId="1" fillId="0" borderId="77" xfId="1" applyNumberFormat="1" applyBorder="1" applyAlignment="1">
      <alignment horizontal="center"/>
    </xf>
    <xf numFmtId="167" fontId="1" fillId="5" borderId="77" xfId="1" applyFill="1" applyBorder="1" applyAlignment="1">
      <alignment horizontal="center"/>
    </xf>
    <xf numFmtId="167" fontId="1" fillId="5" borderId="77" xfId="1" applyFill="1" applyBorder="1"/>
    <xf numFmtId="167" fontId="1" fillId="10" borderId="77" xfId="1" applyFill="1" applyBorder="1"/>
    <xf numFmtId="0" fontId="1" fillId="0" borderId="77" xfId="1" applyNumberFormat="1" applyBorder="1" applyAlignment="1">
      <alignment horizontal="center"/>
    </xf>
    <xf numFmtId="49" fontId="1" fillId="0" borderId="77" xfId="1" applyNumberFormat="1" applyFill="1" applyBorder="1" applyAlignment="1">
      <alignment horizontal="center"/>
    </xf>
    <xf numFmtId="168" fontId="1" fillId="6" borderId="77" xfId="1" applyNumberFormat="1" applyFill="1" applyBorder="1"/>
    <xf numFmtId="168" fontId="1" fillId="4" borderId="0" xfId="1" applyNumberFormat="1" applyFill="1"/>
    <xf numFmtId="167" fontId="10" fillId="9" borderId="0" xfId="7" applyFill="1" applyBorder="1"/>
    <xf numFmtId="167" fontId="1" fillId="5" borderId="4" xfId="1" applyFill="1" applyBorder="1" applyAlignment="1">
      <alignment horizontal="center"/>
    </xf>
    <xf numFmtId="14" fontId="1" fillId="0" borderId="3" xfId="1" applyNumberFormat="1" applyBorder="1"/>
    <xf numFmtId="1" fontId="10" fillId="45" borderId="3" xfId="7" quotePrefix="1" applyNumberFormat="1" applyFill="1" applyBorder="1"/>
    <xf numFmtId="167" fontId="1" fillId="45" borderId="3" xfId="1" applyFill="1" applyBorder="1"/>
    <xf numFmtId="0" fontId="1" fillId="0" borderId="3" xfId="1" applyNumberFormat="1" applyBorder="1" applyAlignment="1">
      <alignment horizontal="center"/>
    </xf>
    <xf numFmtId="168" fontId="1" fillId="6" borderId="3" xfId="1" applyNumberFormat="1" applyFill="1" applyBorder="1" applyAlignment="1">
      <alignment horizontal="center"/>
    </xf>
    <xf numFmtId="14" fontId="1" fillId="0" borderId="2" xfId="1" applyNumberFormat="1" applyBorder="1"/>
    <xf numFmtId="167" fontId="0" fillId="0" borderId="2" xfId="1" applyFont="1" applyBorder="1"/>
    <xf numFmtId="167" fontId="9" fillId="5" borderId="2" xfId="4" applyFont="1" applyFill="1" applyBorder="1"/>
    <xf numFmtId="167" fontId="0" fillId="8" borderId="2" xfId="1" applyFont="1" applyFill="1" applyBorder="1"/>
    <xf numFmtId="49" fontId="1" fillId="0" borderId="2" xfId="1" applyNumberFormat="1" applyBorder="1" applyAlignment="1">
      <alignment horizontal="center"/>
    </xf>
    <xf numFmtId="1" fontId="1" fillId="0" borderId="2" xfId="1" applyNumberFormat="1" applyBorder="1" applyAlignment="1">
      <alignment horizontal="center"/>
    </xf>
    <xf numFmtId="14" fontId="1" fillId="0" borderId="0" xfId="1" applyNumberFormat="1"/>
    <xf numFmtId="168" fontId="1" fillId="0" borderId="0" xfId="1" applyNumberFormat="1" applyFill="1" applyAlignment="1">
      <alignment horizontal="center"/>
    </xf>
    <xf numFmtId="1" fontId="1" fillId="5" borderId="0" xfId="1" applyNumberFormat="1" applyFill="1" applyAlignment="1">
      <alignment horizontal="center"/>
    </xf>
    <xf numFmtId="167" fontId="9" fillId="5" borderId="0" xfId="6" applyFont="1" applyFill="1"/>
    <xf numFmtId="49" fontId="1" fillId="0" borderId="0" xfId="1" applyNumberFormat="1" applyBorder="1" applyAlignment="1">
      <alignment horizontal="center"/>
    </xf>
    <xf numFmtId="1" fontId="1" fillId="0" borderId="0" xfId="1" applyNumberFormat="1" applyAlignment="1">
      <alignment horizontal="center"/>
    </xf>
    <xf numFmtId="168" fontId="1" fillId="6" borderId="0" xfId="1" applyNumberFormat="1" applyFill="1" applyAlignment="1">
      <alignment horizontal="center"/>
    </xf>
    <xf numFmtId="1" fontId="1" fillId="0" borderId="0" xfId="1" quotePrefix="1" applyNumberFormat="1"/>
    <xf numFmtId="168" fontId="1" fillId="0" borderId="0" xfId="1" applyNumberFormat="1" applyAlignment="1">
      <alignment horizontal="center"/>
    </xf>
    <xf numFmtId="167" fontId="1" fillId="5" borderId="0" xfId="1" applyFill="1" applyAlignment="1">
      <alignment horizontal="center"/>
    </xf>
    <xf numFmtId="167" fontId="9" fillId="5" borderId="0" xfId="5" applyFont="1" applyFill="1"/>
    <xf numFmtId="167" fontId="9" fillId="5" borderId="0" xfId="4" applyFont="1" applyFill="1"/>
    <xf numFmtId="168" fontId="1" fillId="4" borderId="0" xfId="1" applyNumberFormat="1" applyFill="1" applyAlignment="1">
      <alignment horizontal="center"/>
    </xf>
    <xf numFmtId="19" fontId="1" fillId="0" borderId="0" xfId="1" applyNumberFormat="1"/>
    <xf numFmtId="167" fontId="9" fillId="5" borderId="0" xfId="3" applyFont="1" applyFill="1"/>
    <xf numFmtId="167" fontId="9" fillId="5" borderId="0" xfId="2" applyFont="1" applyFill="1"/>
    <xf numFmtId="167" fontId="1" fillId="5" borderId="0" xfId="1" applyFill="1"/>
    <xf numFmtId="167" fontId="1" fillId="8" borderId="3" xfId="1" applyFill="1" applyBorder="1"/>
    <xf numFmtId="49" fontId="1" fillId="0" borderId="3" xfId="1" applyNumberFormat="1" applyBorder="1" applyAlignment="1">
      <alignment horizontal="center"/>
    </xf>
    <xf numFmtId="1" fontId="1" fillId="0" borderId="0" xfId="1" quotePrefix="1" applyNumberFormat="1" applyFill="1"/>
    <xf numFmtId="169" fontId="1" fillId="0" borderId="0" xfId="1" applyNumberFormat="1" applyFill="1" applyAlignment="1">
      <alignment horizontal="center"/>
    </xf>
    <xf numFmtId="169" fontId="1" fillId="0" borderId="0" xfId="1" quotePrefix="1" applyNumberFormat="1"/>
    <xf numFmtId="169" fontId="0" fillId="0" borderId="0" xfId="1" quotePrefix="1" applyNumberFormat="1" applyFont="1"/>
    <xf numFmtId="167" fontId="5" fillId="0" borderId="0" xfId="1" applyFont="1" applyFill="1" applyBorder="1" applyAlignment="1">
      <alignment vertical="center"/>
    </xf>
    <xf numFmtId="169" fontId="1" fillId="0" borderId="0" xfId="1" applyNumberFormat="1" applyAlignment="1">
      <alignment horizontal="center"/>
    </xf>
    <xf numFmtId="167" fontId="1" fillId="2" borderId="0" xfId="1" applyFill="1" applyBorder="1"/>
    <xf numFmtId="49" fontId="0" fillId="0" borderId="0" xfId="1" applyNumberFormat="1" applyFont="1" applyAlignment="1">
      <alignment horizontal="center"/>
    </xf>
    <xf numFmtId="169" fontId="1" fillId="0" borderId="0" xfId="1" quotePrefix="1" applyNumberFormat="1" applyFill="1"/>
    <xf numFmtId="169" fontId="1" fillId="0" borderId="0" xfId="1" quotePrefix="1" applyNumberFormat="1" applyBorder="1"/>
    <xf numFmtId="167" fontId="1" fillId="7" borderId="0" xfId="1" applyFill="1" applyBorder="1"/>
    <xf numFmtId="169" fontId="1" fillId="0" borderId="0" xfId="1" applyNumberFormat="1" applyBorder="1" applyAlignment="1">
      <alignment horizontal="center"/>
    </xf>
    <xf numFmtId="169" fontId="1" fillId="0" borderId="3" xfId="1" quotePrefix="1" applyNumberFormat="1" applyBorder="1"/>
    <xf numFmtId="169" fontId="1" fillId="0" borderId="3" xfId="1" applyNumberFormat="1" applyBorder="1" applyAlignment="1">
      <alignment horizontal="center"/>
    </xf>
    <xf numFmtId="167" fontId="7" fillId="5" borderId="0" xfId="1" applyFont="1" applyFill="1"/>
    <xf numFmtId="168" fontId="1" fillId="5" borderId="0" xfId="1" applyNumberFormat="1" applyFill="1" applyAlignment="1">
      <alignment horizontal="center"/>
    </xf>
    <xf numFmtId="167" fontId="0" fillId="5" borderId="0" xfId="1" applyFont="1" applyFill="1" applyAlignment="1">
      <alignment horizontal="center"/>
    </xf>
    <xf numFmtId="167" fontId="0" fillId="5" borderId="0" xfId="1" applyFont="1" applyFill="1"/>
    <xf numFmtId="167" fontId="7" fillId="5" borderId="2" xfId="1" applyFont="1" applyFill="1" applyBorder="1"/>
    <xf numFmtId="49" fontId="2" fillId="5" borderId="0" xfId="1" applyNumberFormat="1" applyFont="1" applyFill="1"/>
    <xf numFmtId="49" fontId="1" fillId="5" borderId="0" xfId="1" applyNumberFormat="1" applyFill="1" applyAlignment="1">
      <alignment horizontal="center"/>
    </xf>
    <xf numFmtId="49" fontId="0" fillId="5" borderId="0" xfId="1" applyNumberFormat="1" applyFont="1" applyFill="1" applyAlignment="1">
      <alignment horizontal="center"/>
    </xf>
    <xf numFmtId="167" fontId="7" fillId="3" borderId="0" xfId="1" applyFont="1" applyFill="1"/>
    <xf numFmtId="167" fontId="7" fillId="3" borderId="0" xfId="1" applyFont="1" applyFill="1" applyAlignment="1">
      <alignment horizontal="center"/>
    </xf>
    <xf numFmtId="167" fontId="1" fillId="2" borderId="0" xfId="1" applyFill="1"/>
    <xf numFmtId="167" fontId="1" fillId="2" borderId="0" xfId="1" applyFill="1" applyAlignment="1">
      <alignment horizontal="center"/>
    </xf>
    <xf numFmtId="167" fontId="5" fillId="2" borderId="0" xfId="1" applyFont="1" applyFill="1" applyAlignment="1">
      <alignment horizontal="left"/>
    </xf>
    <xf numFmtId="0" fontId="1" fillId="0" borderId="17" xfId="1" applyNumberFormat="1" applyFill="1" applyBorder="1" applyAlignment="1">
      <alignment horizontal="center" vertical="center"/>
    </xf>
    <xf numFmtId="0" fontId="1" fillId="0" borderId="0" xfId="1" applyNumberFormat="1" applyFill="1" applyAlignment="1">
      <alignment horizontal="center" vertical="center"/>
    </xf>
    <xf numFmtId="0" fontId="1" fillId="0" borderId="2" xfId="1" applyNumberFormat="1" applyFill="1" applyBorder="1" applyAlignment="1">
      <alignment horizontal="center" vertical="center"/>
    </xf>
    <xf numFmtId="0" fontId="1" fillId="0" borderId="0" xfId="1" applyNumberFormat="1" applyFill="1" applyBorder="1" applyAlignment="1">
      <alignment horizontal="center" vertical="center"/>
    </xf>
    <xf numFmtId="0" fontId="7" fillId="0" borderId="3" xfId="1" applyNumberFormat="1" applyFont="1" applyFill="1" applyBorder="1" applyAlignment="1">
      <alignment horizontal="center" vertical="center"/>
    </xf>
    <xf numFmtId="0" fontId="1" fillId="0" borderId="0" xfId="1" applyNumberFormat="1" applyAlignment="1">
      <alignment horizontal="center" vertical="center"/>
    </xf>
    <xf numFmtId="0" fontId="7" fillId="0" borderId="0" xfId="1" applyNumberFormat="1" applyFont="1" applyFill="1" applyBorder="1" applyAlignment="1">
      <alignment horizontal="center" vertical="center"/>
    </xf>
    <xf numFmtId="0" fontId="7" fillId="0" borderId="20" xfId="1" applyNumberFormat="1" applyFont="1" applyFill="1" applyBorder="1" applyAlignment="1">
      <alignment horizontal="center" vertical="center"/>
    </xf>
    <xf numFmtId="0" fontId="1" fillId="0" borderId="0" xfId="1" applyNumberFormat="1" applyBorder="1" applyAlignment="1">
      <alignment horizontal="center" vertical="center"/>
    </xf>
    <xf numFmtId="0" fontId="7" fillId="0" borderId="0" xfId="1" applyNumberFormat="1" applyFont="1" applyFill="1" applyAlignment="1">
      <alignment horizontal="center" vertical="center"/>
    </xf>
    <xf numFmtId="167" fontId="3" fillId="0" borderId="0" xfId="1" applyFont="1" applyAlignment="1">
      <alignment horizontal="center" vertical="center"/>
    </xf>
    <xf numFmtId="167" fontId="1" fillId="0" borderId="0" xfId="1" applyAlignment="1">
      <alignment horizontal="center" vertical="center"/>
    </xf>
    <xf numFmtId="167" fontId="7" fillId="0" borderId="0" xfId="1" applyFont="1" applyAlignment="1">
      <alignment horizontal="center" vertical="center"/>
    </xf>
    <xf numFmtId="0" fontId="7" fillId="16" borderId="0" xfId="1" applyNumberFormat="1" applyFont="1" applyFill="1" applyAlignment="1">
      <alignment horizontal="center" vertical="center"/>
    </xf>
    <xf numFmtId="167" fontId="1" fillId="0" borderId="0" xfId="1" applyFill="1" applyAlignment="1">
      <alignment horizontal="center" vertical="center"/>
    </xf>
    <xf numFmtId="49" fontId="0" fillId="3" borderId="23" xfId="1" applyNumberFormat="1" applyFont="1" applyFill="1" applyBorder="1" applyAlignment="1">
      <alignment vertical="center"/>
    </xf>
    <xf numFmtId="167" fontId="1" fillId="3" borderId="0" xfId="1" applyFill="1" applyBorder="1" applyAlignment="1">
      <alignment horizontal="left" vertical="center"/>
    </xf>
    <xf numFmtId="167" fontId="7" fillId="3" borderId="0" xfId="1" applyFont="1" applyFill="1" applyBorder="1" applyAlignment="1">
      <alignment vertical="center"/>
    </xf>
    <xf numFmtId="167" fontId="7" fillId="3" borderId="12" xfId="1" applyFont="1" applyFill="1" applyBorder="1" applyAlignment="1">
      <alignment vertical="center"/>
    </xf>
    <xf numFmtId="167" fontId="0" fillId="3" borderId="11" xfId="1" applyFont="1" applyFill="1" applyBorder="1"/>
    <xf numFmtId="167" fontId="0" fillId="3" borderId="0" xfId="1" applyFont="1" applyFill="1" applyBorder="1" applyAlignment="1">
      <alignment vertical="center"/>
    </xf>
    <xf numFmtId="49" fontId="0" fillId="3" borderId="0" xfId="1" applyNumberFormat="1" applyFont="1" applyFill="1" applyAlignment="1">
      <alignment vertical="center"/>
    </xf>
    <xf numFmtId="167" fontId="1" fillId="3" borderId="11" xfId="1" applyFill="1" applyBorder="1" applyAlignment="1">
      <alignment horizontal="left" vertical="center"/>
    </xf>
    <xf numFmtId="49" fontId="1" fillId="3" borderId="0" xfId="1" applyNumberFormat="1" applyFill="1" applyBorder="1" applyAlignment="1">
      <alignment horizontal="center" vertical="center"/>
    </xf>
    <xf numFmtId="167" fontId="0" fillId="3" borderId="11" xfId="1" applyFont="1" applyFill="1" applyBorder="1" applyAlignment="1">
      <alignment vertical="center"/>
    </xf>
    <xf numFmtId="167" fontId="1" fillId="3" borderId="0" xfId="1" applyFill="1" applyBorder="1" applyAlignment="1">
      <alignment vertical="center"/>
    </xf>
    <xf numFmtId="49" fontId="0" fillId="3" borderId="2" xfId="1" applyNumberFormat="1" applyFont="1" applyFill="1" applyBorder="1" applyAlignment="1">
      <alignment vertical="center"/>
    </xf>
    <xf numFmtId="167" fontId="7" fillId="3" borderId="13" xfId="1" applyFont="1" applyFill="1" applyBorder="1" applyAlignment="1">
      <alignment vertical="center"/>
    </xf>
    <xf numFmtId="167" fontId="7" fillId="3" borderId="2" xfId="1" applyFont="1" applyFill="1" applyBorder="1" applyAlignment="1">
      <alignment vertical="center"/>
    </xf>
    <xf numFmtId="167" fontId="7" fillId="3" borderId="14" xfId="1" applyFont="1" applyFill="1" applyBorder="1" applyAlignment="1">
      <alignment vertical="center"/>
    </xf>
    <xf numFmtId="167" fontId="0" fillId="3" borderId="13" xfId="1" applyFont="1" applyFill="1" applyBorder="1" applyAlignment="1">
      <alignment vertical="center"/>
    </xf>
    <xf numFmtId="167" fontId="0" fillId="3" borderId="2" xfId="1" applyFont="1" applyFill="1" applyBorder="1" applyAlignment="1">
      <alignment vertical="center"/>
    </xf>
    <xf numFmtId="167" fontId="7" fillId="3" borderId="2" xfId="1" applyFont="1" applyFill="1" applyBorder="1"/>
    <xf numFmtId="167" fontId="0" fillId="2" borderId="18" xfId="1" applyFont="1" applyFill="1" applyBorder="1" applyAlignment="1">
      <alignment vertical="center"/>
    </xf>
    <xf numFmtId="167" fontId="0" fillId="2" borderId="17" xfId="1" applyFont="1" applyFill="1" applyBorder="1" applyAlignment="1">
      <alignment vertical="center"/>
    </xf>
    <xf numFmtId="167" fontId="1" fillId="0" borderId="12" xfId="1" applyFont="1" applyFill="1" applyBorder="1" applyAlignment="1">
      <alignment vertical="center"/>
    </xf>
    <xf numFmtId="167" fontId="0" fillId="2" borderId="11" xfId="1" applyFont="1" applyFill="1" applyBorder="1" applyAlignment="1">
      <alignment vertical="center"/>
    </xf>
    <xf numFmtId="167" fontId="0" fillId="2" borderId="13" xfId="1" applyFont="1" applyFill="1" applyBorder="1" applyAlignment="1">
      <alignment vertical="center"/>
    </xf>
    <xf numFmtId="167" fontId="0" fillId="2" borderId="0" xfId="1" applyFont="1" applyFill="1" applyBorder="1" applyAlignment="1">
      <alignment vertical="center"/>
    </xf>
    <xf numFmtId="167" fontId="0" fillId="2" borderId="2" xfId="1" applyFont="1" applyFill="1" applyBorder="1" applyAlignment="1">
      <alignment vertical="center"/>
    </xf>
    <xf numFmtId="0" fontId="0" fillId="0" borderId="0" xfId="1" applyNumberFormat="1" applyFont="1" applyFill="1" applyAlignment="1">
      <alignment horizontal="center" vertical="center"/>
    </xf>
    <xf numFmtId="0" fontId="1" fillId="0" borderId="0" xfId="1" applyNumberFormat="1" applyFont="1" applyFill="1" applyAlignment="1">
      <alignment horizontal="center" vertical="center"/>
    </xf>
    <xf numFmtId="0" fontId="0" fillId="0" borderId="2" xfId="1" applyNumberFormat="1" applyFont="1" applyFill="1" applyBorder="1" applyAlignment="1">
      <alignment horizontal="center" vertical="center"/>
    </xf>
    <xf numFmtId="0" fontId="0" fillId="3" borderId="0" xfId="1" applyNumberFormat="1" applyFont="1" applyFill="1" applyAlignment="1">
      <alignment horizontal="center" vertical="center"/>
    </xf>
    <xf numFmtId="0" fontId="0" fillId="3" borderId="2" xfId="1" applyNumberFormat="1" applyFont="1" applyFill="1" applyBorder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0" fillId="0" borderId="28" xfId="1" applyNumberFormat="1" applyFont="1" applyFill="1" applyBorder="1" applyAlignment="1">
      <alignment horizontal="center" vertical="center"/>
    </xf>
    <xf numFmtId="0" fontId="0" fillId="0" borderId="0" xfId="1" applyNumberFormat="1" applyFont="1" applyFill="1" applyBorder="1" applyAlignment="1">
      <alignment horizontal="center" vertical="center"/>
    </xf>
    <xf numFmtId="49" fontId="0" fillId="17" borderId="0" xfId="1" applyNumberFormat="1" applyFont="1" applyFill="1" applyAlignment="1">
      <alignment horizontal="left" vertical="center" wrapText="1"/>
    </xf>
    <xf numFmtId="178" fontId="7" fillId="5" borderId="0" xfId="52" applyNumberFormat="1" applyFont="1" applyFill="1"/>
    <xf numFmtId="178" fontId="1" fillId="0" borderId="3" xfId="52" applyNumberFormat="1" applyBorder="1"/>
    <xf numFmtId="178" fontId="1" fillId="0" borderId="0" xfId="52" applyNumberFormat="1" applyBorder="1"/>
    <xf numFmtId="178" fontId="1" fillId="0" borderId="0" xfId="52" applyNumberFormat="1"/>
    <xf numFmtId="178" fontId="1" fillId="0" borderId="2" xfId="52" applyNumberFormat="1" applyBorder="1"/>
    <xf numFmtId="178" fontId="1" fillId="0" borderId="4" xfId="52" applyNumberFormat="1" applyBorder="1"/>
    <xf numFmtId="178" fontId="1" fillId="0" borderId="77" xfId="52" applyNumberFormat="1" applyBorder="1"/>
    <xf numFmtId="178" fontId="1" fillId="0" borderId="76" xfId="52" applyNumberFormat="1" applyBorder="1"/>
    <xf numFmtId="178" fontId="1" fillId="0" borderId="75" xfId="52" applyNumberFormat="1" applyBorder="1"/>
    <xf numFmtId="178" fontId="1" fillId="0" borderId="73" xfId="52" applyNumberFormat="1" applyBorder="1"/>
    <xf numFmtId="178" fontId="1" fillId="0" borderId="74" xfId="52" applyNumberFormat="1" applyBorder="1"/>
    <xf numFmtId="49" fontId="1" fillId="0" borderId="0" xfId="11" applyNumberFormat="1" applyAlignment="1">
      <alignment wrapText="1"/>
    </xf>
    <xf numFmtId="49" fontId="0" fillId="0" borderId="0" xfId="1" applyNumberFormat="1" applyFont="1" applyFill="1" applyBorder="1" applyAlignment="1">
      <alignment horizontal="center" vertical="center"/>
    </xf>
    <xf numFmtId="49" fontId="7" fillId="0" borderId="0" xfId="1" applyNumberFormat="1" applyFont="1" applyFill="1" applyBorder="1" applyAlignment="1">
      <alignment horizontal="left" vertical="center" wrapText="1"/>
    </xf>
    <xf numFmtId="49" fontId="21" fillId="0" borderId="0" xfId="0" applyNumberFormat="1" applyFont="1" applyAlignment="1"/>
    <xf numFmtId="49" fontId="1" fillId="0" borderId="0" xfId="11" applyNumberFormat="1" applyAlignment="1"/>
    <xf numFmtId="0" fontId="25" fillId="41" borderId="1" xfId="14" applyFont="1" applyFill="1" applyBorder="1" applyAlignment="1">
      <alignment horizontal="center" vertical="center" wrapText="1"/>
    </xf>
    <xf numFmtId="14" fontId="1" fillId="46" borderId="0" xfId="11" applyNumberFormat="1" applyFill="1"/>
    <xf numFmtId="167" fontId="1" fillId="46" borderId="0" xfId="11" applyNumberFormat="1" applyFill="1"/>
    <xf numFmtId="49" fontId="1" fillId="46" borderId="0" xfId="11" applyNumberFormat="1" applyFill="1" applyAlignment="1"/>
    <xf numFmtId="167" fontId="1" fillId="46" borderId="0" xfId="11" applyFill="1"/>
    <xf numFmtId="49" fontId="1" fillId="46" borderId="0" xfId="11" applyNumberFormat="1" applyFill="1" applyAlignment="1">
      <alignment wrapText="1"/>
    </xf>
    <xf numFmtId="14" fontId="1" fillId="37" borderId="0" xfId="11" applyNumberFormat="1" applyFill="1"/>
    <xf numFmtId="167" fontId="1" fillId="37" borderId="0" xfId="11" applyNumberFormat="1" applyFill="1"/>
    <xf numFmtId="49" fontId="1" fillId="37" borderId="0" xfId="11" applyNumberFormat="1" applyFill="1" applyAlignment="1"/>
    <xf numFmtId="167" fontId="1" fillId="37" borderId="0" xfId="11" applyFill="1"/>
    <xf numFmtId="49" fontId="1" fillId="37" borderId="0" xfId="11" applyNumberFormat="1" applyFill="1" applyAlignment="1">
      <alignment wrapText="1"/>
    </xf>
    <xf numFmtId="49" fontId="0" fillId="17" borderId="0" xfId="1" applyNumberFormat="1" applyFont="1" applyFill="1" applyAlignment="1">
      <alignment horizontal="center"/>
    </xf>
    <xf numFmtId="167" fontId="0" fillId="17" borderId="0" xfId="1" applyFont="1" applyFill="1" applyAlignment="1">
      <alignment horizontal="left"/>
    </xf>
    <xf numFmtId="168" fontId="1" fillId="17" borderId="2" xfId="1" applyNumberFormat="1" applyFill="1" applyBorder="1" applyAlignment="1">
      <alignment horizontal="center" vertical="center"/>
    </xf>
    <xf numFmtId="49" fontId="1" fillId="17" borderId="2" xfId="1" applyNumberFormat="1" applyFill="1" applyBorder="1" applyAlignment="1">
      <alignment horizontal="center" vertical="center"/>
    </xf>
    <xf numFmtId="49" fontId="0" fillId="17" borderId="0" xfId="1" applyNumberFormat="1" applyFont="1" applyFill="1" applyBorder="1" applyAlignment="1">
      <alignment horizontal="center" vertical="center"/>
    </xf>
    <xf numFmtId="49" fontId="7" fillId="17" borderId="0" xfId="1" applyNumberFormat="1" applyFont="1" applyFill="1" applyBorder="1" applyAlignment="1">
      <alignment horizontal="left" vertical="center" wrapText="1"/>
    </xf>
    <xf numFmtId="49" fontId="0" fillId="17" borderId="3" xfId="1" applyNumberFormat="1" applyFont="1" applyFill="1" applyBorder="1" applyAlignment="1">
      <alignment horizontal="center" vertical="center"/>
    </xf>
    <xf numFmtId="168" fontId="1" fillId="17" borderId="20" xfId="1" applyNumberFormat="1" applyFill="1" applyBorder="1" applyAlignment="1">
      <alignment horizontal="center" vertical="center"/>
    </xf>
    <xf numFmtId="49" fontId="0" fillId="17" borderId="20" xfId="1" applyNumberFormat="1" applyFont="1" applyFill="1" applyBorder="1" applyAlignment="1">
      <alignment horizontal="center" vertical="center"/>
    </xf>
    <xf numFmtId="49" fontId="7" fillId="17" borderId="20" xfId="1" applyNumberFormat="1" applyFont="1" applyFill="1" applyBorder="1" applyAlignment="1">
      <alignment horizontal="left" vertical="center" wrapText="1"/>
    </xf>
    <xf numFmtId="167" fontId="1" fillId="17" borderId="0" xfId="1" applyFill="1" applyAlignment="1">
      <alignment wrapText="1"/>
    </xf>
    <xf numFmtId="49" fontId="1" fillId="17" borderId="20" xfId="1" applyNumberFormat="1" applyFill="1" applyBorder="1" applyAlignment="1">
      <alignment horizontal="center" vertical="center"/>
    </xf>
    <xf numFmtId="49" fontId="1" fillId="5" borderId="0" xfId="1" applyNumberFormat="1" applyFill="1" applyBorder="1" applyAlignment="1">
      <alignment horizontal="center"/>
    </xf>
    <xf numFmtId="49" fontId="1" fillId="5" borderId="3" xfId="1" applyNumberFormat="1" applyFill="1" applyBorder="1" applyAlignment="1">
      <alignment horizontal="center"/>
    </xf>
    <xf numFmtId="49" fontId="1" fillId="5" borderId="2" xfId="1" applyNumberFormat="1" applyFill="1" applyBorder="1" applyAlignment="1">
      <alignment horizontal="center"/>
    </xf>
    <xf numFmtId="49" fontId="1" fillId="5" borderId="4" xfId="1" applyNumberFormat="1" applyFill="1" applyBorder="1" applyAlignment="1">
      <alignment horizontal="center"/>
    </xf>
    <xf numFmtId="49" fontId="1" fillId="5" borderId="77" xfId="1" applyNumberFormat="1" applyFill="1" applyBorder="1" applyAlignment="1">
      <alignment horizontal="center"/>
    </xf>
    <xf numFmtId="49" fontId="1" fillId="5" borderId="76" xfId="1" applyNumberFormat="1" applyFill="1" applyBorder="1" applyAlignment="1">
      <alignment horizontal="center"/>
    </xf>
    <xf numFmtId="49" fontId="1" fillId="5" borderId="75" xfId="1" applyNumberFormat="1" applyFill="1" applyBorder="1" applyAlignment="1">
      <alignment horizontal="center"/>
    </xf>
    <xf numFmtId="49" fontId="1" fillId="5" borderId="73" xfId="1" applyNumberFormat="1" applyFill="1" applyBorder="1" applyAlignment="1">
      <alignment horizontal="center"/>
    </xf>
    <xf numFmtId="49" fontId="1" fillId="5" borderId="74" xfId="1" applyNumberFormat="1" applyFill="1" applyBorder="1" applyAlignment="1">
      <alignment horizontal="center"/>
    </xf>
    <xf numFmtId="167" fontId="0" fillId="6" borderId="3" xfId="1" applyFont="1" applyFill="1" applyBorder="1" applyAlignment="1">
      <alignment horizontal="center"/>
    </xf>
    <xf numFmtId="167" fontId="0" fillId="6" borderId="2" xfId="1" applyFont="1" applyFill="1" applyBorder="1"/>
    <xf numFmtId="167" fontId="0" fillId="6" borderId="4" xfId="1" applyFont="1" applyFill="1" applyBorder="1"/>
    <xf numFmtId="167" fontId="0" fillId="6" borderId="0" xfId="1" applyFont="1" applyFill="1" applyBorder="1"/>
    <xf numFmtId="0" fontId="62" fillId="0" borderId="0" xfId="54" applyFont="1"/>
    <xf numFmtId="0" fontId="69" fillId="0" borderId="0" xfId="54" applyFont="1"/>
    <xf numFmtId="178" fontId="6" fillId="0" borderId="0" xfId="52" applyNumberFormat="1" applyFont="1" applyAlignment="1">
      <alignment horizontal="center" textRotation="90"/>
    </xf>
    <xf numFmtId="178" fontId="1" fillId="0" borderId="0" xfId="52" applyNumberFormat="1" applyAlignment="1">
      <alignment horizontal="center"/>
    </xf>
    <xf numFmtId="178" fontId="1" fillId="0" borderId="0" xfId="52" applyNumberFormat="1" applyAlignment="1"/>
    <xf numFmtId="167" fontId="6" fillId="0" borderId="0" xfId="1" applyFont="1" applyAlignment="1">
      <alignment textRotation="90"/>
    </xf>
    <xf numFmtId="167" fontId="1" fillId="0" borderId="0" xfId="1" applyAlignment="1"/>
    <xf numFmtId="167" fontId="6" fillId="0" borderId="0" xfId="1" applyFont="1" applyAlignment="1">
      <alignment horizontal="center" textRotation="90" wrapText="1"/>
    </xf>
    <xf numFmtId="167" fontId="1" fillId="0" borderId="0" xfId="1" applyAlignment="1">
      <alignment horizontal="center"/>
    </xf>
    <xf numFmtId="167" fontId="6" fillId="0" borderId="0" xfId="1" applyFont="1" applyAlignment="1">
      <alignment horizontal="center" textRotation="90"/>
    </xf>
    <xf numFmtId="49" fontId="6" fillId="15" borderId="0" xfId="1" applyNumberFormat="1" applyFont="1" applyFill="1" applyAlignment="1">
      <alignment horizontal="center" textRotation="90"/>
    </xf>
    <xf numFmtId="49" fontId="0" fillId="15" borderId="0" xfId="1" applyNumberFormat="1" applyFont="1" applyFill="1" applyAlignment="1"/>
    <xf numFmtId="167" fontId="14" fillId="0" borderId="5" xfId="1" applyFont="1" applyBorder="1" applyAlignment="1">
      <alignment horizontal="center"/>
    </xf>
    <xf numFmtId="167" fontId="14" fillId="0" borderId="6" xfId="1" applyFont="1" applyBorder="1" applyAlignment="1">
      <alignment horizontal="center"/>
    </xf>
    <xf numFmtId="167" fontId="14" fillId="0" borderId="7" xfId="1" applyFont="1" applyBorder="1" applyAlignment="1">
      <alignment horizontal="center"/>
    </xf>
    <xf numFmtId="167" fontId="0" fillId="7" borderId="0" xfId="8" applyFont="1" applyFill="1" applyAlignment="1">
      <alignment horizontal="center"/>
    </xf>
    <xf numFmtId="167" fontId="1" fillId="7" borderId="0" xfId="11" applyFill="1" applyAlignment="1">
      <alignment horizontal="center"/>
    </xf>
    <xf numFmtId="167" fontId="1" fillId="0" borderId="0" xfId="11" applyAlignment="1"/>
    <xf numFmtId="167" fontId="17" fillId="9" borderId="2" xfId="8" applyFont="1" applyFill="1" applyBorder="1" applyAlignment="1">
      <alignment horizontal="center"/>
    </xf>
    <xf numFmtId="167" fontId="17" fillId="9" borderId="2" xfId="11" applyFont="1" applyFill="1" applyBorder="1" applyAlignment="1">
      <alignment horizontal="center"/>
    </xf>
    <xf numFmtId="167" fontId="17" fillId="9" borderId="2" xfId="11" applyFont="1" applyFill="1" applyBorder="1" applyAlignment="1"/>
    <xf numFmtId="49" fontId="7" fillId="16" borderId="47" xfId="11" applyNumberFormat="1" applyFont="1" applyFill="1" applyBorder="1" applyAlignment="1">
      <alignment horizontal="center" vertical="center"/>
    </xf>
    <xf numFmtId="49" fontId="7" fillId="16" borderId="48" xfId="11" applyNumberFormat="1" applyFont="1" applyFill="1" applyBorder="1" applyAlignment="1">
      <alignment horizontal="center" vertical="center"/>
    </xf>
    <xf numFmtId="167" fontId="1" fillId="0" borderId="49" xfId="11" applyBorder="1" applyAlignment="1">
      <alignment horizontal="center" vertical="center"/>
    </xf>
    <xf numFmtId="165" fontId="7" fillId="16" borderId="47" xfId="11" applyNumberFormat="1" applyFon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65" fontId="66" fillId="16" borderId="47" xfId="11" applyNumberFormat="1" applyFont="1" applyFill="1" applyBorder="1" applyAlignment="1">
      <alignment horizontal="center" vertical="center"/>
    </xf>
    <xf numFmtId="0" fontId="5" fillId="0" borderId="48" xfId="0" applyFont="1" applyBorder="1" applyAlignment="1">
      <alignment horizontal="center" vertical="center"/>
    </xf>
    <xf numFmtId="0" fontId="2" fillId="27" borderId="51" xfId="11" applyNumberFormat="1" applyFont="1" applyFill="1" applyBorder="1" applyAlignment="1">
      <alignment horizontal="center" vertical="center" wrapText="1"/>
    </xf>
    <xf numFmtId="167" fontId="2" fillId="0" borderId="51" xfId="11" applyFont="1" applyBorder="1" applyAlignment="1">
      <alignment horizontal="center" vertical="center" wrapText="1"/>
    </xf>
    <xf numFmtId="0" fontId="1" fillId="40" borderId="3" xfId="11" applyNumberFormat="1" applyFill="1" applyBorder="1" applyAlignment="1">
      <alignment horizontal="center" vertical="center" wrapText="1"/>
    </xf>
    <xf numFmtId="167" fontId="1" fillId="0" borderId="3" xfId="11" applyBorder="1" applyAlignment="1">
      <alignment horizontal="center" vertical="center" wrapText="1"/>
    </xf>
    <xf numFmtId="0" fontId="7" fillId="12" borderId="66" xfId="11" applyNumberFormat="1" applyFont="1" applyFill="1" applyBorder="1" applyAlignment="1">
      <alignment horizontal="center" vertical="center"/>
    </xf>
    <xf numFmtId="167" fontId="1" fillId="0" borderId="67" xfId="11" applyBorder="1" applyAlignment="1">
      <alignment horizontal="center" vertical="center"/>
    </xf>
    <xf numFmtId="0" fontId="10" fillId="0" borderId="69" xfId="7" applyNumberFormat="1" applyBorder="1" applyAlignment="1">
      <alignment horizontal="left" vertical="center"/>
    </xf>
    <xf numFmtId="0" fontId="1" fillId="0" borderId="69" xfId="11" applyNumberFormat="1" applyBorder="1" applyAlignment="1">
      <alignment horizontal="left" vertical="center"/>
    </xf>
    <xf numFmtId="0" fontId="70" fillId="0" borderId="11" xfId="7" applyNumberFormat="1" applyFont="1" applyBorder="1" applyAlignment="1">
      <alignment horizontal="left" vertical="center"/>
    </xf>
    <xf numFmtId="0" fontId="5" fillId="0" borderId="0" xfId="11" applyNumberFormat="1" applyFont="1" applyBorder="1" applyAlignment="1">
      <alignment horizontal="left" vertical="center"/>
    </xf>
    <xf numFmtId="0" fontId="25" fillId="15" borderId="39" xfId="14" applyFont="1" applyFill="1" applyBorder="1" applyAlignment="1">
      <alignment horizontal="center" vertical="center" wrapText="1"/>
    </xf>
    <xf numFmtId="167" fontId="1" fillId="15" borderId="43" xfId="11" applyFill="1" applyBorder="1" applyAlignment="1">
      <alignment horizontal="center" vertical="center" wrapText="1"/>
    </xf>
    <xf numFmtId="167" fontId="1" fillId="34" borderId="64" xfId="17" applyFill="1" applyBorder="1" applyAlignment="1">
      <alignment vertical="center" wrapText="1"/>
    </xf>
    <xf numFmtId="167" fontId="1" fillId="34" borderId="35" xfId="11" applyFill="1" applyBorder="1" applyAlignment="1">
      <alignment vertical="center" wrapText="1"/>
    </xf>
    <xf numFmtId="0" fontId="2" fillId="27" borderId="71" xfId="11" applyNumberFormat="1" applyFont="1" applyFill="1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1" fillId="40" borderId="0" xfId="11" applyNumberForma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13" borderId="39" xfId="11" applyNumberFormat="1" applyFont="1" applyFill="1" applyBorder="1" applyAlignment="1">
      <alignment horizontal="center" vertical="center" wrapText="1"/>
    </xf>
    <xf numFmtId="0" fontId="0" fillId="0" borderId="40" xfId="0" applyBorder="1" applyAlignment="1"/>
    <xf numFmtId="0" fontId="0" fillId="0" borderId="43" xfId="0" applyBorder="1" applyAlignment="1"/>
    <xf numFmtId="0" fontId="1" fillId="0" borderId="35" xfId="17" applyNumberFormat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</cellXfs>
  <cellStyles count="55">
    <cellStyle name="Comma" xfId="52" builtinId="3"/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09" xfId="45"/>
    <cellStyle name="Normal 51" xfId="23"/>
    <cellStyle name="Normal 514" xfId="46"/>
    <cellStyle name="Normal 525" xfId="48"/>
    <cellStyle name="Normal 534" xfId="49"/>
    <cellStyle name="Normal 54" xfId="10"/>
    <cellStyle name="Normal 551" xfId="50"/>
    <cellStyle name="Normal 564" xfId="51"/>
    <cellStyle name="Normal 587" xfId="53"/>
    <cellStyle name="Normal 595" xfId="54"/>
    <cellStyle name="Normal 61" xfId="17"/>
    <cellStyle name="Normal 61 2" xfId="31"/>
    <cellStyle name="Normal 69" xfId="27"/>
    <cellStyle name="Normal 761" xfId="4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4" name="Rounded Rectangle 3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155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155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163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163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147</xdr:row>
      <xdr:rowOff>0</xdr:rowOff>
    </xdr:from>
    <xdr:ext cx="184731" cy="264560"/>
    <xdr:sp macro="" textlink="">
      <xdr:nvSpPr>
        <xdr:cNvPr id="66" name="TextBox 65"/>
        <xdr:cNvSpPr txBox="1"/>
      </xdr:nvSpPr>
      <xdr:spPr>
        <a:xfrm>
          <a:off x="7881938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147</xdr:row>
      <xdr:rowOff>0</xdr:rowOff>
    </xdr:from>
    <xdr:ext cx="184731" cy="264560"/>
    <xdr:sp macro="" textlink="">
      <xdr:nvSpPr>
        <xdr:cNvPr id="67" name="TextBox 66"/>
        <xdr:cNvSpPr txBox="1"/>
      </xdr:nvSpPr>
      <xdr:spPr>
        <a:xfrm>
          <a:off x="13382626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35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35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35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35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35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35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35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35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35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35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35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35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35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54"/>
  <sheetViews>
    <sheetView tabSelected="1" zoomScale="70" zoomScaleNormal="70" workbookViewId="0">
      <pane xSplit="2" ySplit="3" topLeftCell="C25" activePane="bottomRight" state="frozen"/>
      <selection pane="topRight" activeCell="C1" sqref="C1"/>
      <selection pane="bottomLeft" activeCell="A4" sqref="A4"/>
      <selection pane="bottomRight" activeCell="F36" sqref="A1:T54"/>
    </sheetView>
  </sheetViews>
  <sheetFormatPr defaultRowHeight="15" x14ac:dyDescent="0.25"/>
  <cols>
    <col min="1" max="2" width="14.7109375" style="2" bestFit="1" customWidth="1"/>
    <col min="3" max="3" width="7" style="4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8.7109375" style="2" customWidth="1"/>
    <col min="10" max="10" width="19.5703125" style="2" customWidth="1"/>
    <col min="11" max="11" width="4.28515625" style="4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27" width="16.7109375" style="997" customWidth="1"/>
    <col min="28" max="16384" width="9.140625" style="2"/>
  </cols>
  <sheetData>
    <row r="1" spans="1:27" ht="19.5" customHeight="1" thickBot="1" x14ac:dyDescent="0.35">
      <c r="A1" s="1">
        <v>41617.840717592589</v>
      </c>
      <c r="C1" s="3" t="s">
        <v>1258</v>
      </c>
      <c r="J1" s="944" t="s">
        <v>1736</v>
      </c>
      <c r="K1" s="943"/>
      <c r="L1" s="942"/>
      <c r="M1" s="942"/>
      <c r="N1" s="942"/>
      <c r="O1" s="1051" t="s">
        <v>1257</v>
      </c>
      <c r="P1" s="1053" t="s">
        <v>1256</v>
      </c>
      <c r="Q1" s="1053" t="s">
        <v>1255</v>
      </c>
      <c r="R1" s="1055" t="s">
        <v>1254</v>
      </c>
      <c r="S1" s="1055" t="s">
        <v>1253</v>
      </c>
      <c r="V1" s="1055" t="s">
        <v>1252</v>
      </c>
      <c r="W1" s="1055" t="s">
        <v>1251</v>
      </c>
      <c r="X1" s="1055" t="s">
        <v>1250</v>
      </c>
      <c r="Y1" s="1055" t="s">
        <v>1249</v>
      </c>
      <c r="Z1" s="1055" t="s">
        <v>1248</v>
      </c>
      <c r="AA1" s="1048" t="s">
        <v>1261</v>
      </c>
    </row>
    <row r="2" spans="1:27" ht="29.25" customHeight="1" x14ac:dyDescent="0.25">
      <c r="O2" s="1052"/>
      <c r="P2" s="1054"/>
      <c r="Q2" s="1054"/>
      <c r="R2" s="1054"/>
      <c r="S2" s="1054"/>
      <c r="V2" s="1054"/>
      <c r="W2" s="1054"/>
      <c r="X2" s="1054"/>
      <c r="Y2" s="1054"/>
      <c r="Z2" s="1054"/>
      <c r="AA2" s="1049"/>
    </row>
    <row r="3" spans="1:27" s="5" customFormat="1" x14ac:dyDescent="0.25">
      <c r="A3" s="5" t="s">
        <v>0</v>
      </c>
      <c r="B3" s="5" t="s">
        <v>1734</v>
      </c>
      <c r="C3" s="6" t="s">
        <v>1219</v>
      </c>
      <c r="D3" s="5" t="s">
        <v>1247</v>
      </c>
      <c r="E3" s="5" t="s">
        <v>1246</v>
      </c>
      <c r="F3" s="5" t="s">
        <v>1245</v>
      </c>
      <c r="G3" s="5" t="s">
        <v>1244</v>
      </c>
      <c r="H3" s="5" t="s">
        <v>1243</v>
      </c>
      <c r="I3" s="5" t="s">
        <v>1242</v>
      </c>
      <c r="J3" s="940" t="s">
        <v>1241</v>
      </c>
      <c r="K3" s="941" t="s">
        <v>1240</v>
      </c>
      <c r="L3" s="940" t="s">
        <v>1239</v>
      </c>
      <c r="M3" s="940" t="s">
        <v>1238</v>
      </c>
      <c r="N3" s="6" t="s">
        <v>1237</v>
      </c>
      <c r="O3" s="5" t="s">
        <v>1236</v>
      </c>
      <c r="T3" s="5" t="s">
        <v>1235</v>
      </c>
      <c r="V3" s="1052"/>
      <c r="W3" s="1052"/>
      <c r="X3" s="1052"/>
      <c r="Y3" s="1052"/>
      <c r="Z3" s="1052"/>
      <c r="AA3" s="1050"/>
    </row>
    <row r="4" spans="1:27" s="932" customFormat="1" x14ac:dyDescent="0.25">
      <c r="A4" s="911">
        <f>A1</f>
        <v>41617.840717592589</v>
      </c>
      <c r="B4" s="935" t="s">
        <v>1234</v>
      </c>
      <c r="C4" s="938">
        <v>54</v>
      </c>
      <c r="H4" s="935" t="s">
        <v>1232</v>
      </c>
      <c r="I4" s="935" t="s">
        <v>1234</v>
      </c>
      <c r="J4" s="935" t="s">
        <v>1234</v>
      </c>
      <c r="K4" s="934" t="s">
        <v>1176</v>
      </c>
      <c r="L4" s="1033">
        <v>1</v>
      </c>
      <c r="M4" s="1033">
        <v>3</v>
      </c>
      <c r="N4" s="933">
        <v>41112.947581018518</v>
      </c>
      <c r="AA4" s="994"/>
    </row>
    <row r="5" spans="1:27" s="932" customFormat="1" x14ac:dyDescent="0.25">
      <c r="A5" s="905">
        <f>Process!A1</f>
        <v>41617.828912037039</v>
      </c>
      <c r="B5" s="935" t="s">
        <v>1231</v>
      </c>
      <c r="C5" s="938" t="s">
        <v>1233</v>
      </c>
      <c r="H5" s="935" t="s">
        <v>1232</v>
      </c>
      <c r="I5" s="935" t="s">
        <v>1231</v>
      </c>
      <c r="J5" s="935" t="s">
        <v>1231</v>
      </c>
      <c r="K5" s="934" t="s">
        <v>1176</v>
      </c>
      <c r="L5" s="1033">
        <v>1</v>
      </c>
      <c r="M5" s="1033">
        <v>3</v>
      </c>
      <c r="N5" s="933">
        <v>41120.947581018518</v>
      </c>
      <c r="AA5" s="994"/>
    </row>
    <row r="6" spans="1:27" s="932" customFormat="1" x14ac:dyDescent="0.25">
      <c r="A6" s="911">
        <f>MAX(A14:A23)</f>
        <v>41617.828564814816</v>
      </c>
      <c r="B6" s="935" t="s">
        <v>1230</v>
      </c>
      <c r="C6" s="939" t="s">
        <v>1229</v>
      </c>
      <c r="H6" s="935" t="s">
        <v>1228</v>
      </c>
      <c r="I6" s="935"/>
      <c r="J6" s="935" t="s">
        <v>1227</v>
      </c>
      <c r="K6" s="934" t="s">
        <v>1176</v>
      </c>
      <c r="L6" s="1033">
        <v>3</v>
      </c>
      <c r="M6" s="1033">
        <v>1</v>
      </c>
      <c r="N6" s="933">
        <v>41112.947581018518</v>
      </c>
      <c r="O6" s="935" t="s">
        <v>1171</v>
      </c>
      <c r="AA6" s="994"/>
    </row>
    <row r="7" spans="1:27" s="932" customFormat="1" x14ac:dyDescent="0.25">
      <c r="A7" s="911"/>
      <c r="B7" s="935"/>
      <c r="C7" s="938">
        <v>0</v>
      </c>
      <c r="D7" s="937"/>
      <c r="F7" s="936"/>
      <c r="H7" s="935"/>
      <c r="I7" s="935"/>
      <c r="J7" s="935" t="s">
        <v>1226</v>
      </c>
      <c r="K7" s="934" t="s">
        <v>1168</v>
      </c>
      <c r="L7" s="1033">
        <v>6</v>
      </c>
      <c r="M7" s="1033">
        <v>1</v>
      </c>
      <c r="N7" s="933"/>
      <c r="P7" s="936"/>
      <c r="Q7" s="936"/>
      <c r="AA7" s="994"/>
    </row>
    <row r="8" spans="1:27" s="865" customFormat="1" x14ac:dyDescent="0.25">
      <c r="A8" s="873">
        <v>41617.828912037039</v>
      </c>
      <c r="B8" s="865" t="s">
        <v>1</v>
      </c>
      <c r="C8" s="917">
        <v>6052</v>
      </c>
      <c r="D8" s="917">
        <v>5</v>
      </c>
      <c r="E8" s="917">
        <v>2</v>
      </c>
      <c r="F8" s="2" t="s">
        <v>89</v>
      </c>
      <c r="G8" s="917" t="s">
        <v>3</v>
      </c>
      <c r="H8" s="865" t="s">
        <v>1216</v>
      </c>
      <c r="I8" s="7" t="s">
        <v>1</v>
      </c>
      <c r="J8" s="871" t="s">
        <v>4</v>
      </c>
      <c r="K8" s="870" t="s">
        <v>1168</v>
      </c>
      <c r="L8" s="1034">
        <v>1</v>
      </c>
      <c r="M8" s="1034" t="s">
        <v>1225</v>
      </c>
      <c r="N8" s="931">
        <v>41617</v>
      </c>
      <c r="O8" s="867" t="s">
        <v>1171</v>
      </c>
      <c r="P8" s="922" t="s">
        <v>1224</v>
      </c>
      <c r="Q8" s="41" t="s">
        <v>1223</v>
      </c>
      <c r="R8" s="930">
        <v>40057</v>
      </c>
      <c r="S8" s="930">
        <v>41614</v>
      </c>
      <c r="T8" s="865" t="s">
        <v>5</v>
      </c>
      <c r="V8" s="869">
        <v>2</v>
      </c>
      <c r="W8" s="869" t="s">
        <v>1219</v>
      </c>
      <c r="X8" s="869">
        <v>2</v>
      </c>
      <c r="Y8" s="930">
        <v>41556</v>
      </c>
      <c r="Z8" s="930">
        <v>41614</v>
      </c>
      <c r="AA8" s="995">
        <v>339371572</v>
      </c>
    </row>
    <row r="9" spans="1:27" s="8" customFormat="1" x14ac:dyDescent="0.25">
      <c r="A9" s="785"/>
      <c r="C9" s="903"/>
      <c r="D9" s="903"/>
      <c r="E9" s="903"/>
      <c r="J9" s="814" t="s">
        <v>6</v>
      </c>
      <c r="K9" s="813" t="s">
        <v>1168</v>
      </c>
      <c r="L9" s="1033">
        <v>1</v>
      </c>
      <c r="M9" s="1033" t="s">
        <v>1222</v>
      </c>
      <c r="N9" s="929"/>
      <c r="O9" s="810"/>
      <c r="P9" s="927"/>
      <c r="Q9" s="927"/>
      <c r="R9" s="927"/>
      <c r="S9" s="927"/>
      <c r="T9" s="9"/>
      <c r="V9" s="901"/>
      <c r="W9" s="901"/>
      <c r="X9" s="901"/>
      <c r="AA9" s="996"/>
    </row>
    <row r="10" spans="1:27" x14ac:dyDescent="0.25">
      <c r="A10" s="911">
        <v>41617.826539351852</v>
      </c>
      <c r="B10" s="2" t="s">
        <v>7</v>
      </c>
      <c r="C10" s="10">
        <v>1525</v>
      </c>
      <c r="D10" s="904">
        <v>8</v>
      </c>
      <c r="E10" s="10" t="s">
        <v>1221</v>
      </c>
      <c r="F10" s="2" t="s">
        <v>2</v>
      </c>
      <c r="G10" s="903" t="s">
        <v>3</v>
      </c>
      <c r="H10" s="2" t="s">
        <v>1216</v>
      </c>
      <c r="I10" s="928" t="s">
        <v>7</v>
      </c>
      <c r="J10" s="915" t="s">
        <v>9</v>
      </c>
      <c r="K10" s="908" t="s">
        <v>1168</v>
      </c>
      <c r="L10" s="1033">
        <v>1</v>
      </c>
      <c r="M10" s="1033" t="s">
        <v>1220</v>
      </c>
      <c r="N10" s="923">
        <v>41617</v>
      </c>
      <c r="O10" s="906" t="s">
        <v>1171</v>
      </c>
      <c r="P10" s="922" t="s">
        <v>83</v>
      </c>
      <c r="Q10" s="41" t="s">
        <v>84</v>
      </c>
      <c r="R10" s="920">
        <v>40058</v>
      </c>
      <c r="S10" s="920">
        <v>41617</v>
      </c>
      <c r="T10" s="2" t="s">
        <v>10</v>
      </c>
      <c r="V10" s="812">
        <v>2</v>
      </c>
      <c r="W10" s="812" t="s">
        <v>1219</v>
      </c>
      <c r="X10" s="812">
        <v>4</v>
      </c>
      <c r="Y10" s="927">
        <v>41548</v>
      </c>
      <c r="Z10" s="927">
        <v>41617</v>
      </c>
      <c r="AA10" s="997">
        <v>75616415</v>
      </c>
    </row>
    <row r="11" spans="1:27" x14ac:dyDescent="0.25">
      <c r="A11" s="785"/>
      <c r="C11" s="10"/>
      <c r="D11" s="904"/>
      <c r="E11" s="904"/>
      <c r="G11" s="8"/>
      <c r="I11" s="8"/>
      <c r="J11" s="915" t="s">
        <v>11</v>
      </c>
      <c r="K11" s="908" t="s">
        <v>1168</v>
      </c>
      <c r="L11" s="1033">
        <v>1</v>
      </c>
      <c r="M11" s="1033" t="s">
        <v>1218</v>
      </c>
      <c r="N11" s="923"/>
      <c r="O11" s="918"/>
      <c r="P11" s="926"/>
      <c r="Q11" s="926"/>
      <c r="R11" s="926"/>
      <c r="S11" s="926"/>
      <c r="V11" s="901"/>
      <c r="W11" s="901"/>
      <c r="X11" s="901"/>
    </row>
    <row r="12" spans="1:27" x14ac:dyDescent="0.25">
      <c r="A12" s="911">
        <v>41617.82472222222</v>
      </c>
      <c r="B12" s="2" t="s">
        <v>12</v>
      </c>
      <c r="C12" s="10">
        <v>2047</v>
      </c>
      <c r="D12" s="10">
        <v>1</v>
      </c>
      <c r="E12" s="925" t="s">
        <v>1217</v>
      </c>
      <c r="F12" s="2" t="s">
        <v>2</v>
      </c>
      <c r="G12" s="903" t="s">
        <v>14</v>
      </c>
      <c r="H12" s="2" t="s">
        <v>1216</v>
      </c>
      <c r="I12" s="924" t="s">
        <v>12</v>
      </c>
      <c r="J12" s="915" t="s">
        <v>15</v>
      </c>
      <c r="K12" s="908" t="s">
        <v>1168</v>
      </c>
      <c r="L12" s="1033" t="s">
        <v>1211</v>
      </c>
      <c r="M12" s="1033" t="s">
        <v>1215</v>
      </c>
      <c r="N12" s="923">
        <v>41617</v>
      </c>
      <c r="O12" s="906" t="s">
        <v>1171</v>
      </c>
      <c r="P12" s="922" t="s">
        <v>1214</v>
      </c>
      <c r="Q12" s="921" t="s">
        <v>1213</v>
      </c>
      <c r="R12" s="920">
        <v>39356</v>
      </c>
      <c r="S12" s="920">
        <v>41503</v>
      </c>
      <c r="T12" s="2" t="s">
        <v>16</v>
      </c>
      <c r="V12" s="901"/>
      <c r="W12" s="901"/>
      <c r="X12" s="901"/>
      <c r="AA12" s="997">
        <v>55815417</v>
      </c>
    </row>
    <row r="13" spans="1:27" x14ac:dyDescent="0.25">
      <c r="A13" s="785"/>
      <c r="C13" s="10"/>
      <c r="D13" s="10"/>
      <c r="E13" s="10"/>
      <c r="G13" s="11"/>
      <c r="I13" s="8"/>
      <c r="J13" s="915" t="s">
        <v>1212</v>
      </c>
      <c r="K13" s="908" t="s">
        <v>1168</v>
      </c>
      <c r="L13" s="1033" t="s">
        <v>1211</v>
      </c>
      <c r="M13" s="1033" t="s">
        <v>1210</v>
      </c>
      <c r="N13" s="919"/>
      <c r="O13" s="918"/>
      <c r="T13" s="11"/>
      <c r="V13" s="901"/>
      <c r="W13" s="901"/>
      <c r="X13" s="901"/>
    </row>
    <row r="14" spans="1:27" s="865" customFormat="1" ht="15.75" customHeight="1" x14ac:dyDescent="0.25">
      <c r="A14" s="873">
        <v>41617.826342592591</v>
      </c>
      <c r="B14" s="865" t="s">
        <v>17</v>
      </c>
      <c r="C14" s="917">
        <v>5682</v>
      </c>
      <c r="D14" s="917">
        <v>2</v>
      </c>
      <c r="E14" s="917">
        <v>6</v>
      </c>
      <c r="F14" s="865" t="s">
        <v>89</v>
      </c>
      <c r="G14" s="917" t="s">
        <v>19</v>
      </c>
      <c r="H14" s="865" t="str">
        <f t="shared" ref="H14:H23" si="0">H$6</f>
        <v>SFDC.xlsx</v>
      </c>
      <c r="I14" s="916" t="s">
        <v>17</v>
      </c>
      <c r="J14" s="871" t="s">
        <v>20</v>
      </c>
      <c r="K14" s="870" t="s">
        <v>1168</v>
      </c>
      <c r="L14" s="1034">
        <v>2</v>
      </c>
      <c r="M14" s="1034" t="s">
        <v>1183</v>
      </c>
      <c r="N14" s="868">
        <v>41617.817361111112</v>
      </c>
      <c r="O14" s="867"/>
      <c r="P14" s="867" t="s">
        <v>1209</v>
      </c>
      <c r="Q14" s="867" t="s">
        <v>1208</v>
      </c>
      <c r="T14" s="865" t="s">
        <v>88</v>
      </c>
      <c r="Y14" s="888"/>
      <c r="Z14" s="888"/>
      <c r="AA14" s="995">
        <v>274051493</v>
      </c>
    </row>
    <row r="15" spans="1:27" ht="15.75" customHeight="1" x14ac:dyDescent="0.25">
      <c r="A15" s="911">
        <v>41617.826562499999</v>
      </c>
      <c r="B15" s="2" t="s">
        <v>21</v>
      </c>
      <c r="C15" s="10">
        <v>1302</v>
      </c>
      <c r="D15" s="904">
        <v>2</v>
      </c>
      <c r="E15" s="904">
        <v>6</v>
      </c>
      <c r="F15" s="2" t="s">
        <v>89</v>
      </c>
      <c r="G15" s="903" t="s">
        <v>19</v>
      </c>
      <c r="H15" s="2" t="str">
        <f t="shared" si="0"/>
        <v>SFDC.xlsx</v>
      </c>
      <c r="I15" s="12" t="s">
        <v>21</v>
      </c>
      <c r="J15" s="915" t="s">
        <v>1207</v>
      </c>
      <c r="K15" s="908" t="s">
        <v>1168</v>
      </c>
      <c r="L15" s="938">
        <v>2</v>
      </c>
      <c r="M15" s="938" t="s">
        <v>1183</v>
      </c>
      <c r="N15" s="907">
        <v>41617.821527777778</v>
      </c>
      <c r="O15" s="906"/>
      <c r="P15" s="2" t="s">
        <v>1206</v>
      </c>
      <c r="Q15" s="906" t="s">
        <v>1205</v>
      </c>
      <c r="T15" s="8" t="s">
        <v>90</v>
      </c>
      <c r="V15" s="8"/>
      <c r="W15" s="8"/>
      <c r="X15" s="8"/>
      <c r="Y15" s="8"/>
      <c r="Z15" s="8"/>
      <c r="AA15" s="997">
        <v>33083144</v>
      </c>
    </row>
    <row r="16" spans="1:27" ht="15.75" x14ac:dyDescent="0.3">
      <c r="A16" s="911">
        <v>41617.816851851851</v>
      </c>
      <c r="B16" s="2" t="s">
        <v>22</v>
      </c>
      <c r="C16" s="10">
        <v>3865</v>
      </c>
      <c r="D16" s="904" t="s">
        <v>23</v>
      </c>
      <c r="E16" s="904">
        <v>6</v>
      </c>
      <c r="F16" s="2" t="s">
        <v>24</v>
      </c>
      <c r="G16" s="903" t="s">
        <v>19</v>
      </c>
      <c r="H16" s="2" t="str">
        <f t="shared" si="0"/>
        <v>SFDC.xlsx</v>
      </c>
      <c r="I16" s="12" t="s">
        <v>22</v>
      </c>
      <c r="J16" s="914" t="s">
        <v>1204</v>
      </c>
      <c r="K16" s="908" t="s">
        <v>1168</v>
      </c>
      <c r="L16" s="938">
        <v>2</v>
      </c>
      <c r="M16" s="938">
        <v>1</v>
      </c>
      <c r="N16" s="907">
        <v>41617.813888888886</v>
      </c>
      <c r="O16" s="906"/>
      <c r="Q16" s="906"/>
      <c r="V16" s="8"/>
      <c r="W16" s="8"/>
      <c r="X16" s="8"/>
      <c r="Y16" s="8"/>
      <c r="Z16" s="8"/>
      <c r="AA16" s="997">
        <v>134124984</v>
      </c>
    </row>
    <row r="17" spans="1:27" ht="15.75" x14ac:dyDescent="0.3">
      <c r="A17" s="911">
        <v>41617.828564814816</v>
      </c>
      <c r="B17" s="2" t="s">
        <v>25</v>
      </c>
      <c r="C17" s="10">
        <v>5170</v>
      </c>
      <c r="D17" s="904" t="s">
        <v>23</v>
      </c>
      <c r="E17" s="904">
        <v>6</v>
      </c>
      <c r="F17" s="2" t="s">
        <v>89</v>
      </c>
      <c r="G17" s="903" t="s">
        <v>19</v>
      </c>
      <c r="H17" s="2" t="str">
        <f t="shared" si="0"/>
        <v>SFDC.xlsx</v>
      </c>
      <c r="I17" s="12" t="s">
        <v>25</v>
      </c>
      <c r="J17" s="913" t="s">
        <v>25</v>
      </c>
      <c r="K17" s="908" t="s">
        <v>1168</v>
      </c>
      <c r="L17" s="938">
        <v>2</v>
      </c>
      <c r="M17" s="938">
        <v>1</v>
      </c>
      <c r="N17" s="907">
        <v>41617.770138888889</v>
      </c>
      <c r="O17" s="906"/>
      <c r="Q17" s="906"/>
      <c r="T17" s="2" t="s">
        <v>92</v>
      </c>
      <c r="V17" s="8"/>
      <c r="W17" s="8"/>
      <c r="X17" s="8"/>
      <c r="Y17" s="8"/>
      <c r="Z17" s="8"/>
      <c r="AA17" s="997">
        <v>121852884</v>
      </c>
    </row>
    <row r="18" spans="1:27" ht="15.75" x14ac:dyDescent="0.3">
      <c r="A18" s="911">
        <v>41617.816331018519</v>
      </c>
      <c r="B18" s="2" t="s">
        <v>1203</v>
      </c>
      <c r="C18" s="10">
        <v>9510</v>
      </c>
      <c r="D18" s="904" t="s">
        <v>23</v>
      </c>
      <c r="E18" s="904">
        <v>6</v>
      </c>
      <c r="F18" s="2" t="s">
        <v>24</v>
      </c>
      <c r="G18" s="903" t="s">
        <v>14</v>
      </c>
      <c r="H18" s="2" t="str">
        <f t="shared" si="0"/>
        <v>SFDC.xlsx</v>
      </c>
      <c r="I18" s="12" t="s">
        <v>1203</v>
      </c>
      <c r="J18" s="913" t="s">
        <v>1202</v>
      </c>
      <c r="K18" s="908" t="s">
        <v>1168</v>
      </c>
      <c r="L18" s="938">
        <v>2</v>
      </c>
      <c r="M18" s="938">
        <v>1</v>
      </c>
      <c r="N18" s="907">
        <v>41617.813888888886</v>
      </c>
      <c r="O18" s="906"/>
      <c r="Q18" s="906"/>
      <c r="V18" s="8"/>
      <c r="W18" s="8"/>
      <c r="X18" s="8"/>
      <c r="Y18" s="8"/>
      <c r="Z18" s="8"/>
    </row>
    <row r="19" spans="1:27" ht="15.75" x14ac:dyDescent="0.3">
      <c r="A19" s="911">
        <v>41588.045266203706</v>
      </c>
      <c r="B19" s="2" t="s">
        <v>26</v>
      </c>
      <c r="C19" s="10">
        <v>2261</v>
      </c>
      <c r="D19" s="904" t="s">
        <v>23</v>
      </c>
      <c r="E19" s="904">
        <v>6</v>
      </c>
      <c r="F19" s="2" t="s">
        <v>24</v>
      </c>
      <c r="G19" s="903" t="s">
        <v>14</v>
      </c>
      <c r="H19" s="2" t="str">
        <f t="shared" si="0"/>
        <v>SFDC.xlsx</v>
      </c>
      <c r="I19" s="12" t="s">
        <v>26</v>
      </c>
      <c r="J19" s="910" t="s">
        <v>1201</v>
      </c>
      <c r="K19" s="908" t="s">
        <v>1168</v>
      </c>
      <c r="L19" s="938">
        <v>2</v>
      </c>
      <c r="M19" s="938">
        <v>1</v>
      </c>
      <c r="N19" s="907">
        <v>41588.044444444444</v>
      </c>
      <c r="O19" s="906"/>
      <c r="Q19" s="906"/>
      <c r="V19" s="8"/>
      <c r="W19" s="8"/>
      <c r="X19" s="8"/>
      <c r="Y19" s="8"/>
      <c r="Z19" s="912"/>
    </row>
    <row r="20" spans="1:27" ht="15.75" x14ac:dyDescent="0.3">
      <c r="A20" s="905">
        <v>41539.729409722226</v>
      </c>
      <c r="B20" s="2" t="s">
        <v>1200</v>
      </c>
      <c r="C20" s="10">
        <v>156</v>
      </c>
      <c r="D20" s="904" t="s">
        <v>23</v>
      </c>
      <c r="E20" s="904">
        <v>6</v>
      </c>
      <c r="F20" s="2" t="s">
        <v>24</v>
      </c>
      <c r="G20" s="903" t="s">
        <v>14</v>
      </c>
      <c r="H20" s="2" t="str">
        <f t="shared" si="0"/>
        <v>SFDC.xlsx</v>
      </c>
      <c r="I20" s="12" t="s">
        <v>1200</v>
      </c>
      <c r="J20" s="910" t="s">
        <v>1199</v>
      </c>
      <c r="K20" s="908" t="s">
        <v>1168</v>
      </c>
      <c r="L20" s="938">
        <v>2</v>
      </c>
      <c r="M20" s="938">
        <v>1</v>
      </c>
      <c r="N20" s="907">
        <v>41539.728472222225</v>
      </c>
      <c r="O20" s="906"/>
      <c r="Q20" s="906"/>
      <c r="Y20" s="899"/>
      <c r="Z20" s="899"/>
    </row>
    <row r="21" spans="1:27" ht="15.75" x14ac:dyDescent="0.3">
      <c r="A21" s="911">
        <v>41617.780138888891</v>
      </c>
      <c r="B21" s="2" t="s">
        <v>28</v>
      </c>
      <c r="C21" s="10">
        <v>191</v>
      </c>
      <c r="D21" s="904" t="s">
        <v>23</v>
      </c>
      <c r="E21" s="904">
        <v>6</v>
      </c>
      <c r="F21" s="2" t="s">
        <v>24</v>
      </c>
      <c r="G21" s="903" t="s">
        <v>29</v>
      </c>
      <c r="H21" s="2" t="str">
        <f t="shared" si="0"/>
        <v>SFDC.xlsx</v>
      </c>
      <c r="I21" s="12" t="s">
        <v>28</v>
      </c>
      <c r="J21" s="909" t="s">
        <v>1198</v>
      </c>
      <c r="K21" s="908" t="s">
        <v>1168</v>
      </c>
      <c r="L21" s="938">
        <v>2</v>
      </c>
      <c r="M21" s="938">
        <v>1</v>
      </c>
      <c r="N21" s="907">
        <v>41617.779861111114</v>
      </c>
      <c r="O21" s="906"/>
      <c r="Q21" s="906"/>
      <c r="Y21" s="899"/>
      <c r="Z21" s="899"/>
    </row>
    <row r="22" spans="1:27" ht="15.75" x14ac:dyDescent="0.3">
      <c r="A22" s="905">
        <v>41539.727627314816</v>
      </c>
      <c r="B22" s="2" t="s">
        <v>30</v>
      </c>
      <c r="C22" s="10">
        <v>775</v>
      </c>
      <c r="D22" s="904" t="s">
        <v>23</v>
      </c>
      <c r="E22" s="904">
        <v>6</v>
      </c>
      <c r="F22" s="2" t="s">
        <v>24</v>
      </c>
      <c r="G22" s="903" t="s">
        <v>31</v>
      </c>
      <c r="H22" s="2" t="str">
        <f t="shared" si="0"/>
        <v>SFDC.xlsx</v>
      </c>
      <c r="I22" s="12" t="s">
        <v>30</v>
      </c>
      <c r="J22" s="902" t="s">
        <v>1197</v>
      </c>
      <c r="K22" s="813" t="s">
        <v>1168</v>
      </c>
      <c r="L22" s="938">
        <v>2</v>
      </c>
      <c r="M22" s="938">
        <v>1</v>
      </c>
      <c r="N22" s="900">
        <v>41539.727083333331</v>
      </c>
      <c r="O22" s="810"/>
      <c r="P22" s="8"/>
      <c r="Q22" s="810"/>
      <c r="R22" s="8"/>
      <c r="S22" s="8"/>
      <c r="Y22" s="899"/>
      <c r="Z22" s="899"/>
    </row>
    <row r="23" spans="1:27" s="786" customFormat="1" ht="15.75" x14ac:dyDescent="0.3">
      <c r="A23" s="794">
        <v>41617.826574074075</v>
      </c>
      <c r="B23" s="786" t="str">
        <f>I23</f>
        <v>SF_DicAccSyn</v>
      </c>
      <c r="C23" s="897">
        <v>68</v>
      </c>
      <c r="D23" s="898" t="s">
        <v>23</v>
      </c>
      <c r="E23" s="898">
        <v>6</v>
      </c>
      <c r="F23" s="786" t="s">
        <v>89</v>
      </c>
      <c r="G23" s="897" t="s">
        <v>14</v>
      </c>
      <c r="H23" s="786" t="str">
        <f t="shared" si="0"/>
        <v>SFDC.xlsx</v>
      </c>
      <c r="I23" s="896" t="s">
        <v>1115</v>
      </c>
      <c r="J23" s="895" t="s">
        <v>1196</v>
      </c>
      <c r="K23" s="790" t="s">
        <v>1168</v>
      </c>
      <c r="L23" s="1035">
        <v>2</v>
      </c>
      <c r="M23" s="1035">
        <v>1</v>
      </c>
      <c r="N23" s="789">
        <v>41617.772222222222</v>
      </c>
      <c r="O23" s="788"/>
      <c r="P23" s="894"/>
      <c r="Q23" s="788"/>
      <c r="T23" s="894" t="str">
        <f>Process!F58</f>
        <v>LOAD_SF_DicAccSyn</v>
      </c>
      <c r="Y23" s="893"/>
      <c r="Z23" s="893"/>
      <c r="AA23" s="998"/>
    </row>
    <row r="24" spans="1:27" s="865" customFormat="1" x14ac:dyDescent="0.25">
      <c r="A24" s="892">
        <v>41369.796909722223</v>
      </c>
      <c r="B24" s="865" t="s">
        <v>32</v>
      </c>
      <c r="C24" s="13">
        <v>9955</v>
      </c>
      <c r="D24" s="13" t="s">
        <v>33</v>
      </c>
      <c r="E24" s="13" t="s">
        <v>23</v>
      </c>
      <c r="F24" s="865" t="s">
        <v>34</v>
      </c>
      <c r="G24" s="891">
        <v>10</v>
      </c>
      <c r="H24" s="865" t="s">
        <v>1180</v>
      </c>
      <c r="I24" s="890" t="str">
        <f>B24</f>
        <v>Склад</v>
      </c>
      <c r="J24" s="871" t="s">
        <v>15</v>
      </c>
      <c r="K24" s="870" t="s">
        <v>1176</v>
      </c>
      <c r="L24" s="1034" t="s">
        <v>1183</v>
      </c>
      <c r="M24" s="1034" t="s">
        <v>1195</v>
      </c>
      <c r="N24" s="868">
        <v>41349.908078703702</v>
      </c>
      <c r="O24" s="867" t="s">
        <v>1171</v>
      </c>
      <c r="P24" s="725"/>
      <c r="Q24" s="889" t="s">
        <v>1194</v>
      </c>
      <c r="R24" s="866"/>
      <c r="S24" s="725"/>
      <c r="T24" s="865" t="s">
        <v>35</v>
      </c>
      <c r="Y24" s="888"/>
      <c r="Z24" s="888"/>
      <c r="AA24" s="995"/>
    </row>
    <row r="25" spans="1:27" s="8" customFormat="1" x14ac:dyDescent="0.25">
      <c r="A25" s="833"/>
      <c r="C25" s="816"/>
      <c r="D25" s="816"/>
      <c r="E25" s="816"/>
      <c r="I25" s="9"/>
      <c r="J25" s="814" t="s">
        <v>36</v>
      </c>
      <c r="K25" s="813" t="s">
        <v>1168</v>
      </c>
      <c r="L25" s="1033" t="s">
        <v>1183</v>
      </c>
      <c r="M25" s="1033" t="s">
        <v>1193</v>
      </c>
      <c r="N25" s="811"/>
      <c r="O25" s="810" t="s">
        <v>1171</v>
      </c>
      <c r="Q25" s="810"/>
      <c r="R25" s="829"/>
      <c r="AA25" s="996"/>
    </row>
    <row r="26" spans="1:27" s="8" customFormat="1" x14ac:dyDescent="0.25">
      <c r="A26" s="833"/>
      <c r="C26" s="816"/>
      <c r="D26" s="816"/>
      <c r="E26" s="816"/>
      <c r="I26" s="9"/>
      <c r="J26" s="814" t="s">
        <v>37</v>
      </c>
      <c r="K26" s="813" t="s">
        <v>1168</v>
      </c>
      <c r="L26" s="1033" t="s">
        <v>1183</v>
      </c>
      <c r="M26" s="1033" t="s">
        <v>1192</v>
      </c>
      <c r="N26" s="811"/>
      <c r="O26" s="810" t="s">
        <v>1171</v>
      </c>
      <c r="Q26" s="810"/>
      <c r="R26" s="829"/>
      <c r="AA26" s="996"/>
    </row>
    <row r="27" spans="1:27" s="8" customFormat="1" x14ac:dyDescent="0.25">
      <c r="A27" s="833"/>
      <c r="C27" s="816"/>
      <c r="D27" s="816"/>
      <c r="E27" s="816"/>
      <c r="I27" s="9"/>
      <c r="J27" s="814" t="s">
        <v>38</v>
      </c>
      <c r="K27" s="813" t="s">
        <v>1168</v>
      </c>
      <c r="L27" s="1033" t="s">
        <v>1183</v>
      </c>
      <c r="M27" s="1033" t="s">
        <v>1191</v>
      </c>
      <c r="N27" s="811"/>
      <c r="O27" s="810" t="s">
        <v>1171</v>
      </c>
      <c r="Q27" s="810"/>
      <c r="R27" s="829"/>
      <c r="AA27" s="996"/>
    </row>
    <row r="28" spans="1:27" s="8" customFormat="1" x14ac:dyDescent="0.25">
      <c r="A28" s="833"/>
      <c r="C28" s="816"/>
      <c r="D28" s="816"/>
      <c r="E28" s="816"/>
      <c r="I28" s="9"/>
      <c r="J28" s="814" t="s">
        <v>39</v>
      </c>
      <c r="K28" s="813" t="s">
        <v>1168</v>
      </c>
      <c r="L28" s="1033" t="s">
        <v>1183</v>
      </c>
      <c r="M28" s="1033" t="s">
        <v>1190</v>
      </c>
      <c r="N28" s="811"/>
      <c r="O28" s="810" t="s">
        <v>1171</v>
      </c>
      <c r="Q28" s="810"/>
      <c r="R28" s="829"/>
      <c r="AA28" s="996"/>
    </row>
    <row r="29" spans="1:27" s="843" customFormat="1" x14ac:dyDescent="0.25">
      <c r="A29" s="853"/>
      <c r="C29" s="851"/>
      <c r="D29" s="851"/>
      <c r="E29" s="851"/>
      <c r="I29" s="9"/>
      <c r="J29" s="849" t="s">
        <v>40</v>
      </c>
      <c r="K29" s="887" t="s">
        <v>1168</v>
      </c>
      <c r="L29" s="1036" t="s">
        <v>1183</v>
      </c>
      <c r="M29" s="1036" t="s">
        <v>1189</v>
      </c>
      <c r="N29" s="847"/>
      <c r="O29" s="845"/>
      <c r="Q29" s="845"/>
      <c r="R29" s="844"/>
      <c r="AA29" s="999"/>
    </row>
    <row r="30" spans="1:27" s="876" customFormat="1" x14ac:dyDescent="0.25">
      <c r="A30" s="884">
        <v>41506.983391203707</v>
      </c>
      <c r="B30" s="876" t="s">
        <v>41</v>
      </c>
      <c r="C30" s="883">
        <v>339</v>
      </c>
      <c r="D30" s="882">
        <v>8</v>
      </c>
      <c r="E30" s="882">
        <v>19</v>
      </c>
      <c r="F30" s="876" t="s">
        <v>42</v>
      </c>
      <c r="G30" s="882">
        <v>10</v>
      </c>
      <c r="H30" s="876" t="s">
        <v>1180</v>
      </c>
      <c r="I30" s="14" t="str">
        <f>B30</f>
        <v>Заказы</v>
      </c>
      <c r="J30" s="880" t="s">
        <v>43</v>
      </c>
      <c r="K30" s="879" t="s">
        <v>1168</v>
      </c>
      <c r="L30" s="1037" t="s">
        <v>1183</v>
      </c>
      <c r="M30" s="1037" t="s">
        <v>1188</v>
      </c>
      <c r="N30" s="878">
        <v>41463.504687499997</v>
      </c>
      <c r="O30" s="876" t="s">
        <v>1171</v>
      </c>
      <c r="P30" s="877"/>
      <c r="Q30" s="886" t="s">
        <v>1187</v>
      </c>
      <c r="R30" s="8"/>
      <c r="S30" s="8"/>
      <c r="T30" s="876" t="s">
        <v>44</v>
      </c>
      <c r="AA30" s="1000"/>
    </row>
    <row r="31" spans="1:27" s="8" customFormat="1" x14ac:dyDescent="0.25">
      <c r="A31" s="875"/>
      <c r="C31" s="816"/>
      <c r="J31" s="814" t="s">
        <v>45</v>
      </c>
      <c r="K31" s="813" t="s">
        <v>1168</v>
      </c>
      <c r="L31" s="1033" t="s">
        <v>1183</v>
      </c>
      <c r="M31" s="1033" t="s">
        <v>1186</v>
      </c>
      <c r="N31" s="811"/>
      <c r="O31" s="8" t="s">
        <v>1171</v>
      </c>
      <c r="P31" s="874"/>
      <c r="AA31" s="996"/>
    </row>
    <row r="32" spans="1:27" x14ac:dyDescent="0.25">
      <c r="A32" s="885"/>
      <c r="C32" s="15"/>
      <c r="H32" s="8"/>
      <c r="I32" s="8"/>
      <c r="J32" s="814" t="s">
        <v>15</v>
      </c>
      <c r="K32" s="813" t="s">
        <v>1168</v>
      </c>
      <c r="L32" s="1033" t="s">
        <v>1183</v>
      </c>
      <c r="M32" s="1033" t="s">
        <v>1185</v>
      </c>
      <c r="N32" s="811"/>
      <c r="O32" s="2" t="s">
        <v>1171</v>
      </c>
      <c r="P32" s="874"/>
    </row>
    <row r="33" spans="1:27" x14ac:dyDescent="0.25">
      <c r="A33" s="885"/>
      <c r="C33" s="15"/>
      <c r="H33" s="8"/>
      <c r="I33" s="8"/>
      <c r="J33" s="814" t="s">
        <v>46</v>
      </c>
      <c r="K33" s="813" t="s">
        <v>1168</v>
      </c>
      <c r="L33" s="1033" t="s">
        <v>1183</v>
      </c>
      <c r="M33" s="1033" t="s">
        <v>1184</v>
      </c>
      <c r="N33" s="811"/>
      <c r="O33" s="2" t="s">
        <v>1171</v>
      </c>
      <c r="P33" s="874"/>
    </row>
    <row r="34" spans="1:27" x14ac:dyDescent="0.25">
      <c r="A34" s="885"/>
      <c r="C34" s="15"/>
      <c r="H34" s="8"/>
      <c r="I34" s="8"/>
      <c r="J34" s="814" t="s">
        <v>47</v>
      </c>
      <c r="K34" s="813" t="s">
        <v>1168</v>
      </c>
      <c r="L34" s="1033" t="s">
        <v>1183</v>
      </c>
      <c r="M34" s="1033" t="s">
        <v>1182</v>
      </c>
      <c r="N34" s="811"/>
      <c r="P34" s="874"/>
    </row>
    <row r="35" spans="1:27" s="876" customFormat="1" x14ac:dyDescent="0.25">
      <c r="A35" s="884">
        <v>41370.590057870373</v>
      </c>
      <c r="B35" s="876" t="s">
        <v>48</v>
      </c>
      <c r="C35" s="883" t="s">
        <v>1181</v>
      </c>
      <c r="F35" s="876" t="s">
        <v>24</v>
      </c>
      <c r="G35" s="882">
        <v>10</v>
      </c>
      <c r="H35" s="876" t="s">
        <v>1180</v>
      </c>
      <c r="I35" s="881" t="s">
        <v>48</v>
      </c>
      <c r="J35" s="880" t="s">
        <v>1179</v>
      </c>
      <c r="K35" s="879" t="s">
        <v>1176</v>
      </c>
      <c r="L35" s="1037">
        <v>2</v>
      </c>
      <c r="M35" s="1037">
        <v>1</v>
      </c>
      <c r="N35" s="878">
        <v>41370.585509259261</v>
      </c>
      <c r="O35" s="867" t="s">
        <v>1171</v>
      </c>
      <c r="P35" s="877"/>
      <c r="T35" s="876" t="s">
        <v>124</v>
      </c>
      <c r="AA35" s="1000"/>
    </row>
    <row r="36" spans="1:27" s="8" customFormat="1" x14ac:dyDescent="0.25">
      <c r="A36" s="875"/>
      <c r="C36" s="816"/>
      <c r="J36" s="814" t="s">
        <v>1178</v>
      </c>
      <c r="K36" s="813" t="s">
        <v>1176</v>
      </c>
      <c r="L36" s="1033">
        <v>3</v>
      </c>
      <c r="M36" s="1033">
        <v>1</v>
      </c>
      <c r="N36" s="811"/>
      <c r="O36" s="2" t="s">
        <v>1171</v>
      </c>
      <c r="P36" s="874"/>
      <c r="AA36" s="996"/>
    </row>
    <row r="37" spans="1:27" s="8" customFormat="1" x14ac:dyDescent="0.25">
      <c r="A37" s="875"/>
      <c r="C37" s="816"/>
      <c r="J37" s="814" t="s">
        <v>1177</v>
      </c>
      <c r="K37" s="813" t="s">
        <v>1176</v>
      </c>
      <c r="L37" s="1033">
        <v>4</v>
      </c>
      <c r="M37" s="1033">
        <v>1</v>
      </c>
      <c r="N37" s="811"/>
      <c r="P37" s="874"/>
      <c r="AA37" s="996"/>
    </row>
    <row r="38" spans="1:27" s="865" customFormat="1" x14ac:dyDescent="0.25">
      <c r="A38" s="833">
        <v>0</v>
      </c>
      <c r="B38" s="865" t="s">
        <v>49</v>
      </c>
      <c r="C38" s="13" t="s">
        <v>50</v>
      </c>
      <c r="D38" s="13" t="s">
        <v>51</v>
      </c>
      <c r="E38" s="13"/>
      <c r="F38" s="1042" t="s">
        <v>1735</v>
      </c>
      <c r="H38" s="865" t="s">
        <v>52</v>
      </c>
      <c r="I38" s="872" t="s">
        <v>1175</v>
      </c>
      <c r="J38" s="871" t="s">
        <v>1174</v>
      </c>
      <c r="K38" s="870" t="s">
        <v>1168</v>
      </c>
      <c r="L38" s="1034">
        <v>3</v>
      </c>
      <c r="M38" s="1034">
        <v>1</v>
      </c>
      <c r="N38" s="868"/>
      <c r="O38" s="867" t="s">
        <v>1171</v>
      </c>
      <c r="Q38" s="867"/>
      <c r="R38" s="866"/>
      <c r="T38" s="865" t="s">
        <v>1173</v>
      </c>
      <c r="AA38" s="995"/>
    </row>
    <row r="39" spans="1:27" x14ac:dyDescent="0.25">
      <c r="A39" s="785"/>
      <c r="I39" s="8"/>
      <c r="J39" s="814" t="s">
        <v>1172</v>
      </c>
      <c r="K39" s="813" t="s">
        <v>1168</v>
      </c>
      <c r="L39" s="1033">
        <v>3</v>
      </c>
      <c r="M39" s="1033">
        <v>3</v>
      </c>
      <c r="O39" s="2" t="s">
        <v>1171</v>
      </c>
    </row>
    <row r="40" spans="1:27" x14ac:dyDescent="0.25">
      <c r="A40" s="785"/>
      <c r="I40" s="8"/>
      <c r="J40" s="814" t="s">
        <v>53</v>
      </c>
      <c r="K40" s="813" t="s">
        <v>1168</v>
      </c>
      <c r="L40" s="1033">
        <v>3</v>
      </c>
      <c r="M40" s="1033">
        <v>9</v>
      </c>
      <c r="O40" s="2" t="s">
        <v>1171</v>
      </c>
    </row>
    <row r="41" spans="1:27" s="786" customFormat="1" x14ac:dyDescent="0.25">
      <c r="A41" s="864"/>
      <c r="C41" s="863"/>
      <c r="J41" s="791" t="s">
        <v>54</v>
      </c>
      <c r="K41" s="790" t="s">
        <v>1168</v>
      </c>
      <c r="L41" s="1035">
        <v>3</v>
      </c>
      <c r="M41" s="1035">
        <v>21</v>
      </c>
      <c r="AA41" s="998"/>
    </row>
    <row r="42" spans="1:27" s="854" customFormat="1" x14ac:dyDescent="0.25">
      <c r="A42" s="862">
        <v>41552.923518518517</v>
      </c>
      <c r="B42" s="854" t="s">
        <v>55</v>
      </c>
      <c r="C42" s="861">
        <v>556</v>
      </c>
      <c r="D42" s="861"/>
      <c r="E42" s="861"/>
      <c r="F42" s="854" t="s">
        <v>24</v>
      </c>
      <c r="H42" s="854" t="s">
        <v>1153</v>
      </c>
      <c r="I42" s="860" t="str">
        <f>B42</f>
        <v>DicAcc</v>
      </c>
      <c r="J42" s="859"/>
      <c r="K42" s="858" t="s">
        <v>1152</v>
      </c>
      <c r="L42" s="1038"/>
      <c r="M42" s="1038"/>
      <c r="N42" s="857">
        <v>0</v>
      </c>
      <c r="O42" s="856"/>
      <c r="P42" s="854" t="s">
        <v>1170</v>
      </c>
      <c r="Q42" s="856"/>
      <c r="R42" s="855"/>
      <c r="AA42" s="1001"/>
    </row>
    <row r="43" spans="1:27" s="843" customFormat="1" x14ac:dyDescent="0.25">
      <c r="A43" s="853">
        <v>0</v>
      </c>
      <c r="B43" s="846" t="s">
        <v>1169</v>
      </c>
      <c r="C43" s="852">
        <v>135</v>
      </c>
      <c r="D43" s="851"/>
      <c r="E43" s="851"/>
      <c r="F43" s="1044" t="s">
        <v>1735</v>
      </c>
      <c r="H43" s="834" t="s">
        <v>1153</v>
      </c>
      <c r="I43" s="850" t="str">
        <f>B43</f>
        <v>DicAccSynonims</v>
      </c>
      <c r="J43" s="849" t="s">
        <v>1114</v>
      </c>
      <c r="K43" s="848" t="s">
        <v>1168</v>
      </c>
      <c r="L43" s="1036">
        <v>1</v>
      </c>
      <c r="M43" s="1036">
        <v>2</v>
      </c>
      <c r="N43" s="847"/>
      <c r="O43" s="845"/>
      <c r="P43" s="846" t="s">
        <v>1167</v>
      </c>
      <c r="Q43" s="845"/>
      <c r="R43" s="844"/>
      <c r="AA43" s="999">
        <v>2170029</v>
      </c>
    </row>
    <row r="44" spans="1:27" s="834" customFormat="1" x14ac:dyDescent="0.25">
      <c r="A44" s="842">
        <v>0</v>
      </c>
      <c r="B44" s="834" t="s">
        <v>56</v>
      </c>
      <c r="C44" s="841">
        <v>76</v>
      </c>
      <c r="D44" s="841"/>
      <c r="E44" s="841"/>
      <c r="F44" s="834" t="s">
        <v>1166</v>
      </c>
      <c r="H44" s="834" t="s">
        <v>1153</v>
      </c>
      <c r="I44" s="840" t="s">
        <v>56</v>
      </c>
      <c r="J44" s="839"/>
      <c r="K44" s="838" t="s">
        <v>1152</v>
      </c>
      <c r="L44" s="1039"/>
      <c r="M44" s="1039"/>
      <c r="N44" s="837">
        <v>41410.834999999999</v>
      </c>
      <c r="O44" s="836"/>
      <c r="P44" s="834" t="s">
        <v>1165</v>
      </c>
      <c r="Q44" s="836"/>
      <c r="R44" s="835"/>
      <c r="AA44" s="1002"/>
    </row>
    <row r="45" spans="1:27" s="8" customFormat="1" x14ac:dyDescent="0.25">
      <c r="A45" s="817">
        <v>41617.804074074076</v>
      </c>
      <c r="B45" s="8" t="s">
        <v>57</v>
      </c>
      <c r="C45" s="816">
        <v>17</v>
      </c>
      <c r="D45" s="816"/>
      <c r="E45" s="816"/>
      <c r="F45" s="8" t="s">
        <v>58</v>
      </c>
      <c r="H45" s="8" t="s">
        <v>1153</v>
      </c>
      <c r="I45" s="831" t="s">
        <v>57</v>
      </c>
      <c r="J45" s="814"/>
      <c r="K45" s="813" t="s">
        <v>1152</v>
      </c>
      <c r="L45" s="1033"/>
      <c r="M45" s="1033"/>
      <c r="N45" s="811">
        <v>41515.959502314814</v>
      </c>
      <c r="O45" s="810"/>
      <c r="P45" s="8" t="s">
        <v>1164</v>
      </c>
      <c r="Q45" s="810"/>
      <c r="R45" s="829"/>
      <c r="AA45" s="996"/>
    </row>
    <row r="46" spans="1:27" s="8" customFormat="1" x14ac:dyDescent="0.25">
      <c r="A46" s="817">
        <v>41617.804074074076</v>
      </c>
      <c r="B46" s="8" t="s">
        <v>59</v>
      </c>
      <c r="C46" s="816">
        <v>15</v>
      </c>
      <c r="D46" s="816"/>
      <c r="E46" s="816"/>
      <c r="F46" s="8" t="s">
        <v>58</v>
      </c>
      <c r="H46" s="8" t="s">
        <v>1153</v>
      </c>
      <c r="I46" s="831" t="s">
        <v>59</v>
      </c>
      <c r="J46" s="814"/>
      <c r="K46" s="813" t="s">
        <v>1152</v>
      </c>
      <c r="L46" s="1033"/>
      <c r="M46" s="1033"/>
      <c r="N46" s="811">
        <v>41507.017245370371</v>
      </c>
      <c r="O46" s="810"/>
      <c r="P46" s="8" t="s">
        <v>1163</v>
      </c>
      <c r="Q46" s="810"/>
      <c r="R46" s="829"/>
      <c r="AA46" s="996"/>
    </row>
    <row r="47" spans="1:27" s="8" customFormat="1" x14ac:dyDescent="0.25">
      <c r="A47" s="817">
        <v>41617.804097222222</v>
      </c>
      <c r="B47" s="8" t="s">
        <v>60</v>
      </c>
      <c r="C47" s="816">
        <v>1</v>
      </c>
      <c r="D47" s="816"/>
      <c r="E47" s="816"/>
      <c r="F47" s="8" t="s">
        <v>58</v>
      </c>
      <c r="H47" s="8" t="s">
        <v>1153</v>
      </c>
      <c r="I47" s="831" t="s">
        <v>60</v>
      </c>
      <c r="J47" s="814"/>
      <c r="K47" s="813" t="s">
        <v>1152</v>
      </c>
      <c r="L47" s="1033"/>
      <c r="M47" s="1033"/>
      <c r="N47" s="811">
        <v>41344.97896990741</v>
      </c>
      <c r="O47" s="810"/>
      <c r="P47" s="8" t="s">
        <v>1162</v>
      </c>
      <c r="Q47" s="810"/>
      <c r="R47" s="829"/>
      <c r="AA47" s="996"/>
    </row>
    <row r="48" spans="1:27" s="8" customFormat="1" x14ac:dyDescent="0.25">
      <c r="A48" s="833">
        <v>0</v>
      </c>
      <c r="B48" s="8" t="s">
        <v>61</v>
      </c>
      <c r="C48" s="816">
        <v>1</v>
      </c>
      <c r="D48" s="816"/>
      <c r="E48" s="816"/>
      <c r="F48" s="1045" t="s">
        <v>1735</v>
      </c>
      <c r="H48" s="8" t="s">
        <v>1153</v>
      </c>
      <c r="I48" s="831" t="s">
        <v>61</v>
      </c>
      <c r="J48" s="814"/>
      <c r="K48" s="813" t="s">
        <v>1152</v>
      </c>
      <c r="L48" s="1033"/>
      <c r="M48" s="1033"/>
      <c r="N48" s="811">
        <v>41520.529861111114</v>
      </c>
      <c r="O48" s="810"/>
      <c r="P48" s="832" t="s">
        <v>1161</v>
      </c>
      <c r="Q48" s="810"/>
      <c r="R48" s="829"/>
      <c r="AA48" s="996"/>
    </row>
    <row r="49" spans="1:27" s="8" customFormat="1" x14ac:dyDescent="0.25">
      <c r="A49" s="817">
        <v>41430.738321759258</v>
      </c>
      <c r="B49" s="8" t="s">
        <v>62</v>
      </c>
      <c r="C49" s="816">
        <v>1</v>
      </c>
      <c r="D49" s="816"/>
      <c r="E49" s="816"/>
      <c r="F49" s="8" t="s">
        <v>58</v>
      </c>
      <c r="H49" s="8" t="s">
        <v>1153</v>
      </c>
      <c r="I49" s="831" t="s">
        <v>62</v>
      </c>
      <c r="J49" s="814"/>
      <c r="K49" s="813" t="s">
        <v>1152</v>
      </c>
      <c r="L49" s="1033"/>
      <c r="M49" s="1033"/>
      <c r="N49" s="811">
        <v>41430.73814814815</v>
      </c>
      <c r="O49" s="830"/>
      <c r="P49" s="9" t="s">
        <v>1160</v>
      </c>
      <c r="Q49" s="810"/>
      <c r="R49" s="829"/>
      <c r="AA49" s="996"/>
    </row>
    <row r="50" spans="1:27" s="795" customFormat="1" x14ac:dyDescent="0.25">
      <c r="A50" s="806">
        <v>41617.804074074076</v>
      </c>
      <c r="B50" s="795" t="s">
        <v>1159</v>
      </c>
      <c r="C50" s="805">
        <v>12</v>
      </c>
      <c r="D50" s="805"/>
      <c r="E50" s="805"/>
      <c r="F50" s="795" t="s">
        <v>58</v>
      </c>
      <c r="H50" s="795" t="s">
        <v>1153</v>
      </c>
      <c r="I50" s="828" t="s">
        <v>1159</v>
      </c>
      <c r="J50" s="803"/>
      <c r="K50" s="802" t="s">
        <v>1152</v>
      </c>
      <c r="L50" s="1040"/>
      <c r="M50" s="1040"/>
      <c r="N50" s="801"/>
      <c r="O50" s="800"/>
      <c r="P50" s="796" t="s">
        <v>1158</v>
      </c>
      <c r="Q50" s="827"/>
      <c r="R50" s="797"/>
      <c r="S50" s="796"/>
      <c r="T50" s="796"/>
      <c r="AA50" s="1003"/>
    </row>
    <row r="51" spans="1:27" s="818" customFormat="1" x14ac:dyDescent="0.25">
      <c r="A51" s="826">
        <v>41499.705324074072</v>
      </c>
      <c r="B51" s="818" t="s">
        <v>64</v>
      </c>
      <c r="C51" s="825">
        <v>804</v>
      </c>
      <c r="D51" s="825"/>
      <c r="E51" s="825"/>
      <c r="F51" s="818" t="s">
        <v>42</v>
      </c>
      <c r="H51" s="818" t="s">
        <v>1153</v>
      </c>
      <c r="I51" s="824" t="s">
        <v>64</v>
      </c>
      <c r="J51" s="823"/>
      <c r="K51" s="822" t="s">
        <v>1152</v>
      </c>
      <c r="L51" s="1041"/>
      <c r="M51" s="1041"/>
      <c r="N51" s="821">
        <v>41499.704513888886</v>
      </c>
      <c r="O51" s="820"/>
      <c r="P51" s="809" t="s">
        <v>65</v>
      </c>
      <c r="Q51" s="808"/>
      <c r="R51" s="819"/>
      <c r="S51" s="809"/>
      <c r="T51" s="809"/>
      <c r="AA51" s="1004"/>
    </row>
    <row r="52" spans="1:27" s="8" customFormat="1" x14ac:dyDescent="0.25">
      <c r="A52" s="817">
        <v>41502.225682870368</v>
      </c>
      <c r="B52" s="8" t="s">
        <v>66</v>
      </c>
      <c r="C52" s="816">
        <v>2</v>
      </c>
      <c r="D52" s="816"/>
      <c r="E52" s="816"/>
      <c r="F52" s="8" t="s">
        <v>1157</v>
      </c>
      <c r="H52" s="8" t="s">
        <v>1153</v>
      </c>
      <c r="I52" s="815" t="s">
        <v>66</v>
      </c>
      <c r="J52" s="814"/>
      <c r="K52" s="813" t="s">
        <v>1152</v>
      </c>
      <c r="L52" s="1033"/>
      <c r="M52" s="1033"/>
      <c r="N52" s="811">
        <v>41502.225682870368</v>
      </c>
      <c r="O52" s="810"/>
      <c r="P52" s="809" t="s">
        <v>1156</v>
      </c>
      <c r="Q52" s="808"/>
      <c r="R52" s="807"/>
      <c r="S52" s="799"/>
      <c r="T52" s="799"/>
      <c r="AA52" s="996"/>
    </row>
    <row r="53" spans="1:27" s="795" customFormat="1" x14ac:dyDescent="0.25">
      <c r="A53" s="806">
        <v>41502.225682870368</v>
      </c>
      <c r="B53" s="795" t="s">
        <v>67</v>
      </c>
      <c r="C53" s="805">
        <v>794</v>
      </c>
      <c r="D53" s="805"/>
      <c r="E53" s="805"/>
      <c r="F53" s="795" t="s">
        <v>1155</v>
      </c>
      <c r="H53" s="795" t="s">
        <v>1153</v>
      </c>
      <c r="I53" s="804" t="s">
        <v>67</v>
      </c>
      <c r="J53" s="803"/>
      <c r="K53" s="802" t="s">
        <v>1152</v>
      </c>
      <c r="L53" s="1040"/>
      <c r="M53" s="1040"/>
      <c r="N53" s="801">
        <v>41502.225682870368</v>
      </c>
      <c r="O53" s="800"/>
      <c r="P53" s="799" t="s">
        <v>1154</v>
      </c>
      <c r="Q53" s="798"/>
      <c r="R53" s="797"/>
      <c r="S53" s="796"/>
      <c r="T53" s="796"/>
      <c r="AA53" s="1003"/>
    </row>
    <row r="54" spans="1:27" s="786" customFormat="1" x14ac:dyDescent="0.25">
      <c r="A54" s="794">
        <v>0</v>
      </c>
      <c r="B54" s="786" t="s">
        <v>68</v>
      </c>
      <c r="C54" s="793" t="s">
        <v>69</v>
      </c>
      <c r="D54" s="793"/>
      <c r="E54" s="793"/>
      <c r="F54" s="1043" t="s">
        <v>1735</v>
      </c>
      <c r="H54" s="786" t="s">
        <v>1153</v>
      </c>
      <c r="I54" s="792" t="s">
        <v>68</v>
      </c>
      <c r="J54" s="791"/>
      <c r="K54" s="790" t="s">
        <v>1152</v>
      </c>
      <c r="L54" s="1035"/>
      <c r="M54" s="1035"/>
      <c r="N54" s="789"/>
      <c r="O54" s="788"/>
      <c r="P54" s="786" t="s">
        <v>1151</v>
      </c>
      <c r="Q54" s="788"/>
      <c r="R54" s="787"/>
      <c r="AA54" s="998"/>
    </row>
  </sheetData>
  <mergeCells count="11">
    <mergeCell ref="AA1:AA3"/>
    <mergeCell ref="O1:O2"/>
    <mergeCell ref="P1:P2"/>
    <mergeCell ref="Q1:Q2"/>
    <mergeCell ref="R1:R2"/>
    <mergeCell ref="S1:S2"/>
    <mergeCell ref="W1:W3"/>
    <mergeCell ref="X1:X3"/>
    <mergeCell ref="Y1:Y3"/>
    <mergeCell ref="Z1:Z3"/>
    <mergeCell ref="V1:V3"/>
  </mergeCells>
  <hyperlinks>
    <hyperlink ref="Q30" r:id="rId1"/>
    <hyperlink ref="Q24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459"/>
  <sheetViews>
    <sheetView zoomScale="80" zoomScaleNormal="80" workbookViewId="0">
      <selection activeCell="B6" sqref="B6"/>
    </sheetView>
  </sheetViews>
  <sheetFormatPr defaultRowHeight="15" outlineLevelRow="1" x14ac:dyDescent="0.25"/>
  <cols>
    <col min="1" max="1" width="14.7109375" style="2" bestFit="1" customWidth="1"/>
    <col min="2" max="2" width="13.5703125" style="4" customWidth="1"/>
    <col min="3" max="3" width="16.28515625" style="2" customWidth="1"/>
    <col min="4" max="4" width="2.85546875" style="956" customWidth="1"/>
    <col min="5" max="5" width="1.85546875" style="16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11" style="2" customWidth="1"/>
    <col min="16" max="16384" width="9.140625" style="2"/>
  </cols>
  <sheetData>
    <row r="1" spans="1:15" ht="19.5" customHeight="1" thickBot="1" x14ac:dyDescent="0.35">
      <c r="A1" s="1">
        <v>41617.828912037039</v>
      </c>
      <c r="C1" s="3" t="s">
        <v>70</v>
      </c>
      <c r="D1" s="955"/>
      <c r="G1" s="17" t="s">
        <v>100</v>
      </c>
      <c r="H1" s="17"/>
      <c r="I1" s="17" t="s">
        <v>1087</v>
      </c>
    </row>
    <row r="2" spans="1:15" ht="15" customHeight="1" thickBot="1" x14ac:dyDescent="0.35">
      <c r="B2" s="3"/>
    </row>
    <row r="3" spans="1:15" ht="15.75" customHeight="1" x14ac:dyDescent="0.25">
      <c r="E3" s="1056" t="s">
        <v>71</v>
      </c>
      <c r="F3" s="1058" t="s">
        <v>72</v>
      </c>
      <c r="G3" s="1059"/>
      <c r="H3" s="1059"/>
      <c r="I3" s="1059"/>
      <c r="J3" s="1060"/>
      <c r="K3" s="1058" t="s">
        <v>73</v>
      </c>
      <c r="L3" s="1059"/>
      <c r="M3" s="1059"/>
      <c r="N3" s="1059"/>
      <c r="O3" s="1060"/>
    </row>
    <row r="4" spans="1:15" s="5" customFormat="1" ht="15.75" thickBot="1" x14ac:dyDescent="0.3">
      <c r="B4" s="6" t="s">
        <v>74</v>
      </c>
      <c r="C4" s="5" t="s">
        <v>75</v>
      </c>
      <c r="D4" s="957" t="s">
        <v>1259</v>
      </c>
      <c r="E4" s="1057"/>
      <c r="F4" s="18">
        <v>1</v>
      </c>
      <c r="G4" s="19" t="s">
        <v>76</v>
      </c>
      <c r="H4" s="19" t="s">
        <v>77</v>
      </c>
      <c r="I4" s="19" t="s">
        <v>78</v>
      </c>
      <c r="J4" s="20" t="s">
        <v>19</v>
      </c>
      <c r="K4" s="18">
        <v>1</v>
      </c>
      <c r="L4" s="19" t="s">
        <v>76</v>
      </c>
      <c r="M4" s="19" t="s">
        <v>77</v>
      </c>
      <c r="N4" s="19" t="s">
        <v>78</v>
      </c>
      <c r="O4" s="20" t="s">
        <v>19</v>
      </c>
    </row>
    <row r="5" spans="1:15" s="5" customFormat="1" ht="6" customHeight="1" thickBot="1" x14ac:dyDescent="0.3">
      <c r="A5" s="21"/>
      <c r="B5" s="22" t="s">
        <v>24</v>
      </c>
      <c r="C5" s="21"/>
      <c r="D5" s="958"/>
      <c r="E5" s="23"/>
      <c r="F5" s="24"/>
      <c r="G5" s="25"/>
      <c r="H5" s="25"/>
      <c r="I5" s="25"/>
      <c r="J5" s="26"/>
      <c r="K5" s="24"/>
      <c r="L5" s="25"/>
      <c r="M5" s="25"/>
      <c r="N5" s="25"/>
      <c r="O5" s="26"/>
    </row>
    <row r="6" spans="1:15" s="29" customFormat="1" ht="16.5" thickTop="1" thickBot="1" x14ac:dyDescent="0.3">
      <c r="A6" s="63"/>
      <c r="B6" s="1027" t="s">
        <v>79</v>
      </c>
      <c r="C6" s="64"/>
      <c r="D6" s="949"/>
      <c r="E6" s="108" t="s">
        <v>23</v>
      </c>
      <c r="F6" s="676" t="s">
        <v>1082</v>
      </c>
      <c r="G6" s="65"/>
      <c r="H6" s="65"/>
      <c r="I6" s="65"/>
      <c r="J6" s="68"/>
      <c r="K6" s="69"/>
      <c r="L6" s="70"/>
      <c r="M6" s="65"/>
      <c r="N6" s="70"/>
      <c r="O6" s="68"/>
    </row>
    <row r="7" spans="1:15" ht="15.75" thickTop="1" x14ac:dyDescent="0.25">
      <c r="A7" s="35">
        <v>41617.824386574073</v>
      </c>
      <c r="B7" s="36" t="s">
        <v>89</v>
      </c>
      <c r="C7" s="37"/>
      <c r="D7" s="950"/>
      <c r="E7" s="674" t="s">
        <v>80</v>
      </c>
      <c r="F7" s="44" t="str">
        <f>F16</f>
        <v>LOAD_1C_P</v>
      </c>
      <c r="G7" s="47"/>
      <c r="H7" s="53"/>
      <c r="I7" s="53"/>
      <c r="J7" s="54"/>
      <c r="K7" s="44" t="str">
        <f>TOCmatch!B8</f>
        <v>Платежи</v>
      </c>
      <c r="L7" s="47"/>
      <c r="M7" s="47"/>
      <c r="N7" s="53"/>
      <c r="O7" s="54"/>
    </row>
    <row r="8" spans="1:15" x14ac:dyDescent="0.25">
      <c r="A8" s="35">
        <v>41617.824699074074</v>
      </c>
      <c r="B8" s="36" t="s">
        <v>89</v>
      </c>
      <c r="C8" s="37"/>
      <c r="D8" s="950"/>
      <c r="E8" s="674" t="s">
        <v>80</v>
      </c>
      <c r="F8" s="44" t="str">
        <f>F25</f>
        <v>LOAD_1C_DOG</v>
      </c>
      <c r="G8" s="47"/>
      <c r="H8" s="53"/>
      <c r="I8" s="53"/>
      <c r="J8" s="54"/>
      <c r="K8" s="44" t="str">
        <f>TOCmatch!B10</f>
        <v>Договоры</v>
      </c>
      <c r="L8" s="47"/>
      <c r="M8" s="47"/>
      <c r="N8" s="53"/>
      <c r="O8" s="54"/>
    </row>
    <row r="9" spans="1:15" x14ac:dyDescent="0.25">
      <c r="A9" s="35">
        <v>41617.824733796297</v>
      </c>
      <c r="B9" s="36" t="s">
        <v>89</v>
      </c>
      <c r="C9" s="37"/>
      <c r="D9" s="950"/>
      <c r="E9" s="674" t="s">
        <v>80</v>
      </c>
      <c r="F9" s="44" t="str">
        <f>F33</f>
        <v>LOAD_1C_ACC</v>
      </c>
      <c r="G9" s="47"/>
      <c r="H9" s="53"/>
      <c r="I9" s="53"/>
      <c r="J9" s="54"/>
      <c r="K9" s="44" t="str">
        <f>TOCmatch!B12</f>
        <v>Список клиентов 1C</v>
      </c>
      <c r="L9" s="47"/>
      <c r="M9" s="47"/>
      <c r="N9" s="53"/>
      <c r="O9" s="54"/>
    </row>
    <row r="10" spans="1:15" x14ac:dyDescent="0.25">
      <c r="A10" s="35">
        <v>41617.826354166667</v>
      </c>
      <c r="B10" s="36" t="s">
        <v>89</v>
      </c>
      <c r="C10" s="37"/>
      <c r="D10" s="950"/>
      <c r="E10" s="674" t="s">
        <v>80</v>
      </c>
      <c r="F10" s="44" t="str">
        <f>F39</f>
        <v>LOAD_SF</v>
      </c>
      <c r="G10" s="47"/>
      <c r="H10" s="53"/>
      <c r="I10" s="53"/>
      <c r="J10" s="54"/>
      <c r="K10" s="44" t="str">
        <f>TOCmatch!B14</f>
        <v>SF</v>
      </c>
      <c r="L10" s="47"/>
      <c r="M10" s="47"/>
      <c r="N10" s="53"/>
      <c r="O10" s="54"/>
    </row>
    <row r="11" spans="1:15" x14ac:dyDescent="0.25">
      <c r="A11" s="35">
        <v>41617.826562499999</v>
      </c>
      <c r="B11" s="36" t="s">
        <v>89</v>
      </c>
      <c r="C11" s="37"/>
      <c r="D11" s="950"/>
      <c r="E11" s="674" t="s">
        <v>80</v>
      </c>
      <c r="F11" s="44" t="str">
        <f>F46</f>
        <v>LOAD_SFD</v>
      </c>
      <c r="G11" s="47"/>
      <c r="H11" s="53"/>
      <c r="I11" s="53"/>
      <c r="J11" s="54"/>
      <c r="K11" s="44" t="str">
        <f>TOCmatch!B15</f>
        <v>SFD</v>
      </c>
      <c r="L11" s="47"/>
      <c r="M11" s="47"/>
      <c r="N11" s="53"/>
      <c r="O11" s="54"/>
    </row>
    <row r="12" spans="1:15" x14ac:dyDescent="0.25">
      <c r="A12" s="35">
        <v>41617.826574074075</v>
      </c>
      <c r="B12" s="36" t="s">
        <v>89</v>
      </c>
      <c r="C12" s="37"/>
      <c r="D12" s="950"/>
      <c r="E12" s="674" t="s">
        <v>80</v>
      </c>
      <c r="F12" s="44" t="str">
        <f>TOCmatch!T23</f>
        <v>LOAD_SF_DicAccSyn</v>
      </c>
      <c r="G12" s="47"/>
      <c r="H12" s="53"/>
      <c r="I12" s="53"/>
      <c r="J12" s="54"/>
      <c r="K12" s="44" t="str">
        <f>TOCmatch!B23</f>
        <v>SF_DicAccSyn</v>
      </c>
      <c r="L12" s="47"/>
      <c r="M12" s="47"/>
      <c r="N12" s="53"/>
      <c r="O12" s="54"/>
    </row>
    <row r="13" spans="1:15" x14ac:dyDescent="0.25">
      <c r="A13" s="35">
        <v>41617.828576388885</v>
      </c>
      <c r="B13" s="36" t="s">
        <v>89</v>
      </c>
      <c r="C13" s="37"/>
      <c r="D13" s="950"/>
      <c r="E13" s="674" t="s">
        <v>80</v>
      </c>
      <c r="F13" s="44" t="str">
        <f>F52</f>
        <v>LOAD_SFacc</v>
      </c>
      <c r="G13" s="47"/>
      <c r="H13" s="53"/>
      <c r="I13" s="53"/>
      <c r="J13" s="54"/>
      <c r="K13" s="44" t="str">
        <f>TOCmatch!B17</f>
        <v>SFacc</v>
      </c>
      <c r="L13" s="47"/>
      <c r="M13" s="47"/>
      <c r="N13" s="53"/>
      <c r="O13" s="54"/>
    </row>
    <row r="14" spans="1:15" x14ac:dyDescent="0.25">
      <c r="A14" s="96"/>
      <c r="B14" s="689" t="s">
        <v>130</v>
      </c>
      <c r="C14" s="97"/>
      <c r="D14" s="950"/>
      <c r="E14" s="674" t="s">
        <v>82</v>
      </c>
      <c r="F14" s="44" t="str">
        <f>F72</f>
        <v>HANDL_Payment</v>
      </c>
      <c r="G14" s="47"/>
      <c r="H14" s="53"/>
      <c r="I14" s="53"/>
      <c r="J14" s="54"/>
      <c r="K14" s="44"/>
      <c r="L14" s="119"/>
      <c r="M14" s="47"/>
      <c r="N14" s="53"/>
      <c r="O14" s="54"/>
    </row>
    <row r="15" spans="1:15" s="84" customFormat="1" ht="15.75" thickBot="1" x14ac:dyDescent="0.3">
      <c r="A15" s="132"/>
      <c r="B15" s="77" t="s">
        <v>2</v>
      </c>
      <c r="C15" s="669"/>
      <c r="D15" s="945"/>
      <c r="E15" s="675" t="s">
        <v>82</v>
      </c>
      <c r="F15" s="79"/>
      <c r="G15" s="80"/>
      <c r="H15" s="80"/>
      <c r="I15" s="80"/>
      <c r="J15" s="81"/>
      <c r="K15" s="82"/>
      <c r="L15" s="83"/>
      <c r="M15" s="80"/>
      <c r="N15" s="83"/>
      <c r="O15" s="81"/>
    </row>
    <row r="16" spans="1:15" s="29" customFormat="1" ht="15.75" thickTop="1" x14ac:dyDescent="0.25">
      <c r="A16" s="27"/>
      <c r="B16" s="1021" t="s">
        <v>79</v>
      </c>
      <c r="C16" s="27"/>
      <c r="D16" s="954"/>
      <c r="E16" s="30" t="s">
        <v>80</v>
      </c>
      <c r="F16" s="31" t="s">
        <v>5</v>
      </c>
      <c r="G16" s="32"/>
      <c r="H16" s="32"/>
      <c r="I16" s="32"/>
      <c r="J16" s="33"/>
      <c r="K16" s="34" t="str">
        <f>TOCmatch!B8</f>
        <v>Платежи</v>
      </c>
      <c r="L16" s="32"/>
      <c r="M16" s="32"/>
      <c r="N16" s="32"/>
      <c r="O16" s="33"/>
    </row>
    <row r="17" spans="1:15" s="29" customFormat="1" outlineLevel="1" x14ac:dyDescent="0.25">
      <c r="A17" s="35">
        <v>41617.776203703703</v>
      </c>
      <c r="B17" s="36" t="s">
        <v>34</v>
      </c>
      <c r="C17" s="37" t="s">
        <v>24</v>
      </c>
      <c r="D17" s="946"/>
      <c r="E17" s="39" t="s">
        <v>80</v>
      </c>
      <c r="F17" s="40"/>
      <c r="G17" s="41"/>
      <c r="H17" s="42"/>
      <c r="I17" s="42"/>
      <c r="J17" s="43"/>
      <c r="K17" s="44" t="str">
        <f>K16</f>
        <v>Платежи</v>
      </c>
      <c r="O17" s="43"/>
    </row>
    <row r="18" spans="1:15" s="29" customFormat="1" outlineLevel="1" x14ac:dyDescent="0.25">
      <c r="A18" s="35">
        <v>41617.827835648146</v>
      </c>
      <c r="B18" s="36" t="s">
        <v>42</v>
      </c>
      <c r="C18" s="37" t="str">
        <f>B17</f>
        <v>InsMyCol</v>
      </c>
      <c r="D18" s="946"/>
      <c r="E18" s="39" t="s">
        <v>80</v>
      </c>
      <c r="F18" s="40"/>
      <c r="G18" s="41"/>
      <c r="H18" s="42"/>
      <c r="I18" s="42"/>
      <c r="J18" s="43"/>
      <c r="K18" s="44" t="str">
        <f>K16</f>
        <v>Платежи</v>
      </c>
      <c r="L18" s="45" t="str">
        <f>TOCmatch!B17</f>
        <v>SFacc</v>
      </c>
      <c r="M18" s="45" t="str">
        <f>TOCmatch!B14</f>
        <v>SF</v>
      </c>
      <c r="N18" s="45" t="str">
        <f>TOCmatch!B21</f>
        <v>SF_PA</v>
      </c>
      <c r="O18" s="727" t="str">
        <f>TOCmatch!B43</f>
        <v>DicAccSynonims</v>
      </c>
    </row>
    <row r="19" spans="1:15" s="29" customFormat="1" outlineLevel="1" x14ac:dyDescent="0.25">
      <c r="A19" s="35">
        <v>41617.827847222223</v>
      </c>
      <c r="B19" s="36" t="s">
        <v>18</v>
      </c>
      <c r="C19" s="37" t="str">
        <f>B18</f>
        <v>Adapt</v>
      </c>
      <c r="D19" s="946"/>
      <c r="E19" s="39" t="s">
        <v>80</v>
      </c>
      <c r="F19" s="659">
        <v>7</v>
      </c>
      <c r="G19" s="46"/>
      <c r="H19" s="42"/>
      <c r="I19" s="42"/>
      <c r="J19" s="43"/>
      <c r="K19" s="44" t="str">
        <f>K16</f>
        <v>Платежи</v>
      </c>
      <c r="L19" s="47"/>
      <c r="M19" s="42"/>
      <c r="N19" s="47"/>
      <c r="O19" s="43"/>
    </row>
    <row r="20" spans="1:15" s="32" customFormat="1" outlineLevel="1" x14ac:dyDescent="0.25">
      <c r="A20" s="48">
        <v>41617.827986111108</v>
      </c>
      <c r="B20" s="49" t="s">
        <v>81</v>
      </c>
      <c r="C20" s="37" t="str">
        <f>B19</f>
        <v>DateSort</v>
      </c>
      <c r="D20" s="950"/>
      <c r="E20" s="51" t="s">
        <v>80</v>
      </c>
      <c r="F20" s="44"/>
      <c r="G20" s="42"/>
      <c r="H20" s="42"/>
      <c r="I20" s="42"/>
      <c r="J20" s="43"/>
      <c r="K20" s="44" t="str">
        <f>K16</f>
        <v>Платежи</v>
      </c>
      <c r="L20" s="47"/>
      <c r="M20" s="42"/>
      <c r="N20" s="47"/>
      <c r="O20" s="43"/>
    </row>
    <row r="21" spans="1:15" outlineLevel="1" x14ac:dyDescent="0.25">
      <c r="A21" s="35">
        <v>41617.828067129631</v>
      </c>
      <c r="B21" s="36" t="s">
        <v>13</v>
      </c>
      <c r="C21" s="1022" t="str">
        <f>B20</f>
        <v>PaymentPaint</v>
      </c>
      <c r="D21" s="950"/>
      <c r="E21" s="52" t="s">
        <v>80</v>
      </c>
      <c r="G21" s="47"/>
      <c r="H21" s="53"/>
      <c r="I21" s="53"/>
      <c r="J21" s="54"/>
      <c r="K21" s="44" t="str">
        <f>K16</f>
        <v>Платежи</v>
      </c>
      <c r="L21" s="47"/>
      <c r="M21" s="47"/>
      <c r="N21" s="45" t="str">
        <f>TOCmatch!B17</f>
        <v>SFacc</v>
      </c>
      <c r="O21" s="54"/>
    </row>
    <row r="22" spans="1:15" outlineLevel="1" x14ac:dyDescent="0.25">
      <c r="A22" s="35">
        <v>41617.828067129631</v>
      </c>
      <c r="B22" s="672" t="s">
        <v>1074</v>
      </c>
      <c r="C22" s="1022" t="str">
        <f>B21</f>
        <v>AccPaint</v>
      </c>
      <c r="D22" s="950"/>
      <c r="E22" s="52" t="s">
        <v>80</v>
      </c>
      <c r="G22" s="47"/>
      <c r="H22" s="53"/>
      <c r="I22" s="53"/>
      <c r="J22" s="54"/>
      <c r="K22" s="44" t="str">
        <f>K16</f>
        <v>Платежи</v>
      </c>
      <c r="L22" s="47"/>
      <c r="M22" s="47"/>
      <c r="N22" s="47"/>
      <c r="O22" s="54"/>
    </row>
    <row r="23" spans="1:15" s="29" customFormat="1" outlineLevel="1" x14ac:dyDescent="0.25">
      <c r="A23" s="163"/>
      <c r="B23" s="1006" t="s">
        <v>1083</v>
      </c>
      <c r="C23" s="1007"/>
      <c r="D23" s="985" t="s">
        <v>1260</v>
      </c>
      <c r="E23" s="52" t="s">
        <v>82</v>
      </c>
      <c r="F23" s="45" t="str">
        <f>TOCmatch!B14</f>
        <v>SF</v>
      </c>
      <c r="G23" s="42"/>
      <c r="H23" s="42"/>
      <c r="I23" s="42"/>
      <c r="J23" s="43"/>
      <c r="K23" s="44" t="str">
        <f>K22</f>
        <v>Платежи</v>
      </c>
      <c r="L23" s="47"/>
      <c r="M23" s="42"/>
      <c r="N23" s="47"/>
      <c r="O23" s="43"/>
    </row>
    <row r="24" spans="1:15" s="62" customFormat="1" outlineLevel="1" x14ac:dyDescent="0.25">
      <c r="A24" s="1023"/>
      <c r="B24" s="1024" t="s">
        <v>2</v>
      </c>
      <c r="C24" s="101"/>
      <c r="D24" s="947"/>
      <c r="E24" s="56" t="s">
        <v>82</v>
      </c>
      <c r="F24" s="57"/>
      <c r="G24" s="58"/>
      <c r="H24" s="58"/>
      <c r="I24" s="58"/>
      <c r="J24" s="59"/>
      <c r="K24" s="982" t="str">
        <f>K16</f>
        <v>Платежи</v>
      </c>
      <c r="L24" s="61"/>
      <c r="M24" s="58"/>
      <c r="N24" s="61"/>
      <c r="O24" s="59"/>
    </row>
    <row r="25" spans="1:15" s="29" customFormat="1" x14ac:dyDescent="0.25">
      <c r="A25" s="63"/>
      <c r="B25" s="673" t="s">
        <v>79</v>
      </c>
      <c r="C25" s="64"/>
      <c r="D25" s="949"/>
      <c r="E25" s="66" t="s">
        <v>82</v>
      </c>
      <c r="F25" s="67" t="s">
        <v>10</v>
      </c>
      <c r="G25" s="65"/>
      <c r="H25" s="65"/>
      <c r="I25" s="65"/>
      <c r="J25" s="68"/>
      <c r="K25" s="69" t="str">
        <f>TOCmatch!B10</f>
        <v>Договоры</v>
      </c>
      <c r="L25" s="70"/>
      <c r="M25" s="65"/>
      <c r="N25" s="70"/>
      <c r="O25" s="68"/>
    </row>
    <row r="26" spans="1:15" s="8" customFormat="1" outlineLevel="1" x14ac:dyDescent="0.25">
      <c r="A26" s="35">
        <v>41617.782962962963</v>
      </c>
      <c r="B26" s="36" t="s">
        <v>34</v>
      </c>
      <c r="C26" s="37" t="s">
        <v>24</v>
      </c>
      <c r="D26" s="946"/>
      <c r="E26" s="39" t="s">
        <v>80</v>
      </c>
      <c r="F26" s="40"/>
      <c r="G26" s="41"/>
      <c r="H26" s="42"/>
      <c r="I26" s="42"/>
      <c r="J26" s="54"/>
      <c r="K26" s="44" t="str">
        <f>K25</f>
        <v>Договоры</v>
      </c>
      <c r="N26" s="53"/>
      <c r="O26" s="54"/>
    </row>
    <row r="27" spans="1:15" s="8" customFormat="1" outlineLevel="1" x14ac:dyDescent="0.25">
      <c r="A27" s="35">
        <v>41617.824606481481</v>
      </c>
      <c r="B27" s="36" t="s">
        <v>42</v>
      </c>
      <c r="C27" s="37" t="str">
        <f>B26</f>
        <v>InsMyCol</v>
      </c>
      <c r="D27" s="946"/>
      <c r="E27" s="39" t="s">
        <v>80</v>
      </c>
      <c r="F27" s="40"/>
      <c r="J27" s="54"/>
      <c r="K27" s="44" t="str">
        <f>K25</f>
        <v>Договоры</v>
      </c>
      <c r="L27" s="45" t="str">
        <f>TOCmatch!B17</f>
        <v>SFacc</v>
      </c>
      <c r="M27" s="45" t="str">
        <f>TOCmatch!B15</f>
        <v>SFD</v>
      </c>
      <c r="N27" s="53"/>
      <c r="O27" s="54"/>
    </row>
    <row r="28" spans="1:15" s="8" customFormat="1" outlineLevel="1" x14ac:dyDescent="0.25">
      <c r="A28" s="48">
        <v>41617.824618055558</v>
      </c>
      <c r="B28" s="36" t="s">
        <v>18</v>
      </c>
      <c r="C28" s="37" t="str">
        <f>B27</f>
        <v>Adapt</v>
      </c>
      <c r="D28" s="946"/>
      <c r="E28" s="39" t="s">
        <v>80</v>
      </c>
      <c r="F28" s="659">
        <v>12</v>
      </c>
      <c r="G28" s="46"/>
      <c r="H28" s="53"/>
      <c r="I28" s="53"/>
      <c r="J28" s="54"/>
      <c r="K28" s="44" t="str">
        <f>K25</f>
        <v>Договоры</v>
      </c>
      <c r="L28" s="53"/>
      <c r="M28" s="53"/>
      <c r="N28" s="53"/>
      <c r="O28" s="54"/>
    </row>
    <row r="29" spans="1:15" s="8" customFormat="1" outlineLevel="1" x14ac:dyDescent="0.25">
      <c r="A29" s="48">
        <v>41617.824629629627</v>
      </c>
      <c r="B29" s="49" t="s">
        <v>86</v>
      </c>
      <c r="C29" s="37" t="str">
        <f>B28</f>
        <v>DateSort</v>
      </c>
      <c r="D29" s="950"/>
      <c r="E29" s="72" t="s">
        <v>80</v>
      </c>
      <c r="F29" s="73"/>
      <c r="G29" s="53"/>
      <c r="H29" s="53"/>
      <c r="I29" s="53"/>
      <c r="J29" s="54"/>
      <c r="K29" s="44" t="str">
        <f>K25</f>
        <v>Договоры</v>
      </c>
      <c r="L29" s="45" t="str">
        <f>TOCmatch!B15</f>
        <v>SFD</v>
      </c>
      <c r="N29" s="53"/>
      <c r="O29" s="54"/>
    </row>
    <row r="30" spans="1:15" outlineLevel="1" x14ac:dyDescent="0.25">
      <c r="A30" s="35">
        <v>41617.824652777781</v>
      </c>
      <c r="B30" s="36" t="s">
        <v>13</v>
      </c>
      <c r="C30" s="37" t="str">
        <f>B29</f>
        <v>ContractPaint</v>
      </c>
      <c r="D30" s="950"/>
      <c r="E30" s="74" t="s">
        <v>80</v>
      </c>
      <c r="F30" s="71"/>
      <c r="G30" s="47"/>
      <c r="H30" s="53"/>
      <c r="I30" s="53"/>
      <c r="J30" s="54"/>
      <c r="K30" s="44" t="str">
        <f>K25</f>
        <v>Договоры</v>
      </c>
      <c r="L30" s="47"/>
      <c r="M30" s="47"/>
      <c r="N30" s="45" t="str">
        <f>TOCmatch!B17</f>
        <v>SFacc</v>
      </c>
      <c r="O30" s="54"/>
    </row>
    <row r="31" spans="1:15" outlineLevel="1" x14ac:dyDescent="0.25">
      <c r="A31" s="35">
        <v>41617.824664351851</v>
      </c>
      <c r="B31" s="672" t="s">
        <v>1074</v>
      </c>
      <c r="C31" s="1022" t="str">
        <f>B30</f>
        <v>AccPaint</v>
      </c>
      <c r="D31" s="950"/>
      <c r="E31" s="52" t="s">
        <v>80</v>
      </c>
      <c r="G31" s="47"/>
      <c r="H31" s="53"/>
      <c r="I31" s="53"/>
      <c r="J31" s="54"/>
      <c r="K31" s="44" t="str">
        <f>K25</f>
        <v>Договоры</v>
      </c>
      <c r="L31" s="47"/>
      <c r="M31" s="47"/>
      <c r="N31" s="47"/>
      <c r="O31" s="54"/>
    </row>
    <row r="32" spans="1:15" s="62" customFormat="1" outlineLevel="1" x14ac:dyDescent="0.25">
      <c r="A32" s="1023"/>
      <c r="B32" s="1024" t="s">
        <v>2</v>
      </c>
      <c r="C32" s="101"/>
      <c r="D32" s="947"/>
      <c r="E32" s="56" t="s">
        <v>82</v>
      </c>
      <c r="F32" s="57"/>
      <c r="G32" s="58"/>
      <c r="H32" s="58"/>
      <c r="I32" s="58"/>
      <c r="J32" s="59"/>
      <c r="K32" s="982" t="str">
        <f>K25</f>
        <v>Договоры</v>
      </c>
      <c r="L32" s="61"/>
      <c r="M32" s="58"/>
      <c r="N32" s="61"/>
      <c r="O32" s="59"/>
    </row>
    <row r="33" spans="1:15" s="29" customFormat="1" x14ac:dyDescent="0.25">
      <c r="A33" s="63"/>
      <c r="B33" s="673" t="s">
        <v>79</v>
      </c>
      <c r="C33" s="64"/>
      <c r="D33" s="949"/>
      <c r="E33" s="66"/>
      <c r="F33" s="75" t="s">
        <v>16</v>
      </c>
      <c r="G33" s="65"/>
      <c r="H33" s="65"/>
      <c r="I33" s="65"/>
      <c r="J33" s="68"/>
      <c r="K33" s="69" t="s">
        <v>12</v>
      </c>
      <c r="L33" s="70"/>
      <c r="M33" s="65"/>
      <c r="N33" s="70"/>
      <c r="O33" s="68"/>
    </row>
    <row r="34" spans="1:15" s="29" customFormat="1" outlineLevel="1" x14ac:dyDescent="0.25">
      <c r="A34" s="35">
        <v>41617.785740740743</v>
      </c>
      <c r="B34" s="36" t="s">
        <v>87</v>
      </c>
      <c r="C34" s="37" t="s">
        <v>24</v>
      </c>
      <c r="D34" s="950"/>
      <c r="E34" s="39" t="s">
        <v>80</v>
      </c>
      <c r="F34" s="71"/>
      <c r="G34" s="46"/>
      <c r="H34" s="42"/>
      <c r="I34" s="42"/>
      <c r="J34" s="43"/>
      <c r="K34" s="44" t="str">
        <f>K33</f>
        <v>Список клиентов 1C</v>
      </c>
      <c r="L34" s="47"/>
      <c r="M34" s="42"/>
      <c r="N34" s="47"/>
      <c r="O34" s="43"/>
    </row>
    <row r="35" spans="1:15" s="8" customFormat="1" outlineLevel="1" x14ac:dyDescent="0.25">
      <c r="A35" s="35">
        <v>41617.785775462966</v>
      </c>
      <c r="B35" s="36" t="s">
        <v>34</v>
      </c>
      <c r="C35" s="76" t="str">
        <f>B34</f>
        <v>Acc1C_Bottom</v>
      </c>
      <c r="D35" s="946"/>
      <c r="E35" s="39" t="s">
        <v>80</v>
      </c>
      <c r="F35" s="44"/>
      <c r="G35" s="47"/>
      <c r="H35" s="42"/>
      <c r="I35" s="42"/>
      <c r="J35" s="54"/>
      <c r="K35" s="44" t="str">
        <f>K33</f>
        <v>Список клиентов 1C</v>
      </c>
      <c r="L35" s="53"/>
      <c r="M35" s="53"/>
      <c r="O35" s="54"/>
    </row>
    <row r="36" spans="1:15" s="8" customFormat="1" outlineLevel="1" x14ac:dyDescent="0.25">
      <c r="A36" s="35">
        <v>41617.793680555558</v>
      </c>
      <c r="B36" s="36" t="s">
        <v>42</v>
      </c>
      <c r="C36" s="76" t="str">
        <f>B35</f>
        <v>InsMyCol</v>
      </c>
      <c r="D36" s="946"/>
      <c r="E36" s="39" t="s">
        <v>80</v>
      </c>
      <c r="F36" s="44"/>
      <c r="G36" s="47"/>
      <c r="H36" s="42"/>
      <c r="I36" s="42"/>
      <c r="J36" s="54"/>
      <c r="K36" s="44" t="str">
        <f>K33</f>
        <v>Список клиентов 1C</v>
      </c>
      <c r="L36" s="53"/>
      <c r="M36" s="53"/>
      <c r="N36" s="45" t="str">
        <f>TOCmatch!B17</f>
        <v>SFacc</v>
      </c>
      <c r="O36" s="54"/>
    </row>
    <row r="37" spans="1:15" outlineLevel="1" x14ac:dyDescent="0.25">
      <c r="A37" s="35">
        <v>41617.793703703705</v>
      </c>
      <c r="B37" s="36" t="s">
        <v>13</v>
      </c>
      <c r="C37" s="76" t="str">
        <f>B36</f>
        <v>Adapt</v>
      </c>
      <c r="D37" s="950"/>
      <c r="E37" s="74" t="s">
        <v>80</v>
      </c>
      <c r="F37" s="44"/>
      <c r="G37" s="47"/>
      <c r="H37" s="53"/>
      <c r="I37" s="53"/>
      <c r="J37" s="54"/>
      <c r="K37" s="44" t="str">
        <f>K33</f>
        <v>Список клиентов 1C</v>
      </c>
      <c r="L37" s="47"/>
      <c r="M37" s="47"/>
      <c r="N37" s="45" t="str">
        <f>TOCmatch!B17</f>
        <v>SFacc</v>
      </c>
      <c r="O37" s="54"/>
    </row>
    <row r="38" spans="1:15" s="32" customFormat="1" ht="15.75" outlineLevel="1" thickBot="1" x14ac:dyDescent="0.3">
      <c r="A38" s="48"/>
      <c r="B38" s="49" t="s">
        <v>2</v>
      </c>
      <c r="C38" s="164"/>
      <c r="D38" s="948"/>
      <c r="E38" s="51" t="s">
        <v>82</v>
      </c>
      <c r="F38" s="165"/>
      <c r="G38" s="42"/>
      <c r="H38" s="42"/>
      <c r="I38" s="42"/>
      <c r="J38" s="43"/>
      <c r="K38" s="981" t="str">
        <f>K33</f>
        <v>Список клиентов 1C</v>
      </c>
      <c r="L38" s="983"/>
      <c r="M38" s="42"/>
      <c r="N38" s="47"/>
      <c r="O38" s="43"/>
    </row>
    <row r="39" spans="1:15" s="29" customFormat="1" ht="15.75" thickTop="1" x14ac:dyDescent="0.25">
      <c r="A39" s="1028">
        <v>41586.986296296294</v>
      </c>
      <c r="B39" s="1029" t="s">
        <v>79</v>
      </c>
      <c r="C39" s="1030"/>
      <c r="D39" s="952"/>
      <c r="E39" s="89" t="s">
        <v>82</v>
      </c>
      <c r="F39" s="90" t="s">
        <v>88</v>
      </c>
      <c r="G39" s="88"/>
      <c r="H39" s="88"/>
      <c r="I39" s="88"/>
      <c r="J39" s="91"/>
      <c r="K39" s="92" t="str">
        <f>TOCmatch!B14</f>
        <v>SF</v>
      </c>
      <c r="L39" s="93"/>
      <c r="M39" s="88"/>
      <c r="N39" s="93"/>
      <c r="O39" s="91"/>
    </row>
    <row r="40" spans="1:15" outlineLevel="1" x14ac:dyDescent="0.25">
      <c r="A40" s="35">
        <v>41617.818449074075</v>
      </c>
      <c r="B40" s="36" t="s">
        <v>34</v>
      </c>
      <c r="C40" s="993" t="s">
        <v>24</v>
      </c>
      <c r="D40" s="946"/>
      <c r="E40" s="39" t="s">
        <v>80</v>
      </c>
      <c r="F40" s="44"/>
      <c r="G40" s="47"/>
      <c r="H40" s="53"/>
      <c r="I40" s="53"/>
      <c r="J40" s="94"/>
      <c r="K40" s="44" t="str">
        <f>K39</f>
        <v>SF</v>
      </c>
      <c r="L40" s="53"/>
      <c r="M40" s="53"/>
      <c r="N40" s="53"/>
      <c r="O40" s="94"/>
    </row>
    <row r="41" spans="1:15" outlineLevel="1" x14ac:dyDescent="0.25">
      <c r="A41" s="35">
        <v>41617.825092592589</v>
      </c>
      <c r="B41" s="49" t="s">
        <v>89</v>
      </c>
      <c r="C41" s="37" t="str">
        <f>B40</f>
        <v>InsMyCol</v>
      </c>
      <c r="D41" s="950"/>
      <c r="E41" s="74" t="s">
        <v>80</v>
      </c>
      <c r="F41" s="44" t="str">
        <f>F16</f>
        <v>LOAD_1C_P</v>
      </c>
      <c r="G41" s="47"/>
      <c r="H41" s="53"/>
      <c r="I41" s="53"/>
      <c r="J41" s="94"/>
      <c r="K41" s="44" t="str">
        <f>TOCmatch!B8</f>
        <v>Платежи</v>
      </c>
      <c r="L41" s="53" t="str">
        <f>K39</f>
        <v>SF</v>
      </c>
      <c r="M41" s="53"/>
      <c r="N41" s="53"/>
      <c r="O41" s="94"/>
    </row>
    <row r="42" spans="1:15" outlineLevel="1" x14ac:dyDescent="0.25">
      <c r="A42" s="35">
        <v>41617.826018518521</v>
      </c>
      <c r="B42" s="36" t="s">
        <v>42</v>
      </c>
      <c r="C42" s="1031" t="str">
        <f>B41</f>
        <v>ProcStart</v>
      </c>
      <c r="D42" s="953"/>
      <c r="E42" s="74" t="s">
        <v>80</v>
      </c>
      <c r="F42" s="44"/>
      <c r="G42" s="47"/>
      <c r="H42" s="53"/>
      <c r="I42" s="53"/>
      <c r="J42" s="94"/>
      <c r="K42" s="44" t="str">
        <f>K39</f>
        <v>SF</v>
      </c>
      <c r="L42" s="53" t="str">
        <f>TOCmatch!B8</f>
        <v>Платежи</v>
      </c>
      <c r="M42" s="53"/>
      <c r="N42" s="53"/>
      <c r="O42" s="94"/>
    </row>
    <row r="43" spans="1:15" outlineLevel="1" x14ac:dyDescent="0.25">
      <c r="A43" s="35">
        <v>41617.826064814813</v>
      </c>
      <c r="B43" s="36" t="s">
        <v>18</v>
      </c>
      <c r="C43" s="37"/>
      <c r="D43" s="946"/>
      <c r="E43" s="39" t="s">
        <v>80</v>
      </c>
      <c r="F43" s="660">
        <v>5</v>
      </c>
      <c r="G43" s="47"/>
      <c r="H43" s="53"/>
      <c r="I43" s="53"/>
      <c r="J43" s="54"/>
      <c r="K43" s="44" t="str">
        <f>K39</f>
        <v>SF</v>
      </c>
      <c r="L43" s="53"/>
      <c r="M43" s="53"/>
      <c r="N43" s="53"/>
      <c r="O43" s="54"/>
    </row>
    <row r="44" spans="1:15" outlineLevel="1" x14ac:dyDescent="0.25">
      <c r="A44" s="35">
        <v>41617.826122685183</v>
      </c>
      <c r="B44" s="672" t="s">
        <v>1076</v>
      </c>
      <c r="C44" s="37"/>
      <c r="D44" s="946"/>
      <c r="E44" s="39" t="s">
        <v>80</v>
      </c>
      <c r="F44" s="98"/>
      <c r="G44" s="47"/>
      <c r="H44" s="53"/>
      <c r="I44" s="53"/>
      <c r="J44" s="54"/>
      <c r="K44" s="44" t="str">
        <f>K39</f>
        <v>SF</v>
      </c>
      <c r="L44" s="53"/>
      <c r="M44" s="53"/>
      <c r="N44" s="53"/>
      <c r="O44" s="54"/>
    </row>
    <row r="45" spans="1:15" s="62" customFormat="1" outlineLevel="1" x14ac:dyDescent="0.25">
      <c r="A45" s="1023"/>
      <c r="B45" s="1024" t="s">
        <v>2</v>
      </c>
      <c r="C45" s="101"/>
      <c r="D45" s="947"/>
      <c r="E45" s="56" t="s">
        <v>82</v>
      </c>
      <c r="F45" s="57"/>
      <c r="G45" s="58"/>
      <c r="H45" s="58"/>
      <c r="I45" s="58"/>
      <c r="J45" s="59"/>
      <c r="K45" s="982" t="str">
        <f>K39</f>
        <v>SF</v>
      </c>
      <c r="L45" s="61"/>
      <c r="M45" s="58"/>
      <c r="N45" s="61"/>
      <c r="O45" s="59"/>
    </row>
    <row r="46" spans="1:15" s="29" customFormat="1" x14ac:dyDescent="0.25">
      <c r="A46" s="63"/>
      <c r="B46" s="673" t="s">
        <v>79</v>
      </c>
      <c r="C46" s="64"/>
      <c r="D46" s="949"/>
      <c r="E46" s="66" t="s">
        <v>82</v>
      </c>
      <c r="F46" s="67" t="s">
        <v>90</v>
      </c>
      <c r="G46" s="65"/>
      <c r="H46" s="65"/>
      <c r="I46" s="65"/>
      <c r="J46" s="68"/>
      <c r="K46" s="69" t="s">
        <v>21</v>
      </c>
      <c r="L46" s="70"/>
      <c r="M46" s="65"/>
      <c r="N46" s="70"/>
      <c r="O46" s="68"/>
    </row>
    <row r="47" spans="1:15" outlineLevel="1" x14ac:dyDescent="0.25">
      <c r="A47" s="35">
        <v>41617.822013888886</v>
      </c>
      <c r="B47" s="36" t="s">
        <v>34</v>
      </c>
      <c r="C47" s="993" t="s">
        <v>24</v>
      </c>
      <c r="D47" s="946"/>
      <c r="E47" s="39" t="s">
        <v>80</v>
      </c>
      <c r="F47" s="44"/>
      <c r="G47" s="42"/>
      <c r="H47" s="53"/>
      <c r="I47" s="53"/>
      <c r="J47" s="94"/>
      <c r="K47" s="95" t="s">
        <v>21</v>
      </c>
      <c r="M47" s="53"/>
      <c r="N47" s="53"/>
      <c r="O47" s="94"/>
    </row>
    <row r="48" spans="1:15" outlineLevel="1" x14ac:dyDescent="0.25">
      <c r="A48" s="35">
        <v>41617.826504629629</v>
      </c>
      <c r="B48" s="36" t="s">
        <v>42</v>
      </c>
      <c r="C48" s="37" t="str">
        <f>B47</f>
        <v>InsMyCol</v>
      </c>
      <c r="D48" s="946"/>
      <c r="E48" s="39" t="s">
        <v>80</v>
      </c>
      <c r="F48" s="44"/>
      <c r="G48" s="47"/>
      <c r="H48" s="53"/>
      <c r="I48" s="53"/>
      <c r="J48" s="94"/>
      <c r="K48" s="95" t="s">
        <v>21</v>
      </c>
      <c r="L48" s="50" t="s">
        <v>7</v>
      </c>
      <c r="M48" s="53"/>
      <c r="N48" s="45" t="s">
        <v>25</v>
      </c>
      <c r="O48" s="94"/>
    </row>
    <row r="49" spans="1:15" outlineLevel="1" x14ac:dyDescent="0.25">
      <c r="A49" s="35">
        <v>41617.826516203706</v>
      </c>
      <c r="B49" s="36" t="s">
        <v>18</v>
      </c>
      <c r="C49" s="37" t="str">
        <f>B48</f>
        <v>Adapt</v>
      </c>
      <c r="D49" s="946"/>
      <c r="E49" s="39" t="s">
        <v>80</v>
      </c>
      <c r="F49" s="668">
        <v>8</v>
      </c>
      <c r="G49" s="47"/>
      <c r="H49" s="53"/>
      <c r="I49" s="53"/>
      <c r="J49" s="54"/>
      <c r="K49" s="95" t="s">
        <v>21</v>
      </c>
      <c r="L49" s="53"/>
      <c r="M49" s="53"/>
      <c r="N49" s="53"/>
      <c r="O49" s="54"/>
    </row>
    <row r="50" spans="1:15" outlineLevel="1" x14ac:dyDescent="0.25">
      <c r="A50" s="35">
        <v>41617.826539351852</v>
      </c>
      <c r="B50" s="49" t="s">
        <v>89</v>
      </c>
      <c r="C50" s="76" t="str">
        <f>B49</f>
        <v>DateSort</v>
      </c>
      <c r="D50" s="950"/>
      <c r="E50" s="74" t="s">
        <v>80</v>
      </c>
      <c r="F50" s="44" t="str">
        <f>F25</f>
        <v>LOAD_1C_DOG</v>
      </c>
      <c r="G50" s="47"/>
      <c r="H50" s="53"/>
      <c r="I50" s="53"/>
      <c r="J50" s="94"/>
      <c r="K50" s="95" t="s">
        <v>7</v>
      </c>
      <c r="L50" s="53"/>
      <c r="M50" s="53"/>
      <c r="N50" s="53"/>
      <c r="O50" s="94"/>
    </row>
    <row r="51" spans="1:15" s="62" customFormat="1" outlineLevel="1" x14ac:dyDescent="0.25">
      <c r="A51" s="1023"/>
      <c r="B51" s="1024" t="s">
        <v>2</v>
      </c>
      <c r="C51" s="101"/>
      <c r="D51" s="947"/>
      <c r="E51" s="56" t="s">
        <v>82</v>
      </c>
      <c r="F51" s="57"/>
      <c r="G51" s="58"/>
      <c r="H51" s="58"/>
      <c r="I51" s="58"/>
      <c r="J51" s="59"/>
      <c r="K51" s="982" t="str">
        <f>K46</f>
        <v>SFD</v>
      </c>
      <c r="L51" s="61"/>
      <c r="M51" s="58"/>
      <c r="N51" s="61"/>
      <c r="O51" s="59"/>
    </row>
    <row r="52" spans="1:15" s="29" customFormat="1" x14ac:dyDescent="0.25">
      <c r="A52" s="63"/>
      <c r="B52" s="1027" t="s">
        <v>79</v>
      </c>
      <c r="C52" s="64"/>
      <c r="D52" s="949"/>
      <c r="E52" s="66" t="s">
        <v>82</v>
      </c>
      <c r="F52" s="67" t="s">
        <v>92</v>
      </c>
      <c r="G52" s="65"/>
      <c r="H52" s="65"/>
      <c r="I52" s="65"/>
      <c r="J52" s="68"/>
      <c r="K52" s="69" t="s">
        <v>25</v>
      </c>
      <c r="L52" s="70"/>
      <c r="M52" s="65"/>
      <c r="N52" s="70"/>
      <c r="O52" s="68"/>
    </row>
    <row r="53" spans="1:15" s="29" customFormat="1" outlineLevel="1" x14ac:dyDescent="0.25">
      <c r="A53" s="48">
        <v>41617.791388888887</v>
      </c>
      <c r="B53" s="1025" t="s">
        <v>1083</v>
      </c>
      <c r="C53" s="1026"/>
      <c r="D53" s="951"/>
      <c r="E53" s="51" t="s">
        <v>80</v>
      </c>
      <c r="F53" s="677" t="str">
        <f>TOCmatch!B17</f>
        <v>SFacc</v>
      </c>
      <c r="G53" s="42"/>
      <c r="H53" s="42"/>
      <c r="I53" s="42"/>
      <c r="J53" s="43"/>
      <c r="K53" s="44" t="str">
        <f>TOCmatch!B12</f>
        <v>Список клиентов 1C</v>
      </c>
      <c r="L53" s="47"/>
      <c r="M53" s="42"/>
      <c r="N53" s="47"/>
      <c r="O53" s="43"/>
    </row>
    <row r="54" spans="1:15" outlineLevel="1" x14ac:dyDescent="0.25">
      <c r="A54" s="35">
        <v>41617.828379629631</v>
      </c>
      <c r="B54" s="36" t="s">
        <v>89</v>
      </c>
      <c r="C54" s="37"/>
      <c r="D54" s="950"/>
      <c r="E54" s="74" t="s">
        <v>80</v>
      </c>
      <c r="F54" s="44" t="str">
        <f>F16</f>
        <v>LOAD_1C_P</v>
      </c>
      <c r="G54" s="47"/>
      <c r="H54" s="53"/>
      <c r="I54" s="53"/>
      <c r="J54" s="54"/>
      <c r="K54" s="44" t="str">
        <f>K52</f>
        <v>SFacc</v>
      </c>
      <c r="L54" s="47" t="str">
        <f>TOCmatch!B8</f>
        <v>Платежи</v>
      </c>
      <c r="M54" s="47"/>
      <c r="N54" s="53"/>
      <c r="O54" s="54"/>
    </row>
    <row r="55" spans="1:15" outlineLevel="1" x14ac:dyDescent="0.25">
      <c r="A55" s="35">
        <v>41617.828414351854</v>
      </c>
      <c r="B55" s="36" t="s">
        <v>89</v>
      </c>
      <c r="C55" s="37"/>
      <c r="D55" s="950"/>
      <c r="E55" s="74" t="s">
        <v>80</v>
      </c>
      <c r="F55" s="44" t="str">
        <f>F25</f>
        <v>LOAD_1C_DOG</v>
      </c>
      <c r="G55" s="47"/>
      <c r="H55" s="53"/>
      <c r="I55" s="53"/>
      <c r="J55" s="54"/>
      <c r="K55" s="44" t="str">
        <f>K52</f>
        <v>SFacc</v>
      </c>
      <c r="L55" s="47" t="str">
        <f>TOCmatch!B10</f>
        <v>Договоры</v>
      </c>
      <c r="M55" s="47"/>
      <c r="N55" s="53"/>
      <c r="O55" s="54"/>
    </row>
    <row r="56" spans="1:15" outlineLevel="1" x14ac:dyDescent="0.25">
      <c r="A56" s="35">
        <v>41617.828449074077</v>
      </c>
      <c r="B56" s="36" t="s">
        <v>89</v>
      </c>
      <c r="C56" s="37"/>
      <c r="D56" s="950"/>
      <c r="E56" s="74" t="s">
        <v>80</v>
      </c>
      <c r="F56" s="44" t="str">
        <f>F33</f>
        <v>LOAD_1C_ACC</v>
      </c>
      <c r="G56" s="47"/>
      <c r="H56" s="53"/>
      <c r="I56" s="53"/>
      <c r="J56" s="54"/>
      <c r="K56" s="44" t="str">
        <f>K52</f>
        <v>SFacc</v>
      </c>
      <c r="L56" s="47" t="str">
        <f>TOCmatch!B12</f>
        <v>Список клиентов 1C</v>
      </c>
      <c r="M56" s="47"/>
      <c r="N56" s="53"/>
      <c r="O56" s="54"/>
    </row>
    <row r="57" spans="1:15" s="32" customFormat="1" outlineLevel="1" x14ac:dyDescent="0.25">
      <c r="A57" s="48"/>
      <c r="B57" s="49" t="s">
        <v>2</v>
      </c>
      <c r="C57" s="164"/>
      <c r="D57" s="948"/>
      <c r="E57" s="51" t="s">
        <v>82</v>
      </c>
      <c r="F57" s="165"/>
      <c r="G57" s="42"/>
      <c r="H57" s="42"/>
      <c r="I57" s="42"/>
      <c r="J57" s="43"/>
      <c r="K57" s="981" t="str">
        <f>K52</f>
        <v>SFacc</v>
      </c>
      <c r="L57" s="47"/>
      <c r="M57" s="47"/>
      <c r="N57" s="47"/>
      <c r="O57" s="980"/>
    </row>
    <row r="58" spans="1:15" s="169" customFormat="1" x14ac:dyDescent="0.25">
      <c r="A58" s="63"/>
      <c r="B58" s="673" t="s">
        <v>79</v>
      </c>
      <c r="C58" s="64"/>
      <c r="D58" s="949"/>
      <c r="E58" s="66"/>
      <c r="F58" s="726" t="s">
        <v>1123</v>
      </c>
      <c r="G58" s="65"/>
      <c r="H58" s="65"/>
      <c r="I58" s="65"/>
      <c r="J58" s="68"/>
      <c r="K58" s="69" t="str">
        <f>TOCmatch!B23</f>
        <v>SF_DicAccSyn</v>
      </c>
      <c r="L58" s="70"/>
      <c r="M58" s="65"/>
      <c r="N58" s="70"/>
      <c r="O58" s="68"/>
    </row>
    <row r="59" spans="1:15" outlineLevel="1" x14ac:dyDescent="0.25">
      <c r="A59" s="35">
        <v>41617.790775462963</v>
      </c>
      <c r="B59" s="672" t="s">
        <v>1117</v>
      </c>
      <c r="C59" s="734" t="s">
        <v>24</v>
      </c>
      <c r="D59" s="950"/>
      <c r="E59" s="74" t="s">
        <v>80</v>
      </c>
      <c r="F59" s="728" t="str">
        <f>TOCmatch!B43</f>
        <v>DicAccSynonims</v>
      </c>
      <c r="G59" s="47"/>
      <c r="H59" s="53"/>
      <c r="I59" s="53"/>
      <c r="J59" s="54"/>
      <c r="K59" s="44" t="str">
        <f>K58</f>
        <v>SF_DicAccSyn</v>
      </c>
      <c r="L59" s="47"/>
      <c r="M59" s="47"/>
      <c r="N59" s="8"/>
      <c r="O59" s="54"/>
    </row>
    <row r="60" spans="1:15" s="84" customFormat="1" ht="15.75" outlineLevel="1" thickBot="1" x14ac:dyDescent="0.3">
      <c r="A60" s="735"/>
      <c r="B60" s="736" t="s">
        <v>2</v>
      </c>
      <c r="C60" s="669"/>
      <c r="D60" s="945"/>
      <c r="E60" s="78" t="s">
        <v>82</v>
      </c>
      <c r="F60" s="79"/>
      <c r="G60" s="80"/>
      <c r="H60" s="80"/>
      <c r="I60" s="80"/>
      <c r="J60" s="81"/>
      <c r="K60" s="978" t="str">
        <f>F59</f>
        <v>DicAccSynonims</v>
      </c>
      <c r="L60" s="979"/>
      <c r="M60" s="80"/>
      <c r="N60" s="83"/>
      <c r="O60" s="81"/>
    </row>
    <row r="61" spans="1:15" s="29" customFormat="1" ht="15.75" thickTop="1" x14ac:dyDescent="0.25">
      <c r="B61" s="15" t="s">
        <v>79</v>
      </c>
      <c r="D61" s="954"/>
      <c r="E61" s="783"/>
      <c r="F61" s="31" t="s">
        <v>44</v>
      </c>
      <c r="G61" s="32"/>
      <c r="H61" s="32"/>
      <c r="I61" s="32"/>
      <c r="J61" s="33"/>
      <c r="K61" s="34" t="s">
        <v>41</v>
      </c>
      <c r="L61" s="32"/>
      <c r="M61" s="32"/>
      <c r="N61" s="32"/>
      <c r="O61" s="33"/>
    </row>
    <row r="62" spans="1:15" s="29" customFormat="1" outlineLevel="1" x14ac:dyDescent="0.25">
      <c r="A62" s="96">
        <v>41473.017916666664</v>
      </c>
      <c r="B62" s="38" t="s">
        <v>93</v>
      </c>
      <c r="C62" s="97" t="s">
        <v>24</v>
      </c>
      <c r="D62" s="946"/>
      <c r="E62" s="781" t="s">
        <v>80</v>
      </c>
      <c r="F62" s="139" t="s">
        <v>94</v>
      </c>
      <c r="G62" s="99"/>
      <c r="H62" s="42"/>
      <c r="I62" s="42"/>
      <c r="J62" s="43"/>
      <c r="K62" s="44" t="str">
        <f>K61</f>
        <v>Заказы</v>
      </c>
      <c r="L62" s="47"/>
      <c r="M62" s="42"/>
      <c r="N62" s="47"/>
      <c r="O62" s="43"/>
    </row>
    <row r="63" spans="1:15" s="29" customFormat="1" outlineLevel="1" x14ac:dyDescent="0.25">
      <c r="A63" s="96">
        <v>41473.017928240741</v>
      </c>
      <c r="B63" s="38" t="s">
        <v>34</v>
      </c>
      <c r="C63" s="106" t="str">
        <f>B62</f>
        <v>RowDel</v>
      </c>
      <c r="D63" s="946"/>
      <c r="E63" s="781" t="s">
        <v>80</v>
      </c>
      <c r="F63" s="44" t="s">
        <v>95</v>
      </c>
      <c r="G63" s="41"/>
      <c r="H63" s="42"/>
      <c r="I63" s="42"/>
      <c r="J63" s="43"/>
      <c r="K63" s="44" t="str">
        <f>K61</f>
        <v>Заказы</v>
      </c>
      <c r="L63" s="47"/>
      <c r="M63" s="42"/>
      <c r="N63" s="47"/>
      <c r="O63" s="43"/>
    </row>
    <row r="64" spans="1:15" s="29" customFormat="1" outlineLevel="1" x14ac:dyDescent="0.25">
      <c r="A64" s="96">
        <v>41506.983391203707</v>
      </c>
      <c r="B64" s="38" t="s">
        <v>42</v>
      </c>
      <c r="C64" s="106" t="str">
        <f>B63</f>
        <v>InsMyCol</v>
      </c>
      <c r="D64" s="946"/>
      <c r="E64" s="39" t="s">
        <v>82</v>
      </c>
      <c r="F64" s="31" t="s">
        <v>95</v>
      </c>
      <c r="G64" s="46"/>
      <c r="H64" s="46"/>
      <c r="I64" s="46"/>
      <c r="J64" s="107"/>
      <c r="K64" s="44" t="str">
        <f>K62</f>
        <v>Заказы</v>
      </c>
      <c r="L64" s="47" t="s">
        <v>1</v>
      </c>
      <c r="M64" s="42"/>
      <c r="N64" s="45" t="s">
        <v>30</v>
      </c>
      <c r="O64" s="43"/>
    </row>
    <row r="65" spans="1:16" s="62" customFormat="1" ht="15.75" outlineLevel="1" thickBot="1" x14ac:dyDescent="0.3">
      <c r="A65" s="100">
        <v>41506.983391203707</v>
      </c>
      <c r="B65" s="55" t="s">
        <v>2</v>
      </c>
      <c r="C65" s="101"/>
      <c r="D65" s="947"/>
      <c r="E65" s="56" t="s">
        <v>80</v>
      </c>
      <c r="F65" s="57"/>
      <c r="G65" s="58"/>
      <c r="H65" s="58"/>
      <c r="I65" s="58"/>
      <c r="J65" s="59"/>
      <c r="K65" s="982" t="str">
        <f>K61</f>
        <v>Заказы</v>
      </c>
      <c r="L65" s="61"/>
      <c r="M65" s="58"/>
      <c r="N65" s="61"/>
      <c r="O65" s="59"/>
    </row>
    <row r="66" spans="1:16" s="29" customFormat="1" ht="16.5" thickTop="1" thickBot="1" x14ac:dyDescent="0.3">
      <c r="A66" s="27"/>
      <c r="B66" s="28" t="s">
        <v>79</v>
      </c>
      <c r="C66" s="27"/>
      <c r="D66" s="954"/>
      <c r="E66" s="108" t="s">
        <v>23</v>
      </c>
      <c r="F66" s="31" t="s">
        <v>35</v>
      </c>
      <c r="G66" s="32"/>
      <c r="H66" s="32"/>
      <c r="I66" s="32"/>
      <c r="J66" s="33"/>
      <c r="K66" s="34" t="s">
        <v>32</v>
      </c>
      <c r="L66" s="32"/>
      <c r="M66" s="32"/>
      <c r="N66" s="32"/>
      <c r="O66" s="33"/>
    </row>
    <row r="67" spans="1:16" s="29" customFormat="1" ht="15.75" outlineLevel="1" thickTop="1" x14ac:dyDescent="0.25">
      <c r="A67" s="96"/>
      <c r="B67" s="38" t="s">
        <v>93</v>
      </c>
      <c r="C67" s="97" t="s">
        <v>24</v>
      </c>
      <c r="D67" s="946"/>
      <c r="E67" s="39" t="s">
        <v>82</v>
      </c>
      <c r="F67" s="105" t="s">
        <v>96</v>
      </c>
      <c r="G67" s="46"/>
      <c r="H67" s="42"/>
      <c r="I67" s="42"/>
      <c r="J67" s="43"/>
      <c r="K67" s="109" t="str">
        <f>K66</f>
        <v>Склад</v>
      </c>
      <c r="L67" s="47"/>
      <c r="M67" s="42"/>
      <c r="N67" s="47"/>
      <c r="O67" s="43"/>
    </row>
    <row r="68" spans="1:16" s="29" customFormat="1" outlineLevel="1" x14ac:dyDescent="0.25">
      <c r="A68" s="96"/>
      <c r="B68" s="38" t="s">
        <v>34</v>
      </c>
      <c r="C68" s="106" t="str">
        <f>B67</f>
        <v>RowDel</v>
      </c>
      <c r="D68" s="946"/>
      <c r="E68" s="39" t="s">
        <v>82</v>
      </c>
      <c r="F68" s="44" t="s">
        <v>97</v>
      </c>
      <c r="G68" s="46"/>
      <c r="H68" s="42"/>
      <c r="I68" s="42"/>
      <c r="J68" s="43"/>
      <c r="K68" s="44" t="str">
        <f>K66</f>
        <v>Склад</v>
      </c>
      <c r="L68" s="47"/>
      <c r="M68" s="42"/>
      <c r="N68" s="47"/>
      <c r="O68" s="43"/>
    </row>
    <row r="69" spans="1:16" s="29" customFormat="1" outlineLevel="1" x14ac:dyDescent="0.25">
      <c r="A69" s="96"/>
      <c r="B69" s="38" t="s">
        <v>98</v>
      </c>
      <c r="C69" s="110"/>
      <c r="D69" s="946"/>
      <c r="E69" s="39" t="s">
        <v>82</v>
      </c>
      <c r="F69" s="105" t="s">
        <v>80</v>
      </c>
      <c r="G69" s="46" t="s">
        <v>99</v>
      </c>
      <c r="H69" s="42"/>
      <c r="I69" s="42"/>
      <c r="J69" s="43"/>
      <c r="K69" s="44"/>
      <c r="L69" s="47"/>
      <c r="M69" s="42"/>
      <c r="N69" s="47"/>
      <c r="O69" s="43"/>
    </row>
    <row r="70" spans="1:16" s="29" customFormat="1" outlineLevel="1" x14ac:dyDescent="0.25">
      <c r="A70" s="96"/>
      <c r="B70" s="38" t="s">
        <v>42</v>
      </c>
      <c r="C70" s="106" t="str">
        <f>B68</f>
        <v>InsMyCol</v>
      </c>
      <c r="D70" s="946"/>
      <c r="E70" s="39" t="s">
        <v>82</v>
      </c>
      <c r="F70" s="31" t="str">
        <f>F68</f>
        <v>Stock_MyCol</v>
      </c>
      <c r="G70" s="46"/>
      <c r="H70" s="42"/>
      <c r="I70" s="42"/>
      <c r="J70" s="43"/>
      <c r="K70" s="44" t="str">
        <f>K66</f>
        <v>Склад</v>
      </c>
      <c r="L70" s="47">
        <f>L159</f>
        <v>0</v>
      </c>
      <c r="M70" s="42"/>
      <c r="N70" s="45" t="s">
        <v>17</v>
      </c>
      <c r="O70" s="43"/>
    </row>
    <row r="71" spans="1:16" s="62" customFormat="1" ht="15.75" outlineLevel="1" thickBot="1" x14ac:dyDescent="0.3">
      <c r="A71" s="100"/>
      <c r="B71" s="55" t="s">
        <v>2</v>
      </c>
      <c r="C71" s="101"/>
      <c r="D71" s="947"/>
      <c r="E71" s="779" t="s">
        <v>82</v>
      </c>
      <c r="F71" s="57"/>
      <c r="G71" s="58"/>
      <c r="H71" s="58"/>
      <c r="I71" s="58"/>
      <c r="J71" s="59"/>
      <c r="K71" s="982" t="str">
        <f>K66</f>
        <v>Склад</v>
      </c>
      <c r="L71" s="61"/>
      <c r="M71" s="58"/>
      <c r="N71" s="61"/>
      <c r="O71" s="59"/>
    </row>
    <row r="72" spans="1:16" s="29" customFormat="1" ht="16.5" thickTop="1" thickBot="1" x14ac:dyDescent="0.3">
      <c r="A72" s="1028">
        <v>41587.015428240738</v>
      </c>
      <c r="B72" s="1032" t="s">
        <v>79</v>
      </c>
      <c r="C72" s="1030"/>
      <c r="D72" s="952"/>
      <c r="E72" s="108" t="s">
        <v>82</v>
      </c>
      <c r="F72" s="780" t="s">
        <v>100</v>
      </c>
      <c r="G72" s="88"/>
      <c r="H72" s="88"/>
      <c r="I72" s="88"/>
      <c r="J72" s="91"/>
      <c r="K72" s="111" t="s">
        <v>1</v>
      </c>
      <c r="L72" s="93"/>
      <c r="M72" s="88"/>
      <c r="N72" s="93"/>
      <c r="O72" s="91"/>
    </row>
    <row r="73" spans="1:16" s="11" customFormat="1" ht="15.75" thickTop="1" x14ac:dyDescent="0.25">
      <c r="A73" s="35">
        <v>41617.828912037039</v>
      </c>
      <c r="B73" s="36" t="s">
        <v>89</v>
      </c>
      <c r="C73" s="37"/>
      <c r="D73" s="946"/>
      <c r="E73" s="781" t="s">
        <v>80</v>
      </c>
      <c r="F73" s="44" t="str">
        <f>F16</f>
        <v>LOAD_1C_P</v>
      </c>
      <c r="G73" s="47"/>
      <c r="H73" s="782"/>
      <c r="I73" s="782"/>
      <c r="J73" s="94"/>
      <c r="K73" s="44" t="str">
        <f>K72</f>
        <v>Платежи</v>
      </c>
      <c r="L73" s="47" t="str">
        <f>TOCmatch!B14</f>
        <v>SF</v>
      </c>
      <c r="O73" s="94"/>
    </row>
    <row r="74" spans="1:16" x14ac:dyDescent="0.25">
      <c r="A74" s="96"/>
      <c r="B74" s="1006" t="s">
        <v>1087</v>
      </c>
      <c r="C74" s="106"/>
      <c r="D74" s="950"/>
      <c r="E74" s="39" t="s">
        <v>82</v>
      </c>
      <c r="F74" s="44"/>
      <c r="G74" s="47"/>
      <c r="H74" s="53"/>
      <c r="I74" s="53"/>
      <c r="J74" s="94"/>
      <c r="K74" s="95" t="s">
        <v>1</v>
      </c>
      <c r="L74" s="45" t="str">
        <f>TOCmatch!B15</f>
        <v>SFD</v>
      </c>
      <c r="M74" s="45" t="str">
        <f>TOCmatch!B16</f>
        <v>SFopp</v>
      </c>
      <c r="N74" s="53" t="str">
        <f>TOCmatch!B10</f>
        <v>Договоры</v>
      </c>
      <c r="O74" s="94"/>
      <c r="P74" s="688"/>
    </row>
    <row r="75" spans="1:16" s="29" customFormat="1" x14ac:dyDescent="0.25">
      <c r="A75" s="96"/>
      <c r="B75" s="99" t="s">
        <v>58</v>
      </c>
      <c r="C75" s="116" t="str">
        <f>B74</f>
        <v>Paid1C</v>
      </c>
      <c r="D75" s="946"/>
      <c r="E75" s="39" t="s">
        <v>82</v>
      </c>
      <c r="F75" s="123" t="str">
        <f>TOCmatch!B46</f>
        <v>NewContract</v>
      </c>
      <c r="G75" s="47" t="s">
        <v>105</v>
      </c>
      <c r="H75" s="53" t="s">
        <v>113</v>
      </c>
      <c r="I75" s="53" t="s">
        <v>114</v>
      </c>
      <c r="J75" s="43"/>
      <c r="K75" s="115" t="str">
        <f>F75</f>
        <v>NewContract</v>
      </c>
      <c r="M75" s="42"/>
      <c r="N75" s="47"/>
      <c r="O75" s="43"/>
      <c r="P75" s="684"/>
    </row>
    <row r="76" spans="1:16" x14ac:dyDescent="0.25">
      <c r="A76" s="96"/>
      <c r="B76" s="99" t="s">
        <v>58</v>
      </c>
      <c r="C76" s="106" t="str">
        <f>B74</f>
        <v>Paid1C</v>
      </c>
      <c r="D76" s="950"/>
      <c r="E76" s="74" t="s">
        <v>82</v>
      </c>
      <c r="F76" s="123" t="str">
        <f>TOCmatch!B45</f>
        <v>NewPayment</v>
      </c>
      <c r="G76" s="47" t="s">
        <v>105</v>
      </c>
      <c r="H76" s="53" t="s">
        <v>106</v>
      </c>
      <c r="I76" s="53" t="s">
        <v>107</v>
      </c>
      <c r="J76" s="43"/>
      <c r="K76" s="115" t="str">
        <f>F76</f>
        <v>NewPayment</v>
      </c>
      <c r="L76" s="53"/>
      <c r="M76" s="53"/>
      <c r="N76" s="53"/>
      <c r="O76" s="94"/>
      <c r="P76" s="684"/>
    </row>
    <row r="77" spans="1:16" x14ac:dyDescent="0.25">
      <c r="A77" s="96"/>
      <c r="B77" s="99" t="s">
        <v>58</v>
      </c>
      <c r="C77" s="106" t="str">
        <f>B74</f>
        <v>Paid1C</v>
      </c>
      <c r="D77" s="950"/>
      <c r="E77" s="74" t="s">
        <v>82</v>
      </c>
      <c r="F77" s="123" t="str">
        <f>TOCmatch!B47</f>
        <v>NewOpp</v>
      </c>
      <c r="G77" s="47" t="s">
        <v>105</v>
      </c>
      <c r="H77" s="709" t="s">
        <v>120</v>
      </c>
      <c r="I77" s="709" t="s">
        <v>121</v>
      </c>
      <c r="J77" s="43"/>
      <c r="K77" s="115" t="str">
        <f>F77</f>
        <v>NewOpp</v>
      </c>
      <c r="L77" s="53"/>
      <c r="M77" s="53"/>
      <c r="N77" s="53"/>
      <c r="O77" s="94"/>
      <c r="P77" s="684"/>
    </row>
    <row r="78" spans="1:16" x14ac:dyDescent="0.25">
      <c r="A78" s="96"/>
      <c r="B78" s="99" t="s">
        <v>58</v>
      </c>
      <c r="C78" s="106" t="str">
        <f>B74</f>
        <v>Paid1C</v>
      </c>
      <c r="D78" s="950"/>
      <c r="E78" s="74" t="s">
        <v>82</v>
      </c>
      <c r="F78" s="123" t="str">
        <f>TOCmatch!B50</f>
        <v>ContractUpdate</v>
      </c>
      <c r="G78" s="47" t="s">
        <v>105</v>
      </c>
      <c r="H78" s="709" t="s">
        <v>1109</v>
      </c>
      <c r="I78" s="709" t="s">
        <v>1110</v>
      </c>
      <c r="J78" s="43"/>
      <c r="K78" s="115" t="str">
        <f>F78</f>
        <v>ContractUpdate</v>
      </c>
      <c r="L78" s="53"/>
      <c r="M78" s="53"/>
      <c r="N78" s="53"/>
      <c r="O78" s="94"/>
      <c r="P78" s="684"/>
    </row>
    <row r="79" spans="1:16" s="62" customFormat="1" ht="15.75" thickBot="1" x14ac:dyDescent="0.3">
      <c r="A79" s="100"/>
      <c r="B79" s="55" t="s">
        <v>2</v>
      </c>
      <c r="C79" s="121">
        <v>10</v>
      </c>
      <c r="D79" s="947"/>
      <c r="E79" s="56" t="s">
        <v>82</v>
      </c>
      <c r="F79" s="57"/>
      <c r="G79" s="58"/>
      <c r="H79" s="58"/>
      <c r="I79" s="58"/>
      <c r="J79" s="59"/>
      <c r="K79" s="982" t="s">
        <v>17</v>
      </c>
      <c r="L79" s="984" t="s">
        <v>21</v>
      </c>
      <c r="M79" s="984" t="s">
        <v>22</v>
      </c>
      <c r="N79" s="61"/>
      <c r="O79" s="59"/>
      <c r="P79" s="685"/>
    </row>
    <row r="80" spans="1:16" s="29" customFormat="1" ht="16.5" thickTop="1" thickBot="1" x14ac:dyDescent="0.3">
      <c r="A80" s="96"/>
      <c r="B80" s="38" t="s">
        <v>79</v>
      </c>
      <c r="C80" s="113"/>
      <c r="D80" s="986" t="s">
        <v>1260</v>
      </c>
      <c r="E80" s="108" t="s">
        <v>82</v>
      </c>
      <c r="F80" s="737" t="s">
        <v>1122</v>
      </c>
      <c r="G80" s="42"/>
      <c r="H80" s="42"/>
      <c r="I80" s="42"/>
      <c r="J80" s="43"/>
      <c r="K80" s="34" t="s">
        <v>1</v>
      </c>
      <c r="L80" s="47"/>
      <c r="M80" s="42"/>
      <c r="N80" s="47"/>
      <c r="O80" s="43"/>
    </row>
    <row r="81" spans="1:16" s="29" customFormat="1" ht="15.75" thickTop="1" x14ac:dyDescent="0.25">
      <c r="A81" s="96"/>
      <c r="B81" s="38" t="s">
        <v>98</v>
      </c>
      <c r="C81" s="110"/>
      <c r="D81" s="985" t="s">
        <v>1260</v>
      </c>
      <c r="E81" s="39" t="s">
        <v>82</v>
      </c>
      <c r="F81" s="105" t="s">
        <v>80</v>
      </c>
      <c r="G81" s="46"/>
      <c r="H81" s="42"/>
      <c r="I81" s="42"/>
      <c r="J81" s="43"/>
      <c r="K81" s="44"/>
      <c r="L81" s="47"/>
      <c r="M81" s="42"/>
      <c r="N81" s="47"/>
      <c r="O81" s="43"/>
    </row>
    <row r="82" spans="1:16" s="29" customFormat="1" x14ac:dyDescent="0.25">
      <c r="A82" s="96"/>
      <c r="B82" s="38" t="s">
        <v>103</v>
      </c>
      <c r="C82" s="113"/>
      <c r="D82" s="985" t="s">
        <v>1260</v>
      </c>
      <c r="E82" s="39" t="s">
        <v>82</v>
      </c>
      <c r="F82" s="115" t="s">
        <v>57</v>
      </c>
      <c r="G82" s="42"/>
      <c r="H82" s="42"/>
      <c r="I82" s="42"/>
      <c r="J82" s="43"/>
      <c r="K82" s="115" t="str">
        <f>F82</f>
        <v>NewPayment</v>
      </c>
      <c r="L82" s="47"/>
      <c r="M82" s="42"/>
      <c r="N82" s="47"/>
      <c r="O82" s="43"/>
    </row>
    <row r="83" spans="1:16" s="29" customFormat="1" x14ac:dyDescent="0.25">
      <c r="A83" s="96"/>
      <c r="B83" s="38" t="s">
        <v>104</v>
      </c>
      <c r="C83" s="116" t="str">
        <f>B82</f>
        <v>NewSheet</v>
      </c>
      <c r="D83" s="985" t="s">
        <v>1260</v>
      </c>
      <c r="E83" s="39" t="s">
        <v>82</v>
      </c>
      <c r="F83" s="105"/>
      <c r="G83" s="46"/>
      <c r="H83" s="42"/>
      <c r="I83" s="42"/>
      <c r="J83" s="43"/>
      <c r="K83" s="44" t="str">
        <f>K80</f>
        <v>Платежи</v>
      </c>
      <c r="L83" s="45" t="s">
        <v>22</v>
      </c>
      <c r="M83" s="42"/>
      <c r="N83" s="47"/>
      <c r="O83" s="43"/>
    </row>
    <row r="84" spans="1:16" s="29" customFormat="1" x14ac:dyDescent="0.25">
      <c r="A84" s="96"/>
      <c r="B84" s="99" t="s">
        <v>58</v>
      </c>
      <c r="C84" s="116" t="str">
        <f>B83</f>
        <v>NewPaidOpp</v>
      </c>
      <c r="D84" s="985" t="s">
        <v>1260</v>
      </c>
      <c r="E84" s="39" t="s">
        <v>82</v>
      </c>
      <c r="F84" s="115" t="s">
        <v>57</v>
      </c>
      <c r="G84" s="47" t="s">
        <v>105</v>
      </c>
      <c r="H84" s="53" t="s">
        <v>106</v>
      </c>
      <c r="I84" s="53" t="s">
        <v>107</v>
      </c>
      <c r="J84" s="43"/>
      <c r="K84" s="44"/>
      <c r="L84" s="47"/>
      <c r="M84" s="42"/>
      <c r="N84" s="47"/>
      <c r="O84" s="43"/>
    </row>
    <row r="85" spans="1:16" s="62" customFormat="1" ht="15.75" thickBot="1" x14ac:dyDescent="0.3">
      <c r="A85" s="100"/>
      <c r="B85" s="55" t="s">
        <v>2</v>
      </c>
      <c r="C85" s="101">
        <v>224</v>
      </c>
      <c r="D85" s="987" t="s">
        <v>1260</v>
      </c>
      <c r="E85" s="56" t="s">
        <v>82</v>
      </c>
      <c r="F85" s="57"/>
      <c r="G85" s="58"/>
      <c r="H85" s="58"/>
      <c r="I85" s="58"/>
      <c r="J85" s="59"/>
      <c r="K85" s="60"/>
      <c r="L85" s="61"/>
      <c r="M85" s="58"/>
      <c r="N85" s="61"/>
      <c r="O85" s="59"/>
    </row>
    <row r="86" spans="1:16" s="29" customFormat="1" ht="16.5" thickTop="1" thickBot="1" x14ac:dyDescent="0.3">
      <c r="A86" s="96"/>
      <c r="B86" s="38" t="s">
        <v>79</v>
      </c>
      <c r="C86" s="113"/>
      <c r="D86" s="954" t="s">
        <v>1260</v>
      </c>
      <c r="E86" s="108" t="s">
        <v>82</v>
      </c>
      <c r="F86" s="114" t="s">
        <v>102</v>
      </c>
      <c r="G86" s="42"/>
      <c r="H86" s="42"/>
      <c r="I86" s="42"/>
      <c r="J86" s="43"/>
      <c r="K86" s="34" t="s">
        <v>1</v>
      </c>
      <c r="L86" s="47"/>
      <c r="M86" s="42"/>
      <c r="N86" s="47"/>
      <c r="O86" s="43"/>
    </row>
    <row r="87" spans="1:16" s="29" customFormat="1" ht="15.75" thickTop="1" x14ac:dyDescent="0.25">
      <c r="A87" s="96"/>
      <c r="B87" s="38" t="s">
        <v>98</v>
      </c>
      <c r="C87" s="110"/>
      <c r="D87" s="985" t="s">
        <v>1260</v>
      </c>
      <c r="E87" s="39" t="s">
        <v>82</v>
      </c>
      <c r="F87" s="105" t="s">
        <v>80</v>
      </c>
      <c r="G87" s="46"/>
      <c r="H87" s="42"/>
      <c r="I87" s="42"/>
      <c r="J87" s="43"/>
      <c r="K87" s="44"/>
      <c r="L87" s="47"/>
      <c r="M87" s="42"/>
      <c r="N87" s="47"/>
      <c r="O87" s="43"/>
    </row>
    <row r="88" spans="1:16" s="29" customFormat="1" x14ac:dyDescent="0.25">
      <c r="A88" s="96"/>
      <c r="B88" s="38" t="s">
        <v>103</v>
      </c>
      <c r="C88" s="113"/>
      <c r="D88" s="954" t="s">
        <v>1260</v>
      </c>
      <c r="E88" s="39" t="s">
        <v>82</v>
      </c>
      <c r="F88" s="115" t="s">
        <v>57</v>
      </c>
      <c r="G88" s="42"/>
      <c r="H88" s="42"/>
      <c r="I88" s="42"/>
      <c r="J88" s="43"/>
      <c r="K88" s="115" t="str">
        <f>F88</f>
        <v>NewPayment</v>
      </c>
      <c r="L88" s="47"/>
      <c r="M88" s="42"/>
      <c r="N88" s="47"/>
      <c r="O88" s="43"/>
    </row>
    <row r="89" spans="1:16" s="29" customFormat="1" x14ac:dyDescent="0.25">
      <c r="A89" s="96"/>
      <c r="B89" s="38" t="s">
        <v>104</v>
      </c>
      <c r="C89" s="116" t="str">
        <f>B88</f>
        <v>NewSheet</v>
      </c>
      <c r="D89" s="985" t="s">
        <v>1260</v>
      </c>
      <c r="E89" s="39" t="s">
        <v>82</v>
      </c>
      <c r="F89" s="105"/>
      <c r="G89" s="46"/>
      <c r="H89" s="42"/>
      <c r="I89" s="42"/>
      <c r="J89" s="43"/>
      <c r="K89" s="44" t="str">
        <f>K86</f>
        <v>Платежи</v>
      </c>
      <c r="L89" s="45" t="s">
        <v>22</v>
      </c>
      <c r="M89" s="42"/>
      <c r="N89" s="47"/>
      <c r="O89" s="43"/>
    </row>
    <row r="90" spans="1:16" s="29" customFormat="1" x14ac:dyDescent="0.25">
      <c r="A90" s="96"/>
      <c r="B90" s="99" t="s">
        <v>58</v>
      </c>
      <c r="C90" s="116" t="str">
        <f>B89</f>
        <v>NewPaidOpp</v>
      </c>
      <c r="D90" s="985" t="s">
        <v>1260</v>
      </c>
      <c r="E90" s="39" t="s">
        <v>82</v>
      </c>
      <c r="F90" s="115" t="s">
        <v>57</v>
      </c>
      <c r="G90" s="47" t="s">
        <v>105</v>
      </c>
      <c r="H90" s="53" t="s">
        <v>106</v>
      </c>
      <c r="I90" s="53" t="s">
        <v>107</v>
      </c>
      <c r="J90" s="43"/>
      <c r="K90" s="44"/>
      <c r="L90" s="47"/>
      <c r="M90" s="42"/>
      <c r="N90" s="47"/>
      <c r="O90" s="43"/>
    </row>
    <row r="91" spans="1:16" s="62" customFormat="1" ht="15.75" thickBot="1" x14ac:dyDescent="0.3">
      <c r="A91" s="100"/>
      <c r="B91" s="55" t="s">
        <v>2</v>
      </c>
      <c r="C91" s="101">
        <v>224</v>
      </c>
      <c r="D91" s="987" t="s">
        <v>1260</v>
      </c>
      <c r="E91" s="56" t="s">
        <v>82</v>
      </c>
      <c r="F91" s="57"/>
      <c r="G91" s="58"/>
      <c r="H91" s="58"/>
      <c r="I91" s="58"/>
      <c r="J91" s="59"/>
      <c r="K91" s="60"/>
      <c r="L91" s="61"/>
      <c r="M91" s="58"/>
      <c r="N91" s="61"/>
      <c r="O91" s="59"/>
    </row>
    <row r="92" spans="1:16" s="29" customFormat="1" ht="16.5" thickTop="1" thickBot="1" x14ac:dyDescent="0.3">
      <c r="A92" s="96"/>
      <c r="B92" s="38" t="s">
        <v>79</v>
      </c>
      <c r="C92" s="113"/>
      <c r="D92" s="954" t="s">
        <v>1260</v>
      </c>
      <c r="E92" s="108" t="s">
        <v>82</v>
      </c>
      <c r="F92" s="114" t="s">
        <v>108</v>
      </c>
      <c r="G92" s="42"/>
      <c r="H92" s="42"/>
      <c r="I92" s="42"/>
      <c r="J92" s="43"/>
      <c r="K92" s="34" t="s">
        <v>1</v>
      </c>
      <c r="L92" s="47"/>
      <c r="M92" s="42"/>
      <c r="N92" s="47"/>
      <c r="O92" s="43"/>
      <c r="P92" s="117"/>
    </row>
    <row r="93" spans="1:16" s="29" customFormat="1" ht="15.75" thickTop="1" x14ac:dyDescent="0.25">
      <c r="A93" s="96">
        <v>41506.038622685184</v>
      </c>
      <c r="B93" s="38" t="s">
        <v>42</v>
      </c>
      <c r="C93" s="118" t="str">
        <f>F16&amp;"/"&amp;B20</f>
        <v>LOAD_1C_P/PaymentPaint</v>
      </c>
      <c r="D93" s="985" t="s">
        <v>1260</v>
      </c>
      <c r="E93" s="39" t="s">
        <v>82</v>
      </c>
      <c r="F93" s="678" t="s">
        <v>109</v>
      </c>
      <c r="G93" s="119" t="str">
        <f>K93</f>
        <v>Платежи</v>
      </c>
      <c r="H93" s="120" t="str">
        <f>F94</f>
        <v>NewPayment</v>
      </c>
      <c r="I93" s="42"/>
      <c r="J93" s="43"/>
      <c r="K93" s="44" t="str">
        <f>K92</f>
        <v>Платежи</v>
      </c>
      <c r="L93" s="45" t="s">
        <v>22</v>
      </c>
      <c r="N93" s="47"/>
      <c r="O93" s="43"/>
      <c r="P93" s="117"/>
    </row>
    <row r="94" spans="1:16" s="29" customFormat="1" x14ac:dyDescent="0.25">
      <c r="A94" s="96">
        <v>41506.038622685184</v>
      </c>
      <c r="B94" s="99" t="s">
        <v>58</v>
      </c>
      <c r="C94" s="116" t="str">
        <f>B93</f>
        <v>Adapt</v>
      </c>
      <c r="D94" s="985" t="s">
        <v>1260</v>
      </c>
      <c r="E94" s="39" t="s">
        <v>82</v>
      </c>
      <c r="F94" s="115" t="s">
        <v>57</v>
      </c>
      <c r="G94" s="47" t="s">
        <v>105</v>
      </c>
      <c r="H94" s="53" t="s">
        <v>106</v>
      </c>
      <c r="I94" s="53" t="s">
        <v>107</v>
      </c>
      <c r="J94" s="43"/>
      <c r="K94" s="115" t="str">
        <f>F94</f>
        <v>NewPayment</v>
      </c>
      <c r="M94" s="42"/>
      <c r="N94" s="47"/>
      <c r="O94" s="43"/>
      <c r="P94" s="117"/>
    </row>
    <row r="95" spans="1:16" s="62" customFormat="1" ht="15.75" thickBot="1" x14ac:dyDescent="0.3">
      <c r="A95" s="100">
        <v>41506.038634259261</v>
      </c>
      <c r="B95" s="55" t="s">
        <v>2</v>
      </c>
      <c r="C95" s="121">
        <v>67</v>
      </c>
      <c r="D95" s="987" t="s">
        <v>1260</v>
      </c>
      <c r="E95" s="51" t="s">
        <v>82</v>
      </c>
      <c r="F95" s="57"/>
      <c r="G95" s="58"/>
      <c r="H95" s="58"/>
      <c r="I95" s="58"/>
      <c r="J95" s="59"/>
      <c r="K95" s="60"/>
      <c r="L95" s="61"/>
      <c r="M95" s="58"/>
      <c r="N95" s="61"/>
      <c r="O95" s="59"/>
      <c r="P95" s="122"/>
    </row>
    <row r="96" spans="1:16" s="29" customFormat="1" ht="16.5" thickTop="1" thickBot="1" x14ac:dyDescent="0.3">
      <c r="A96" s="96"/>
      <c r="B96" s="38" t="s">
        <v>79</v>
      </c>
      <c r="C96" s="113"/>
      <c r="D96" s="954" t="s">
        <v>1260</v>
      </c>
      <c r="E96" s="108" t="s">
        <v>82</v>
      </c>
      <c r="F96" s="114" t="s">
        <v>110</v>
      </c>
      <c r="G96" s="42"/>
      <c r="H96" s="42"/>
      <c r="I96" s="42"/>
      <c r="J96" s="43"/>
      <c r="K96" s="34" t="s">
        <v>1</v>
      </c>
      <c r="L96" s="47"/>
      <c r="M96" s="42"/>
      <c r="N96" s="47"/>
      <c r="O96" s="43"/>
    </row>
    <row r="97" spans="1:16" s="29" customFormat="1" ht="15.75" thickTop="1" x14ac:dyDescent="0.25">
      <c r="A97" s="96">
        <v>41522.105624999997</v>
      </c>
      <c r="B97" s="689" t="s">
        <v>111</v>
      </c>
      <c r="C97" s="118" t="str">
        <f>F16&amp;"/"&amp;B20</f>
        <v>LOAD_1C_P/PaymentPaint</v>
      </c>
      <c r="D97" s="985" t="s">
        <v>1260</v>
      </c>
      <c r="E97" s="39" t="s">
        <v>82</v>
      </c>
      <c r="F97" s="115" t="s">
        <v>57</v>
      </c>
      <c r="G97" s="46"/>
      <c r="H97" s="42"/>
      <c r="I97" s="42"/>
      <c r="J97" s="43"/>
      <c r="K97" s="44" t="str">
        <f>K96</f>
        <v>Платежи</v>
      </c>
      <c r="L97" s="45" t="s">
        <v>21</v>
      </c>
      <c r="M97" s="45" t="s">
        <v>22</v>
      </c>
      <c r="N97" s="47"/>
      <c r="O97" s="43"/>
    </row>
    <row r="98" spans="1:16" s="29" customFormat="1" x14ac:dyDescent="0.25">
      <c r="A98" s="96">
        <v>41522.105636574073</v>
      </c>
      <c r="B98" s="99" t="s">
        <v>58</v>
      </c>
      <c r="C98" s="116" t="str">
        <f>B97</f>
        <v>PaidContr</v>
      </c>
      <c r="D98" s="985" t="s">
        <v>1260</v>
      </c>
      <c r="E98" s="39" t="s">
        <v>82</v>
      </c>
      <c r="F98" s="123" t="str">
        <f>F97</f>
        <v>NewPayment</v>
      </c>
      <c r="G98" s="47" t="s">
        <v>105</v>
      </c>
      <c r="H98" s="53" t="s">
        <v>106</v>
      </c>
      <c r="I98" s="53" t="s">
        <v>107</v>
      </c>
      <c r="J98" s="43"/>
      <c r="K98" s="115" t="str">
        <f>F98</f>
        <v>NewPayment</v>
      </c>
      <c r="M98" s="42"/>
      <c r="N98" s="47"/>
      <c r="O98" s="43"/>
    </row>
    <row r="99" spans="1:16" s="62" customFormat="1" ht="15.75" thickBot="1" x14ac:dyDescent="0.3">
      <c r="A99" s="100"/>
      <c r="B99" s="55" t="s">
        <v>2</v>
      </c>
      <c r="C99" s="121">
        <v>0</v>
      </c>
      <c r="D99" s="987" t="s">
        <v>1260</v>
      </c>
      <c r="E99" s="51" t="s">
        <v>82</v>
      </c>
      <c r="F99" s="57"/>
      <c r="G99" s="58"/>
      <c r="H99" s="58"/>
      <c r="I99" s="58"/>
      <c r="J99" s="59"/>
      <c r="K99" s="60"/>
      <c r="L99" s="61"/>
      <c r="M99" s="58"/>
      <c r="N99" s="61"/>
      <c r="O99" s="59"/>
    </row>
    <row r="100" spans="1:16" s="940" customFormat="1" ht="16.5" thickTop="1" thickBot="1" x14ac:dyDescent="0.3">
      <c r="A100" s="96"/>
      <c r="B100" s="38" t="s">
        <v>79</v>
      </c>
      <c r="C100" s="113"/>
      <c r="D100" s="988" t="s">
        <v>1260</v>
      </c>
      <c r="E100" s="960" t="s">
        <v>82</v>
      </c>
      <c r="F100" s="961" t="s">
        <v>112</v>
      </c>
      <c r="G100" s="962"/>
      <c r="H100" s="962"/>
      <c r="I100" s="962"/>
      <c r="J100" s="963"/>
      <c r="K100" s="964" t="str">
        <f>K25</f>
        <v>Договоры</v>
      </c>
      <c r="L100" s="965"/>
      <c r="M100" s="962"/>
      <c r="N100" s="965"/>
      <c r="O100" s="963"/>
    </row>
    <row r="101" spans="1:16" s="940" customFormat="1" ht="15.75" thickTop="1" x14ac:dyDescent="0.25">
      <c r="A101" s="96">
        <v>41568.117037037038</v>
      </c>
      <c r="B101" s="38" t="s">
        <v>8</v>
      </c>
      <c r="C101" s="118" t="str">
        <f>F25&amp;"/"&amp;B26</f>
        <v>LOAD_1C_DOG/InsMyCol</v>
      </c>
      <c r="D101" s="988" t="s">
        <v>1260</v>
      </c>
      <c r="E101" s="966" t="s">
        <v>82</v>
      </c>
      <c r="F101" s="967" t="s">
        <v>59</v>
      </c>
      <c r="G101" s="968"/>
      <c r="H101" s="962"/>
      <c r="I101" s="962"/>
      <c r="J101" s="963"/>
      <c r="K101" s="969" t="str">
        <f>K100</f>
        <v>Договоры</v>
      </c>
      <c r="L101" s="965" t="s">
        <v>21</v>
      </c>
      <c r="M101" s="965" t="s">
        <v>25</v>
      </c>
      <c r="N101" s="965"/>
      <c r="O101" s="963"/>
    </row>
    <row r="102" spans="1:16" s="940" customFormat="1" x14ac:dyDescent="0.25">
      <c r="A102" s="96">
        <v>41568.117048611108</v>
      </c>
      <c r="B102" s="99" t="s">
        <v>58</v>
      </c>
      <c r="C102" s="116" t="str">
        <f>B101</f>
        <v>NewContr</v>
      </c>
      <c r="D102" s="988" t="s">
        <v>1260</v>
      </c>
      <c r="E102" s="966" t="s">
        <v>82</v>
      </c>
      <c r="F102" s="969" t="str">
        <f>F101</f>
        <v>NewContract</v>
      </c>
      <c r="G102" s="965" t="s">
        <v>105</v>
      </c>
      <c r="H102" s="970" t="s">
        <v>113</v>
      </c>
      <c r="I102" s="970" t="s">
        <v>114</v>
      </c>
      <c r="J102" s="963"/>
      <c r="K102" s="967" t="str">
        <f>F102</f>
        <v>NewContract</v>
      </c>
      <c r="M102" s="962"/>
      <c r="N102" s="965"/>
      <c r="O102" s="963"/>
    </row>
    <row r="103" spans="1:16" s="977" customFormat="1" ht="15.75" thickBot="1" x14ac:dyDescent="0.3">
      <c r="A103" s="100"/>
      <c r="B103" s="55" t="s">
        <v>2</v>
      </c>
      <c r="C103" s="121">
        <v>14</v>
      </c>
      <c r="D103" s="989" t="s">
        <v>1260</v>
      </c>
      <c r="E103" s="971" t="s">
        <v>82</v>
      </c>
      <c r="F103" s="972"/>
      <c r="G103" s="973"/>
      <c r="H103" s="973"/>
      <c r="I103" s="973"/>
      <c r="J103" s="974"/>
      <c r="K103" s="975"/>
      <c r="L103" s="976"/>
      <c r="M103" s="973"/>
      <c r="N103" s="976"/>
      <c r="O103" s="974"/>
    </row>
    <row r="104" spans="1:16" s="29" customFormat="1" ht="16.5" thickTop="1" thickBot="1" x14ac:dyDescent="0.3">
      <c r="A104" s="96"/>
      <c r="B104" s="38" t="s">
        <v>79</v>
      </c>
      <c r="C104" s="113"/>
      <c r="D104" s="954" t="s">
        <v>1260</v>
      </c>
      <c r="E104" s="108" t="s">
        <v>23</v>
      </c>
      <c r="F104" s="124" t="s">
        <v>115</v>
      </c>
      <c r="G104" s="42"/>
      <c r="H104" s="42"/>
      <c r="I104" s="42"/>
      <c r="J104" s="43"/>
      <c r="K104" s="34" t="s">
        <v>41</v>
      </c>
      <c r="L104" s="47"/>
      <c r="M104" s="42"/>
      <c r="N104" s="47"/>
      <c r="O104" s="43"/>
      <c r="P104" s="125"/>
    </row>
    <row r="105" spans="1:16" s="29" customFormat="1" ht="15.75" thickTop="1" x14ac:dyDescent="0.25">
      <c r="A105" s="96">
        <v>41430.738321759258</v>
      </c>
      <c r="B105" s="38" t="s">
        <v>62</v>
      </c>
      <c r="C105" s="118" t="str">
        <f>F61&amp;"/"&amp;B64</f>
        <v>LOAD_Order/Adapt</v>
      </c>
      <c r="D105" s="985" t="s">
        <v>1260</v>
      </c>
      <c r="E105" s="39" t="s">
        <v>82</v>
      </c>
      <c r="F105" s="115" t="s">
        <v>62</v>
      </c>
      <c r="G105" s="46"/>
      <c r="H105" s="42"/>
      <c r="I105" s="42"/>
      <c r="J105" s="43"/>
      <c r="K105" s="44" t="str">
        <f>K104</f>
        <v>Заказы</v>
      </c>
      <c r="L105" s="7" t="s">
        <v>1</v>
      </c>
      <c r="M105" s="45" t="s">
        <v>30</v>
      </c>
      <c r="N105" s="45" t="s">
        <v>17</v>
      </c>
      <c r="O105" s="43"/>
      <c r="P105" s="125"/>
    </row>
    <row r="106" spans="1:16" s="29" customFormat="1" x14ac:dyDescent="0.25">
      <c r="A106" s="96">
        <v>41430.738321759258</v>
      </c>
      <c r="B106" s="99" t="s">
        <v>58</v>
      </c>
      <c r="C106" s="116" t="str">
        <f>B105</f>
        <v>NewOrder</v>
      </c>
      <c r="D106" s="985" t="s">
        <v>1260</v>
      </c>
      <c r="E106" s="39" t="s">
        <v>82</v>
      </c>
      <c r="F106" s="123" t="str">
        <f>F105</f>
        <v>NewOrder</v>
      </c>
      <c r="G106" s="47" t="s">
        <v>105</v>
      </c>
      <c r="H106" s="53" t="s">
        <v>116</v>
      </c>
      <c r="I106" s="53" t="s">
        <v>117</v>
      </c>
      <c r="J106" s="43"/>
      <c r="K106" s="115" t="str">
        <f>F106</f>
        <v>NewOrder</v>
      </c>
      <c r="M106" s="42"/>
      <c r="N106" s="47"/>
      <c r="O106" s="43"/>
      <c r="P106" s="125"/>
    </row>
    <row r="107" spans="1:16" s="62" customFormat="1" ht="15.75" thickBot="1" x14ac:dyDescent="0.3">
      <c r="A107" s="100"/>
      <c r="B107" s="55" t="s">
        <v>2</v>
      </c>
      <c r="C107" s="121">
        <v>0</v>
      </c>
      <c r="D107" s="987" t="s">
        <v>1260</v>
      </c>
      <c r="E107" s="56" t="s">
        <v>82</v>
      </c>
      <c r="F107" s="57"/>
      <c r="G107" s="58"/>
      <c r="H107" s="58"/>
      <c r="I107" s="58"/>
      <c r="J107" s="59"/>
      <c r="K107" s="60"/>
      <c r="L107" s="61"/>
      <c r="M107" s="58"/>
      <c r="N107" s="61"/>
      <c r="O107" s="59"/>
      <c r="P107" s="126"/>
    </row>
    <row r="108" spans="1:16" s="29" customFormat="1" ht="16.5" thickTop="1" thickBot="1" x14ac:dyDescent="0.3">
      <c r="A108" s="96"/>
      <c r="B108" s="38" t="s">
        <v>79</v>
      </c>
      <c r="C108" s="113"/>
      <c r="D108" s="954" t="s">
        <v>1260</v>
      </c>
      <c r="E108" s="108" t="s">
        <v>82</v>
      </c>
      <c r="F108" s="124" t="s">
        <v>118</v>
      </c>
      <c r="G108" s="42"/>
      <c r="H108" s="42"/>
      <c r="I108" s="42"/>
      <c r="J108" s="43"/>
      <c r="K108" s="34" t="s">
        <v>1</v>
      </c>
      <c r="L108" s="47"/>
      <c r="M108" s="42"/>
      <c r="N108" s="47"/>
      <c r="O108" s="43"/>
      <c r="P108" s="127"/>
    </row>
    <row r="109" spans="1:16" s="29" customFormat="1" ht="30.75" thickTop="1" x14ac:dyDescent="0.25">
      <c r="A109" s="96">
        <v>41344.979027777779</v>
      </c>
      <c r="B109" s="38" t="s">
        <v>42</v>
      </c>
      <c r="C109" s="128" t="str">
        <f>F100&amp;"/"&amp;B102</f>
        <v>HANDL_NewContract/WrCSV</v>
      </c>
      <c r="D109" s="985" t="s">
        <v>1260</v>
      </c>
      <c r="E109" s="39" t="s">
        <v>82</v>
      </c>
      <c r="F109" s="129" t="s">
        <v>119</v>
      </c>
      <c r="G109" s="116" t="s">
        <v>1</v>
      </c>
      <c r="H109" s="130" t="str">
        <f>F110</f>
        <v>NewOpp</v>
      </c>
      <c r="I109" s="42"/>
      <c r="J109" s="43"/>
      <c r="K109" s="115" t="s">
        <v>60</v>
      </c>
      <c r="L109" s="47" t="s">
        <v>1</v>
      </c>
      <c r="M109" s="45" t="s">
        <v>21</v>
      </c>
      <c r="N109" s="45" t="s">
        <v>22</v>
      </c>
      <c r="O109" s="43"/>
      <c r="P109" s="127"/>
    </row>
    <row r="110" spans="1:16" s="29" customFormat="1" x14ac:dyDescent="0.25">
      <c r="A110" s="96">
        <v>41344.938113425924</v>
      </c>
      <c r="B110" s="99" t="s">
        <v>58</v>
      </c>
      <c r="C110" s="116" t="str">
        <f>B109</f>
        <v>Adapt</v>
      </c>
      <c r="D110" s="985" t="s">
        <v>1260</v>
      </c>
      <c r="E110" s="39" t="s">
        <v>82</v>
      </c>
      <c r="F110" s="123" t="str">
        <f>K109</f>
        <v>NewOpp</v>
      </c>
      <c r="G110" s="47" t="s">
        <v>105</v>
      </c>
      <c r="H110" s="53" t="s">
        <v>120</v>
      </c>
      <c r="I110" s="53" t="s">
        <v>121</v>
      </c>
      <c r="J110" s="43"/>
      <c r="K110" s="115" t="str">
        <f>F110</f>
        <v>NewOpp</v>
      </c>
      <c r="M110" s="42"/>
      <c r="N110" s="47"/>
      <c r="O110" s="43"/>
      <c r="P110" s="127"/>
    </row>
    <row r="111" spans="1:16" s="62" customFormat="1" ht="15.75" thickBot="1" x14ac:dyDescent="0.3">
      <c r="A111" s="100"/>
      <c r="B111" s="55" t="s">
        <v>2</v>
      </c>
      <c r="C111" s="121">
        <v>217</v>
      </c>
      <c r="D111" s="987" t="s">
        <v>1260</v>
      </c>
      <c r="E111" s="56" t="s">
        <v>82</v>
      </c>
      <c r="F111" s="57"/>
      <c r="G111" s="58"/>
      <c r="H111" s="58"/>
      <c r="I111" s="58"/>
      <c r="J111" s="59"/>
      <c r="K111" s="60"/>
      <c r="L111" s="61"/>
      <c r="M111" s="58"/>
      <c r="N111" s="61"/>
      <c r="O111" s="59"/>
      <c r="P111" s="131"/>
    </row>
    <row r="112" spans="1:16" s="29" customFormat="1" ht="16.5" thickTop="1" thickBot="1" x14ac:dyDescent="0.3">
      <c r="A112" s="96"/>
      <c r="B112" s="38" t="s">
        <v>79</v>
      </c>
      <c r="C112" s="113"/>
      <c r="D112" s="954" t="s">
        <v>1260</v>
      </c>
      <c r="E112" s="108" t="s">
        <v>23</v>
      </c>
      <c r="F112" s="114" t="s">
        <v>122</v>
      </c>
      <c r="G112" s="42"/>
      <c r="H112" s="42"/>
      <c r="I112" s="42"/>
      <c r="J112" s="43"/>
      <c r="K112" s="34" t="s">
        <v>12</v>
      </c>
      <c r="L112" s="47"/>
      <c r="M112" s="42"/>
      <c r="N112" s="47"/>
      <c r="O112" s="43"/>
    </row>
    <row r="113" spans="1:16" ht="15.75" thickTop="1" x14ac:dyDescent="0.25">
      <c r="A113" s="96">
        <v>41237.062696759262</v>
      </c>
      <c r="B113" s="99" t="s">
        <v>123</v>
      </c>
      <c r="C113" s="9" t="str">
        <f>F33&amp;"/"&amp;B35</f>
        <v>LOAD_1C_ACC/InsMyCol</v>
      </c>
      <c r="D113" s="990" t="s">
        <v>1260</v>
      </c>
      <c r="E113" s="74" t="s">
        <v>82</v>
      </c>
      <c r="F113" s="44" t="s">
        <v>55</v>
      </c>
      <c r="G113" s="47"/>
      <c r="H113" s="53"/>
      <c r="I113" s="53"/>
      <c r="J113" s="94"/>
      <c r="K113" s="2" t="str">
        <f>K112</f>
        <v>Список клиентов 1C</v>
      </c>
      <c r="L113" s="53"/>
      <c r="M113" s="53"/>
      <c r="N113" s="45" t="s">
        <v>25</v>
      </c>
      <c r="O113" s="94"/>
    </row>
    <row r="114" spans="1:16" s="62" customFormat="1" ht="15.75" thickBot="1" x14ac:dyDescent="0.3">
      <c r="A114" s="100"/>
      <c r="B114" s="55" t="s">
        <v>2</v>
      </c>
      <c r="C114" s="101"/>
      <c r="D114" s="987" t="s">
        <v>1260</v>
      </c>
      <c r="E114" s="56" t="s">
        <v>82</v>
      </c>
      <c r="F114" s="57"/>
      <c r="G114" s="58"/>
      <c r="H114" s="58"/>
      <c r="I114" s="58"/>
      <c r="J114" s="59"/>
      <c r="K114" s="60"/>
      <c r="L114" s="61"/>
      <c r="M114" s="58"/>
      <c r="N114" s="61"/>
      <c r="O114" s="59"/>
    </row>
    <row r="115" spans="1:16" s="29" customFormat="1" ht="16.5" thickTop="1" thickBot="1" x14ac:dyDescent="0.3">
      <c r="A115" s="96"/>
      <c r="B115" s="38" t="s">
        <v>79</v>
      </c>
      <c r="C115" s="113"/>
      <c r="D115" s="954" t="s">
        <v>1260</v>
      </c>
      <c r="E115" s="108" t="s">
        <v>23</v>
      </c>
      <c r="F115" s="114" t="s">
        <v>124</v>
      </c>
      <c r="G115" s="42"/>
      <c r="H115" s="42"/>
      <c r="I115" s="42"/>
      <c r="J115" s="43"/>
      <c r="K115" s="34" t="s">
        <v>48</v>
      </c>
      <c r="L115" s="47"/>
      <c r="M115" s="42"/>
      <c r="N115" s="47"/>
      <c r="O115" s="43"/>
      <c r="P115" s="133"/>
    </row>
    <row r="116" spans="1:16" ht="15.75" thickTop="1" x14ac:dyDescent="0.25">
      <c r="A116" s="96">
        <v>41410.835046296299</v>
      </c>
      <c r="B116" s="99" t="s">
        <v>125</v>
      </c>
      <c r="C116" s="9" t="s">
        <v>24</v>
      </c>
      <c r="D116" s="990" t="s">
        <v>1260</v>
      </c>
      <c r="E116" s="74" t="s">
        <v>82</v>
      </c>
      <c r="F116" s="134" t="s">
        <v>56</v>
      </c>
      <c r="G116" s="47"/>
      <c r="H116" s="53"/>
      <c r="I116" s="53"/>
      <c r="J116" s="94"/>
      <c r="K116" s="14" t="s">
        <v>41</v>
      </c>
      <c r="L116" s="135" t="s">
        <v>48</v>
      </c>
      <c r="M116" s="45" t="s">
        <v>30</v>
      </c>
      <c r="N116" s="45" t="s">
        <v>26</v>
      </c>
      <c r="O116" s="94"/>
      <c r="P116" s="136"/>
    </row>
    <row r="117" spans="1:16" s="29" customFormat="1" x14ac:dyDescent="0.25">
      <c r="A117" s="96"/>
      <c r="B117" s="99" t="s">
        <v>58</v>
      </c>
      <c r="C117" s="116" t="str">
        <f>B116</f>
        <v>BTO_Mail_track</v>
      </c>
      <c r="D117" s="985" t="s">
        <v>1260</v>
      </c>
      <c r="E117" s="39" t="s">
        <v>82</v>
      </c>
      <c r="F117" s="134" t="str">
        <f>F116</f>
        <v>BTOlog</v>
      </c>
      <c r="G117" s="47" t="s">
        <v>105</v>
      </c>
      <c r="H117" s="53" t="s">
        <v>126</v>
      </c>
      <c r="I117" s="53" t="s">
        <v>127</v>
      </c>
      <c r="J117" s="43"/>
      <c r="K117" s="134" t="str">
        <f>F117</f>
        <v>BTOlog</v>
      </c>
      <c r="M117" s="42"/>
      <c r="N117" s="47"/>
      <c r="O117" s="43"/>
      <c r="P117" s="136"/>
    </row>
    <row r="118" spans="1:16" s="62" customFormat="1" ht="15.75" thickBot="1" x14ac:dyDescent="0.3">
      <c r="A118" s="100"/>
      <c r="B118" s="55" t="s">
        <v>2</v>
      </c>
      <c r="C118" s="101"/>
      <c r="D118" s="987" t="s">
        <v>1260</v>
      </c>
      <c r="E118" s="56" t="s">
        <v>82</v>
      </c>
      <c r="F118" s="57"/>
      <c r="G118" s="58"/>
      <c r="H118" s="58"/>
      <c r="I118" s="58"/>
      <c r="J118" s="59"/>
      <c r="K118" s="60"/>
      <c r="L118" s="61"/>
      <c r="M118" s="58"/>
      <c r="N118" s="61"/>
      <c r="O118" s="59"/>
      <c r="P118" s="137"/>
    </row>
    <row r="119" spans="1:16" s="29" customFormat="1" ht="16.5" thickTop="1" thickBot="1" x14ac:dyDescent="0.3">
      <c r="A119" s="96"/>
      <c r="B119" s="38" t="s">
        <v>79</v>
      </c>
      <c r="C119" s="113"/>
      <c r="D119" s="954" t="s">
        <v>1260</v>
      </c>
      <c r="E119" s="108" t="s">
        <v>23</v>
      </c>
      <c r="F119" s="114" t="s">
        <v>128</v>
      </c>
      <c r="G119" s="42"/>
      <c r="H119" s="42"/>
      <c r="I119" s="42"/>
      <c r="J119" s="43"/>
      <c r="K119" s="34" t="s">
        <v>26</v>
      </c>
      <c r="L119" s="47"/>
      <c r="M119" s="42"/>
      <c r="N119" s="47"/>
      <c r="O119" s="43"/>
      <c r="P119" s="138"/>
    </row>
    <row r="120" spans="1:16" ht="15.75" thickTop="1" x14ac:dyDescent="0.25">
      <c r="A120" s="96">
        <v>41499.705324074072</v>
      </c>
      <c r="B120" s="99" t="s">
        <v>42</v>
      </c>
      <c r="C120" s="9"/>
      <c r="D120" s="990" t="s">
        <v>1260</v>
      </c>
      <c r="E120" s="74" t="s">
        <v>82</v>
      </c>
      <c r="F120" s="139" t="s">
        <v>65</v>
      </c>
      <c r="G120" s="140" t="str">
        <f>K119</f>
        <v>ADSKfrSF</v>
      </c>
      <c r="H120" s="141" t="s">
        <v>64</v>
      </c>
      <c r="J120" s="94"/>
      <c r="K120" s="141" t="str">
        <f>H120</f>
        <v>A_SN_1</v>
      </c>
      <c r="L120" s="12" t="str">
        <f>K119</f>
        <v>ADSKfrSF</v>
      </c>
      <c r="N120" s="47"/>
      <c r="O120" s="94"/>
      <c r="P120" s="142"/>
    </row>
    <row r="121" spans="1:16" x14ac:dyDescent="0.25">
      <c r="A121" s="96">
        <v>41502.225694444445</v>
      </c>
      <c r="B121" s="99" t="s">
        <v>27</v>
      </c>
      <c r="C121" s="9" t="str">
        <f>B120</f>
        <v>Adapt</v>
      </c>
      <c r="D121" s="990" t="s">
        <v>1260</v>
      </c>
      <c r="E121" s="74" t="s">
        <v>82</v>
      </c>
      <c r="F121" s="143"/>
      <c r="G121" s="47"/>
      <c r="H121" s="53"/>
      <c r="I121" s="53"/>
      <c r="J121" s="94"/>
      <c r="K121" s="12" t="str">
        <f>L120</f>
        <v>ADSKfrSF</v>
      </c>
      <c r="L121" s="141" t="s">
        <v>66</v>
      </c>
      <c r="M121" s="141" t="s">
        <v>67</v>
      </c>
      <c r="N121" s="47"/>
      <c r="O121" s="94"/>
      <c r="P121" s="142"/>
    </row>
    <row r="122" spans="1:16" s="29" customFormat="1" x14ac:dyDescent="0.25">
      <c r="A122" s="96"/>
      <c r="B122" s="38" t="s">
        <v>98</v>
      </c>
      <c r="C122" s="110"/>
      <c r="D122" s="985" t="s">
        <v>1260</v>
      </c>
      <c r="E122" s="39" t="s">
        <v>82</v>
      </c>
      <c r="F122" s="105" t="s">
        <v>80</v>
      </c>
      <c r="G122" s="46"/>
      <c r="H122" s="42"/>
      <c r="I122" s="42"/>
      <c r="J122" s="43"/>
      <c r="K122" s="44"/>
      <c r="L122" s="47"/>
      <c r="M122" s="42"/>
      <c r="N122" s="47"/>
      <c r="O122" s="43"/>
      <c r="P122" s="138"/>
    </row>
    <row r="123" spans="1:16" s="29" customFormat="1" x14ac:dyDescent="0.25">
      <c r="A123" s="96"/>
      <c r="B123" s="99" t="s">
        <v>58</v>
      </c>
      <c r="C123" s="116" t="str">
        <f>B120</f>
        <v>Adapt</v>
      </c>
      <c r="D123" s="985" t="s">
        <v>1260</v>
      </c>
      <c r="E123" s="39" t="s">
        <v>82</v>
      </c>
      <c r="F123" s="143" t="str">
        <f>M121</f>
        <v>A_SN_3</v>
      </c>
      <c r="G123" s="47" t="s">
        <v>105</v>
      </c>
      <c r="H123" s="144" t="s">
        <v>126</v>
      </c>
      <c r="I123" s="144" t="s">
        <v>127</v>
      </c>
      <c r="J123" s="43"/>
      <c r="K123" s="143" t="str">
        <f>F123</f>
        <v>A_SN_3</v>
      </c>
      <c r="M123" s="42"/>
      <c r="N123" s="47"/>
      <c r="O123" s="43"/>
      <c r="P123" s="142"/>
    </row>
    <row r="124" spans="1:16" s="62" customFormat="1" ht="15.75" thickBot="1" x14ac:dyDescent="0.3">
      <c r="A124" s="100"/>
      <c r="B124" s="55" t="s">
        <v>2</v>
      </c>
      <c r="C124" s="101"/>
      <c r="D124" s="987" t="s">
        <v>1260</v>
      </c>
      <c r="E124" s="56" t="s">
        <v>82</v>
      </c>
      <c r="F124" s="57"/>
      <c r="G124" s="58"/>
      <c r="H124" s="58"/>
      <c r="I124" s="58"/>
      <c r="J124" s="59"/>
      <c r="K124" s="60"/>
      <c r="L124" s="61"/>
      <c r="M124" s="58"/>
      <c r="N124" s="61"/>
      <c r="O124" s="59"/>
      <c r="P124" s="145"/>
    </row>
    <row r="125" spans="1:16" s="148" customFormat="1" ht="16.5" thickTop="1" thickBot="1" x14ac:dyDescent="0.3">
      <c r="A125" s="85">
        <v>41201.045671296299</v>
      </c>
      <c r="B125" s="86" t="s">
        <v>79</v>
      </c>
      <c r="C125" s="87"/>
      <c r="D125" s="952" t="s">
        <v>1260</v>
      </c>
      <c r="E125" s="146" t="s">
        <v>82</v>
      </c>
      <c r="F125" s="147" t="s">
        <v>129</v>
      </c>
      <c r="G125" s="88"/>
      <c r="H125" s="88"/>
      <c r="I125" s="88"/>
      <c r="J125" s="91"/>
      <c r="K125" s="111" t="str">
        <f>K16</f>
        <v>Платежи</v>
      </c>
      <c r="L125" s="93"/>
      <c r="M125" s="88"/>
      <c r="N125" s="93"/>
      <c r="O125" s="91"/>
    </row>
    <row r="126" spans="1:16" s="29" customFormat="1" ht="16.5" thickTop="1" thickBot="1" x14ac:dyDescent="0.3">
      <c r="A126" s="96">
        <v>41289.96565972222</v>
      </c>
      <c r="B126" s="99" t="s">
        <v>130</v>
      </c>
      <c r="C126" s="110"/>
      <c r="D126" s="985" t="s">
        <v>1260</v>
      </c>
      <c r="E126" s="52" t="s">
        <v>82</v>
      </c>
      <c r="F126" s="44" t="str">
        <f>F100</f>
        <v>HANDL_NewContract</v>
      </c>
      <c r="G126" s="149" t="str">
        <f>F125</f>
        <v>WP_PaidOpp</v>
      </c>
      <c r="H126" s="149" t="str">
        <f>B132</f>
        <v>WP_Paid</v>
      </c>
      <c r="I126" s="150">
        <v>7</v>
      </c>
      <c r="J126" s="43"/>
      <c r="K126" s="44"/>
      <c r="L126" s="47"/>
      <c r="M126" s="42"/>
      <c r="N126" s="47"/>
      <c r="O126" s="43"/>
    </row>
    <row r="127" spans="1:16" s="29" customFormat="1" x14ac:dyDescent="0.25">
      <c r="A127" s="96">
        <v>41289.96565972222</v>
      </c>
      <c r="B127" s="38" t="s">
        <v>131</v>
      </c>
      <c r="C127" s="116" t="str">
        <f>B126</f>
        <v>ProcReset</v>
      </c>
      <c r="D127" s="985" t="s">
        <v>1260</v>
      </c>
      <c r="E127" s="39" t="s">
        <v>82</v>
      </c>
      <c r="F127" s="151">
        <f>C103</f>
        <v>14</v>
      </c>
      <c r="G127" s="46"/>
      <c r="H127" s="42"/>
      <c r="I127" s="42"/>
      <c r="J127" s="43"/>
      <c r="K127" s="44"/>
      <c r="L127" s="47"/>
      <c r="M127" s="42"/>
      <c r="N127" s="47"/>
      <c r="O127" s="43"/>
    </row>
    <row r="128" spans="1:16" s="29" customFormat="1" x14ac:dyDescent="0.25">
      <c r="A128" s="96">
        <v>41289.965682870374</v>
      </c>
      <c r="B128" s="99" t="s">
        <v>130</v>
      </c>
      <c r="C128" s="110"/>
      <c r="D128" s="985" t="s">
        <v>1260</v>
      </c>
      <c r="E128" s="52" t="s">
        <v>82</v>
      </c>
      <c r="F128" s="44" t="str">
        <f>F96</f>
        <v>HANDL_PaidContr</v>
      </c>
      <c r="G128" s="46"/>
      <c r="H128" s="42"/>
      <c r="I128" s="42"/>
      <c r="J128" s="43"/>
      <c r="K128" s="44"/>
      <c r="L128" s="47"/>
      <c r="M128" s="42"/>
      <c r="N128" s="47"/>
      <c r="O128" s="43"/>
    </row>
    <row r="129" spans="1:15" s="29" customFormat="1" x14ac:dyDescent="0.25">
      <c r="A129" s="96"/>
      <c r="B129" s="38" t="s">
        <v>131</v>
      </c>
      <c r="C129" s="116" t="str">
        <f>B127</f>
        <v>CheckProc0</v>
      </c>
      <c r="D129" s="985" t="s">
        <v>1260</v>
      </c>
      <c r="E129" s="39" t="s">
        <v>82</v>
      </c>
      <c r="F129" s="152">
        <f>C99</f>
        <v>0</v>
      </c>
      <c r="G129" s="46"/>
      <c r="H129" s="42"/>
      <c r="I129" s="42"/>
      <c r="J129" s="43"/>
      <c r="K129" s="44"/>
      <c r="L129" s="47"/>
      <c r="M129" s="42"/>
      <c r="N129" s="47"/>
      <c r="O129" s="43"/>
    </row>
    <row r="130" spans="1:15" s="29" customFormat="1" x14ac:dyDescent="0.25">
      <c r="A130" s="96"/>
      <c r="B130" s="38" t="s">
        <v>103</v>
      </c>
      <c r="C130" s="113"/>
      <c r="D130" s="954" t="s">
        <v>1260</v>
      </c>
      <c r="E130" s="39" t="s">
        <v>82</v>
      </c>
      <c r="F130" s="115" t="s">
        <v>60</v>
      </c>
      <c r="G130" s="42"/>
      <c r="H130" s="42"/>
      <c r="I130" s="42"/>
      <c r="J130" s="43"/>
      <c r="K130" s="115" t="str">
        <f>F130</f>
        <v>NewOpp</v>
      </c>
      <c r="L130" s="47"/>
      <c r="M130" s="42"/>
      <c r="N130" s="47"/>
      <c r="O130" s="43"/>
    </row>
    <row r="131" spans="1:15" s="29" customFormat="1" x14ac:dyDescent="0.25">
      <c r="A131" s="96"/>
      <c r="B131" s="38" t="s">
        <v>103</v>
      </c>
      <c r="C131" s="113"/>
      <c r="D131" s="954" t="s">
        <v>1260</v>
      </c>
      <c r="E131" s="39" t="s">
        <v>82</v>
      </c>
      <c r="F131" s="115" t="s">
        <v>57</v>
      </c>
      <c r="G131" s="42"/>
      <c r="H131" s="42"/>
      <c r="I131" s="42"/>
      <c r="J131" s="43"/>
      <c r="K131" s="115" t="str">
        <f>F131</f>
        <v>NewPayment</v>
      </c>
      <c r="L131" s="47"/>
      <c r="M131" s="42"/>
      <c r="N131" s="47"/>
      <c r="O131" s="43"/>
    </row>
    <row r="132" spans="1:15" s="29" customFormat="1" ht="15.75" thickBot="1" x14ac:dyDescent="0.3">
      <c r="A132" s="153"/>
      <c r="B132" s="154" t="s">
        <v>132</v>
      </c>
      <c r="C132" s="155" t="str">
        <f>B127</f>
        <v>CheckProc0</v>
      </c>
      <c r="D132" s="991" t="s">
        <v>1260</v>
      </c>
      <c r="E132" s="156" t="s">
        <v>82</v>
      </c>
      <c r="F132" s="157" t="s">
        <v>133</v>
      </c>
      <c r="G132" s="158" t="s">
        <v>82</v>
      </c>
      <c r="H132" s="159"/>
      <c r="I132" s="159"/>
      <c r="J132" s="160"/>
      <c r="K132" s="161" t="str">
        <f>K125</f>
        <v>Платежи</v>
      </c>
      <c r="L132" s="162" t="s">
        <v>25</v>
      </c>
      <c r="M132" s="162" t="s">
        <v>22</v>
      </c>
      <c r="N132" s="162" t="s">
        <v>21</v>
      </c>
      <c r="O132" s="160"/>
    </row>
    <row r="133" spans="1:15" s="29" customFormat="1" ht="15.75" thickTop="1" x14ac:dyDescent="0.25">
      <c r="A133" s="96"/>
      <c r="B133" s="99" t="s">
        <v>58</v>
      </c>
      <c r="C133" s="116" t="str">
        <f>B132</f>
        <v>WP_Paid</v>
      </c>
      <c r="D133" s="985" t="s">
        <v>1260</v>
      </c>
      <c r="E133" s="39" t="s">
        <v>82</v>
      </c>
      <c r="F133" s="115" t="s">
        <v>60</v>
      </c>
      <c r="G133" s="47" t="s">
        <v>105</v>
      </c>
      <c r="H133" s="53" t="s">
        <v>120</v>
      </c>
      <c r="I133" s="53" t="s">
        <v>121</v>
      </c>
      <c r="J133" s="43"/>
      <c r="K133" s="115" t="str">
        <f>F133</f>
        <v>NewOpp</v>
      </c>
      <c r="L133" s="47"/>
      <c r="M133" s="42"/>
      <c r="N133" s="47"/>
      <c r="O133" s="43"/>
    </row>
    <row r="134" spans="1:15" s="29" customFormat="1" x14ac:dyDescent="0.25">
      <c r="A134" s="96"/>
      <c r="B134" s="99" t="s">
        <v>58</v>
      </c>
      <c r="C134" s="116" t="str">
        <f>B132</f>
        <v>WP_Paid</v>
      </c>
      <c r="D134" s="985" t="s">
        <v>1260</v>
      </c>
      <c r="E134" s="39" t="s">
        <v>82</v>
      </c>
      <c r="F134" s="115" t="s">
        <v>57</v>
      </c>
      <c r="G134" s="47" t="s">
        <v>105</v>
      </c>
      <c r="H134" s="53" t="s">
        <v>106</v>
      </c>
      <c r="I134" s="53" t="s">
        <v>107</v>
      </c>
      <c r="J134" s="43"/>
      <c r="K134" s="115" t="str">
        <f>F134</f>
        <v>NewPayment</v>
      </c>
      <c r="L134" s="47"/>
      <c r="M134" s="42"/>
      <c r="N134" s="47"/>
      <c r="O134" s="43"/>
    </row>
    <row r="135" spans="1:15" s="32" customFormat="1" x14ac:dyDescent="0.25">
      <c r="A135" s="163"/>
      <c r="B135" s="99" t="s">
        <v>2</v>
      </c>
      <c r="C135" s="164">
        <v>0</v>
      </c>
      <c r="D135" s="992" t="s">
        <v>1260</v>
      </c>
      <c r="E135" s="51" t="s">
        <v>82</v>
      </c>
      <c r="F135" s="165"/>
      <c r="G135" s="42"/>
      <c r="H135" s="42"/>
      <c r="I135" s="42"/>
      <c r="J135" s="43"/>
      <c r="K135" s="44"/>
      <c r="L135" s="47"/>
      <c r="M135" s="42"/>
      <c r="N135" s="47"/>
      <c r="O135" s="43"/>
    </row>
    <row r="136" spans="1:15" s="169" customFormat="1" ht="15.75" thickBot="1" x14ac:dyDescent="0.3">
      <c r="A136" s="102">
        <v>41201.045671296299</v>
      </c>
      <c r="B136" s="103" t="s">
        <v>79</v>
      </c>
      <c r="C136" s="104"/>
      <c r="D136" s="949" t="s">
        <v>1260</v>
      </c>
      <c r="E136" s="166" t="s">
        <v>82</v>
      </c>
      <c r="F136" s="167" t="s">
        <v>134</v>
      </c>
      <c r="G136" s="65"/>
      <c r="H136" s="65"/>
      <c r="I136" s="65"/>
      <c r="J136" s="68"/>
      <c r="K136" s="168" t="s">
        <v>1</v>
      </c>
      <c r="L136" s="70"/>
      <c r="M136" s="65"/>
      <c r="N136" s="70"/>
      <c r="O136" s="68"/>
    </row>
    <row r="137" spans="1:15" s="29" customFormat="1" ht="15.75" thickTop="1" x14ac:dyDescent="0.25">
      <c r="A137" s="96">
        <v>41218.822870370372</v>
      </c>
      <c r="B137" s="38" t="s">
        <v>103</v>
      </c>
      <c r="C137" s="113"/>
      <c r="D137" s="954" t="s">
        <v>1260</v>
      </c>
      <c r="E137" s="39" t="s">
        <v>82</v>
      </c>
      <c r="F137" s="115" t="s">
        <v>61</v>
      </c>
      <c r="G137" s="42"/>
      <c r="H137" s="42"/>
      <c r="I137" s="42"/>
      <c r="J137" s="43"/>
      <c r="K137" s="115" t="str">
        <f>F137</f>
        <v>NewAcc</v>
      </c>
      <c r="L137" s="47"/>
      <c r="M137" s="42"/>
      <c r="N137" s="47"/>
      <c r="O137" s="43"/>
    </row>
    <row r="138" spans="1:15" s="29" customFormat="1" x14ac:dyDescent="0.25">
      <c r="A138" s="96"/>
      <c r="B138" s="38" t="s">
        <v>135</v>
      </c>
      <c r="C138" s="116" t="str">
        <f>B137</f>
        <v>NewSheet</v>
      </c>
      <c r="D138" s="954" t="s">
        <v>1260</v>
      </c>
      <c r="E138" s="39" t="s">
        <v>82</v>
      </c>
      <c r="F138" s="170"/>
      <c r="G138" s="42"/>
      <c r="H138" s="42"/>
      <c r="I138" s="42"/>
      <c r="J138" s="43"/>
      <c r="K138" s="115"/>
      <c r="L138" s="47"/>
      <c r="M138" s="42"/>
      <c r="N138" s="47"/>
      <c r="O138" s="43"/>
    </row>
    <row r="139" spans="1:15" s="29" customFormat="1" x14ac:dyDescent="0.25">
      <c r="A139" s="96"/>
      <c r="B139" s="38" t="s">
        <v>98</v>
      </c>
      <c r="C139" s="110"/>
      <c r="D139" s="985" t="s">
        <v>1260</v>
      </c>
      <c r="E139" s="39" t="s">
        <v>82</v>
      </c>
      <c r="F139" s="105" t="s">
        <v>23</v>
      </c>
      <c r="G139" s="46" t="s">
        <v>99</v>
      </c>
      <c r="H139" s="42"/>
      <c r="I139" s="42"/>
      <c r="J139" s="43"/>
      <c r="K139" s="44"/>
      <c r="L139" s="47"/>
      <c r="M139" s="42"/>
      <c r="N139" s="47"/>
      <c r="O139" s="43"/>
    </row>
    <row r="140" spans="1:15" s="29" customFormat="1" ht="15.75" thickBot="1" x14ac:dyDescent="0.3">
      <c r="A140" s="153">
        <v>41218.824293981481</v>
      </c>
      <c r="B140" s="154" t="s">
        <v>132</v>
      </c>
      <c r="C140" s="155" t="str">
        <f>B138</f>
        <v>SFaccDicBuild</v>
      </c>
      <c r="D140" s="991" t="s">
        <v>1260</v>
      </c>
      <c r="E140" s="156" t="s">
        <v>82</v>
      </c>
      <c r="F140" s="157" t="s">
        <v>136</v>
      </c>
      <c r="G140" s="171"/>
      <c r="H140" s="159"/>
      <c r="I140" s="159"/>
      <c r="J140" s="160"/>
      <c r="K140" s="161" t="str">
        <f>K136</f>
        <v>Платежи</v>
      </c>
      <c r="L140" s="162">
        <v>0</v>
      </c>
      <c r="M140" s="162">
        <v>0</v>
      </c>
      <c r="N140" s="162">
        <v>0</v>
      </c>
      <c r="O140" s="160"/>
    </row>
    <row r="141" spans="1:15" s="29" customFormat="1" ht="15.75" thickTop="1" x14ac:dyDescent="0.25">
      <c r="A141" s="96">
        <v>41218.824293981481</v>
      </c>
      <c r="B141" s="99" t="s">
        <v>58</v>
      </c>
      <c r="C141" s="116" t="str">
        <f>B140</f>
        <v>WP_Paid</v>
      </c>
      <c r="D141" s="985" t="s">
        <v>1260</v>
      </c>
      <c r="E141" s="39" t="s">
        <v>82</v>
      </c>
      <c r="F141" s="115" t="str">
        <f>F137</f>
        <v>NewAcc</v>
      </c>
      <c r="G141" s="47" t="s">
        <v>105</v>
      </c>
      <c r="H141" s="53" t="s">
        <v>120</v>
      </c>
      <c r="I141" s="53" t="s">
        <v>121</v>
      </c>
      <c r="J141" s="43"/>
      <c r="K141" s="115" t="str">
        <f>F141</f>
        <v>NewAcc</v>
      </c>
      <c r="L141" s="47"/>
      <c r="M141" s="42"/>
      <c r="N141" s="47"/>
      <c r="O141" s="43"/>
    </row>
    <row r="142" spans="1:15" s="62" customFormat="1" x14ac:dyDescent="0.25">
      <c r="A142" s="100"/>
      <c r="B142" s="55" t="s">
        <v>2</v>
      </c>
      <c r="C142" s="101">
        <v>5</v>
      </c>
      <c r="D142" s="987" t="s">
        <v>1260</v>
      </c>
      <c r="E142" s="56" t="s">
        <v>82</v>
      </c>
      <c r="F142" s="57"/>
      <c r="G142" s="58"/>
      <c r="H142" s="58"/>
      <c r="I142" s="58"/>
      <c r="J142" s="59"/>
      <c r="K142" s="60"/>
      <c r="L142" s="61"/>
      <c r="M142" s="58"/>
      <c r="N142" s="61"/>
      <c r="O142" s="59"/>
    </row>
    <row r="143" spans="1:15" s="29" customFormat="1" x14ac:dyDescent="0.25">
      <c r="A143" s="96"/>
      <c r="B143" s="38" t="s">
        <v>79</v>
      </c>
      <c r="C143" s="113"/>
      <c r="D143" s="954" t="s">
        <v>1260</v>
      </c>
      <c r="E143" s="39" t="s">
        <v>82</v>
      </c>
      <c r="F143" s="114" t="s">
        <v>137</v>
      </c>
      <c r="G143" s="42"/>
      <c r="H143" s="42"/>
      <c r="I143" s="42"/>
      <c r="J143" s="43"/>
      <c r="K143" s="34" t="s">
        <v>1</v>
      </c>
      <c r="L143" s="47"/>
      <c r="M143" s="42"/>
      <c r="N143" s="47"/>
      <c r="O143" s="43"/>
    </row>
    <row r="144" spans="1:15" s="29" customFormat="1" x14ac:dyDescent="0.25">
      <c r="A144" s="112"/>
      <c r="B144" s="38" t="s">
        <v>98</v>
      </c>
      <c r="C144" s="110"/>
      <c r="D144" s="985" t="s">
        <v>1260</v>
      </c>
      <c r="E144" s="39"/>
      <c r="F144" s="105" t="s">
        <v>80</v>
      </c>
      <c r="G144" s="46"/>
      <c r="H144" s="42"/>
      <c r="I144" s="42"/>
      <c r="J144" s="43"/>
      <c r="K144" s="44"/>
      <c r="L144" s="47"/>
      <c r="M144" s="42"/>
      <c r="N144" s="47"/>
      <c r="O144" s="43"/>
    </row>
    <row r="145" spans="1:15" ht="30" x14ac:dyDescent="0.25">
      <c r="A145" s="112"/>
      <c r="B145" s="99" t="s">
        <v>138</v>
      </c>
      <c r="C145" s="97" t="s">
        <v>101</v>
      </c>
      <c r="D145" s="990" t="s">
        <v>1260</v>
      </c>
      <c r="E145" s="74" t="s">
        <v>82</v>
      </c>
      <c r="F145" s="44"/>
      <c r="G145" s="47"/>
      <c r="H145" s="53"/>
      <c r="I145" s="53"/>
      <c r="J145" s="94"/>
      <c r="K145" s="95" t="s">
        <v>1</v>
      </c>
      <c r="L145" s="53" t="s">
        <v>22</v>
      </c>
      <c r="M145" s="53"/>
      <c r="N145" s="53"/>
      <c r="O145" s="94"/>
    </row>
    <row r="146" spans="1:15" s="62" customFormat="1" x14ac:dyDescent="0.25">
      <c r="A146" s="100"/>
      <c r="B146" s="55" t="s">
        <v>2</v>
      </c>
      <c r="C146" s="101"/>
      <c r="D146" s="987" t="s">
        <v>1260</v>
      </c>
      <c r="E146" s="56" t="s">
        <v>82</v>
      </c>
      <c r="F146" s="57"/>
      <c r="G146" s="58"/>
      <c r="H146" s="58"/>
      <c r="I146" s="58"/>
      <c r="J146" s="59"/>
      <c r="K146" s="60"/>
      <c r="L146" s="61"/>
      <c r="M146" s="58"/>
      <c r="N146" s="61"/>
      <c r="O146" s="59"/>
    </row>
    <row r="150" spans="1:15" s="11" customFormat="1" x14ac:dyDescent="0.25">
      <c r="B150" s="784"/>
      <c r="D150" s="959"/>
      <c r="E150" s="783"/>
    </row>
    <row r="151" spans="1:15" s="11" customFormat="1" x14ac:dyDescent="0.25">
      <c r="B151" s="784"/>
      <c r="D151" s="959"/>
      <c r="E151" s="783"/>
    </row>
    <row r="155" spans="1:15" s="11" customFormat="1" x14ac:dyDescent="0.25">
      <c r="B155" s="784"/>
      <c r="D155" s="959"/>
      <c r="E155" s="783"/>
    </row>
    <row r="156" spans="1:15" s="11" customFormat="1" x14ac:dyDescent="0.25">
      <c r="B156" s="784"/>
      <c r="D156" s="959"/>
      <c r="E156" s="783"/>
    </row>
    <row r="160" spans="1:15" s="11" customFormat="1" x14ac:dyDescent="0.25">
      <c r="B160" s="784"/>
      <c r="D160" s="959"/>
      <c r="E160" s="783"/>
    </row>
    <row r="161" spans="2:5" s="11" customFormat="1" x14ac:dyDescent="0.25">
      <c r="B161" s="784"/>
      <c r="D161" s="959"/>
      <c r="E161" s="783"/>
    </row>
    <row r="167" spans="2:5" s="11" customFormat="1" x14ac:dyDescent="0.25">
      <c r="B167" s="784"/>
      <c r="D167" s="959"/>
      <c r="E167" s="783"/>
    </row>
    <row r="168" spans="2:5" s="11" customFormat="1" x14ac:dyDescent="0.25">
      <c r="B168" s="784"/>
      <c r="D168" s="959"/>
      <c r="E168" s="783"/>
    </row>
    <row r="169" spans="2:5" s="11" customFormat="1" x14ac:dyDescent="0.25">
      <c r="B169" s="784"/>
      <c r="D169" s="959"/>
      <c r="E169" s="783"/>
    </row>
    <row r="177" spans="2:5" s="11" customFormat="1" x14ac:dyDescent="0.25">
      <c r="B177" s="784"/>
      <c r="D177" s="959"/>
      <c r="E177" s="783"/>
    </row>
    <row r="178" spans="2:5" s="11" customFormat="1" x14ac:dyDescent="0.25">
      <c r="B178" s="784"/>
      <c r="D178" s="959"/>
      <c r="E178" s="783"/>
    </row>
    <row r="179" spans="2:5" s="11" customFormat="1" x14ac:dyDescent="0.25">
      <c r="B179" s="784"/>
      <c r="D179" s="959"/>
      <c r="E179" s="783"/>
    </row>
    <row r="187" spans="2:5" s="11" customFormat="1" x14ac:dyDescent="0.25">
      <c r="B187" s="784"/>
      <c r="D187" s="959"/>
      <c r="E187" s="783"/>
    </row>
    <row r="188" spans="2:5" s="11" customFormat="1" x14ac:dyDescent="0.25">
      <c r="B188" s="784"/>
      <c r="D188" s="959"/>
      <c r="E188" s="783"/>
    </row>
    <row r="189" spans="2:5" s="11" customFormat="1" x14ac:dyDescent="0.25">
      <c r="B189" s="784"/>
      <c r="D189" s="959"/>
      <c r="E189" s="783"/>
    </row>
    <row r="197" spans="2:5" s="11" customFormat="1" x14ac:dyDescent="0.25">
      <c r="B197" s="784"/>
      <c r="D197" s="959"/>
      <c r="E197" s="783"/>
    </row>
    <row r="198" spans="2:5" s="11" customFormat="1" x14ac:dyDescent="0.25">
      <c r="B198" s="784"/>
      <c r="D198" s="959"/>
      <c r="E198" s="783"/>
    </row>
    <row r="199" spans="2:5" s="11" customFormat="1" x14ac:dyDescent="0.25">
      <c r="B199" s="784"/>
      <c r="D199" s="959"/>
      <c r="E199" s="783"/>
    </row>
    <row r="207" spans="2:5" s="11" customFormat="1" x14ac:dyDescent="0.25">
      <c r="B207" s="784"/>
      <c r="D207" s="959"/>
      <c r="E207" s="783"/>
    </row>
    <row r="208" spans="2:5" s="11" customFormat="1" x14ac:dyDescent="0.25">
      <c r="B208" s="784"/>
      <c r="D208" s="959"/>
      <c r="E208" s="783"/>
    </row>
    <row r="209" spans="2:5" s="11" customFormat="1" x14ac:dyDescent="0.25">
      <c r="B209" s="784"/>
      <c r="D209" s="959"/>
      <c r="E209" s="783"/>
    </row>
    <row r="217" spans="2:5" s="11" customFormat="1" x14ac:dyDescent="0.25">
      <c r="B217" s="784"/>
      <c r="D217" s="959"/>
      <c r="E217" s="783"/>
    </row>
    <row r="218" spans="2:5" s="11" customFormat="1" x14ac:dyDescent="0.25">
      <c r="B218" s="784"/>
      <c r="D218" s="959"/>
      <c r="E218" s="783"/>
    </row>
    <row r="219" spans="2:5" s="11" customFormat="1" x14ac:dyDescent="0.25">
      <c r="B219" s="784"/>
      <c r="D219" s="959"/>
      <c r="E219" s="783"/>
    </row>
    <row r="227" spans="2:5" s="11" customFormat="1" x14ac:dyDescent="0.25">
      <c r="B227" s="784"/>
      <c r="D227" s="959"/>
      <c r="E227" s="783"/>
    </row>
    <row r="228" spans="2:5" s="11" customFormat="1" x14ac:dyDescent="0.25">
      <c r="B228" s="784"/>
      <c r="D228" s="959"/>
      <c r="E228" s="783"/>
    </row>
    <row r="229" spans="2:5" s="11" customFormat="1" x14ac:dyDescent="0.25">
      <c r="B229" s="784"/>
      <c r="D229" s="959"/>
      <c r="E229" s="783"/>
    </row>
    <row r="237" spans="2:5" s="11" customFormat="1" x14ac:dyDescent="0.25">
      <c r="B237" s="784"/>
      <c r="D237" s="959"/>
      <c r="E237" s="783"/>
    </row>
    <row r="238" spans="2:5" s="11" customFormat="1" x14ac:dyDescent="0.25">
      <c r="B238" s="784"/>
      <c r="D238" s="959"/>
      <c r="E238" s="783"/>
    </row>
    <row r="239" spans="2:5" s="11" customFormat="1" x14ac:dyDescent="0.25">
      <c r="B239" s="784"/>
      <c r="D239" s="959"/>
      <c r="E239" s="783"/>
    </row>
    <row r="387" spans="2:5" s="11" customFormat="1" x14ac:dyDescent="0.25">
      <c r="B387" s="784"/>
      <c r="D387" s="959"/>
      <c r="E387" s="783"/>
    </row>
    <row r="388" spans="2:5" s="11" customFormat="1" x14ac:dyDescent="0.25">
      <c r="B388" s="784"/>
      <c r="D388" s="959"/>
      <c r="E388" s="783"/>
    </row>
    <row r="389" spans="2:5" s="11" customFormat="1" x14ac:dyDescent="0.25">
      <c r="B389" s="784"/>
      <c r="D389" s="959"/>
      <c r="E389" s="783"/>
    </row>
    <row r="407" spans="2:5" s="11" customFormat="1" x14ac:dyDescent="0.25">
      <c r="B407" s="784"/>
      <c r="D407" s="959"/>
      <c r="E407" s="783"/>
    </row>
    <row r="408" spans="2:5" s="11" customFormat="1" x14ac:dyDescent="0.25">
      <c r="B408" s="784"/>
      <c r="D408" s="959"/>
      <c r="E408" s="783"/>
    </row>
    <row r="409" spans="2:5" s="11" customFormat="1" x14ac:dyDescent="0.25">
      <c r="B409" s="784"/>
      <c r="D409" s="959"/>
      <c r="E409" s="783"/>
    </row>
    <row r="417" spans="2:5" s="11" customFormat="1" x14ac:dyDescent="0.25">
      <c r="B417" s="784"/>
      <c r="D417" s="959"/>
      <c r="E417" s="783"/>
    </row>
    <row r="418" spans="2:5" s="11" customFormat="1" x14ac:dyDescent="0.25">
      <c r="B418" s="784"/>
      <c r="D418" s="959"/>
      <c r="E418" s="783"/>
    </row>
    <row r="419" spans="2:5" s="11" customFormat="1" x14ac:dyDescent="0.25">
      <c r="B419" s="784"/>
      <c r="D419" s="959"/>
      <c r="E419" s="783"/>
    </row>
    <row r="447" spans="2:5" s="11" customFormat="1" x14ac:dyDescent="0.25">
      <c r="B447" s="784"/>
      <c r="D447" s="959"/>
      <c r="E447" s="783"/>
    </row>
    <row r="448" spans="2:5" s="11" customFormat="1" x14ac:dyDescent="0.25">
      <c r="B448" s="784"/>
      <c r="D448" s="959"/>
      <c r="E448" s="783"/>
    </row>
    <row r="449" spans="2:5" s="11" customFormat="1" x14ac:dyDescent="0.25">
      <c r="B449" s="784"/>
      <c r="D449" s="959"/>
      <c r="E449" s="783"/>
    </row>
    <row r="517" spans="2:5" s="11" customFormat="1" x14ac:dyDescent="0.25">
      <c r="B517" s="784"/>
      <c r="D517" s="959"/>
      <c r="E517" s="783"/>
    </row>
    <row r="518" spans="2:5" s="11" customFormat="1" x14ac:dyDescent="0.25">
      <c r="B518" s="784"/>
      <c r="D518" s="959"/>
      <c r="E518" s="783"/>
    </row>
    <row r="519" spans="2:5" s="11" customFormat="1" x14ac:dyDescent="0.25">
      <c r="B519" s="784"/>
      <c r="D519" s="959"/>
      <c r="E519" s="783"/>
    </row>
    <row r="537" spans="2:5" s="11" customFormat="1" x14ac:dyDescent="0.25">
      <c r="B537" s="784"/>
      <c r="D537" s="959"/>
      <c r="E537" s="783"/>
    </row>
    <row r="538" spans="2:5" s="11" customFormat="1" x14ac:dyDescent="0.25">
      <c r="B538" s="784"/>
      <c r="D538" s="959"/>
      <c r="E538" s="783"/>
    </row>
    <row r="539" spans="2:5" s="11" customFormat="1" x14ac:dyDescent="0.25">
      <c r="B539" s="784"/>
      <c r="D539" s="959"/>
      <c r="E539" s="783"/>
    </row>
    <row r="567" spans="2:5" s="11" customFormat="1" x14ac:dyDescent="0.25">
      <c r="B567" s="784"/>
      <c r="D567" s="959"/>
      <c r="E567" s="783"/>
    </row>
    <row r="568" spans="2:5" s="11" customFormat="1" x14ac:dyDescent="0.25">
      <c r="B568" s="784"/>
      <c r="D568" s="959"/>
      <c r="E568" s="783"/>
    </row>
    <row r="569" spans="2:5" s="11" customFormat="1" x14ac:dyDescent="0.25">
      <c r="B569" s="784"/>
      <c r="D569" s="959"/>
      <c r="E569" s="783"/>
    </row>
    <row r="717" spans="2:5" s="11" customFormat="1" x14ac:dyDescent="0.25">
      <c r="B717" s="784"/>
      <c r="D717" s="959"/>
      <c r="E717" s="783"/>
    </row>
    <row r="718" spans="2:5" s="11" customFormat="1" x14ac:dyDescent="0.25">
      <c r="B718" s="784"/>
      <c r="D718" s="959"/>
      <c r="E718" s="783"/>
    </row>
    <row r="719" spans="2:5" s="11" customFormat="1" x14ac:dyDescent="0.25">
      <c r="B719" s="784"/>
      <c r="D719" s="959"/>
      <c r="E719" s="783"/>
    </row>
    <row r="727" spans="2:5" s="11" customFormat="1" x14ac:dyDescent="0.25">
      <c r="B727" s="784"/>
      <c r="D727" s="959"/>
      <c r="E727" s="783"/>
    </row>
    <row r="728" spans="2:5" s="11" customFormat="1" x14ac:dyDescent="0.25">
      <c r="B728" s="784"/>
      <c r="D728" s="959"/>
      <c r="E728" s="783"/>
    </row>
    <row r="729" spans="2:5" s="11" customFormat="1" x14ac:dyDescent="0.25">
      <c r="B729" s="784"/>
      <c r="D729" s="959"/>
      <c r="E729" s="783"/>
    </row>
    <row r="787" spans="2:5" s="11" customFormat="1" x14ac:dyDescent="0.25">
      <c r="B787" s="784"/>
      <c r="D787" s="959"/>
      <c r="E787" s="783"/>
    </row>
    <row r="788" spans="2:5" s="11" customFormat="1" x14ac:dyDescent="0.25">
      <c r="B788" s="784"/>
      <c r="D788" s="959"/>
      <c r="E788" s="783"/>
    </row>
    <row r="789" spans="2:5" s="11" customFormat="1" x14ac:dyDescent="0.25">
      <c r="B789" s="784"/>
      <c r="D789" s="959"/>
      <c r="E789" s="783"/>
    </row>
    <row r="797" spans="2:5" s="11" customFormat="1" x14ac:dyDescent="0.25">
      <c r="B797" s="784"/>
      <c r="D797" s="959"/>
      <c r="E797" s="783"/>
    </row>
    <row r="798" spans="2:5" s="11" customFormat="1" x14ac:dyDescent="0.25">
      <c r="B798" s="784"/>
      <c r="D798" s="959"/>
      <c r="E798" s="783"/>
    </row>
    <row r="799" spans="2:5" s="11" customFormat="1" x14ac:dyDescent="0.25">
      <c r="B799" s="784"/>
      <c r="D799" s="959"/>
      <c r="E799" s="783"/>
    </row>
    <row r="847" spans="2:5" s="11" customFormat="1" x14ac:dyDescent="0.25">
      <c r="B847" s="784"/>
      <c r="D847" s="959"/>
      <c r="E847" s="783"/>
    </row>
    <row r="848" spans="2:5" s="11" customFormat="1" x14ac:dyDescent="0.25">
      <c r="B848" s="784"/>
      <c r="D848" s="959"/>
      <c r="E848" s="783"/>
    </row>
    <row r="849" spans="2:5" s="11" customFormat="1" x14ac:dyDescent="0.25">
      <c r="B849" s="784"/>
      <c r="D849" s="959"/>
      <c r="E849" s="783"/>
    </row>
    <row r="857" spans="2:5" s="11" customFormat="1" x14ac:dyDescent="0.25">
      <c r="B857" s="784"/>
      <c r="D857" s="959"/>
      <c r="E857" s="783"/>
    </row>
    <row r="858" spans="2:5" s="11" customFormat="1" x14ac:dyDescent="0.25">
      <c r="B858" s="784"/>
      <c r="D858" s="959"/>
      <c r="E858" s="783"/>
    </row>
    <row r="859" spans="2:5" s="11" customFormat="1" x14ac:dyDescent="0.25">
      <c r="B859" s="784"/>
      <c r="D859" s="959"/>
      <c r="E859" s="783"/>
    </row>
    <row r="907" spans="2:5" s="11" customFormat="1" x14ac:dyDescent="0.25">
      <c r="B907" s="784"/>
      <c r="D907" s="959"/>
      <c r="E907" s="783"/>
    </row>
    <row r="908" spans="2:5" s="11" customFormat="1" x14ac:dyDescent="0.25">
      <c r="B908" s="784"/>
      <c r="D908" s="959"/>
      <c r="E908" s="783"/>
    </row>
    <row r="909" spans="2:5" s="11" customFormat="1" x14ac:dyDescent="0.25">
      <c r="B909" s="784"/>
      <c r="D909" s="959"/>
      <c r="E909" s="783"/>
    </row>
    <row r="917" spans="2:5" s="11" customFormat="1" x14ac:dyDescent="0.25">
      <c r="B917" s="784"/>
      <c r="D917" s="959"/>
      <c r="E917" s="783"/>
    </row>
    <row r="918" spans="2:5" s="11" customFormat="1" x14ac:dyDescent="0.25">
      <c r="B918" s="784"/>
      <c r="D918" s="959"/>
      <c r="E918" s="783"/>
    </row>
    <row r="919" spans="2:5" s="11" customFormat="1" x14ac:dyDescent="0.25">
      <c r="B919" s="784"/>
      <c r="D919" s="959"/>
      <c r="E919" s="783"/>
    </row>
    <row r="947" spans="2:5" s="11" customFormat="1" x14ac:dyDescent="0.25">
      <c r="B947" s="784"/>
      <c r="D947" s="959"/>
      <c r="E947" s="783"/>
    </row>
    <row r="948" spans="2:5" s="11" customFormat="1" x14ac:dyDescent="0.25">
      <c r="B948" s="784"/>
      <c r="D948" s="959"/>
      <c r="E948" s="783"/>
    </row>
    <row r="949" spans="2:5" s="11" customFormat="1" x14ac:dyDescent="0.25">
      <c r="B949" s="784"/>
      <c r="D949" s="959"/>
      <c r="E949" s="783"/>
    </row>
    <row r="957" spans="2:5" s="11" customFormat="1" x14ac:dyDescent="0.25">
      <c r="B957" s="784"/>
      <c r="D957" s="959"/>
      <c r="E957" s="783"/>
    </row>
    <row r="958" spans="2:5" s="11" customFormat="1" x14ac:dyDescent="0.25">
      <c r="B958" s="784"/>
      <c r="D958" s="959"/>
      <c r="E958" s="783"/>
    </row>
    <row r="959" spans="2:5" s="11" customFormat="1" x14ac:dyDescent="0.25">
      <c r="B959" s="784"/>
      <c r="D959" s="959"/>
      <c r="E959" s="783"/>
    </row>
    <row r="987" spans="2:5" s="11" customFormat="1" x14ac:dyDescent="0.25">
      <c r="B987" s="784"/>
      <c r="D987" s="959"/>
      <c r="E987" s="783"/>
    </row>
    <row r="988" spans="2:5" s="11" customFormat="1" x14ac:dyDescent="0.25">
      <c r="B988" s="784"/>
      <c r="D988" s="959"/>
      <c r="E988" s="783"/>
    </row>
    <row r="989" spans="2:5" s="11" customFormat="1" x14ac:dyDescent="0.25">
      <c r="B989" s="784"/>
      <c r="D989" s="959"/>
      <c r="E989" s="783"/>
    </row>
    <row r="1077" spans="2:5" s="11" customFormat="1" x14ac:dyDescent="0.25">
      <c r="B1077" s="784"/>
      <c r="D1077" s="959"/>
      <c r="E1077" s="783"/>
    </row>
    <row r="1078" spans="2:5" s="11" customFormat="1" x14ac:dyDescent="0.25">
      <c r="B1078" s="784"/>
      <c r="D1078" s="959"/>
      <c r="E1078" s="783"/>
    </row>
    <row r="1079" spans="2:5" s="11" customFormat="1" x14ac:dyDescent="0.25">
      <c r="B1079" s="784"/>
      <c r="D1079" s="959"/>
      <c r="E1079" s="783"/>
    </row>
    <row r="1107" spans="2:5" s="11" customFormat="1" x14ac:dyDescent="0.25">
      <c r="B1107" s="784"/>
      <c r="D1107" s="959"/>
      <c r="E1107" s="783"/>
    </row>
    <row r="1108" spans="2:5" s="11" customFormat="1" x14ac:dyDescent="0.25">
      <c r="B1108" s="784"/>
      <c r="D1108" s="959"/>
      <c r="E1108" s="783"/>
    </row>
    <row r="1109" spans="2:5" s="11" customFormat="1" x14ac:dyDescent="0.25">
      <c r="B1109" s="784"/>
      <c r="D1109" s="959"/>
      <c r="E1109" s="783"/>
    </row>
    <row r="1287" spans="2:5" s="11" customFormat="1" x14ac:dyDescent="0.25">
      <c r="B1287" s="784"/>
      <c r="D1287" s="959"/>
      <c r="E1287" s="783"/>
    </row>
    <row r="1288" spans="2:5" s="11" customFormat="1" x14ac:dyDescent="0.25">
      <c r="B1288" s="784"/>
      <c r="D1288" s="959"/>
      <c r="E1288" s="783"/>
    </row>
    <row r="1289" spans="2:5" s="11" customFormat="1" x14ac:dyDescent="0.25">
      <c r="B1289" s="784"/>
      <c r="D1289" s="959"/>
      <c r="E1289" s="783"/>
    </row>
    <row r="1387" spans="2:5" s="11" customFormat="1" x14ac:dyDescent="0.25">
      <c r="B1387" s="784"/>
      <c r="D1387" s="959"/>
      <c r="E1387" s="783"/>
    </row>
    <row r="1388" spans="2:5" s="11" customFormat="1" x14ac:dyDescent="0.25">
      <c r="B1388" s="784"/>
      <c r="D1388" s="959"/>
      <c r="E1388" s="783"/>
    </row>
    <row r="1389" spans="2:5" s="11" customFormat="1" x14ac:dyDescent="0.25">
      <c r="B1389" s="784"/>
      <c r="D1389" s="959"/>
      <c r="E1389" s="783"/>
    </row>
    <row r="1397" spans="2:5" s="11" customFormat="1" x14ac:dyDescent="0.25">
      <c r="B1397" s="784"/>
      <c r="D1397" s="959"/>
      <c r="E1397" s="783"/>
    </row>
    <row r="1398" spans="2:5" s="11" customFormat="1" x14ac:dyDescent="0.25">
      <c r="B1398" s="784"/>
      <c r="D1398" s="959"/>
      <c r="E1398" s="783"/>
    </row>
    <row r="1399" spans="2:5" s="11" customFormat="1" x14ac:dyDescent="0.25">
      <c r="B1399" s="784"/>
      <c r="D1399" s="959"/>
      <c r="E1399" s="783"/>
    </row>
    <row r="1457" spans="2:5" s="11" customFormat="1" x14ac:dyDescent="0.25">
      <c r="B1457" s="784"/>
      <c r="D1457" s="959"/>
      <c r="E1457" s="783"/>
    </row>
    <row r="1458" spans="2:5" s="11" customFormat="1" x14ac:dyDescent="0.25">
      <c r="B1458" s="784"/>
      <c r="D1458" s="959"/>
      <c r="E1458" s="783"/>
    </row>
    <row r="1459" spans="2:5" s="11" customFormat="1" x14ac:dyDescent="0.25">
      <c r="B1459" s="784"/>
      <c r="D1459" s="959"/>
      <c r="E1459" s="783"/>
    </row>
  </sheetData>
  <autoFilter ref="A4:O149"/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14"/>
  <sheetViews>
    <sheetView topLeftCell="A79" workbookViewId="0">
      <selection activeCell="B62" sqref="B62"/>
    </sheetView>
  </sheetViews>
  <sheetFormatPr defaultColWidth="9.140625" defaultRowHeight="15" x14ac:dyDescent="0.25"/>
  <cols>
    <col min="1" max="1" width="19.28515625" style="174" customWidth="1"/>
    <col min="2" max="2" width="20.85546875" style="178" customWidth="1"/>
    <col min="3" max="3" width="30.28515625" style="174" customWidth="1"/>
    <col min="4" max="4" width="17.5703125" style="174" customWidth="1"/>
    <col min="5" max="5" width="32.7109375" style="174" customWidth="1"/>
    <col min="6" max="6" width="22.85546875" style="175" customWidth="1"/>
    <col min="7" max="7" width="16.28515625" style="176" customWidth="1"/>
    <col min="8" max="10" width="9.140625" style="174" customWidth="1"/>
    <col min="11" max="11" width="13" style="174" customWidth="1"/>
    <col min="12" max="12" width="9.140625" style="174" customWidth="1"/>
    <col min="13" max="13" width="19.42578125" style="174" customWidth="1"/>
    <col min="14" max="15" width="18.42578125" style="174" customWidth="1"/>
    <col min="16" max="16" width="19.140625" style="174" customWidth="1"/>
    <col min="17" max="16384" width="9.140625" style="174"/>
  </cols>
  <sheetData>
    <row r="1" spans="1:3" x14ac:dyDescent="0.25">
      <c r="A1" s="172" t="s">
        <v>141</v>
      </c>
      <c r="B1" s="173" t="s">
        <v>142</v>
      </c>
    </row>
    <row r="2" spans="1:3" x14ac:dyDescent="0.25">
      <c r="A2" s="177" t="s">
        <v>143</v>
      </c>
      <c r="B2" s="178" t="s">
        <v>144</v>
      </c>
    </row>
    <row r="3" spans="1:3" x14ac:dyDescent="0.25">
      <c r="A3" s="177" t="s">
        <v>145</v>
      </c>
      <c r="B3" s="179" t="s">
        <v>146</v>
      </c>
      <c r="C3" s="180" t="s">
        <v>147</v>
      </c>
    </row>
    <row r="4" spans="1:3" x14ac:dyDescent="0.25">
      <c r="A4" s="177" t="s">
        <v>148</v>
      </c>
      <c r="B4" s="178" t="s">
        <v>149</v>
      </c>
    </row>
    <row r="5" spans="1:3" x14ac:dyDescent="0.25">
      <c r="A5" s="180" t="s">
        <v>150</v>
      </c>
      <c r="B5" s="179" t="s">
        <v>151</v>
      </c>
    </row>
    <row r="6" spans="1:3" x14ac:dyDescent="0.25">
      <c r="A6" s="180" t="s">
        <v>1095</v>
      </c>
      <c r="B6" s="179" t="s">
        <v>1094</v>
      </c>
    </row>
    <row r="7" spans="1:3" x14ac:dyDescent="0.25">
      <c r="A7" s="180" t="s">
        <v>152</v>
      </c>
      <c r="B7" s="179" t="s">
        <v>153</v>
      </c>
    </row>
    <row r="8" spans="1:3" x14ac:dyDescent="0.25">
      <c r="A8" s="180"/>
      <c r="B8" s="181"/>
    </row>
    <row r="9" spans="1:3" x14ac:dyDescent="0.25">
      <c r="A9" s="180" t="s">
        <v>154</v>
      </c>
      <c r="B9" s="181"/>
    </row>
    <row r="10" spans="1:3" x14ac:dyDescent="0.25">
      <c r="A10" s="172" t="s">
        <v>155</v>
      </c>
      <c r="B10" s="173" t="s">
        <v>156</v>
      </c>
    </row>
    <row r="11" spans="1:3" x14ac:dyDescent="0.25">
      <c r="A11" s="177" t="s">
        <v>157</v>
      </c>
      <c r="B11" s="178" t="s">
        <v>158</v>
      </c>
    </row>
    <row r="12" spans="1:3" x14ac:dyDescent="0.25">
      <c r="A12" s="177" t="s">
        <v>159</v>
      </c>
      <c r="B12" s="178" t="s">
        <v>160</v>
      </c>
    </row>
    <row r="13" spans="1:3" x14ac:dyDescent="0.25">
      <c r="A13" s="177" t="s">
        <v>161</v>
      </c>
      <c r="B13" s="178" t="s">
        <v>158</v>
      </c>
    </row>
    <row r="14" spans="1:3" x14ac:dyDescent="0.25">
      <c r="A14" s="180" t="s">
        <v>162</v>
      </c>
      <c r="B14" s="179" t="s">
        <v>163</v>
      </c>
    </row>
    <row r="15" spans="1:3" x14ac:dyDescent="0.25">
      <c r="A15" s="180" t="s">
        <v>164</v>
      </c>
      <c r="B15" s="179" t="s">
        <v>165</v>
      </c>
    </row>
    <row r="16" spans="1:3" x14ac:dyDescent="0.25">
      <c r="A16" s="180"/>
      <c r="B16" s="181"/>
    </row>
    <row r="17" spans="1:7" x14ac:dyDescent="0.25">
      <c r="A17" s="182" t="s">
        <v>166</v>
      </c>
      <c r="B17" s="173" t="s">
        <v>167</v>
      </c>
      <c r="C17" s="182" t="s">
        <v>168</v>
      </c>
      <c r="D17" s="182" t="s">
        <v>169</v>
      </c>
      <c r="E17" s="182" t="s">
        <v>170</v>
      </c>
      <c r="F17" s="183" t="s">
        <v>171</v>
      </c>
      <c r="G17" s="184" t="s">
        <v>172</v>
      </c>
    </row>
    <row r="18" spans="1:7" x14ac:dyDescent="0.25">
      <c r="A18" s="185" t="s">
        <v>173</v>
      </c>
      <c r="B18" s="186" t="s">
        <v>174</v>
      </c>
      <c r="C18" s="187" t="s">
        <v>175</v>
      </c>
      <c r="D18" s="188" t="s">
        <v>176</v>
      </c>
      <c r="E18" s="189" t="s">
        <v>177</v>
      </c>
      <c r="F18" s="190" t="s">
        <v>178</v>
      </c>
      <c r="G18" s="176">
        <v>0</v>
      </c>
    </row>
    <row r="19" spans="1:7" x14ac:dyDescent="0.25">
      <c r="A19" s="185"/>
      <c r="B19" s="186" t="s">
        <v>1089</v>
      </c>
      <c r="C19" s="187"/>
      <c r="D19" s="188"/>
      <c r="E19" s="189"/>
      <c r="F19" s="190"/>
    </row>
    <row r="20" spans="1:7" ht="50.25" customHeight="1" x14ac:dyDescent="0.25">
      <c r="A20" s="191" t="s">
        <v>179</v>
      </c>
      <c r="B20" s="192" t="s">
        <v>180</v>
      </c>
      <c r="C20" s="193" t="s">
        <v>181</v>
      </c>
      <c r="D20" s="188" t="s">
        <v>182</v>
      </c>
      <c r="E20" s="194" t="s">
        <v>183</v>
      </c>
      <c r="F20" s="195" t="s">
        <v>184</v>
      </c>
      <c r="G20" s="196">
        <v>0</v>
      </c>
    </row>
    <row r="21" spans="1:7" x14ac:dyDescent="0.25">
      <c r="A21" s="185" t="s">
        <v>185</v>
      </c>
      <c r="B21" s="186"/>
      <c r="C21" s="187" t="s">
        <v>175</v>
      </c>
      <c r="D21" s="188" t="s">
        <v>176</v>
      </c>
      <c r="E21" s="194"/>
      <c r="F21" s="197" t="s">
        <v>186</v>
      </c>
      <c r="G21" s="196">
        <v>1</v>
      </c>
    </row>
    <row r="22" spans="1:7" x14ac:dyDescent="0.25">
      <c r="A22" s="185" t="s">
        <v>187</v>
      </c>
      <c r="B22" s="186" t="s">
        <v>188</v>
      </c>
      <c r="C22" s="187" t="s">
        <v>189</v>
      </c>
      <c r="D22" s="174" t="s">
        <v>190</v>
      </c>
      <c r="E22" s="187"/>
      <c r="F22" s="190" t="s">
        <v>191</v>
      </c>
      <c r="G22" s="176">
        <v>0</v>
      </c>
    </row>
    <row r="23" spans="1:7" x14ac:dyDescent="0.25">
      <c r="A23" s="185" t="s">
        <v>192</v>
      </c>
      <c r="B23" s="186" t="s">
        <v>193</v>
      </c>
      <c r="C23" s="187" t="s">
        <v>194</v>
      </c>
      <c r="D23" s="174" t="s">
        <v>195</v>
      </c>
      <c r="E23" s="187"/>
      <c r="F23" s="198" t="s">
        <v>196</v>
      </c>
      <c r="G23" s="176">
        <v>0</v>
      </c>
    </row>
    <row r="24" spans="1:7" x14ac:dyDescent="0.25">
      <c r="A24" s="185" t="s">
        <v>1091</v>
      </c>
      <c r="B24" s="186" t="s">
        <v>1090</v>
      </c>
      <c r="C24" s="187"/>
      <c r="E24" s="187"/>
      <c r="F24" s="198" t="s">
        <v>1092</v>
      </c>
    </row>
    <row r="25" spans="1:7" x14ac:dyDescent="0.25">
      <c r="A25" s="185" t="s">
        <v>197</v>
      </c>
      <c r="B25" s="186" t="s">
        <v>198</v>
      </c>
      <c r="C25" s="187" t="s">
        <v>199</v>
      </c>
      <c r="D25" s="174" t="s">
        <v>200</v>
      </c>
      <c r="E25" s="187" t="s">
        <v>201</v>
      </c>
      <c r="F25" s="198" t="s">
        <v>202</v>
      </c>
      <c r="G25" s="176">
        <v>0</v>
      </c>
    </row>
    <row r="26" spans="1:7" x14ac:dyDescent="0.25">
      <c r="A26" s="185" t="s">
        <v>203</v>
      </c>
      <c r="B26" s="186" t="s">
        <v>204</v>
      </c>
      <c r="C26" s="187" t="s">
        <v>205</v>
      </c>
      <c r="D26" s="174" t="s">
        <v>206</v>
      </c>
      <c r="E26" s="187" t="s">
        <v>207</v>
      </c>
      <c r="F26" s="198" t="s">
        <v>208</v>
      </c>
      <c r="G26" s="176">
        <v>0</v>
      </c>
    </row>
    <row r="27" spans="1:7" x14ac:dyDescent="0.25">
      <c r="A27" s="185" t="s">
        <v>209</v>
      </c>
      <c r="B27" s="192" t="s">
        <v>210</v>
      </c>
      <c r="C27" s="199" t="s">
        <v>211</v>
      </c>
      <c r="D27" s="189" t="s">
        <v>212</v>
      </c>
      <c r="E27" s="189"/>
      <c r="F27" s="198" t="s">
        <v>213</v>
      </c>
      <c r="G27" s="176">
        <v>0</v>
      </c>
    </row>
    <row r="28" spans="1:7" x14ac:dyDescent="0.25">
      <c r="A28" s="185" t="s">
        <v>214</v>
      </c>
      <c r="B28" s="186" t="s">
        <v>215</v>
      </c>
      <c r="C28" s="187" t="s">
        <v>216</v>
      </c>
      <c r="D28" s="174" t="s">
        <v>217</v>
      </c>
      <c r="E28" s="187" t="s">
        <v>207</v>
      </c>
      <c r="F28" s="198" t="s">
        <v>218</v>
      </c>
      <c r="G28" s="176">
        <v>0</v>
      </c>
    </row>
    <row r="29" spans="1:7" x14ac:dyDescent="0.25">
      <c r="A29" s="185" t="s">
        <v>219</v>
      </c>
      <c r="B29" s="200"/>
      <c r="C29" s="187" t="s">
        <v>220</v>
      </c>
      <c r="D29" s="174" t="s">
        <v>221</v>
      </c>
      <c r="E29" s="187"/>
      <c r="F29" s="198" t="s">
        <v>222</v>
      </c>
      <c r="G29" s="176">
        <v>0</v>
      </c>
    </row>
    <row r="30" spans="1:7" x14ac:dyDescent="0.25">
      <c r="A30" s="185" t="s">
        <v>223</v>
      </c>
      <c r="B30" s="186" t="s">
        <v>224</v>
      </c>
      <c r="C30" s="187" t="s">
        <v>233</v>
      </c>
      <c r="D30" s="189" t="s">
        <v>234</v>
      </c>
      <c r="E30" s="187" t="s">
        <v>223</v>
      </c>
      <c r="F30" s="198" t="s">
        <v>226</v>
      </c>
      <c r="G30" s="176">
        <v>0</v>
      </c>
    </row>
    <row r="31" spans="1:7" x14ac:dyDescent="0.25">
      <c r="A31" s="185" t="s">
        <v>227</v>
      </c>
      <c r="B31" s="200"/>
      <c r="C31" s="187" t="s">
        <v>228</v>
      </c>
      <c r="D31" s="174" t="s">
        <v>229</v>
      </c>
      <c r="E31" s="201" t="s">
        <v>225</v>
      </c>
      <c r="F31" s="198" t="s">
        <v>230</v>
      </c>
      <c r="G31" s="176">
        <v>0</v>
      </c>
    </row>
    <row r="32" spans="1:7" x14ac:dyDescent="0.25">
      <c r="A32" s="185" t="s">
        <v>231</v>
      </c>
      <c r="B32" s="186" t="s">
        <v>232</v>
      </c>
      <c r="C32" s="187" t="s">
        <v>233</v>
      </c>
      <c r="D32" s="189" t="s">
        <v>234</v>
      </c>
      <c r="E32" s="189" t="s">
        <v>235</v>
      </c>
      <c r="F32" s="198" t="s">
        <v>236</v>
      </c>
      <c r="G32" s="176">
        <v>0</v>
      </c>
    </row>
    <row r="33" spans="1:7" x14ac:dyDescent="0.25">
      <c r="A33" s="185" t="s">
        <v>237</v>
      </c>
      <c r="B33" s="186" t="s">
        <v>238</v>
      </c>
      <c r="C33" s="187" t="s">
        <v>207</v>
      </c>
      <c r="D33" s="174" t="s">
        <v>239</v>
      </c>
      <c r="E33" s="187" t="s">
        <v>207</v>
      </c>
      <c r="F33" s="198" t="s">
        <v>240</v>
      </c>
      <c r="G33" s="176">
        <v>0</v>
      </c>
    </row>
    <row r="34" spans="1:7" ht="30" x14ac:dyDescent="0.25">
      <c r="A34" s="191" t="s">
        <v>241</v>
      </c>
      <c r="B34" s="192" t="s">
        <v>242</v>
      </c>
      <c r="C34" s="193" t="s">
        <v>243</v>
      </c>
      <c r="D34" s="188" t="s">
        <v>244</v>
      </c>
      <c r="E34" s="194" t="s">
        <v>245</v>
      </c>
      <c r="F34" s="195" t="s">
        <v>246</v>
      </c>
      <c r="G34" s="176">
        <v>0</v>
      </c>
    </row>
    <row r="35" spans="1:7" x14ac:dyDescent="0.25">
      <c r="A35" s="185" t="s">
        <v>201</v>
      </c>
      <c r="B35" s="186" t="s">
        <v>247</v>
      </c>
      <c r="C35" s="187" t="s">
        <v>181</v>
      </c>
      <c r="D35" s="174" t="s">
        <v>182</v>
      </c>
      <c r="E35" s="187" t="s">
        <v>248</v>
      </c>
      <c r="F35" s="198" t="s">
        <v>249</v>
      </c>
      <c r="G35" s="176">
        <v>0</v>
      </c>
    </row>
    <row r="36" spans="1:7" x14ac:dyDescent="0.25">
      <c r="A36" s="185" t="s">
        <v>250</v>
      </c>
      <c r="B36" s="186" t="s">
        <v>247</v>
      </c>
      <c r="C36" s="187" t="s">
        <v>181</v>
      </c>
      <c r="D36" s="174" t="s">
        <v>182</v>
      </c>
      <c r="E36" s="189"/>
      <c r="F36" s="198" t="s">
        <v>251</v>
      </c>
      <c r="G36" s="176">
        <v>0</v>
      </c>
    </row>
    <row r="37" spans="1:7" x14ac:dyDescent="0.25">
      <c r="A37" s="185" t="s">
        <v>252</v>
      </c>
      <c r="B37" s="192" t="s">
        <v>253</v>
      </c>
      <c r="C37" s="187" t="s">
        <v>254</v>
      </c>
      <c r="D37" s="174" t="s">
        <v>255</v>
      </c>
      <c r="E37" s="189"/>
      <c r="F37" s="198" t="s">
        <v>213</v>
      </c>
      <c r="G37" s="176">
        <v>0</v>
      </c>
    </row>
    <row r="38" spans="1:7" x14ac:dyDescent="0.25">
      <c r="A38" s="185" t="s">
        <v>256</v>
      </c>
      <c r="B38" s="192" t="s">
        <v>257</v>
      </c>
      <c r="C38" s="199" t="s">
        <v>211</v>
      </c>
      <c r="D38" s="189" t="s">
        <v>212</v>
      </c>
      <c r="E38" s="189"/>
      <c r="F38" s="198" t="s">
        <v>213</v>
      </c>
      <c r="G38" s="176">
        <v>0</v>
      </c>
    </row>
    <row r="39" spans="1:7" x14ac:dyDescent="0.25">
      <c r="A39" s="185" t="s">
        <v>258</v>
      </c>
      <c r="B39" s="186" t="s">
        <v>259</v>
      </c>
      <c r="C39" s="187" t="s">
        <v>260</v>
      </c>
      <c r="D39" s="189" t="s">
        <v>261</v>
      </c>
      <c r="E39" s="189"/>
      <c r="F39" s="198" t="s">
        <v>262</v>
      </c>
      <c r="G39" s="176">
        <v>0</v>
      </c>
    </row>
    <row r="40" spans="1:7" x14ac:dyDescent="0.25">
      <c r="A40" s="185" t="s">
        <v>263</v>
      </c>
      <c r="B40" s="186" t="s">
        <v>264</v>
      </c>
      <c r="C40" s="187" t="s">
        <v>175</v>
      </c>
      <c r="D40" s="174" t="s">
        <v>176</v>
      </c>
      <c r="E40" s="189"/>
      <c r="F40" s="198" t="s">
        <v>265</v>
      </c>
      <c r="G40" s="176">
        <v>1</v>
      </c>
    </row>
    <row r="41" spans="1:7" x14ac:dyDescent="0.25">
      <c r="A41" s="185" t="s">
        <v>266</v>
      </c>
      <c r="B41" s="186" t="s">
        <v>267</v>
      </c>
      <c r="C41" s="187" t="s">
        <v>175</v>
      </c>
      <c r="D41" s="188" t="s">
        <v>176</v>
      </c>
      <c r="E41" s="189"/>
      <c r="F41" s="198" t="s">
        <v>251</v>
      </c>
      <c r="G41" s="176">
        <v>0</v>
      </c>
    </row>
    <row r="42" spans="1:7" x14ac:dyDescent="0.25">
      <c r="A42" s="185" t="s">
        <v>225</v>
      </c>
      <c r="B42" s="186" t="s">
        <v>268</v>
      </c>
      <c r="C42" s="187" t="s">
        <v>228</v>
      </c>
      <c r="D42" s="174" t="s">
        <v>229</v>
      </c>
      <c r="E42" s="189"/>
      <c r="F42" s="198" t="s">
        <v>269</v>
      </c>
      <c r="G42" s="176">
        <v>0</v>
      </c>
    </row>
    <row r="43" spans="1:7" x14ac:dyDescent="0.25">
      <c r="A43" s="185" t="s">
        <v>1097</v>
      </c>
      <c r="B43" s="186" t="s">
        <v>1096</v>
      </c>
      <c r="C43" s="187"/>
      <c r="E43" s="189"/>
      <c r="F43" s="198"/>
    </row>
    <row r="44" spans="1:7" x14ac:dyDescent="0.25">
      <c r="A44" s="185" t="s">
        <v>270</v>
      </c>
      <c r="B44" s="186" t="s">
        <v>271</v>
      </c>
      <c r="C44" s="187" t="s">
        <v>272</v>
      </c>
      <c r="D44" s="174" t="s">
        <v>273</v>
      </c>
      <c r="E44" s="187"/>
      <c r="F44" s="198" t="s">
        <v>274</v>
      </c>
      <c r="G44" s="176">
        <v>0</v>
      </c>
    </row>
    <row r="45" spans="1:7" x14ac:dyDescent="0.25">
      <c r="A45" s="185" t="s">
        <v>275</v>
      </c>
      <c r="B45" s="186" t="s">
        <v>276</v>
      </c>
      <c r="C45" s="187" t="s">
        <v>207</v>
      </c>
      <c r="D45" s="174" t="s">
        <v>239</v>
      </c>
      <c r="E45" s="189"/>
      <c r="F45" s="198" t="s">
        <v>277</v>
      </c>
      <c r="G45" s="176">
        <v>0</v>
      </c>
    </row>
    <row r="46" spans="1:7" x14ac:dyDescent="0.25">
      <c r="A46" s="185" t="s">
        <v>278</v>
      </c>
      <c r="B46" s="186" t="s">
        <v>279</v>
      </c>
      <c r="C46" s="187" t="s">
        <v>280</v>
      </c>
      <c r="D46" s="174" t="s">
        <v>281</v>
      </c>
      <c r="E46" s="189"/>
      <c r="F46" s="198" t="s">
        <v>282</v>
      </c>
      <c r="G46" s="176">
        <v>0</v>
      </c>
    </row>
    <row r="47" spans="1:7" x14ac:dyDescent="0.25">
      <c r="A47" s="185" t="s">
        <v>233</v>
      </c>
      <c r="B47" s="186"/>
      <c r="C47" s="187" t="s">
        <v>233</v>
      </c>
      <c r="D47" s="189" t="s">
        <v>234</v>
      </c>
      <c r="E47" s="189"/>
      <c r="F47" s="190"/>
      <c r="G47" s="176">
        <v>0</v>
      </c>
    </row>
    <row r="49" spans="1:17" x14ac:dyDescent="0.25">
      <c r="A49" s="182" t="s">
        <v>283</v>
      </c>
      <c r="B49" s="173" t="s">
        <v>284</v>
      </c>
      <c r="C49" s="182" t="s">
        <v>285</v>
      </c>
    </row>
    <row r="50" spans="1:17" ht="15" customHeight="1" x14ac:dyDescent="0.25">
      <c r="A50" s="202" t="s">
        <v>286</v>
      </c>
      <c r="B50" s="178" t="s">
        <v>287</v>
      </c>
      <c r="C50" s="178">
        <v>1</v>
      </c>
      <c r="Q50" s="189"/>
    </row>
    <row r="51" spans="1:17" x14ac:dyDescent="0.25">
      <c r="A51" s="202" t="s">
        <v>288</v>
      </c>
      <c r="B51" s="178" t="s">
        <v>289</v>
      </c>
      <c r="C51" s="179" t="s">
        <v>290</v>
      </c>
      <c r="M51" s="178"/>
      <c r="N51" s="179"/>
      <c r="O51" s="178"/>
      <c r="P51" s="178"/>
      <c r="Q51" s="179"/>
    </row>
    <row r="52" spans="1:17" x14ac:dyDescent="0.25">
      <c r="A52" s="202" t="s">
        <v>291</v>
      </c>
      <c r="B52" s="178" t="s">
        <v>292</v>
      </c>
      <c r="C52" s="179" t="s">
        <v>293</v>
      </c>
    </row>
    <row r="53" spans="1:17" x14ac:dyDescent="0.25">
      <c r="H53" s="1061" t="s">
        <v>294</v>
      </c>
      <c r="I53" s="1062"/>
      <c r="J53" s="1062"/>
      <c r="K53" s="1063"/>
      <c r="L53" s="189"/>
    </row>
    <row r="54" spans="1:17" ht="15.75" x14ac:dyDescent="0.25">
      <c r="A54" s="189" t="s">
        <v>295</v>
      </c>
      <c r="H54" s="203"/>
      <c r="I54" s="204"/>
      <c r="J54" s="204"/>
      <c r="K54" s="205"/>
      <c r="L54" s="189"/>
      <c r="M54" s="1064" t="s">
        <v>294</v>
      </c>
      <c r="N54" s="1065"/>
      <c r="O54" s="1065"/>
      <c r="P54" s="1065"/>
      <c r="Q54" s="1066"/>
    </row>
    <row r="55" spans="1:17" ht="30" x14ac:dyDescent="0.25">
      <c r="A55" s="189" t="s">
        <v>296</v>
      </c>
      <c r="B55" s="179" t="s">
        <v>297</v>
      </c>
      <c r="C55" s="206" t="s">
        <v>298</v>
      </c>
      <c r="D55" s="206" t="s">
        <v>299</v>
      </c>
      <c r="E55" s="207" t="s">
        <v>300</v>
      </c>
      <c r="F55" s="208" t="s">
        <v>301</v>
      </c>
      <c r="G55" s="209" t="s">
        <v>302</v>
      </c>
      <c r="H55" s="210" t="s">
        <v>303</v>
      </c>
      <c r="I55" s="210" t="s">
        <v>304</v>
      </c>
      <c r="J55" s="210" t="s">
        <v>305</v>
      </c>
      <c r="K55" s="211" t="s">
        <v>306</v>
      </c>
      <c r="M55" s="212" t="s">
        <v>307</v>
      </c>
      <c r="N55" s="213" t="s">
        <v>302</v>
      </c>
      <c r="O55" s="213" t="s">
        <v>308</v>
      </c>
      <c r="P55" s="213" t="s">
        <v>305</v>
      </c>
      <c r="Q55" s="214" t="s">
        <v>306</v>
      </c>
    </row>
    <row r="56" spans="1:17" ht="15.75" x14ac:dyDescent="0.3">
      <c r="A56" s="189" t="s">
        <v>309</v>
      </c>
      <c r="B56" s="215" t="s">
        <v>310</v>
      </c>
      <c r="C56" s="201" t="s">
        <v>311</v>
      </c>
      <c r="D56" s="216" t="s">
        <v>309</v>
      </c>
      <c r="E56" s="217" t="s">
        <v>309</v>
      </c>
      <c r="F56" s="190" t="s">
        <v>312</v>
      </c>
      <c r="G56" s="209" t="s">
        <v>313</v>
      </c>
      <c r="H56" s="189" t="s">
        <v>302</v>
      </c>
      <c r="I56" s="189" t="s">
        <v>314</v>
      </c>
      <c r="J56" s="189"/>
      <c r="M56" s="189" t="s">
        <v>315</v>
      </c>
      <c r="N56" s="189" t="s">
        <v>313</v>
      </c>
      <c r="O56" s="189" t="s">
        <v>308</v>
      </c>
      <c r="P56" s="189" t="s">
        <v>316</v>
      </c>
    </row>
    <row r="57" spans="1:17" ht="12.75" customHeight="1" x14ac:dyDescent="0.3">
      <c r="A57" s="189" t="s">
        <v>251</v>
      </c>
      <c r="B57" s="215" t="s">
        <v>1316</v>
      </c>
      <c r="C57" s="201" t="s">
        <v>311</v>
      </c>
      <c r="D57" s="216" t="s">
        <v>251</v>
      </c>
      <c r="E57" s="217" t="s">
        <v>317</v>
      </c>
      <c r="F57" s="190" t="s">
        <v>318</v>
      </c>
      <c r="G57" s="209" t="s">
        <v>319</v>
      </c>
      <c r="H57" s="189" t="s">
        <v>302</v>
      </c>
      <c r="I57" s="189" t="s">
        <v>314</v>
      </c>
      <c r="J57" s="189"/>
      <c r="M57" s="218" t="s">
        <v>320</v>
      </c>
      <c r="N57" s="218" t="s">
        <v>321</v>
      </c>
      <c r="O57" s="218"/>
      <c r="P57" s="218" t="s">
        <v>322</v>
      </c>
    </row>
    <row r="58" spans="1:17" ht="15.75" x14ac:dyDescent="0.3">
      <c r="A58" s="189" t="s">
        <v>323</v>
      </c>
      <c r="B58" s="215" t="s">
        <v>1132</v>
      </c>
      <c r="C58" s="201" t="s">
        <v>311</v>
      </c>
      <c r="D58" s="216" t="s">
        <v>323</v>
      </c>
      <c r="E58" s="217" t="s">
        <v>324</v>
      </c>
      <c r="F58" s="190" t="s">
        <v>312</v>
      </c>
      <c r="G58" s="176" t="b">
        <v>1</v>
      </c>
      <c r="M58" s="219"/>
      <c r="N58" s="218" t="s">
        <v>325</v>
      </c>
      <c r="O58" s="219"/>
      <c r="P58" s="219"/>
    </row>
    <row r="59" spans="1:17" ht="15.75" x14ac:dyDescent="0.3">
      <c r="A59" s="189" t="s">
        <v>326</v>
      </c>
      <c r="B59" s="215" t="s">
        <v>327</v>
      </c>
      <c r="C59" s="201" t="s">
        <v>311</v>
      </c>
      <c r="D59" s="216" t="s">
        <v>326</v>
      </c>
      <c r="E59" s="217" t="s">
        <v>328</v>
      </c>
      <c r="F59" s="190" t="s">
        <v>329</v>
      </c>
      <c r="H59" s="189" t="s">
        <v>302</v>
      </c>
      <c r="I59" s="189" t="s">
        <v>314</v>
      </c>
      <c r="J59" s="189"/>
      <c r="M59" s="219"/>
      <c r="N59" s="219"/>
      <c r="O59" s="219"/>
      <c r="P59" s="218" t="s">
        <v>330</v>
      </c>
    </row>
    <row r="60" spans="1:17" ht="15.75" x14ac:dyDescent="0.3">
      <c r="A60" s="189" t="s">
        <v>331</v>
      </c>
      <c r="B60" s="215" t="s">
        <v>332</v>
      </c>
      <c r="C60" s="201" t="s">
        <v>311</v>
      </c>
      <c r="D60" s="216" t="s">
        <v>331</v>
      </c>
      <c r="E60" s="217" t="s">
        <v>328</v>
      </c>
      <c r="F60" s="190" t="s">
        <v>329</v>
      </c>
      <c r="G60" s="209" t="s">
        <v>333</v>
      </c>
      <c r="H60" s="189" t="s">
        <v>302</v>
      </c>
      <c r="I60" s="189" t="s">
        <v>314</v>
      </c>
      <c r="J60" s="189"/>
      <c r="M60" s="219" t="str">
        <f>N58</f>
        <v>$.*</v>
      </c>
      <c r="N60" s="219"/>
      <c r="O60" s="219"/>
      <c r="P60" s="218" t="s">
        <v>1104</v>
      </c>
    </row>
    <row r="61" spans="1:17" ht="15.75" x14ac:dyDescent="0.3">
      <c r="A61" s="189" t="s">
        <v>334</v>
      </c>
      <c r="B61" s="215" t="s">
        <v>335</v>
      </c>
      <c r="C61" s="216" t="s">
        <v>334</v>
      </c>
      <c r="D61" s="216" t="s">
        <v>336</v>
      </c>
      <c r="E61" s="217" t="s">
        <v>337</v>
      </c>
      <c r="F61" s="190" t="s">
        <v>329</v>
      </c>
      <c r="K61" s="189" t="s">
        <v>338</v>
      </c>
      <c r="M61" s="219"/>
      <c r="N61" s="219"/>
      <c r="O61" s="219"/>
      <c r="P61" s="218" t="str">
        <f>N58</f>
        <v>$.*</v>
      </c>
    </row>
    <row r="62" spans="1:17" x14ac:dyDescent="0.25">
      <c r="A62" s="189" t="s">
        <v>339</v>
      </c>
      <c r="B62" s="215" t="s">
        <v>1328</v>
      </c>
      <c r="C62" s="201" t="s">
        <v>311</v>
      </c>
      <c r="D62" s="220" t="s">
        <v>340</v>
      </c>
      <c r="E62" s="217" t="s">
        <v>341</v>
      </c>
      <c r="F62" s="190" t="s">
        <v>318</v>
      </c>
      <c r="G62" s="209" t="s">
        <v>333</v>
      </c>
      <c r="H62" s="189" t="s">
        <v>302</v>
      </c>
      <c r="I62" s="189" t="s">
        <v>314</v>
      </c>
      <c r="J62" s="189"/>
      <c r="M62" s="219" t="str">
        <f>N58</f>
        <v>$.*</v>
      </c>
      <c r="N62" s="219"/>
      <c r="O62" s="219"/>
      <c r="P62" s="219"/>
    </row>
    <row r="63" spans="1:17" ht="15.75" x14ac:dyDescent="0.3">
      <c r="A63" s="189" t="s">
        <v>222</v>
      </c>
      <c r="B63" s="215" t="s">
        <v>342</v>
      </c>
      <c r="C63" s="201" t="s">
        <v>311</v>
      </c>
      <c r="D63" s="216" t="s">
        <v>222</v>
      </c>
      <c r="E63" s="217" t="s">
        <v>337</v>
      </c>
      <c r="F63" s="190" t="s">
        <v>329</v>
      </c>
      <c r="G63" s="209" t="s">
        <v>333</v>
      </c>
      <c r="H63" s="189" t="s">
        <v>302</v>
      </c>
      <c r="I63" s="189" t="s">
        <v>314</v>
      </c>
      <c r="J63" s="189"/>
      <c r="M63" s="219" t="str">
        <f>M62</f>
        <v>$.*</v>
      </c>
      <c r="N63" s="219"/>
      <c r="O63" s="219"/>
      <c r="P63" s="219"/>
    </row>
    <row r="64" spans="1:17" ht="16.5" customHeight="1" x14ac:dyDescent="0.3">
      <c r="A64" s="189" t="s">
        <v>343</v>
      </c>
      <c r="B64" s="221" t="s">
        <v>344</v>
      </c>
      <c r="C64" s="216" t="s">
        <v>343</v>
      </c>
      <c r="D64" s="216" t="s">
        <v>345</v>
      </c>
      <c r="E64" s="217" t="s">
        <v>337</v>
      </c>
      <c r="F64" s="190" t="s">
        <v>329</v>
      </c>
      <c r="K64" s="189" t="s">
        <v>346</v>
      </c>
      <c r="M64" s="218" t="s">
        <v>347</v>
      </c>
      <c r="N64" s="219"/>
      <c r="O64" s="219"/>
      <c r="P64" s="218" t="s">
        <v>348</v>
      </c>
    </row>
    <row r="65" spans="1:17" x14ac:dyDescent="0.25">
      <c r="A65" s="189" t="s">
        <v>305</v>
      </c>
      <c r="B65" s="215" t="s">
        <v>1135</v>
      </c>
      <c r="C65" s="201" t="s">
        <v>349</v>
      </c>
      <c r="D65" s="707" t="s">
        <v>362</v>
      </c>
      <c r="E65" s="217"/>
      <c r="F65" s="190"/>
      <c r="G65" s="209"/>
      <c r="H65" s="189"/>
      <c r="I65" s="189"/>
      <c r="J65" s="189"/>
      <c r="K65" s="189" t="s">
        <v>338</v>
      </c>
      <c r="M65" s="219"/>
      <c r="N65" s="219"/>
      <c r="O65" s="219"/>
      <c r="P65" s="219" t="str">
        <f>P61</f>
        <v>$.*</v>
      </c>
    </row>
    <row r="66" spans="1:17" ht="15.75" x14ac:dyDescent="0.3">
      <c r="A66" s="189" t="s">
        <v>230</v>
      </c>
      <c r="B66" s="215" t="s">
        <v>1131</v>
      </c>
      <c r="C66" s="216" t="s">
        <v>350</v>
      </c>
      <c r="D66" s="201" t="s">
        <v>351</v>
      </c>
      <c r="E66" s="217" t="s">
        <v>337</v>
      </c>
      <c r="F66" s="190" t="s">
        <v>329</v>
      </c>
      <c r="I66" s="189"/>
      <c r="J66" s="189"/>
      <c r="K66" s="174" t="s">
        <v>230</v>
      </c>
      <c r="L66" s="189"/>
      <c r="M66" s="222" t="str">
        <f>N58</f>
        <v>$.*</v>
      </c>
      <c r="N66" s="218" t="s">
        <v>352</v>
      </c>
      <c r="O66" s="219"/>
      <c r="P66" s="219"/>
    </row>
    <row r="67" spans="1:17" ht="15.75" x14ac:dyDescent="0.3">
      <c r="A67" s="189" t="s">
        <v>191</v>
      </c>
      <c r="B67" s="215" t="s">
        <v>353</v>
      </c>
      <c r="C67" s="201" t="s">
        <v>311</v>
      </c>
      <c r="D67" s="216" t="s">
        <v>191</v>
      </c>
      <c r="E67" s="217" t="s">
        <v>191</v>
      </c>
      <c r="F67" s="190" t="s">
        <v>312</v>
      </c>
      <c r="G67" s="209" t="s">
        <v>333</v>
      </c>
      <c r="H67" s="189" t="s">
        <v>302</v>
      </c>
      <c r="I67" s="189" t="s">
        <v>314</v>
      </c>
      <c r="J67" s="189"/>
      <c r="M67" s="219" t="str">
        <f>M66</f>
        <v>$.*</v>
      </c>
      <c r="N67" s="219"/>
      <c r="O67" s="219"/>
      <c r="P67" s="219"/>
    </row>
    <row r="68" spans="1:17" ht="15.75" x14ac:dyDescent="0.3">
      <c r="A68" s="189" t="s">
        <v>274</v>
      </c>
      <c r="B68" s="215" t="s">
        <v>274</v>
      </c>
      <c r="C68" s="201" t="s">
        <v>311</v>
      </c>
      <c r="D68" s="216" t="s">
        <v>274</v>
      </c>
      <c r="E68" s="217" t="s">
        <v>337</v>
      </c>
      <c r="F68" s="190" t="s">
        <v>329</v>
      </c>
      <c r="G68" s="209" t="s">
        <v>333</v>
      </c>
      <c r="H68" s="189" t="s">
        <v>302</v>
      </c>
      <c r="I68" s="189" t="s">
        <v>314</v>
      </c>
      <c r="J68" s="189"/>
      <c r="M68" s="218" t="s">
        <v>354</v>
      </c>
      <c r="N68" s="218" t="s">
        <v>355</v>
      </c>
      <c r="O68" s="219"/>
      <c r="P68" s="219"/>
    </row>
    <row r="69" spans="1:17" ht="15.75" x14ac:dyDescent="0.3">
      <c r="A69" s="189" t="s">
        <v>1093</v>
      </c>
      <c r="B69" s="215" t="s">
        <v>1093</v>
      </c>
      <c r="C69" s="201" t="s">
        <v>311</v>
      </c>
      <c r="D69" s="216" t="s">
        <v>1093</v>
      </c>
      <c r="E69" s="217" t="s">
        <v>337</v>
      </c>
      <c r="F69" s="190" t="s">
        <v>329</v>
      </c>
      <c r="G69" s="209"/>
      <c r="H69" s="189"/>
      <c r="I69" s="189"/>
      <c r="J69" s="189"/>
      <c r="M69" s="218" t="s">
        <v>354</v>
      </c>
      <c r="N69" s="218"/>
      <c r="O69" s="219"/>
      <c r="P69" s="219"/>
    </row>
    <row r="70" spans="1:17" x14ac:dyDescent="0.25">
      <c r="A70" s="223" t="s">
        <v>178</v>
      </c>
      <c r="B70" s="215" t="s">
        <v>356</v>
      </c>
      <c r="C70" s="201"/>
      <c r="D70" s="220"/>
      <c r="E70" s="217"/>
      <c r="F70" s="190"/>
      <c r="M70" s="218" t="s">
        <v>357</v>
      </c>
      <c r="N70" s="218" t="s">
        <v>357</v>
      </c>
      <c r="O70" s="219"/>
      <c r="P70" s="218" t="s">
        <v>357</v>
      </c>
    </row>
    <row r="71" spans="1:17" x14ac:dyDescent="0.25">
      <c r="C71" s="201"/>
      <c r="D71" s="201" t="s">
        <v>358</v>
      </c>
      <c r="E71" s="217" t="s">
        <v>337</v>
      </c>
      <c r="F71" s="190" t="s">
        <v>329</v>
      </c>
      <c r="M71" s="219"/>
      <c r="N71" s="219"/>
      <c r="O71" s="219"/>
      <c r="P71" s="219"/>
    </row>
    <row r="72" spans="1:17" x14ac:dyDescent="0.25">
      <c r="C72" s="201"/>
      <c r="D72" s="201" t="s">
        <v>359</v>
      </c>
      <c r="E72" s="217" t="s">
        <v>337</v>
      </c>
      <c r="F72" s="190" t="s">
        <v>329</v>
      </c>
      <c r="M72" s="219"/>
      <c r="N72" s="219"/>
      <c r="O72" s="219"/>
      <c r="P72" s="219"/>
    </row>
    <row r="73" spans="1:17" x14ac:dyDescent="0.25">
      <c r="C73" s="201"/>
      <c r="D73" s="201" t="s">
        <v>360</v>
      </c>
      <c r="E73" s="217"/>
      <c r="F73" s="190"/>
      <c r="M73" s="219"/>
      <c r="N73" s="219"/>
      <c r="O73" s="219"/>
      <c r="P73" s="219"/>
    </row>
    <row r="74" spans="1:17" x14ac:dyDescent="0.25">
      <c r="A74" s="189"/>
      <c r="C74" s="201"/>
      <c r="D74" s="201" t="s">
        <v>361</v>
      </c>
      <c r="E74" s="217" t="s">
        <v>337</v>
      </c>
      <c r="F74" s="190" t="s">
        <v>329</v>
      </c>
      <c r="M74" s="219"/>
      <c r="N74" s="219"/>
      <c r="O74" s="219"/>
      <c r="P74" s="219"/>
    </row>
    <row r="75" spans="1:17" x14ac:dyDescent="0.25">
      <c r="C75" s="220"/>
      <c r="D75" s="201" t="s">
        <v>362</v>
      </c>
      <c r="E75" s="217" t="s">
        <v>337</v>
      </c>
      <c r="F75" s="190" t="s">
        <v>329</v>
      </c>
      <c r="M75" s="219"/>
      <c r="N75" s="219"/>
      <c r="O75" s="219"/>
      <c r="P75" s="219"/>
    </row>
    <row r="76" spans="1:17" x14ac:dyDescent="0.25">
      <c r="A76" s="189" t="s">
        <v>363</v>
      </c>
      <c r="C76" s="220"/>
      <c r="D76" s="201"/>
      <c r="F76" s="190"/>
      <c r="Q76" s="189" t="s">
        <v>364</v>
      </c>
    </row>
    <row r="77" spans="1:17" x14ac:dyDescent="0.25">
      <c r="A77" s="189" t="s">
        <v>338</v>
      </c>
      <c r="B77" s="186" t="s">
        <v>365</v>
      </c>
      <c r="C77" s="220"/>
      <c r="D77" s="201"/>
      <c r="F77" s="190"/>
      <c r="Q77" s="224" t="s">
        <v>314</v>
      </c>
    </row>
    <row r="78" spans="1:17" x14ac:dyDescent="0.25">
      <c r="A78" s="189" t="s">
        <v>302</v>
      </c>
      <c r="B78" s="186" t="s">
        <v>366</v>
      </c>
      <c r="C78" s="220"/>
      <c r="D78" s="201"/>
      <c r="F78" s="190"/>
      <c r="Q78" s="224" t="s">
        <v>302</v>
      </c>
    </row>
    <row r="79" spans="1:17" x14ac:dyDescent="0.25">
      <c r="A79" s="189"/>
      <c r="B79" s="186"/>
      <c r="C79" s="220"/>
      <c r="D79" s="201"/>
      <c r="F79" s="190"/>
      <c r="Q79" s="224" t="s">
        <v>305</v>
      </c>
    </row>
    <row r="80" spans="1:17" x14ac:dyDescent="0.25">
      <c r="A80" s="189"/>
      <c r="B80" s="220"/>
      <c r="C80" s="220"/>
      <c r="D80" s="201"/>
      <c r="F80" s="190"/>
      <c r="Q80" s="224" t="s">
        <v>230</v>
      </c>
    </row>
    <row r="81" spans="1:17" x14ac:dyDescent="0.25">
      <c r="A81" s="189"/>
      <c r="B81" s="220"/>
      <c r="C81" s="220"/>
      <c r="D81" s="201"/>
      <c r="F81" s="190"/>
      <c r="Q81" s="224" t="s">
        <v>346</v>
      </c>
    </row>
    <row r="82" spans="1:17" x14ac:dyDescent="0.25">
      <c r="A82" s="189"/>
      <c r="B82" s="220"/>
      <c r="C82" s="220"/>
      <c r="D82" s="201"/>
      <c r="F82" s="190"/>
    </row>
    <row r="83" spans="1:17" x14ac:dyDescent="0.25">
      <c r="C83" s="220"/>
      <c r="D83" s="201"/>
      <c r="F83" s="190"/>
    </row>
    <row r="84" spans="1:17" x14ac:dyDescent="0.25">
      <c r="A84" s="225" t="s">
        <v>367</v>
      </c>
    </row>
    <row r="85" spans="1:17" x14ac:dyDescent="0.25">
      <c r="A85" s="189" t="s">
        <v>368</v>
      </c>
    </row>
    <row r="86" spans="1:17" x14ac:dyDescent="0.25">
      <c r="A86" s="189" t="s">
        <v>369</v>
      </c>
    </row>
    <row r="87" spans="1:17" x14ac:dyDescent="0.25">
      <c r="A87" s="189" t="s">
        <v>370</v>
      </c>
      <c r="B87" s="179" t="s">
        <v>80</v>
      </c>
    </row>
    <row r="88" spans="1:17" x14ac:dyDescent="0.25">
      <c r="A88" s="189" t="s">
        <v>371</v>
      </c>
      <c r="B88" s="178">
        <v>1</v>
      </c>
    </row>
    <row r="89" spans="1:17" x14ac:dyDescent="0.25">
      <c r="A89" s="189" t="s">
        <v>372</v>
      </c>
      <c r="B89" s="178">
        <v>1</v>
      </c>
    </row>
    <row r="90" spans="1:17" x14ac:dyDescent="0.25">
      <c r="A90" s="189" t="s">
        <v>373</v>
      </c>
      <c r="B90" s="178">
        <v>1</v>
      </c>
    </row>
    <row r="91" spans="1:17" x14ac:dyDescent="0.25">
      <c r="A91" s="189" t="s">
        <v>374</v>
      </c>
    </row>
    <row r="92" spans="1:17" x14ac:dyDescent="0.25">
      <c r="A92" s="189" t="s">
        <v>375</v>
      </c>
    </row>
    <row r="93" spans="1:17" x14ac:dyDescent="0.25">
      <c r="A93" s="189" t="s">
        <v>376</v>
      </c>
      <c r="B93" s="179" t="s">
        <v>80</v>
      </c>
    </row>
    <row r="94" spans="1:17" x14ac:dyDescent="0.25">
      <c r="A94" s="189" t="s">
        <v>377</v>
      </c>
      <c r="F94" s="174"/>
      <c r="G94" s="174"/>
    </row>
    <row r="95" spans="1:17" x14ac:dyDescent="0.25">
      <c r="A95" s="189" t="s">
        <v>378</v>
      </c>
      <c r="F95" s="174"/>
      <c r="G95" s="174"/>
    </row>
    <row r="96" spans="1:17" x14ac:dyDescent="0.25">
      <c r="A96" s="189" t="s">
        <v>379</v>
      </c>
      <c r="F96" s="174"/>
      <c r="G96" s="174"/>
    </row>
    <row r="97" spans="1:7" x14ac:dyDescent="0.25">
      <c r="A97" s="189" t="s">
        <v>380</v>
      </c>
      <c r="F97" s="174"/>
      <c r="G97" s="174"/>
    </row>
    <row r="98" spans="1:7" x14ac:dyDescent="0.25">
      <c r="A98" s="189" t="s">
        <v>381</v>
      </c>
      <c r="B98" s="178">
        <v>1</v>
      </c>
      <c r="F98" s="174"/>
      <c r="G98" s="174"/>
    </row>
    <row r="99" spans="1:7" x14ac:dyDescent="0.25">
      <c r="A99" s="189" t="s">
        <v>382</v>
      </c>
      <c r="B99" s="178">
        <v>1</v>
      </c>
      <c r="F99" s="174"/>
      <c r="G99" s="174"/>
    </row>
    <row r="100" spans="1:7" x14ac:dyDescent="0.25">
      <c r="A100" s="189" t="s">
        <v>383</v>
      </c>
      <c r="F100" s="174"/>
      <c r="G100" s="174"/>
    </row>
    <row r="101" spans="1:7" x14ac:dyDescent="0.25">
      <c r="A101" s="189" t="s">
        <v>384</v>
      </c>
      <c r="F101" s="174"/>
      <c r="G101" s="174"/>
    </row>
    <row r="102" spans="1:7" x14ac:dyDescent="0.25">
      <c r="A102" s="189" t="s">
        <v>385</v>
      </c>
      <c r="F102" s="174"/>
      <c r="G102" s="174"/>
    </row>
    <row r="103" spans="1:7" x14ac:dyDescent="0.25">
      <c r="A103" s="189" t="s">
        <v>386</v>
      </c>
      <c r="F103" s="174"/>
      <c r="G103" s="174"/>
    </row>
    <row r="104" spans="1:7" x14ac:dyDescent="0.25">
      <c r="A104" s="189" t="s">
        <v>387</v>
      </c>
      <c r="B104" s="178">
        <v>1</v>
      </c>
      <c r="F104" s="174"/>
      <c r="G104" s="174"/>
    </row>
    <row r="105" spans="1:7" x14ac:dyDescent="0.25">
      <c r="A105" s="189" t="s">
        <v>388</v>
      </c>
      <c r="B105" s="178">
        <v>1</v>
      </c>
      <c r="F105" s="174"/>
      <c r="G105" s="174"/>
    </row>
    <row r="106" spans="1:7" x14ac:dyDescent="0.25">
      <c r="A106" s="189" t="s">
        <v>389</v>
      </c>
      <c r="F106" s="174"/>
      <c r="G106" s="174"/>
    </row>
    <row r="107" spans="1:7" x14ac:dyDescent="0.25">
      <c r="A107" s="189" t="s">
        <v>390</v>
      </c>
      <c r="B107" s="178">
        <v>1</v>
      </c>
      <c r="F107" s="174"/>
      <c r="G107" s="174"/>
    </row>
    <row r="108" spans="1:7" x14ac:dyDescent="0.25">
      <c r="A108" s="189" t="s">
        <v>391</v>
      </c>
      <c r="F108" s="174"/>
      <c r="G108" s="174"/>
    </row>
    <row r="109" spans="1:7" x14ac:dyDescent="0.25">
      <c r="A109" s="189" t="s">
        <v>392</v>
      </c>
      <c r="B109" s="178">
        <v>1</v>
      </c>
      <c r="F109" s="174"/>
      <c r="G109" s="174"/>
    </row>
    <row r="110" spans="1:7" x14ac:dyDescent="0.25">
      <c r="A110" s="189" t="s">
        <v>393</v>
      </c>
      <c r="B110" s="178">
        <v>1</v>
      </c>
      <c r="F110" s="174"/>
      <c r="G110" s="174"/>
    </row>
    <row r="111" spans="1:7" x14ac:dyDescent="0.25">
      <c r="A111" s="189" t="s">
        <v>394</v>
      </c>
      <c r="F111" s="174"/>
      <c r="G111" s="174"/>
    </row>
    <row r="112" spans="1:7" x14ac:dyDescent="0.25">
      <c r="A112" s="189" t="s">
        <v>395</v>
      </c>
      <c r="F112" s="174"/>
      <c r="G112" s="174"/>
    </row>
    <row r="113" spans="1:7" x14ac:dyDescent="0.25">
      <c r="A113" s="189" t="s">
        <v>396</v>
      </c>
      <c r="F113" s="174"/>
      <c r="G113" s="174"/>
    </row>
    <row r="114" spans="1:7" x14ac:dyDescent="0.25">
      <c r="A114" s="189" t="s">
        <v>397</v>
      </c>
      <c r="F114" s="174"/>
      <c r="G114" s="174"/>
    </row>
    <row r="115" spans="1:7" x14ac:dyDescent="0.25">
      <c r="A115" s="189" t="s">
        <v>398</v>
      </c>
      <c r="F115" s="174"/>
      <c r="G115" s="174"/>
    </row>
    <row r="116" spans="1:7" x14ac:dyDescent="0.25">
      <c r="A116" s="189" t="s">
        <v>399</v>
      </c>
      <c r="F116" s="174"/>
      <c r="G116" s="174"/>
    </row>
    <row r="117" spans="1:7" x14ac:dyDescent="0.25">
      <c r="A117" s="189" t="s">
        <v>400</v>
      </c>
      <c r="B117" s="178">
        <v>1</v>
      </c>
      <c r="F117" s="174"/>
      <c r="G117" s="174"/>
    </row>
    <row r="118" spans="1:7" x14ac:dyDescent="0.25">
      <c r="A118" s="189" t="s">
        <v>401</v>
      </c>
      <c r="F118" s="174"/>
      <c r="G118" s="174"/>
    </row>
    <row r="119" spans="1:7" x14ac:dyDescent="0.25">
      <c r="A119" s="189" t="s">
        <v>402</v>
      </c>
      <c r="F119" s="174"/>
      <c r="G119" s="174"/>
    </row>
    <row r="120" spans="1:7" x14ac:dyDescent="0.25">
      <c r="A120" s="189" t="s">
        <v>403</v>
      </c>
      <c r="F120" s="174"/>
      <c r="G120" s="174"/>
    </row>
    <row r="121" spans="1:7" x14ac:dyDescent="0.25">
      <c r="A121" s="189" t="s">
        <v>404</v>
      </c>
      <c r="B121" s="178">
        <v>1</v>
      </c>
      <c r="F121" s="174"/>
      <c r="G121" s="174"/>
    </row>
    <row r="122" spans="1:7" x14ac:dyDescent="0.25">
      <c r="A122" s="189" t="s">
        <v>405</v>
      </c>
      <c r="F122" s="174"/>
      <c r="G122" s="174"/>
    </row>
    <row r="123" spans="1:7" x14ac:dyDescent="0.25">
      <c r="A123" s="189" t="s">
        <v>406</v>
      </c>
      <c r="F123" s="174"/>
      <c r="G123" s="174"/>
    </row>
    <row r="124" spans="1:7" x14ac:dyDescent="0.25">
      <c r="A124" s="189" t="s">
        <v>407</v>
      </c>
      <c r="F124" s="174"/>
      <c r="G124" s="174"/>
    </row>
    <row r="125" spans="1:7" x14ac:dyDescent="0.25">
      <c r="A125" s="189" t="s">
        <v>408</v>
      </c>
      <c r="F125" s="174"/>
      <c r="G125" s="174"/>
    </row>
    <row r="126" spans="1:7" x14ac:dyDescent="0.25">
      <c r="A126" s="189" t="s">
        <v>409</v>
      </c>
      <c r="B126" s="178">
        <v>1</v>
      </c>
      <c r="F126" s="174"/>
      <c r="G126" s="174"/>
    </row>
    <row r="127" spans="1:7" x14ac:dyDescent="0.25">
      <c r="A127" s="189" t="s">
        <v>410</v>
      </c>
      <c r="B127" s="178">
        <v>1</v>
      </c>
      <c r="F127" s="174"/>
      <c r="G127" s="174"/>
    </row>
    <row r="128" spans="1:7" x14ac:dyDescent="0.25">
      <c r="A128" s="189" t="s">
        <v>411</v>
      </c>
      <c r="F128" s="174"/>
      <c r="G128" s="174"/>
    </row>
    <row r="129" spans="1:7" x14ac:dyDescent="0.25">
      <c r="A129" s="189" t="s">
        <v>412</v>
      </c>
      <c r="F129" s="174"/>
      <c r="G129" s="174"/>
    </row>
    <row r="130" spans="1:7" x14ac:dyDescent="0.25">
      <c r="A130" s="189" t="s">
        <v>413</v>
      </c>
      <c r="F130" s="174"/>
      <c r="G130" s="174"/>
    </row>
    <row r="131" spans="1:7" x14ac:dyDescent="0.25">
      <c r="A131" s="189" t="s">
        <v>414</v>
      </c>
      <c r="B131" s="178">
        <v>1</v>
      </c>
      <c r="F131" s="174"/>
      <c r="G131" s="174"/>
    </row>
    <row r="132" spans="1:7" x14ac:dyDescent="0.25">
      <c r="A132" s="189" t="s">
        <v>415</v>
      </c>
      <c r="F132" s="174"/>
      <c r="G132" s="174"/>
    </row>
    <row r="133" spans="1:7" x14ac:dyDescent="0.25">
      <c r="A133" s="189" t="s">
        <v>416</v>
      </c>
      <c r="F133" s="174"/>
      <c r="G133" s="174"/>
    </row>
    <row r="134" spans="1:7" x14ac:dyDescent="0.25">
      <c r="A134" s="189" t="s">
        <v>417</v>
      </c>
      <c r="B134" s="178">
        <v>1</v>
      </c>
      <c r="F134" s="174"/>
      <c r="G134" s="174"/>
    </row>
    <row r="135" spans="1:7" x14ac:dyDescent="0.25">
      <c r="A135" s="189" t="s">
        <v>418</v>
      </c>
      <c r="F135" s="174"/>
      <c r="G135" s="174"/>
    </row>
    <row r="136" spans="1:7" x14ac:dyDescent="0.25">
      <c r="A136" s="189" t="s">
        <v>419</v>
      </c>
      <c r="F136" s="174"/>
      <c r="G136" s="174"/>
    </row>
    <row r="137" spans="1:7" x14ac:dyDescent="0.25">
      <c r="A137" s="189" t="s">
        <v>420</v>
      </c>
      <c r="F137" s="174"/>
      <c r="G137" s="174"/>
    </row>
    <row r="138" spans="1:7" x14ac:dyDescent="0.25">
      <c r="A138" s="189" t="s">
        <v>421</v>
      </c>
      <c r="F138" s="174"/>
      <c r="G138" s="174"/>
    </row>
    <row r="139" spans="1:7" x14ac:dyDescent="0.25">
      <c r="A139" s="189" t="s">
        <v>422</v>
      </c>
      <c r="B139" s="178">
        <v>1</v>
      </c>
      <c r="F139" s="174"/>
      <c r="G139" s="174"/>
    </row>
    <row r="140" spans="1:7" x14ac:dyDescent="0.25">
      <c r="A140" s="189" t="s">
        <v>423</v>
      </c>
      <c r="B140" s="178">
        <v>1</v>
      </c>
      <c r="F140" s="174"/>
      <c r="G140" s="174"/>
    </row>
    <row r="141" spans="1:7" x14ac:dyDescent="0.25">
      <c r="A141" s="189" t="s">
        <v>424</v>
      </c>
      <c r="F141" s="174"/>
      <c r="G141" s="174"/>
    </row>
    <row r="142" spans="1:7" x14ac:dyDescent="0.25">
      <c r="A142" s="189" t="s">
        <v>425</v>
      </c>
      <c r="B142" s="178">
        <v>1</v>
      </c>
      <c r="F142" s="174"/>
      <c r="G142" s="174"/>
    </row>
    <row r="143" spans="1:7" x14ac:dyDescent="0.25">
      <c r="A143" s="189" t="s">
        <v>426</v>
      </c>
      <c r="F143" s="174"/>
      <c r="G143" s="174"/>
    </row>
    <row r="144" spans="1:7" x14ac:dyDescent="0.25">
      <c r="A144" s="189" t="s">
        <v>427</v>
      </c>
      <c r="B144" s="178">
        <v>1</v>
      </c>
      <c r="F144" s="174"/>
      <c r="G144" s="174"/>
    </row>
    <row r="145" spans="1:7" x14ac:dyDescent="0.25">
      <c r="A145" s="189" t="s">
        <v>428</v>
      </c>
      <c r="F145" s="174"/>
      <c r="G145" s="174"/>
    </row>
    <row r="146" spans="1:7" x14ac:dyDescent="0.25">
      <c r="A146" s="189" t="s">
        <v>429</v>
      </c>
      <c r="F146" s="174"/>
      <c r="G146" s="174"/>
    </row>
    <row r="147" spans="1:7" x14ac:dyDescent="0.25">
      <c r="A147" s="189" t="s">
        <v>430</v>
      </c>
      <c r="F147" s="174"/>
      <c r="G147" s="174"/>
    </row>
    <row r="148" spans="1:7" x14ac:dyDescent="0.25">
      <c r="A148" s="189" t="s">
        <v>431</v>
      </c>
      <c r="F148" s="174"/>
      <c r="G148" s="174"/>
    </row>
    <row r="149" spans="1:7" x14ac:dyDescent="0.25">
      <c r="A149" s="189" t="s">
        <v>432</v>
      </c>
      <c r="F149" s="174"/>
      <c r="G149" s="174"/>
    </row>
    <row r="150" spans="1:7" x14ac:dyDescent="0.25">
      <c r="A150" s="189" t="s">
        <v>433</v>
      </c>
      <c r="F150" s="174"/>
      <c r="G150" s="174"/>
    </row>
    <row r="151" spans="1:7" x14ac:dyDescent="0.25">
      <c r="A151" s="189" t="s">
        <v>434</v>
      </c>
      <c r="B151" s="178">
        <v>1</v>
      </c>
      <c r="F151" s="174"/>
      <c r="G151" s="174"/>
    </row>
    <row r="152" spans="1:7" x14ac:dyDescent="0.25">
      <c r="A152" s="189" t="s">
        <v>435</v>
      </c>
      <c r="B152" s="178">
        <v>1</v>
      </c>
      <c r="F152" s="174"/>
      <c r="G152" s="174"/>
    </row>
    <row r="153" spans="1:7" x14ac:dyDescent="0.25">
      <c r="A153" s="189" t="s">
        <v>436</v>
      </c>
      <c r="F153" s="174"/>
      <c r="G153" s="174"/>
    </row>
    <row r="154" spans="1:7" x14ac:dyDescent="0.25">
      <c r="A154" s="189" t="s">
        <v>437</v>
      </c>
      <c r="B154" s="178">
        <v>1</v>
      </c>
      <c r="F154" s="174"/>
      <c r="G154" s="174"/>
    </row>
    <row r="155" spans="1:7" x14ac:dyDescent="0.25">
      <c r="A155" s="189" t="s">
        <v>438</v>
      </c>
      <c r="B155" s="179" t="s">
        <v>80</v>
      </c>
      <c r="F155" s="174"/>
      <c r="G155" s="174"/>
    </row>
    <row r="156" spans="1:7" x14ac:dyDescent="0.25">
      <c r="A156" s="189" t="s">
        <v>439</v>
      </c>
      <c r="F156" s="174"/>
      <c r="G156" s="174"/>
    </row>
    <row r="157" spans="1:7" x14ac:dyDescent="0.25">
      <c r="A157" s="189" t="s">
        <v>440</v>
      </c>
      <c r="B157" s="178">
        <v>1</v>
      </c>
      <c r="F157" s="174"/>
      <c r="G157" s="174"/>
    </row>
    <row r="158" spans="1:7" x14ac:dyDescent="0.25">
      <c r="A158" s="189" t="s">
        <v>441</v>
      </c>
      <c r="F158" s="174"/>
      <c r="G158" s="174"/>
    </row>
    <row r="159" spans="1:7" x14ac:dyDescent="0.25">
      <c r="A159" s="189" t="s">
        <v>442</v>
      </c>
      <c r="F159" s="174"/>
      <c r="G159" s="174"/>
    </row>
    <row r="160" spans="1:7" x14ac:dyDescent="0.25">
      <c r="A160" s="189" t="s">
        <v>443</v>
      </c>
      <c r="F160" s="174"/>
      <c r="G160" s="174"/>
    </row>
    <row r="161" spans="1:7" x14ac:dyDescent="0.25">
      <c r="A161" s="189" t="s">
        <v>444</v>
      </c>
      <c r="F161" s="174"/>
      <c r="G161" s="174"/>
    </row>
    <row r="162" spans="1:7" x14ac:dyDescent="0.25">
      <c r="A162" s="189" t="s">
        <v>445</v>
      </c>
      <c r="F162" s="174"/>
      <c r="G162" s="174"/>
    </row>
    <row r="163" spans="1:7" x14ac:dyDescent="0.25">
      <c r="A163" s="189" t="s">
        <v>446</v>
      </c>
      <c r="B163" s="179" t="s">
        <v>80</v>
      </c>
      <c r="F163" s="174"/>
      <c r="G163" s="174"/>
    </row>
    <row r="164" spans="1:7" x14ac:dyDescent="0.25">
      <c r="A164" s="189" t="s">
        <v>447</v>
      </c>
      <c r="F164" s="174"/>
      <c r="G164" s="174"/>
    </row>
    <row r="165" spans="1:7" x14ac:dyDescent="0.25">
      <c r="A165" s="189" t="s">
        <v>448</v>
      </c>
      <c r="F165" s="174"/>
      <c r="G165" s="174"/>
    </row>
    <row r="166" spans="1:7" x14ac:dyDescent="0.25">
      <c r="A166" s="189" t="s">
        <v>449</v>
      </c>
      <c r="F166" s="174"/>
      <c r="G166" s="174"/>
    </row>
    <row r="167" spans="1:7" x14ac:dyDescent="0.25">
      <c r="A167" s="189" t="s">
        <v>450</v>
      </c>
      <c r="B167" s="178">
        <v>1</v>
      </c>
      <c r="F167" s="174"/>
      <c r="G167" s="174"/>
    </row>
    <row r="168" spans="1:7" x14ac:dyDescent="0.25">
      <c r="A168" s="189" t="s">
        <v>451</v>
      </c>
      <c r="B168" s="178">
        <v>1</v>
      </c>
      <c r="F168" s="174"/>
      <c r="G168" s="174"/>
    </row>
    <row r="169" spans="1:7" x14ac:dyDescent="0.25">
      <c r="A169" s="189" t="s">
        <v>452</v>
      </c>
      <c r="F169" s="174"/>
      <c r="G169" s="174"/>
    </row>
    <row r="170" spans="1:7" x14ac:dyDescent="0.25">
      <c r="A170" s="189" t="s">
        <v>453</v>
      </c>
      <c r="F170" s="174"/>
      <c r="G170" s="174"/>
    </row>
    <row r="171" spans="1:7" x14ac:dyDescent="0.25">
      <c r="A171" s="189" t="s">
        <v>454</v>
      </c>
      <c r="F171" s="174"/>
      <c r="G171" s="174"/>
    </row>
    <row r="172" spans="1:7" x14ac:dyDescent="0.25">
      <c r="A172" s="189" t="s">
        <v>455</v>
      </c>
      <c r="B172" s="179" t="s">
        <v>80</v>
      </c>
      <c r="F172" s="174"/>
      <c r="G172" s="174"/>
    </row>
    <row r="173" spans="1:7" x14ac:dyDescent="0.25">
      <c r="F173" s="174"/>
      <c r="G173" s="174"/>
    </row>
    <row r="174" spans="1:7" x14ac:dyDescent="0.25">
      <c r="A174" s="226" t="s">
        <v>456</v>
      </c>
      <c r="F174" s="174"/>
      <c r="G174" s="174"/>
    </row>
    <row r="175" spans="1:7" x14ac:dyDescent="0.25">
      <c r="A175" s="174" t="s">
        <v>457</v>
      </c>
      <c r="F175" s="174"/>
      <c r="G175" s="174"/>
    </row>
    <row r="176" spans="1:7" x14ac:dyDescent="0.25">
      <c r="A176" s="189" t="s">
        <v>458</v>
      </c>
      <c r="B176" s="179" t="s">
        <v>459</v>
      </c>
      <c r="F176" s="174"/>
      <c r="G176" s="174"/>
    </row>
    <row r="177" spans="1:7" x14ac:dyDescent="0.25">
      <c r="A177" s="174" t="s">
        <v>460</v>
      </c>
      <c r="F177" s="174"/>
      <c r="G177" s="174"/>
    </row>
    <row r="178" spans="1:7" x14ac:dyDescent="0.25">
      <c r="A178" s="189" t="s">
        <v>461</v>
      </c>
      <c r="F178" s="174"/>
      <c r="G178" s="174"/>
    </row>
    <row r="179" spans="1:7" x14ac:dyDescent="0.25">
      <c r="A179" s="174" t="s">
        <v>462</v>
      </c>
      <c r="B179" s="174"/>
      <c r="F179" s="174"/>
      <c r="G179" s="174"/>
    </row>
    <row r="180" spans="1:7" x14ac:dyDescent="0.25">
      <c r="A180" s="174" t="s">
        <v>463</v>
      </c>
      <c r="F180" s="174"/>
      <c r="G180" s="174"/>
    </row>
    <row r="181" spans="1:7" x14ac:dyDescent="0.25">
      <c r="A181" s="174" t="s">
        <v>464</v>
      </c>
      <c r="B181" s="227" t="s">
        <v>465</v>
      </c>
      <c r="F181" s="174"/>
      <c r="G181" s="174"/>
    </row>
    <row r="182" spans="1:7" x14ac:dyDescent="0.25">
      <c r="A182" s="189" t="s">
        <v>466</v>
      </c>
      <c r="B182" s="227" t="s">
        <v>467</v>
      </c>
      <c r="F182" s="174"/>
      <c r="G182" s="174"/>
    </row>
    <row r="183" spans="1:7" x14ac:dyDescent="0.25">
      <c r="A183" s="174" t="s">
        <v>468</v>
      </c>
      <c r="B183" s="189"/>
      <c r="F183" s="174"/>
      <c r="G183" s="174"/>
    </row>
    <row r="184" spans="1:7" x14ac:dyDescent="0.25">
      <c r="A184" s="174" t="s">
        <v>469</v>
      </c>
      <c r="F184" s="174"/>
      <c r="G184" s="174"/>
    </row>
    <row r="185" spans="1:7" x14ac:dyDescent="0.25">
      <c r="A185" s="174" t="s">
        <v>470</v>
      </c>
    </row>
    <row r="186" spans="1:7" x14ac:dyDescent="0.25">
      <c r="A186" s="174" t="s">
        <v>471</v>
      </c>
      <c r="F186" s="174"/>
      <c r="G186" s="174"/>
    </row>
    <row r="187" spans="1:7" x14ac:dyDescent="0.25">
      <c r="A187" s="174" t="s">
        <v>472</v>
      </c>
      <c r="F187" s="174"/>
      <c r="G187" s="174"/>
    </row>
    <row r="188" spans="1:7" x14ac:dyDescent="0.25">
      <c r="A188" s="174" t="s">
        <v>473</v>
      </c>
      <c r="F188" s="174"/>
      <c r="G188" s="174"/>
    </row>
    <row r="189" spans="1:7" x14ac:dyDescent="0.25">
      <c r="A189" s="174" t="s">
        <v>474</v>
      </c>
      <c r="F189" s="174"/>
      <c r="G189" s="174"/>
    </row>
    <row r="190" spans="1:7" x14ac:dyDescent="0.25">
      <c r="A190" s="174" t="s">
        <v>475</v>
      </c>
      <c r="B190" s="189"/>
    </row>
    <row r="191" spans="1:7" x14ac:dyDescent="0.25">
      <c r="A191" s="174" t="s">
        <v>476</v>
      </c>
      <c r="F191" s="174"/>
      <c r="G191" s="174"/>
    </row>
    <row r="192" spans="1:7" x14ac:dyDescent="0.25">
      <c r="A192" s="174" t="s">
        <v>477</v>
      </c>
      <c r="C192" s="189" t="s">
        <v>478</v>
      </c>
      <c r="F192" s="174"/>
      <c r="G192" s="174"/>
    </row>
    <row r="193" spans="1:7" x14ac:dyDescent="0.25">
      <c r="A193" s="174" t="s">
        <v>479</v>
      </c>
      <c r="C193" s="189"/>
      <c r="F193" s="174"/>
      <c r="G193" s="174"/>
    </row>
    <row r="194" spans="1:7" x14ac:dyDescent="0.25">
      <c r="A194" s="174" t="s">
        <v>480</v>
      </c>
      <c r="B194" s="174" t="s">
        <v>481</v>
      </c>
      <c r="F194" s="174"/>
      <c r="G194" s="174"/>
    </row>
    <row r="195" spans="1:7" x14ac:dyDescent="0.25">
      <c r="A195" s="174" t="s">
        <v>482</v>
      </c>
      <c r="F195" s="174"/>
      <c r="G195" s="174"/>
    </row>
    <row r="196" spans="1:7" x14ac:dyDescent="0.25">
      <c r="A196" s="174" t="s">
        <v>483</v>
      </c>
      <c r="F196" s="174"/>
      <c r="G196" s="174"/>
    </row>
    <row r="197" spans="1:7" x14ac:dyDescent="0.25">
      <c r="A197" s="174" t="s">
        <v>484</v>
      </c>
    </row>
    <row r="198" spans="1:7" x14ac:dyDescent="0.25">
      <c r="A198" s="174" t="s">
        <v>485</v>
      </c>
      <c r="B198" s="189"/>
      <c r="F198" s="174"/>
      <c r="G198" s="174"/>
    </row>
    <row r="199" spans="1:7" x14ac:dyDescent="0.25">
      <c r="A199" s="174" t="s">
        <v>486</v>
      </c>
      <c r="B199" s="189"/>
      <c r="F199" s="174"/>
      <c r="G199" s="174"/>
    </row>
    <row r="200" spans="1:7" x14ac:dyDescent="0.25">
      <c r="A200" s="174" t="s">
        <v>487</v>
      </c>
      <c r="B200" s="189"/>
      <c r="F200" s="174"/>
      <c r="G200" s="174"/>
    </row>
    <row r="201" spans="1:7" x14ac:dyDescent="0.25">
      <c r="A201" s="174" t="s">
        <v>488</v>
      </c>
      <c r="F201" s="174"/>
      <c r="G201" s="174"/>
    </row>
    <row r="202" spans="1:7" x14ac:dyDescent="0.25">
      <c r="F202" s="174"/>
      <c r="G202" s="174"/>
    </row>
    <row r="203" spans="1:7" x14ac:dyDescent="0.25">
      <c r="A203" s="226" t="s">
        <v>489</v>
      </c>
      <c r="E203" s="227"/>
      <c r="F203" s="174"/>
      <c r="G203" s="174"/>
    </row>
    <row r="204" spans="1:7" x14ac:dyDescent="0.25">
      <c r="A204" s="189" t="s">
        <v>490</v>
      </c>
      <c r="E204" s="228"/>
      <c r="F204" s="174"/>
      <c r="G204" s="174"/>
    </row>
    <row r="205" spans="1:7" x14ac:dyDescent="0.25">
      <c r="A205" s="189" t="s">
        <v>491</v>
      </c>
      <c r="E205" s="228"/>
      <c r="F205" s="174"/>
      <c r="G205" s="174"/>
    </row>
    <row r="206" spans="1:7" x14ac:dyDescent="0.25">
      <c r="A206" s="189" t="s">
        <v>492</v>
      </c>
      <c r="E206" s="228"/>
      <c r="F206" s="174"/>
      <c r="G206" s="174"/>
    </row>
    <row r="207" spans="1:7" x14ac:dyDescent="0.25">
      <c r="A207" s="189" t="s">
        <v>493</v>
      </c>
      <c r="E207" s="228"/>
      <c r="F207" s="174"/>
      <c r="G207" s="174"/>
    </row>
    <row r="208" spans="1:7" x14ac:dyDescent="0.25">
      <c r="A208" s="174" t="s">
        <v>494</v>
      </c>
      <c r="E208" s="228"/>
      <c r="F208" s="174"/>
      <c r="G208" s="174"/>
    </row>
    <row r="209" spans="1:7" x14ac:dyDescent="0.25">
      <c r="D209" s="227"/>
      <c r="E209" s="228"/>
      <c r="F209" s="174"/>
      <c r="G209" s="174"/>
    </row>
    <row r="210" spans="1:7" x14ac:dyDescent="0.25">
      <c r="A210" s="225" t="s">
        <v>495</v>
      </c>
      <c r="D210" s="227"/>
      <c r="E210" s="227"/>
      <c r="F210" s="174"/>
      <c r="G210" s="174"/>
    </row>
    <row r="211" spans="1:7" x14ac:dyDescent="0.25">
      <c r="A211" s="189" t="s">
        <v>496</v>
      </c>
      <c r="D211" s="227"/>
      <c r="E211" s="228"/>
    </row>
    <row r="212" spans="1:7" x14ac:dyDescent="0.25">
      <c r="A212" s="189" t="s">
        <v>497</v>
      </c>
      <c r="D212" s="227"/>
      <c r="E212" s="228"/>
      <c r="F212" s="174"/>
      <c r="G212" s="174"/>
    </row>
    <row r="213" spans="1:7" x14ac:dyDescent="0.25">
      <c r="A213" s="189" t="s">
        <v>498</v>
      </c>
      <c r="D213" s="227"/>
      <c r="E213" s="228"/>
      <c r="F213" s="174"/>
      <c r="G213" s="174"/>
    </row>
    <row r="214" spans="1:7" x14ac:dyDescent="0.25">
      <c r="F214" s="174"/>
      <c r="G214" s="174"/>
    </row>
    <row r="215" spans="1:7" x14ac:dyDescent="0.25">
      <c r="A215" s="226" t="s">
        <v>499</v>
      </c>
      <c r="F215" s="174"/>
      <c r="G215" s="174"/>
    </row>
    <row r="216" spans="1:7" x14ac:dyDescent="0.25">
      <c r="A216" s="189" t="s">
        <v>500</v>
      </c>
      <c r="F216" s="174"/>
      <c r="G216" s="174"/>
    </row>
    <row r="217" spans="1:7" x14ac:dyDescent="0.25">
      <c r="A217" s="189" t="s">
        <v>501</v>
      </c>
      <c r="F217" s="174"/>
      <c r="G217" s="174"/>
    </row>
    <row r="218" spans="1:7" x14ac:dyDescent="0.25">
      <c r="A218" s="189" t="s">
        <v>502</v>
      </c>
    </row>
    <row r="219" spans="1:7" x14ac:dyDescent="0.25">
      <c r="A219" s="189" t="s">
        <v>503</v>
      </c>
    </row>
    <row r="220" spans="1:7" x14ac:dyDescent="0.25">
      <c r="A220" s="189" t="s">
        <v>504</v>
      </c>
    </row>
    <row r="221" spans="1:7" x14ac:dyDescent="0.25">
      <c r="A221" s="189" t="s">
        <v>505</v>
      </c>
    </row>
    <row r="222" spans="1:7" x14ac:dyDescent="0.25">
      <c r="A222" s="189" t="s">
        <v>506</v>
      </c>
    </row>
    <row r="223" spans="1:7" x14ac:dyDescent="0.25">
      <c r="A223" s="189" t="s">
        <v>507</v>
      </c>
    </row>
    <row r="224" spans="1:7" x14ac:dyDescent="0.25">
      <c r="A224" s="189" t="s">
        <v>508</v>
      </c>
    </row>
    <row r="225" spans="1:7" ht="15.75" thickBot="1" x14ac:dyDescent="0.3"/>
    <row r="226" spans="1:7" x14ac:dyDescent="0.25">
      <c r="A226" s="229" t="s">
        <v>509</v>
      </c>
      <c r="B226" s="230"/>
      <c r="C226" s="231" t="s">
        <v>510</v>
      </c>
      <c r="D226" s="232" t="s">
        <v>511</v>
      </c>
      <c r="E226" s="233"/>
      <c r="F226" s="234"/>
      <c r="G226" s="174"/>
    </row>
    <row r="227" spans="1:7" x14ac:dyDescent="0.25">
      <c r="A227" s="235" t="s">
        <v>512</v>
      </c>
      <c r="B227" s="236" t="s">
        <v>513</v>
      </c>
      <c r="C227" s="237" t="s">
        <v>514</v>
      </c>
      <c r="D227" s="238" t="s">
        <v>515</v>
      </c>
      <c r="E227" s="238"/>
      <c r="F227" s="239"/>
      <c r="G227" s="174"/>
    </row>
    <row r="228" spans="1:7" x14ac:dyDescent="0.25">
      <c r="A228" s="235" t="s">
        <v>516</v>
      </c>
      <c r="B228" s="236" t="s">
        <v>513</v>
      </c>
      <c r="C228" s="237" t="s">
        <v>517</v>
      </c>
      <c r="D228" s="238" t="s">
        <v>518</v>
      </c>
      <c r="E228" s="238"/>
      <c r="F228" s="239"/>
      <c r="G228" s="174"/>
    </row>
    <row r="229" spans="1:7" x14ac:dyDescent="0.25">
      <c r="A229" s="235" t="s">
        <v>519</v>
      </c>
      <c r="B229" s="236" t="s">
        <v>513</v>
      </c>
      <c r="C229" s="237" t="s">
        <v>517</v>
      </c>
      <c r="D229" s="238" t="s">
        <v>520</v>
      </c>
      <c r="E229" s="238"/>
      <c r="F229" s="239"/>
      <c r="G229" s="174"/>
    </row>
    <row r="230" spans="1:7" x14ac:dyDescent="0.25">
      <c r="A230" s="235" t="s">
        <v>521</v>
      </c>
      <c r="B230" s="240" t="s">
        <v>513</v>
      </c>
      <c r="C230" s="237" t="s">
        <v>517</v>
      </c>
      <c r="D230" s="238" t="s">
        <v>522</v>
      </c>
      <c r="E230" s="238"/>
      <c r="F230" s="239"/>
      <c r="G230" s="174"/>
    </row>
    <row r="231" spans="1:7" x14ac:dyDescent="0.25">
      <c r="A231" s="235" t="s">
        <v>523</v>
      </c>
      <c r="B231" s="236" t="s">
        <v>513</v>
      </c>
      <c r="C231" s="237" t="s">
        <v>524</v>
      </c>
      <c r="D231" s="238" t="s">
        <v>525</v>
      </c>
      <c r="E231" s="238"/>
      <c r="F231" s="239"/>
      <c r="G231" s="174"/>
    </row>
    <row r="232" spans="1:7" x14ac:dyDescent="0.25">
      <c r="A232" s="235" t="s">
        <v>526</v>
      </c>
      <c r="B232" s="236" t="s">
        <v>513</v>
      </c>
      <c r="C232" s="237" t="s">
        <v>527</v>
      </c>
      <c r="D232" s="238" t="s">
        <v>528</v>
      </c>
      <c r="E232" s="238"/>
      <c r="F232" s="239"/>
      <c r="G232" s="174"/>
    </row>
    <row r="233" spans="1:7" x14ac:dyDescent="0.25">
      <c r="A233" s="235" t="s">
        <v>529</v>
      </c>
      <c r="B233" s="236" t="s">
        <v>513</v>
      </c>
      <c r="C233" s="237" t="s">
        <v>530</v>
      </c>
      <c r="D233" s="238" t="s">
        <v>531</v>
      </c>
      <c r="E233" s="238"/>
      <c r="F233" s="239"/>
      <c r="G233" s="174"/>
    </row>
    <row r="234" spans="1:7" x14ac:dyDescent="0.25">
      <c r="A234" s="235" t="s">
        <v>524</v>
      </c>
      <c r="B234" s="236" t="s">
        <v>513</v>
      </c>
      <c r="C234" s="237" t="s">
        <v>532</v>
      </c>
      <c r="D234" s="238" t="s">
        <v>533</v>
      </c>
      <c r="E234" s="238"/>
      <c r="F234" s="239"/>
      <c r="G234" s="174"/>
    </row>
    <row r="235" spans="1:7" x14ac:dyDescent="0.25">
      <c r="A235" s="235" t="s">
        <v>534</v>
      </c>
      <c r="B235" s="236" t="s">
        <v>513</v>
      </c>
      <c r="C235" s="237" t="s">
        <v>532</v>
      </c>
      <c r="D235" s="238" t="s">
        <v>535</v>
      </c>
      <c r="E235" s="238"/>
      <c r="F235" s="239"/>
      <c r="G235" s="174"/>
    </row>
    <row r="236" spans="1:7" x14ac:dyDescent="0.25">
      <c r="A236" s="235" t="s">
        <v>536</v>
      </c>
      <c r="B236" s="236" t="s">
        <v>513</v>
      </c>
      <c r="C236" s="237" t="s">
        <v>532</v>
      </c>
      <c r="D236" s="238" t="s">
        <v>537</v>
      </c>
      <c r="E236" s="238"/>
      <c r="F236" s="239"/>
      <c r="G236" s="174"/>
    </row>
    <row r="237" spans="1:7" x14ac:dyDescent="0.25">
      <c r="A237" s="235" t="s">
        <v>538</v>
      </c>
      <c r="B237" s="236" t="s">
        <v>513</v>
      </c>
      <c r="C237" s="237" t="s">
        <v>519</v>
      </c>
      <c r="D237" s="240" t="s">
        <v>539</v>
      </c>
      <c r="E237" s="238"/>
      <c r="F237" s="239"/>
      <c r="G237" s="174"/>
    </row>
    <row r="238" spans="1:7" x14ac:dyDescent="0.25">
      <c r="A238" s="235" t="s">
        <v>540</v>
      </c>
      <c r="B238" s="236" t="s">
        <v>513</v>
      </c>
      <c r="C238" s="237" t="s">
        <v>519</v>
      </c>
      <c r="D238" s="238" t="s">
        <v>541</v>
      </c>
      <c r="E238" s="238"/>
      <c r="F238" s="239"/>
      <c r="G238" s="174"/>
    </row>
    <row r="239" spans="1:7" x14ac:dyDescent="0.25">
      <c r="A239" s="235" t="s">
        <v>542</v>
      </c>
      <c r="B239" s="236" t="s">
        <v>543</v>
      </c>
      <c r="C239" s="237" t="s">
        <v>544</v>
      </c>
      <c r="D239" s="238" t="s">
        <v>545</v>
      </c>
      <c r="E239" s="238"/>
      <c r="F239" s="239"/>
      <c r="G239" s="174"/>
    </row>
    <row r="240" spans="1:7" x14ac:dyDescent="0.25">
      <c r="A240" s="235" t="s">
        <v>546</v>
      </c>
      <c r="B240" s="236" t="s">
        <v>543</v>
      </c>
      <c r="C240" s="237" t="s">
        <v>521</v>
      </c>
      <c r="D240" s="238" t="s">
        <v>547</v>
      </c>
      <c r="E240" s="238"/>
      <c r="F240" s="239"/>
      <c r="G240" s="174"/>
    </row>
    <row r="241" spans="1:7" x14ac:dyDescent="0.25">
      <c r="A241" s="235" t="s">
        <v>548</v>
      </c>
      <c r="B241" s="236" t="s">
        <v>549</v>
      </c>
      <c r="C241" s="237" t="s">
        <v>529</v>
      </c>
      <c r="D241" s="238" t="s">
        <v>550</v>
      </c>
      <c r="E241" s="238"/>
      <c r="F241" s="239"/>
      <c r="G241" s="174"/>
    </row>
    <row r="242" spans="1:7" x14ac:dyDescent="0.25">
      <c r="A242" s="235" t="s">
        <v>544</v>
      </c>
      <c r="B242" s="240" t="s">
        <v>549</v>
      </c>
      <c r="C242" s="237" t="s">
        <v>546</v>
      </c>
      <c r="D242" s="238" t="s">
        <v>551</v>
      </c>
      <c r="E242" s="238"/>
      <c r="F242" s="239"/>
      <c r="G242" s="174"/>
    </row>
    <row r="243" spans="1:7" x14ac:dyDescent="0.25">
      <c r="A243" s="235" t="s">
        <v>530</v>
      </c>
      <c r="B243" s="240" t="s">
        <v>549</v>
      </c>
      <c r="C243" s="237" t="s">
        <v>546</v>
      </c>
      <c r="D243" s="238" t="s">
        <v>552</v>
      </c>
      <c r="E243" s="238"/>
      <c r="F243" s="239"/>
      <c r="G243" s="174"/>
    </row>
    <row r="244" spans="1:7" x14ac:dyDescent="0.25">
      <c r="A244" s="235" t="s">
        <v>553</v>
      </c>
      <c r="B244" s="240" t="s">
        <v>549</v>
      </c>
      <c r="C244" s="237" t="s">
        <v>526</v>
      </c>
      <c r="D244" s="238" t="s">
        <v>554</v>
      </c>
      <c r="E244" s="238"/>
      <c r="F244" s="239"/>
      <c r="G244" s="174"/>
    </row>
    <row r="245" spans="1:7" x14ac:dyDescent="0.25">
      <c r="A245" s="235" t="s">
        <v>555</v>
      </c>
      <c r="B245" s="236" t="s">
        <v>549</v>
      </c>
      <c r="C245" s="237" t="s">
        <v>555</v>
      </c>
      <c r="D245" s="238" t="s">
        <v>556</v>
      </c>
      <c r="E245" s="238"/>
      <c r="F245" s="239"/>
      <c r="G245" s="174"/>
    </row>
    <row r="246" spans="1:7" x14ac:dyDescent="0.25">
      <c r="A246" s="235" t="s">
        <v>557</v>
      </c>
      <c r="B246" s="236" t="s">
        <v>549</v>
      </c>
      <c r="C246" s="237" t="s">
        <v>516</v>
      </c>
      <c r="D246" s="238" t="s">
        <v>558</v>
      </c>
      <c r="E246" s="238"/>
      <c r="F246" s="239"/>
      <c r="G246" s="174"/>
    </row>
    <row r="247" spans="1:7" x14ac:dyDescent="0.25">
      <c r="A247" s="235" t="s">
        <v>559</v>
      </c>
      <c r="B247" s="236" t="s">
        <v>549</v>
      </c>
      <c r="C247" s="237" t="s">
        <v>521</v>
      </c>
      <c r="D247" s="238" t="s">
        <v>560</v>
      </c>
      <c r="E247" s="238"/>
      <c r="F247" s="239"/>
      <c r="G247" s="174"/>
    </row>
    <row r="248" spans="1:7" x14ac:dyDescent="0.25">
      <c r="A248" s="235" t="s">
        <v>561</v>
      </c>
      <c r="B248" s="240" t="s">
        <v>549</v>
      </c>
      <c r="C248" s="237" t="s">
        <v>523</v>
      </c>
      <c r="D248" s="238" t="s">
        <v>562</v>
      </c>
      <c r="E248" s="238"/>
      <c r="F248" s="239"/>
      <c r="G248" s="174"/>
    </row>
    <row r="249" spans="1:7" x14ac:dyDescent="0.25">
      <c r="A249" s="235" t="s">
        <v>563</v>
      </c>
      <c r="B249" s="236" t="s">
        <v>549</v>
      </c>
      <c r="C249" s="237" t="s">
        <v>523</v>
      </c>
      <c r="D249" s="238" t="s">
        <v>564</v>
      </c>
      <c r="E249" s="238"/>
      <c r="F249" s="239"/>
      <c r="G249" s="174"/>
    </row>
    <row r="250" spans="1:7" x14ac:dyDescent="0.25">
      <c r="A250" s="235" t="s">
        <v>565</v>
      </c>
      <c r="B250" s="236" t="s">
        <v>566</v>
      </c>
      <c r="C250" s="237" t="s">
        <v>512</v>
      </c>
      <c r="D250" s="238" t="s">
        <v>567</v>
      </c>
      <c r="E250" s="238"/>
      <c r="F250" s="239"/>
      <c r="G250" s="174"/>
    </row>
    <row r="251" spans="1:7" x14ac:dyDescent="0.25">
      <c r="A251" s="235" t="s">
        <v>514</v>
      </c>
      <c r="B251" s="236" t="s">
        <v>566</v>
      </c>
      <c r="C251" s="237" t="s">
        <v>512</v>
      </c>
      <c r="D251" s="238" t="s">
        <v>568</v>
      </c>
      <c r="E251" s="238"/>
      <c r="F251" s="239"/>
      <c r="G251" s="174"/>
    </row>
    <row r="252" spans="1:7" x14ac:dyDescent="0.25">
      <c r="A252" s="235" t="s">
        <v>569</v>
      </c>
      <c r="B252" s="236" t="s">
        <v>566</v>
      </c>
      <c r="C252" s="237" t="s">
        <v>512</v>
      </c>
      <c r="D252" s="238" t="s">
        <v>570</v>
      </c>
      <c r="E252" s="238"/>
      <c r="F252" s="239"/>
      <c r="G252" s="174"/>
    </row>
    <row r="253" spans="1:7" x14ac:dyDescent="0.25">
      <c r="A253" s="235" t="s">
        <v>571</v>
      </c>
      <c r="B253" s="236" t="s">
        <v>566</v>
      </c>
      <c r="C253" s="237" t="s">
        <v>534</v>
      </c>
      <c r="D253" s="238" t="s">
        <v>572</v>
      </c>
      <c r="E253" s="238"/>
      <c r="F253" s="239"/>
      <c r="G253" s="174"/>
    </row>
    <row r="254" spans="1:7" x14ac:dyDescent="0.25">
      <c r="A254" s="235" t="s">
        <v>527</v>
      </c>
      <c r="B254" s="236" t="s">
        <v>566</v>
      </c>
      <c r="C254" s="237" t="s">
        <v>538</v>
      </c>
      <c r="D254" s="238" t="s">
        <v>573</v>
      </c>
      <c r="E254" s="238"/>
      <c r="F254" s="239"/>
      <c r="G254" s="174"/>
    </row>
    <row r="255" spans="1:7" x14ac:dyDescent="0.25">
      <c r="A255" s="235" t="s">
        <v>574</v>
      </c>
      <c r="B255" s="236" t="s">
        <v>566</v>
      </c>
      <c r="C255" s="237" t="s">
        <v>538</v>
      </c>
      <c r="D255" s="238" t="s">
        <v>575</v>
      </c>
      <c r="E255" s="238"/>
      <c r="F255" s="239"/>
      <c r="G255" s="174"/>
    </row>
    <row r="256" spans="1:7" x14ac:dyDescent="0.25">
      <c r="A256" s="235" t="s">
        <v>576</v>
      </c>
      <c r="B256" s="236" t="s">
        <v>566</v>
      </c>
      <c r="C256" s="237" t="s">
        <v>538</v>
      </c>
      <c r="D256" s="238" t="s">
        <v>577</v>
      </c>
      <c r="E256" s="238"/>
      <c r="F256" s="239"/>
      <c r="G256" s="174"/>
    </row>
    <row r="257" spans="1:7" x14ac:dyDescent="0.25">
      <c r="A257" s="235" t="s">
        <v>578</v>
      </c>
      <c r="B257" s="236" t="s">
        <v>578</v>
      </c>
      <c r="C257" s="237" t="s">
        <v>542</v>
      </c>
      <c r="D257" s="238" t="s">
        <v>579</v>
      </c>
      <c r="E257" s="238"/>
      <c r="F257" s="239"/>
      <c r="G257" s="174"/>
    </row>
    <row r="258" spans="1:7" x14ac:dyDescent="0.25">
      <c r="A258" s="235" t="s">
        <v>517</v>
      </c>
      <c r="B258" s="236" t="s">
        <v>517</v>
      </c>
      <c r="C258" s="237" t="s">
        <v>542</v>
      </c>
      <c r="D258" s="238" t="s">
        <v>580</v>
      </c>
      <c r="E258" s="238"/>
      <c r="F258" s="239"/>
      <c r="G258" s="174"/>
    </row>
    <row r="259" spans="1:7" ht="15.75" thickBot="1" x14ac:dyDescent="0.3">
      <c r="A259" s="241" t="s">
        <v>532</v>
      </c>
      <c r="B259" s="242" t="s">
        <v>532</v>
      </c>
      <c r="C259" s="237" t="s">
        <v>542</v>
      </c>
      <c r="D259" s="238" t="s">
        <v>581</v>
      </c>
      <c r="E259" s="238"/>
      <c r="F259" s="239"/>
      <c r="G259" s="174"/>
    </row>
    <row r="260" spans="1:7" x14ac:dyDescent="0.25">
      <c r="C260" s="237" t="s">
        <v>516</v>
      </c>
      <c r="D260" s="238" t="s">
        <v>582</v>
      </c>
      <c r="E260" s="238"/>
      <c r="F260" s="239"/>
      <c r="G260" s="174"/>
    </row>
    <row r="261" spans="1:7" x14ac:dyDescent="0.25">
      <c r="C261" s="237" t="s">
        <v>516</v>
      </c>
      <c r="D261" s="238" t="s">
        <v>583</v>
      </c>
      <c r="E261" s="238"/>
      <c r="F261" s="239"/>
      <c r="G261" s="174"/>
    </row>
    <row r="262" spans="1:7" x14ac:dyDescent="0.25">
      <c r="C262" s="237" t="s">
        <v>516</v>
      </c>
      <c r="D262" s="238" t="s">
        <v>584</v>
      </c>
      <c r="E262" s="238"/>
      <c r="F262" s="239"/>
      <c r="G262" s="174"/>
    </row>
    <row r="263" spans="1:7" x14ac:dyDescent="0.25">
      <c r="C263" s="237" t="s">
        <v>540</v>
      </c>
      <c r="D263" s="238" t="s">
        <v>585</v>
      </c>
      <c r="E263" s="238"/>
      <c r="F263" s="239"/>
      <c r="G263" s="174"/>
    </row>
    <row r="264" spans="1:7" x14ac:dyDescent="0.25">
      <c r="C264" s="237" t="s">
        <v>521</v>
      </c>
      <c r="D264" s="238" t="s">
        <v>586</v>
      </c>
      <c r="E264" s="238"/>
      <c r="F264" s="239"/>
      <c r="G264" s="174"/>
    </row>
    <row r="265" spans="1:7" x14ac:dyDescent="0.25">
      <c r="C265" s="237" t="s">
        <v>536</v>
      </c>
      <c r="D265" s="238" t="s">
        <v>587</v>
      </c>
      <c r="E265" s="238"/>
      <c r="F265" s="239"/>
      <c r="G265" s="174"/>
    </row>
    <row r="266" spans="1:7" x14ac:dyDescent="0.25">
      <c r="C266" s="237" t="s">
        <v>544</v>
      </c>
      <c r="D266" s="238" t="s">
        <v>588</v>
      </c>
      <c r="E266" s="238"/>
      <c r="F266" s="239"/>
      <c r="G266" s="174"/>
    </row>
    <row r="267" spans="1:7" x14ac:dyDescent="0.25">
      <c r="C267" s="237" t="s">
        <v>517</v>
      </c>
      <c r="D267" s="238" t="s">
        <v>589</v>
      </c>
      <c r="E267" s="238"/>
      <c r="F267" s="239"/>
      <c r="G267" s="174"/>
    </row>
    <row r="268" spans="1:7" x14ac:dyDescent="0.25">
      <c r="C268" s="237" t="s">
        <v>517</v>
      </c>
      <c r="D268" s="238" t="s">
        <v>590</v>
      </c>
      <c r="E268" s="238"/>
      <c r="F268" s="239"/>
      <c r="G268" s="174"/>
    </row>
    <row r="269" spans="1:7" x14ac:dyDescent="0.25">
      <c r="B269" s="174"/>
      <c r="C269" s="237" t="s">
        <v>530</v>
      </c>
      <c r="D269" s="238" t="s">
        <v>591</v>
      </c>
      <c r="E269" s="238"/>
      <c r="F269" s="239"/>
      <c r="G269" s="174"/>
    </row>
    <row r="270" spans="1:7" x14ac:dyDescent="0.25">
      <c r="B270" s="174"/>
      <c r="C270" s="237" t="s">
        <v>530</v>
      </c>
      <c r="D270" s="238" t="s">
        <v>592</v>
      </c>
      <c r="E270" s="238"/>
      <c r="F270" s="239"/>
      <c r="G270" s="174"/>
    </row>
    <row r="271" spans="1:7" x14ac:dyDescent="0.25">
      <c r="B271" s="174"/>
      <c r="C271" s="237" t="s">
        <v>561</v>
      </c>
      <c r="D271" s="238" t="s">
        <v>593</v>
      </c>
      <c r="E271" s="238"/>
      <c r="F271" s="239"/>
      <c r="G271" s="174"/>
    </row>
    <row r="272" spans="1:7" x14ac:dyDescent="0.25">
      <c r="B272" s="174"/>
      <c r="C272" s="237" t="s">
        <v>559</v>
      </c>
      <c r="D272" s="238" t="s">
        <v>594</v>
      </c>
      <c r="E272" s="238"/>
      <c r="F272" s="239"/>
      <c r="G272" s="174"/>
    </row>
    <row r="273" spans="2:7" x14ac:dyDescent="0.25">
      <c r="B273" s="174"/>
      <c r="C273" s="237" t="s">
        <v>559</v>
      </c>
      <c r="D273" s="238" t="s">
        <v>595</v>
      </c>
      <c r="E273" s="238"/>
      <c r="F273" s="239"/>
      <c r="G273" s="174"/>
    </row>
    <row r="274" spans="2:7" x14ac:dyDescent="0.25">
      <c r="B274" s="174"/>
      <c r="C274" s="237" t="s">
        <v>559</v>
      </c>
      <c r="D274" s="238" t="s">
        <v>596</v>
      </c>
      <c r="E274" s="238"/>
      <c r="F274" s="239"/>
      <c r="G274" s="174"/>
    </row>
    <row r="275" spans="2:7" x14ac:dyDescent="0.25">
      <c r="B275" s="174"/>
      <c r="C275" s="237" t="s">
        <v>548</v>
      </c>
      <c r="D275" s="238" t="s">
        <v>597</v>
      </c>
      <c r="E275" s="238"/>
      <c r="F275" s="239"/>
      <c r="G275" s="174"/>
    </row>
    <row r="276" spans="2:7" x14ac:dyDescent="0.25">
      <c r="B276" s="174"/>
      <c r="C276" s="237" t="s">
        <v>548</v>
      </c>
      <c r="D276" s="238" t="s">
        <v>598</v>
      </c>
      <c r="E276" s="238"/>
      <c r="F276" s="239"/>
      <c r="G276" s="174"/>
    </row>
    <row r="277" spans="2:7" x14ac:dyDescent="0.25">
      <c r="B277" s="174"/>
      <c r="C277" s="237" t="s">
        <v>548</v>
      </c>
      <c r="D277" s="238" t="s">
        <v>599</v>
      </c>
      <c r="E277" s="238"/>
      <c r="F277" s="239"/>
      <c r="G277" s="174"/>
    </row>
    <row r="278" spans="2:7" x14ac:dyDescent="0.25">
      <c r="B278" s="174"/>
      <c r="C278" s="237" t="s">
        <v>553</v>
      </c>
      <c r="D278" s="238" t="s">
        <v>600</v>
      </c>
      <c r="E278" s="238"/>
      <c r="F278" s="239"/>
      <c r="G278" s="174"/>
    </row>
    <row r="279" spans="2:7" x14ac:dyDescent="0.25">
      <c r="B279" s="174"/>
      <c r="C279" s="237" t="s">
        <v>553</v>
      </c>
      <c r="D279" s="238" t="s">
        <v>601</v>
      </c>
      <c r="E279" s="238"/>
      <c r="F279" s="239"/>
      <c r="G279" s="174"/>
    </row>
    <row r="280" spans="2:7" x14ac:dyDescent="0.25">
      <c r="B280" s="174"/>
      <c r="C280" s="237" t="s">
        <v>553</v>
      </c>
      <c r="D280" s="238" t="s">
        <v>602</v>
      </c>
      <c r="E280" s="238"/>
      <c r="F280" s="239"/>
      <c r="G280" s="174"/>
    </row>
    <row r="281" spans="2:7" x14ac:dyDescent="0.25">
      <c r="B281" s="174"/>
      <c r="C281" s="237" t="s">
        <v>557</v>
      </c>
      <c r="D281" s="238" t="s">
        <v>603</v>
      </c>
      <c r="E281" s="238"/>
      <c r="F281" s="239"/>
      <c r="G281" s="174"/>
    </row>
    <row r="282" spans="2:7" x14ac:dyDescent="0.25">
      <c r="B282" s="174"/>
      <c r="C282" s="237" t="s">
        <v>557</v>
      </c>
      <c r="D282" s="238" t="s">
        <v>604</v>
      </c>
      <c r="E282" s="238"/>
      <c r="F282" s="239"/>
      <c r="G282" s="174"/>
    </row>
    <row r="283" spans="2:7" x14ac:dyDescent="0.25">
      <c r="B283" s="174"/>
      <c r="C283" s="237" t="s">
        <v>557</v>
      </c>
      <c r="D283" s="238" t="s">
        <v>605</v>
      </c>
      <c r="E283" s="238"/>
      <c r="F283" s="239"/>
      <c r="G283" s="174"/>
    </row>
    <row r="284" spans="2:7" x14ac:dyDescent="0.25">
      <c r="B284" s="174"/>
      <c r="C284" s="237" t="s">
        <v>574</v>
      </c>
      <c r="D284" s="238" t="s">
        <v>606</v>
      </c>
      <c r="E284" s="238"/>
      <c r="F284" s="239"/>
      <c r="G284" s="174"/>
    </row>
    <row r="285" spans="2:7" x14ac:dyDescent="0.25">
      <c r="B285" s="174"/>
      <c r="C285" s="237" t="s">
        <v>563</v>
      </c>
      <c r="D285" s="238" t="s">
        <v>607</v>
      </c>
      <c r="E285" s="238"/>
      <c r="F285" s="239"/>
      <c r="G285" s="174"/>
    </row>
    <row r="286" spans="2:7" x14ac:dyDescent="0.25">
      <c r="B286" s="174"/>
      <c r="C286" s="237" t="s">
        <v>563</v>
      </c>
      <c r="D286" s="238" t="s">
        <v>608</v>
      </c>
      <c r="E286" s="238"/>
      <c r="F286" s="239"/>
      <c r="G286" s="174"/>
    </row>
    <row r="287" spans="2:7" x14ac:dyDescent="0.25">
      <c r="B287" s="174"/>
      <c r="C287" s="237" t="s">
        <v>563</v>
      </c>
      <c r="D287" s="238" t="s">
        <v>609</v>
      </c>
      <c r="E287" s="238"/>
      <c r="F287" s="239"/>
      <c r="G287" s="174"/>
    </row>
    <row r="288" spans="2:7" x14ac:dyDescent="0.25">
      <c r="B288" s="174"/>
      <c r="C288" s="237" t="s">
        <v>563</v>
      </c>
      <c r="D288" s="238" t="s">
        <v>610</v>
      </c>
      <c r="E288" s="238"/>
      <c r="F288" s="239"/>
      <c r="G288" s="174"/>
    </row>
    <row r="289" spans="2:7" x14ac:dyDescent="0.25">
      <c r="B289" s="174"/>
      <c r="C289" s="237" t="s">
        <v>563</v>
      </c>
      <c r="D289" s="238" t="s">
        <v>611</v>
      </c>
      <c r="E289" s="238"/>
      <c r="F289" s="239"/>
      <c r="G289" s="174"/>
    </row>
    <row r="290" spans="2:7" x14ac:dyDescent="0.25">
      <c r="B290" s="174"/>
      <c r="C290" s="237" t="s">
        <v>563</v>
      </c>
      <c r="D290" s="238" t="s">
        <v>612</v>
      </c>
      <c r="E290" s="238"/>
      <c r="F290" s="239"/>
      <c r="G290" s="174"/>
    </row>
    <row r="291" spans="2:7" x14ac:dyDescent="0.25">
      <c r="B291" s="174"/>
      <c r="C291" s="237" t="s">
        <v>544</v>
      </c>
      <c r="D291" s="238" t="s">
        <v>613</v>
      </c>
      <c r="E291" s="238"/>
      <c r="F291" s="239"/>
      <c r="G291" s="174"/>
    </row>
    <row r="292" spans="2:7" x14ac:dyDescent="0.25">
      <c r="B292" s="174"/>
      <c r="C292" s="237" t="s">
        <v>544</v>
      </c>
      <c r="D292" s="238" t="s">
        <v>614</v>
      </c>
      <c r="E292" s="238"/>
      <c r="F292" s="239"/>
      <c r="G292" s="174"/>
    </row>
    <row r="293" spans="2:7" x14ac:dyDescent="0.25">
      <c r="B293" s="174"/>
      <c r="C293" s="237" t="s">
        <v>544</v>
      </c>
      <c r="D293" s="238" t="s">
        <v>615</v>
      </c>
      <c r="E293" s="238"/>
      <c r="F293" s="239"/>
      <c r="G293" s="174"/>
    </row>
    <row r="294" spans="2:7" x14ac:dyDescent="0.25">
      <c r="B294" s="174"/>
      <c r="C294" s="237" t="s">
        <v>527</v>
      </c>
      <c r="D294" s="238" t="s">
        <v>616</v>
      </c>
      <c r="E294" s="238"/>
      <c r="F294" s="239"/>
      <c r="G294" s="174"/>
    </row>
    <row r="295" spans="2:7" x14ac:dyDescent="0.25">
      <c r="B295" s="174"/>
      <c r="C295" s="237" t="s">
        <v>527</v>
      </c>
      <c r="D295" s="238" t="s">
        <v>617</v>
      </c>
      <c r="E295" s="238"/>
      <c r="F295" s="239"/>
      <c r="G295" s="174"/>
    </row>
    <row r="296" spans="2:7" x14ac:dyDescent="0.25">
      <c r="B296" s="174"/>
      <c r="C296" s="237" t="s">
        <v>527</v>
      </c>
      <c r="D296" s="238" t="s">
        <v>618</v>
      </c>
      <c r="E296" s="238"/>
      <c r="F296" s="239"/>
      <c r="G296" s="174"/>
    </row>
    <row r="297" spans="2:7" x14ac:dyDescent="0.25">
      <c r="B297" s="174"/>
      <c r="C297" s="237" t="s">
        <v>571</v>
      </c>
      <c r="D297" s="238" t="s">
        <v>619</v>
      </c>
      <c r="E297" s="238"/>
      <c r="F297" s="239"/>
      <c r="G297" s="174"/>
    </row>
    <row r="298" spans="2:7" x14ac:dyDescent="0.25">
      <c r="B298" s="174"/>
      <c r="C298" s="237" t="s">
        <v>571</v>
      </c>
      <c r="D298" s="238" t="s">
        <v>620</v>
      </c>
      <c r="E298" s="238"/>
      <c r="F298" s="239"/>
      <c r="G298" s="174"/>
    </row>
    <row r="299" spans="2:7" x14ac:dyDescent="0.25">
      <c r="B299" s="174"/>
      <c r="C299" s="237" t="s">
        <v>571</v>
      </c>
      <c r="D299" s="238" t="s">
        <v>621</v>
      </c>
      <c r="E299" s="238"/>
      <c r="F299" s="239"/>
      <c r="G299" s="174"/>
    </row>
    <row r="300" spans="2:7" x14ac:dyDescent="0.25">
      <c r="B300" s="174"/>
      <c r="C300" s="237" t="s">
        <v>565</v>
      </c>
      <c r="D300" s="240" t="s">
        <v>622</v>
      </c>
      <c r="E300" s="238"/>
      <c r="F300" s="239"/>
      <c r="G300" s="174"/>
    </row>
    <row r="301" spans="2:7" x14ac:dyDescent="0.25">
      <c r="B301" s="174"/>
      <c r="C301" s="237" t="s">
        <v>569</v>
      </c>
      <c r="D301" s="240" t="s">
        <v>623</v>
      </c>
      <c r="E301" s="238"/>
      <c r="F301" s="239"/>
      <c r="G301" s="174"/>
    </row>
    <row r="302" spans="2:7" ht="15.75" thickBot="1" x14ac:dyDescent="0.3">
      <c r="B302" s="174"/>
      <c r="C302" s="243" t="s">
        <v>576</v>
      </c>
      <c r="D302" s="244" t="s">
        <v>624</v>
      </c>
      <c r="E302" s="245"/>
      <c r="F302" s="246"/>
      <c r="G302" s="174"/>
    </row>
    <row r="303" spans="2:7" x14ac:dyDescent="0.25">
      <c r="B303" s="174"/>
      <c r="F303" s="174"/>
      <c r="G303" s="174"/>
    </row>
    <row r="304" spans="2:7" x14ac:dyDescent="0.25">
      <c r="B304" s="174"/>
      <c r="G304" s="174"/>
    </row>
    <row r="305" spans="1:7" x14ac:dyDescent="0.25">
      <c r="A305" s="189"/>
      <c r="B305" s="174"/>
      <c r="F305" s="174"/>
      <c r="G305" s="174"/>
    </row>
    <row r="306" spans="1:7" x14ac:dyDescent="0.25">
      <c r="B306" s="174"/>
      <c r="F306" s="174"/>
      <c r="G306" s="174"/>
    </row>
    <row r="307" spans="1:7" x14ac:dyDescent="0.25">
      <c r="A307" s="189"/>
      <c r="B307" s="174"/>
    </row>
    <row r="308" spans="1:7" x14ac:dyDescent="0.25">
      <c r="B308" s="174"/>
    </row>
    <row r="309" spans="1:7" x14ac:dyDescent="0.25">
      <c r="A309" s="189"/>
      <c r="B309" s="174"/>
    </row>
    <row r="310" spans="1:7" x14ac:dyDescent="0.25">
      <c r="A310" s="189"/>
      <c r="B310" s="174"/>
    </row>
    <row r="311" spans="1:7" x14ac:dyDescent="0.25">
      <c r="A311" s="189"/>
      <c r="B311" s="174"/>
    </row>
    <row r="312" spans="1:7" x14ac:dyDescent="0.25">
      <c r="A312" s="189"/>
      <c r="B312" s="174"/>
    </row>
    <row r="313" spans="1:7" x14ac:dyDescent="0.25">
      <c r="A313" s="189"/>
      <c r="B313" s="174"/>
    </row>
    <row r="314" spans="1:7" x14ac:dyDescent="0.25">
      <c r="A314" s="189"/>
      <c r="B314" s="174"/>
    </row>
  </sheetData>
  <autoFilter ref="A1:I1"/>
  <mergeCells count="2">
    <mergeCell ref="H53:K53"/>
    <mergeCell ref="M54:Q54"/>
  </mergeCells>
  <hyperlinks>
    <hyperlink ref="C27" r:id="rId1" display="https://eu1.salesforce.com/005D0000002RJFK?srPos=0&amp;srKp=005"/>
    <hyperlink ref="C38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1638"/>
  <sheetViews>
    <sheetView zoomScale="80" zoomScaleNormal="80" workbookViewId="0">
      <selection activeCell="H55" sqref="H55"/>
    </sheetView>
  </sheetViews>
  <sheetFormatPr defaultRowHeight="15" x14ac:dyDescent="0.25"/>
  <cols>
    <col min="1" max="1" width="11.5703125" style="247" customWidth="1"/>
    <col min="2" max="2" width="8.42578125" style="248" customWidth="1"/>
    <col min="3" max="3" width="87.85546875" style="1009" customWidth="1"/>
    <col min="4" max="4" width="6.5703125" style="228" customWidth="1"/>
    <col min="5" max="6" width="9.140625" style="228"/>
    <col min="7" max="7" width="10.5703125" style="228" bestFit="1" customWidth="1"/>
    <col min="8" max="16384" width="9.140625" style="228"/>
  </cols>
  <sheetData>
    <row r="1" spans="1:4" customFormat="1" ht="16.5" thickBot="1" x14ac:dyDescent="0.3">
      <c r="A1" s="750">
        <v>41578.019942129627</v>
      </c>
      <c r="B1" s="749"/>
      <c r="C1" s="1008" t="s">
        <v>625</v>
      </c>
      <c r="D1" s="751">
        <v>1638</v>
      </c>
    </row>
    <row r="2" spans="1:4" x14ac:dyDescent="0.25">
      <c r="A2" s="247">
        <v>41578</v>
      </c>
      <c r="B2" s="248">
        <v>1.9942129629629629E-2</v>
      </c>
      <c r="C2" s="1009" t="s">
        <v>1279</v>
      </c>
    </row>
    <row r="3" spans="1:4" ht="45" x14ac:dyDescent="0.25">
      <c r="A3" s="247">
        <v>41578</v>
      </c>
      <c r="B3" s="248">
        <v>2.3576388888888893E-2</v>
      </c>
      <c r="C3" s="1005" t="s">
        <v>1280</v>
      </c>
    </row>
    <row r="4" spans="1:4" x14ac:dyDescent="0.25">
      <c r="A4" s="247">
        <v>41578</v>
      </c>
      <c r="B4" s="248">
        <v>2.3576388888888893E-2</v>
      </c>
      <c r="C4" s="1009" t="s">
        <v>1278</v>
      </c>
    </row>
    <row r="5" spans="1:4" ht="45" x14ac:dyDescent="0.25">
      <c r="A5" s="247">
        <v>41578</v>
      </c>
      <c r="B5" s="248">
        <v>2.3715277777777776E-2</v>
      </c>
      <c r="C5" s="1005" t="s">
        <v>1281</v>
      </c>
    </row>
    <row r="6" spans="1:4" x14ac:dyDescent="0.25">
      <c r="A6" s="247">
        <v>41578</v>
      </c>
      <c r="B6" s="248">
        <v>2.3807870370370368E-2</v>
      </c>
      <c r="C6" s="1009" t="s">
        <v>1282</v>
      </c>
    </row>
    <row r="7" spans="1:4" x14ac:dyDescent="0.25">
      <c r="A7" s="247">
        <v>41578</v>
      </c>
      <c r="B7" s="248">
        <v>2.3912037037037034E-2</v>
      </c>
      <c r="C7" s="1009" t="s">
        <v>1283</v>
      </c>
    </row>
    <row r="8" spans="1:4" ht="45" x14ac:dyDescent="0.25">
      <c r="A8" s="247">
        <v>41578</v>
      </c>
      <c r="B8" s="248">
        <v>2.4340277777777777E-2</v>
      </c>
      <c r="C8" s="1005" t="s">
        <v>1284</v>
      </c>
    </row>
    <row r="9" spans="1:4" x14ac:dyDescent="0.25">
      <c r="A9" s="247">
        <v>41578</v>
      </c>
      <c r="B9" s="248">
        <v>2.4340277777777777E-2</v>
      </c>
      <c r="C9" s="1009" t="s">
        <v>1269</v>
      </c>
    </row>
    <row r="10" spans="1:4" ht="45" x14ac:dyDescent="0.25">
      <c r="A10" s="247">
        <v>41578</v>
      </c>
      <c r="B10" s="248">
        <v>2.4583333333333332E-2</v>
      </c>
      <c r="C10" s="1005" t="s">
        <v>1285</v>
      </c>
    </row>
    <row r="11" spans="1:4" x14ac:dyDescent="0.25">
      <c r="A11" s="247">
        <v>41578</v>
      </c>
      <c r="B11" s="248">
        <v>2.4687499999999998E-2</v>
      </c>
      <c r="C11" s="1009" t="s">
        <v>1286</v>
      </c>
    </row>
    <row r="12" spans="1:4" x14ac:dyDescent="0.25">
      <c r="A12" s="247">
        <v>41578</v>
      </c>
      <c r="B12" s="248">
        <v>2.4699074074074078E-2</v>
      </c>
      <c r="C12" s="1009" t="s">
        <v>1287</v>
      </c>
    </row>
    <row r="13" spans="1:4" x14ac:dyDescent="0.25">
      <c r="A13" s="247">
        <v>41578</v>
      </c>
      <c r="B13" s="248">
        <v>2.5266203703703704E-2</v>
      </c>
      <c r="C13" s="1009" t="s">
        <v>1262</v>
      </c>
    </row>
    <row r="14" spans="1:4" x14ac:dyDescent="0.25">
      <c r="A14" s="247">
        <v>41578</v>
      </c>
      <c r="B14" s="248">
        <v>2.5266203703703704E-2</v>
      </c>
      <c r="C14" s="1009" t="s">
        <v>1288</v>
      </c>
    </row>
    <row r="15" spans="1:4" x14ac:dyDescent="0.25">
      <c r="A15" s="247">
        <v>41578</v>
      </c>
      <c r="B15" s="248">
        <v>2.5266203703703704E-2</v>
      </c>
      <c r="C15" s="1009" t="s">
        <v>1282</v>
      </c>
    </row>
    <row r="16" spans="1:4" x14ac:dyDescent="0.25">
      <c r="A16" s="247">
        <v>41578</v>
      </c>
      <c r="B16" s="248">
        <v>2.5358796296296296E-2</v>
      </c>
      <c r="C16" s="1009" t="s">
        <v>1283</v>
      </c>
    </row>
    <row r="17" spans="1:3" x14ac:dyDescent="0.25">
      <c r="A17" s="247">
        <v>41578</v>
      </c>
      <c r="B17" s="248">
        <v>2.5370370370370366E-2</v>
      </c>
      <c r="C17" s="1009" t="s">
        <v>1289</v>
      </c>
    </row>
    <row r="18" spans="1:3" x14ac:dyDescent="0.25">
      <c r="A18" s="247">
        <v>41578</v>
      </c>
      <c r="B18" s="248">
        <v>2.5370370370370366E-2</v>
      </c>
      <c r="C18" s="1009" t="s">
        <v>1286</v>
      </c>
    </row>
    <row r="19" spans="1:3" x14ac:dyDescent="0.25">
      <c r="A19" s="247">
        <v>41578</v>
      </c>
      <c r="B19" s="248">
        <v>2.5381944444444443E-2</v>
      </c>
      <c r="C19" s="1009" t="s">
        <v>1287</v>
      </c>
    </row>
    <row r="20" spans="1:3" x14ac:dyDescent="0.25">
      <c r="A20" s="247">
        <v>41578</v>
      </c>
      <c r="B20" s="248">
        <v>2.5381944444444443E-2</v>
      </c>
      <c r="C20" s="1009" t="s">
        <v>1263</v>
      </c>
    </row>
    <row r="21" spans="1:3" x14ac:dyDescent="0.25">
      <c r="A21" s="247">
        <v>41578</v>
      </c>
      <c r="B21" s="248">
        <v>2.5381944444444443E-2</v>
      </c>
      <c r="C21" s="1009" t="s">
        <v>1272</v>
      </c>
    </row>
    <row r="22" spans="1:3" x14ac:dyDescent="0.25">
      <c r="A22" s="247">
        <v>41578</v>
      </c>
      <c r="B22" s="248">
        <v>2.539351851851852E-2</v>
      </c>
      <c r="C22" s="1009" t="s">
        <v>1264</v>
      </c>
    </row>
    <row r="23" spans="1:3" x14ac:dyDescent="0.25">
      <c r="A23" s="247">
        <v>41578</v>
      </c>
      <c r="B23" s="248">
        <v>2.5405092592592594E-2</v>
      </c>
      <c r="C23" s="1009" t="s">
        <v>1271</v>
      </c>
    </row>
    <row r="24" spans="1:3" x14ac:dyDescent="0.25">
      <c r="A24" s="247">
        <v>41578</v>
      </c>
      <c r="B24" s="248">
        <v>2.5405092592592594E-2</v>
      </c>
      <c r="C24" s="1009" t="s">
        <v>1288</v>
      </c>
    </row>
    <row r="25" spans="1:3" x14ac:dyDescent="0.25">
      <c r="A25" s="247">
        <v>41578</v>
      </c>
      <c r="B25" s="248">
        <v>2.5405092592592594E-2</v>
      </c>
      <c r="C25" s="1009" t="s">
        <v>1282</v>
      </c>
    </row>
    <row r="26" spans="1:3" x14ac:dyDescent="0.25">
      <c r="A26" s="247">
        <v>41578</v>
      </c>
      <c r="B26" s="248">
        <v>2.5497685185185189E-2</v>
      </c>
      <c r="C26" s="1009" t="s">
        <v>1283</v>
      </c>
    </row>
    <row r="27" spans="1:3" ht="30" x14ac:dyDescent="0.25">
      <c r="A27" s="247">
        <v>41578</v>
      </c>
      <c r="B27" s="248">
        <v>2.5821759259259256E-2</v>
      </c>
      <c r="C27" s="1005" t="s">
        <v>1290</v>
      </c>
    </row>
    <row r="28" spans="1:3" x14ac:dyDescent="0.25">
      <c r="A28" s="247">
        <v>41578</v>
      </c>
      <c r="B28" s="248">
        <v>2.5868055555555557E-2</v>
      </c>
      <c r="C28" s="1009" t="s">
        <v>1273</v>
      </c>
    </row>
    <row r="29" spans="1:3" x14ac:dyDescent="0.25">
      <c r="A29" s="247">
        <v>41578</v>
      </c>
      <c r="B29" s="248">
        <v>2.5937500000000002E-2</v>
      </c>
      <c r="C29" s="1009" t="s">
        <v>1291</v>
      </c>
    </row>
    <row r="30" spans="1:3" s="1019" customFormat="1" x14ac:dyDescent="0.25">
      <c r="A30" s="1016">
        <v>41578</v>
      </c>
      <c r="B30" s="1017">
        <v>2.5949074074074072E-2</v>
      </c>
      <c r="C30" s="1018" t="s">
        <v>1270</v>
      </c>
    </row>
    <row r="31" spans="1:3" s="1019" customFormat="1" ht="30" x14ac:dyDescent="0.25">
      <c r="A31" s="1016">
        <v>41578</v>
      </c>
      <c r="B31" s="1017">
        <v>2.6018518518518521E-2</v>
      </c>
      <c r="C31" s="1020" t="s">
        <v>1292</v>
      </c>
    </row>
    <row r="32" spans="1:3" s="1014" customFormat="1" x14ac:dyDescent="0.25">
      <c r="A32" s="1011">
        <v>41578</v>
      </c>
      <c r="B32" s="1012">
        <v>2.6030092592592594E-2</v>
      </c>
      <c r="C32" s="1013" t="s">
        <v>1289</v>
      </c>
    </row>
    <row r="33" spans="1:3" s="1014" customFormat="1" x14ac:dyDescent="0.25">
      <c r="A33" s="1011">
        <v>41578</v>
      </c>
      <c r="B33" s="1012">
        <v>2.6030092592592594E-2</v>
      </c>
      <c r="C33" s="1013" t="s">
        <v>1286</v>
      </c>
    </row>
    <row r="34" spans="1:3" s="1014" customFormat="1" x14ac:dyDescent="0.25">
      <c r="A34" s="1011">
        <v>41578</v>
      </c>
      <c r="B34" s="1012">
        <v>2.6041666666666668E-2</v>
      </c>
      <c r="C34" s="1013" t="s">
        <v>1287</v>
      </c>
    </row>
    <row r="35" spans="1:3" s="1019" customFormat="1" x14ac:dyDescent="0.25">
      <c r="A35" s="1016">
        <v>41578</v>
      </c>
      <c r="B35" s="1017">
        <v>2.6041666666666668E-2</v>
      </c>
      <c r="C35" s="1018" t="s">
        <v>1274</v>
      </c>
    </row>
    <row r="36" spans="1:3" s="1019" customFormat="1" x14ac:dyDescent="0.25">
      <c r="A36" s="1016">
        <v>41578</v>
      </c>
      <c r="B36" s="1017">
        <v>2.6064814814814815E-2</v>
      </c>
      <c r="C36" s="1018" t="s">
        <v>1293</v>
      </c>
    </row>
    <row r="37" spans="1:3" x14ac:dyDescent="0.25">
      <c r="A37" s="247">
        <v>41578</v>
      </c>
      <c r="B37" s="248">
        <v>2.6064814814814815E-2</v>
      </c>
      <c r="C37" s="1009" t="s">
        <v>1265</v>
      </c>
    </row>
    <row r="38" spans="1:3" x14ac:dyDescent="0.25">
      <c r="A38" s="247">
        <v>41578</v>
      </c>
      <c r="B38" s="248">
        <v>2.6064814814814815E-2</v>
      </c>
      <c r="C38" s="1009" t="s">
        <v>1275</v>
      </c>
    </row>
    <row r="39" spans="1:3" x14ac:dyDescent="0.25">
      <c r="A39" s="247">
        <v>41578</v>
      </c>
      <c r="B39" s="248">
        <v>2.6076388888888885E-2</v>
      </c>
      <c r="C39" s="1009" t="s">
        <v>1266</v>
      </c>
    </row>
    <row r="40" spans="1:3" x14ac:dyDescent="0.25">
      <c r="A40" s="247">
        <v>41578</v>
      </c>
      <c r="B40" s="248">
        <v>2.6076388888888885E-2</v>
      </c>
      <c r="C40" s="1009" t="s">
        <v>1267</v>
      </c>
    </row>
    <row r="41" spans="1:3" x14ac:dyDescent="0.25">
      <c r="A41" s="247">
        <v>41578</v>
      </c>
      <c r="B41" s="248">
        <v>2.6076388888888885E-2</v>
      </c>
      <c r="C41" s="1009" t="s">
        <v>1288</v>
      </c>
    </row>
    <row r="42" spans="1:3" ht="45" x14ac:dyDescent="0.25">
      <c r="A42" s="247">
        <v>41578</v>
      </c>
      <c r="B42" s="248">
        <v>2.6678240740740738E-2</v>
      </c>
      <c r="C42" s="1005" t="s">
        <v>1294</v>
      </c>
    </row>
    <row r="43" spans="1:3" x14ac:dyDescent="0.25">
      <c r="A43" s="247">
        <v>41578</v>
      </c>
      <c r="B43" s="248">
        <v>2.6770833333333331E-2</v>
      </c>
      <c r="C43" s="1009" t="s">
        <v>1282</v>
      </c>
    </row>
    <row r="44" spans="1:3" x14ac:dyDescent="0.25">
      <c r="A44" s="247">
        <v>41578</v>
      </c>
      <c r="B44" s="248">
        <v>2.6875E-2</v>
      </c>
      <c r="C44" s="1009" t="s">
        <v>1283</v>
      </c>
    </row>
    <row r="45" spans="1:3" s="1014" customFormat="1" x14ac:dyDescent="0.25">
      <c r="A45" s="1011">
        <v>41578</v>
      </c>
      <c r="B45" s="1012">
        <v>2.6886574074074077E-2</v>
      </c>
      <c r="C45" s="1013" t="s">
        <v>1289</v>
      </c>
    </row>
    <row r="46" spans="1:3" s="1014" customFormat="1" ht="45" x14ac:dyDescent="0.25">
      <c r="A46" s="1011">
        <v>41578</v>
      </c>
      <c r="B46" s="1012">
        <v>2.6979166666666669E-2</v>
      </c>
      <c r="C46" s="1015" t="s">
        <v>1295</v>
      </c>
    </row>
    <row r="47" spans="1:3" s="1014" customFormat="1" x14ac:dyDescent="0.25">
      <c r="A47" s="1011">
        <v>41578</v>
      </c>
      <c r="B47" s="1012">
        <v>2.7002314814814812E-2</v>
      </c>
      <c r="C47" s="1013" t="s">
        <v>1286</v>
      </c>
    </row>
    <row r="48" spans="1:3" s="1014" customFormat="1" x14ac:dyDescent="0.25">
      <c r="A48" s="1011">
        <v>41578</v>
      </c>
      <c r="B48" s="1012">
        <v>2.7025462962962959E-2</v>
      </c>
      <c r="C48" s="1013" t="s">
        <v>1296</v>
      </c>
    </row>
    <row r="49" spans="1:3" x14ac:dyDescent="0.25">
      <c r="A49" s="247">
        <v>41578</v>
      </c>
      <c r="B49" s="248">
        <v>2.7025462962962959E-2</v>
      </c>
      <c r="C49" s="1009" t="s">
        <v>1263</v>
      </c>
    </row>
    <row r="50" spans="1:3" x14ac:dyDescent="0.25">
      <c r="A50" s="247">
        <v>41578</v>
      </c>
      <c r="B50" s="248">
        <v>2.7025462962962959E-2</v>
      </c>
      <c r="C50" s="1009" t="s">
        <v>1272</v>
      </c>
    </row>
    <row r="51" spans="1:3" x14ac:dyDescent="0.25">
      <c r="A51" s="247">
        <v>41578</v>
      </c>
      <c r="B51" s="248">
        <v>2.7037037037037037E-2</v>
      </c>
      <c r="C51" s="1009" t="s">
        <v>1264</v>
      </c>
    </row>
    <row r="52" spans="1:3" x14ac:dyDescent="0.25">
      <c r="A52" s="247">
        <v>41578</v>
      </c>
      <c r="B52" s="248">
        <v>2.704861111111111E-2</v>
      </c>
      <c r="C52" s="1009" t="s">
        <v>1276</v>
      </c>
    </row>
    <row r="53" spans="1:3" x14ac:dyDescent="0.25">
      <c r="A53" s="247">
        <v>41578</v>
      </c>
      <c r="B53" s="248">
        <v>2.7094907407407404E-2</v>
      </c>
      <c r="C53" s="1009" t="s">
        <v>1268</v>
      </c>
    </row>
    <row r="54" spans="1:3" x14ac:dyDescent="0.25">
      <c r="A54" s="247">
        <v>41578</v>
      </c>
      <c r="B54" s="248">
        <v>2.7106481481481481E-2</v>
      </c>
      <c r="C54" s="1009" t="s">
        <v>1297</v>
      </c>
    </row>
    <row r="55" spans="1:3" x14ac:dyDescent="0.25">
      <c r="A55" s="247">
        <v>41578</v>
      </c>
      <c r="B55" s="248">
        <v>2.7106481481481481E-2</v>
      </c>
      <c r="C55" s="1009" t="s">
        <v>1288</v>
      </c>
    </row>
    <row r="56" spans="1:3" x14ac:dyDescent="0.25">
      <c r="A56" s="247">
        <v>41578</v>
      </c>
      <c r="B56" s="248">
        <v>2.7106481481481481E-2</v>
      </c>
      <c r="C56" s="1009" t="s">
        <v>1282</v>
      </c>
    </row>
    <row r="57" spans="1:3" x14ac:dyDescent="0.25">
      <c r="A57" s="247">
        <v>41578</v>
      </c>
      <c r="B57" s="248">
        <v>2.7199074074074073E-2</v>
      </c>
      <c r="C57" s="1009" t="s">
        <v>1283</v>
      </c>
    </row>
    <row r="58" spans="1:3" x14ac:dyDescent="0.25">
      <c r="A58" s="247">
        <v>41578</v>
      </c>
      <c r="B58" s="248">
        <v>2.7314814814814816E-2</v>
      </c>
      <c r="C58" s="1009" t="s">
        <v>1298</v>
      </c>
    </row>
    <row r="59" spans="1:3" x14ac:dyDescent="0.25">
      <c r="A59" s="247">
        <v>41578</v>
      </c>
      <c r="B59" s="248">
        <v>2.7534722222222221E-2</v>
      </c>
      <c r="C59" s="1009" t="s">
        <v>1299</v>
      </c>
    </row>
    <row r="60" spans="1:3" x14ac:dyDescent="0.25">
      <c r="A60" s="247">
        <v>41578</v>
      </c>
      <c r="B60" s="248">
        <v>2.7534722222222221E-2</v>
      </c>
      <c r="C60" s="1009" t="s">
        <v>1300</v>
      </c>
    </row>
    <row r="61" spans="1:3" x14ac:dyDescent="0.25">
      <c r="A61" s="247">
        <v>41578</v>
      </c>
      <c r="B61" s="248">
        <v>2.7534722222222221E-2</v>
      </c>
      <c r="C61" s="1009" t="s">
        <v>1301</v>
      </c>
    </row>
    <row r="62" spans="1:3" x14ac:dyDescent="0.25">
      <c r="A62" s="247">
        <v>41578</v>
      </c>
      <c r="B62" s="248">
        <v>2.7534722222222221E-2</v>
      </c>
      <c r="C62" s="1009" t="s">
        <v>1302</v>
      </c>
    </row>
    <row r="63" spans="1:3" x14ac:dyDescent="0.25">
      <c r="A63" s="247">
        <v>41578</v>
      </c>
      <c r="B63" s="248">
        <v>2.7534722222222221E-2</v>
      </c>
      <c r="C63" s="1009" t="s">
        <v>1303</v>
      </c>
    </row>
    <row r="64" spans="1:3" x14ac:dyDescent="0.25">
      <c r="A64" s="247">
        <v>41578</v>
      </c>
      <c r="B64" s="248">
        <v>2.7534722222222221E-2</v>
      </c>
      <c r="C64" s="1009" t="s">
        <v>1304</v>
      </c>
    </row>
    <row r="65" spans="1:3" x14ac:dyDescent="0.25">
      <c r="A65" s="247">
        <v>41578</v>
      </c>
      <c r="B65" s="248">
        <v>2.7534722222222221E-2</v>
      </c>
      <c r="C65" s="1009" t="s">
        <v>1305</v>
      </c>
    </row>
    <row r="66" spans="1:3" x14ac:dyDescent="0.25">
      <c r="A66" s="247">
        <v>41578</v>
      </c>
      <c r="B66" s="248">
        <v>2.7534722222222221E-2</v>
      </c>
      <c r="C66" s="1009" t="s">
        <v>1306</v>
      </c>
    </row>
    <row r="67" spans="1:3" x14ac:dyDescent="0.25">
      <c r="A67" s="247">
        <v>41578</v>
      </c>
      <c r="B67" s="248">
        <v>2.7534722222222221E-2</v>
      </c>
      <c r="C67" s="1009" t="s">
        <v>1307</v>
      </c>
    </row>
    <row r="68" spans="1:3" x14ac:dyDescent="0.25">
      <c r="A68" s="247">
        <v>41578</v>
      </c>
      <c r="B68" s="248">
        <v>2.7534722222222221E-2</v>
      </c>
      <c r="C68" s="1009" t="s">
        <v>1308</v>
      </c>
    </row>
    <row r="69" spans="1:3" x14ac:dyDescent="0.25">
      <c r="A69" s="247">
        <v>41578</v>
      </c>
      <c r="B69" s="248">
        <v>2.7534722222222221E-2</v>
      </c>
      <c r="C69" s="1009" t="s">
        <v>1309</v>
      </c>
    </row>
    <row r="70" spans="1:3" x14ac:dyDescent="0.25">
      <c r="A70" s="247">
        <v>41578</v>
      </c>
      <c r="B70" s="248">
        <v>2.7534722222222221E-2</v>
      </c>
      <c r="C70" s="1009" t="s">
        <v>1310</v>
      </c>
    </row>
    <row r="71" spans="1:3" x14ac:dyDescent="0.25">
      <c r="A71" s="247">
        <v>41578</v>
      </c>
      <c r="B71" s="248">
        <v>2.7546296296296294E-2</v>
      </c>
      <c r="C71" s="1009" t="s">
        <v>1298</v>
      </c>
    </row>
    <row r="72" spans="1:3" x14ac:dyDescent="0.25">
      <c r="A72" s="247">
        <v>41578</v>
      </c>
      <c r="B72" s="248">
        <v>2.7777777777777776E-2</v>
      </c>
      <c r="C72" s="1009" t="s">
        <v>1298</v>
      </c>
    </row>
    <row r="73" spans="1:3" x14ac:dyDescent="0.25">
      <c r="A73" s="247">
        <v>41578</v>
      </c>
      <c r="B73" s="248">
        <v>2.8437500000000001E-2</v>
      </c>
      <c r="C73" s="1009" t="s">
        <v>1297</v>
      </c>
    </row>
    <row r="74" spans="1:3" x14ac:dyDescent="0.25">
      <c r="A74" s="247">
        <v>41578</v>
      </c>
      <c r="B74" s="248">
        <v>2.8437500000000001E-2</v>
      </c>
      <c r="C74" s="1009" t="s">
        <v>1311</v>
      </c>
    </row>
    <row r="75" spans="1:3" x14ac:dyDescent="0.25">
      <c r="A75" s="247">
        <v>41578</v>
      </c>
      <c r="B75" s="248">
        <v>2.8449074074074075E-2</v>
      </c>
      <c r="C75" s="1009" t="s">
        <v>1312</v>
      </c>
    </row>
    <row r="76" spans="1:3" x14ac:dyDescent="0.25">
      <c r="A76" s="247">
        <v>41578</v>
      </c>
      <c r="B76" s="248">
        <v>2.8460648148148148E-2</v>
      </c>
      <c r="C76" s="1009" t="s">
        <v>1313</v>
      </c>
    </row>
    <row r="77" spans="1:3" x14ac:dyDescent="0.25">
      <c r="A77" s="247">
        <v>41578</v>
      </c>
      <c r="B77" s="248">
        <v>2.8460648148148148E-2</v>
      </c>
      <c r="C77" s="1009" t="s">
        <v>1273</v>
      </c>
    </row>
    <row r="78" spans="1:3" x14ac:dyDescent="0.25">
      <c r="A78" s="247">
        <v>41578</v>
      </c>
      <c r="B78" s="248">
        <v>2.854166666666667E-2</v>
      </c>
      <c r="C78" s="1009" t="s">
        <v>1274</v>
      </c>
    </row>
    <row r="79" spans="1:3" x14ac:dyDescent="0.25">
      <c r="A79" s="247">
        <v>41578</v>
      </c>
      <c r="B79" s="248">
        <v>2.855324074074074E-2</v>
      </c>
      <c r="C79" s="1009" t="s">
        <v>1314</v>
      </c>
    </row>
    <row r="80" spans="1:3" x14ac:dyDescent="0.25">
      <c r="A80" s="247">
        <v>41578</v>
      </c>
      <c r="B80" s="248">
        <v>2.8587962962962964E-2</v>
      </c>
      <c r="C80" s="1009" t="s">
        <v>1315</v>
      </c>
    </row>
    <row r="81" spans="1:3" x14ac:dyDescent="0.25">
      <c r="A81" s="247">
        <v>41578</v>
      </c>
      <c r="B81" s="248">
        <v>4.0729166666666664E-2</v>
      </c>
      <c r="C81" s="1009" t="s">
        <v>1262</v>
      </c>
    </row>
    <row r="82" spans="1:3" x14ac:dyDescent="0.25">
      <c r="A82" s="247">
        <v>41578</v>
      </c>
      <c r="B82" s="248">
        <v>4.0729166666666664E-2</v>
      </c>
      <c r="C82" s="1009" t="s">
        <v>1288</v>
      </c>
    </row>
    <row r="83" spans="1:3" x14ac:dyDescent="0.25">
      <c r="A83" s="247">
        <v>41578</v>
      </c>
      <c r="B83" s="248">
        <v>4.0729166666666664E-2</v>
      </c>
      <c r="C83" s="1009" t="s">
        <v>1282</v>
      </c>
    </row>
    <row r="84" spans="1:3" x14ac:dyDescent="0.25">
      <c r="A84" s="247">
        <v>41578</v>
      </c>
      <c r="B84" s="248">
        <v>4.0868055555555553E-2</v>
      </c>
      <c r="C84" s="1009" t="s">
        <v>1317</v>
      </c>
    </row>
    <row r="85" spans="1:3" x14ac:dyDescent="0.25">
      <c r="A85" s="247">
        <v>41578</v>
      </c>
      <c r="B85" s="248">
        <v>4.0868055555555553E-2</v>
      </c>
      <c r="C85" s="1009" t="s">
        <v>1318</v>
      </c>
    </row>
    <row r="86" spans="1:3" x14ac:dyDescent="0.25">
      <c r="A86" s="247">
        <v>41578</v>
      </c>
      <c r="B86" s="248">
        <v>4.0868055555555553E-2</v>
      </c>
      <c r="C86" s="1009" t="s">
        <v>1286</v>
      </c>
    </row>
    <row r="87" spans="1:3" x14ac:dyDescent="0.25">
      <c r="A87" s="247">
        <v>41578</v>
      </c>
      <c r="B87" s="248">
        <v>4.08912037037037E-2</v>
      </c>
      <c r="C87" s="1009" t="s">
        <v>1296</v>
      </c>
    </row>
    <row r="88" spans="1:3" x14ac:dyDescent="0.25">
      <c r="A88" s="247">
        <v>41578</v>
      </c>
      <c r="B88" s="248">
        <v>4.08912037037037E-2</v>
      </c>
      <c r="C88" s="1009" t="s">
        <v>1263</v>
      </c>
    </row>
    <row r="89" spans="1:3" x14ac:dyDescent="0.25">
      <c r="A89" s="247">
        <v>41578</v>
      </c>
      <c r="B89" s="248">
        <v>4.08912037037037E-2</v>
      </c>
      <c r="C89" s="1009" t="s">
        <v>1272</v>
      </c>
    </row>
    <row r="90" spans="1:3" x14ac:dyDescent="0.25">
      <c r="A90" s="247">
        <v>41578</v>
      </c>
      <c r="B90" s="248">
        <v>4.0902777777777781E-2</v>
      </c>
      <c r="C90" s="1009" t="s">
        <v>1264</v>
      </c>
    </row>
    <row r="91" spans="1:3" x14ac:dyDescent="0.25">
      <c r="A91" s="247">
        <v>41578</v>
      </c>
      <c r="B91" s="248">
        <v>4.0914351851851848E-2</v>
      </c>
      <c r="C91" s="1009" t="s">
        <v>1319</v>
      </c>
    </row>
    <row r="92" spans="1:3" x14ac:dyDescent="0.25">
      <c r="A92" s="247">
        <v>41578</v>
      </c>
      <c r="B92" s="248">
        <v>4.0914351851851848E-2</v>
      </c>
      <c r="C92" s="1009" t="s">
        <v>1320</v>
      </c>
    </row>
    <row r="93" spans="1:3" x14ac:dyDescent="0.25">
      <c r="A93" s="247">
        <v>41578</v>
      </c>
      <c r="B93" s="248">
        <v>4.0914351851851848E-2</v>
      </c>
      <c r="C93" s="1009" t="s">
        <v>1282</v>
      </c>
    </row>
    <row r="94" spans="1:3" x14ac:dyDescent="0.25">
      <c r="A94" s="247">
        <v>41578</v>
      </c>
      <c r="B94" s="248">
        <v>4.1030092592592597E-2</v>
      </c>
      <c r="C94" s="1009" t="s">
        <v>1317</v>
      </c>
    </row>
    <row r="95" spans="1:3" ht="30" x14ac:dyDescent="0.25">
      <c r="A95" s="247">
        <v>41578</v>
      </c>
      <c r="B95" s="248">
        <v>4.1458333333333333E-2</v>
      </c>
      <c r="C95" s="1005" t="s">
        <v>1321</v>
      </c>
    </row>
    <row r="96" spans="1:3" x14ac:dyDescent="0.25">
      <c r="A96" s="247">
        <v>41578</v>
      </c>
      <c r="B96" s="248">
        <v>4.1504629629629627E-2</v>
      </c>
      <c r="C96" s="1009" t="s">
        <v>1273</v>
      </c>
    </row>
    <row r="97" spans="1:3" x14ac:dyDescent="0.25">
      <c r="A97" s="247">
        <v>41578</v>
      </c>
      <c r="B97" s="248">
        <v>4.1597222222222223E-2</v>
      </c>
      <c r="C97" s="1009" t="s">
        <v>1322</v>
      </c>
    </row>
    <row r="98" spans="1:3" x14ac:dyDescent="0.25">
      <c r="A98" s="247">
        <v>41578</v>
      </c>
      <c r="B98" s="248">
        <v>4.1597222222222223E-2</v>
      </c>
      <c r="C98" s="1009" t="s">
        <v>1323</v>
      </c>
    </row>
    <row r="99" spans="1:3" ht="30" x14ac:dyDescent="0.25">
      <c r="A99" s="247">
        <v>41578</v>
      </c>
      <c r="B99" s="248">
        <v>4.1678240740740745E-2</v>
      </c>
      <c r="C99" s="1005" t="s">
        <v>1324</v>
      </c>
    </row>
    <row r="100" spans="1:3" x14ac:dyDescent="0.25">
      <c r="A100" s="247">
        <v>41578</v>
      </c>
      <c r="B100" s="248">
        <v>4.1689814814814818E-2</v>
      </c>
      <c r="C100" s="1009" t="s">
        <v>1318</v>
      </c>
    </row>
    <row r="101" spans="1:3" x14ac:dyDescent="0.25">
      <c r="A101" s="247">
        <v>41578</v>
      </c>
      <c r="B101" s="248">
        <v>4.1689814814814818E-2</v>
      </c>
      <c r="C101" s="1009" t="s">
        <v>1286</v>
      </c>
    </row>
    <row r="102" spans="1:3" x14ac:dyDescent="0.25">
      <c r="A102" s="247">
        <v>41578</v>
      </c>
      <c r="B102" s="248">
        <v>4.1701388888888885E-2</v>
      </c>
      <c r="C102" s="1009" t="s">
        <v>1296</v>
      </c>
    </row>
    <row r="103" spans="1:3" x14ac:dyDescent="0.25">
      <c r="A103" s="247">
        <v>41578</v>
      </c>
      <c r="B103" s="248">
        <v>4.1712962962962959E-2</v>
      </c>
      <c r="C103" s="1009" t="s">
        <v>1274</v>
      </c>
    </row>
    <row r="104" spans="1:3" x14ac:dyDescent="0.25">
      <c r="A104" s="247">
        <v>41578</v>
      </c>
      <c r="B104" s="248">
        <v>4.1712962962962959E-2</v>
      </c>
      <c r="C104" s="1009" t="s">
        <v>1293</v>
      </c>
    </row>
    <row r="105" spans="1:3" x14ac:dyDescent="0.25">
      <c r="A105" s="247">
        <v>41578</v>
      </c>
      <c r="B105" s="248">
        <v>4.1724537037037039E-2</v>
      </c>
      <c r="C105" s="1009" t="s">
        <v>1265</v>
      </c>
    </row>
    <row r="106" spans="1:3" x14ac:dyDescent="0.25">
      <c r="A106" s="247">
        <v>41578</v>
      </c>
      <c r="B106" s="248">
        <v>4.1724537037037039E-2</v>
      </c>
      <c r="C106" s="1009" t="s">
        <v>1275</v>
      </c>
    </row>
    <row r="107" spans="1:3" x14ac:dyDescent="0.25">
      <c r="A107" s="247">
        <v>41578</v>
      </c>
      <c r="B107" s="248">
        <v>4.1724537037037039E-2</v>
      </c>
      <c r="C107" s="1009" t="s">
        <v>1266</v>
      </c>
    </row>
    <row r="108" spans="1:3" x14ac:dyDescent="0.25">
      <c r="A108" s="247">
        <v>41578</v>
      </c>
      <c r="B108" s="248">
        <v>4.1736111111111113E-2</v>
      </c>
      <c r="C108" s="1009" t="s">
        <v>1267</v>
      </c>
    </row>
    <row r="109" spans="1:3" x14ac:dyDescent="0.25">
      <c r="A109" s="247">
        <v>41578</v>
      </c>
      <c r="B109" s="248">
        <v>4.1736111111111113E-2</v>
      </c>
      <c r="C109" s="1009" t="s">
        <v>1320</v>
      </c>
    </row>
    <row r="110" spans="1:3" ht="45" x14ac:dyDescent="0.25">
      <c r="A110" s="247">
        <v>41578</v>
      </c>
      <c r="B110" s="248">
        <v>4.2361111111111106E-2</v>
      </c>
      <c r="C110" s="1005" t="s">
        <v>1325</v>
      </c>
    </row>
    <row r="111" spans="1:3" x14ac:dyDescent="0.25">
      <c r="A111" s="247">
        <v>41578</v>
      </c>
      <c r="B111" s="248">
        <v>4.2476851851851849E-2</v>
      </c>
      <c r="C111" s="1009" t="s">
        <v>1282</v>
      </c>
    </row>
    <row r="112" spans="1:3" x14ac:dyDescent="0.25">
      <c r="A112" s="247">
        <v>41578</v>
      </c>
      <c r="B112" s="248">
        <v>4.2592592592592592E-2</v>
      </c>
      <c r="C112" s="1009" t="s">
        <v>1283</v>
      </c>
    </row>
    <row r="113" spans="1:3" x14ac:dyDescent="0.25">
      <c r="A113" s="247">
        <v>41578</v>
      </c>
      <c r="B113" s="248">
        <v>4.2604166666666665E-2</v>
      </c>
      <c r="C113" s="1009" t="s">
        <v>1318</v>
      </c>
    </row>
    <row r="114" spans="1:3" x14ac:dyDescent="0.25">
      <c r="A114" s="247">
        <v>41578</v>
      </c>
      <c r="B114" s="248">
        <v>4.2604166666666665E-2</v>
      </c>
      <c r="C114" s="1009" t="s">
        <v>1286</v>
      </c>
    </row>
    <row r="115" spans="1:3" x14ac:dyDescent="0.25">
      <c r="A115" s="247">
        <v>41578</v>
      </c>
      <c r="B115" s="248">
        <v>4.2615740740740739E-2</v>
      </c>
      <c r="C115" s="1009" t="s">
        <v>1296</v>
      </c>
    </row>
    <row r="116" spans="1:3" x14ac:dyDescent="0.25">
      <c r="A116" s="247">
        <v>41578</v>
      </c>
      <c r="B116" s="248">
        <v>4.2627314814814819E-2</v>
      </c>
      <c r="C116" s="1009" t="s">
        <v>1263</v>
      </c>
    </row>
    <row r="117" spans="1:3" x14ac:dyDescent="0.25">
      <c r="A117" s="247">
        <v>41578</v>
      </c>
      <c r="B117" s="248">
        <v>4.2627314814814819E-2</v>
      </c>
      <c r="C117" s="1009" t="s">
        <v>1272</v>
      </c>
    </row>
    <row r="118" spans="1:3" x14ac:dyDescent="0.25">
      <c r="A118" s="247">
        <v>41578</v>
      </c>
      <c r="B118" s="248">
        <v>4.2638888888888893E-2</v>
      </c>
      <c r="C118" s="1009" t="s">
        <v>1264</v>
      </c>
    </row>
    <row r="119" spans="1:3" x14ac:dyDescent="0.25">
      <c r="A119" s="247">
        <v>41578</v>
      </c>
      <c r="B119" s="248">
        <v>4.2638888888888893E-2</v>
      </c>
      <c r="C119" s="1009" t="s">
        <v>1276</v>
      </c>
    </row>
    <row r="120" spans="1:3" x14ac:dyDescent="0.25">
      <c r="A120" s="247">
        <v>41578</v>
      </c>
      <c r="B120" s="248">
        <v>4.2696759259259261E-2</v>
      </c>
      <c r="C120" s="1009" t="s">
        <v>1268</v>
      </c>
    </row>
    <row r="121" spans="1:3" x14ac:dyDescent="0.25">
      <c r="A121" s="247">
        <v>41578</v>
      </c>
      <c r="B121" s="248">
        <v>4.2696759259259261E-2</v>
      </c>
      <c r="C121" s="1009" t="s">
        <v>1297</v>
      </c>
    </row>
    <row r="122" spans="1:3" x14ac:dyDescent="0.25">
      <c r="A122" s="247">
        <v>41578</v>
      </c>
      <c r="B122" s="248">
        <v>4.2696759259259261E-2</v>
      </c>
      <c r="C122" s="1009" t="s">
        <v>1288</v>
      </c>
    </row>
    <row r="123" spans="1:3" x14ac:dyDescent="0.25">
      <c r="A123" s="247">
        <v>41578</v>
      </c>
      <c r="B123" s="248">
        <v>4.2696759259259261E-2</v>
      </c>
      <c r="C123" s="1009" t="s">
        <v>1282</v>
      </c>
    </row>
    <row r="124" spans="1:3" x14ac:dyDescent="0.25">
      <c r="A124" s="247">
        <v>41578</v>
      </c>
      <c r="B124" s="248">
        <v>4.2812500000000003E-2</v>
      </c>
      <c r="C124" s="1009" t="s">
        <v>1283</v>
      </c>
    </row>
    <row r="125" spans="1:3" ht="30" x14ac:dyDescent="0.25">
      <c r="A125" s="247">
        <v>41578</v>
      </c>
      <c r="B125" s="248">
        <v>4.3009259259259254E-2</v>
      </c>
      <c r="C125" s="1005" t="s">
        <v>1326</v>
      </c>
    </row>
    <row r="126" spans="1:3" ht="30" x14ac:dyDescent="0.25">
      <c r="A126" s="247">
        <v>41578</v>
      </c>
      <c r="B126" s="248">
        <v>4.3449074074074077E-2</v>
      </c>
      <c r="C126" s="1005" t="s">
        <v>1327</v>
      </c>
    </row>
    <row r="127" spans="1:3" x14ac:dyDescent="0.25">
      <c r="A127" s="247">
        <v>41578</v>
      </c>
      <c r="B127" s="248">
        <v>4.4675925925925924E-2</v>
      </c>
      <c r="C127" s="1009" t="s">
        <v>1262</v>
      </c>
    </row>
    <row r="128" spans="1:3" x14ac:dyDescent="0.25">
      <c r="A128" s="247">
        <v>41578</v>
      </c>
      <c r="B128" s="248">
        <v>4.4675925925925924E-2</v>
      </c>
      <c r="C128" s="1009" t="s">
        <v>1288</v>
      </c>
    </row>
    <row r="129" spans="1:3" x14ac:dyDescent="0.25">
      <c r="A129" s="247">
        <v>41578</v>
      </c>
      <c r="B129" s="248">
        <v>4.4675925925925924E-2</v>
      </c>
      <c r="C129" s="1009" t="s">
        <v>1282</v>
      </c>
    </row>
    <row r="130" spans="1:3" x14ac:dyDescent="0.25">
      <c r="A130" s="247">
        <v>41578</v>
      </c>
      <c r="B130" s="248">
        <v>4.4814814814814814E-2</v>
      </c>
      <c r="C130" s="1009" t="s">
        <v>1317</v>
      </c>
    </row>
    <row r="131" spans="1:3" x14ac:dyDescent="0.25">
      <c r="A131" s="247">
        <v>41578</v>
      </c>
      <c r="B131" s="248">
        <v>4.4826388888888895E-2</v>
      </c>
      <c r="C131" s="1009" t="s">
        <v>1318</v>
      </c>
    </row>
    <row r="132" spans="1:3" x14ac:dyDescent="0.25">
      <c r="A132" s="247">
        <v>41578</v>
      </c>
      <c r="B132" s="248">
        <v>4.4826388888888895E-2</v>
      </c>
      <c r="C132" s="1009" t="s">
        <v>1286</v>
      </c>
    </row>
    <row r="133" spans="1:3" x14ac:dyDescent="0.25">
      <c r="A133" s="247">
        <v>41578</v>
      </c>
      <c r="B133" s="248">
        <v>4.4837962962962961E-2</v>
      </c>
      <c r="C133" s="1009" t="s">
        <v>1296</v>
      </c>
    </row>
    <row r="134" spans="1:3" x14ac:dyDescent="0.25">
      <c r="A134" s="247">
        <v>41578</v>
      </c>
      <c r="B134" s="248">
        <v>4.4849537037037035E-2</v>
      </c>
      <c r="C134" s="1009" t="s">
        <v>1263</v>
      </c>
    </row>
    <row r="135" spans="1:3" x14ac:dyDescent="0.25">
      <c r="A135" s="247">
        <v>41578</v>
      </c>
      <c r="B135" s="248">
        <v>4.4849537037037035E-2</v>
      </c>
      <c r="C135" s="1009" t="s">
        <v>1272</v>
      </c>
    </row>
    <row r="136" spans="1:3" x14ac:dyDescent="0.25">
      <c r="A136" s="247">
        <v>41578</v>
      </c>
      <c r="B136" s="248">
        <v>4.4861111111111109E-2</v>
      </c>
      <c r="C136" s="1009" t="s">
        <v>1264</v>
      </c>
    </row>
    <row r="137" spans="1:3" x14ac:dyDescent="0.25">
      <c r="A137" s="247">
        <v>41578</v>
      </c>
      <c r="B137" s="248">
        <v>4.4861111111111109E-2</v>
      </c>
      <c r="C137" s="1009" t="s">
        <v>1329</v>
      </c>
    </row>
    <row r="138" spans="1:3" x14ac:dyDescent="0.25">
      <c r="A138" s="247">
        <v>41578</v>
      </c>
      <c r="B138" s="248">
        <v>4.4861111111111109E-2</v>
      </c>
      <c r="C138" s="1009" t="s">
        <v>1320</v>
      </c>
    </row>
    <row r="139" spans="1:3" x14ac:dyDescent="0.25">
      <c r="A139" s="247">
        <v>41578</v>
      </c>
      <c r="B139" s="248">
        <v>4.4861111111111109E-2</v>
      </c>
      <c r="C139" s="1009" t="s">
        <v>1282</v>
      </c>
    </row>
    <row r="140" spans="1:3" x14ac:dyDescent="0.25">
      <c r="A140" s="247">
        <v>41578</v>
      </c>
      <c r="B140" s="248">
        <v>4.4976851851851851E-2</v>
      </c>
      <c r="C140" s="1009" t="s">
        <v>1317</v>
      </c>
    </row>
    <row r="141" spans="1:3" ht="30" x14ac:dyDescent="0.25">
      <c r="A141" s="247">
        <v>41578</v>
      </c>
      <c r="B141" s="248">
        <v>4.5324074074074072E-2</v>
      </c>
      <c r="C141" s="1005" t="s">
        <v>1330</v>
      </c>
    </row>
    <row r="142" spans="1:3" x14ac:dyDescent="0.25">
      <c r="A142" s="247">
        <v>41578</v>
      </c>
      <c r="B142" s="248">
        <v>4.5370370370370366E-2</v>
      </c>
      <c r="C142" s="1009" t="s">
        <v>1273</v>
      </c>
    </row>
    <row r="143" spans="1:3" x14ac:dyDescent="0.25">
      <c r="A143" s="247">
        <v>41578</v>
      </c>
      <c r="B143" s="248">
        <v>4.5451388888888888E-2</v>
      </c>
      <c r="C143" s="1009" t="s">
        <v>1322</v>
      </c>
    </row>
    <row r="144" spans="1:3" x14ac:dyDescent="0.25">
      <c r="A144" s="247">
        <v>41578</v>
      </c>
      <c r="B144" s="248">
        <v>4.5451388888888888E-2</v>
      </c>
      <c r="C144" s="1009" t="s">
        <v>1323</v>
      </c>
    </row>
    <row r="145" spans="1:3" x14ac:dyDescent="0.25">
      <c r="A145" s="247">
        <v>41578</v>
      </c>
      <c r="B145" s="248">
        <v>4.5451388888888888E-2</v>
      </c>
      <c r="C145" s="1009" t="s">
        <v>1274</v>
      </c>
    </row>
    <row r="146" spans="1:3" x14ac:dyDescent="0.25">
      <c r="A146" s="247">
        <v>41578</v>
      </c>
      <c r="B146" s="248">
        <v>4.5462962962962962E-2</v>
      </c>
      <c r="C146" s="1009" t="s">
        <v>1293</v>
      </c>
    </row>
    <row r="147" spans="1:3" x14ac:dyDescent="0.25">
      <c r="A147" s="247">
        <v>41578</v>
      </c>
      <c r="B147" s="248">
        <v>4.5474537037037042E-2</v>
      </c>
      <c r="C147" s="1009" t="s">
        <v>1265</v>
      </c>
    </row>
    <row r="148" spans="1:3" x14ac:dyDescent="0.25">
      <c r="A148" s="247">
        <v>41578</v>
      </c>
      <c r="B148" s="248">
        <v>4.5474537037037042E-2</v>
      </c>
      <c r="C148" s="1009" t="s">
        <v>1275</v>
      </c>
    </row>
    <row r="149" spans="1:3" x14ac:dyDescent="0.25">
      <c r="A149" s="247">
        <v>41578</v>
      </c>
      <c r="B149" s="248">
        <v>4.5474537037037042E-2</v>
      </c>
      <c r="C149" s="1009" t="s">
        <v>1266</v>
      </c>
    </row>
    <row r="150" spans="1:3" x14ac:dyDescent="0.25">
      <c r="A150" s="247">
        <v>41578</v>
      </c>
      <c r="B150" s="248">
        <v>4.5486111111111109E-2</v>
      </c>
      <c r="C150" s="1009" t="s">
        <v>1267</v>
      </c>
    </row>
    <row r="151" spans="1:3" x14ac:dyDescent="0.25">
      <c r="A151" s="247">
        <v>41578</v>
      </c>
      <c r="B151" s="248">
        <v>4.5486111111111109E-2</v>
      </c>
      <c r="C151" s="1009" t="s">
        <v>1320</v>
      </c>
    </row>
    <row r="152" spans="1:3" x14ac:dyDescent="0.25">
      <c r="A152" s="247">
        <v>41578</v>
      </c>
      <c r="B152" s="248">
        <v>4.5486111111111109E-2</v>
      </c>
      <c r="C152" s="1009" t="s">
        <v>1282</v>
      </c>
    </row>
    <row r="153" spans="1:3" x14ac:dyDescent="0.25">
      <c r="A153" s="247">
        <v>41578</v>
      </c>
      <c r="B153" s="248">
        <v>4.5601851851851859E-2</v>
      </c>
      <c r="C153" s="1009" t="s">
        <v>1317</v>
      </c>
    </row>
    <row r="154" spans="1:3" x14ac:dyDescent="0.25">
      <c r="A154" s="247">
        <v>41578</v>
      </c>
      <c r="B154" s="248">
        <v>4.5613425925925925E-2</v>
      </c>
      <c r="C154" s="1009" t="s">
        <v>1318</v>
      </c>
    </row>
    <row r="155" spans="1:3" x14ac:dyDescent="0.25">
      <c r="A155" s="247">
        <v>41578</v>
      </c>
      <c r="B155" s="248">
        <v>4.5613425925925925E-2</v>
      </c>
      <c r="C155" s="1009" t="s">
        <v>1286</v>
      </c>
    </row>
    <row r="156" spans="1:3" x14ac:dyDescent="0.25">
      <c r="A156" s="247">
        <v>41578</v>
      </c>
      <c r="B156" s="248">
        <v>4.5624999999999999E-2</v>
      </c>
      <c r="C156" s="1009" t="s">
        <v>1296</v>
      </c>
    </row>
    <row r="157" spans="1:3" x14ac:dyDescent="0.25">
      <c r="A157" s="247">
        <v>41578</v>
      </c>
      <c r="B157" s="248">
        <v>4.5636574074074072E-2</v>
      </c>
      <c r="C157" s="1009" t="s">
        <v>1263</v>
      </c>
    </row>
    <row r="158" spans="1:3" x14ac:dyDescent="0.25">
      <c r="A158" s="247">
        <v>41578</v>
      </c>
      <c r="B158" s="248">
        <v>4.5636574074074072E-2</v>
      </c>
      <c r="C158" s="1009" t="s">
        <v>1272</v>
      </c>
    </row>
    <row r="159" spans="1:3" x14ac:dyDescent="0.25">
      <c r="A159" s="247">
        <v>41578</v>
      </c>
      <c r="B159" s="248">
        <v>4.5648148148148153E-2</v>
      </c>
      <c r="C159" s="1009" t="s">
        <v>1264</v>
      </c>
    </row>
    <row r="160" spans="1:3" x14ac:dyDescent="0.25">
      <c r="A160" s="247">
        <v>41578</v>
      </c>
      <c r="B160" s="248">
        <v>4.5659722222222227E-2</v>
      </c>
      <c r="C160" s="1009" t="s">
        <v>1276</v>
      </c>
    </row>
    <row r="161" spans="1:3" x14ac:dyDescent="0.25">
      <c r="A161" s="247">
        <v>41578</v>
      </c>
      <c r="B161" s="248">
        <v>4.5706018518518521E-2</v>
      </c>
      <c r="C161" s="1009" t="s">
        <v>1268</v>
      </c>
    </row>
    <row r="162" spans="1:3" x14ac:dyDescent="0.25">
      <c r="A162" s="247">
        <v>41578</v>
      </c>
      <c r="B162" s="248">
        <v>4.5717592592592594E-2</v>
      </c>
      <c r="C162" s="1009" t="s">
        <v>1331</v>
      </c>
    </row>
    <row r="163" spans="1:3" x14ac:dyDescent="0.25">
      <c r="A163" s="247">
        <v>41578</v>
      </c>
      <c r="B163" s="248">
        <v>4.5717592592592594E-2</v>
      </c>
      <c r="C163" s="1009" t="s">
        <v>1320</v>
      </c>
    </row>
    <row r="164" spans="1:3" x14ac:dyDescent="0.25">
      <c r="A164" s="247">
        <v>41578</v>
      </c>
      <c r="B164" s="248">
        <v>4.5717592592592594E-2</v>
      </c>
      <c r="C164" s="1009" t="s">
        <v>1282</v>
      </c>
    </row>
    <row r="165" spans="1:3" x14ac:dyDescent="0.25">
      <c r="A165" s="247">
        <v>41578</v>
      </c>
      <c r="B165" s="248">
        <v>4.5833333333333337E-2</v>
      </c>
      <c r="C165" s="1009" t="s">
        <v>1317</v>
      </c>
    </row>
    <row r="166" spans="1:3" x14ac:dyDescent="0.25">
      <c r="A166" s="247">
        <v>41578</v>
      </c>
      <c r="B166" s="248">
        <v>4.6076388888888882E-2</v>
      </c>
      <c r="C166" s="1009" t="s">
        <v>1299</v>
      </c>
    </row>
    <row r="167" spans="1:3" x14ac:dyDescent="0.25">
      <c r="A167" s="247">
        <v>41578</v>
      </c>
      <c r="B167" s="248">
        <v>4.6076388888888882E-2</v>
      </c>
      <c r="C167" s="1009" t="s">
        <v>1300</v>
      </c>
    </row>
    <row r="168" spans="1:3" x14ac:dyDescent="0.25">
      <c r="A168" s="247">
        <v>41578</v>
      </c>
      <c r="B168" s="248">
        <v>4.6076388888888882E-2</v>
      </c>
      <c r="C168" s="1009" t="s">
        <v>1301</v>
      </c>
    </row>
    <row r="169" spans="1:3" x14ac:dyDescent="0.25">
      <c r="A169" s="247">
        <v>41578</v>
      </c>
      <c r="B169" s="248">
        <v>4.6076388888888882E-2</v>
      </c>
      <c r="C169" s="1009" t="s">
        <v>1302</v>
      </c>
    </row>
    <row r="170" spans="1:3" x14ac:dyDescent="0.25">
      <c r="A170" s="247">
        <v>41578</v>
      </c>
      <c r="B170" s="248">
        <v>4.6076388888888882E-2</v>
      </c>
      <c r="C170" s="1009" t="s">
        <v>1303</v>
      </c>
    </row>
    <row r="171" spans="1:3" x14ac:dyDescent="0.25">
      <c r="A171" s="247">
        <v>41578</v>
      </c>
      <c r="B171" s="248">
        <v>4.6076388888888882E-2</v>
      </c>
      <c r="C171" s="1009" t="s">
        <v>1304</v>
      </c>
    </row>
    <row r="172" spans="1:3" x14ac:dyDescent="0.25">
      <c r="A172" s="247">
        <v>41578</v>
      </c>
      <c r="B172" s="248">
        <v>4.6076388888888882E-2</v>
      </c>
      <c r="C172" s="1009" t="s">
        <v>1305</v>
      </c>
    </row>
    <row r="173" spans="1:3" x14ac:dyDescent="0.25">
      <c r="A173" s="247">
        <v>41578</v>
      </c>
      <c r="B173" s="248">
        <v>4.6087962962962963E-2</v>
      </c>
      <c r="C173" s="1009" t="s">
        <v>1306</v>
      </c>
    </row>
    <row r="174" spans="1:3" x14ac:dyDescent="0.25">
      <c r="A174" s="247">
        <v>41578</v>
      </c>
      <c r="B174" s="248">
        <v>4.6087962962962963E-2</v>
      </c>
      <c r="C174" s="1009" t="s">
        <v>1307</v>
      </c>
    </row>
    <row r="175" spans="1:3" x14ac:dyDescent="0.25">
      <c r="A175" s="247">
        <v>41578</v>
      </c>
      <c r="B175" s="248">
        <v>4.6087962962962963E-2</v>
      </c>
      <c r="C175" s="1009" t="s">
        <v>1308</v>
      </c>
    </row>
    <row r="176" spans="1:3" x14ac:dyDescent="0.25">
      <c r="A176" s="247">
        <v>41578</v>
      </c>
      <c r="B176" s="248">
        <v>4.6087962962962963E-2</v>
      </c>
      <c r="C176" s="1009" t="s">
        <v>1309</v>
      </c>
    </row>
    <row r="177" spans="1:3" x14ac:dyDescent="0.25">
      <c r="A177" s="247">
        <v>41578</v>
      </c>
      <c r="B177" s="248">
        <v>4.6087962962962963E-2</v>
      </c>
      <c r="C177" s="1009" t="s">
        <v>1310</v>
      </c>
    </row>
    <row r="178" spans="1:3" x14ac:dyDescent="0.25">
      <c r="A178" s="247">
        <v>41578</v>
      </c>
      <c r="B178" s="248">
        <v>4.6168981481481484E-2</v>
      </c>
      <c r="C178" s="1009" t="s">
        <v>1331</v>
      </c>
    </row>
    <row r="179" spans="1:3" x14ac:dyDescent="0.25">
      <c r="A179" s="247">
        <v>41578</v>
      </c>
      <c r="B179" s="248">
        <v>4.6168981481481484E-2</v>
      </c>
      <c r="C179" s="1009" t="s">
        <v>1311</v>
      </c>
    </row>
    <row r="180" spans="1:3" x14ac:dyDescent="0.25">
      <c r="A180" s="247">
        <v>41578</v>
      </c>
      <c r="B180" s="248">
        <v>4.6168981481481484E-2</v>
      </c>
      <c r="C180" s="1009" t="s">
        <v>1312</v>
      </c>
    </row>
    <row r="181" spans="1:3" x14ac:dyDescent="0.25">
      <c r="A181" s="247">
        <v>41578</v>
      </c>
      <c r="B181" s="248">
        <v>4.6192129629629632E-2</v>
      </c>
      <c r="C181" s="1009" t="s">
        <v>1313</v>
      </c>
    </row>
    <row r="182" spans="1:3" x14ac:dyDescent="0.25">
      <c r="A182" s="247">
        <v>41578</v>
      </c>
      <c r="B182" s="248">
        <v>4.6192129629629632E-2</v>
      </c>
      <c r="C182" s="1009" t="s">
        <v>1273</v>
      </c>
    </row>
    <row r="183" spans="1:3" x14ac:dyDescent="0.25">
      <c r="A183" s="247">
        <v>41578</v>
      </c>
      <c r="B183" s="248">
        <v>4.6273148148148147E-2</v>
      </c>
      <c r="C183" s="1009" t="s">
        <v>1274</v>
      </c>
    </row>
    <row r="184" spans="1:3" x14ac:dyDescent="0.25">
      <c r="A184" s="247">
        <v>41578</v>
      </c>
      <c r="B184" s="248">
        <v>4.628472222222222E-2</v>
      </c>
      <c r="C184" s="1009" t="s">
        <v>1314</v>
      </c>
    </row>
    <row r="185" spans="1:3" x14ac:dyDescent="0.25">
      <c r="A185" s="247">
        <v>41578</v>
      </c>
      <c r="B185" s="248">
        <v>4.6331018518518514E-2</v>
      </c>
      <c r="C185" s="1009" t="s">
        <v>1332</v>
      </c>
    </row>
    <row r="186" spans="1:3" x14ac:dyDescent="0.25">
      <c r="A186" s="247">
        <v>41578</v>
      </c>
      <c r="B186" s="248">
        <v>5.151620370370371E-2</v>
      </c>
      <c r="C186" s="1009" t="s">
        <v>1331</v>
      </c>
    </row>
    <row r="187" spans="1:3" x14ac:dyDescent="0.25">
      <c r="A187" s="247">
        <v>41578</v>
      </c>
      <c r="B187" s="248">
        <v>5.151620370370371E-2</v>
      </c>
      <c r="C187" s="1009" t="s">
        <v>1273</v>
      </c>
    </row>
    <row r="188" spans="1:3" x14ac:dyDescent="0.25">
      <c r="A188" s="247">
        <v>41578</v>
      </c>
      <c r="B188" s="248">
        <v>5.1597222222222218E-2</v>
      </c>
      <c r="C188" s="1009" t="s">
        <v>1274</v>
      </c>
    </row>
    <row r="189" spans="1:3" x14ac:dyDescent="0.25">
      <c r="A189" s="247">
        <v>41578</v>
      </c>
      <c r="B189" s="248">
        <v>5.1597222222222218E-2</v>
      </c>
      <c r="C189" s="1009" t="s">
        <v>1314</v>
      </c>
    </row>
    <row r="190" spans="1:3" x14ac:dyDescent="0.25">
      <c r="A190" s="247">
        <v>41578</v>
      </c>
      <c r="B190" s="248">
        <v>5.1643518518518526E-2</v>
      </c>
      <c r="C190" s="1009" t="s">
        <v>1332</v>
      </c>
    </row>
    <row r="191" spans="1:3" x14ac:dyDescent="0.25">
      <c r="A191" s="247">
        <v>41578</v>
      </c>
      <c r="B191" s="248">
        <v>6.4652777777777781E-2</v>
      </c>
      <c r="C191" s="1009" t="s">
        <v>1262</v>
      </c>
    </row>
    <row r="192" spans="1:3" x14ac:dyDescent="0.25">
      <c r="A192" s="247">
        <v>41578</v>
      </c>
      <c r="B192" s="248">
        <v>6.4652777777777781E-2</v>
      </c>
      <c r="C192" s="1009" t="s">
        <v>1331</v>
      </c>
    </row>
    <row r="193" spans="1:3" x14ac:dyDescent="0.25">
      <c r="A193" s="247">
        <v>41578</v>
      </c>
      <c r="B193" s="248">
        <v>6.4652777777777781E-2</v>
      </c>
      <c r="C193" s="1009" t="s">
        <v>1320</v>
      </c>
    </row>
    <row r="194" spans="1:3" x14ac:dyDescent="0.25">
      <c r="A194" s="247">
        <v>41578</v>
      </c>
      <c r="B194" s="248">
        <v>6.4652777777777781E-2</v>
      </c>
      <c r="C194" s="1009" t="s">
        <v>1282</v>
      </c>
    </row>
    <row r="195" spans="1:3" x14ac:dyDescent="0.25">
      <c r="A195" s="247">
        <v>41578</v>
      </c>
      <c r="B195" s="248">
        <v>6.4791666666666664E-2</v>
      </c>
      <c r="C195" s="1009" t="s">
        <v>1317</v>
      </c>
    </row>
    <row r="196" spans="1:3" x14ac:dyDescent="0.25">
      <c r="A196" s="247">
        <v>41578</v>
      </c>
      <c r="B196" s="248">
        <v>6.5046296296296297E-2</v>
      </c>
      <c r="C196" s="1009" t="s">
        <v>1299</v>
      </c>
    </row>
    <row r="197" spans="1:3" x14ac:dyDescent="0.25">
      <c r="A197" s="247">
        <v>41578</v>
      </c>
      <c r="B197" s="248">
        <v>6.5046296296296297E-2</v>
      </c>
      <c r="C197" s="1009" t="s">
        <v>1300</v>
      </c>
    </row>
    <row r="198" spans="1:3" x14ac:dyDescent="0.25">
      <c r="A198" s="247">
        <v>41578</v>
      </c>
      <c r="B198" s="248">
        <v>6.5046296296296297E-2</v>
      </c>
      <c r="C198" s="1009" t="s">
        <v>1301</v>
      </c>
    </row>
    <row r="199" spans="1:3" x14ac:dyDescent="0.25">
      <c r="A199" s="247">
        <v>41578</v>
      </c>
      <c r="B199" s="248">
        <v>6.5057870370370363E-2</v>
      </c>
      <c r="C199" s="1009" t="s">
        <v>1302</v>
      </c>
    </row>
    <row r="200" spans="1:3" x14ac:dyDescent="0.25">
      <c r="A200" s="247">
        <v>41578</v>
      </c>
      <c r="B200" s="248">
        <v>6.5057870370370363E-2</v>
      </c>
      <c r="C200" s="1009" t="s">
        <v>1303</v>
      </c>
    </row>
    <row r="201" spans="1:3" x14ac:dyDescent="0.25">
      <c r="A201" s="247">
        <v>41578</v>
      </c>
      <c r="B201" s="248">
        <v>6.5057870370370363E-2</v>
      </c>
      <c r="C201" s="1009" t="s">
        <v>1304</v>
      </c>
    </row>
    <row r="202" spans="1:3" x14ac:dyDescent="0.25">
      <c r="A202" s="247">
        <v>41578</v>
      </c>
      <c r="B202" s="248">
        <v>6.5057870370370363E-2</v>
      </c>
      <c r="C202" s="1009" t="s">
        <v>1305</v>
      </c>
    </row>
    <row r="203" spans="1:3" x14ac:dyDescent="0.25">
      <c r="A203" s="247">
        <v>41578</v>
      </c>
      <c r="B203" s="248">
        <v>6.5057870370370363E-2</v>
      </c>
      <c r="C203" s="1009" t="s">
        <v>1306</v>
      </c>
    </row>
    <row r="204" spans="1:3" x14ac:dyDescent="0.25">
      <c r="A204" s="247">
        <v>41578</v>
      </c>
      <c r="B204" s="248">
        <v>6.5057870370370363E-2</v>
      </c>
      <c r="C204" s="1009" t="s">
        <v>1307</v>
      </c>
    </row>
    <row r="205" spans="1:3" x14ac:dyDescent="0.25">
      <c r="A205" s="247">
        <v>41578</v>
      </c>
      <c r="B205" s="248">
        <v>6.5057870370370363E-2</v>
      </c>
      <c r="C205" s="1009" t="s">
        <v>1308</v>
      </c>
    </row>
    <row r="206" spans="1:3" x14ac:dyDescent="0.25">
      <c r="A206" s="247">
        <v>41578</v>
      </c>
      <c r="B206" s="248">
        <v>6.5057870370370363E-2</v>
      </c>
      <c r="C206" s="1009" t="s">
        <v>1309</v>
      </c>
    </row>
    <row r="207" spans="1:3" x14ac:dyDescent="0.25">
      <c r="A207" s="247">
        <v>41578</v>
      </c>
      <c r="B207" s="248">
        <v>6.5057870370370363E-2</v>
      </c>
      <c r="C207" s="1009" t="s">
        <v>1310</v>
      </c>
    </row>
    <row r="208" spans="1:3" x14ac:dyDescent="0.25">
      <c r="A208" s="247">
        <v>41578</v>
      </c>
      <c r="B208" s="248">
        <v>6.5717592592592591E-2</v>
      </c>
      <c r="C208" s="1009" t="s">
        <v>1331</v>
      </c>
    </row>
    <row r="209" spans="1:3" x14ac:dyDescent="0.25">
      <c r="A209" s="247">
        <v>41578</v>
      </c>
      <c r="B209" s="248">
        <v>6.5717592592592591E-2</v>
      </c>
      <c r="C209" s="1009" t="s">
        <v>1311</v>
      </c>
    </row>
    <row r="210" spans="1:3" x14ac:dyDescent="0.25">
      <c r="A210" s="247">
        <v>41578</v>
      </c>
      <c r="B210" s="248">
        <v>6.5717592592592591E-2</v>
      </c>
      <c r="C210" s="1009" t="s">
        <v>1312</v>
      </c>
    </row>
    <row r="211" spans="1:3" x14ac:dyDescent="0.25">
      <c r="A211" s="247">
        <v>41578</v>
      </c>
      <c r="B211" s="248">
        <v>6.5729166666666672E-2</v>
      </c>
      <c r="C211" s="1009" t="s">
        <v>1333</v>
      </c>
    </row>
    <row r="212" spans="1:3" x14ac:dyDescent="0.25">
      <c r="A212" s="247">
        <v>41578</v>
      </c>
      <c r="B212" s="248">
        <v>6.5729166666666672E-2</v>
      </c>
      <c r="C212" s="1009" t="s">
        <v>1334</v>
      </c>
    </row>
    <row r="213" spans="1:3" x14ac:dyDescent="0.25">
      <c r="A213" s="247">
        <v>41578</v>
      </c>
      <c r="B213" s="248">
        <v>6.5740740740740738E-2</v>
      </c>
      <c r="C213" s="1009" t="s">
        <v>1273</v>
      </c>
    </row>
    <row r="214" spans="1:3" x14ac:dyDescent="0.25">
      <c r="A214" s="247">
        <v>41578</v>
      </c>
      <c r="B214" s="248">
        <v>6.5833333333333341E-2</v>
      </c>
      <c r="C214" s="1009" t="s">
        <v>1274</v>
      </c>
    </row>
    <row r="215" spans="1:3" x14ac:dyDescent="0.25">
      <c r="A215" s="247">
        <v>41578</v>
      </c>
      <c r="B215" s="248">
        <v>6.5856481481481488E-2</v>
      </c>
      <c r="C215" s="1009" t="s">
        <v>1314</v>
      </c>
    </row>
    <row r="216" spans="1:3" x14ac:dyDescent="0.25">
      <c r="A216" s="247">
        <v>41578</v>
      </c>
      <c r="B216" s="248">
        <v>6.5902777777777768E-2</v>
      </c>
      <c r="C216" s="1009" t="s">
        <v>1332</v>
      </c>
    </row>
    <row r="217" spans="1:3" ht="45" x14ac:dyDescent="0.25">
      <c r="A217" s="247">
        <v>41578</v>
      </c>
      <c r="B217" s="248">
        <v>7.3252314814814812E-2</v>
      </c>
      <c r="C217" s="1005" t="s">
        <v>1335</v>
      </c>
    </row>
    <row r="218" spans="1:3" ht="30" x14ac:dyDescent="0.25">
      <c r="A218" s="247">
        <v>41578</v>
      </c>
      <c r="B218" s="248">
        <v>7.3738425925925929E-2</v>
      </c>
      <c r="C218" s="1005" t="s">
        <v>1336</v>
      </c>
    </row>
    <row r="219" spans="1:3" x14ac:dyDescent="0.25">
      <c r="A219" s="247">
        <v>41578</v>
      </c>
      <c r="B219" s="248">
        <v>7.3738425925925929E-2</v>
      </c>
      <c r="C219" s="1009" t="s">
        <v>1329</v>
      </c>
    </row>
    <row r="220" spans="1:3" x14ac:dyDescent="0.25">
      <c r="A220" s="247">
        <v>41578</v>
      </c>
      <c r="B220" s="248">
        <v>7.3877314814814812E-2</v>
      </c>
      <c r="C220" s="1009" t="s">
        <v>1320</v>
      </c>
    </row>
    <row r="221" spans="1:3" x14ac:dyDescent="0.25">
      <c r="A221" s="247">
        <v>41578</v>
      </c>
      <c r="B221" s="248">
        <v>7.3877314814814812E-2</v>
      </c>
      <c r="C221" s="1009" t="s">
        <v>1282</v>
      </c>
    </row>
    <row r="222" spans="1:3" x14ac:dyDescent="0.25">
      <c r="A222" s="247">
        <v>41578</v>
      </c>
      <c r="B222" s="248">
        <v>7.3993055555555562E-2</v>
      </c>
      <c r="C222" s="1009" t="s">
        <v>1317</v>
      </c>
    </row>
    <row r="223" spans="1:3" ht="30" x14ac:dyDescent="0.25">
      <c r="A223" s="247">
        <v>41578</v>
      </c>
      <c r="B223" s="248">
        <v>7.4432870370370371E-2</v>
      </c>
      <c r="C223" s="1005" t="s">
        <v>1337</v>
      </c>
    </row>
    <row r="224" spans="1:3" x14ac:dyDescent="0.25">
      <c r="A224" s="247">
        <v>41578</v>
      </c>
      <c r="B224" s="248">
        <v>7.4456018518518519E-2</v>
      </c>
      <c r="C224" s="1009" t="s">
        <v>1338</v>
      </c>
    </row>
    <row r="225" spans="1:3" x14ac:dyDescent="0.25">
      <c r="A225" s="247">
        <v>41578</v>
      </c>
      <c r="B225" s="248">
        <v>7.4548611111111107E-2</v>
      </c>
      <c r="C225" s="1009" t="s">
        <v>1339</v>
      </c>
    </row>
    <row r="226" spans="1:3" ht="45" x14ac:dyDescent="0.25">
      <c r="A226" s="247">
        <v>41578</v>
      </c>
      <c r="B226" s="248">
        <v>7.4722222222222232E-2</v>
      </c>
      <c r="C226" s="1005" t="s">
        <v>1340</v>
      </c>
    </row>
    <row r="227" spans="1:3" x14ac:dyDescent="0.25">
      <c r="A227" s="247">
        <v>41578</v>
      </c>
      <c r="B227" s="248">
        <v>7.4722222222222232E-2</v>
      </c>
      <c r="C227" s="1009" t="s">
        <v>1323</v>
      </c>
    </row>
    <row r="228" spans="1:3" ht="30" x14ac:dyDescent="0.25">
      <c r="A228" s="247">
        <v>41578</v>
      </c>
      <c r="B228" s="248">
        <v>7.4849537037037034E-2</v>
      </c>
      <c r="C228" s="1005" t="s">
        <v>1341</v>
      </c>
    </row>
    <row r="229" spans="1:3" x14ac:dyDescent="0.25">
      <c r="A229" s="247">
        <v>41578</v>
      </c>
      <c r="B229" s="248">
        <v>7.4861111111111114E-2</v>
      </c>
      <c r="C229" s="1009" t="s">
        <v>1318</v>
      </c>
    </row>
    <row r="230" spans="1:3" x14ac:dyDescent="0.25">
      <c r="A230" s="247">
        <v>41578</v>
      </c>
      <c r="B230" s="248">
        <v>7.4861111111111114E-2</v>
      </c>
      <c r="C230" s="1009" t="s">
        <v>1286</v>
      </c>
    </row>
    <row r="231" spans="1:3" x14ac:dyDescent="0.25">
      <c r="A231" s="247">
        <v>41578</v>
      </c>
      <c r="B231" s="248">
        <v>7.4872685185185181E-2</v>
      </c>
      <c r="C231" s="1009" t="s">
        <v>1296</v>
      </c>
    </row>
    <row r="232" spans="1:3" x14ac:dyDescent="0.25">
      <c r="A232" s="247">
        <v>41578</v>
      </c>
      <c r="B232" s="248">
        <v>7.4884259259259262E-2</v>
      </c>
      <c r="C232" s="1009" t="s">
        <v>1274</v>
      </c>
    </row>
    <row r="233" spans="1:3" x14ac:dyDescent="0.25">
      <c r="A233" s="247">
        <v>41578</v>
      </c>
      <c r="B233" s="248">
        <v>7.4907407407407409E-2</v>
      </c>
      <c r="C233" s="1009" t="s">
        <v>1342</v>
      </c>
    </row>
    <row r="234" spans="1:3" x14ac:dyDescent="0.25">
      <c r="A234" s="247">
        <v>41578</v>
      </c>
      <c r="B234" s="248">
        <v>7.5219907407407416E-2</v>
      </c>
      <c r="C234" s="1009" t="s">
        <v>1262</v>
      </c>
    </row>
    <row r="235" spans="1:3" x14ac:dyDescent="0.25">
      <c r="A235" s="247">
        <v>41578</v>
      </c>
      <c r="B235" s="248">
        <v>7.5219907407407416E-2</v>
      </c>
      <c r="C235" s="1009" t="s">
        <v>1320</v>
      </c>
    </row>
    <row r="236" spans="1:3" ht="45" x14ac:dyDescent="0.25">
      <c r="A236" s="247">
        <v>41578</v>
      </c>
      <c r="B236" s="248">
        <v>7.5891203703703711E-2</v>
      </c>
      <c r="C236" s="1005" t="s">
        <v>1343</v>
      </c>
    </row>
    <row r="237" spans="1:3" x14ac:dyDescent="0.25">
      <c r="A237" s="247">
        <v>41578</v>
      </c>
      <c r="B237" s="248">
        <v>7.5995370370370366E-2</v>
      </c>
      <c r="C237" s="1009" t="s">
        <v>1282</v>
      </c>
    </row>
    <row r="238" spans="1:3" x14ac:dyDescent="0.25">
      <c r="A238" s="247">
        <v>41578</v>
      </c>
      <c r="B238" s="248">
        <v>7.6122685185185182E-2</v>
      </c>
      <c r="C238" s="1009" t="s">
        <v>1344</v>
      </c>
    </row>
    <row r="239" spans="1:3" x14ac:dyDescent="0.25">
      <c r="A239" s="247">
        <v>41578</v>
      </c>
      <c r="B239" s="248">
        <v>7.6134259259259263E-2</v>
      </c>
      <c r="C239" s="1009" t="s">
        <v>1318</v>
      </c>
    </row>
    <row r="240" spans="1:3" ht="45" x14ac:dyDescent="0.25">
      <c r="A240" s="247">
        <v>41578</v>
      </c>
      <c r="B240" s="248">
        <v>7.6226851851851851E-2</v>
      </c>
      <c r="C240" s="1005" t="s">
        <v>1345</v>
      </c>
    </row>
    <row r="241" spans="1:3" x14ac:dyDescent="0.25">
      <c r="A241" s="247">
        <v>41578</v>
      </c>
      <c r="B241" s="248">
        <v>7.6273148148148159E-2</v>
      </c>
      <c r="C241" s="1009" t="s">
        <v>1286</v>
      </c>
    </row>
    <row r="242" spans="1:3" x14ac:dyDescent="0.25">
      <c r="A242" s="247">
        <v>41578</v>
      </c>
      <c r="B242" s="248">
        <v>7.6284722222222226E-2</v>
      </c>
      <c r="C242" s="1009" t="s">
        <v>1346</v>
      </c>
    </row>
    <row r="243" spans="1:3" x14ac:dyDescent="0.25">
      <c r="A243" s="247">
        <v>41578</v>
      </c>
      <c r="B243" s="248">
        <v>7.6296296296296293E-2</v>
      </c>
      <c r="C243" s="1009" t="s">
        <v>1263</v>
      </c>
    </row>
    <row r="244" spans="1:3" x14ac:dyDescent="0.25">
      <c r="A244" s="247">
        <v>41578</v>
      </c>
      <c r="B244" s="248">
        <v>7.6296296296296293E-2</v>
      </c>
      <c r="C244" s="1009" t="s">
        <v>1272</v>
      </c>
    </row>
    <row r="245" spans="1:3" x14ac:dyDescent="0.25">
      <c r="A245" s="247">
        <v>41578</v>
      </c>
      <c r="B245" s="248">
        <v>7.6307870370370359E-2</v>
      </c>
      <c r="C245" s="1009" t="s">
        <v>1264</v>
      </c>
    </row>
    <row r="246" spans="1:3" x14ac:dyDescent="0.25">
      <c r="A246" s="247">
        <v>41578</v>
      </c>
      <c r="B246" s="248">
        <v>7.631944444444444E-2</v>
      </c>
      <c r="C246" s="1009" t="s">
        <v>1347</v>
      </c>
    </row>
    <row r="247" spans="1:3" x14ac:dyDescent="0.25">
      <c r="A247" s="247">
        <v>41578</v>
      </c>
      <c r="B247" s="248">
        <v>7.631944444444444E-2</v>
      </c>
      <c r="C247" s="1009" t="s">
        <v>1348</v>
      </c>
    </row>
    <row r="248" spans="1:3" x14ac:dyDescent="0.25">
      <c r="A248" s="247">
        <v>41578</v>
      </c>
      <c r="B248" s="248">
        <v>7.631944444444444E-2</v>
      </c>
      <c r="C248" s="1009" t="s">
        <v>1282</v>
      </c>
    </row>
    <row r="249" spans="1:3" x14ac:dyDescent="0.25">
      <c r="A249" s="247">
        <v>41578</v>
      </c>
      <c r="B249" s="248">
        <v>7.6435185185185189E-2</v>
      </c>
      <c r="C249" s="1009" t="s">
        <v>1344</v>
      </c>
    </row>
    <row r="250" spans="1:3" ht="30" x14ac:dyDescent="0.25">
      <c r="A250" s="247">
        <v>41578</v>
      </c>
      <c r="B250" s="248">
        <v>7.677083333333333E-2</v>
      </c>
      <c r="C250" s="1005" t="s">
        <v>1349</v>
      </c>
    </row>
    <row r="251" spans="1:3" x14ac:dyDescent="0.25">
      <c r="A251" s="247">
        <v>41578</v>
      </c>
      <c r="B251" s="248">
        <v>7.6817129629629624E-2</v>
      </c>
      <c r="C251" s="1009" t="s">
        <v>1338</v>
      </c>
    </row>
    <row r="252" spans="1:3" x14ac:dyDescent="0.25">
      <c r="A252" s="247">
        <v>41578</v>
      </c>
      <c r="B252" s="248">
        <v>7.6898148148148146E-2</v>
      </c>
      <c r="C252" s="1009" t="s">
        <v>1350</v>
      </c>
    </row>
    <row r="253" spans="1:3" x14ac:dyDescent="0.25">
      <c r="A253" s="247">
        <v>41578</v>
      </c>
      <c r="B253" s="248">
        <v>7.6909722222222213E-2</v>
      </c>
      <c r="C253" s="1009" t="s">
        <v>1351</v>
      </c>
    </row>
    <row r="254" spans="1:3" ht="30" x14ac:dyDescent="0.25">
      <c r="A254" s="247">
        <v>41578</v>
      </c>
      <c r="B254" s="248">
        <v>7.6979166666666668E-2</v>
      </c>
      <c r="C254" s="1005" t="s">
        <v>1352</v>
      </c>
    </row>
    <row r="255" spans="1:3" x14ac:dyDescent="0.25">
      <c r="A255" s="247">
        <v>41578</v>
      </c>
      <c r="B255" s="248">
        <v>7.6990740740740735E-2</v>
      </c>
      <c r="C255" s="1009" t="s">
        <v>1353</v>
      </c>
    </row>
    <row r="256" spans="1:3" x14ac:dyDescent="0.25">
      <c r="A256" s="247">
        <v>41578</v>
      </c>
      <c r="B256" s="248">
        <v>7.6990740740740735E-2</v>
      </c>
      <c r="C256" s="1009" t="s">
        <v>1286</v>
      </c>
    </row>
    <row r="257" spans="1:3" x14ac:dyDescent="0.25">
      <c r="A257" s="247">
        <v>41578</v>
      </c>
      <c r="B257" s="248">
        <v>7.7013888888888882E-2</v>
      </c>
      <c r="C257" s="1009" t="s">
        <v>1346</v>
      </c>
    </row>
    <row r="258" spans="1:3" x14ac:dyDescent="0.25">
      <c r="A258" s="247">
        <v>41578</v>
      </c>
      <c r="B258" s="248">
        <v>7.7013888888888882E-2</v>
      </c>
      <c r="C258" s="1009" t="s">
        <v>1274</v>
      </c>
    </row>
    <row r="259" spans="1:3" x14ac:dyDescent="0.25">
      <c r="A259" s="247">
        <v>41578</v>
      </c>
      <c r="B259" s="248">
        <v>7.7025462962962962E-2</v>
      </c>
      <c r="C259" s="1009" t="s">
        <v>1342</v>
      </c>
    </row>
    <row r="260" spans="1:3" x14ac:dyDescent="0.25">
      <c r="A260" s="247">
        <v>41578</v>
      </c>
      <c r="B260" s="248">
        <v>7.7037037037037029E-2</v>
      </c>
      <c r="C260" s="1009" t="s">
        <v>1265</v>
      </c>
    </row>
    <row r="261" spans="1:3" x14ac:dyDescent="0.25">
      <c r="A261" s="247">
        <v>41578</v>
      </c>
      <c r="B261" s="248">
        <v>7.7037037037037029E-2</v>
      </c>
      <c r="C261" s="1009" t="s">
        <v>1275</v>
      </c>
    </row>
    <row r="262" spans="1:3" x14ac:dyDescent="0.25">
      <c r="A262" s="247">
        <v>41578</v>
      </c>
      <c r="B262" s="248">
        <v>7.7048611111111109E-2</v>
      </c>
      <c r="C262" s="1009" t="s">
        <v>1266</v>
      </c>
    </row>
    <row r="263" spans="1:3" x14ac:dyDescent="0.25">
      <c r="A263" s="247">
        <v>41578</v>
      </c>
      <c r="B263" s="248">
        <v>7.7048611111111109E-2</v>
      </c>
      <c r="C263" s="1009" t="s">
        <v>1267</v>
      </c>
    </row>
    <row r="264" spans="1:3" x14ac:dyDescent="0.25">
      <c r="A264" s="247">
        <v>41578</v>
      </c>
      <c r="B264" s="248">
        <v>7.7048611111111109E-2</v>
      </c>
      <c r="C264" s="1009" t="s">
        <v>1348</v>
      </c>
    </row>
    <row r="265" spans="1:3" ht="45" x14ac:dyDescent="0.25">
      <c r="A265" s="247">
        <v>41578</v>
      </c>
      <c r="B265" s="248">
        <v>7.767361111111111E-2</v>
      </c>
      <c r="C265" s="1005" t="s">
        <v>1354</v>
      </c>
    </row>
    <row r="266" spans="1:3" x14ac:dyDescent="0.25">
      <c r="A266" s="247">
        <v>41578</v>
      </c>
      <c r="B266" s="248">
        <v>7.778935185185186E-2</v>
      </c>
      <c r="C266" s="1009" t="s">
        <v>1282</v>
      </c>
    </row>
    <row r="267" spans="1:3" x14ac:dyDescent="0.25">
      <c r="A267" s="247">
        <v>41578</v>
      </c>
      <c r="B267" s="248">
        <v>7.7905092592592595E-2</v>
      </c>
      <c r="C267" s="1009" t="s">
        <v>1344</v>
      </c>
    </row>
    <row r="268" spans="1:3" x14ac:dyDescent="0.25">
      <c r="A268" s="247">
        <v>41578</v>
      </c>
      <c r="B268" s="248">
        <v>7.7916666666666676E-2</v>
      </c>
      <c r="C268" s="1009" t="s">
        <v>1353</v>
      </c>
    </row>
    <row r="269" spans="1:3" x14ac:dyDescent="0.25">
      <c r="A269" s="247">
        <v>41578</v>
      </c>
      <c r="B269" s="248">
        <v>7.7916666666666676E-2</v>
      </c>
      <c r="C269" s="1009" t="s">
        <v>1286</v>
      </c>
    </row>
    <row r="270" spans="1:3" x14ac:dyDescent="0.25">
      <c r="A270" s="247">
        <v>41578</v>
      </c>
      <c r="B270" s="248">
        <v>7.7928240740740742E-2</v>
      </c>
      <c r="C270" s="1009" t="s">
        <v>1346</v>
      </c>
    </row>
    <row r="271" spans="1:3" x14ac:dyDescent="0.25">
      <c r="A271" s="247">
        <v>41578</v>
      </c>
      <c r="B271" s="248">
        <v>7.7939814814814809E-2</v>
      </c>
      <c r="C271" s="1009" t="s">
        <v>1263</v>
      </c>
    </row>
    <row r="272" spans="1:3" x14ac:dyDescent="0.25">
      <c r="A272" s="247">
        <v>41578</v>
      </c>
      <c r="B272" s="248">
        <v>7.7939814814814809E-2</v>
      </c>
      <c r="C272" s="1009" t="s">
        <v>1272</v>
      </c>
    </row>
    <row r="273" spans="1:3" x14ac:dyDescent="0.25">
      <c r="A273" s="247">
        <v>41578</v>
      </c>
      <c r="B273" s="248">
        <v>7.795138888888889E-2</v>
      </c>
      <c r="C273" s="1009" t="s">
        <v>1264</v>
      </c>
    </row>
    <row r="274" spans="1:3" x14ac:dyDescent="0.25">
      <c r="A274" s="247">
        <v>41578</v>
      </c>
      <c r="B274" s="248">
        <v>7.7962962962962956E-2</v>
      </c>
      <c r="C274" s="1009" t="s">
        <v>1276</v>
      </c>
    </row>
    <row r="275" spans="1:3" x14ac:dyDescent="0.25">
      <c r="A275" s="247">
        <v>41578</v>
      </c>
      <c r="B275" s="248">
        <v>7.8009259259259264E-2</v>
      </c>
      <c r="C275" s="1009" t="s">
        <v>1268</v>
      </c>
    </row>
    <row r="276" spans="1:3" x14ac:dyDescent="0.25">
      <c r="A276" s="247">
        <v>41578</v>
      </c>
      <c r="B276" s="248">
        <v>7.8020833333333331E-2</v>
      </c>
      <c r="C276" s="1009" t="s">
        <v>1355</v>
      </c>
    </row>
    <row r="277" spans="1:3" x14ac:dyDescent="0.25">
      <c r="A277" s="247">
        <v>41578</v>
      </c>
      <c r="B277" s="248">
        <v>7.8020833333333331E-2</v>
      </c>
      <c r="C277" s="1009" t="s">
        <v>1348</v>
      </c>
    </row>
    <row r="278" spans="1:3" x14ac:dyDescent="0.25">
      <c r="A278" s="247">
        <v>41578</v>
      </c>
      <c r="B278" s="248">
        <v>7.8020833333333331E-2</v>
      </c>
      <c r="C278" s="1009" t="s">
        <v>1282</v>
      </c>
    </row>
    <row r="279" spans="1:3" x14ac:dyDescent="0.25">
      <c r="A279" s="247">
        <v>41578</v>
      </c>
      <c r="B279" s="248">
        <v>7.8136574074074081E-2</v>
      </c>
      <c r="C279" s="1009" t="s">
        <v>1344</v>
      </c>
    </row>
    <row r="280" spans="1:3" x14ac:dyDescent="0.25">
      <c r="A280" s="247">
        <v>41578</v>
      </c>
      <c r="B280" s="248">
        <v>7.8344907407407405E-2</v>
      </c>
      <c r="C280" s="1009" t="s">
        <v>1356</v>
      </c>
    </row>
    <row r="281" spans="1:3" x14ac:dyDescent="0.25">
      <c r="A281" s="247">
        <v>41578</v>
      </c>
      <c r="B281" s="248">
        <v>7.8344907407407405E-2</v>
      </c>
      <c r="C281" s="1009" t="s">
        <v>1357</v>
      </c>
    </row>
    <row r="282" spans="1:3" x14ac:dyDescent="0.25">
      <c r="A282" s="247">
        <v>41578</v>
      </c>
      <c r="B282" s="248">
        <v>7.8344907407407405E-2</v>
      </c>
      <c r="C282" s="1009" t="s">
        <v>1358</v>
      </c>
    </row>
    <row r="283" spans="1:3" x14ac:dyDescent="0.25">
      <c r="A283" s="247">
        <v>41578</v>
      </c>
      <c r="B283" s="248">
        <v>7.8344907407407405E-2</v>
      </c>
      <c r="C283" s="1009" t="s">
        <v>1359</v>
      </c>
    </row>
    <row r="284" spans="1:3" x14ac:dyDescent="0.25">
      <c r="A284" s="247">
        <v>41578</v>
      </c>
      <c r="B284" s="248">
        <v>7.8344907407407405E-2</v>
      </c>
      <c r="C284" s="1009" t="s">
        <v>1360</v>
      </c>
    </row>
    <row r="285" spans="1:3" x14ac:dyDescent="0.25">
      <c r="A285" s="247">
        <v>41578</v>
      </c>
      <c r="B285" s="248">
        <v>7.8344907407407405E-2</v>
      </c>
      <c r="C285" s="1009" t="s">
        <v>1361</v>
      </c>
    </row>
    <row r="286" spans="1:3" x14ac:dyDescent="0.25">
      <c r="A286" s="247">
        <v>41578</v>
      </c>
      <c r="B286" s="248">
        <v>7.8344907407407405E-2</v>
      </c>
      <c r="C286" s="1009" t="s">
        <v>1362</v>
      </c>
    </row>
    <row r="287" spans="1:3" x14ac:dyDescent="0.25">
      <c r="A287" s="247">
        <v>41578</v>
      </c>
      <c r="B287" s="248">
        <v>7.8344907407407405E-2</v>
      </c>
      <c r="C287" s="1009" t="s">
        <v>1363</v>
      </c>
    </row>
    <row r="288" spans="1:3" x14ac:dyDescent="0.25">
      <c r="A288" s="247">
        <v>41578</v>
      </c>
      <c r="B288" s="248">
        <v>7.8344907407407405E-2</v>
      </c>
      <c r="C288" s="1009" t="s">
        <v>1364</v>
      </c>
    </row>
    <row r="289" spans="1:3" x14ac:dyDescent="0.25">
      <c r="A289" s="247">
        <v>41578</v>
      </c>
      <c r="B289" s="248">
        <v>7.8344907407407405E-2</v>
      </c>
      <c r="C289" s="1009" t="s">
        <v>1365</v>
      </c>
    </row>
    <row r="290" spans="1:3" x14ac:dyDescent="0.25">
      <c r="A290" s="247">
        <v>41578</v>
      </c>
      <c r="B290" s="248">
        <v>7.8344907407407405E-2</v>
      </c>
      <c r="C290" s="1009" t="s">
        <v>1366</v>
      </c>
    </row>
    <row r="291" spans="1:3" x14ac:dyDescent="0.25">
      <c r="A291" s="247">
        <v>41578</v>
      </c>
      <c r="B291" s="248">
        <v>7.8344907407407405E-2</v>
      </c>
      <c r="C291" s="1009" t="s">
        <v>1367</v>
      </c>
    </row>
    <row r="292" spans="1:3" x14ac:dyDescent="0.25">
      <c r="A292" s="247">
        <v>41578</v>
      </c>
      <c r="B292" s="248">
        <v>7.8692129629629626E-2</v>
      </c>
      <c r="C292" s="1009" t="s">
        <v>1355</v>
      </c>
    </row>
    <row r="293" spans="1:3" x14ac:dyDescent="0.25">
      <c r="A293" s="247">
        <v>41578</v>
      </c>
      <c r="B293" s="248">
        <v>7.8692129629629626E-2</v>
      </c>
      <c r="C293" s="1009" t="s">
        <v>1311</v>
      </c>
    </row>
    <row r="294" spans="1:3" x14ac:dyDescent="0.25">
      <c r="A294" s="247">
        <v>41578</v>
      </c>
      <c r="B294" s="248">
        <v>7.8692129629629626E-2</v>
      </c>
      <c r="C294" s="1009" t="s">
        <v>1368</v>
      </c>
    </row>
    <row r="295" spans="1:3" x14ac:dyDescent="0.25">
      <c r="A295" s="247">
        <v>41578</v>
      </c>
      <c r="B295" s="248">
        <v>7.8703703703703706E-2</v>
      </c>
      <c r="C295" s="1009" t="s">
        <v>1313</v>
      </c>
    </row>
    <row r="296" spans="1:3" x14ac:dyDescent="0.25">
      <c r="A296" s="247">
        <v>41578</v>
      </c>
      <c r="B296" s="248">
        <v>7.8715277777777773E-2</v>
      </c>
      <c r="C296" s="1009" t="s">
        <v>1338</v>
      </c>
    </row>
    <row r="297" spans="1:3" x14ac:dyDescent="0.25">
      <c r="A297" s="247">
        <v>41578</v>
      </c>
      <c r="B297" s="248">
        <v>7.8784722222222228E-2</v>
      </c>
      <c r="C297" s="1009" t="s">
        <v>1274</v>
      </c>
    </row>
    <row r="298" spans="1:3" x14ac:dyDescent="0.25">
      <c r="A298" s="247">
        <v>41578</v>
      </c>
      <c r="B298" s="248">
        <v>7.8796296296296295E-2</v>
      </c>
      <c r="C298" s="1009" t="s">
        <v>1369</v>
      </c>
    </row>
    <row r="299" spans="1:3" x14ac:dyDescent="0.25">
      <c r="A299" s="247">
        <v>41578</v>
      </c>
      <c r="B299" s="248">
        <v>7.8831018518518522E-2</v>
      </c>
      <c r="C299" s="1009" t="s">
        <v>1370</v>
      </c>
    </row>
    <row r="300" spans="1:3" ht="30" x14ac:dyDescent="0.25">
      <c r="A300" s="247">
        <v>41578</v>
      </c>
      <c r="B300" s="248">
        <v>8.1643518518518518E-2</v>
      </c>
      <c r="C300" s="1005" t="s">
        <v>1371</v>
      </c>
    </row>
    <row r="301" spans="1:3" x14ac:dyDescent="0.25">
      <c r="A301" s="247">
        <v>41578</v>
      </c>
      <c r="B301" s="248">
        <v>8.1643518518518518E-2</v>
      </c>
      <c r="C301" s="1009" t="s">
        <v>1372</v>
      </c>
    </row>
    <row r="302" spans="1:3" x14ac:dyDescent="0.25">
      <c r="A302" s="247">
        <v>41578</v>
      </c>
      <c r="B302" s="248">
        <v>8.1782407407407401E-2</v>
      </c>
      <c r="C302" s="1009" t="s">
        <v>1348</v>
      </c>
    </row>
    <row r="303" spans="1:3" x14ac:dyDescent="0.25">
      <c r="A303" s="247">
        <v>41578</v>
      </c>
      <c r="B303" s="248">
        <v>8.1782407407407401E-2</v>
      </c>
      <c r="C303" s="1009" t="s">
        <v>1282</v>
      </c>
    </row>
    <row r="304" spans="1:3" x14ac:dyDescent="0.25">
      <c r="A304" s="247">
        <v>41578</v>
      </c>
      <c r="B304" s="248">
        <v>8.1921296296296298E-2</v>
      </c>
      <c r="C304" s="1009" t="s">
        <v>1373</v>
      </c>
    </row>
    <row r="305" spans="1:3" ht="30" x14ac:dyDescent="0.25">
      <c r="A305" s="247">
        <v>41578</v>
      </c>
      <c r="B305" s="248">
        <v>8.2291666666666666E-2</v>
      </c>
      <c r="C305" s="1005" t="s">
        <v>1374</v>
      </c>
    </row>
    <row r="306" spans="1:3" x14ac:dyDescent="0.25">
      <c r="A306" s="247">
        <v>41578</v>
      </c>
      <c r="B306" s="248">
        <v>8.2326388888888893E-2</v>
      </c>
      <c r="C306" s="1009" t="s">
        <v>1375</v>
      </c>
    </row>
    <row r="307" spans="1:3" x14ac:dyDescent="0.25">
      <c r="A307" s="247">
        <v>41578</v>
      </c>
      <c r="B307" s="248">
        <v>8.2407407407407415E-2</v>
      </c>
      <c r="C307" s="1009" t="s">
        <v>1376</v>
      </c>
    </row>
    <row r="308" spans="1:3" ht="45" x14ac:dyDescent="0.25">
      <c r="A308" s="247">
        <v>41586</v>
      </c>
      <c r="B308" s="248">
        <v>0.95390046296296294</v>
      </c>
      <c r="C308" s="1005" t="s">
        <v>1377</v>
      </c>
    </row>
    <row r="309" spans="1:3" x14ac:dyDescent="0.25">
      <c r="A309" s="247">
        <v>41586</v>
      </c>
      <c r="B309" s="248">
        <v>0.95391203703703698</v>
      </c>
      <c r="C309" s="1009" t="s">
        <v>1378</v>
      </c>
    </row>
    <row r="310" spans="1:3" ht="45" x14ac:dyDescent="0.25">
      <c r="A310" s="247">
        <v>41586</v>
      </c>
      <c r="B310" s="248">
        <v>0.95407407407407396</v>
      </c>
      <c r="C310" s="1005" t="s">
        <v>1379</v>
      </c>
    </row>
    <row r="311" spans="1:3" x14ac:dyDescent="0.25">
      <c r="A311" s="247">
        <v>41586</v>
      </c>
      <c r="B311" s="248">
        <v>0.95417824074074076</v>
      </c>
      <c r="C311" s="1009" t="s">
        <v>1380</v>
      </c>
    </row>
    <row r="312" spans="1:3" x14ac:dyDescent="0.25">
      <c r="A312" s="247">
        <v>41586</v>
      </c>
      <c r="B312" s="248">
        <v>0.95430555555555552</v>
      </c>
      <c r="C312" s="1009" t="s">
        <v>1381</v>
      </c>
    </row>
    <row r="313" spans="1:3" x14ac:dyDescent="0.25">
      <c r="A313" s="247">
        <v>41586</v>
      </c>
      <c r="B313" s="248">
        <v>0.95494212962962965</v>
      </c>
      <c r="C313" s="1009" t="s">
        <v>1382</v>
      </c>
    </row>
    <row r="314" spans="1:3" x14ac:dyDescent="0.25">
      <c r="A314" s="247">
        <v>41586</v>
      </c>
      <c r="B314" s="248">
        <v>0.95494212962962965</v>
      </c>
      <c r="C314" s="1009" t="s">
        <v>1380</v>
      </c>
    </row>
    <row r="315" spans="1:3" x14ac:dyDescent="0.25">
      <c r="A315" s="247">
        <v>41586</v>
      </c>
      <c r="B315" s="248">
        <v>0.95505787037037038</v>
      </c>
      <c r="C315" s="1009" t="s">
        <v>1381</v>
      </c>
    </row>
    <row r="316" spans="1:3" ht="45" x14ac:dyDescent="0.25">
      <c r="A316" s="247">
        <v>41586</v>
      </c>
      <c r="B316" s="248">
        <v>0.95582175925925927</v>
      </c>
      <c r="C316" s="1005" t="s">
        <v>1383</v>
      </c>
    </row>
    <row r="317" spans="1:3" x14ac:dyDescent="0.25">
      <c r="A317" s="247">
        <v>41586</v>
      </c>
      <c r="B317" s="248">
        <v>0.95582175925925927</v>
      </c>
      <c r="C317" s="1009" t="s">
        <v>1353</v>
      </c>
    </row>
    <row r="318" spans="1:3" ht="45" x14ac:dyDescent="0.25">
      <c r="A318" s="247">
        <v>41586</v>
      </c>
      <c r="B318" s="248">
        <v>0.9559375</v>
      </c>
      <c r="C318" s="1005" t="s">
        <v>1384</v>
      </c>
    </row>
    <row r="319" spans="1:3" x14ac:dyDescent="0.25">
      <c r="A319" s="247">
        <v>41586</v>
      </c>
      <c r="B319" s="248">
        <v>0.95604166666666668</v>
      </c>
      <c r="C319" s="1009" t="s">
        <v>1385</v>
      </c>
    </row>
    <row r="320" spans="1:3" x14ac:dyDescent="0.25">
      <c r="A320" s="247">
        <v>41586</v>
      </c>
      <c r="B320" s="248">
        <v>0.95605324074074083</v>
      </c>
      <c r="C320" s="1009" t="s">
        <v>1386</v>
      </c>
    </row>
    <row r="321" spans="1:3" ht="45" x14ac:dyDescent="0.25">
      <c r="A321" s="247">
        <v>41586</v>
      </c>
      <c r="B321" s="248">
        <v>0.95765046296296286</v>
      </c>
      <c r="C321" s="1005" t="s">
        <v>1387</v>
      </c>
    </row>
    <row r="322" spans="1:3" ht="45" x14ac:dyDescent="0.25">
      <c r="A322" s="247">
        <v>41586</v>
      </c>
      <c r="B322" s="248">
        <v>0.95795138888888898</v>
      </c>
      <c r="C322" s="1005" t="s">
        <v>1340</v>
      </c>
    </row>
    <row r="323" spans="1:3" x14ac:dyDescent="0.25">
      <c r="A323" s="247">
        <v>41586</v>
      </c>
      <c r="B323" s="248">
        <v>0.95795138888888898</v>
      </c>
      <c r="C323" s="1009" t="s">
        <v>1351</v>
      </c>
    </row>
    <row r="324" spans="1:3" ht="30" x14ac:dyDescent="0.25">
      <c r="A324" s="247">
        <v>41586</v>
      </c>
      <c r="B324" s="248">
        <v>0.95805555555555555</v>
      </c>
      <c r="C324" s="1005" t="s">
        <v>1388</v>
      </c>
    </row>
    <row r="325" spans="1:3" x14ac:dyDescent="0.25">
      <c r="A325" s="247">
        <v>41586</v>
      </c>
      <c r="B325" s="248">
        <v>0.95806712962962959</v>
      </c>
      <c r="C325" s="1009" t="s">
        <v>1389</v>
      </c>
    </row>
    <row r="326" spans="1:3" x14ac:dyDescent="0.25">
      <c r="A326" s="247">
        <v>41586</v>
      </c>
      <c r="B326" s="248">
        <v>0.95806712962962959</v>
      </c>
      <c r="C326" s="1009" t="s">
        <v>1385</v>
      </c>
    </row>
    <row r="327" spans="1:3" x14ac:dyDescent="0.25">
      <c r="A327" s="247">
        <v>41586</v>
      </c>
      <c r="B327" s="248">
        <v>0.95807870370370374</v>
      </c>
      <c r="C327" s="1009" t="s">
        <v>1386</v>
      </c>
    </row>
    <row r="328" spans="1:3" x14ac:dyDescent="0.25">
      <c r="A328" s="247">
        <v>41586</v>
      </c>
      <c r="B328" s="248">
        <v>0.95809027777777767</v>
      </c>
      <c r="C328" s="1009" t="s">
        <v>1274</v>
      </c>
    </row>
    <row r="329" spans="1:3" x14ac:dyDescent="0.25">
      <c r="A329" s="247">
        <v>41586</v>
      </c>
      <c r="B329" s="248">
        <v>0.95810185185185182</v>
      </c>
      <c r="C329" s="1009" t="s">
        <v>1390</v>
      </c>
    </row>
    <row r="330" spans="1:3" ht="30" x14ac:dyDescent="0.25">
      <c r="A330" s="247">
        <v>41586</v>
      </c>
      <c r="B330" s="248">
        <v>0.95946759259259251</v>
      </c>
      <c r="C330" s="1005" t="s">
        <v>1391</v>
      </c>
    </row>
    <row r="331" spans="1:3" x14ac:dyDescent="0.25">
      <c r="A331" s="247">
        <v>41586</v>
      </c>
      <c r="B331" s="248">
        <v>0.95947916666666666</v>
      </c>
      <c r="C331" s="1009" t="s">
        <v>1392</v>
      </c>
    </row>
    <row r="332" spans="1:3" x14ac:dyDescent="0.25">
      <c r="A332" s="247">
        <v>41586</v>
      </c>
      <c r="B332" s="248">
        <v>0.95961805555555557</v>
      </c>
      <c r="C332" s="1009" t="s">
        <v>1382</v>
      </c>
    </row>
    <row r="333" spans="1:3" x14ac:dyDescent="0.25">
      <c r="A333" s="247">
        <v>41586</v>
      </c>
      <c r="B333" s="248">
        <v>0.95961805555555557</v>
      </c>
      <c r="C333" s="1009" t="s">
        <v>1380</v>
      </c>
    </row>
    <row r="334" spans="1:3" x14ac:dyDescent="0.25">
      <c r="A334" s="247">
        <v>41586</v>
      </c>
      <c r="B334" s="248">
        <v>0.95973379629629629</v>
      </c>
      <c r="C334" s="1009" t="s">
        <v>1381</v>
      </c>
    </row>
    <row r="335" spans="1:3" ht="30" x14ac:dyDescent="0.25">
      <c r="A335" s="247">
        <v>41586</v>
      </c>
      <c r="B335" s="248">
        <v>0.96004629629629623</v>
      </c>
      <c r="C335" s="1005" t="s">
        <v>1393</v>
      </c>
    </row>
    <row r="336" spans="1:3" x14ac:dyDescent="0.25">
      <c r="A336" s="247">
        <v>41586</v>
      </c>
      <c r="B336" s="248">
        <v>0.96006944444444453</v>
      </c>
      <c r="C336" s="1009" t="s">
        <v>1375</v>
      </c>
    </row>
    <row r="337" spans="1:3" x14ac:dyDescent="0.25">
      <c r="A337" s="247">
        <v>41586</v>
      </c>
      <c r="B337" s="248">
        <v>0.96015046296296302</v>
      </c>
      <c r="C337" s="1009" t="s">
        <v>1394</v>
      </c>
    </row>
    <row r="338" spans="1:3" x14ac:dyDescent="0.25">
      <c r="A338" s="247">
        <v>41586</v>
      </c>
      <c r="B338" s="248">
        <v>0.96081018518518524</v>
      </c>
      <c r="C338" s="1009" t="s">
        <v>1262</v>
      </c>
    </row>
    <row r="339" spans="1:3" x14ac:dyDescent="0.25">
      <c r="A339" s="247">
        <v>41586</v>
      </c>
      <c r="B339" s="248">
        <v>0.96081018518518524</v>
      </c>
      <c r="C339" s="1009" t="s">
        <v>1382</v>
      </c>
    </row>
    <row r="340" spans="1:3" ht="45" x14ac:dyDescent="0.25">
      <c r="A340" s="247">
        <v>41586</v>
      </c>
      <c r="B340" s="248">
        <v>0.961400462962963</v>
      </c>
      <c r="C340" s="1005" t="s">
        <v>1395</v>
      </c>
    </row>
    <row r="341" spans="1:3" x14ac:dyDescent="0.25">
      <c r="A341" s="247">
        <v>41586</v>
      </c>
      <c r="B341" s="248">
        <v>0.96148148148148149</v>
      </c>
      <c r="C341" s="1009" t="s">
        <v>1380</v>
      </c>
    </row>
    <row r="342" spans="1:3" x14ac:dyDescent="0.25">
      <c r="A342" s="247">
        <v>41586</v>
      </c>
      <c r="B342" s="248">
        <v>0.96159722222222221</v>
      </c>
      <c r="C342" s="1009" t="s">
        <v>1396</v>
      </c>
    </row>
    <row r="343" spans="1:3" x14ac:dyDescent="0.25">
      <c r="A343" s="247">
        <v>41586</v>
      </c>
      <c r="B343" s="248">
        <v>0.96159722222222221</v>
      </c>
      <c r="C343" s="1009" t="s">
        <v>1389</v>
      </c>
    </row>
    <row r="344" spans="1:3" ht="45" x14ac:dyDescent="0.25">
      <c r="A344" s="247">
        <v>41586</v>
      </c>
      <c r="B344" s="248">
        <v>0.9617013888888889</v>
      </c>
      <c r="C344" s="1005" t="s">
        <v>1397</v>
      </c>
    </row>
    <row r="345" spans="1:3" x14ac:dyDescent="0.25">
      <c r="A345" s="247">
        <v>41586</v>
      </c>
      <c r="B345" s="248">
        <v>0.96173611111111112</v>
      </c>
      <c r="C345" s="1009" t="s">
        <v>1385</v>
      </c>
    </row>
    <row r="346" spans="1:3" x14ac:dyDescent="0.25">
      <c r="A346" s="247">
        <v>41586</v>
      </c>
      <c r="B346" s="248">
        <v>0.96174768518518527</v>
      </c>
      <c r="C346" s="1009" t="s">
        <v>1386</v>
      </c>
    </row>
    <row r="347" spans="1:3" x14ac:dyDescent="0.25">
      <c r="A347" s="247">
        <v>41586</v>
      </c>
      <c r="B347" s="248">
        <v>0.9617592592592592</v>
      </c>
      <c r="C347" s="1009" t="s">
        <v>1263</v>
      </c>
    </row>
    <row r="348" spans="1:3" x14ac:dyDescent="0.25">
      <c r="A348" s="247">
        <v>41586</v>
      </c>
      <c r="B348" s="248">
        <v>0.9617592592592592</v>
      </c>
      <c r="C348" s="1009" t="s">
        <v>1272</v>
      </c>
    </row>
    <row r="349" spans="1:3" x14ac:dyDescent="0.25">
      <c r="A349" s="247">
        <v>41586</v>
      </c>
      <c r="B349" s="248">
        <v>0.96177083333333335</v>
      </c>
      <c r="C349" s="1009" t="s">
        <v>1264</v>
      </c>
    </row>
    <row r="350" spans="1:3" x14ac:dyDescent="0.25">
      <c r="A350" s="247">
        <v>41586</v>
      </c>
      <c r="B350" s="248">
        <v>0.96178240740740739</v>
      </c>
      <c r="C350" s="1009" t="s">
        <v>1398</v>
      </c>
    </row>
    <row r="351" spans="1:3" x14ac:dyDescent="0.25">
      <c r="A351" s="247">
        <v>41586</v>
      </c>
      <c r="B351" s="248">
        <v>0.96178240740740739</v>
      </c>
      <c r="C351" s="1009" t="s">
        <v>1399</v>
      </c>
    </row>
    <row r="352" spans="1:3" x14ac:dyDescent="0.25">
      <c r="A352" s="247">
        <v>41586</v>
      </c>
      <c r="B352" s="248">
        <v>0.96178240740740739</v>
      </c>
      <c r="C352" s="1009" t="s">
        <v>1380</v>
      </c>
    </row>
    <row r="353" spans="1:3" x14ac:dyDescent="0.25">
      <c r="A353" s="247">
        <v>41586</v>
      </c>
      <c r="B353" s="248">
        <v>0.96188657407407396</v>
      </c>
      <c r="C353" s="1009" t="s">
        <v>1396</v>
      </c>
    </row>
    <row r="354" spans="1:3" ht="30" x14ac:dyDescent="0.25">
      <c r="A354" s="247">
        <v>41586</v>
      </c>
      <c r="B354" s="248">
        <v>0.96219907407407401</v>
      </c>
      <c r="C354" s="1005" t="s">
        <v>1400</v>
      </c>
    </row>
    <row r="355" spans="1:3" x14ac:dyDescent="0.25">
      <c r="A355" s="247">
        <v>41586</v>
      </c>
      <c r="B355" s="248">
        <v>0.96224537037037028</v>
      </c>
      <c r="C355" s="1009" t="s">
        <v>1375</v>
      </c>
    </row>
    <row r="356" spans="1:3" x14ac:dyDescent="0.25">
      <c r="A356" s="247">
        <v>41586</v>
      </c>
      <c r="B356" s="248">
        <v>0.96231481481481485</v>
      </c>
      <c r="C356" s="1009" t="s">
        <v>1394</v>
      </c>
    </row>
    <row r="357" spans="1:3" x14ac:dyDescent="0.25">
      <c r="A357" s="247">
        <v>41586</v>
      </c>
      <c r="B357" s="248">
        <v>0.96231481481481485</v>
      </c>
      <c r="C357" s="1009" t="s">
        <v>1401</v>
      </c>
    </row>
    <row r="358" spans="1:3" x14ac:dyDescent="0.25">
      <c r="A358" s="247">
        <v>41586</v>
      </c>
      <c r="B358" s="248">
        <v>0.96231481481481485</v>
      </c>
      <c r="C358" s="1009" t="s">
        <v>1274</v>
      </c>
    </row>
    <row r="359" spans="1:3" x14ac:dyDescent="0.25">
      <c r="A359" s="247">
        <v>41586</v>
      </c>
      <c r="B359" s="248">
        <v>0.96232638888888899</v>
      </c>
      <c r="C359" s="1009" t="s">
        <v>1390</v>
      </c>
    </row>
    <row r="360" spans="1:3" x14ac:dyDescent="0.25">
      <c r="A360" s="247">
        <v>41586</v>
      </c>
      <c r="B360" s="248">
        <v>0.96233796296296292</v>
      </c>
      <c r="C360" s="1009" t="s">
        <v>1265</v>
      </c>
    </row>
    <row r="361" spans="1:3" x14ac:dyDescent="0.25">
      <c r="A361" s="247">
        <v>41586</v>
      </c>
      <c r="B361" s="248">
        <v>0.96233796296296292</v>
      </c>
      <c r="C361" s="1009" t="s">
        <v>1275</v>
      </c>
    </row>
    <row r="362" spans="1:3" x14ac:dyDescent="0.25">
      <c r="A362" s="247">
        <v>41586</v>
      </c>
      <c r="B362" s="248">
        <v>0.96233796296296292</v>
      </c>
      <c r="C362" s="1009" t="s">
        <v>1266</v>
      </c>
    </row>
    <row r="363" spans="1:3" x14ac:dyDescent="0.25">
      <c r="A363" s="247">
        <v>41586</v>
      </c>
      <c r="B363" s="248">
        <v>0.96234953703703707</v>
      </c>
      <c r="C363" s="1009" t="s">
        <v>1267</v>
      </c>
    </row>
    <row r="364" spans="1:3" x14ac:dyDescent="0.25">
      <c r="A364" s="247">
        <v>41586</v>
      </c>
      <c r="B364" s="248">
        <v>0.96234953703703707</v>
      </c>
      <c r="C364" s="1009" t="s">
        <v>1399</v>
      </c>
    </row>
    <row r="365" spans="1:3" x14ac:dyDescent="0.25">
      <c r="A365" s="247">
        <v>41586</v>
      </c>
      <c r="B365" s="248">
        <v>0.96234953703703707</v>
      </c>
      <c r="C365" s="1009" t="s">
        <v>1380</v>
      </c>
    </row>
    <row r="366" spans="1:3" x14ac:dyDescent="0.25">
      <c r="A366" s="247">
        <v>41586</v>
      </c>
      <c r="B366" s="248">
        <v>0.96245370370370376</v>
      </c>
      <c r="C366" s="1009" t="s">
        <v>1396</v>
      </c>
    </row>
    <row r="367" spans="1:3" x14ac:dyDescent="0.25">
      <c r="A367" s="247">
        <v>41586</v>
      </c>
      <c r="B367" s="248">
        <v>0.96246527777777768</v>
      </c>
      <c r="C367" s="1009" t="s">
        <v>1389</v>
      </c>
    </row>
    <row r="368" spans="1:3" x14ac:dyDescent="0.25">
      <c r="A368" s="247">
        <v>41586</v>
      </c>
      <c r="B368" s="248">
        <v>0.96246527777777768</v>
      </c>
      <c r="C368" s="1009" t="s">
        <v>1385</v>
      </c>
    </row>
    <row r="369" spans="1:3" x14ac:dyDescent="0.25">
      <c r="A369" s="247">
        <v>41586</v>
      </c>
      <c r="B369" s="248">
        <v>0.96247685185185183</v>
      </c>
      <c r="C369" s="1009" t="s">
        <v>1386</v>
      </c>
    </row>
    <row r="370" spans="1:3" x14ac:dyDescent="0.25">
      <c r="A370" s="247">
        <v>41586</v>
      </c>
      <c r="B370" s="248">
        <v>0.96248842592592598</v>
      </c>
      <c r="C370" s="1009" t="s">
        <v>1263</v>
      </c>
    </row>
    <row r="371" spans="1:3" x14ac:dyDescent="0.25">
      <c r="A371" s="247">
        <v>41586</v>
      </c>
      <c r="B371" s="248">
        <v>0.96248842592592598</v>
      </c>
      <c r="C371" s="1009" t="s">
        <v>1272</v>
      </c>
    </row>
    <row r="372" spans="1:3" x14ac:dyDescent="0.25">
      <c r="A372" s="247">
        <v>41586</v>
      </c>
      <c r="B372" s="248">
        <v>0.96250000000000002</v>
      </c>
      <c r="C372" s="1009" t="s">
        <v>1264</v>
      </c>
    </row>
    <row r="373" spans="1:3" x14ac:dyDescent="0.25">
      <c r="A373" s="247">
        <v>41586</v>
      </c>
      <c r="B373" s="248">
        <v>0.96250000000000002</v>
      </c>
      <c r="C373" s="1009" t="s">
        <v>1276</v>
      </c>
    </row>
    <row r="374" spans="1:3" x14ac:dyDescent="0.25">
      <c r="A374" s="247">
        <v>41586</v>
      </c>
      <c r="B374" s="248">
        <v>0.96255787037037033</v>
      </c>
      <c r="C374" s="1009" t="s">
        <v>1268</v>
      </c>
    </row>
    <row r="375" spans="1:3" x14ac:dyDescent="0.25">
      <c r="A375" s="247">
        <v>41586</v>
      </c>
      <c r="B375" s="248">
        <v>0.96255787037037033</v>
      </c>
      <c r="C375" s="1009" t="s">
        <v>1402</v>
      </c>
    </row>
    <row r="376" spans="1:3" x14ac:dyDescent="0.25">
      <c r="A376" s="247">
        <v>41586</v>
      </c>
      <c r="B376" s="248">
        <v>0.96255787037037033</v>
      </c>
      <c r="C376" s="1009" t="s">
        <v>1399</v>
      </c>
    </row>
    <row r="377" spans="1:3" x14ac:dyDescent="0.25">
      <c r="A377" s="247">
        <v>41586</v>
      </c>
      <c r="B377" s="248">
        <v>0.96255787037037033</v>
      </c>
      <c r="C377" s="1009" t="s">
        <v>1380</v>
      </c>
    </row>
    <row r="378" spans="1:3" x14ac:dyDescent="0.25">
      <c r="A378" s="247">
        <v>41586</v>
      </c>
      <c r="B378" s="248">
        <v>0.96267361111111116</v>
      </c>
      <c r="C378" s="1009" t="s">
        <v>1396</v>
      </c>
    </row>
    <row r="379" spans="1:3" x14ac:dyDescent="0.25">
      <c r="A379" s="247">
        <v>41586</v>
      </c>
      <c r="B379" s="248">
        <v>0.96287037037037038</v>
      </c>
      <c r="C379" s="1009" t="s">
        <v>1403</v>
      </c>
    </row>
    <row r="380" spans="1:3" x14ac:dyDescent="0.25">
      <c r="A380" s="247">
        <v>41586</v>
      </c>
      <c r="B380" s="248">
        <v>0.96287037037037038</v>
      </c>
      <c r="C380" s="1009" t="s">
        <v>1404</v>
      </c>
    </row>
    <row r="381" spans="1:3" x14ac:dyDescent="0.25">
      <c r="A381" s="247">
        <v>41586</v>
      </c>
      <c r="B381" s="248">
        <v>0.96287037037037038</v>
      </c>
      <c r="C381" s="1009" t="s">
        <v>1405</v>
      </c>
    </row>
    <row r="382" spans="1:3" x14ac:dyDescent="0.25">
      <c r="A382" s="247">
        <v>41586</v>
      </c>
      <c r="B382" s="248">
        <v>0.96287037037037038</v>
      </c>
      <c r="C382" s="1009" t="s">
        <v>1406</v>
      </c>
    </row>
    <row r="383" spans="1:3" x14ac:dyDescent="0.25">
      <c r="A383" s="247">
        <v>41586</v>
      </c>
      <c r="B383" s="248">
        <v>0.96287037037037038</v>
      </c>
      <c r="C383" s="1009" t="s">
        <v>1407</v>
      </c>
    </row>
    <row r="384" spans="1:3" x14ac:dyDescent="0.25">
      <c r="A384" s="247">
        <v>41586</v>
      </c>
      <c r="B384" s="248">
        <v>0.96287037037037038</v>
      </c>
      <c r="C384" s="1009" t="s">
        <v>1408</v>
      </c>
    </row>
    <row r="385" spans="1:3" x14ac:dyDescent="0.25">
      <c r="A385" s="247">
        <v>41586</v>
      </c>
      <c r="B385" s="248">
        <v>0.96287037037037038</v>
      </c>
      <c r="C385" s="1009" t="s">
        <v>1409</v>
      </c>
    </row>
    <row r="386" spans="1:3" x14ac:dyDescent="0.25">
      <c r="A386" s="247">
        <v>41586</v>
      </c>
      <c r="B386" s="248">
        <v>0.96288194444444442</v>
      </c>
      <c r="C386" s="1009" t="s">
        <v>1410</v>
      </c>
    </row>
    <row r="387" spans="1:3" x14ac:dyDescent="0.25">
      <c r="A387" s="247">
        <v>41586</v>
      </c>
      <c r="B387" s="248">
        <v>0.96288194444444442</v>
      </c>
      <c r="C387" s="1009" t="s">
        <v>1411</v>
      </c>
    </row>
    <row r="388" spans="1:3" x14ac:dyDescent="0.25">
      <c r="A388" s="247">
        <v>41586</v>
      </c>
      <c r="B388" s="248">
        <v>0.96288194444444442</v>
      </c>
      <c r="C388" s="1009" t="s">
        <v>1412</v>
      </c>
    </row>
    <row r="389" spans="1:3" x14ac:dyDescent="0.25">
      <c r="A389" s="247">
        <v>41586</v>
      </c>
      <c r="B389" s="248">
        <v>0.96288194444444442</v>
      </c>
      <c r="C389" s="1009" t="s">
        <v>1413</v>
      </c>
    </row>
    <row r="390" spans="1:3" x14ac:dyDescent="0.25">
      <c r="A390" s="247">
        <v>41586</v>
      </c>
      <c r="B390" s="248">
        <v>0.96288194444444442</v>
      </c>
      <c r="C390" s="1009" t="s">
        <v>1414</v>
      </c>
    </row>
    <row r="391" spans="1:3" x14ac:dyDescent="0.25">
      <c r="A391" s="247">
        <v>41586</v>
      </c>
      <c r="B391" s="248">
        <v>0.96348379629629621</v>
      </c>
      <c r="C391" s="1009" t="s">
        <v>1402</v>
      </c>
    </row>
    <row r="392" spans="1:3" x14ac:dyDescent="0.25">
      <c r="A392" s="247">
        <v>41586</v>
      </c>
      <c r="B392" s="248">
        <v>0.96348379629629621</v>
      </c>
      <c r="C392" s="1009" t="s">
        <v>1415</v>
      </c>
    </row>
    <row r="393" spans="1:3" x14ac:dyDescent="0.25">
      <c r="A393" s="247">
        <v>41586</v>
      </c>
      <c r="B393" s="248">
        <v>0.96348379629629621</v>
      </c>
      <c r="C393" s="1009" t="s">
        <v>1416</v>
      </c>
    </row>
    <row r="394" spans="1:3" x14ac:dyDescent="0.25">
      <c r="A394" s="247">
        <v>41586</v>
      </c>
      <c r="B394" s="248">
        <v>0.96349537037037036</v>
      </c>
      <c r="C394" s="1009" t="s">
        <v>1313</v>
      </c>
    </row>
    <row r="395" spans="1:3" x14ac:dyDescent="0.25">
      <c r="A395" s="247">
        <v>41586</v>
      </c>
      <c r="B395" s="248">
        <v>0.96350694444444451</v>
      </c>
      <c r="C395" s="1009" t="s">
        <v>1375</v>
      </c>
    </row>
    <row r="396" spans="1:3" x14ac:dyDescent="0.25">
      <c r="A396" s="247">
        <v>41586</v>
      </c>
      <c r="B396" s="248">
        <v>0.96357638888888886</v>
      </c>
      <c r="C396" s="1009" t="s">
        <v>1274</v>
      </c>
    </row>
    <row r="397" spans="1:3" x14ac:dyDescent="0.25">
      <c r="A397" s="247">
        <v>41586</v>
      </c>
      <c r="B397" s="248">
        <v>0.96358796296296301</v>
      </c>
      <c r="C397" s="1009" t="s">
        <v>1417</v>
      </c>
    </row>
    <row r="398" spans="1:3" x14ac:dyDescent="0.25">
      <c r="A398" s="247">
        <v>41586</v>
      </c>
      <c r="B398" s="248">
        <v>0.96362268518518512</v>
      </c>
      <c r="C398" s="1009" t="s">
        <v>1418</v>
      </c>
    </row>
    <row r="399" spans="1:3" ht="45" x14ac:dyDescent="0.25">
      <c r="A399" s="247">
        <v>41586</v>
      </c>
      <c r="B399" s="248">
        <v>0.9781481481481481</v>
      </c>
      <c r="C399" s="1005" t="s">
        <v>1419</v>
      </c>
    </row>
    <row r="400" spans="1:3" x14ac:dyDescent="0.25">
      <c r="A400" s="247">
        <v>41586</v>
      </c>
      <c r="B400" s="248">
        <v>0.9781481481481481</v>
      </c>
      <c r="C400" s="1009" t="s">
        <v>1265</v>
      </c>
    </row>
    <row r="401" spans="1:3" x14ac:dyDescent="0.25">
      <c r="A401" s="247">
        <v>41586</v>
      </c>
      <c r="B401" s="248">
        <v>0.97850694444444442</v>
      </c>
      <c r="C401" s="1009" t="s">
        <v>1275</v>
      </c>
    </row>
    <row r="402" spans="1:3" x14ac:dyDescent="0.25">
      <c r="A402" s="247">
        <v>41586</v>
      </c>
      <c r="B402" s="248">
        <v>0.97851851851851857</v>
      </c>
      <c r="C402" s="1009" t="s">
        <v>1266</v>
      </c>
    </row>
    <row r="403" spans="1:3" ht="45" x14ac:dyDescent="0.25">
      <c r="A403" s="247">
        <v>41586</v>
      </c>
      <c r="B403" s="248">
        <v>0.97993055555555564</v>
      </c>
      <c r="C403" s="1005" t="s">
        <v>1420</v>
      </c>
    </row>
    <row r="404" spans="1:3" x14ac:dyDescent="0.25">
      <c r="A404" s="247">
        <v>41586</v>
      </c>
      <c r="B404" s="248">
        <v>0.97993055555555564</v>
      </c>
      <c r="C404" s="1009" t="s">
        <v>1267</v>
      </c>
    </row>
    <row r="405" spans="1:3" x14ac:dyDescent="0.25">
      <c r="A405" s="247">
        <v>41586</v>
      </c>
      <c r="B405" s="248">
        <v>0.97994212962962957</v>
      </c>
      <c r="C405" s="1009" t="s">
        <v>1399</v>
      </c>
    </row>
    <row r="406" spans="1:3" x14ac:dyDescent="0.25">
      <c r="A406" s="247">
        <v>41586</v>
      </c>
      <c r="B406" s="248">
        <v>0.97994212962962957</v>
      </c>
      <c r="C406" s="1009" t="s">
        <v>1380</v>
      </c>
    </row>
    <row r="407" spans="1:3" x14ac:dyDescent="0.25">
      <c r="A407" s="247">
        <v>41586</v>
      </c>
      <c r="B407" s="248">
        <v>0.98006944444444455</v>
      </c>
      <c r="C407" s="1009" t="s">
        <v>1421</v>
      </c>
    </row>
    <row r="408" spans="1:3" x14ac:dyDescent="0.25">
      <c r="A408" s="247">
        <v>41586</v>
      </c>
      <c r="B408" s="248">
        <v>0.98008101851851848</v>
      </c>
      <c r="C408" s="1009" t="s">
        <v>1389</v>
      </c>
    </row>
    <row r="409" spans="1:3" x14ac:dyDescent="0.25">
      <c r="A409" s="247">
        <v>41586</v>
      </c>
      <c r="B409" s="248">
        <v>0.98008101851851848</v>
      </c>
      <c r="C409" s="1009" t="s">
        <v>1385</v>
      </c>
    </row>
    <row r="410" spans="1:3" x14ac:dyDescent="0.25">
      <c r="A410" s="247">
        <v>41586</v>
      </c>
      <c r="B410" s="248">
        <v>0.98009259259259263</v>
      </c>
      <c r="C410" s="1009" t="s">
        <v>1386</v>
      </c>
    </row>
    <row r="411" spans="1:3" x14ac:dyDescent="0.25">
      <c r="A411" s="247">
        <v>41586</v>
      </c>
      <c r="B411" s="248">
        <v>0.98010416666666667</v>
      </c>
      <c r="C411" s="1009" t="s">
        <v>1263</v>
      </c>
    </row>
    <row r="412" spans="1:3" x14ac:dyDescent="0.25">
      <c r="A412" s="247">
        <v>41586</v>
      </c>
      <c r="B412" s="248">
        <v>0.98010416666666667</v>
      </c>
      <c r="C412" s="1009" t="s">
        <v>1272</v>
      </c>
    </row>
    <row r="413" spans="1:3" x14ac:dyDescent="0.25">
      <c r="A413" s="247">
        <v>41586</v>
      </c>
      <c r="B413" s="248">
        <v>0.9801157407407407</v>
      </c>
      <c r="C413" s="1009" t="s">
        <v>1264</v>
      </c>
    </row>
    <row r="414" spans="1:3" x14ac:dyDescent="0.25">
      <c r="A414" s="247">
        <v>41586</v>
      </c>
      <c r="B414" s="248">
        <v>0.98012731481481474</v>
      </c>
      <c r="C414" s="1009" t="s">
        <v>1422</v>
      </c>
    </row>
    <row r="415" spans="1:3" x14ac:dyDescent="0.25">
      <c r="A415" s="247">
        <v>41586</v>
      </c>
      <c r="B415" s="248">
        <v>0.98018518518518516</v>
      </c>
      <c r="C415" s="1009" t="s">
        <v>1423</v>
      </c>
    </row>
    <row r="416" spans="1:3" ht="45" x14ac:dyDescent="0.25">
      <c r="A416" s="247">
        <v>41586</v>
      </c>
      <c r="B416" s="248">
        <v>0.98173611111111114</v>
      </c>
      <c r="C416" s="1005" t="s">
        <v>1424</v>
      </c>
    </row>
    <row r="417" spans="1:3" ht="45" x14ac:dyDescent="0.25">
      <c r="A417" s="247">
        <v>41586</v>
      </c>
      <c r="B417" s="248">
        <v>0.98203703703703704</v>
      </c>
      <c r="C417" s="1005" t="s">
        <v>1340</v>
      </c>
    </row>
    <row r="418" spans="1:3" x14ac:dyDescent="0.25">
      <c r="A418" s="247">
        <v>41586</v>
      </c>
      <c r="B418" s="248">
        <v>0.98203703703703704</v>
      </c>
      <c r="C418" s="1009" t="s">
        <v>1401</v>
      </c>
    </row>
    <row r="419" spans="1:3" ht="30" x14ac:dyDescent="0.25">
      <c r="A419" s="247">
        <v>41586</v>
      </c>
      <c r="B419" s="248">
        <v>0.98219907407407403</v>
      </c>
      <c r="C419" s="1005" t="s">
        <v>1425</v>
      </c>
    </row>
    <row r="420" spans="1:3" x14ac:dyDescent="0.25">
      <c r="A420" s="247">
        <v>41586</v>
      </c>
      <c r="B420" s="248">
        <v>0.98221064814814818</v>
      </c>
      <c r="C420" s="1009" t="s">
        <v>1389</v>
      </c>
    </row>
    <row r="421" spans="1:3" ht="45" x14ac:dyDescent="0.25">
      <c r="A421" s="247">
        <v>41586</v>
      </c>
      <c r="B421" s="248">
        <v>0.98232638888888879</v>
      </c>
      <c r="C421" s="1005" t="s">
        <v>1426</v>
      </c>
    </row>
    <row r="422" spans="1:3" x14ac:dyDescent="0.25">
      <c r="A422" s="247">
        <v>41586</v>
      </c>
      <c r="B422" s="248">
        <v>0.98241898148148143</v>
      </c>
      <c r="C422" s="1009" t="s">
        <v>1385</v>
      </c>
    </row>
    <row r="423" spans="1:3" x14ac:dyDescent="0.25">
      <c r="A423" s="247">
        <v>41586</v>
      </c>
      <c r="B423" s="248">
        <v>0.98244212962962962</v>
      </c>
      <c r="C423" s="1009" t="s">
        <v>1427</v>
      </c>
    </row>
    <row r="424" spans="1:3" x14ac:dyDescent="0.25">
      <c r="A424" s="247">
        <v>41586</v>
      </c>
      <c r="B424" s="248">
        <v>0.98245370370370377</v>
      </c>
      <c r="C424" s="1009" t="s">
        <v>1274</v>
      </c>
    </row>
    <row r="425" spans="1:3" x14ac:dyDescent="0.25">
      <c r="A425" s="247">
        <v>41586</v>
      </c>
      <c r="B425" s="248">
        <v>0.9824652777777777</v>
      </c>
      <c r="C425" s="1009" t="s">
        <v>1428</v>
      </c>
    </row>
    <row r="426" spans="1:3" ht="30" x14ac:dyDescent="0.25">
      <c r="A426" s="247">
        <v>41586</v>
      </c>
      <c r="B426" s="248">
        <v>0.9827893518518519</v>
      </c>
      <c r="C426" s="1005" t="s">
        <v>1429</v>
      </c>
    </row>
    <row r="427" spans="1:3" x14ac:dyDescent="0.25">
      <c r="A427" s="247">
        <v>41586</v>
      </c>
      <c r="B427" s="248">
        <v>0.9827893518518519</v>
      </c>
      <c r="C427" s="1009" t="s">
        <v>1398</v>
      </c>
    </row>
    <row r="428" spans="1:3" x14ac:dyDescent="0.25">
      <c r="A428" s="247">
        <v>41586</v>
      </c>
      <c r="B428" s="248">
        <v>0.98292824074074081</v>
      </c>
      <c r="C428" s="1009" t="s">
        <v>1430</v>
      </c>
    </row>
    <row r="429" spans="1:3" ht="45" x14ac:dyDescent="0.25">
      <c r="A429" s="247">
        <v>41586</v>
      </c>
      <c r="B429" s="248">
        <v>0.9837731481481482</v>
      </c>
      <c r="C429" s="1005" t="s">
        <v>1431</v>
      </c>
    </row>
    <row r="430" spans="1:3" x14ac:dyDescent="0.25">
      <c r="A430" s="247">
        <v>41586</v>
      </c>
      <c r="B430" s="248">
        <v>0.98387731481481477</v>
      </c>
      <c r="C430" s="1009" t="s">
        <v>1380</v>
      </c>
    </row>
    <row r="431" spans="1:3" x14ac:dyDescent="0.25">
      <c r="A431" s="247">
        <v>41586</v>
      </c>
      <c r="B431" s="248">
        <v>0.98399305555555561</v>
      </c>
      <c r="C431" s="1009" t="s">
        <v>1432</v>
      </c>
    </row>
    <row r="432" spans="1:3" ht="30" x14ac:dyDescent="0.25">
      <c r="A432" s="247">
        <v>41586</v>
      </c>
      <c r="B432" s="248">
        <v>0.98460648148148155</v>
      </c>
      <c r="C432" s="1005" t="s">
        <v>1433</v>
      </c>
    </row>
    <row r="433" spans="1:3" x14ac:dyDescent="0.25">
      <c r="A433" s="247">
        <v>41586</v>
      </c>
      <c r="B433" s="248">
        <v>0.98462962962962963</v>
      </c>
      <c r="C433" s="1009" t="s">
        <v>1434</v>
      </c>
    </row>
    <row r="434" spans="1:3" x14ac:dyDescent="0.25">
      <c r="A434" s="247">
        <v>41586</v>
      </c>
      <c r="B434" s="248">
        <v>0.98469907407407409</v>
      </c>
      <c r="C434" s="1009" t="s">
        <v>1435</v>
      </c>
    </row>
    <row r="435" spans="1:3" x14ac:dyDescent="0.25">
      <c r="A435" s="247">
        <v>41586</v>
      </c>
      <c r="B435" s="248">
        <v>0.98629629629629623</v>
      </c>
      <c r="C435" s="1009" t="s">
        <v>1436</v>
      </c>
    </row>
    <row r="436" spans="1:3" x14ac:dyDescent="0.25">
      <c r="A436" s="247">
        <v>41586</v>
      </c>
      <c r="B436" s="248">
        <v>0.98630787037037038</v>
      </c>
      <c r="C436" s="1009" t="s">
        <v>1434</v>
      </c>
    </row>
    <row r="437" spans="1:3" x14ac:dyDescent="0.25">
      <c r="A437" s="247">
        <v>41586</v>
      </c>
      <c r="B437" s="248">
        <v>0.98636574074074079</v>
      </c>
      <c r="C437" s="1009" t="s">
        <v>1435</v>
      </c>
    </row>
    <row r="438" spans="1:3" x14ac:dyDescent="0.25">
      <c r="A438" s="247">
        <v>41586</v>
      </c>
      <c r="B438" s="248">
        <v>0.98850694444444442</v>
      </c>
      <c r="C438" s="1009" t="s">
        <v>1262</v>
      </c>
    </row>
    <row r="439" spans="1:3" x14ac:dyDescent="0.25">
      <c r="A439" s="247">
        <v>41586</v>
      </c>
      <c r="B439" s="248">
        <v>0.98850694444444442</v>
      </c>
      <c r="C439" s="1009" t="s">
        <v>1437</v>
      </c>
    </row>
    <row r="440" spans="1:3" ht="45" x14ac:dyDescent="0.25">
      <c r="A440" s="247">
        <v>41586</v>
      </c>
      <c r="B440" s="248">
        <v>0.98935185185185182</v>
      </c>
      <c r="C440" s="1005" t="s">
        <v>1438</v>
      </c>
    </row>
    <row r="441" spans="1:3" x14ac:dyDescent="0.25">
      <c r="A441" s="247">
        <v>41586</v>
      </c>
      <c r="B441" s="248">
        <v>0.98946759259259265</v>
      </c>
      <c r="C441" s="1009" t="s">
        <v>1380</v>
      </c>
    </row>
    <row r="442" spans="1:3" x14ac:dyDescent="0.25">
      <c r="A442" s="247">
        <v>41586</v>
      </c>
      <c r="B442" s="248">
        <v>0.98958333333333337</v>
      </c>
      <c r="C442" s="1009" t="s">
        <v>1432</v>
      </c>
    </row>
    <row r="443" spans="1:3" x14ac:dyDescent="0.25">
      <c r="A443" s="247">
        <v>41586</v>
      </c>
      <c r="B443" s="248">
        <v>0.98959490740740741</v>
      </c>
      <c r="C443" s="1009" t="s">
        <v>1439</v>
      </c>
    </row>
    <row r="444" spans="1:3" ht="45" x14ac:dyDescent="0.25">
      <c r="A444" s="247">
        <v>41586</v>
      </c>
      <c r="B444" s="248">
        <v>0.98971064814814813</v>
      </c>
      <c r="C444" s="1005" t="s">
        <v>1440</v>
      </c>
    </row>
    <row r="445" spans="1:3" x14ac:dyDescent="0.25">
      <c r="A445" s="247">
        <v>41586</v>
      </c>
      <c r="B445" s="248">
        <v>0.9897569444444444</v>
      </c>
      <c r="C445" s="1009" t="s">
        <v>1385</v>
      </c>
    </row>
    <row r="446" spans="1:3" x14ac:dyDescent="0.25">
      <c r="A446" s="247">
        <v>41586</v>
      </c>
      <c r="B446" s="248">
        <v>0.98980324074074078</v>
      </c>
      <c r="C446" s="1009" t="s">
        <v>1427</v>
      </c>
    </row>
    <row r="447" spans="1:3" x14ac:dyDescent="0.25">
      <c r="A447" s="247">
        <v>41586</v>
      </c>
      <c r="B447" s="248">
        <v>0.98981481481481481</v>
      </c>
      <c r="C447" s="1009" t="s">
        <v>1263</v>
      </c>
    </row>
    <row r="448" spans="1:3" ht="30" x14ac:dyDescent="0.25">
      <c r="A448" s="247">
        <v>41586</v>
      </c>
      <c r="B448" s="248">
        <v>0.98994212962962969</v>
      </c>
      <c r="C448" s="1005" t="s">
        <v>1441</v>
      </c>
    </row>
    <row r="449" spans="1:3" x14ac:dyDescent="0.25">
      <c r="A449" s="247">
        <v>41586</v>
      </c>
      <c r="B449" s="248">
        <v>0.98995370370370372</v>
      </c>
      <c r="C449" s="1009" t="s">
        <v>1272</v>
      </c>
    </row>
    <row r="450" spans="1:3" x14ac:dyDescent="0.25">
      <c r="A450" s="247">
        <v>41586</v>
      </c>
      <c r="B450" s="248">
        <v>0.98996527777777776</v>
      </c>
      <c r="C450" s="1009" t="s">
        <v>1264</v>
      </c>
    </row>
    <row r="451" spans="1:3" x14ac:dyDescent="0.25">
      <c r="A451" s="247">
        <v>41586</v>
      </c>
      <c r="B451" s="248">
        <v>0.9899768518518518</v>
      </c>
      <c r="C451" s="1009" t="s">
        <v>1436</v>
      </c>
    </row>
    <row r="452" spans="1:3" x14ac:dyDescent="0.25">
      <c r="A452" s="247">
        <v>41586</v>
      </c>
      <c r="B452" s="248">
        <v>0.9899768518518518</v>
      </c>
      <c r="C452" s="1009" t="s">
        <v>1434</v>
      </c>
    </row>
    <row r="453" spans="1:3" x14ac:dyDescent="0.25">
      <c r="A453" s="247">
        <v>41586</v>
      </c>
      <c r="B453" s="248">
        <v>0.9900578703703703</v>
      </c>
      <c r="C453" s="1009" t="s">
        <v>1435</v>
      </c>
    </row>
    <row r="454" spans="1:3" x14ac:dyDescent="0.25">
      <c r="A454" s="247">
        <v>41586</v>
      </c>
      <c r="B454" s="248">
        <v>0.9900578703703703</v>
      </c>
      <c r="C454" s="1009" t="s">
        <v>1442</v>
      </c>
    </row>
    <row r="455" spans="1:3" x14ac:dyDescent="0.25">
      <c r="A455" s="247">
        <v>41586</v>
      </c>
      <c r="B455" s="248">
        <v>0.9900578703703703</v>
      </c>
      <c r="C455" s="1009" t="s">
        <v>1274</v>
      </c>
    </row>
    <row r="456" spans="1:3" x14ac:dyDescent="0.25">
      <c r="A456" s="247">
        <v>41586</v>
      </c>
      <c r="B456" s="248">
        <v>0.9900810185185186</v>
      </c>
      <c r="C456" s="1009" t="s">
        <v>1428</v>
      </c>
    </row>
    <row r="457" spans="1:3" x14ac:dyDescent="0.25">
      <c r="A457" s="247">
        <v>41586</v>
      </c>
      <c r="B457" s="248">
        <v>0.9900810185185186</v>
      </c>
      <c r="C457" s="1009" t="s">
        <v>1265</v>
      </c>
    </row>
    <row r="458" spans="1:3" x14ac:dyDescent="0.25">
      <c r="A458" s="247">
        <v>41586</v>
      </c>
      <c r="B458" s="248">
        <v>0.9900810185185186</v>
      </c>
      <c r="C458" s="1009" t="s">
        <v>1275</v>
      </c>
    </row>
    <row r="459" spans="1:3" x14ac:dyDescent="0.25">
      <c r="A459" s="247">
        <v>41586</v>
      </c>
      <c r="B459" s="248">
        <v>0.99009259259259252</v>
      </c>
      <c r="C459" s="1009" t="s">
        <v>1266</v>
      </c>
    </row>
    <row r="460" spans="1:3" x14ac:dyDescent="0.25">
      <c r="A460" s="247">
        <v>41586</v>
      </c>
      <c r="B460" s="248">
        <v>0.99010416666666667</v>
      </c>
      <c r="C460" s="1009" t="s">
        <v>1443</v>
      </c>
    </row>
    <row r="461" spans="1:3" x14ac:dyDescent="0.25">
      <c r="A461" s="247">
        <v>41586</v>
      </c>
      <c r="B461" s="248">
        <v>0.99010416666666667</v>
      </c>
      <c r="C461" s="1009" t="s">
        <v>1437</v>
      </c>
    </row>
    <row r="462" spans="1:3" x14ac:dyDescent="0.25">
      <c r="A462" s="247">
        <v>41586</v>
      </c>
      <c r="B462" s="248">
        <v>0.99010416666666667</v>
      </c>
      <c r="C462" s="1009" t="s">
        <v>1380</v>
      </c>
    </row>
    <row r="463" spans="1:3" x14ac:dyDescent="0.25">
      <c r="A463" s="247">
        <v>41586</v>
      </c>
      <c r="B463" s="248">
        <v>0.99021990740740751</v>
      </c>
      <c r="C463" s="1009" t="s">
        <v>1432</v>
      </c>
    </row>
    <row r="464" spans="1:3" x14ac:dyDescent="0.25">
      <c r="A464" s="247">
        <v>41586</v>
      </c>
      <c r="B464" s="248">
        <v>0.99023148148148143</v>
      </c>
      <c r="C464" s="1009" t="s">
        <v>1439</v>
      </c>
    </row>
    <row r="465" spans="1:3" x14ac:dyDescent="0.25">
      <c r="A465" s="247">
        <v>41586</v>
      </c>
      <c r="B465" s="248">
        <v>0.99023148148148143</v>
      </c>
      <c r="C465" s="1009" t="s">
        <v>1385</v>
      </c>
    </row>
    <row r="466" spans="1:3" x14ac:dyDescent="0.25">
      <c r="A466" s="247">
        <v>41586</v>
      </c>
      <c r="B466" s="248">
        <v>0.99024305555555558</v>
      </c>
      <c r="C466" s="1009" t="s">
        <v>1427</v>
      </c>
    </row>
    <row r="467" spans="1:3" x14ac:dyDescent="0.25">
      <c r="A467" s="247">
        <v>41586</v>
      </c>
      <c r="B467" s="248">
        <v>0.99025462962962962</v>
      </c>
      <c r="C467" s="1009" t="s">
        <v>1263</v>
      </c>
    </row>
    <row r="468" spans="1:3" x14ac:dyDescent="0.25">
      <c r="A468" s="247">
        <v>41586</v>
      </c>
      <c r="B468" s="248">
        <v>0.99025462962962962</v>
      </c>
      <c r="C468" s="1009" t="s">
        <v>1272</v>
      </c>
    </row>
    <row r="469" spans="1:3" x14ac:dyDescent="0.25">
      <c r="A469" s="247">
        <v>41586</v>
      </c>
      <c r="B469" s="248">
        <v>0.99026620370370377</v>
      </c>
      <c r="C469" s="1009" t="s">
        <v>1264</v>
      </c>
    </row>
    <row r="470" spans="1:3" x14ac:dyDescent="0.25">
      <c r="A470" s="247">
        <v>41586</v>
      </c>
      <c r="B470" s="248">
        <v>0.9902777777777777</v>
      </c>
      <c r="C470" s="1009" t="s">
        <v>1422</v>
      </c>
    </row>
    <row r="471" spans="1:3" x14ac:dyDescent="0.25">
      <c r="A471" s="247">
        <v>41586</v>
      </c>
      <c r="B471" s="248">
        <v>0.99033564814814812</v>
      </c>
      <c r="C471" s="1009" t="s">
        <v>1423</v>
      </c>
    </row>
    <row r="472" spans="1:3" x14ac:dyDescent="0.25">
      <c r="A472" s="247">
        <v>41586</v>
      </c>
      <c r="B472" s="248">
        <v>0.99033564814814812</v>
      </c>
      <c r="C472" s="1009" t="s">
        <v>1444</v>
      </c>
    </row>
    <row r="473" spans="1:3" x14ac:dyDescent="0.25">
      <c r="A473" s="247">
        <v>41586</v>
      </c>
      <c r="B473" s="248">
        <v>0.99033564814814812</v>
      </c>
      <c r="C473" s="1009" t="s">
        <v>1437</v>
      </c>
    </row>
    <row r="474" spans="1:3" x14ac:dyDescent="0.25">
      <c r="A474" s="247">
        <v>41586</v>
      </c>
      <c r="B474" s="248">
        <v>0.99033564814814812</v>
      </c>
      <c r="C474" s="1009" t="s">
        <v>1380</v>
      </c>
    </row>
    <row r="475" spans="1:3" x14ac:dyDescent="0.25">
      <c r="A475" s="247">
        <v>41586</v>
      </c>
      <c r="B475" s="248">
        <v>0.99046296296296299</v>
      </c>
      <c r="C475" s="1009" t="s">
        <v>1432</v>
      </c>
    </row>
    <row r="476" spans="1:3" x14ac:dyDescent="0.25">
      <c r="A476" s="247">
        <v>41586</v>
      </c>
      <c r="B476" s="248">
        <v>0.99069444444444443</v>
      </c>
      <c r="C476" s="1009" t="s">
        <v>1445</v>
      </c>
    </row>
    <row r="477" spans="1:3" x14ac:dyDescent="0.25">
      <c r="A477" s="247">
        <v>41586</v>
      </c>
      <c r="B477" s="248">
        <v>0.99069444444444443</v>
      </c>
      <c r="C477" s="1009" t="s">
        <v>1446</v>
      </c>
    </row>
    <row r="478" spans="1:3" x14ac:dyDescent="0.25">
      <c r="A478" s="247">
        <v>41586</v>
      </c>
      <c r="B478" s="248">
        <v>0.99069444444444443</v>
      </c>
      <c r="C478" s="1009" t="s">
        <v>1447</v>
      </c>
    </row>
    <row r="479" spans="1:3" x14ac:dyDescent="0.25">
      <c r="A479" s="247">
        <v>41586</v>
      </c>
      <c r="B479" s="248">
        <v>0.99069444444444443</v>
      </c>
      <c r="C479" s="1009" t="s">
        <v>1448</v>
      </c>
    </row>
    <row r="480" spans="1:3" x14ac:dyDescent="0.25">
      <c r="A480" s="247">
        <v>41586</v>
      </c>
      <c r="B480" s="248">
        <v>0.99069444444444443</v>
      </c>
      <c r="C480" s="1009" t="s">
        <v>1449</v>
      </c>
    </row>
    <row r="481" spans="1:3" x14ac:dyDescent="0.25">
      <c r="A481" s="247">
        <v>41586</v>
      </c>
      <c r="B481" s="248">
        <v>0.99069444444444443</v>
      </c>
      <c r="C481" s="1009" t="s">
        <v>1450</v>
      </c>
    </row>
    <row r="482" spans="1:3" x14ac:dyDescent="0.25">
      <c r="A482" s="247">
        <v>41586</v>
      </c>
      <c r="B482" s="248">
        <v>0.99069444444444443</v>
      </c>
      <c r="C482" s="1009" t="s">
        <v>1451</v>
      </c>
    </row>
    <row r="483" spans="1:3" x14ac:dyDescent="0.25">
      <c r="A483" s="247">
        <v>41586</v>
      </c>
      <c r="B483" s="248">
        <v>0.99069444444444443</v>
      </c>
      <c r="C483" s="1009" t="s">
        <v>1452</v>
      </c>
    </row>
    <row r="484" spans="1:3" x14ac:dyDescent="0.25">
      <c r="A484" s="247">
        <v>41586</v>
      </c>
      <c r="B484" s="248">
        <v>0.99069444444444443</v>
      </c>
      <c r="C484" s="1009" t="s">
        <v>1453</v>
      </c>
    </row>
    <row r="485" spans="1:3" x14ac:dyDescent="0.25">
      <c r="A485" s="247">
        <v>41586</v>
      </c>
      <c r="B485" s="248">
        <v>0.99069444444444443</v>
      </c>
      <c r="C485" s="1009" t="s">
        <v>1454</v>
      </c>
    </row>
    <row r="486" spans="1:3" x14ac:dyDescent="0.25">
      <c r="A486" s="247">
        <v>41586</v>
      </c>
      <c r="B486" s="248">
        <v>0.99069444444444443</v>
      </c>
      <c r="C486" s="1009" t="s">
        <v>1455</v>
      </c>
    </row>
    <row r="487" spans="1:3" x14ac:dyDescent="0.25">
      <c r="A487" s="247">
        <v>41586</v>
      </c>
      <c r="B487" s="248">
        <v>0.99069444444444443</v>
      </c>
      <c r="C487" s="1009" t="s">
        <v>1456</v>
      </c>
    </row>
    <row r="488" spans="1:3" x14ac:dyDescent="0.25">
      <c r="A488" s="247">
        <v>41586</v>
      </c>
      <c r="B488" s="248">
        <v>0.99207175925925928</v>
      </c>
      <c r="C488" s="1009" t="s">
        <v>1444</v>
      </c>
    </row>
    <row r="489" spans="1:3" x14ac:dyDescent="0.25">
      <c r="A489" s="247">
        <v>41586</v>
      </c>
      <c r="B489" s="248">
        <v>0.99207175925925928</v>
      </c>
      <c r="C489" s="1009" t="s">
        <v>1415</v>
      </c>
    </row>
    <row r="490" spans="1:3" x14ac:dyDescent="0.25">
      <c r="A490" s="247">
        <v>41586</v>
      </c>
      <c r="B490" s="248">
        <v>0.99208333333333332</v>
      </c>
      <c r="C490" s="1009" t="s">
        <v>1457</v>
      </c>
    </row>
    <row r="491" spans="1:3" x14ac:dyDescent="0.25">
      <c r="A491" s="247">
        <v>41586</v>
      </c>
      <c r="B491" s="248">
        <v>0.99209490740740736</v>
      </c>
      <c r="C491" s="1009" t="s">
        <v>1313</v>
      </c>
    </row>
    <row r="492" spans="1:3" x14ac:dyDescent="0.25">
      <c r="A492" s="247">
        <v>41586</v>
      </c>
      <c r="B492" s="248">
        <v>0.99209490740740736</v>
      </c>
      <c r="C492" s="1009" t="s">
        <v>1434</v>
      </c>
    </row>
    <row r="493" spans="1:3" x14ac:dyDescent="0.25">
      <c r="A493" s="247">
        <v>41586</v>
      </c>
      <c r="B493" s="248">
        <v>0.9921875</v>
      </c>
      <c r="C493" s="1009" t="s">
        <v>1274</v>
      </c>
    </row>
    <row r="494" spans="1:3" x14ac:dyDescent="0.25">
      <c r="A494" s="247">
        <v>41586</v>
      </c>
      <c r="B494" s="248">
        <v>0.99219907407407415</v>
      </c>
      <c r="C494" s="1009" t="s">
        <v>1458</v>
      </c>
    </row>
    <row r="495" spans="1:3" x14ac:dyDescent="0.25">
      <c r="A495" s="247">
        <v>41586</v>
      </c>
      <c r="B495" s="248">
        <v>0.99224537037037042</v>
      </c>
      <c r="C495" s="1009" t="s">
        <v>1459</v>
      </c>
    </row>
    <row r="496" spans="1:3" x14ac:dyDescent="0.25">
      <c r="A496" s="247">
        <v>41586</v>
      </c>
      <c r="B496" s="248">
        <v>0.99458333333333337</v>
      </c>
      <c r="C496" s="1009" t="s">
        <v>1262</v>
      </c>
    </row>
    <row r="497" spans="1:3" x14ac:dyDescent="0.25">
      <c r="A497" s="247">
        <v>41586</v>
      </c>
      <c r="B497" s="248">
        <v>0.99458333333333337</v>
      </c>
      <c r="C497" s="1009" t="s">
        <v>1437</v>
      </c>
    </row>
    <row r="498" spans="1:3" x14ac:dyDescent="0.25">
      <c r="A498" s="247">
        <v>41586</v>
      </c>
      <c r="B498" s="248">
        <v>0.99458333333333337</v>
      </c>
      <c r="C498" s="1009" t="s">
        <v>1380</v>
      </c>
    </row>
    <row r="499" spans="1:3" x14ac:dyDescent="0.25">
      <c r="A499" s="247">
        <v>41586</v>
      </c>
      <c r="B499" s="248">
        <v>0.99471064814814814</v>
      </c>
      <c r="C499" s="1009" t="s">
        <v>1460</v>
      </c>
    </row>
    <row r="500" spans="1:3" x14ac:dyDescent="0.25">
      <c r="A500" s="247">
        <v>41586</v>
      </c>
      <c r="B500" s="248">
        <v>0.99471064814814814</v>
      </c>
      <c r="C500" s="1009" t="s">
        <v>1439</v>
      </c>
    </row>
    <row r="501" spans="1:3" x14ac:dyDescent="0.25">
      <c r="A501" s="247">
        <v>41586</v>
      </c>
      <c r="B501" s="248">
        <v>0.99471064814814814</v>
      </c>
      <c r="C501" s="1009" t="s">
        <v>1385</v>
      </c>
    </row>
    <row r="502" spans="1:3" x14ac:dyDescent="0.25">
      <c r="A502" s="247">
        <v>41586</v>
      </c>
      <c r="B502" s="248">
        <v>0.99472222222222229</v>
      </c>
      <c r="C502" s="1009" t="s">
        <v>1427</v>
      </c>
    </row>
    <row r="503" spans="1:3" x14ac:dyDescent="0.25">
      <c r="A503" s="247">
        <v>41586</v>
      </c>
      <c r="B503" s="248">
        <v>0.99473379629629621</v>
      </c>
      <c r="C503" s="1009" t="s">
        <v>1263</v>
      </c>
    </row>
    <row r="504" spans="1:3" x14ac:dyDescent="0.25">
      <c r="A504" s="247">
        <v>41586</v>
      </c>
      <c r="B504" s="248">
        <v>0.99473379629629621</v>
      </c>
      <c r="C504" s="1009" t="s">
        <v>1272</v>
      </c>
    </row>
    <row r="505" spans="1:3" x14ac:dyDescent="0.25">
      <c r="A505" s="247">
        <v>41586</v>
      </c>
      <c r="B505" s="248">
        <v>0.99474537037037036</v>
      </c>
      <c r="C505" s="1009" t="s">
        <v>1264</v>
      </c>
    </row>
    <row r="506" spans="1:3" x14ac:dyDescent="0.25">
      <c r="A506" s="247">
        <v>41586</v>
      </c>
      <c r="B506" s="248">
        <v>0.99475694444444451</v>
      </c>
      <c r="C506" s="1009" t="s">
        <v>1436</v>
      </c>
    </row>
    <row r="507" spans="1:3" x14ac:dyDescent="0.25">
      <c r="A507" s="247">
        <v>41586</v>
      </c>
      <c r="B507" s="248">
        <v>0.99475694444444451</v>
      </c>
      <c r="C507" s="1009" t="s">
        <v>1461</v>
      </c>
    </row>
    <row r="508" spans="1:3" x14ac:dyDescent="0.25">
      <c r="A508" s="247">
        <v>41586</v>
      </c>
      <c r="B508" s="248">
        <v>0.99475694444444451</v>
      </c>
      <c r="C508" s="1009" t="s">
        <v>1380</v>
      </c>
    </row>
    <row r="509" spans="1:3" x14ac:dyDescent="0.25">
      <c r="A509" s="247">
        <v>41586</v>
      </c>
      <c r="B509" s="248">
        <v>0.99488425925925927</v>
      </c>
      <c r="C509" s="1009" t="s">
        <v>1460</v>
      </c>
    </row>
    <row r="510" spans="1:3" ht="30" x14ac:dyDescent="0.25">
      <c r="A510" s="247">
        <v>41586</v>
      </c>
      <c r="B510" s="248">
        <v>0.99561342592592583</v>
      </c>
      <c r="C510" s="1005" t="s">
        <v>1462</v>
      </c>
    </row>
    <row r="511" spans="1:3" x14ac:dyDescent="0.25">
      <c r="A511" s="247">
        <v>41586</v>
      </c>
      <c r="B511" s="248">
        <v>0.99565972222222221</v>
      </c>
      <c r="C511" s="1009" t="s">
        <v>1434</v>
      </c>
    </row>
    <row r="512" spans="1:3" x14ac:dyDescent="0.25">
      <c r="A512" s="247">
        <v>41586</v>
      </c>
      <c r="B512" s="248">
        <v>0.99575231481481474</v>
      </c>
      <c r="C512" s="1009" t="s">
        <v>1463</v>
      </c>
    </row>
    <row r="513" spans="1:3" x14ac:dyDescent="0.25">
      <c r="A513" s="247">
        <v>41586</v>
      </c>
      <c r="B513" s="248">
        <v>0.99576388888888889</v>
      </c>
      <c r="C513" s="1009" t="s">
        <v>1442</v>
      </c>
    </row>
    <row r="514" spans="1:3" x14ac:dyDescent="0.25">
      <c r="A514" s="247">
        <v>41586</v>
      </c>
      <c r="B514" s="248">
        <v>0.99576388888888889</v>
      </c>
      <c r="C514" s="1009" t="s">
        <v>1274</v>
      </c>
    </row>
    <row r="515" spans="1:3" x14ac:dyDescent="0.25">
      <c r="A515" s="247">
        <v>41586</v>
      </c>
      <c r="B515" s="248">
        <v>0.99576388888888889</v>
      </c>
      <c r="C515" s="1009" t="s">
        <v>1428</v>
      </c>
    </row>
    <row r="516" spans="1:3" x14ac:dyDescent="0.25">
      <c r="A516" s="247">
        <v>41586</v>
      </c>
      <c r="B516" s="248">
        <v>0.99577546296296304</v>
      </c>
      <c r="C516" s="1009" t="s">
        <v>1265</v>
      </c>
    </row>
    <row r="517" spans="1:3" x14ac:dyDescent="0.25">
      <c r="A517" s="247">
        <v>41586</v>
      </c>
      <c r="B517" s="248">
        <v>0.99577546296296304</v>
      </c>
      <c r="C517" s="1009" t="s">
        <v>1275</v>
      </c>
    </row>
    <row r="518" spans="1:3" x14ac:dyDescent="0.25">
      <c r="A518" s="247">
        <v>41586</v>
      </c>
      <c r="B518" s="248">
        <v>0.99578703703703697</v>
      </c>
      <c r="C518" s="1009" t="s">
        <v>1266</v>
      </c>
    </row>
    <row r="519" spans="1:3" x14ac:dyDescent="0.25">
      <c r="A519" s="247">
        <v>41586</v>
      </c>
      <c r="B519" s="248">
        <v>0.99579861111111112</v>
      </c>
      <c r="C519" s="1009" t="s">
        <v>1443</v>
      </c>
    </row>
    <row r="520" spans="1:3" x14ac:dyDescent="0.25">
      <c r="A520" s="247">
        <v>41586</v>
      </c>
      <c r="B520" s="248">
        <v>0.99579861111111112</v>
      </c>
      <c r="C520" s="1009" t="s">
        <v>1461</v>
      </c>
    </row>
    <row r="521" spans="1:3" ht="45" x14ac:dyDescent="0.25">
      <c r="A521" s="247">
        <v>41586</v>
      </c>
      <c r="B521" s="248">
        <v>0.99670138888888893</v>
      </c>
      <c r="C521" s="1005" t="s">
        <v>1464</v>
      </c>
    </row>
    <row r="522" spans="1:3" x14ac:dyDescent="0.25">
      <c r="A522" s="247">
        <v>41586</v>
      </c>
      <c r="B522" s="248">
        <v>0.9968055555555555</v>
      </c>
      <c r="C522" s="1009" t="s">
        <v>1380</v>
      </c>
    </row>
    <row r="523" spans="1:3" x14ac:dyDescent="0.25">
      <c r="A523" s="247">
        <v>41586</v>
      </c>
      <c r="B523" s="248">
        <v>0.99692129629629633</v>
      </c>
      <c r="C523" s="1009" t="s">
        <v>1432</v>
      </c>
    </row>
    <row r="524" spans="1:3" x14ac:dyDescent="0.25">
      <c r="A524" s="247">
        <v>41586</v>
      </c>
      <c r="B524" s="248">
        <v>0.99693287037037026</v>
      </c>
      <c r="C524" s="1009" t="s">
        <v>1439</v>
      </c>
    </row>
    <row r="525" spans="1:3" x14ac:dyDescent="0.25">
      <c r="A525" s="247">
        <v>41586</v>
      </c>
      <c r="B525" s="248">
        <v>0.99693287037037026</v>
      </c>
      <c r="C525" s="1009" t="s">
        <v>1385</v>
      </c>
    </row>
    <row r="526" spans="1:3" x14ac:dyDescent="0.25">
      <c r="A526" s="247">
        <v>41586</v>
      </c>
      <c r="B526" s="248">
        <v>0.99694444444444441</v>
      </c>
      <c r="C526" s="1009" t="s">
        <v>1427</v>
      </c>
    </row>
    <row r="527" spans="1:3" x14ac:dyDescent="0.25">
      <c r="A527" s="247">
        <v>41586</v>
      </c>
      <c r="B527" s="248">
        <v>0.99695601851851856</v>
      </c>
      <c r="C527" s="1009" t="s">
        <v>1263</v>
      </c>
    </row>
    <row r="528" spans="1:3" x14ac:dyDescent="0.25">
      <c r="A528" s="247">
        <v>41586</v>
      </c>
      <c r="B528" s="248">
        <v>0.99695601851851856</v>
      </c>
      <c r="C528" s="1009" t="s">
        <v>1272</v>
      </c>
    </row>
    <row r="529" spans="1:3" x14ac:dyDescent="0.25">
      <c r="A529" s="247">
        <v>41586</v>
      </c>
      <c r="B529" s="248">
        <v>0.9969675925925926</v>
      </c>
      <c r="C529" s="1009" t="s">
        <v>1264</v>
      </c>
    </row>
    <row r="530" spans="1:3" x14ac:dyDescent="0.25">
      <c r="A530" s="247">
        <v>41586</v>
      </c>
      <c r="B530" s="248">
        <v>0.99697916666666664</v>
      </c>
      <c r="C530" s="1009" t="s">
        <v>1422</v>
      </c>
    </row>
    <row r="531" spans="1:3" x14ac:dyDescent="0.25">
      <c r="A531" s="247">
        <v>41586</v>
      </c>
      <c r="B531" s="248">
        <v>0.99703703703703705</v>
      </c>
      <c r="C531" s="1009" t="s">
        <v>1423</v>
      </c>
    </row>
    <row r="532" spans="1:3" x14ac:dyDescent="0.25">
      <c r="A532" s="247">
        <v>41586</v>
      </c>
      <c r="B532" s="248">
        <v>0.99704861111111109</v>
      </c>
      <c r="C532" s="1009" t="s">
        <v>1444</v>
      </c>
    </row>
    <row r="533" spans="1:3" x14ac:dyDescent="0.25">
      <c r="A533" s="247">
        <v>41586</v>
      </c>
      <c r="B533" s="248">
        <v>0.99704861111111109</v>
      </c>
      <c r="C533" s="1009" t="s">
        <v>1437</v>
      </c>
    </row>
    <row r="534" spans="1:3" x14ac:dyDescent="0.25">
      <c r="A534" s="247">
        <v>41586</v>
      </c>
      <c r="B534" s="248">
        <v>0.99704861111111109</v>
      </c>
      <c r="C534" s="1009" t="s">
        <v>1380</v>
      </c>
    </row>
    <row r="535" spans="1:3" x14ac:dyDescent="0.25">
      <c r="A535" s="247">
        <v>41586</v>
      </c>
      <c r="B535" s="248">
        <v>0.99715277777777767</v>
      </c>
      <c r="C535" s="1009" t="s">
        <v>1432</v>
      </c>
    </row>
    <row r="536" spans="1:3" x14ac:dyDescent="0.25">
      <c r="A536" s="247">
        <v>41586</v>
      </c>
      <c r="B536" s="248">
        <v>0.99746527777777771</v>
      </c>
      <c r="C536" s="1009" t="s">
        <v>1445</v>
      </c>
    </row>
    <row r="537" spans="1:3" x14ac:dyDescent="0.25">
      <c r="A537" s="247">
        <v>41586</v>
      </c>
      <c r="B537" s="248">
        <v>0.99746527777777771</v>
      </c>
      <c r="C537" s="1009" t="s">
        <v>1446</v>
      </c>
    </row>
    <row r="538" spans="1:3" x14ac:dyDescent="0.25">
      <c r="A538" s="247">
        <v>41586</v>
      </c>
      <c r="B538" s="248">
        <v>0.99746527777777771</v>
      </c>
      <c r="C538" s="1009" t="s">
        <v>1447</v>
      </c>
    </row>
    <row r="539" spans="1:3" x14ac:dyDescent="0.25">
      <c r="A539" s="247">
        <v>41586</v>
      </c>
      <c r="B539" s="248">
        <v>0.99746527777777771</v>
      </c>
      <c r="C539" s="1009" t="s">
        <v>1448</v>
      </c>
    </row>
    <row r="540" spans="1:3" x14ac:dyDescent="0.25">
      <c r="A540" s="247">
        <v>41586</v>
      </c>
      <c r="B540" s="248">
        <v>0.99746527777777771</v>
      </c>
      <c r="C540" s="1009" t="s">
        <v>1449</v>
      </c>
    </row>
    <row r="541" spans="1:3" x14ac:dyDescent="0.25">
      <c r="A541" s="247">
        <v>41586</v>
      </c>
      <c r="B541" s="248">
        <v>0.99746527777777771</v>
      </c>
      <c r="C541" s="1009" t="s">
        <v>1450</v>
      </c>
    </row>
    <row r="542" spans="1:3" x14ac:dyDescent="0.25">
      <c r="A542" s="247">
        <v>41586</v>
      </c>
      <c r="B542" s="248">
        <v>0.99746527777777771</v>
      </c>
      <c r="C542" s="1009" t="s">
        <v>1451</v>
      </c>
    </row>
    <row r="543" spans="1:3" x14ac:dyDescent="0.25">
      <c r="A543" s="247">
        <v>41586</v>
      </c>
      <c r="B543" s="248">
        <v>0.99746527777777771</v>
      </c>
      <c r="C543" s="1009" t="s">
        <v>1452</v>
      </c>
    </row>
    <row r="544" spans="1:3" x14ac:dyDescent="0.25">
      <c r="A544" s="247">
        <v>41586</v>
      </c>
      <c r="B544" s="248">
        <v>0.99746527777777771</v>
      </c>
      <c r="C544" s="1009" t="s">
        <v>1453</v>
      </c>
    </row>
    <row r="545" spans="1:3" x14ac:dyDescent="0.25">
      <c r="A545" s="247">
        <v>41586</v>
      </c>
      <c r="B545" s="248">
        <v>0.99746527777777771</v>
      </c>
      <c r="C545" s="1009" t="s">
        <v>1454</v>
      </c>
    </row>
    <row r="546" spans="1:3" x14ac:dyDescent="0.25">
      <c r="A546" s="247">
        <v>41586</v>
      </c>
      <c r="B546" s="248">
        <v>0.99746527777777771</v>
      </c>
      <c r="C546" s="1009" t="s">
        <v>1455</v>
      </c>
    </row>
    <row r="547" spans="1:3" x14ac:dyDescent="0.25">
      <c r="A547" s="247">
        <v>41586</v>
      </c>
      <c r="B547" s="248">
        <v>0.99746527777777771</v>
      </c>
      <c r="C547" s="1009" t="s">
        <v>1456</v>
      </c>
    </row>
    <row r="548" spans="1:3" x14ac:dyDescent="0.25">
      <c r="A548" s="247">
        <v>41586</v>
      </c>
      <c r="B548" s="248">
        <v>0.99848379629629624</v>
      </c>
      <c r="C548" s="1009" t="s">
        <v>1444</v>
      </c>
    </row>
    <row r="549" spans="1:3" x14ac:dyDescent="0.25">
      <c r="A549" s="247">
        <v>41586</v>
      </c>
      <c r="B549" s="248">
        <v>0.99848379629629624</v>
      </c>
      <c r="C549" s="1009" t="s">
        <v>1415</v>
      </c>
    </row>
    <row r="550" spans="1:3" x14ac:dyDescent="0.25">
      <c r="A550" s="247">
        <v>41586</v>
      </c>
      <c r="B550" s="248">
        <v>0.99849537037037039</v>
      </c>
      <c r="C550" s="1009" t="s">
        <v>1457</v>
      </c>
    </row>
    <row r="551" spans="1:3" x14ac:dyDescent="0.25">
      <c r="A551" s="247">
        <v>41586</v>
      </c>
      <c r="B551" s="248">
        <v>0.99850694444444443</v>
      </c>
      <c r="C551" s="1009" t="s">
        <v>1313</v>
      </c>
    </row>
    <row r="552" spans="1:3" x14ac:dyDescent="0.25">
      <c r="A552" s="247">
        <v>41586</v>
      </c>
      <c r="B552" s="248">
        <v>0.99850694444444443</v>
      </c>
      <c r="C552" s="1009" t="s">
        <v>1434</v>
      </c>
    </row>
    <row r="553" spans="1:3" x14ac:dyDescent="0.25">
      <c r="A553" s="247">
        <v>41586</v>
      </c>
      <c r="B553" s="248">
        <v>0.99858796296296293</v>
      </c>
      <c r="C553" s="1009" t="s">
        <v>1274</v>
      </c>
    </row>
    <row r="554" spans="1:3" x14ac:dyDescent="0.25">
      <c r="A554" s="247">
        <v>41586</v>
      </c>
      <c r="B554" s="248">
        <v>0.99858796296296293</v>
      </c>
      <c r="C554" s="1009" t="s">
        <v>1458</v>
      </c>
    </row>
    <row r="555" spans="1:3" x14ac:dyDescent="0.25">
      <c r="A555" s="247">
        <v>41586</v>
      </c>
      <c r="B555" s="248">
        <v>0.9986342592592593</v>
      </c>
      <c r="C555" s="1009" t="s">
        <v>1459</v>
      </c>
    </row>
    <row r="556" spans="1:3" x14ac:dyDescent="0.25">
      <c r="A556" s="247">
        <v>41587</v>
      </c>
      <c r="B556" s="248">
        <v>4.2013888888888891E-3</v>
      </c>
      <c r="C556" s="1009" t="s">
        <v>1262</v>
      </c>
    </row>
    <row r="557" spans="1:3" x14ac:dyDescent="0.25">
      <c r="A557" s="247">
        <v>41587</v>
      </c>
      <c r="B557" s="248">
        <v>4.2013888888888891E-3</v>
      </c>
      <c r="C557" s="1009" t="s">
        <v>1444</v>
      </c>
    </row>
    <row r="558" spans="1:3" x14ac:dyDescent="0.25">
      <c r="A558" s="247">
        <v>41587</v>
      </c>
      <c r="B558" s="248">
        <v>4.2013888888888891E-3</v>
      </c>
      <c r="C558" s="1009" t="s">
        <v>1437</v>
      </c>
    </row>
    <row r="559" spans="1:3" x14ac:dyDescent="0.25">
      <c r="A559" s="247">
        <v>41587</v>
      </c>
      <c r="B559" s="248">
        <v>4.2013888888888891E-3</v>
      </c>
      <c r="C559" s="1009" t="s">
        <v>1380</v>
      </c>
    </row>
    <row r="560" spans="1:3" x14ac:dyDescent="0.25">
      <c r="A560" s="247">
        <v>41587</v>
      </c>
      <c r="B560" s="248">
        <v>4.3287037037037035E-3</v>
      </c>
      <c r="C560" s="1009" t="s">
        <v>1460</v>
      </c>
    </row>
    <row r="561" spans="1:3" x14ac:dyDescent="0.25">
      <c r="A561" s="247">
        <v>41587</v>
      </c>
      <c r="B561" s="248">
        <v>4.6643518518518518E-3</v>
      </c>
      <c r="C561" s="1009" t="s">
        <v>1445</v>
      </c>
    </row>
    <row r="562" spans="1:3" x14ac:dyDescent="0.25">
      <c r="A562" s="247">
        <v>41587</v>
      </c>
      <c r="B562" s="248">
        <v>4.6643518518518518E-3</v>
      </c>
      <c r="C562" s="1009" t="s">
        <v>1446</v>
      </c>
    </row>
    <row r="563" spans="1:3" x14ac:dyDescent="0.25">
      <c r="A563" s="247">
        <v>41587</v>
      </c>
      <c r="B563" s="248">
        <v>4.6643518518518518E-3</v>
      </c>
      <c r="C563" s="1009" t="s">
        <v>1447</v>
      </c>
    </row>
    <row r="564" spans="1:3" x14ac:dyDescent="0.25">
      <c r="A564" s="247">
        <v>41587</v>
      </c>
      <c r="B564" s="248">
        <v>4.6643518518518518E-3</v>
      </c>
      <c r="C564" s="1009" t="s">
        <v>1448</v>
      </c>
    </row>
    <row r="565" spans="1:3" x14ac:dyDescent="0.25">
      <c r="A565" s="247">
        <v>41587</v>
      </c>
      <c r="B565" s="248">
        <v>4.6643518518518518E-3</v>
      </c>
      <c r="C565" s="1009" t="s">
        <v>1449</v>
      </c>
    </row>
    <row r="566" spans="1:3" x14ac:dyDescent="0.25">
      <c r="A566" s="247">
        <v>41587</v>
      </c>
      <c r="B566" s="248">
        <v>4.6643518518518518E-3</v>
      </c>
      <c r="C566" s="1009" t="s">
        <v>1450</v>
      </c>
    </row>
    <row r="567" spans="1:3" x14ac:dyDescent="0.25">
      <c r="A567" s="247">
        <v>41587</v>
      </c>
      <c r="B567" s="248">
        <v>4.6643518518518518E-3</v>
      </c>
      <c r="C567" s="1009" t="s">
        <v>1451</v>
      </c>
    </row>
    <row r="568" spans="1:3" x14ac:dyDescent="0.25">
      <c r="A568" s="247">
        <v>41587</v>
      </c>
      <c r="B568" s="248">
        <v>4.6643518518518518E-3</v>
      </c>
      <c r="C568" s="1009" t="s">
        <v>1452</v>
      </c>
    </row>
    <row r="569" spans="1:3" x14ac:dyDescent="0.25">
      <c r="A569" s="247">
        <v>41587</v>
      </c>
      <c r="B569" s="248">
        <v>4.6643518518518518E-3</v>
      </c>
      <c r="C569" s="1009" t="s">
        <v>1453</v>
      </c>
    </row>
    <row r="570" spans="1:3" x14ac:dyDescent="0.25">
      <c r="A570" s="247">
        <v>41587</v>
      </c>
      <c r="B570" s="248">
        <v>4.6643518518518518E-3</v>
      </c>
      <c r="C570" s="1009" t="s">
        <v>1454</v>
      </c>
    </row>
    <row r="571" spans="1:3" x14ac:dyDescent="0.25">
      <c r="A571" s="247">
        <v>41587</v>
      </c>
      <c r="B571" s="248">
        <v>4.6643518518518518E-3</v>
      </c>
      <c r="C571" s="1009" t="s">
        <v>1455</v>
      </c>
    </row>
    <row r="572" spans="1:3" x14ac:dyDescent="0.25">
      <c r="A572" s="247">
        <v>41587</v>
      </c>
      <c r="B572" s="248">
        <v>4.6643518518518518E-3</v>
      </c>
      <c r="C572" s="1009" t="s">
        <v>1456</v>
      </c>
    </row>
    <row r="573" spans="1:3" x14ac:dyDescent="0.25">
      <c r="A573" s="247">
        <v>41587</v>
      </c>
      <c r="B573" s="248">
        <v>5.4398148148148149E-3</v>
      </c>
      <c r="C573" s="1009" t="s">
        <v>1465</v>
      </c>
    </row>
    <row r="574" spans="1:3" x14ac:dyDescent="0.25">
      <c r="A574" s="247">
        <v>41587</v>
      </c>
      <c r="B574" s="248">
        <v>5.4398148148148149E-3</v>
      </c>
      <c r="C574" s="1009" t="s">
        <v>1415</v>
      </c>
    </row>
    <row r="575" spans="1:3" x14ac:dyDescent="0.25">
      <c r="A575" s="247">
        <v>41587</v>
      </c>
      <c r="B575" s="248">
        <v>5.4398148148148149E-3</v>
      </c>
      <c r="C575" s="1009" t="s">
        <v>1457</v>
      </c>
    </row>
    <row r="576" spans="1:3" x14ac:dyDescent="0.25">
      <c r="A576" s="247">
        <v>41587</v>
      </c>
      <c r="B576" s="248">
        <v>5.4513888888888884E-3</v>
      </c>
      <c r="C576" s="1009" t="s">
        <v>1313</v>
      </c>
    </row>
    <row r="577" spans="1:3" x14ac:dyDescent="0.25">
      <c r="A577" s="247">
        <v>41587</v>
      </c>
      <c r="B577" s="248">
        <v>5.4629629629629637E-3</v>
      </c>
      <c r="C577" s="1009" t="s">
        <v>1434</v>
      </c>
    </row>
    <row r="578" spans="1:3" x14ac:dyDescent="0.25">
      <c r="A578" s="247">
        <v>41587</v>
      </c>
      <c r="B578" s="248">
        <v>5.5439814814814822E-3</v>
      </c>
      <c r="C578" s="1009" t="s">
        <v>1274</v>
      </c>
    </row>
    <row r="579" spans="1:3" x14ac:dyDescent="0.25">
      <c r="A579" s="247">
        <v>41587</v>
      </c>
      <c r="B579" s="248">
        <v>5.5555555555555558E-3</v>
      </c>
      <c r="C579" s="1009" t="s">
        <v>1458</v>
      </c>
    </row>
    <row r="580" spans="1:3" x14ac:dyDescent="0.25">
      <c r="A580" s="247">
        <v>41587</v>
      </c>
      <c r="B580" s="248">
        <v>5.6018518518518518E-3</v>
      </c>
      <c r="C580" s="1009" t="s">
        <v>1466</v>
      </c>
    </row>
    <row r="581" spans="1:3" x14ac:dyDescent="0.25">
      <c r="A581" s="247">
        <v>41587</v>
      </c>
      <c r="B581" s="248">
        <v>1.0590277777777777E-2</v>
      </c>
      <c r="C581" s="1009" t="s">
        <v>1465</v>
      </c>
    </row>
    <row r="582" spans="1:3" x14ac:dyDescent="0.25">
      <c r="A582" s="247">
        <v>41587</v>
      </c>
      <c r="B582" s="248">
        <v>1.0590277777777777E-2</v>
      </c>
      <c r="C582" s="1009" t="s">
        <v>1434</v>
      </c>
    </row>
    <row r="583" spans="1:3" x14ac:dyDescent="0.25">
      <c r="A583" s="247">
        <v>41587</v>
      </c>
      <c r="B583" s="248">
        <v>1.0659722222222221E-2</v>
      </c>
      <c r="C583" s="1009" t="s">
        <v>1274</v>
      </c>
    </row>
    <row r="584" spans="1:3" x14ac:dyDescent="0.25">
      <c r="A584" s="247">
        <v>41587</v>
      </c>
      <c r="B584" s="248">
        <v>1.0659722222222221E-2</v>
      </c>
      <c r="C584" s="1009" t="s">
        <v>1458</v>
      </c>
    </row>
    <row r="585" spans="1:3" x14ac:dyDescent="0.25">
      <c r="A585" s="247">
        <v>41587</v>
      </c>
      <c r="B585" s="248">
        <v>1.0706018518518517E-2</v>
      </c>
      <c r="C585" s="1009" t="s">
        <v>1466</v>
      </c>
    </row>
    <row r="586" spans="1:3" x14ac:dyDescent="0.25">
      <c r="A586" s="247">
        <v>41587</v>
      </c>
      <c r="B586" s="248">
        <v>1.1828703703703704E-2</v>
      </c>
      <c r="C586" s="1009" t="s">
        <v>1465</v>
      </c>
    </row>
    <row r="587" spans="1:3" x14ac:dyDescent="0.25">
      <c r="A587" s="247">
        <v>41587</v>
      </c>
      <c r="B587" s="248">
        <v>1.1828703703703704E-2</v>
      </c>
      <c r="C587" s="1009" t="s">
        <v>1434</v>
      </c>
    </row>
    <row r="588" spans="1:3" x14ac:dyDescent="0.25">
      <c r="A588" s="247">
        <v>41587</v>
      </c>
      <c r="B588" s="248">
        <v>1.1898148148148149E-2</v>
      </c>
      <c r="C588" s="1009" t="s">
        <v>1274</v>
      </c>
    </row>
    <row r="589" spans="1:3" x14ac:dyDescent="0.25">
      <c r="A589" s="247">
        <v>41587</v>
      </c>
      <c r="B589" s="248">
        <v>1.1909722222222223E-2</v>
      </c>
      <c r="C589" s="1009" t="s">
        <v>1458</v>
      </c>
    </row>
    <row r="590" spans="1:3" x14ac:dyDescent="0.25">
      <c r="A590" s="247">
        <v>41587</v>
      </c>
      <c r="B590" s="248">
        <v>1.1944444444444445E-2</v>
      </c>
      <c r="C590" s="1009" t="s">
        <v>1466</v>
      </c>
    </row>
    <row r="591" spans="1:3" x14ac:dyDescent="0.25">
      <c r="A591" s="247">
        <v>41587</v>
      </c>
      <c r="B591" s="248">
        <v>1.3842592592592594E-2</v>
      </c>
      <c r="C591" s="1009" t="s">
        <v>1262</v>
      </c>
    </row>
    <row r="592" spans="1:3" x14ac:dyDescent="0.25">
      <c r="A592" s="247">
        <v>41587</v>
      </c>
      <c r="B592" s="248">
        <v>1.3842592592592594E-2</v>
      </c>
      <c r="C592" s="1009" t="s">
        <v>1465</v>
      </c>
    </row>
    <row r="593" spans="1:3" x14ac:dyDescent="0.25">
      <c r="A593" s="247">
        <v>41587</v>
      </c>
      <c r="B593" s="248">
        <v>1.3842592592592594E-2</v>
      </c>
      <c r="C593" s="1009" t="s">
        <v>1461</v>
      </c>
    </row>
    <row r="594" spans="1:3" x14ac:dyDescent="0.25">
      <c r="A594" s="247">
        <v>41587</v>
      </c>
      <c r="B594" s="248">
        <v>1.3842592592592594E-2</v>
      </c>
      <c r="C594" s="1009" t="s">
        <v>1380</v>
      </c>
    </row>
    <row r="595" spans="1:3" x14ac:dyDescent="0.25">
      <c r="A595" s="247">
        <v>41587</v>
      </c>
      <c r="B595" s="248">
        <v>1.3958333333333335E-2</v>
      </c>
      <c r="C595" s="1009" t="s">
        <v>1460</v>
      </c>
    </row>
    <row r="596" spans="1:3" x14ac:dyDescent="0.25">
      <c r="A596" s="247">
        <v>41587</v>
      </c>
      <c r="B596" s="248">
        <v>1.4178240740740741E-2</v>
      </c>
      <c r="C596" s="1009" t="s">
        <v>1445</v>
      </c>
    </row>
    <row r="597" spans="1:3" x14ac:dyDescent="0.25">
      <c r="A597" s="247">
        <v>41587</v>
      </c>
      <c r="B597" s="248">
        <v>1.4178240740740741E-2</v>
      </c>
      <c r="C597" s="1009" t="s">
        <v>1446</v>
      </c>
    </row>
    <row r="598" spans="1:3" x14ac:dyDescent="0.25">
      <c r="A598" s="247">
        <v>41587</v>
      </c>
      <c r="B598" s="248">
        <v>1.4178240740740741E-2</v>
      </c>
      <c r="C598" s="1009" t="s">
        <v>1447</v>
      </c>
    </row>
    <row r="599" spans="1:3" x14ac:dyDescent="0.25">
      <c r="A599" s="247">
        <v>41587</v>
      </c>
      <c r="B599" s="248">
        <v>1.4178240740740741E-2</v>
      </c>
      <c r="C599" s="1009" t="s">
        <v>1448</v>
      </c>
    </row>
    <row r="600" spans="1:3" x14ac:dyDescent="0.25">
      <c r="A600" s="247">
        <v>41587</v>
      </c>
      <c r="B600" s="248">
        <v>1.4178240740740741E-2</v>
      </c>
      <c r="C600" s="1009" t="s">
        <v>1449</v>
      </c>
    </row>
    <row r="601" spans="1:3" x14ac:dyDescent="0.25">
      <c r="A601" s="247">
        <v>41587</v>
      </c>
      <c r="B601" s="248">
        <v>1.4178240740740741E-2</v>
      </c>
      <c r="C601" s="1009" t="s">
        <v>1450</v>
      </c>
    </row>
    <row r="602" spans="1:3" x14ac:dyDescent="0.25">
      <c r="A602" s="247">
        <v>41587</v>
      </c>
      <c r="B602" s="248">
        <v>1.4178240740740741E-2</v>
      </c>
      <c r="C602" s="1009" t="s">
        <v>1451</v>
      </c>
    </row>
    <row r="603" spans="1:3" x14ac:dyDescent="0.25">
      <c r="A603" s="247">
        <v>41587</v>
      </c>
      <c r="B603" s="248">
        <v>1.4178240740740741E-2</v>
      </c>
      <c r="C603" s="1009" t="s">
        <v>1452</v>
      </c>
    </row>
    <row r="604" spans="1:3" x14ac:dyDescent="0.25">
      <c r="A604" s="247">
        <v>41587</v>
      </c>
      <c r="B604" s="248">
        <v>1.4178240740740741E-2</v>
      </c>
      <c r="C604" s="1009" t="s">
        <v>1453</v>
      </c>
    </row>
    <row r="605" spans="1:3" x14ac:dyDescent="0.25">
      <c r="A605" s="247">
        <v>41587</v>
      </c>
      <c r="B605" s="248">
        <v>1.4178240740740741E-2</v>
      </c>
      <c r="C605" s="1009" t="s">
        <v>1454</v>
      </c>
    </row>
    <row r="606" spans="1:3" x14ac:dyDescent="0.25">
      <c r="A606" s="247">
        <v>41587</v>
      </c>
      <c r="B606" s="248">
        <v>1.4178240740740741E-2</v>
      </c>
      <c r="C606" s="1009" t="s">
        <v>1455</v>
      </c>
    </row>
    <row r="607" spans="1:3" x14ac:dyDescent="0.25">
      <c r="A607" s="247">
        <v>41587</v>
      </c>
      <c r="B607" s="248">
        <v>1.4178240740740741E-2</v>
      </c>
      <c r="C607" s="1009" t="s">
        <v>1456</v>
      </c>
    </row>
    <row r="608" spans="1:3" x14ac:dyDescent="0.25">
      <c r="A608" s="247">
        <v>41587</v>
      </c>
      <c r="B608" s="248">
        <v>1.4456018518518519E-2</v>
      </c>
      <c r="C608" s="1009" t="s">
        <v>1465</v>
      </c>
    </row>
    <row r="609" spans="1:3" x14ac:dyDescent="0.25">
      <c r="A609" s="247">
        <v>41587</v>
      </c>
      <c r="B609" s="248">
        <v>1.4456018518518519E-2</v>
      </c>
      <c r="C609" s="1009" t="s">
        <v>1467</v>
      </c>
    </row>
    <row r="610" spans="1:3" x14ac:dyDescent="0.25">
      <c r="A610" s="247">
        <v>41587</v>
      </c>
      <c r="B610" s="248">
        <v>1.4467592592592593E-2</v>
      </c>
      <c r="C610" s="1009" t="s">
        <v>1457</v>
      </c>
    </row>
    <row r="611" spans="1:3" x14ac:dyDescent="0.25">
      <c r="A611" s="247">
        <v>41587</v>
      </c>
      <c r="B611" s="248">
        <v>1.4479166666666668E-2</v>
      </c>
      <c r="C611" s="1009" t="s">
        <v>1313</v>
      </c>
    </row>
    <row r="612" spans="1:3" x14ac:dyDescent="0.25">
      <c r="A612" s="247">
        <v>41587</v>
      </c>
      <c r="B612" s="248">
        <v>1.4479166666666668E-2</v>
      </c>
      <c r="C612" s="1009" t="s">
        <v>1434</v>
      </c>
    </row>
    <row r="613" spans="1:3" x14ac:dyDescent="0.25">
      <c r="A613" s="247">
        <v>41587</v>
      </c>
      <c r="B613" s="248">
        <v>1.4560185185185183E-2</v>
      </c>
      <c r="C613" s="1009" t="s">
        <v>1274</v>
      </c>
    </row>
    <row r="614" spans="1:3" x14ac:dyDescent="0.25">
      <c r="A614" s="247">
        <v>41587</v>
      </c>
      <c r="B614" s="248">
        <v>1.4571759259259258E-2</v>
      </c>
      <c r="C614" s="1009" t="s">
        <v>1458</v>
      </c>
    </row>
    <row r="615" spans="1:3" x14ac:dyDescent="0.25">
      <c r="A615" s="247">
        <v>41587</v>
      </c>
      <c r="B615" s="248">
        <v>1.4618055555555556E-2</v>
      </c>
      <c r="C615" s="1009" t="s">
        <v>1466</v>
      </c>
    </row>
    <row r="616" spans="1:3" x14ac:dyDescent="0.25">
      <c r="A616" s="247">
        <v>41587</v>
      </c>
      <c r="B616" s="248">
        <v>1.5983796296296295E-2</v>
      </c>
      <c r="C616" s="1009" t="s">
        <v>1465</v>
      </c>
    </row>
    <row r="617" spans="1:3" x14ac:dyDescent="0.25">
      <c r="A617" s="247">
        <v>41587</v>
      </c>
      <c r="B617" s="248">
        <v>2.101851851851852E-2</v>
      </c>
      <c r="C617" s="1009" t="s">
        <v>1262</v>
      </c>
    </row>
    <row r="618" spans="1:3" x14ac:dyDescent="0.25">
      <c r="A618" s="247">
        <v>41587</v>
      </c>
      <c r="B618" s="248">
        <v>2.101851851851852E-2</v>
      </c>
      <c r="C618" s="1009" t="s">
        <v>1468</v>
      </c>
    </row>
    <row r="619" spans="1:3" x14ac:dyDescent="0.25">
      <c r="A619" s="247">
        <v>41587</v>
      </c>
      <c r="B619" s="248">
        <v>2.3877314814814813E-2</v>
      </c>
      <c r="C619" s="1009" t="s">
        <v>1262</v>
      </c>
    </row>
    <row r="620" spans="1:3" x14ac:dyDescent="0.25">
      <c r="A620" s="247">
        <v>41587</v>
      </c>
      <c r="B620" s="248">
        <v>2.3877314814814813E-2</v>
      </c>
      <c r="C620" s="1009" t="s">
        <v>1468</v>
      </c>
    </row>
    <row r="621" spans="1:3" x14ac:dyDescent="0.25">
      <c r="A621" s="247">
        <v>41587</v>
      </c>
      <c r="B621" s="248">
        <v>2.4016203703703706E-2</v>
      </c>
      <c r="C621" s="1009" t="s">
        <v>1465</v>
      </c>
    </row>
    <row r="622" spans="1:3" x14ac:dyDescent="0.25">
      <c r="A622" s="247">
        <v>41587</v>
      </c>
      <c r="B622" s="248">
        <v>2.4201388888888887E-2</v>
      </c>
      <c r="C622" s="1009" t="s">
        <v>1461</v>
      </c>
    </row>
    <row r="623" spans="1:3" x14ac:dyDescent="0.25">
      <c r="A623" s="247">
        <v>41587</v>
      </c>
      <c r="B623" s="248">
        <v>2.4201388888888887E-2</v>
      </c>
      <c r="C623" s="1009" t="s">
        <v>1380</v>
      </c>
    </row>
    <row r="624" spans="1:3" x14ac:dyDescent="0.25">
      <c r="A624" s="247">
        <v>41587</v>
      </c>
      <c r="B624" s="248">
        <v>2.431712962962963E-2</v>
      </c>
      <c r="C624" s="1009" t="s">
        <v>1460</v>
      </c>
    </row>
    <row r="625" spans="1:3" x14ac:dyDescent="0.25">
      <c r="A625" s="247">
        <v>41587</v>
      </c>
      <c r="B625" s="248">
        <v>2.4918981481481483E-2</v>
      </c>
      <c r="C625" s="1009" t="s">
        <v>1445</v>
      </c>
    </row>
    <row r="626" spans="1:3" x14ac:dyDescent="0.25">
      <c r="A626" s="247">
        <v>41587</v>
      </c>
      <c r="B626" s="248">
        <v>2.4918981481481483E-2</v>
      </c>
      <c r="C626" s="1009" t="s">
        <v>1446</v>
      </c>
    </row>
    <row r="627" spans="1:3" x14ac:dyDescent="0.25">
      <c r="A627" s="247">
        <v>41587</v>
      </c>
      <c r="B627" s="248">
        <v>2.4918981481481483E-2</v>
      </c>
      <c r="C627" s="1009" t="s">
        <v>1447</v>
      </c>
    </row>
    <row r="628" spans="1:3" x14ac:dyDescent="0.25">
      <c r="A628" s="247">
        <v>41587</v>
      </c>
      <c r="B628" s="248">
        <v>2.4918981481481483E-2</v>
      </c>
      <c r="C628" s="1009" t="s">
        <v>1448</v>
      </c>
    </row>
    <row r="629" spans="1:3" x14ac:dyDescent="0.25">
      <c r="A629" s="247">
        <v>41587</v>
      </c>
      <c r="B629" s="248">
        <v>2.4918981481481483E-2</v>
      </c>
      <c r="C629" s="1009" t="s">
        <v>1449</v>
      </c>
    </row>
    <row r="630" spans="1:3" x14ac:dyDescent="0.25">
      <c r="A630" s="247">
        <v>41587</v>
      </c>
      <c r="B630" s="248">
        <v>2.4918981481481483E-2</v>
      </c>
      <c r="C630" s="1009" t="s">
        <v>1450</v>
      </c>
    </row>
    <row r="631" spans="1:3" x14ac:dyDescent="0.25">
      <c r="A631" s="247">
        <v>41587</v>
      </c>
      <c r="B631" s="248">
        <v>2.4918981481481483E-2</v>
      </c>
      <c r="C631" s="1009" t="s">
        <v>1451</v>
      </c>
    </row>
    <row r="632" spans="1:3" x14ac:dyDescent="0.25">
      <c r="A632" s="247">
        <v>41587</v>
      </c>
      <c r="B632" s="248">
        <v>2.4918981481481483E-2</v>
      </c>
      <c r="C632" s="1009" t="s">
        <v>1452</v>
      </c>
    </row>
    <row r="633" spans="1:3" x14ac:dyDescent="0.25">
      <c r="A633" s="247">
        <v>41587</v>
      </c>
      <c r="B633" s="248">
        <v>2.4918981481481483E-2</v>
      </c>
      <c r="C633" s="1009" t="s">
        <v>1453</v>
      </c>
    </row>
    <row r="634" spans="1:3" x14ac:dyDescent="0.25">
      <c r="A634" s="247">
        <v>41587</v>
      </c>
      <c r="B634" s="248">
        <v>2.4918981481481483E-2</v>
      </c>
      <c r="C634" s="1009" t="s">
        <v>1454</v>
      </c>
    </row>
    <row r="635" spans="1:3" x14ac:dyDescent="0.25">
      <c r="A635" s="247">
        <v>41587</v>
      </c>
      <c r="B635" s="248">
        <v>2.4918981481481483E-2</v>
      </c>
      <c r="C635" s="1009" t="s">
        <v>1455</v>
      </c>
    </row>
    <row r="636" spans="1:3" x14ac:dyDescent="0.25">
      <c r="A636" s="247">
        <v>41587</v>
      </c>
      <c r="B636" s="248">
        <v>2.4918981481481483E-2</v>
      </c>
      <c r="C636" s="1009" t="s">
        <v>1456</v>
      </c>
    </row>
    <row r="637" spans="1:3" x14ac:dyDescent="0.25">
      <c r="A637" s="247">
        <v>41587</v>
      </c>
      <c r="B637" s="248">
        <v>2.5879629629629627E-2</v>
      </c>
      <c r="C637" s="1009" t="s">
        <v>1465</v>
      </c>
    </row>
    <row r="638" spans="1:3" x14ac:dyDescent="0.25">
      <c r="A638" s="247">
        <v>41587</v>
      </c>
      <c r="B638" s="248">
        <v>2.6574074074074073E-2</v>
      </c>
      <c r="C638" s="1009" t="s">
        <v>1467</v>
      </c>
    </row>
    <row r="639" spans="1:3" x14ac:dyDescent="0.25">
      <c r="A639" s="247">
        <v>41587</v>
      </c>
      <c r="B639" s="248">
        <v>2.6689814814814816E-2</v>
      </c>
      <c r="C639" s="1009" t="s">
        <v>1457</v>
      </c>
    </row>
    <row r="640" spans="1:3" x14ac:dyDescent="0.25">
      <c r="A640" s="247">
        <v>41587</v>
      </c>
      <c r="B640" s="248">
        <v>2.6701388888888889E-2</v>
      </c>
      <c r="C640" s="1009" t="s">
        <v>1313</v>
      </c>
    </row>
    <row r="641" spans="1:3" x14ac:dyDescent="0.25">
      <c r="A641" s="247">
        <v>41587</v>
      </c>
      <c r="B641" s="248">
        <v>2.6712962962962966E-2</v>
      </c>
      <c r="C641" s="1009" t="s">
        <v>1434</v>
      </c>
    </row>
    <row r="642" spans="1:3" x14ac:dyDescent="0.25">
      <c r="A642" s="247">
        <v>41587</v>
      </c>
      <c r="B642" s="248">
        <v>2.6782407407407408E-2</v>
      </c>
      <c r="C642" s="1009" t="s">
        <v>1274</v>
      </c>
    </row>
    <row r="643" spans="1:3" x14ac:dyDescent="0.25">
      <c r="A643" s="247">
        <v>41587</v>
      </c>
      <c r="B643" s="248">
        <v>2.6793981481481485E-2</v>
      </c>
      <c r="C643" s="1009" t="s">
        <v>1458</v>
      </c>
    </row>
    <row r="644" spans="1:3" x14ac:dyDescent="0.25">
      <c r="A644" s="247">
        <v>41587</v>
      </c>
      <c r="B644" s="248">
        <v>2.6840277777777779E-2</v>
      </c>
      <c r="C644" s="1009" t="s">
        <v>1466</v>
      </c>
    </row>
    <row r="645" spans="1:3" ht="45" x14ac:dyDescent="0.25">
      <c r="A645" s="247">
        <v>41587</v>
      </c>
      <c r="B645" s="248">
        <v>3.0902777777777779E-2</v>
      </c>
      <c r="C645" s="1005" t="s">
        <v>1469</v>
      </c>
    </row>
    <row r="646" spans="1:3" x14ac:dyDescent="0.25">
      <c r="A646" s="247">
        <v>41587</v>
      </c>
      <c r="B646" s="248">
        <v>3.0914351851851849E-2</v>
      </c>
      <c r="C646" s="1009" t="s">
        <v>1442</v>
      </c>
    </row>
    <row r="647" spans="1:3" ht="30" x14ac:dyDescent="0.25">
      <c r="A647" s="247">
        <v>41587</v>
      </c>
      <c r="B647" s="248">
        <v>3.1053240740740742E-2</v>
      </c>
      <c r="C647" s="1005" t="s">
        <v>1470</v>
      </c>
    </row>
    <row r="648" spans="1:3" x14ac:dyDescent="0.25">
      <c r="A648" s="247">
        <v>41587</v>
      </c>
      <c r="B648" s="248">
        <v>3.1064814814814812E-2</v>
      </c>
      <c r="C648" s="1009" t="s">
        <v>1439</v>
      </c>
    </row>
    <row r="649" spans="1:3" x14ac:dyDescent="0.25">
      <c r="A649" s="247">
        <v>41587</v>
      </c>
      <c r="B649" s="248">
        <v>3.1064814814814812E-2</v>
      </c>
      <c r="C649" s="1009" t="s">
        <v>1385</v>
      </c>
    </row>
    <row r="650" spans="1:3" x14ac:dyDescent="0.25">
      <c r="A650" s="247">
        <v>41587</v>
      </c>
      <c r="B650" s="248">
        <v>3.108796296296296E-2</v>
      </c>
      <c r="C650" s="1009" t="s">
        <v>1427</v>
      </c>
    </row>
    <row r="651" spans="1:3" x14ac:dyDescent="0.25">
      <c r="A651" s="247">
        <v>41587</v>
      </c>
      <c r="B651" s="248">
        <v>3.108796296296296E-2</v>
      </c>
      <c r="C651" s="1009" t="s">
        <v>1471</v>
      </c>
    </row>
    <row r="652" spans="1:3" x14ac:dyDescent="0.25">
      <c r="A652" s="247">
        <v>41587</v>
      </c>
      <c r="B652" s="248">
        <v>3.1111111111111107E-2</v>
      </c>
      <c r="C652" s="1009" t="s">
        <v>1472</v>
      </c>
    </row>
    <row r="653" spans="1:3" ht="45" x14ac:dyDescent="0.25">
      <c r="A653" s="247">
        <v>41587</v>
      </c>
      <c r="B653" s="248">
        <v>3.2708333333333332E-2</v>
      </c>
      <c r="C653" s="1005" t="s">
        <v>1473</v>
      </c>
    </row>
    <row r="654" spans="1:3" x14ac:dyDescent="0.25">
      <c r="A654" s="247">
        <v>41587</v>
      </c>
      <c r="B654" s="248">
        <v>3.2708333333333332E-2</v>
      </c>
      <c r="C654" s="1009" t="s">
        <v>1474</v>
      </c>
    </row>
    <row r="655" spans="1:3" ht="30" x14ac:dyDescent="0.25">
      <c r="A655" s="247">
        <v>41587</v>
      </c>
      <c r="B655" s="248">
        <v>3.2847222222222222E-2</v>
      </c>
      <c r="C655" s="1005" t="s">
        <v>1475</v>
      </c>
    </row>
    <row r="656" spans="1:3" x14ac:dyDescent="0.25">
      <c r="A656" s="247">
        <v>41587</v>
      </c>
      <c r="B656" s="248">
        <v>3.2858796296296296E-2</v>
      </c>
      <c r="C656" s="1009" t="s">
        <v>1439</v>
      </c>
    </row>
    <row r="657" spans="1:3" ht="45" x14ac:dyDescent="0.25">
      <c r="A657" s="247">
        <v>41587</v>
      </c>
      <c r="B657" s="248">
        <v>3.2986111111111112E-2</v>
      </c>
      <c r="C657" s="1005" t="s">
        <v>1476</v>
      </c>
    </row>
    <row r="658" spans="1:3" x14ac:dyDescent="0.25">
      <c r="A658" s="247">
        <v>41587</v>
      </c>
      <c r="B658" s="248">
        <v>3.3020833333333333E-2</v>
      </c>
      <c r="C658" s="1009" t="s">
        <v>1385</v>
      </c>
    </row>
    <row r="659" spans="1:3" x14ac:dyDescent="0.25">
      <c r="A659" s="247">
        <v>41587</v>
      </c>
      <c r="B659" s="248">
        <v>3.3032407407407406E-2</v>
      </c>
      <c r="C659" s="1009" t="s">
        <v>1477</v>
      </c>
    </row>
    <row r="660" spans="1:3" x14ac:dyDescent="0.25">
      <c r="A660" s="247">
        <v>41587</v>
      </c>
      <c r="B660" s="248">
        <v>3.3043981481481487E-2</v>
      </c>
      <c r="C660" s="1009" t="s">
        <v>1471</v>
      </c>
    </row>
    <row r="661" spans="1:3" x14ac:dyDescent="0.25">
      <c r="A661" s="247">
        <v>41587</v>
      </c>
      <c r="B661" s="248">
        <v>3.3055555555555553E-2</v>
      </c>
      <c r="C661" s="1009" t="s">
        <v>1478</v>
      </c>
    </row>
    <row r="662" spans="1:3" x14ac:dyDescent="0.25">
      <c r="A662" s="247">
        <v>41587</v>
      </c>
      <c r="B662" s="248">
        <v>3.5543981481481475E-2</v>
      </c>
      <c r="C662" s="1009" t="s">
        <v>1262</v>
      </c>
    </row>
    <row r="663" spans="1:3" x14ac:dyDescent="0.25">
      <c r="A663" s="247">
        <v>41587</v>
      </c>
      <c r="B663" s="248">
        <v>3.5543981481481475E-2</v>
      </c>
      <c r="C663" s="1009" t="s">
        <v>1479</v>
      </c>
    </row>
    <row r="664" spans="1:3" ht="45" x14ac:dyDescent="0.25">
      <c r="A664" s="247">
        <v>41587</v>
      </c>
      <c r="B664" s="248">
        <v>3.5659722222222225E-2</v>
      </c>
      <c r="C664" s="1005" t="s">
        <v>1480</v>
      </c>
    </row>
    <row r="665" spans="1:3" x14ac:dyDescent="0.25">
      <c r="A665" s="247">
        <v>41587</v>
      </c>
      <c r="B665" s="248">
        <v>3.5706018518518519E-2</v>
      </c>
      <c r="C665" s="1009" t="s">
        <v>1385</v>
      </c>
    </row>
    <row r="666" spans="1:3" x14ac:dyDescent="0.25">
      <c r="A666" s="247">
        <v>41587</v>
      </c>
      <c r="B666" s="248">
        <v>3.5717592592592592E-2</v>
      </c>
      <c r="C666" s="1009" t="s">
        <v>1477</v>
      </c>
    </row>
    <row r="667" spans="1:3" x14ac:dyDescent="0.25">
      <c r="A667" s="247">
        <v>41587</v>
      </c>
      <c r="B667" s="248">
        <v>3.5729166666666666E-2</v>
      </c>
      <c r="C667" s="1009" t="s">
        <v>1263</v>
      </c>
    </row>
    <row r="668" spans="1:3" x14ac:dyDescent="0.25">
      <c r="A668" s="247">
        <v>41587</v>
      </c>
      <c r="B668" s="248">
        <v>3.5729166666666666E-2</v>
      </c>
      <c r="C668" s="1009" t="s">
        <v>1272</v>
      </c>
    </row>
    <row r="669" spans="1:3" x14ac:dyDescent="0.25">
      <c r="A669" s="247">
        <v>41587</v>
      </c>
      <c r="B669" s="248">
        <v>3.5740740740740747E-2</v>
      </c>
      <c r="C669" s="1009" t="s">
        <v>1264</v>
      </c>
    </row>
    <row r="670" spans="1:3" x14ac:dyDescent="0.25">
      <c r="A670" s="247">
        <v>41587</v>
      </c>
      <c r="B670" s="248">
        <v>3.5752314814814813E-2</v>
      </c>
      <c r="C670" s="1009" t="s">
        <v>1481</v>
      </c>
    </row>
    <row r="671" spans="1:3" x14ac:dyDescent="0.25">
      <c r="A671" s="247">
        <v>41587</v>
      </c>
      <c r="B671" s="248">
        <v>3.5752314814814813E-2</v>
      </c>
      <c r="C671" s="1009" t="s">
        <v>1461</v>
      </c>
    </row>
    <row r="672" spans="1:3" x14ac:dyDescent="0.25">
      <c r="A672" s="247">
        <v>41587</v>
      </c>
      <c r="B672" s="248">
        <v>3.5752314814814813E-2</v>
      </c>
      <c r="C672" s="1009" t="s">
        <v>1380</v>
      </c>
    </row>
    <row r="673" spans="1:3" x14ac:dyDescent="0.25">
      <c r="A673" s="247">
        <v>41587</v>
      </c>
      <c r="B673" s="248">
        <v>3.5868055555555556E-2</v>
      </c>
      <c r="C673" s="1009" t="s">
        <v>1460</v>
      </c>
    </row>
    <row r="674" spans="1:3" ht="30" x14ac:dyDescent="0.25">
      <c r="A674" s="247">
        <v>41587</v>
      </c>
      <c r="B674" s="248">
        <v>3.6539351851851851E-2</v>
      </c>
      <c r="C674" s="1005" t="s">
        <v>1482</v>
      </c>
    </row>
    <row r="675" spans="1:3" x14ac:dyDescent="0.25">
      <c r="A675" s="247">
        <v>41587</v>
      </c>
      <c r="B675" s="248">
        <v>3.6597222222222225E-2</v>
      </c>
      <c r="C675" s="1009" t="s">
        <v>1434</v>
      </c>
    </row>
    <row r="676" spans="1:3" x14ac:dyDescent="0.25">
      <c r="A676" s="247">
        <v>41587</v>
      </c>
      <c r="B676" s="248">
        <v>3.6666666666666667E-2</v>
      </c>
      <c r="C676" s="1009" t="s">
        <v>1463</v>
      </c>
    </row>
    <row r="677" spans="1:3" x14ac:dyDescent="0.25">
      <c r="A677" s="247">
        <v>41587</v>
      </c>
      <c r="B677" s="248">
        <v>3.667824074074074E-2</v>
      </c>
      <c r="C677" s="1009" t="s">
        <v>1483</v>
      </c>
    </row>
    <row r="678" spans="1:3" x14ac:dyDescent="0.25">
      <c r="A678" s="247">
        <v>41587</v>
      </c>
      <c r="B678" s="248">
        <v>3.667824074074074E-2</v>
      </c>
      <c r="C678" s="1009" t="s">
        <v>1471</v>
      </c>
    </row>
    <row r="679" spans="1:3" x14ac:dyDescent="0.25">
      <c r="A679" s="247">
        <v>41587</v>
      </c>
      <c r="B679" s="248">
        <v>3.6689814814814821E-2</v>
      </c>
      <c r="C679" s="1009" t="s">
        <v>1478</v>
      </c>
    </row>
    <row r="680" spans="1:3" x14ac:dyDescent="0.25">
      <c r="A680" s="247">
        <v>41587</v>
      </c>
      <c r="B680" s="248">
        <v>3.6701388888888888E-2</v>
      </c>
      <c r="C680" s="1009" t="s">
        <v>1265</v>
      </c>
    </row>
    <row r="681" spans="1:3" x14ac:dyDescent="0.25">
      <c r="A681" s="247">
        <v>41587</v>
      </c>
      <c r="B681" s="248">
        <v>3.6701388888888888E-2</v>
      </c>
      <c r="C681" s="1009" t="s">
        <v>1275</v>
      </c>
    </row>
    <row r="682" spans="1:3" x14ac:dyDescent="0.25">
      <c r="A682" s="247">
        <v>41587</v>
      </c>
      <c r="B682" s="248">
        <v>3.6701388888888888E-2</v>
      </c>
      <c r="C682" s="1009" t="s">
        <v>1266</v>
      </c>
    </row>
    <row r="683" spans="1:3" x14ac:dyDescent="0.25">
      <c r="A683" s="247">
        <v>41587</v>
      </c>
      <c r="B683" s="248">
        <v>3.6712962962962961E-2</v>
      </c>
      <c r="C683" s="1009" t="s">
        <v>1443</v>
      </c>
    </row>
    <row r="684" spans="1:3" x14ac:dyDescent="0.25">
      <c r="A684" s="247">
        <v>41587</v>
      </c>
      <c r="B684" s="248">
        <v>3.6712962962962961E-2</v>
      </c>
      <c r="C684" s="1009" t="s">
        <v>1461</v>
      </c>
    </row>
    <row r="685" spans="1:3" x14ac:dyDescent="0.25">
      <c r="A685" s="247">
        <v>41587</v>
      </c>
      <c r="B685" s="248">
        <v>3.6712962962962961E-2</v>
      </c>
      <c r="C685" s="1009" t="s">
        <v>1380</v>
      </c>
    </row>
    <row r="686" spans="1:3" x14ac:dyDescent="0.25">
      <c r="A686" s="247">
        <v>41587</v>
      </c>
      <c r="B686" s="248">
        <v>3.6828703703703704E-2</v>
      </c>
      <c r="C686" s="1009" t="s">
        <v>1460</v>
      </c>
    </row>
    <row r="687" spans="1:3" x14ac:dyDescent="0.25">
      <c r="A687" s="247">
        <v>41587</v>
      </c>
      <c r="B687" s="248">
        <v>3.6840277777777777E-2</v>
      </c>
      <c r="C687" s="1009" t="s">
        <v>1479</v>
      </c>
    </row>
    <row r="688" spans="1:3" x14ac:dyDescent="0.25">
      <c r="A688" s="247">
        <v>41587</v>
      </c>
      <c r="B688" s="248">
        <v>3.6840277777777777E-2</v>
      </c>
      <c r="C688" s="1009" t="s">
        <v>1385</v>
      </c>
    </row>
    <row r="689" spans="1:3" x14ac:dyDescent="0.25">
      <c r="A689" s="247">
        <v>41587</v>
      </c>
      <c r="B689" s="248">
        <v>3.6851851851851851E-2</v>
      </c>
      <c r="C689" s="1009" t="s">
        <v>1477</v>
      </c>
    </row>
    <row r="690" spans="1:3" x14ac:dyDescent="0.25">
      <c r="A690" s="247">
        <v>41587</v>
      </c>
      <c r="B690" s="248">
        <v>3.6863425925925931E-2</v>
      </c>
      <c r="C690" s="1009" t="s">
        <v>1263</v>
      </c>
    </row>
    <row r="691" spans="1:3" x14ac:dyDescent="0.25">
      <c r="A691" s="247">
        <v>41587</v>
      </c>
      <c r="B691" s="248">
        <v>3.6863425925925931E-2</v>
      </c>
      <c r="C691" s="1009" t="s">
        <v>1272</v>
      </c>
    </row>
    <row r="692" spans="1:3" x14ac:dyDescent="0.25">
      <c r="A692" s="247">
        <v>41587</v>
      </c>
      <c r="B692" s="248">
        <v>3.6874999999999998E-2</v>
      </c>
      <c r="C692" s="1009" t="s">
        <v>1264</v>
      </c>
    </row>
    <row r="693" spans="1:3" x14ac:dyDescent="0.25">
      <c r="A693" s="247">
        <v>41587</v>
      </c>
      <c r="B693" s="248">
        <v>3.6886574074074079E-2</v>
      </c>
      <c r="C693" s="1009" t="s">
        <v>1422</v>
      </c>
    </row>
    <row r="694" spans="1:3" x14ac:dyDescent="0.25">
      <c r="A694" s="247">
        <v>41587</v>
      </c>
      <c r="B694" s="248">
        <v>3.6932870370370366E-2</v>
      </c>
      <c r="C694" s="1009" t="s">
        <v>1423</v>
      </c>
    </row>
    <row r="695" spans="1:3" x14ac:dyDescent="0.25">
      <c r="A695" s="247">
        <v>41587</v>
      </c>
      <c r="B695" s="248">
        <v>3.6944444444444446E-2</v>
      </c>
      <c r="C695" s="1009" t="s">
        <v>1468</v>
      </c>
    </row>
    <row r="696" spans="1:3" x14ac:dyDescent="0.25">
      <c r="A696" s="247">
        <v>41587</v>
      </c>
      <c r="B696" s="248">
        <v>3.7534722222222219E-2</v>
      </c>
      <c r="C696" s="1009" t="s">
        <v>1465</v>
      </c>
    </row>
    <row r="697" spans="1:3" x14ac:dyDescent="0.25">
      <c r="A697" s="247">
        <v>41587</v>
      </c>
      <c r="B697" s="248">
        <v>3.7534722222222219E-2</v>
      </c>
      <c r="C697" s="1009" t="s">
        <v>1461</v>
      </c>
    </row>
    <row r="698" spans="1:3" x14ac:dyDescent="0.25">
      <c r="A698" s="247">
        <v>41587</v>
      </c>
      <c r="B698" s="248">
        <v>3.7534722222222219E-2</v>
      </c>
      <c r="C698" s="1009" t="s">
        <v>1380</v>
      </c>
    </row>
    <row r="699" spans="1:3" x14ac:dyDescent="0.25">
      <c r="A699" s="247">
        <v>41587</v>
      </c>
      <c r="B699" s="248">
        <v>3.7638888888888895E-2</v>
      </c>
      <c r="C699" s="1009" t="s">
        <v>1460</v>
      </c>
    </row>
    <row r="700" spans="1:3" x14ac:dyDescent="0.25">
      <c r="A700" s="247">
        <v>41587</v>
      </c>
      <c r="B700" s="248">
        <v>3.8229166666666668E-2</v>
      </c>
      <c r="C700" s="1009" t="s">
        <v>1445</v>
      </c>
    </row>
    <row r="701" spans="1:3" x14ac:dyDescent="0.25">
      <c r="A701" s="247">
        <v>41587</v>
      </c>
      <c r="B701" s="248">
        <v>3.8229166666666668E-2</v>
      </c>
      <c r="C701" s="1009" t="s">
        <v>1446</v>
      </c>
    </row>
    <row r="702" spans="1:3" x14ac:dyDescent="0.25">
      <c r="A702" s="247">
        <v>41587</v>
      </c>
      <c r="B702" s="248">
        <v>3.8229166666666668E-2</v>
      </c>
      <c r="C702" s="1009" t="s">
        <v>1447</v>
      </c>
    </row>
    <row r="703" spans="1:3" x14ac:dyDescent="0.25">
      <c r="A703" s="247">
        <v>41587</v>
      </c>
      <c r="B703" s="248">
        <v>3.8229166666666668E-2</v>
      </c>
      <c r="C703" s="1009" t="s">
        <v>1448</v>
      </c>
    </row>
    <row r="704" spans="1:3" x14ac:dyDescent="0.25">
      <c r="A704" s="247">
        <v>41587</v>
      </c>
      <c r="B704" s="248">
        <v>3.8229166666666668E-2</v>
      </c>
      <c r="C704" s="1009" t="s">
        <v>1449</v>
      </c>
    </row>
    <row r="705" spans="1:3" x14ac:dyDescent="0.25">
      <c r="A705" s="247">
        <v>41587</v>
      </c>
      <c r="B705" s="248">
        <v>3.8229166666666668E-2</v>
      </c>
      <c r="C705" s="1009" t="s">
        <v>1450</v>
      </c>
    </row>
    <row r="706" spans="1:3" x14ac:dyDescent="0.25">
      <c r="A706" s="247">
        <v>41587</v>
      </c>
      <c r="B706" s="248">
        <v>3.8229166666666668E-2</v>
      </c>
      <c r="C706" s="1009" t="s">
        <v>1451</v>
      </c>
    </row>
    <row r="707" spans="1:3" x14ac:dyDescent="0.25">
      <c r="A707" s="247">
        <v>41587</v>
      </c>
      <c r="B707" s="248">
        <v>3.8229166666666668E-2</v>
      </c>
      <c r="C707" s="1009" t="s">
        <v>1452</v>
      </c>
    </row>
    <row r="708" spans="1:3" x14ac:dyDescent="0.25">
      <c r="A708" s="247">
        <v>41587</v>
      </c>
      <c r="B708" s="248">
        <v>3.8229166666666668E-2</v>
      </c>
      <c r="C708" s="1009" t="s">
        <v>1453</v>
      </c>
    </row>
    <row r="709" spans="1:3" x14ac:dyDescent="0.25">
      <c r="A709" s="247">
        <v>41587</v>
      </c>
      <c r="B709" s="248">
        <v>3.8229166666666668E-2</v>
      </c>
      <c r="C709" s="1009" t="s">
        <v>1454</v>
      </c>
    </row>
    <row r="710" spans="1:3" x14ac:dyDescent="0.25">
      <c r="A710" s="247">
        <v>41587</v>
      </c>
      <c r="B710" s="248">
        <v>3.8229166666666668E-2</v>
      </c>
      <c r="C710" s="1009" t="s">
        <v>1455</v>
      </c>
    </row>
    <row r="711" spans="1:3" x14ac:dyDescent="0.25">
      <c r="A711" s="247">
        <v>41587</v>
      </c>
      <c r="B711" s="248">
        <v>3.8229166666666668E-2</v>
      </c>
      <c r="C711" s="1009" t="s">
        <v>1456</v>
      </c>
    </row>
    <row r="712" spans="1:3" x14ac:dyDescent="0.25">
      <c r="A712" s="247">
        <v>41587</v>
      </c>
      <c r="B712" s="248">
        <v>4.1793981481481481E-2</v>
      </c>
      <c r="C712" s="1009" t="s">
        <v>1262</v>
      </c>
    </row>
    <row r="713" spans="1:3" x14ac:dyDescent="0.25">
      <c r="A713" s="247">
        <v>41587</v>
      </c>
      <c r="B713" s="248">
        <v>4.1793981481481481E-2</v>
      </c>
      <c r="C713" s="1009" t="s">
        <v>1468</v>
      </c>
    </row>
    <row r="714" spans="1:3" x14ac:dyDescent="0.25">
      <c r="A714" s="247">
        <v>41587</v>
      </c>
      <c r="B714" s="248">
        <v>4.2094907407407407E-2</v>
      </c>
      <c r="C714" s="1009" t="s">
        <v>1465</v>
      </c>
    </row>
    <row r="715" spans="1:3" x14ac:dyDescent="0.25">
      <c r="A715" s="247">
        <v>41587</v>
      </c>
      <c r="B715" s="248">
        <v>4.2141203703703702E-2</v>
      </c>
      <c r="C715" s="1009" t="s">
        <v>1461</v>
      </c>
    </row>
    <row r="716" spans="1:3" x14ac:dyDescent="0.25">
      <c r="A716" s="247">
        <v>41587</v>
      </c>
      <c r="B716" s="248">
        <v>4.2141203703703702E-2</v>
      </c>
      <c r="C716" s="1009" t="s">
        <v>1380</v>
      </c>
    </row>
    <row r="717" spans="1:3" x14ac:dyDescent="0.25">
      <c r="A717" s="247">
        <v>41587</v>
      </c>
      <c r="B717" s="248">
        <v>4.2256944444444444E-2</v>
      </c>
      <c r="C717" s="1009" t="s">
        <v>1460</v>
      </c>
    </row>
    <row r="718" spans="1:3" x14ac:dyDescent="0.25">
      <c r="A718" s="247">
        <v>41587</v>
      </c>
      <c r="B718" s="248">
        <v>4.3379629629629629E-2</v>
      </c>
      <c r="C718" s="1009" t="s">
        <v>1445</v>
      </c>
    </row>
    <row r="719" spans="1:3" x14ac:dyDescent="0.25">
      <c r="A719" s="247">
        <v>41587</v>
      </c>
      <c r="B719" s="248">
        <v>4.3379629629629629E-2</v>
      </c>
      <c r="C719" s="1009" t="s">
        <v>1446</v>
      </c>
    </row>
    <row r="720" spans="1:3" x14ac:dyDescent="0.25">
      <c r="A720" s="247">
        <v>41587</v>
      </c>
      <c r="B720" s="248">
        <v>4.3379629629629629E-2</v>
      </c>
      <c r="C720" s="1009" t="s">
        <v>1447</v>
      </c>
    </row>
    <row r="721" spans="1:3" x14ac:dyDescent="0.25">
      <c r="A721" s="247">
        <v>41587</v>
      </c>
      <c r="B721" s="248">
        <v>4.3379629629629629E-2</v>
      </c>
      <c r="C721" s="1009" t="s">
        <v>1448</v>
      </c>
    </row>
    <row r="722" spans="1:3" x14ac:dyDescent="0.25">
      <c r="A722" s="247">
        <v>41587</v>
      </c>
      <c r="B722" s="248">
        <v>4.3379629629629629E-2</v>
      </c>
      <c r="C722" s="1009" t="s">
        <v>1449</v>
      </c>
    </row>
    <row r="723" spans="1:3" x14ac:dyDescent="0.25">
      <c r="A723" s="247">
        <v>41587</v>
      </c>
      <c r="B723" s="248">
        <v>4.3379629629629629E-2</v>
      </c>
      <c r="C723" s="1009" t="s">
        <v>1450</v>
      </c>
    </row>
    <row r="724" spans="1:3" x14ac:dyDescent="0.25">
      <c r="A724" s="247">
        <v>41587</v>
      </c>
      <c r="B724" s="248">
        <v>4.3379629629629629E-2</v>
      </c>
      <c r="C724" s="1009" t="s">
        <v>1451</v>
      </c>
    </row>
    <row r="725" spans="1:3" x14ac:dyDescent="0.25">
      <c r="A725" s="247">
        <v>41587</v>
      </c>
      <c r="B725" s="248">
        <v>4.3379629629629629E-2</v>
      </c>
      <c r="C725" s="1009" t="s">
        <v>1452</v>
      </c>
    </row>
    <row r="726" spans="1:3" x14ac:dyDescent="0.25">
      <c r="A726" s="247">
        <v>41587</v>
      </c>
      <c r="B726" s="248">
        <v>4.3379629629629629E-2</v>
      </c>
      <c r="C726" s="1009" t="s">
        <v>1453</v>
      </c>
    </row>
    <row r="727" spans="1:3" x14ac:dyDescent="0.25">
      <c r="A727" s="247">
        <v>41587</v>
      </c>
      <c r="B727" s="248">
        <v>4.3379629629629629E-2</v>
      </c>
      <c r="C727" s="1009" t="s">
        <v>1454</v>
      </c>
    </row>
    <row r="728" spans="1:3" x14ac:dyDescent="0.25">
      <c r="A728" s="247">
        <v>41587</v>
      </c>
      <c r="B728" s="248">
        <v>4.3379629629629629E-2</v>
      </c>
      <c r="C728" s="1009" t="s">
        <v>1455</v>
      </c>
    </row>
    <row r="729" spans="1:3" x14ac:dyDescent="0.25">
      <c r="A729" s="247">
        <v>41587</v>
      </c>
      <c r="B729" s="248">
        <v>4.3379629629629629E-2</v>
      </c>
      <c r="C729" s="1009" t="s">
        <v>1456</v>
      </c>
    </row>
    <row r="730" spans="1:3" x14ac:dyDescent="0.25">
      <c r="A730" s="247">
        <v>41587</v>
      </c>
      <c r="B730" s="248">
        <v>4.3981481481481483E-2</v>
      </c>
      <c r="C730" s="1009" t="s">
        <v>1445</v>
      </c>
    </row>
    <row r="731" spans="1:3" x14ac:dyDescent="0.25">
      <c r="A731" s="247">
        <v>41587</v>
      </c>
      <c r="B731" s="248">
        <v>4.3981481481481483E-2</v>
      </c>
      <c r="C731" s="1009" t="s">
        <v>1446</v>
      </c>
    </row>
    <row r="732" spans="1:3" x14ac:dyDescent="0.25">
      <c r="A732" s="247">
        <v>41587</v>
      </c>
      <c r="B732" s="248">
        <v>4.3981481481481483E-2</v>
      </c>
      <c r="C732" s="1009" t="s">
        <v>1447</v>
      </c>
    </row>
    <row r="733" spans="1:3" x14ac:dyDescent="0.25">
      <c r="A733" s="247">
        <v>41587</v>
      </c>
      <c r="B733" s="248">
        <v>4.3981481481481483E-2</v>
      </c>
      <c r="C733" s="1009" t="s">
        <v>1448</v>
      </c>
    </row>
    <row r="734" spans="1:3" x14ac:dyDescent="0.25">
      <c r="A734" s="247">
        <v>41587</v>
      </c>
      <c r="B734" s="248">
        <v>4.3981481481481483E-2</v>
      </c>
      <c r="C734" s="1009" t="s">
        <v>1449</v>
      </c>
    </row>
    <row r="735" spans="1:3" x14ac:dyDescent="0.25">
      <c r="A735" s="247">
        <v>41587</v>
      </c>
      <c r="B735" s="248">
        <v>4.3981481481481483E-2</v>
      </c>
      <c r="C735" s="1009" t="s">
        <v>1450</v>
      </c>
    </row>
    <row r="736" spans="1:3" x14ac:dyDescent="0.25">
      <c r="A736" s="247">
        <v>41587</v>
      </c>
      <c r="B736" s="248">
        <v>4.3981481481481483E-2</v>
      </c>
      <c r="C736" s="1009" t="s">
        <v>1451</v>
      </c>
    </row>
    <row r="737" spans="1:3" x14ac:dyDescent="0.25">
      <c r="A737" s="247">
        <v>41587</v>
      </c>
      <c r="B737" s="248">
        <v>4.3981481481481483E-2</v>
      </c>
      <c r="C737" s="1009" t="s">
        <v>1452</v>
      </c>
    </row>
    <row r="738" spans="1:3" x14ac:dyDescent="0.25">
      <c r="A738" s="247">
        <v>41587</v>
      </c>
      <c r="B738" s="248">
        <v>4.3981481481481483E-2</v>
      </c>
      <c r="C738" s="1009" t="s">
        <v>1453</v>
      </c>
    </row>
    <row r="739" spans="1:3" x14ac:dyDescent="0.25">
      <c r="A739" s="247">
        <v>41587</v>
      </c>
      <c r="B739" s="248">
        <v>4.3981481481481483E-2</v>
      </c>
      <c r="C739" s="1009" t="s">
        <v>1454</v>
      </c>
    </row>
    <row r="740" spans="1:3" x14ac:dyDescent="0.25">
      <c r="A740" s="247">
        <v>41587</v>
      </c>
      <c r="B740" s="248">
        <v>4.3981481481481483E-2</v>
      </c>
      <c r="C740" s="1009" t="s">
        <v>1455</v>
      </c>
    </row>
    <row r="741" spans="1:3" x14ac:dyDescent="0.25">
      <c r="A741" s="247">
        <v>41587</v>
      </c>
      <c r="B741" s="248">
        <v>4.3981481481481483E-2</v>
      </c>
      <c r="C741" s="1009" t="s">
        <v>1456</v>
      </c>
    </row>
    <row r="742" spans="1:3" x14ac:dyDescent="0.25">
      <c r="A742" s="247">
        <v>41587</v>
      </c>
      <c r="B742" s="248">
        <v>5.6435185185185179E-2</v>
      </c>
      <c r="C742" s="1009" t="s">
        <v>1262</v>
      </c>
    </row>
    <row r="743" spans="1:3" x14ac:dyDescent="0.25">
      <c r="A743" s="247">
        <v>41587</v>
      </c>
      <c r="B743" s="248">
        <v>5.6446759259259259E-2</v>
      </c>
      <c r="C743" s="1009" t="s">
        <v>1465</v>
      </c>
    </row>
    <row r="744" spans="1:3" x14ac:dyDescent="0.25">
      <c r="A744" s="247">
        <v>41587</v>
      </c>
      <c r="B744" s="248">
        <v>5.6446759259259259E-2</v>
      </c>
      <c r="C744" s="1009" t="s">
        <v>1461</v>
      </c>
    </row>
    <row r="745" spans="1:3" x14ac:dyDescent="0.25">
      <c r="A745" s="247">
        <v>41587</v>
      </c>
      <c r="B745" s="248">
        <v>5.6446759259259259E-2</v>
      </c>
      <c r="C745" s="1009" t="s">
        <v>1380</v>
      </c>
    </row>
    <row r="746" spans="1:3" x14ac:dyDescent="0.25">
      <c r="A746" s="247">
        <v>41587</v>
      </c>
      <c r="B746" s="248">
        <v>5.6562499999999995E-2</v>
      </c>
      <c r="C746" s="1009" t="s">
        <v>1460</v>
      </c>
    </row>
    <row r="747" spans="1:3" x14ac:dyDescent="0.25">
      <c r="A747" s="247">
        <v>41587</v>
      </c>
      <c r="B747" s="248">
        <v>6.0474537037037035E-2</v>
      </c>
      <c r="C747" s="1009" t="s">
        <v>1262</v>
      </c>
    </row>
    <row r="748" spans="1:3" x14ac:dyDescent="0.25">
      <c r="A748" s="247">
        <v>41587</v>
      </c>
      <c r="B748" s="248">
        <v>6.0474537037037035E-2</v>
      </c>
      <c r="C748" s="1009" t="s">
        <v>1465</v>
      </c>
    </row>
    <row r="749" spans="1:3" x14ac:dyDescent="0.25">
      <c r="A749" s="247">
        <v>41587</v>
      </c>
      <c r="B749" s="248">
        <v>6.0474537037037035E-2</v>
      </c>
      <c r="C749" s="1009" t="s">
        <v>1461</v>
      </c>
    </row>
    <row r="750" spans="1:3" x14ac:dyDescent="0.25">
      <c r="A750" s="247">
        <v>41587</v>
      </c>
      <c r="B750" s="248">
        <v>6.0474537037037035E-2</v>
      </c>
      <c r="C750" s="1009" t="s">
        <v>1380</v>
      </c>
    </row>
    <row r="751" spans="1:3" x14ac:dyDescent="0.25">
      <c r="A751" s="247">
        <v>41587</v>
      </c>
      <c r="B751" s="248">
        <v>6.0590277777777778E-2</v>
      </c>
      <c r="C751" s="1009" t="s">
        <v>1460</v>
      </c>
    </row>
    <row r="752" spans="1:3" x14ac:dyDescent="0.25">
      <c r="A752" s="247">
        <v>41587</v>
      </c>
      <c r="B752" s="248">
        <v>6.3263888888888883E-2</v>
      </c>
      <c r="C752" s="1009" t="s">
        <v>1484</v>
      </c>
    </row>
    <row r="753" spans="1:3" ht="60" x14ac:dyDescent="0.25">
      <c r="A753" s="247">
        <v>41587</v>
      </c>
      <c r="B753" s="248">
        <v>6.3263888888888883E-2</v>
      </c>
      <c r="C753" s="1005" t="s">
        <v>1485</v>
      </c>
    </row>
    <row r="754" spans="1:3" x14ac:dyDescent="0.25">
      <c r="A754" s="247">
        <v>41587</v>
      </c>
      <c r="B754" s="248">
        <v>6.3356481481481486E-2</v>
      </c>
      <c r="C754" s="1009" t="s">
        <v>1486</v>
      </c>
    </row>
    <row r="755" spans="1:3" ht="60" x14ac:dyDescent="0.25">
      <c r="A755" s="247">
        <v>41587</v>
      </c>
      <c r="B755" s="248">
        <v>6.3356481481481486E-2</v>
      </c>
      <c r="C755" s="1005" t="s">
        <v>1487</v>
      </c>
    </row>
    <row r="756" spans="1:3" x14ac:dyDescent="0.25">
      <c r="A756" s="247">
        <v>41587</v>
      </c>
      <c r="B756" s="248">
        <v>6.3379629629629633E-2</v>
      </c>
      <c r="C756" s="1009" t="s">
        <v>1486</v>
      </c>
    </row>
    <row r="757" spans="1:3" ht="60" x14ac:dyDescent="0.25">
      <c r="A757" s="247">
        <v>41587</v>
      </c>
      <c r="B757" s="248">
        <v>6.3379629629629633E-2</v>
      </c>
      <c r="C757" s="1005" t="s">
        <v>1488</v>
      </c>
    </row>
    <row r="758" spans="1:3" x14ac:dyDescent="0.25">
      <c r="A758" s="247">
        <v>41587</v>
      </c>
      <c r="B758" s="248">
        <v>6.33912037037037E-2</v>
      </c>
      <c r="C758" s="1009" t="s">
        <v>1489</v>
      </c>
    </row>
    <row r="759" spans="1:3" ht="60" x14ac:dyDescent="0.25">
      <c r="A759" s="247">
        <v>41587</v>
      </c>
      <c r="B759" s="248">
        <v>6.33912037037037E-2</v>
      </c>
      <c r="C759" s="1005" t="s">
        <v>1490</v>
      </c>
    </row>
    <row r="760" spans="1:3" x14ac:dyDescent="0.25">
      <c r="A760" s="247">
        <v>41587</v>
      </c>
      <c r="B760" s="248">
        <v>6.340277777777778E-2</v>
      </c>
      <c r="C760" s="1009" t="s">
        <v>1491</v>
      </c>
    </row>
    <row r="761" spans="1:3" ht="60" x14ac:dyDescent="0.25">
      <c r="A761" s="247">
        <v>41587</v>
      </c>
      <c r="B761" s="248">
        <v>6.340277777777778E-2</v>
      </c>
      <c r="C761" s="1005" t="s">
        <v>1492</v>
      </c>
    </row>
    <row r="762" spans="1:3" x14ac:dyDescent="0.25">
      <c r="A762" s="247">
        <v>41587</v>
      </c>
      <c r="B762" s="248">
        <v>6.4050925925925928E-2</v>
      </c>
      <c r="C762" s="1009" t="s">
        <v>1445</v>
      </c>
    </row>
    <row r="763" spans="1:3" x14ac:dyDescent="0.25">
      <c r="A763" s="247">
        <v>41587</v>
      </c>
      <c r="B763" s="248">
        <v>6.4050925925925928E-2</v>
      </c>
      <c r="C763" s="1009" t="s">
        <v>1446</v>
      </c>
    </row>
    <row r="764" spans="1:3" x14ac:dyDescent="0.25">
      <c r="A764" s="247">
        <v>41587</v>
      </c>
      <c r="B764" s="248">
        <v>6.4050925925925928E-2</v>
      </c>
      <c r="C764" s="1009" t="s">
        <v>1447</v>
      </c>
    </row>
    <row r="765" spans="1:3" x14ac:dyDescent="0.25">
      <c r="A765" s="247">
        <v>41587</v>
      </c>
      <c r="B765" s="248">
        <v>6.4050925925925928E-2</v>
      </c>
      <c r="C765" s="1009" t="s">
        <v>1448</v>
      </c>
    </row>
    <row r="766" spans="1:3" x14ac:dyDescent="0.25">
      <c r="A766" s="247">
        <v>41587</v>
      </c>
      <c r="B766" s="248">
        <v>6.4050925925925928E-2</v>
      </c>
      <c r="C766" s="1009" t="s">
        <v>1449</v>
      </c>
    </row>
    <row r="767" spans="1:3" x14ac:dyDescent="0.25">
      <c r="A767" s="247">
        <v>41587</v>
      </c>
      <c r="B767" s="248">
        <v>6.4050925925925928E-2</v>
      </c>
      <c r="C767" s="1009" t="s">
        <v>1450</v>
      </c>
    </row>
    <row r="768" spans="1:3" x14ac:dyDescent="0.25">
      <c r="A768" s="247">
        <v>41587</v>
      </c>
      <c r="B768" s="248">
        <v>6.4050925925925928E-2</v>
      </c>
      <c r="C768" s="1009" t="s">
        <v>1451</v>
      </c>
    </row>
    <row r="769" spans="1:3" x14ac:dyDescent="0.25">
      <c r="A769" s="247">
        <v>41587</v>
      </c>
      <c r="B769" s="248">
        <v>6.4050925925925928E-2</v>
      </c>
      <c r="C769" s="1009" t="s">
        <v>1452</v>
      </c>
    </row>
    <row r="770" spans="1:3" x14ac:dyDescent="0.25">
      <c r="A770" s="247">
        <v>41587</v>
      </c>
      <c r="B770" s="248">
        <v>6.4050925925925928E-2</v>
      </c>
      <c r="C770" s="1009" t="s">
        <v>1453</v>
      </c>
    </row>
    <row r="771" spans="1:3" x14ac:dyDescent="0.25">
      <c r="A771" s="247">
        <v>41587</v>
      </c>
      <c r="B771" s="248">
        <v>6.4050925925925928E-2</v>
      </c>
      <c r="C771" s="1009" t="s">
        <v>1454</v>
      </c>
    </row>
    <row r="772" spans="1:3" x14ac:dyDescent="0.25">
      <c r="A772" s="247">
        <v>41587</v>
      </c>
      <c r="B772" s="248">
        <v>6.4050925925925928E-2</v>
      </c>
      <c r="C772" s="1009" t="s">
        <v>1455</v>
      </c>
    </row>
    <row r="773" spans="1:3" x14ac:dyDescent="0.25">
      <c r="A773" s="247">
        <v>41587</v>
      </c>
      <c r="B773" s="248">
        <v>6.4050925925925928E-2</v>
      </c>
      <c r="C773" s="1009" t="s">
        <v>1456</v>
      </c>
    </row>
    <row r="774" spans="1:3" x14ac:dyDescent="0.25">
      <c r="A774" s="247">
        <v>41587</v>
      </c>
      <c r="B774" s="248">
        <v>6.4259259259259252E-2</v>
      </c>
      <c r="C774" s="1009" t="s">
        <v>1465</v>
      </c>
    </row>
    <row r="775" spans="1:3" x14ac:dyDescent="0.25">
      <c r="A775" s="247">
        <v>41587</v>
      </c>
      <c r="B775" s="248">
        <v>6.4259259259259252E-2</v>
      </c>
      <c r="C775" s="1009" t="s">
        <v>1493</v>
      </c>
    </row>
    <row r="776" spans="1:3" x14ac:dyDescent="0.25">
      <c r="A776" s="247">
        <v>41587</v>
      </c>
      <c r="B776" s="248">
        <v>6.4270833333333333E-2</v>
      </c>
      <c r="C776" s="1009" t="s">
        <v>1457</v>
      </c>
    </row>
    <row r="777" spans="1:3" x14ac:dyDescent="0.25">
      <c r="A777" s="247">
        <v>41587</v>
      </c>
      <c r="B777" s="248">
        <v>6.4282407407407413E-2</v>
      </c>
      <c r="C777" s="1009" t="s">
        <v>1313</v>
      </c>
    </row>
    <row r="778" spans="1:3" x14ac:dyDescent="0.25">
      <c r="A778" s="247">
        <v>41587</v>
      </c>
      <c r="B778" s="248">
        <v>6.4282407407407413E-2</v>
      </c>
      <c r="C778" s="1009" t="s">
        <v>1434</v>
      </c>
    </row>
    <row r="779" spans="1:3" x14ac:dyDescent="0.25">
      <c r="A779" s="247">
        <v>41587</v>
      </c>
      <c r="B779" s="248">
        <v>6.4386574074074068E-2</v>
      </c>
      <c r="C779" s="1009" t="s">
        <v>1471</v>
      </c>
    </row>
    <row r="780" spans="1:3" x14ac:dyDescent="0.25">
      <c r="A780" s="247">
        <v>41587</v>
      </c>
      <c r="B780" s="248">
        <v>6.4398148148148149E-2</v>
      </c>
      <c r="C780" s="1009" t="s">
        <v>1458</v>
      </c>
    </row>
    <row r="781" spans="1:3" x14ac:dyDescent="0.25">
      <c r="A781" s="247">
        <v>41587</v>
      </c>
      <c r="B781" s="248">
        <v>6.4444444444444443E-2</v>
      </c>
      <c r="C781" s="1009" t="s">
        <v>1466</v>
      </c>
    </row>
    <row r="782" spans="1:3" ht="45" x14ac:dyDescent="0.25">
      <c r="A782" s="247">
        <v>41587</v>
      </c>
      <c r="B782" s="248">
        <v>6.8275462962962954E-2</v>
      </c>
      <c r="C782" s="1005" t="s">
        <v>1494</v>
      </c>
    </row>
    <row r="783" spans="1:3" x14ac:dyDescent="0.25">
      <c r="A783" s="247">
        <v>41587</v>
      </c>
      <c r="B783" s="248">
        <v>6.8275462962962954E-2</v>
      </c>
      <c r="C783" s="1009" t="s">
        <v>1483</v>
      </c>
    </row>
    <row r="784" spans="1:3" ht="30" x14ac:dyDescent="0.25">
      <c r="A784" s="247">
        <v>41587</v>
      </c>
      <c r="B784" s="248">
        <v>6.8414351851851851E-2</v>
      </c>
      <c r="C784" s="1005" t="s">
        <v>1495</v>
      </c>
    </row>
    <row r="785" spans="1:3" x14ac:dyDescent="0.25">
      <c r="A785" s="247">
        <v>41587</v>
      </c>
      <c r="B785" s="248">
        <v>6.8425925925925932E-2</v>
      </c>
      <c r="C785" s="1009" t="s">
        <v>1479</v>
      </c>
    </row>
    <row r="786" spans="1:3" x14ac:dyDescent="0.25">
      <c r="A786" s="247">
        <v>41587</v>
      </c>
      <c r="B786" s="248">
        <v>6.8425925925925932E-2</v>
      </c>
      <c r="C786" s="1009" t="s">
        <v>1385</v>
      </c>
    </row>
    <row r="787" spans="1:3" x14ac:dyDescent="0.25">
      <c r="A787" s="247">
        <v>41587</v>
      </c>
      <c r="B787" s="248">
        <v>6.8437499999999998E-2</v>
      </c>
      <c r="C787" s="1009" t="s">
        <v>1477</v>
      </c>
    </row>
    <row r="788" spans="1:3" x14ac:dyDescent="0.25">
      <c r="A788" s="247">
        <v>41587</v>
      </c>
      <c r="B788" s="248">
        <v>6.8437499999999998E-2</v>
      </c>
      <c r="C788" s="1009" t="s">
        <v>1496</v>
      </c>
    </row>
    <row r="789" spans="1:3" x14ac:dyDescent="0.25">
      <c r="A789" s="247">
        <v>41587</v>
      </c>
      <c r="B789" s="248">
        <v>6.8460648148148159E-2</v>
      </c>
      <c r="C789" s="1009" t="s">
        <v>1497</v>
      </c>
    </row>
    <row r="790" spans="1:3" ht="45" x14ac:dyDescent="0.25">
      <c r="A790" s="247">
        <v>41587</v>
      </c>
      <c r="B790" s="248">
        <v>7.1446759259259265E-2</v>
      </c>
      <c r="C790" s="1005" t="s">
        <v>1498</v>
      </c>
    </row>
    <row r="791" spans="1:3" x14ac:dyDescent="0.25">
      <c r="A791" s="247">
        <v>41587</v>
      </c>
      <c r="B791" s="248">
        <v>7.1458333333333332E-2</v>
      </c>
      <c r="C791" s="1009" t="s">
        <v>1499</v>
      </c>
    </row>
    <row r="792" spans="1:3" ht="30" x14ac:dyDescent="0.25">
      <c r="A792" s="247">
        <v>41587</v>
      </c>
      <c r="B792" s="248">
        <v>7.1608796296296295E-2</v>
      </c>
      <c r="C792" s="1005" t="s">
        <v>1500</v>
      </c>
    </row>
    <row r="793" spans="1:3" x14ac:dyDescent="0.25">
      <c r="A793" s="247">
        <v>41587</v>
      </c>
      <c r="B793" s="248">
        <v>7.1631944444444443E-2</v>
      </c>
      <c r="C793" s="1009" t="s">
        <v>1479</v>
      </c>
    </row>
    <row r="794" spans="1:3" ht="45" x14ac:dyDescent="0.25">
      <c r="A794" s="247">
        <v>41587</v>
      </c>
      <c r="B794" s="248">
        <v>7.1724537037037031E-2</v>
      </c>
      <c r="C794" s="1005" t="s">
        <v>1501</v>
      </c>
    </row>
    <row r="795" spans="1:3" x14ac:dyDescent="0.25">
      <c r="A795" s="247">
        <v>41587</v>
      </c>
      <c r="B795" s="248">
        <v>7.1759259259259259E-2</v>
      </c>
      <c r="C795" s="1009" t="s">
        <v>1385</v>
      </c>
    </row>
    <row r="796" spans="1:3" x14ac:dyDescent="0.25">
      <c r="A796" s="247">
        <v>41587</v>
      </c>
      <c r="B796" s="248">
        <v>7.1782407407407406E-2</v>
      </c>
      <c r="C796" s="1009" t="s">
        <v>1502</v>
      </c>
    </row>
    <row r="797" spans="1:3" x14ac:dyDescent="0.25">
      <c r="A797" s="247">
        <v>41587</v>
      </c>
      <c r="B797" s="248">
        <v>7.1793981481481486E-2</v>
      </c>
      <c r="C797" s="1009" t="s">
        <v>1496</v>
      </c>
    </row>
    <row r="798" spans="1:3" x14ac:dyDescent="0.25">
      <c r="A798" s="247">
        <v>41587</v>
      </c>
      <c r="B798" s="248">
        <v>7.181712962962962E-2</v>
      </c>
      <c r="C798" s="1009" t="s">
        <v>1503</v>
      </c>
    </row>
    <row r="799" spans="1:3" ht="45" x14ac:dyDescent="0.25">
      <c r="A799" s="247">
        <v>41587</v>
      </c>
      <c r="B799" s="248">
        <v>7.5636574074074078E-2</v>
      </c>
      <c r="C799" s="1005" t="s">
        <v>1504</v>
      </c>
    </row>
    <row r="800" spans="1:3" x14ac:dyDescent="0.25">
      <c r="A800" s="247">
        <v>41587</v>
      </c>
      <c r="B800" s="248">
        <v>7.5648148148148145E-2</v>
      </c>
      <c r="C800" s="1009" t="s">
        <v>1443</v>
      </c>
    </row>
    <row r="801" spans="1:3" x14ac:dyDescent="0.25">
      <c r="A801" s="247">
        <v>41587</v>
      </c>
      <c r="B801" s="248">
        <v>7.5648148148148145E-2</v>
      </c>
      <c r="C801" s="1009" t="s">
        <v>1461</v>
      </c>
    </row>
    <row r="802" spans="1:3" ht="45" x14ac:dyDescent="0.25">
      <c r="A802" s="247">
        <v>41587</v>
      </c>
      <c r="B802" s="248">
        <v>7.6597222222222219E-2</v>
      </c>
      <c r="C802" s="1005" t="s">
        <v>1505</v>
      </c>
    </row>
    <row r="803" spans="1:3" x14ac:dyDescent="0.25">
      <c r="A803" s="247">
        <v>41587</v>
      </c>
      <c r="B803" s="248">
        <v>7.6701388888888888E-2</v>
      </c>
      <c r="C803" s="1009" t="s">
        <v>1380</v>
      </c>
    </row>
    <row r="804" spans="1:3" x14ac:dyDescent="0.25">
      <c r="A804" s="247">
        <v>41587</v>
      </c>
      <c r="B804" s="248">
        <v>7.6828703703703705E-2</v>
      </c>
      <c r="C804" s="1009" t="s">
        <v>1506</v>
      </c>
    </row>
    <row r="805" spans="1:3" x14ac:dyDescent="0.25">
      <c r="A805" s="247">
        <v>41587</v>
      </c>
      <c r="B805" s="248">
        <v>7.6828703703703705E-2</v>
      </c>
      <c r="C805" s="1009" t="s">
        <v>1507</v>
      </c>
    </row>
    <row r="806" spans="1:3" ht="45" x14ac:dyDescent="0.25">
      <c r="A806" s="247">
        <v>41587</v>
      </c>
      <c r="B806" s="248">
        <v>7.6967592592592601E-2</v>
      </c>
      <c r="C806" s="1005" t="s">
        <v>1508</v>
      </c>
    </row>
    <row r="807" spans="1:3" x14ac:dyDescent="0.25">
      <c r="A807" s="247">
        <v>41587</v>
      </c>
      <c r="B807" s="248">
        <v>7.7002314814814815E-2</v>
      </c>
      <c r="C807" s="1009" t="s">
        <v>1385</v>
      </c>
    </row>
    <row r="808" spans="1:3" x14ac:dyDescent="0.25">
      <c r="A808" s="247">
        <v>41587</v>
      </c>
      <c r="B808" s="248">
        <v>7.7048611111111109E-2</v>
      </c>
      <c r="C808" s="1009" t="s">
        <v>1502</v>
      </c>
    </row>
    <row r="809" spans="1:3" x14ac:dyDescent="0.25">
      <c r="A809" s="247">
        <v>41587</v>
      </c>
      <c r="B809" s="248">
        <v>7.706018518518519E-2</v>
      </c>
      <c r="C809" s="1009" t="s">
        <v>1263</v>
      </c>
    </row>
    <row r="810" spans="1:3" x14ac:dyDescent="0.25">
      <c r="A810" s="247">
        <v>41587</v>
      </c>
      <c r="B810" s="248">
        <v>7.706018518518519E-2</v>
      </c>
      <c r="C810" s="1009" t="s">
        <v>1272</v>
      </c>
    </row>
    <row r="811" spans="1:3" x14ac:dyDescent="0.25">
      <c r="A811" s="247">
        <v>41587</v>
      </c>
      <c r="B811" s="248">
        <v>7.7083333333333337E-2</v>
      </c>
      <c r="C811" s="1009" t="s">
        <v>1264</v>
      </c>
    </row>
    <row r="812" spans="1:3" x14ac:dyDescent="0.25">
      <c r="A812" s="247">
        <v>41587</v>
      </c>
      <c r="B812" s="248">
        <v>7.7094907407407418E-2</v>
      </c>
      <c r="C812" s="1009" t="s">
        <v>1422</v>
      </c>
    </row>
    <row r="813" spans="1:3" x14ac:dyDescent="0.25">
      <c r="A813" s="247">
        <v>41587</v>
      </c>
      <c r="B813" s="248">
        <v>7.7164351851851845E-2</v>
      </c>
      <c r="C813" s="1009" t="s">
        <v>1509</v>
      </c>
    </row>
    <row r="814" spans="1:3" ht="45" x14ac:dyDescent="0.25">
      <c r="A814" s="247">
        <v>41587</v>
      </c>
      <c r="B814" s="248">
        <v>8.0937499999999996E-2</v>
      </c>
      <c r="C814" s="1005" t="s">
        <v>1510</v>
      </c>
    </row>
    <row r="815" spans="1:3" x14ac:dyDescent="0.25">
      <c r="A815" s="247">
        <v>41587</v>
      </c>
      <c r="B815" s="248">
        <v>8.0937499999999996E-2</v>
      </c>
      <c r="C815" s="1009" t="s">
        <v>1263</v>
      </c>
    </row>
    <row r="816" spans="1:3" ht="30" x14ac:dyDescent="0.25">
      <c r="A816" s="247">
        <v>41587</v>
      </c>
      <c r="B816" s="248">
        <v>8.1250000000000003E-2</v>
      </c>
      <c r="C816" s="1005" t="s">
        <v>1511</v>
      </c>
    </row>
    <row r="817" spans="1:3" x14ac:dyDescent="0.25">
      <c r="A817" s="247">
        <v>41587</v>
      </c>
      <c r="B817" s="248">
        <v>8.1261574074074069E-2</v>
      </c>
      <c r="C817" s="1009" t="s">
        <v>1512</v>
      </c>
    </row>
    <row r="818" spans="1:3" x14ac:dyDescent="0.25">
      <c r="A818" s="247">
        <v>41587</v>
      </c>
      <c r="B818" s="248">
        <v>8.1273148148148136E-2</v>
      </c>
      <c r="C818" s="1009" t="s">
        <v>1513</v>
      </c>
    </row>
    <row r="819" spans="1:3" x14ac:dyDescent="0.25">
      <c r="A819" s="247">
        <v>41587</v>
      </c>
      <c r="B819" s="248">
        <v>0.94172453703703696</v>
      </c>
      <c r="C819" s="1009" t="s">
        <v>1262</v>
      </c>
    </row>
    <row r="820" spans="1:3" x14ac:dyDescent="0.25">
      <c r="A820" s="247">
        <v>41587</v>
      </c>
      <c r="B820" s="248">
        <v>0.94172453703703696</v>
      </c>
      <c r="C820" s="1009" t="s">
        <v>1514</v>
      </c>
    </row>
    <row r="821" spans="1:3" ht="45" x14ac:dyDescent="0.25">
      <c r="A821" s="247">
        <v>41587</v>
      </c>
      <c r="B821" s="248">
        <v>0.94239583333333332</v>
      </c>
      <c r="C821" s="1005" t="s">
        <v>1515</v>
      </c>
    </row>
    <row r="822" spans="1:3" x14ac:dyDescent="0.25">
      <c r="A822" s="247">
        <v>41587</v>
      </c>
      <c r="B822" s="248">
        <v>0.94251157407407404</v>
      </c>
      <c r="C822" s="1009" t="s">
        <v>1380</v>
      </c>
    </row>
    <row r="823" spans="1:3" x14ac:dyDescent="0.25">
      <c r="A823" s="247">
        <v>41587</v>
      </c>
      <c r="B823" s="248">
        <v>0.94260416666666658</v>
      </c>
      <c r="C823" s="1009" t="s">
        <v>1506</v>
      </c>
    </row>
    <row r="824" spans="1:3" x14ac:dyDescent="0.25">
      <c r="A824" s="247">
        <v>41587</v>
      </c>
      <c r="B824" s="248">
        <v>0.94260416666666658</v>
      </c>
      <c r="C824" s="1009" t="s">
        <v>1507</v>
      </c>
    </row>
    <row r="825" spans="1:3" ht="45" x14ac:dyDescent="0.25">
      <c r="A825" s="247">
        <v>41587</v>
      </c>
      <c r="B825" s="248">
        <v>0.94269675925925922</v>
      </c>
      <c r="C825" s="1005" t="s">
        <v>1516</v>
      </c>
    </row>
    <row r="826" spans="1:3" x14ac:dyDescent="0.25">
      <c r="A826" s="247">
        <v>41587</v>
      </c>
      <c r="B826" s="248">
        <v>0.94273148148148145</v>
      </c>
      <c r="C826" s="1009" t="s">
        <v>1385</v>
      </c>
    </row>
    <row r="827" spans="1:3" x14ac:dyDescent="0.25">
      <c r="A827" s="247">
        <v>41587</v>
      </c>
      <c r="B827" s="248">
        <v>0.94274305555555549</v>
      </c>
      <c r="C827" s="1009" t="s">
        <v>1502</v>
      </c>
    </row>
    <row r="828" spans="1:3" x14ac:dyDescent="0.25">
      <c r="A828" s="247">
        <v>41587</v>
      </c>
      <c r="B828" s="248">
        <v>0.94275462962962964</v>
      </c>
      <c r="C828" s="1009" t="s">
        <v>1517</v>
      </c>
    </row>
    <row r="829" spans="1:3" x14ac:dyDescent="0.25">
      <c r="A829" s="247">
        <v>41587</v>
      </c>
      <c r="B829" s="248">
        <v>0.94275462962962964</v>
      </c>
      <c r="C829" s="1009" t="s">
        <v>1512</v>
      </c>
    </row>
    <row r="830" spans="1:3" x14ac:dyDescent="0.25">
      <c r="A830" s="247">
        <v>41587</v>
      </c>
      <c r="B830" s="248">
        <v>0.94276620370370379</v>
      </c>
      <c r="C830" s="1009" t="s">
        <v>1513</v>
      </c>
    </row>
    <row r="831" spans="1:3" ht="45" x14ac:dyDescent="0.25">
      <c r="A831" s="247">
        <v>41588</v>
      </c>
      <c r="B831" s="248">
        <v>4.5266203703703704E-2</v>
      </c>
      <c r="C831" s="1005" t="s">
        <v>1518</v>
      </c>
    </row>
    <row r="832" spans="1:3" ht="45" x14ac:dyDescent="0.25">
      <c r="A832" s="247">
        <v>41592</v>
      </c>
      <c r="B832" s="248">
        <v>0.99631944444444442</v>
      </c>
      <c r="C832" s="1005" t="s">
        <v>1519</v>
      </c>
    </row>
    <row r="833" spans="1:3" x14ac:dyDescent="0.25">
      <c r="A833" s="247">
        <v>41592</v>
      </c>
      <c r="B833" s="248">
        <v>0.99631944444444442</v>
      </c>
      <c r="C833" s="1009" t="s">
        <v>1507</v>
      </c>
    </row>
    <row r="834" spans="1:3" ht="45" x14ac:dyDescent="0.25">
      <c r="A834" s="247">
        <v>41592</v>
      </c>
      <c r="B834" s="248">
        <v>0.99663194444444436</v>
      </c>
      <c r="C834" s="1005" t="s">
        <v>1520</v>
      </c>
    </row>
    <row r="835" spans="1:3" x14ac:dyDescent="0.25">
      <c r="A835" s="247">
        <v>41592</v>
      </c>
      <c r="B835" s="248">
        <v>0.99673611111111116</v>
      </c>
      <c r="C835" s="1009" t="s">
        <v>1521</v>
      </c>
    </row>
    <row r="836" spans="1:3" x14ac:dyDescent="0.25">
      <c r="A836" s="247">
        <v>41592</v>
      </c>
      <c r="B836" s="248">
        <v>0.99674768518518519</v>
      </c>
      <c r="C836" s="1009" t="s">
        <v>1522</v>
      </c>
    </row>
    <row r="837" spans="1:3" ht="45" x14ac:dyDescent="0.25">
      <c r="A837" s="247">
        <v>41592</v>
      </c>
      <c r="B837" s="248">
        <v>0.99761574074074078</v>
      </c>
      <c r="C837" s="1005" t="s">
        <v>1523</v>
      </c>
    </row>
    <row r="838" spans="1:3" x14ac:dyDescent="0.25">
      <c r="A838" s="247">
        <v>41592</v>
      </c>
      <c r="B838" s="248">
        <v>0.99761574074074078</v>
      </c>
      <c r="C838" s="1009" t="s">
        <v>1514</v>
      </c>
    </row>
    <row r="839" spans="1:3" ht="45" x14ac:dyDescent="0.25">
      <c r="A839" s="247">
        <v>41592</v>
      </c>
      <c r="B839" s="248">
        <v>0.99780092592592595</v>
      </c>
      <c r="C839" s="1005" t="s">
        <v>1524</v>
      </c>
    </row>
    <row r="840" spans="1:3" x14ac:dyDescent="0.25">
      <c r="A840" s="247">
        <v>41592</v>
      </c>
      <c r="B840" s="248">
        <v>0.9978703703703703</v>
      </c>
      <c r="C840" s="1009" t="s">
        <v>1525</v>
      </c>
    </row>
    <row r="841" spans="1:3" x14ac:dyDescent="0.25">
      <c r="A841" s="247">
        <v>41592</v>
      </c>
      <c r="B841" s="248">
        <v>0.99788194444444445</v>
      </c>
      <c r="C841" s="1009" t="s">
        <v>1526</v>
      </c>
    </row>
    <row r="842" spans="1:3" ht="45" x14ac:dyDescent="0.25">
      <c r="A842" s="247">
        <v>41593</v>
      </c>
      <c r="B842" s="248">
        <v>2.2453703703703702E-3</v>
      </c>
      <c r="C842" s="1005" t="s">
        <v>1527</v>
      </c>
    </row>
    <row r="843" spans="1:3" x14ac:dyDescent="0.25">
      <c r="A843" s="247">
        <v>41593</v>
      </c>
      <c r="B843" s="248">
        <v>5.3935185185185188E-3</v>
      </c>
      <c r="C843" s="1009" t="s">
        <v>1528</v>
      </c>
    </row>
    <row r="844" spans="1:3" ht="45" x14ac:dyDescent="0.25">
      <c r="A844" s="247">
        <v>41593</v>
      </c>
      <c r="B844" s="248">
        <v>6.4583333333333333E-3</v>
      </c>
      <c r="C844" s="1005" t="s">
        <v>1529</v>
      </c>
    </row>
    <row r="845" spans="1:3" ht="45" x14ac:dyDescent="0.25">
      <c r="A845" s="247">
        <v>41593</v>
      </c>
      <c r="B845" s="248">
        <v>1.3761574074074074E-2</v>
      </c>
      <c r="C845" s="1005" t="s">
        <v>1530</v>
      </c>
    </row>
    <row r="846" spans="1:3" x14ac:dyDescent="0.25">
      <c r="A846" s="247">
        <v>41593</v>
      </c>
      <c r="B846" s="248">
        <v>1.3761574074074074E-2</v>
      </c>
      <c r="C846" s="1009" t="s">
        <v>1528</v>
      </c>
    </row>
    <row r="847" spans="1:3" ht="45" x14ac:dyDescent="0.25">
      <c r="A847" s="247">
        <v>41593</v>
      </c>
      <c r="B847" s="248">
        <v>1.4131944444444445E-2</v>
      </c>
      <c r="C847" s="1005" t="s">
        <v>1531</v>
      </c>
    </row>
    <row r="848" spans="1:3" x14ac:dyDescent="0.25">
      <c r="A848" s="247">
        <v>41593</v>
      </c>
      <c r="B848" s="248">
        <v>1.4212962962962962E-2</v>
      </c>
      <c r="C848" s="1009" t="s">
        <v>1525</v>
      </c>
    </row>
    <row r="849" spans="1:3" x14ac:dyDescent="0.25">
      <c r="A849" s="247">
        <v>41593</v>
      </c>
      <c r="B849" s="248">
        <v>1.4212962962962962E-2</v>
      </c>
      <c r="C849" s="1009" t="s">
        <v>1526</v>
      </c>
    </row>
    <row r="850" spans="1:3" ht="45" x14ac:dyDescent="0.25">
      <c r="A850" s="247">
        <v>41593</v>
      </c>
      <c r="B850" s="248">
        <v>1.9768518518518515E-2</v>
      </c>
      <c r="C850" s="1005" t="s">
        <v>1532</v>
      </c>
    </row>
    <row r="851" spans="1:3" x14ac:dyDescent="0.25">
      <c r="A851" s="247">
        <v>41593</v>
      </c>
      <c r="B851" s="248">
        <v>2.0474537037037038E-2</v>
      </c>
      <c r="C851" s="1009" t="s">
        <v>1528</v>
      </c>
    </row>
    <row r="852" spans="1:3" ht="45" x14ac:dyDescent="0.25">
      <c r="A852" s="247">
        <v>41593</v>
      </c>
      <c r="B852" s="248">
        <v>2.238425925925926E-2</v>
      </c>
      <c r="C852" s="1005" t="s">
        <v>1533</v>
      </c>
    </row>
    <row r="853" spans="1:3" ht="45" x14ac:dyDescent="0.25">
      <c r="A853" s="247">
        <v>41593</v>
      </c>
      <c r="B853" s="248">
        <v>3.951388888888889E-2</v>
      </c>
      <c r="C853" s="1005" t="s">
        <v>1532</v>
      </c>
    </row>
    <row r="854" spans="1:3" x14ac:dyDescent="0.25">
      <c r="A854" s="247">
        <v>41593</v>
      </c>
      <c r="B854" s="248">
        <v>3.951388888888889E-2</v>
      </c>
      <c r="C854" s="1009" t="s">
        <v>1528</v>
      </c>
    </row>
    <row r="855" spans="1:3" ht="45" x14ac:dyDescent="0.25">
      <c r="A855" s="247">
        <v>41593</v>
      </c>
      <c r="B855" s="248">
        <v>3.9699074074074074E-2</v>
      </c>
      <c r="C855" s="1005" t="s">
        <v>1534</v>
      </c>
    </row>
    <row r="856" spans="1:3" x14ac:dyDescent="0.25">
      <c r="A856" s="247">
        <v>41593</v>
      </c>
      <c r="B856" s="248">
        <v>4.0520833333333332E-2</v>
      </c>
      <c r="C856" s="1009" t="s">
        <v>1525</v>
      </c>
    </row>
    <row r="857" spans="1:3" x14ac:dyDescent="0.25">
      <c r="A857" s="247">
        <v>41593</v>
      </c>
      <c r="B857" s="248">
        <v>4.0520833333333332E-2</v>
      </c>
      <c r="C857" s="1009" t="s">
        <v>1526</v>
      </c>
    </row>
    <row r="858" spans="1:3" ht="45" x14ac:dyDescent="0.25">
      <c r="A858" s="247">
        <v>41593</v>
      </c>
      <c r="B858" s="248">
        <v>4.252314814814815E-2</v>
      </c>
      <c r="C858" s="1005" t="s">
        <v>1532</v>
      </c>
    </row>
    <row r="859" spans="1:3" x14ac:dyDescent="0.25">
      <c r="A859" s="247">
        <v>41593</v>
      </c>
      <c r="B859" s="248">
        <v>4.252314814814815E-2</v>
      </c>
      <c r="C859" s="1009" t="s">
        <v>1528</v>
      </c>
    </row>
    <row r="860" spans="1:3" ht="45" x14ac:dyDescent="0.25">
      <c r="A860" s="247">
        <v>41593</v>
      </c>
      <c r="B860" s="248">
        <v>4.2789351851851849E-2</v>
      </c>
      <c r="C860" s="1005" t="s">
        <v>1535</v>
      </c>
    </row>
    <row r="861" spans="1:3" ht="45" x14ac:dyDescent="0.25">
      <c r="A861" s="247">
        <v>41593</v>
      </c>
      <c r="B861" s="248">
        <v>4.7106481481481478E-2</v>
      </c>
      <c r="C861" s="1005" t="s">
        <v>1532</v>
      </c>
    </row>
    <row r="862" spans="1:3" x14ac:dyDescent="0.25">
      <c r="A862" s="247">
        <v>41593</v>
      </c>
      <c r="B862" s="248">
        <v>4.7106481481481478E-2</v>
      </c>
      <c r="C862" s="1009" t="s">
        <v>1528</v>
      </c>
    </row>
    <row r="863" spans="1:3" ht="45" x14ac:dyDescent="0.25">
      <c r="A863" s="247">
        <v>41593</v>
      </c>
      <c r="B863" s="248">
        <v>4.8182870370370369E-2</v>
      </c>
      <c r="C863" s="1005" t="s">
        <v>1536</v>
      </c>
    </row>
    <row r="864" spans="1:3" ht="45" x14ac:dyDescent="0.25">
      <c r="A864" s="247">
        <v>41594</v>
      </c>
      <c r="B864" s="248">
        <v>0.99856481481481474</v>
      </c>
      <c r="C864" s="1005" t="s">
        <v>1532</v>
      </c>
    </row>
    <row r="865" spans="1:3" x14ac:dyDescent="0.25">
      <c r="A865" s="247">
        <v>41594</v>
      </c>
      <c r="B865" s="248">
        <v>0.99857638888888889</v>
      </c>
      <c r="C865" s="1009" t="s">
        <v>1528</v>
      </c>
    </row>
    <row r="866" spans="1:3" ht="45" x14ac:dyDescent="0.25">
      <c r="A866" s="247">
        <v>41594</v>
      </c>
      <c r="B866" s="248">
        <v>0.99961805555555561</v>
      </c>
      <c r="C866" s="1005" t="s">
        <v>1537</v>
      </c>
    </row>
    <row r="867" spans="1:3" x14ac:dyDescent="0.25">
      <c r="A867" s="247">
        <v>41594</v>
      </c>
      <c r="B867" s="248">
        <v>0.99971064814814825</v>
      </c>
      <c r="C867" s="1009" t="s">
        <v>1538</v>
      </c>
    </row>
    <row r="868" spans="1:3" x14ac:dyDescent="0.25">
      <c r="A868" s="247">
        <v>41594</v>
      </c>
      <c r="B868" s="248">
        <v>0.99982638888888886</v>
      </c>
      <c r="C868" s="1009" t="s">
        <v>1539</v>
      </c>
    </row>
    <row r="869" spans="1:3" x14ac:dyDescent="0.25">
      <c r="A869" s="247">
        <v>41595</v>
      </c>
      <c r="B869" s="248">
        <v>7.6157407407407415E-3</v>
      </c>
      <c r="C869" s="1009" t="s">
        <v>1262</v>
      </c>
    </row>
    <row r="870" spans="1:3" x14ac:dyDescent="0.25">
      <c r="A870" s="247">
        <v>41595</v>
      </c>
      <c r="B870" s="248">
        <v>7.6157407407407415E-3</v>
      </c>
      <c r="C870" s="1009" t="s">
        <v>1540</v>
      </c>
    </row>
    <row r="871" spans="1:3" x14ac:dyDescent="0.25">
      <c r="A871" s="247">
        <v>41595</v>
      </c>
      <c r="B871" s="248">
        <v>7.6157407407407415E-3</v>
      </c>
      <c r="C871" s="1009" t="s">
        <v>1538</v>
      </c>
    </row>
    <row r="872" spans="1:3" x14ac:dyDescent="0.25">
      <c r="A872" s="247">
        <v>41595</v>
      </c>
      <c r="B872" s="248">
        <v>7.7314814814814815E-3</v>
      </c>
      <c r="C872" s="1009" t="s">
        <v>1539</v>
      </c>
    </row>
    <row r="873" spans="1:3" x14ac:dyDescent="0.25">
      <c r="A873" s="247">
        <v>41595</v>
      </c>
      <c r="B873" s="248">
        <v>7.7314814814814815E-3</v>
      </c>
      <c r="C873" s="1009" t="s">
        <v>1541</v>
      </c>
    </row>
    <row r="874" spans="1:3" x14ac:dyDescent="0.25">
      <c r="A874" s="247">
        <v>41595</v>
      </c>
      <c r="B874" s="248">
        <v>7.7314814814814815E-3</v>
      </c>
      <c r="C874" s="1009" t="s">
        <v>1385</v>
      </c>
    </row>
    <row r="875" spans="1:3" x14ac:dyDescent="0.25">
      <c r="A875" s="247">
        <v>41595</v>
      </c>
      <c r="B875" s="248">
        <v>7.743055555555556E-3</v>
      </c>
      <c r="C875" s="1009" t="s">
        <v>1502</v>
      </c>
    </row>
    <row r="876" spans="1:3" x14ac:dyDescent="0.25">
      <c r="A876" s="247">
        <v>41595</v>
      </c>
      <c r="B876" s="248">
        <v>7.7546296296296287E-3</v>
      </c>
      <c r="C876" s="1009" t="s">
        <v>1517</v>
      </c>
    </row>
    <row r="877" spans="1:3" x14ac:dyDescent="0.25">
      <c r="A877" s="247">
        <v>41595</v>
      </c>
      <c r="B877" s="248">
        <v>7.7546296296296287E-3</v>
      </c>
      <c r="C877" s="1009" t="s">
        <v>1512</v>
      </c>
    </row>
    <row r="878" spans="1:3" x14ac:dyDescent="0.25">
      <c r="A878" s="247">
        <v>41595</v>
      </c>
      <c r="B878" s="248">
        <v>7.7662037037037031E-3</v>
      </c>
      <c r="C878" s="1009" t="s">
        <v>1513</v>
      </c>
    </row>
    <row r="879" spans="1:3" x14ac:dyDescent="0.25">
      <c r="A879" s="247">
        <v>41595</v>
      </c>
      <c r="B879" s="248">
        <v>7.7662037037037031E-3</v>
      </c>
      <c r="C879" s="1009" t="s">
        <v>1436</v>
      </c>
    </row>
    <row r="880" spans="1:3" ht="45" x14ac:dyDescent="0.25">
      <c r="A880" s="247">
        <v>41595</v>
      </c>
      <c r="B880" s="248">
        <v>7.7662037037037031E-3</v>
      </c>
      <c r="C880" s="1005" t="s">
        <v>1542</v>
      </c>
    </row>
    <row r="881" spans="1:3" ht="30" x14ac:dyDescent="0.25">
      <c r="A881" s="247">
        <v>41595</v>
      </c>
      <c r="B881" s="248">
        <v>1.0289351851851852E-2</v>
      </c>
      <c r="C881" s="1005" t="s">
        <v>1543</v>
      </c>
    </row>
    <row r="882" spans="1:3" x14ac:dyDescent="0.25">
      <c r="A882" s="247">
        <v>41595</v>
      </c>
      <c r="B882" s="248">
        <v>1.0289351851851852E-2</v>
      </c>
      <c r="C882" s="1009" t="s">
        <v>1436</v>
      </c>
    </row>
    <row r="883" spans="1:3" x14ac:dyDescent="0.25">
      <c r="A883" s="247">
        <v>41595</v>
      </c>
      <c r="B883" s="248">
        <v>1.042824074074074E-2</v>
      </c>
      <c r="C883" s="1009" t="s">
        <v>1540</v>
      </c>
    </row>
    <row r="884" spans="1:3" x14ac:dyDescent="0.25">
      <c r="A884" s="247">
        <v>41595</v>
      </c>
      <c r="B884" s="248">
        <v>1.042824074074074E-2</v>
      </c>
      <c r="C884" s="1009" t="s">
        <v>1538</v>
      </c>
    </row>
    <row r="885" spans="1:3" x14ac:dyDescent="0.25">
      <c r="A885" s="247">
        <v>41595</v>
      </c>
      <c r="B885" s="248">
        <v>1.0543981481481481E-2</v>
      </c>
      <c r="C885" s="1009" t="s">
        <v>1539</v>
      </c>
    </row>
    <row r="886" spans="1:3" ht="30" x14ac:dyDescent="0.25">
      <c r="A886" s="247">
        <v>41595</v>
      </c>
      <c r="B886" s="248">
        <v>1.0844907407407407E-2</v>
      </c>
      <c r="C886" s="1005" t="s">
        <v>1544</v>
      </c>
    </row>
    <row r="887" spans="1:3" x14ac:dyDescent="0.25">
      <c r="A887" s="247">
        <v>41595</v>
      </c>
      <c r="B887" s="248">
        <v>1.0868055555555556E-2</v>
      </c>
      <c r="C887" s="1009" t="s">
        <v>1434</v>
      </c>
    </row>
    <row r="888" spans="1:3" x14ac:dyDescent="0.25">
      <c r="A888" s="247">
        <v>41595</v>
      </c>
      <c r="B888" s="248">
        <v>1.0949074074074075E-2</v>
      </c>
      <c r="C888" s="1009" t="s">
        <v>1545</v>
      </c>
    </row>
    <row r="889" spans="1:3" x14ac:dyDescent="0.25">
      <c r="A889" s="247">
        <v>41595</v>
      </c>
      <c r="B889" s="248">
        <v>1.6145833333333335E-2</v>
      </c>
      <c r="C889" s="1009" t="s">
        <v>1546</v>
      </c>
    </row>
    <row r="890" spans="1:3" x14ac:dyDescent="0.25">
      <c r="A890" s="247">
        <v>41595</v>
      </c>
      <c r="B890" s="248">
        <v>1.6145833333333335E-2</v>
      </c>
      <c r="C890" s="1009" t="s">
        <v>1540</v>
      </c>
    </row>
    <row r="891" spans="1:3" ht="45" x14ac:dyDescent="0.25">
      <c r="A891" s="247">
        <v>41595</v>
      </c>
      <c r="B891" s="248">
        <v>1.6782407407407409E-2</v>
      </c>
      <c r="C891" s="1005" t="s">
        <v>1547</v>
      </c>
    </row>
    <row r="892" spans="1:3" x14ac:dyDescent="0.25">
      <c r="A892" s="247">
        <v>41595</v>
      </c>
      <c r="B892" s="248">
        <v>2.074074074074074E-2</v>
      </c>
      <c r="C892" s="1009" t="s">
        <v>1538</v>
      </c>
    </row>
    <row r="893" spans="1:3" x14ac:dyDescent="0.25">
      <c r="A893" s="247">
        <v>41595</v>
      </c>
      <c r="B893" s="248">
        <v>2.0856481481481479E-2</v>
      </c>
      <c r="C893" s="1009" t="s">
        <v>1548</v>
      </c>
    </row>
    <row r="894" spans="1:3" ht="30" x14ac:dyDescent="0.25">
      <c r="A894" s="247">
        <v>41595</v>
      </c>
      <c r="B894" s="248">
        <v>2.1284722222222222E-2</v>
      </c>
      <c r="C894" s="1005" t="s">
        <v>1549</v>
      </c>
    </row>
    <row r="895" spans="1:3" x14ac:dyDescent="0.25">
      <c r="A895" s="247">
        <v>41595</v>
      </c>
      <c r="B895" s="248">
        <v>2.1435185185185186E-2</v>
      </c>
      <c r="C895" s="1009" t="s">
        <v>1434</v>
      </c>
    </row>
    <row r="896" spans="1:3" x14ac:dyDescent="0.25">
      <c r="A896" s="247">
        <v>41595</v>
      </c>
      <c r="B896" s="248">
        <v>2.1516203703703704E-2</v>
      </c>
      <c r="C896" s="1009" t="s">
        <v>1545</v>
      </c>
    </row>
    <row r="897" spans="1:3" ht="30" x14ac:dyDescent="0.25">
      <c r="A897" s="247">
        <v>41595</v>
      </c>
      <c r="B897" s="248">
        <v>2.9247685185185186E-2</v>
      </c>
      <c r="C897" s="1005" t="s">
        <v>1543</v>
      </c>
    </row>
    <row r="898" spans="1:3" x14ac:dyDescent="0.25">
      <c r="A898" s="247">
        <v>41595</v>
      </c>
      <c r="B898" s="248">
        <v>2.9247685185185186E-2</v>
      </c>
      <c r="C898" s="1009" t="s">
        <v>1546</v>
      </c>
    </row>
    <row r="899" spans="1:3" x14ac:dyDescent="0.25">
      <c r="A899" s="247">
        <v>41595</v>
      </c>
      <c r="B899" s="248">
        <v>2.9386574074074075E-2</v>
      </c>
      <c r="C899" s="1009" t="s">
        <v>1550</v>
      </c>
    </row>
    <row r="900" spans="1:3" x14ac:dyDescent="0.25">
      <c r="A900" s="247">
        <v>41595</v>
      </c>
      <c r="B900" s="248">
        <v>2.9386574074074075E-2</v>
      </c>
      <c r="C900" s="1009" t="s">
        <v>1538</v>
      </c>
    </row>
    <row r="901" spans="1:3" x14ac:dyDescent="0.25">
      <c r="A901" s="247">
        <v>41595</v>
      </c>
      <c r="B901" s="248">
        <v>2.9513888888888892E-2</v>
      </c>
      <c r="C901" s="1009" t="s">
        <v>1551</v>
      </c>
    </row>
    <row r="902" spans="1:3" ht="30" x14ac:dyDescent="0.25">
      <c r="A902" s="247">
        <v>41595</v>
      </c>
      <c r="B902" s="248">
        <v>2.9849537037037036E-2</v>
      </c>
      <c r="C902" s="1005" t="s">
        <v>1552</v>
      </c>
    </row>
    <row r="903" spans="1:3" x14ac:dyDescent="0.25">
      <c r="A903" s="247">
        <v>41595</v>
      </c>
      <c r="B903" s="248">
        <v>2.9872685185185183E-2</v>
      </c>
      <c r="C903" s="1009" t="s">
        <v>1434</v>
      </c>
    </row>
    <row r="904" spans="1:3" x14ac:dyDescent="0.25">
      <c r="A904" s="247">
        <v>41595</v>
      </c>
      <c r="B904" s="248">
        <v>2.9953703703703705E-2</v>
      </c>
      <c r="C904" s="1009" t="s">
        <v>1553</v>
      </c>
    </row>
    <row r="905" spans="1:3" x14ac:dyDescent="0.25">
      <c r="A905" s="247">
        <v>41595</v>
      </c>
      <c r="B905" s="248">
        <v>3.1481481481481485E-2</v>
      </c>
      <c r="C905" s="1009" t="s">
        <v>1554</v>
      </c>
    </row>
    <row r="906" spans="1:3" ht="45" x14ac:dyDescent="0.25">
      <c r="A906" s="247">
        <v>41595</v>
      </c>
      <c r="B906" s="248">
        <v>3.2152777777777773E-2</v>
      </c>
      <c r="C906" s="1005" t="s">
        <v>1555</v>
      </c>
    </row>
    <row r="907" spans="1:3" x14ac:dyDescent="0.25">
      <c r="A907" s="247">
        <v>41595</v>
      </c>
      <c r="B907" s="248">
        <v>3.2256944444444442E-2</v>
      </c>
      <c r="C907" s="1009" t="s">
        <v>1538</v>
      </c>
    </row>
    <row r="908" spans="1:3" x14ac:dyDescent="0.25">
      <c r="A908" s="247">
        <v>41595</v>
      </c>
      <c r="B908" s="248">
        <v>3.2372685185185185E-2</v>
      </c>
      <c r="C908" s="1009" t="s">
        <v>1556</v>
      </c>
    </row>
    <row r="909" spans="1:3" ht="45" x14ac:dyDescent="0.25">
      <c r="A909" s="247">
        <v>41595</v>
      </c>
      <c r="B909" s="248">
        <v>3.6354166666666667E-2</v>
      </c>
      <c r="C909" s="1005" t="s">
        <v>1557</v>
      </c>
    </row>
    <row r="910" spans="1:3" x14ac:dyDescent="0.25">
      <c r="A910" s="247">
        <v>41595</v>
      </c>
      <c r="B910" s="248">
        <v>3.636574074074074E-2</v>
      </c>
      <c r="C910" s="1009" t="s">
        <v>1558</v>
      </c>
    </row>
    <row r="911" spans="1:3" x14ac:dyDescent="0.25">
      <c r="A911" s="247">
        <v>41595</v>
      </c>
      <c r="B911" s="248">
        <v>3.636574074074074E-2</v>
      </c>
      <c r="C911" s="1009" t="s">
        <v>1559</v>
      </c>
    </row>
    <row r="912" spans="1:3" x14ac:dyDescent="0.25">
      <c r="A912" s="247">
        <v>41595</v>
      </c>
      <c r="B912" s="248">
        <v>3.636574074074074E-2</v>
      </c>
      <c r="C912" s="1009" t="s">
        <v>1538</v>
      </c>
    </row>
    <row r="913" spans="1:3" x14ac:dyDescent="0.25">
      <c r="A913" s="247">
        <v>41595</v>
      </c>
      <c r="B913" s="248">
        <v>3.6493055555555549E-2</v>
      </c>
      <c r="C913" s="1009" t="s">
        <v>1560</v>
      </c>
    </row>
    <row r="914" spans="1:3" x14ac:dyDescent="0.25">
      <c r="A914" s="247">
        <v>41595</v>
      </c>
      <c r="B914" s="248">
        <v>3.650462962962963E-2</v>
      </c>
      <c r="C914" s="1009" t="s">
        <v>1507</v>
      </c>
    </row>
    <row r="915" spans="1:3" x14ac:dyDescent="0.25">
      <c r="A915" s="247">
        <v>41595</v>
      </c>
      <c r="B915" s="248">
        <v>3.650462962962963E-2</v>
      </c>
      <c r="C915" s="1009" t="s">
        <v>1385</v>
      </c>
    </row>
    <row r="916" spans="1:3" x14ac:dyDescent="0.25">
      <c r="A916" s="247">
        <v>41595</v>
      </c>
      <c r="B916" s="248">
        <v>3.6516203703703703E-2</v>
      </c>
      <c r="C916" s="1009" t="s">
        <v>1502</v>
      </c>
    </row>
    <row r="917" spans="1:3" x14ac:dyDescent="0.25">
      <c r="A917" s="247">
        <v>41595</v>
      </c>
      <c r="B917" s="248">
        <v>3.6527777777777777E-2</v>
      </c>
      <c r="C917" s="1009" t="s">
        <v>1517</v>
      </c>
    </row>
    <row r="918" spans="1:3" x14ac:dyDescent="0.25">
      <c r="A918" s="247">
        <v>41595</v>
      </c>
      <c r="B918" s="248">
        <v>3.6527777777777777E-2</v>
      </c>
      <c r="C918" s="1009" t="s">
        <v>1512</v>
      </c>
    </row>
    <row r="919" spans="1:3" x14ac:dyDescent="0.25">
      <c r="A919" s="247">
        <v>41595</v>
      </c>
      <c r="B919" s="248">
        <v>3.6539351851851851E-2</v>
      </c>
      <c r="C919" s="1009" t="s">
        <v>1513</v>
      </c>
    </row>
    <row r="920" spans="1:3" x14ac:dyDescent="0.25">
      <c r="A920" s="247">
        <v>41595</v>
      </c>
      <c r="B920" s="248">
        <v>3.6550925925925924E-2</v>
      </c>
      <c r="C920" s="1009" t="s">
        <v>1561</v>
      </c>
    </row>
    <row r="921" spans="1:3" x14ac:dyDescent="0.25">
      <c r="A921" s="247">
        <v>41595</v>
      </c>
      <c r="B921" s="248">
        <v>3.6620370370370373E-2</v>
      </c>
      <c r="C921" s="1009" t="s">
        <v>1562</v>
      </c>
    </row>
    <row r="922" spans="1:3" ht="45" x14ac:dyDescent="0.25">
      <c r="A922" s="247">
        <v>41595</v>
      </c>
      <c r="B922" s="248">
        <v>0.39005787037037037</v>
      </c>
      <c r="C922" s="1005" t="s">
        <v>1563</v>
      </c>
    </row>
    <row r="923" spans="1:3" x14ac:dyDescent="0.25">
      <c r="A923" s="247">
        <v>41595</v>
      </c>
      <c r="B923" s="248">
        <v>0.39005787037037037</v>
      </c>
      <c r="C923" s="1009" t="s">
        <v>1265</v>
      </c>
    </row>
    <row r="924" spans="1:3" x14ac:dyDescent="0.25">
      <c r="A924" s="247">
        <v>41595</v>
      </c>
      <c r="B924" s="248">
        <v>0.39035879629629627</v>
      </c>
      <c r="C924" s="1009" t="s">
        <v>1564</v>
      </c>
    </row>
    <row r="925" spans="1:3" x14ac:dyDescent="0.25">
      <c r="A925" s="247">
        <v>41595</v>
      </c>
      <c r="B925" s="248">
        <v>0.39035879629629627</v>
      </c>
      <c r="C925" s="1009" t="s">
        <v>1266</v>
      </c>
    </row>
    <row r="926" spans="1:3" ht="45" x14ac:dyDescent="0.25">
      <c r="A926" s="247">
        <v>41595</v>
      </c>
      <c r="B926" s="248">
        <v>0.39204861111111117</v>
      </c>
      <c r="C926" s="1005" t="s">
        <v>1565</v>
      </c>
    </row>
    <row r="927" spans="1:3" x14ac:dyDescent="0.25">
      <c r="A927" s="247">
        <v>41595</v>
      </c>
      <c r="B927" s="248">
        <v>0.39206018518518521</v>
      </c>
      <c r="C927" s="1009" t="s">
        <v>1566</v>
      </c>
    </row>
    <row r="928" spans="1:3" x14ac:dyDescent="0.25">
      <c r="A928" s="247">
        <v>41595</v>
      </c>
      <c r="B928" s="248">
        <v>0.39206018518518521</v>
      </c>
      <c r="C928" s="1009" t="s">
        <v>1567</v>
      </c>
    </row>
    <row r="929" spans="1:3" ht="45" x14ac:dyDescent="0.25">
      <c r="A929" s="247">
        <v>41595</v>
      </c>
      <c r="B929" s="248">
        <v>0.39285879629629633</v>
      </c>
      <c r="C929" s="1005" t="s">
        <v>1568</v>
      </c>
    </row>
    <row r="930" spans="1:3" x14ac:dyDescent="0.25">
      <c r="A930" s="247">
        <v>41595</v>
      </c>
      <c r="B930" s="248">
        <v>0.39293981481481483</v>
      </c>
      <c r="C930" s="1009" t="s">
        <v>1538</v>
      </c>
    </row>
    <row r="931" spans="1:3" x14ac:dyDescent="0.25">
      <c r="A931" s="247">
        <v>41595</v>
      </c>
      <c r="B931" s="248">
        <v>0.39304398148148145</v>
      </c>
      <c r="C931" s="1009" t="s">
        <v>1569</v>
      </c>
    </row>
    <row r="932" spans="1:3" x14ac:dyDescent="0.25">
      <c r="A932" s="247">
        <v>41595</v>
      </c>
      <c r="B932" s="248">
        <v>0.39304398148148145</v>
      </c>
      <c r="C932" s="1009" t="s">
        <v>1507</v>
      </c>
    </row>
    <row r="933" spans="1:3" ht="45" x14ac:dyDescent="0.25">
      <c r="A933" s="247">
        <v>41595</v>
      </c>
      <c r="B933" s="248">
        <v>0.39315972222222223</v>
      </c>
      <c r="C933" s="1005" t="s">
        <v>1570</v>
      </c>
    </row>
    <row r="934" spans="1:3" x14ac:dyDescent="0.25">
      <c r="A934" s="247">
        <v>41595</v>
      </c>
      <c r="B934" s="248">
        <v>0.39319444444444446</v>
      </c>
      <c r="C934" s="1009" t="s">
        <v>1385</v>
      </c>
    </row>
    <row r="935" spans="1:3" x14ac:dyDescent="0.25">
      <c r="A935" s="247">
        <v>41595</v>
      </c>
      <c r="B935" s="248">
        <v>0.3932060185185185</v>
      </c>
      <c r="C935" s="1009" t="s">
        <v>1502</v>
      </c>
    </row>
    <row r="936" spans="1:3" x14ac:dyDescent="0.25">
      <c r="A936" s="247">
        <v>41595</v>
      </c>
      <c r="B936" s="248">
        <v>0.3932060185185185</v>
      </c>
      <c r="C936" s="1009" t="s">
        <v>1517</v>
      </c>
    </row>
    <row r="937" spans="1:3" ht="30" x14ac:dyDescent="0.25">
      <c r="A937" s="247">
        <v>41595</v>
      </c>
      <c r="B937" s="248">
        <v>0.39333333333333331</v>
      </c>
      <c r="C937" s="1005" t="s">
        <v>1571</v>
      </c>
    </row>
    <row r="938" spans="1:3" x14ac:dyDescent="0.25">
      <c r="A938" s="247">
        <v>41595</v>
      </c>
      <c r="B938" s="248">
        <v>0.39334490740740741</v>
      </c>
      <c r="C938" s="1009" t="s">
        <v>1512</v>
      </c>
    </row>
    <row r="939" spans="1:3" x14ac:dyDescent="0.25">
      <c r="A939" s="247">
        <v>41595</v>
      </c>
      <c r="B939" s="248">
        <v>0.39335648148148145</v>
      </c>
      <c r="C939" s="1009" t="s">
        <v>1572</v>
      </c>
    </row>
    <row r="940" spans="1:3" x14ac:dyDescent="0.25">
      <c r="A940" s="247">
        <v>41595</v>
      </c>
      <c r="B940" s="248">
        <v>0.3933680555555556</v>
      </c>
      <c r="C940" s="1009" t="s">
        <v>1561</v>
      </c>
    </row>
    <row r="941" spans="1:3" x14ac:dyDescent="0.25">
      <c r="A941" s="247">
        <v>41595</v>
      </c>
      <c r="B941" s="248">
        <v>0.3934259259259259</v>
      </c>
      <c r="C941" s="1009" t="s">
        <v>1573</v>
      </c>
    </row>
    <row r="942" spans="1:3" x14ac:dyDescent="0.25">
      <c r="A942" s="247">
        <v>41595</v>
      </c>
      <c r="B942" s="248">
        <v>0.3941087962962963</v>
      </c>
      <c r="C942" s="1009" t="s">
        <v>1574</v>
      </c>
    </row>
    <row r="943" spans="1:3" ht="45" x14ac:dyDescent="0.25">
      <c r="A943" s="247">
        <v>41595</v>
      </c>
      <c r="B943" s="248">
        <v>0.39493055555555556</v>
      </c>
      <c r="C943" s="1005" t="s">
        <v>1575</v>
      </c>
    </row>
    <row r="944" spans="1:3" x14ac:dyDescent="0.25">
      <c r="A944" s="247">
        <v>41595</v>
      </c>
      <c r="B944" s="248">
        <v>0.39502314814814815</v>
      </c>
      <c r="C944" s="1009" t="s">
        <v>1538</v>
      </c>
    </row>
    <row r="945" spans="1:3" x14ac:dyDescent="0.25">
      <c r="A945" s="247">
        <v>41595</v>
      </c>
      <c r="B945" s="248">
        <v>0.39513888888888887</v>
      </c>
      <c r="C945" s="1009" t="s">
        <v>1569</v>
      </c>
    </row>
    <row r="946" spans="1:3" x14ac:dyDescent="0.25">
      <c r="A946" s="247">
        <v>41595</v>
      </c>
      <c r="B946" s="248">
        <v>0.39836805555555554</v>
      </c>
      <c r="C946" s="1009" t="s">
        <v>1576</v>
      </c>
    </row>
    <row r="947" spans="1:3" x14ac:dyDescent="0.25">
      <c r="A947" s="247">
        <v>41595</v>
      </c>
      <c r="B947" s="248">
        <v>0.39836805555555554</v>
      </c>
      <c r="C947" s="1009" t="s">
        <v>1574</v>
      </c>
    </row>
    <row r="948" spans="1:3" x14ac:dyDescent="0.25">
      <c r="A948" s="247">
        <v>41595</v>
      </c>
      <c r="B948" s="248">
        <v>0.39836805555555554</v>
      </c>
      <c r="C948" s="1009" t="s">
        <v>1538</v>
      </c>
    </row>
    <row r="949" spans="1:3" x14ac:dyDescent="0.25">
      <c r="A949" s="247">
        <v>41595</v>
      </c>
      <c r="B949" s="248">
        <v>0.39847222222222217</v>
      </c>
      <c r="C949" s="1009" t="s">
        <v>1569</v>
      </c>
    </row>
    <row r="950" spans="1:3" ht="30" x14ac:dyDescent="0.25">
      <c r="A950" s="247">
        <v>41595</v>
      </c>
      <c r="B950" s="248">
        <v>0.39903935185185185</v>
      </c>
      <c r="C950" s="1005" t="s">
        <v>1577</v>
      </c>
    </row>
    <row r="951" spans="1:3" x14ac:dyDescent="0.25">
      <c r="A951" s="247">
        <v>41595</v>
      </c>
      <c r="B951" s="248">
        <v>0.3991898148148148</v>
      </c>
      <c r="C951" s="1009" t="s">
        <v>1434</v>
      </c>
    </row>
    <row r="952" spans="1:3" x14ac:dyDescent="0.25">
      <c r="A952" s="247">
        <v>41595</v>
      </c>
      <c r="B952" s="248">
        <v>0.39925925925925926</v>
      </c>
      <c r="C952" s="1009" t="s">
        <v>1578</v>
      </c>
    </row>
    <row r="953" spans="1:3" ht="30" x14ac:dyDescent="0.25">
      <c r="A953" s="247">
        <v>41595</v>
      </c>
      <c r="B953" s="248">
        <v>0.40216435185185184</v>
      </c>
      <c r="C953" s="1005" t="s">
        <v>1543</v>
      </c>
    </row>
    <row r="954" spans="1:3" x14ac:dyDescent="0.25">
      <c r="A954" s="247">
        <v>41595</v>
      </c>
      <c r="B954" s="248">
        <v>0.40216435185185184</v>
      </c>
      <c r="C954" s="1009" t="s">
        <v>1579</v>
      </c>
    </row>
    <row r="955" spans="1:3" x14ac:dyDescent="0.25">
      <c r="A955" s="247">
        <v>41595</v>
      </c>
      <c r="B955" s="248">
        <v>0.40222222222222226</v>
      </c>
      <c r="C955" s="1009" t="s">
        <v>1574</v>
      </c>
    </row>
    <row r="956" spans="1:3" ht="45" x14ac:dyDescent="0.25">
      <c r="A956" s="247">
        <v>41595</v>
      </c>
      <c r="B956" s="248">
        <v>0.40300925925925929</v>
      </c>
      <c r="C956" s="1005" t="s">
        <v>1580</v>
      </c>
    </row>
    <row r="957" spans="1:3" x14ac:dyDescent="0.25">
      <c r="A957" s="247">
        <v>41595</v>
      </c>
      <c r="B957" s="248">
        <v>0.40311342592592592</v>
      </c>
      <c r="C957" s="1009" t="s">
        <v>1538</v>
      </c>
    </row>
    <row r="958" spans="1:3" x14ac:dyDescent="0.25">
      <c r="A958" s="247">
        <v>41595</v>
      </c>
      <c r="B958" s="248">
        <v>0.40321759259259254</v>
      </c>
      <c r="C958" s="1009" t="s">
        <v>1581</v>
      </c>
    </row>
    <row r="959" spans="1:3" ht="30" x14ac:dyDescent="0.25">
      <c r="A959" s="247">
        <v>41595</v>
      </c>
      <c r="B959" s="248">
        <v>0.40377314814814813</v>
      </c>
      <c r="C959" s="1005" t="s">
        <v>1582</v>
      </c>
    </row>
    <row r="960" spans="1:3" x14ac:dyDescent="0.25">
      <c r="A960" s="247">
        <v>41595</v>
      </c>
      <c r="B960" s="248">
        <v>0.40380787037037041</v>
      </c>
      <c r="C960" s="1009" t="s">
        <v>1434</v>
      </c>
    </row>
    <row r="961" spans="1:3" x14ac:dyDescent="0.25">
      <c r="A961" s="247">
        <v>41595</v>
      </c>
      <c r="B961" s="248">
        <v>0.40387731481481487</v>
      </c>
      <c r="C961" s="1009" t="s">
        <v>1583</v>
      </c>
    </row>
    <row r="962" spans="1:3" x14ac:dyDescent="0.25">
      <c r="A962" s="247">
        <v>41595</v>
      </c>
      <c r="B962" s="248">
        <v>0.40449074074074076</v>
      </c>
      <c r="C962" s="1009" t="s">
        <v>1262</v>
      </c>
    </row>
    <row r="963" spans="1:3" x14ac:dyDescent="0.25">
      <c r="A963" s="247">
        <v>41595</v>
      </c>
      <c r="B963" s="248">
        <v>0.40449074074074076</v>
      </c>
      <c r="C963" s="1009" t="s">
        <v>1584</v>
      </c>
    </row>
    <row r="964" spans="1:3" ht="45" x14ac:dyDescent="0.25">
      <c r="A964" s="247">
        <v>41595</v>
      </c>
      <c r="B964" s="248">
        <v>0.40528935185185189</v>
      </c>
      <c r="C964" s="1005" t="s">
        <v>1585</v>
      </c>
    </row>
    <row r="965" spans="1:3" x14ac:dyDescent="0.25">
      <c r="A965" s="247">
        <v>41595</v>
      </c>
      <c r="B965" s="248">
        <v>0.40537037037037038</v>
      </c>
      <c r="C965" s="1009" t="s">
        <v>1538</v>
      </c>
    </row>
    <row r="966" spans="1:3" x14ac:dyDescent="0.25">
      <c r="A966" s="247">
        <v>41595</v>
      </c>
      <c r="B966" s="248">
        <v>0.40547453703703701</v>
      </c>
      <c r="C966" s="1009" t="s">
        <v>1581</v>
      </c>
    </row>
    <row r="967" spans="1:3" x14ac:dyDescent="0.25">
      <c r="A967" s="247">
        <v>41595</v>
      </c>
      <c r="B967" s="248">
        <v>0.40548611111111116</v>
      </c>
      <c r="C967" s="1009" t="s">
        <v>1507</v>
      </c>
    </row>
    <row r="968" spans="1:3" ht="45" x14ac:dyDescent="0.25">
      <c r="A968" s="247">
        <v>41595</v>
      </c>
      <c r="B968" s="248">
        <v>0.40560185185185182</v>
      </c>
      <c r="C968" s="1005" t="s">
        <v>1586</v>
      </c>
    </row>
    <row r="969" spans="1:3" x14ac:dyDescent="0.25">
      <c r="A969" s="247">
        <v>41595</v>
      </c>
      <c r="B969" s="248">
        <v>0.40563657407407411</v>
      </c>
      <c r="C969" s="1009" t="s">
        <v>1385</v>
      </c>
    </row>
    <row r="970" spans="1:3" x14ac:dyDescent="0.25">
      <c r="A970" s="247">
        <v>41595</v>
      </c>
      <c r="B970" s="248">
        <v>0.40564814814814815</v>
      </c>
      <c r="C970" s="1009" t="s">
        <v>1502</v>
      </c>
    </row>
    <row r="971" spans="1:3" x14ac:dyDescent="0.25">
      <c r="A971" s="247">
        <v>41595</v>
      </c>
      <c r="B971" s="248">
        <v>0.40564814814814815</v>
      </c>
      <c r="C971" s="1009" t="s">
        <v>1587</v>
      </c>
    </row>
    <row r="972" spans="1:3" ht="30" x14ac:dyDescent="0.25">
      <c r="A972" s="247">
        <v>41595</v>
      </c>
      <c r="B972" s="248">
        <v>0.40576388888888887</v>
      </c>
      <c r="C972" s="1005" t="s">
        <v>1588</v>
      </c>
    </row>
    <row r="973" spans="1:3" x14ac:dyDescent="0.25">
      <c r="A973" s="247">
        <v>41595</v>
      </c>
      <c r="B973" s="248">
        <v>0.40577546296296302</v>
      </c>
      <c r="C973" s="1009" t="s">
        <v>1512</v>
      </c>
    </row>
    <row r="974" spans="1:3" x14ac:dyDescent="0.25">
      <c r="A974" s="247">
        <v>41595</v>
      </c>
      <c r="B974" s="248">
        <v>0.40578703703703706</v>
      </c>
      <c r="C974" s="1009" t="s">
        <v>1572</v>
      </c>
    </row>
    <row r="975" spans="1:3" x14ac:dyDescent="0.25">
      <c r="A975" s="247">
        <v>41595</v>
      </c>
      <c r="B975" s="248">
        <v>0.4057986111111111</v>
      </c>
      <c r="C975" s="1009" t="s">
        <v>1589</v>
      </c>
    </row>
    <row r="976" spans="1:3" x14ac:dyDescent="0.25">
      <c r="A976" s="247">
        <v>41595</v>
      </c>
      <c r="B976" s="248">
        <v>0.4057986111111111</v>
      </c>
      <c r="C976" s="1009" t="s">
        <v>1434</v>
      </c>
    </row>
    <row r="977" spans="1:3" x14ac:dyDescent="0.25">
      <c r="A977" s="247">
        <v>41595</v>
      </c>
      <c r="B977" s="248">
        <v>0.40585648148148151</v>
      </c>
      <c r="C977" s="1009" t="s">
        <v>1583</v>
      </c>
    </row>
    <row r="978" spans="1:3" x14ac:dyDescent="0.25">
      <c r="A978" s="247">
        <v>41595</v>
      </c>
      <c r="B978" s="248">
        <v>0.40586805555555555</v>
      </c>
      <c r="C978" s="1009" t="s">
        <v>1590</v>
      </c>
    </row>
    <row r="979" spans="1:3" ht="30" x14ac:dyDescent="0.25">
      <c r="A979" s="247">
        <v>41595</v>
      </c>
      <c r="B979" s="248">
        <v>0.4059490740740741</v>
      </c>
      <c r="C979" s="1005" t="s">
        <v>1591</v>
      </c>
    </row>
    <row r="980" spans="1:3" x14ac:dyDescent="0.25">
      <c r="A980" s="247">
        <v>41595</v>
      </c>
      <c r="B980" s="248">
        <v>0.40596064814814814</v>
      </c>
      <c r="C980" s="1009" t="s">
        <v>1507</v>
      </c>
    </row>
    <row r="981" spans="1:3" x14ac:dyDescent="0.25">
      <c r="A981" s="247">
        <v>41595</v>
      </c>
      <c r="B981" s="248">
        <v>0.40596064814814814</v>
      </c>
      <c r="C981" s="1009" t="s">
        <v>1385</v>
      </c>
    </row>
    <row r="982" spans="1:3" x14ac:dyDescent="0.25">
      <c r="A982" s="247">
        <v>41595</v>
      </c>
      <c r="B982" s="248">
        <v>0.40597222222222223</v>
      </c>
      <c r="C982" s="1009" t="s">
        <v>1502</v>
      </c>
    </row>
    <row r="983" spans="1:3" x14ac:dyDescent="0.25">
      <c r="A983" s="247">
        <v>41595</v>
      </c>
      <c r="B983" s="248">
        <v>0.40597222222222223</v>
      </c>
      <c r="C983" s="1009" t="s">
        <v>1496</v>
      </c>
    </row>
    <row r="984" spans="1:3" x14ac:dyDescent="0.25">
      <c r="A984" s="247">
        <v>41595</v>
      </c>
      <c r="B984" s="248">
        <v>0.40598379629629627</v>
      </c>
      <c r="C984" s="1009" t="s">
        <v>1503</v>
      </c>
    </row>
    <row r="985" spans="1:3" x14ac:dyDescent="0.25">
      <c r="A985" s="247">
        <v>41595</v>
      </c>
      <c r="B985" s="248">
        <v>0.40598379629629627</v>
      </c>
      <c r="C985" s="1009" t="s">
        <v>1265</v>
      </c>
    </row>
    <row r="986" spans="1:3" x14ac:dyDescent="0.25">
      <c r="A986" s="247">
        <v>41595</v>
      </c>
      <c r="B986" s="248">
        <v>0.40598379629629627</v>
      </c>
      <c r="C986" s="1009" t="s">
        <v>1564</v>
      </c>
    </row>
    <row r="987" spans="1:3" x14ac:dyDescent="0.25">
      <c r="A987" s="247">
        <v>41595</v>
      </c>
      <c r="B987" s="248">
        <v>0.40599537037037042</v>
      </c>
      <c r="C987" s="1009" t="s">
        <v>1266</v>
      </c>
    </row>
    <row r="988" spans="1:3" x14ac:dyDescent="0.25">
      <c r="A988" s="247">
        <v>41595</v>
      </c>
      <c r="B988" s="248">
        <v>0.40599537037037042</v>
      </c>
      <c r="C988" s="1009" t="s">
        <v>1592</v>
      </c>
    </row>
    <row r="989" spans="1:3" x14ac:dyDescent="0.25">
      <c r="A989" s="247">
        <v>41595</v>
      </c>
      <c r="B989" s="248">
        <v>0.40599537037037042</v>
      </c>
      <c r="C989" s="1009" t="s">
        <v>1584</v>
      </c>
    </row>
    <row r="990" spans="1:3" x14ac:dyDescent="0.25">
      <c r="A990" s="247">
        <v>41595</v>
      </c>
      <c r="B990" s="248">
        <v>0.40599537037037042</v>
      </c>
      <c r="C990" s="1009" t="s">
        <v>1538</v>
      </c>
    </row>
    <row r="991" spans="1:3" x14ac:dyDescent="0.25">
      <c r="A991" s="247">
        <v>41595</v>
      </c>
      <c r="B991" s="248">
        <v>0.40609953703703705</v>
      </c>
      <c r="C991" s="1009" t="s">
        <v>1581</v>
      </c>
    </row>
    <row r="992" spans="1:3" x14ac:dyDescent="0.25">
      <c r="A992" s="247">
        <v>41595</v>
      </c>
      <c r="B992" s="248">
        <v>0.40611111111111109</v>
      </c>
      <c r="C992" s="1009" t="s">
        <v>1507</v>
      </c>
    </row>
    <row r="993" spans="1:3" x14ac:dyDescent="0.25">
      <c r="A993" s="247">
        <v>41595</v>
      </c>
      <c r="B993" s="248">
        <v>0.40611111111111109</v>
      </c>
      <c r="C993" s="1009" t="s">
        <v>1385</v>
      </c>
    </row>
    <row r="994" spans="1:3" x14ac:dyDescent="0.25">
      <c r="A994" s="247">
        <v>41595</v>
      </c>
      <c r="B994" s="248">
        <v>0.40612268518518518</v>
      </c>
      <c r="C994" s="1009" t="s">
        <v>1502</v>
      </c>
    </row>
    <row r="995" spans="1:3" x14ac:dyDescent="0.25">
      <c r="A995" s="247">
        <v>41595</v>
      </c>
      <c r="B995" s="248">
        <v>0.40612268518518518</v>
      </c>
      <c r="C995" s="1009" t="s">
        <v>1587</v>
      </c>
    </row>
    <row r="996" spans="1:3" x14ac:dyDescent="0.25">
      <c r="A996" s="247">
        <v>41595</v>
      </c>
      <c r="B996" s="248">
        <v>0.40612268518518518</v>
      </c>
      <c r="C996" s="1009" t="s">
        <v>1512</v>
      </c>
    </row>
    <row r="997" spans="1:3" x14ac:dyDescent="0.25">
      <c r="A997" s="247">
        <v>41595</v>
      </c>
      <c r="B997" s="248">
        <v>0.40613425925925922</v>
      </c>
      <c r="C997" s="1009" t="s">
        <v>1572</v>
      </c>
    </row>
    <row r="998" spans="1:3" x14ac:dyDescent="0.25">
      <c r="A998" s="247">
        <v>41595</v>
      </c>
      <c r="B998" s="248">
        <v>0.40614583333333337</v>
      </c>
      <c r="C998" s="1009" t="s">
        <v>1561</v>
      </c>
    </row>
    <row r="999" spans="1:3" x14ac:dyDescent="0.25">
      <c r="A999" s="247">
        <v>41595</v>
      </c>
      <c r="B999" s="248">
        <v>0.40619212962962964</v>
      </c>
      <c r="C999" s="1009" t="s">
        <v>1573</v>
      </c>
    </row>
    <row r="1000" spans="1:3" x14ac:dyDescent="0.25">
      <c r="A1000" s="247">
        <v>41595</v>
      </c>
      <c r="B1000" s="248">
        <v>0.40619212962962964</v>
      </c>
      <c r="C1000" s="1009" t="s">
        <v>1593</v>
      </c>
    </row>
    <row r="1001" spans="1:3" x14ac:dyDescent="0.25">
      <c r="A1001" s="247">
        <v>41595</v>
      </c>
      <c r="B1001" s="248">
        <v>0.40619212962962964</v>
      </c>
      <c r="C1001" s="1009" t="s">
        <v>1584</v>
      </c>
    </row>
    <row r="1002" spans="1:3" x14ac:dyDescent="0.25">
      <c r="A1002" s="247">
        <v>41595</v>
      </c>
      <c r="B1002" s="248">
        <v>0.40619212962962964</v>
      </c>
      <c r="C1002" s="1009" t="s">
        <v>1538</v>
      </c>
    </row>
    <row r="1003" spans="1:3" x14ac:dyDescent="0.25">
      <c r="A1003" s="247">
        <v>41595</v>
      </c>
      <c r="B1003" s="248">
        <v>0.40629629629629632</v>
      </c>
      <c r="C1003" s="1009" t="s">
        <v>1581</v>
      </c>
    </row>
    <row r="1004" spans="1:3" x14ac:dyDescent="0.25">
      <c r="A1004" s="247">
        <v>41595</v>
      </c>
      <c r="B1004" s="248">
        <v>0.41362268518518519</v>
      </c>
      <c r="C1004" s="1009" t="s">
        <v>1262</v>
      </c>
    </row>
    <row r="1005" spans="1:3" x14ac:dyDescent="0.25">
      <c r="A1005" s="247">
        <v>41595</v>
      </c>
      <c r="B1005" s="248">
        <v>0.41363425925925923</v>
      </c>
      <c r="C1005" s="1009" t="s">
        <v>1593</v>
      </c>
    </row>
    <row r="1006" spans="1:3" x14ac:dyDescent="0.25">
      <c r="A1006" s="247">
        <v>41595</v>
      </c>
      <c r="B1006" s="248">
        <v>0.41363425925925923</v>
      </c>
      <c r="C1006" s="1009" t="s">
        <v>1584</v>
      </c>
    </row>
    <row r="1007" spans="1:3" x14ac:dyDescent="0.25">
      <c r="A1007" s="247">
        <v>41595</v>
      </c>
      <c r="B1007" s="248">
        <v>0.41363425925925923</v>
      </c>
      <c r="C1007" s="1009" t="s">
        <v>1538</v>
      </c>
    </row>
    <row r="1008" spans="1:3" x14ac:dyDescent="0.25">
      <c r="A1008" s="247">
        <v>41595</v>
      </c>
      <c r="B1008" s="248">
        <v>0.41372685185185182</v>
      </c>
      <c r="C1008" s="1009" t="s">
        <v>1581</v>
      </c>
    </row>
    <row r="1009" spans="1:3" x14ac:dyDescent="0.25">
      <c r="A1009" s="247">
        <v>41595</v>
      </c>
      <c r="B1009" s="248">
        <v>0.4138425925925926</v>
      </c>
      <c r="C1009" s="1009" t="s">
        <v>1484</v>
      </c>
    </row>
    <row r="1010" spans="1:3" ht="60" x14ac:dyDescent="0.25">
      <c r="A1010" s="247">
        <v>41595</v>
      </c>
      <c r="B1010" s="248">
        <v>0.4138425925925926</v>
      </c>
      <c r="C1010" s="1005" t="s">
        <v>1485</v>
      </c>
    </row>
    <row r="1011" spans="1:3" x14ac:dyDescent="0.25">
      <c r="A1011" s="247">
        <v>41595</v>
      </c>
      <c r="B1011" s="248">
        <v>0.41398148148148151</v>
      </c>
      <c r="C1011" s="1009" t="s">
        <v>1486</v>
      </c>
    </row>
    <row r="1012" spans="1:3" ht="60" x14ac:dyDescent="0.25">
      <c r="A1012" s="247">
        <v>41595</v>
      </c>
      <c r="B1012" s="248">
        <v>0.41398148148148151</v>
      </c>
      <c r="C1012" s="1005" t="s">
        <v>1487</v>
      </c>
    </row>
    <row r="1013" spans="1:3" x14ac:dyDescent="0.25">
      <c r="A1013" s="247">
        <v>41595</v>
      </c>
      <c r="B1013" s="248">
        <v>0.41399305555555554</v>
      </c>
      <c r="C1013" s="1009" t="s">
        <v>1486</v>
      </c>
    </row>
    <row r="1014" spans="1:3" ht="60" x14ac:dyDescent="0.25">
      <c r="A1014" s="247">
        <v>41595</v>
      </c>
      <c r="B1014" s="248">
        <v>0.41399305555555554</v>
      </c>
      <c r="C1014" s="1005" t="s">
        <v>1488</v>
      </c>
    </row>
    <row r="1015" spans="1:3" x14ac:dyDescent="0.25">
      <c r="A1015" s="247">
        <v>41595</v>
      </c>
      <c r="B1015" s="248">
        <v>0.41400462962962964</v>
      </c>
      <c r="C1015" s="1009" t="s">
        <v>1489</v>
      </c>
    </row>
    <row r="1016" spans="1:3" ht="60" x14ac:dyDescent="0.25">
      <c r="A1016" s="247">
        <v>41595</v>
      </c>
      <c r="B1016" s="248">
        <v>0.41400462962962964</v>
      </c>
      <c r="C1016" s="1005" t="s">
        <v>1490</v>
      </c>
    </row>
    <row r="1017" spans="1:3" x14ac:dyDescent="0.25">
      <c r="A1017" s="247">
        <v>41595</v>
      </c>
      <c r="B1017" s="248">
        <v>0.41401620370370368</v>
      </c>
      <c r="C1017" s="1009" t="s">
        <v>1491</v>
      </c>
    </row>
    <row r="1018" spans="1:3" ht="60" x14ac:dyDescent="0.25">
      <c r="A1018" s="247">
        <v>41595</v>
      </c>
      <c r="B1018" s="248">
        <v>0.41401620370370368</v>
      </c>
      <c r="C1018" s="1005" t="s">
        <v>1492</v>
      </c>
    </row>
    <row r="1019" spans="1:3" x14ac:dyDescent="0.25">
      <c r="A1019" s="247">
        <v>41595</v>
      </c>
      <c r="B1019" s="248">
        <v>0.41410879629629632</v>
      </c>
      <c r="C1019" s="1009" t="s">
        <v>1594</v>
      </c>
    </row>
    <row r="1020" spans="1:3" x14ac:dyDescent="0.25">
      <c r="A1020" s="247">
        <v>41595</v>
      </c>
      <c r="B1020" s="248">
        <v>0.41410879629629632</v>
      </c>
      <c r="C1020" s="1009" t="s">
        <v>1595</v>
      </c>
    </row>
    <row r="1021" spans="1:3" x14ac:dyDescent="0.25">
      <c r="A1021" s="247">
        <v>41595</v>
      </c>
      <c r="B1021" s="248">
        <v>0.41410879629629632</v>
      </c>
      <c r="C1021" s="1009" t="s">
        <v>1596</v>
      </c>
    </row>
    <row r="1022" spans="1:3" x14ac:dyDescent="0.25">
      <c r="A1022" s="247">
        <v>41595</v>
      </c>
      <c r="B1022" s="248">
        <v>0.41412037037037036</v>
      </c>
      <c r="C1022" s="1009" t="s">
        <v>1597</v>
      </c>
    </row>
    <row r="1023" spans="1:3" x14ac:dyDescent="0.25">
      <c r="A1023" s="247">
        <v>41595</v>
      </c>
      <c r="B1023" s="248">
        <v>0.41412037037037036</v>
      </c>
      <c r="C1023" s="1009" t="s">
        <v>1598</v>
      </c>
    </row>
    <row r="1024" spans="1:3" x14ac:dyDescent="0.25">
      <c r="A1024" s="247">
        <v>41595</v>
      </c>
      <c r="B1024" s="248">
        <v>0.41412037037037036</v>
      </c>
      <c r="C1024" s="1009" t="s">
        <v>1599</v>
      </c>
    </row>
    <row r="1025" spans="1:3" x14ac:dyDescent="0.25">
      <c r="A1025" s="247">
        <v>41595</v>
      </c>
      <c r="B1025" s="248">
        <v>0.41412037037037036</v>
      </c>
      <c r="C1025" s="1009" t="s">
        <v>1600</v>
      </c>
    </row>
    <row r="1026" spans="1:3" x14ac:dyDescent="0.25">
      <c r="A1026" s="247">
        <v>41595</v>
      </c>
      <c r="B1026" s="248">
        <v>0.41412037037037036</v>
      </c>
      <c r="C1026" s="1009" t="s">
        <v>1601</v>
      </c>
    </row>
    <row r="1027" spans="1:3" x14ac:dyDescent="0.25">
      <c r="A1027" s="247">
        <v>41595</v>
      </c>
      <c r="B1027" s="248">
        <v>0.41412037037037036</v>
      </c>
      <c r="C1027" s="1009" t="s">
        <v>1602</v>
      </c>
    </row>
    <row r="1028" spans="1:3" x14ac:dyDescent="0.25">
      <c r="A1028" s="247">
        <v>41595</v>
      </c>
      <c r="B1028" s="248">
        <v>0.41412037037037036</v>
      </c>
      <c r="C1028" s="1009" t="s">
        <v>1603</v>
      </c>
    </row>
    <row r="1029" spans="1:3" x14ac:dyDescent="0.25">
      <c r="A1029" s="247">
        <v>41595</v>
      </c>
      <c r="B1029" s="248">
        <v>0.41412037037037036</v>
      </c>
      <c r="C1029" s="1009" t="s">
        <v>1604</v>
      </c>
    </row>
    <row r="1030" spans="1:3" x14ac:dyDescent="0.25">
      <c r="A1030" s="247">
        <v>41595</v>
      </c>
      <c r="B1030" s="248">
        <v>0.41412037037037036</v>
      </c>
      <c r="C1030" s="1009" t="s">
        <v>1605</v>
      </c>
    </row>
    <row r="1031" spans="1:3" x14ac:dyDescent="0.25">
      <c r="A1031" s="247">
        <v>41595</v>
      </c>
      <c r="B1031" s="248">
        <v>0.41424768518518523</v>
      </c>
      <c r="C1031" s="1009" t="s">
        <v>1593</v>
      </c>
    </row>
    <row r="1032" spans="1:3" x14ac:dyDescent="0.25">
      <c r="A1032" s="247">
        <v>41595</v>
      </c>
      <c r="B1032" s="248">
        <v>0.41424768518518523</v>
      </c>
      <c r="C1032" s="1009" t="s">
        <v>1606</v>
      </c>
    </row>
    <row r="1033" spans="1:3" x14ac:dyDescent="0.25">
      <c r="A1033" s="247">
        <v>41595</v>
      </c>
      <c r="B1033" s="248">
        <v>0.41424768518518523</v>
      </c>
      <c r="C1033" s="1009" t="s">
        <v>1607</v>
      </c>
    </row>
    <row r="1034" spans="1:3" x14ac:dyDescent="0.25">
      <c r="A1034" s="247">
        <v>41595</v>
      </c>
      <c r="B1034" s="248">
        <v>0.41425925925925927</v>
      </c>
      <c r="C1034" s="1009" t="s">
        <v>1608</v>
      </c>
    </row>
    <row r="1035" spans="1:3" x14ac:dyDescent="0.25">
      <c r="A1035" s="247">
        <v>41595</v>
      </c>
      <c r="B1035" s="248">
        <v>0.41425925925925927</v>
      </c>
      <c r="C1035" s="1009" t="s">
        <v>1334</v>
      </c>
    </row>
    <row r="1036" spans="1:3" x14ac:dyDescent="0.25">
      <c r="A1036" s="247">
        <v>41595</v>
      </c>
      <c r="B1036" s="248">
        <v>0.41427083333333337</v>
      </c>
      <c r="C1036" s="1009" t="s">
        <v>1434</v>
      </c>
    </row>
    <row r="1037" spans="1:3" x14ac:dyDescent="0.25">
      <c r="A1037" s="247">
        <v>41595</v>
      </c>
      <c r="B1037" s="248">
        <v>0.41432870370370373</v>
      </c>
      <c r="C1037" s="1009" t="s">
        <v>1496</v>
      </c>
    </row>
    <row r="1038" spans="1:3" x14ac:dyDescent="0.25">
      <c r="A1038" s="247">
        <v>41595</v>
      </c>
      <c r="B1038" s="248">
        <v>0.41434027777777777</v>
      </c>
      <c r="C1038" s="1009" t="s">
        <v>1458</v>
      </c>
    </row>
    <row r="1039" spans="1:3" x14ac:dyDescent="0.25">
      <c r="A1039" s="247">
        <v>41595</v>
      </c>
      <c r="B1039" s="248">
        <v>0.41437499999999999</v>
      </c>
      <c r="C1039" s="1009" t="s">
        <v>1609</v>
      </c>
    </row>
    <row r="1040" spans="1:3" ht="30" x14ac:dyDescent="0.25">
      <c r="A1040" s="247">
        <v>41595</v>
      </c>
      <c r="B1040" s="248">
        <v>0.42655092592592592</v>
      </c>
      <c r="C1040" s="1005" t="s">
        <v>1610</v>
      </c>
    </row>
    <row r="1041" spans="1:3" x14ac:dyDescent="0.25">
      <c r="A1041" s="247">
        <v>41595</v>
      </c>
      <c r="B1041" s="248">
        <v>0.42655092592592592</v>
      </c>
      <c r="C1041" s="1009" t="s">
        <v>1589</v>
      </c>
    </row>
    <row r="1042" spans="1:3" x14ac:dyDescent="0.25">
      <c r="A1042" s="247">
        <v>41595</v>
      </c>
      <c r="B1042" s="248">
        <v>0.42660879629629633</v>
      </c>
      <c r="C1042" s="1009" t="s">
        <v>1584</v>
      </c>
    </row>
    <row r="1043" spans="1:3" x14ac:dyDescent="0.25">
      <c r="A1043" s="247">
        <v>41595</v>
      </c>
      <c r="B1043" s="248">
        <v>0.42660879629629633</v>
      </c>
      <c r="C1043" s="1009" t="s">
        <v>1538</v>
      </c>
    </row>
    <row r="1044" spans="1:3" x14ac:dyDescent="0.25">
      <c r="A1044" s="247">
        <v>41595</v>
      </c>
      <c r="B1044" s="248">
        <v>0.42671296296296296</v>
      </c>
      <c r="C1044" s="1009" t="s">
        <v>1611</v>
      </c>
    </row>
    <row r="1045" spans="1:3" ht="30" x14ac:dyDescent="0.25">
      <c r="A1045" s="247">
        <v>41595</v>
      </c>
      <c r="B1045" s="248">
        <v>0.42700231481481482</v>
      </c>
      <c r="C1045" s="1005" t="s">
        <v>1612</v>
      </c>
    </row>
    <row r="1046" spans="1:3" x14ac:dyDescent="0.25">
      <c r="A1046" s="247">
        <v>41595</v>
      </c>
      <c r="B1046" s="248">
        <v>0.42702546296296301</v>
      </c>
      <c r="C1046" s="1009" t="s">
        <v>1613</v>
      </c>
    </row>
    <row r="1047" spans="1:3" x14ac:dyDescent="0.25">
      <c r="A1047" s="247">
        <v>41595</v>
      </c>
      <c r="B1047" s="248">
        <v>0.42708333333333331</v>
      </c>
      <c r="C1047" s="1009" t="s">
        <v>1614</v>
      </c>
    </row>
    <row r="1048" spans="1:3" ht="45" x14ac:dyDescent="0.25">
      <c r="A1048" s="247">
        <v>41595</v>
      </c>
      <c r="B1048" s="248">
        <v>0.42906249999999996</v>
      </c>
      <c r="C1048" s="1005" t="s">
        <v>1615</v>
      </c>
    </row>
    <row r="1049" spans="1:3" x14ac:dyDescent="0.25">
      <c r="A1049" s="247">
        <v>41595</v>
      </c>
      <c r="B1049" s="248">
        <v>0.42907407407407411</v>
      </c>
      <c r="C1049" s="1009" t="s">
        <v>1590</v>
      </c>
    </row>
    <row r="1050" spans="1:3" ht="30" x14ac:dyDescent="0.25">
      <c r="A1050" s="247">
        <v>41595</v>
      </c>
      <c r="B1050" s="248">
        <v>0.42918981481481483</v>
      </c>
      <c r="C1050" s="1005" t="s">
        <v>1616</v>
      </c>
    </row>
    <row r="1051" spans="1:3" x14ac:dyDescent="0.25">
      <c r="A1051" s="247">
        <v>41595</v>
      </c>
      <c r="B1051" s="248">
        <v>0.42920138888888887</v>
      </c>
      <c r="C1051" s="1009" t="s">
        <v>1507</v>
      </c>
    </row>
    <row r="1052" spans="1:3" x14ac:dyDescent="0.25">
      <c r="A1052" s="247">
        <v>41595</v>
      </c>
      <c r="B1052" s="248">
        <v>0.42920138888888887</v>
      </c>
      <c r="C1052" s="1009" t="s">
        <v>1385</v>
      </c>
    </row>
    <row r="1053" spans="1:3" x14ac:dyDescent="0.25">
      <c r="A1053" s="247">
        <v>41595</v>
      </c>
      <c r="B1053" s="248">
        <v>0.42921296296296302</v>
      </c>
      <c r="C1053" s="1009" t="s">
        <v>1502</v>
      </c>
    </row>
    <row r="1054" spans="1:3" x14ac:dyDescent="0.25">
      <c r="A1054" s="247">
        <v>41595</v>
      </c>
      <c r="B1054" s="248">
        <v>0.42921296296296302</v>
      </c>
      <c r="C1054" s="1009" t="s">
        <v>1617</v>
      </c>
    </row>
    <row r="1055" spans="1:3" x14ac:dyDescent="0.25">
      <c r="A1055" s="247">
        <v>41595</v>
      </c>
      <c r="B1055" s="248">
        <v>0.4292361111111111</v>
      </c>
      <c r="C1055" s="1009" t="s">
        <v>1618</v>
      </c>
    </row>
    <row r="1056" spans="1:3" ht="45" x14ac:dyDescent="0.25">
      <c r="A1056" s="247">
        <v>41595</v>
      </c>
      <c r="B1056" s="248">
        <v>0.43041666666666667</v>
      </c>
      <c r="C1056" s="1005" t="s">
        <v>1619</v>
      </c>
    </row>
    <row r="1057" spans="1:3" x14ac:dyDescent="0.25">
      <c r="A1057" s="247">
        <v>41595</v>
      </c>
      <c r="B1057" s="248">
        <v>0.43072916666666666</v>
      </c>
      <c r="C1057" s="1009" t="s">
        <v>1262</v>
      </c>
    </row>
    <row r="1058" spans="1:3" x14ac:dyDescent="0.25">
      <c r="A1058" s="247">
        <v>41595</v>
      </c>
      <c r="B1058" s="248">
        <v>0.43072916666666666</v>
      </c>
      <c r="C1058" s="1009" t="s">
        <v>1620</v>
      </c>
    </row>
    <row r="1059" spans="1:3" ht="45" x14ac:dyDescent="0.25">
      <c r="A1059" s="247">
        <v>41595</v>
      </c>
      <c r="B1059" s="248">
        <v>0.43128472222222225</v>
      </c>
      <c r="C1059" s="1005" t="s">
        <v>1621</v>
      </c>
    </row>
    <row r="1060" spans="1:3" x14ac:dyDescent="0.25">
      <c r="A1060" s="247">
        <v>41595</v>
      </c>
      <c r="B1060" s="248">
        <v>0.43135416666666665</v>
      </c>
      <c r="C1060" s="1009" t="s">
        <v>1538</v>
      </c>
    </row>
    <row r="1061" spans="1:3" x14ac:dyDescent="0.25">
      <c r="A1061" s="247">
        <v>41595</v>
      </c>
      <c r="B1061" s="248">
        <v>0.43144675925925924</v>
      </c>
      <c r="C1061" s="1009" t="s">
        <v>1622</v>
      </c>
    </row>
    <row r="1062" spans="1:3" x14ac:dyDescent="0.25">
      <c r="A1062" s="247">
        <v>41595</v>
      </c>
      <c r="B1062" s="248">
        <v>0.43145833333333333</v>
      </c>
      <c r="C1062" s="1009" t="s">
        <v>1507</v>
      </c>
    </row>
    <row r="1063" spans="1:3" ht="45" x14ac:dyDescent="0.25">
      <c r="A1063" s="247">
        <v>41595</v>
      </c>
      <c r="B1063" s="248">
        <v>0.43155092592592598</v>
      </c>
      <c r="C1063" s="1005" t="s">
        <v>1623</v>
      </c>
    </row>
    <row r="1064" spans="1:3" x14ac:dyDescent="0.25">
      <c r="A1064" s="247">
        <v>41595</v>
      </c>
      <c r="B1064" s="248">
        <v>0.43157407407407405</v>
      </c>
      <c r="C1064" s="1009" t="s">
        <v>1385</v>
      </c>
    </row>
    <row r="1065" spans="1:3" x14ac:dyDescent="0.25">
      <c r="A1065" s="247">
        <v>41595</v>
      </c>
      <c r="B1065" s="248">
        <v>0.43158564814814815</v>
      </c>
      <c r="C1065" s="1009" t="s">
        <v>1624</v>
      </c>
    </row>
    <row r="1066" spans="1:3" x14ac:dyDescent="0.25">
      <c r="A1066" s="247">
        <v>41595</v>
      </c>
      <c r="B1066" s="248">
        <v>0.43159722222222219</v>
      </c>
      <c r="C1066" s="1009" t="s">
        <v>1587</v>
      </c>
    </row>
    <row r="1067" spans="1:3" x14ac:dyDescent="0.25">
      <c r="A1067" s="247">
        <v>41595</v>
      </c>
      <c r="B1067" s="248">
        <v>0.43159722222222219</v>
      </c>
      <c r="C1067" s="1009" t="s">
        <v>1512</v>
      </c>
    </row>
    <row r="1068" spans="1:3" x14ac:dyDescent="0.25">
      <c r="A1068" s="247">
        <v>41595</v>
      </c>
      <c r="B1068" s="248">
        <v>0.43160879629629628</v>
      </c>
      <c r="C1068" s="1009" t="s">
        <v>1572</v>
      </c>
    </row>
    <row r="1069" spans="1:3" x14ac:dyDescent="0.25">
      <c r="A1069" s="247">
        <v>41595</v>
      </c>
      <c r="B1069" s="248">
        <v>0.43160879629629628</v>
      </c>
      <c r="C1069" s="1009" t="s">
        <v>1625</v>
      </c>
    </row>
    <row r="1070" spans="1:3" x14ac:dyDescent="0.25">
      <c r="A1070" s="247">
        <v>41595</v>
      </c>
      <c r="B1070" s="248">
        <v>0.43160879629629628</v>
      </c>
      <c r="C1070" s="1009" t="s">
        <v>1626</v>
      </c>
    </row>
    <row r="1071" spans="1:3" x14ac:dyDescent="0.25">
      <c r="A1071" s="247">
        <v>41595</v>
      </c>
      <c r="B1071" s="248">
        <v>0.43160879629629628</v>
      </c>
      <c r="C1071" s="1009" t="s">
        <v>1538</v>
      </c>
    </row>
    <row r="1072" spans="1:3" x14ac:dyDescent="0.25">
      <c r="A1072" s="247">
        <v>41595</v>
      </c>
      <c r="B1072" s="248">
        <v>0.43170138888888893</v>
      </c>
      <c r="C1072" s="1009" t="s">
        <v>1622</v>
      </c>
    </row>
    <row r="1073" spans="1:3" ht="30" x14ac:dyDescent="0.25">
      <c r="A1073" s="247">
        <v>41595</v>
      </c>
      <c r="B1073" s="248">
        <v>0.43202546296296296</v>
      </c>
      <c r="C1073" s="1005" t="s">
        <v>1627</v>
      </c>
    </row>
    <row r="1074" spans="1:3" x14ac:dyDescent="0.25">
      <c r="A1074" s="247">
        <v>41595</v>
      </c>
      <c r="B1074" s="248">
        <v>0.43206018518518513</v>
      </c>
      <c r="C1074" s="1009" t="s">
        <v>1613</v>
      </c>
    </row>
    <row r="1075" spans="1:3" x14ac:dyDescent="0.25">
      <c r="A1075" s="247">
        <v>41595</v>
      </c>
      <c r="B1075" s="248">
        <v>0.43214120370370374</v>
      </c>
      <c r="C1075" s="1009" t="s">
        <v>1628</v>
      </c>
    </row>
    <row r="1076" spans="1:3" x14ac:dyDescent="0.25">
      <c r="A1076" s="247">
        <v>41595</v>
      </c>
      <c r="B1076" s="248">
        <v>0.43215277777777777</v>
      </c>
      <c r="C1076" s="1009" t="s">
        <v>1629</v>
      </c>
    </row>
    <row r="1077" spans="1:3" ht="30" x14ac:dyDescent="0.25">
      <c r="A1077" s="247">
        <v>41595</v>
      </c>
      <c r="B1077" s="248">
        <v>0.43222222222222223</v>
      </c>
      <c r="C1077" s="1005" t="s">
        <v>1630</v>
      </c>
    </row>
    <row r="1078" spans="1:3" x14ac:dyDescent="0.25">
      <c r="A1078" s="247">
        <v>41595</v>
      </c>
      <c r="B1078" s="248">
        <v>0.43223379629629632</v>
      </c>
      <c r="C1078" s="1009" t="s">
        <v>1631</v>
      </c>
    </row>
    <row r="1079" spans="1:3" x14ac:dyDescent="0.25">
      <c r="A1079" s="247">
        <v>41595</v>
      </c>
      <c r="B1079" s="248">
        <v>0.43223379629629632</v>
      </c>
      <c r="C1079" s="1009" t="s">
        <v>1385</v>
      </c>
    </row>
    <row r="1080" spans="1:3" x14ac:dyDescent="0.25">
      <c r="A1080" s="247">
        <v>41595</v>
      </c>
      <c r="B1080" s="248">
        <v>0.43224537037037036</v>
      </c>
      <c r="C1080" s="1009" t="s">
        <v>1624</v>
      </c>
    </row>
    <row r="1081" spans="1:3" x14ac:dyDescent="0.25">
      <c r="A1081" s="247">
        <v>41595</v>
      </c>
      <c r="B1081" s="248">
        <v>0.43224537037037036</v>
      </c>
      <c r="C1081" s="1009" t="s">
        <v>1617</v>
      </c>
    </row>
    <row r="1082" spans="1:3" x14ac:dyDescent="0.25">
      <c r="A1082" s="247">
        <v>41595</v>
      </c>
      <c r="B1082" s="248">
        <v>0.43225694444444446</v>
      </c>
      <c r="C1082" s="1009" t="s">
        <v>1618</v>
      </c>
    </row>
    <row r="1083" spans="1:3" x14ac:dyDescent="0.25">
      <c r="A1083" s="247">
        <v>41595</v>
      </c>
      <c r="B1083" s="248">
        <v>0.4322685185185185</v>
      </c>
      <c r="C1083" s="1009" t="s">
        <v>1265</v>
      </c>
    </row>
    <row r="1084" spans="1:3" x14ac:dyDescent="0.25">
      <c r="A1084" s="247">
        <v>41595</v>
      </c>
      <c r="B1084" s="248">
        <v>0.4322685185185185</v>
      </c>
      <c r="C1084" s="1009" t="s">
        <v>1564</v>
      </c>
    </row>
    <row r="1085" spans="1:3" x14ac:dyDescent="0.25">
      <c r="A1085" s="247">
        <v>41595</v>
      </c>
      <c r="B1085" s="248">
        <v>0.4322685185185185</v>
      </c>
      <c r="C1085" s="1009" t="s">
        <v>1266</v>
      </c>
    </row>
    <row r="1086" spans="1:3" x14ac:dyDescent="0.25">
      <c r="A1086" s="247">
        <v>41595</v>
      </c>
      <c r="B1086" s="248">
        <v>0.4322685185185185</v>
      </c>
      <c r="C1086" s="1009" t="s">
        <v>1592</v>
      </c>
    </row>
    <row r="1087" spans="1:3" x14ac:dyDescent="0.25">
      <c r="A1087" s="247">
        <v>41595</v>
      </c>
      <c r="B1087" s="248">
        <v>0.4322685185185185</v>
      </c>
      <c r="C1087" s="1009" t="s">
        <v>1626</v>
      </c>
    </row>
    <row r="1088" spans="1:3" ht="45" x14ac:dyDescent="0.25">
      <c r="A1088" s="247">
        <v>41595</v>
      </c>
      <c r="B1088" s="248">
        <v>0.43292824074074071</v>
      </c>
      <c r="C1088" s="1005" t="s">
        <v>1632</v>
      </c>
    </row>
    <row r="1089" spans="1:3" x14ac:dyDescent="0.25">
      <c r="A1089" s="247">
        <v>41595</v>
      </c>
      <c r="B1089" s="248">
        <v>0.43299768518518517</v>
      </c>
      <c r="C1089" s="1009" t="s">
        <v>1538</v>
      </c>
    </row>
    <row r="1090" spans="1:3" x14ac:dyDescent="0.25">
      <c r="A1090" s="247">
        <v>41595</v>
      </c>
      <c r="B1090" s="248">
        <v>0.43310185185185185</v>
      </c>
      <c r="C1090" s="1009" t="s">
        <v>1622</v>
      </c>
    </row>
    <row r="1091" spans="1:3" x14ac:dyDescent="0.25">
      <c r="A1091" s="247">
        <v>41595</v>
      </c>
      <c r="B1091" s="248">
        <v>0.43310185185185185</v>
      </c>
      <c r="C1091" s="1009" t="s">
        <v>1631</v>
      </c>
    </row>
    <row r="1092" spans="1:3" x14ac:dyDescent="0.25">
      <c r="A1092" s="247">
        <v>41595</v>
      </c>
      <c r="B1092" s="248">
        <v>0.43310185185185185</v>
      </c>
      <c r="C1092" s="1009" t="s">
        <v>1385</v>
      </c>
    </row>
    <row r="1093" spans="1:3" x14ac:dyDescent="0.25">
      <c r="A1093" s="247">
        <v>41595</v>
      </c>
      <c r="B1093" s="248">
        <v>0.43311342592592594</v>
      </c>
      <c r="C1093" s="1009" t="s">
        <v>1624</v>
      </c>
    </row>
    <row r="1094" spans="1:3" x14ac:dyDescent="0.25">
      <c r="A1094" s="247">
        <v>41595</v>
      </c>
      <c r="B1094" s="248">
        <v>0.43312499999999998</v>
      </c>
      <c r="C1094" s="1009" t="s">
        <v>1587</v>
      </c>
    </row>
    <row r="1095" spans="1:3" x14ac:dyDescent="0.25">
      <c r="A1095" s="247">
        <v>41595</v>
      </c>
      <c r="B1095" s="248">
        <v>0.43312499999999998</v>
      </c>
      <c r="C1095" s="1009" t="s">
        <v>1512</v>
      </c>
    </row>
    <row r="1096" spans="1:3" x14ac:dyDescent="0.25">
      <c r="A1096" s="247">
        <v>41595</v>
      </c>
      <c r="B1096" s="248">
        <v>0.43313657407407408</v>
      </c>
      <c r="C1096" s="1009" t="s">
        <v>1572</v>
      </c>
    </row>
    <row r="1097" spans="1:3" x14ac:dyDescent="0.25">
      <c r="A1097" s="247">
        <v>41595</v>
      </c>
      <c r="B1097" s="248">
        <v>0.43313657407407408</v>
      </c>
      <c r="C1097" s="1009" t="s">
        <v>1561</v>
      </c>
    </row>
    <row r="1098" spans="1:3" x14ac:dyDescent="0.25">
      <c r="A1098" s="247">
        <v>41595</v>
      </c>
      <c r="B1098" s="248">
        <v>0.4331828703703704</v>
      </c>
      <c r="C1098" s="1009" t="s">
        <v>1573</v>
      </c>
    </row>
    <row r="1099" spans="1:3" x14ac:dyDescent="0.25">
      <c r="A1099" s="247">
        <v>41595</v>
      </c>
      <c r="B1099" s="248">
        <v>0.43319444444444444</v>
      </c>
      <c r="C1099" s="1009" t="s">
        <v>1633</v>
      </c>
    </row>
    <row r="1100" spans="1:3" x14ac:dyDescent="0.25">
      <c r="A1100" s="247">
        <v>41595</v>
      </c>
      <c r="B1100" s="248">
        <v>0.43319444444444444</v>
      </c>
      <c r="C1100" s="1009" t="s">
        <v>1626</v>
      </c>
    </row>
    <row r="1101" spans="1:3" x14ac:dyDescent="0.25">
      <c r="A1101" s="247">
        <v>41595</v>
      </c>
      <c r="B1101" s="248">
        <v>0.43319444444444444</v>
      </c>
      <c r="C1101" s="1009" t="s">
        <v>1538</v>
      </c>
    </row>
    <row r="1102" spans="1:3" x14ac:dyDescent="0.25">
      <c r="A1102" s="247">
        <v>41595</v>
      </c>
      <c r="B1102" s="248">
        <v>0.43328703703703703</v>
      </c>
      <c r="C1102" s="1009" t="s">
        <v>1622</v>
      </c>
    </row>
    <row r="1103" spans="1:3" x14ac:dyDescent="0.25">
      <c r="A1103" s="247">
        <v>41595</v>
      </c>
      <c r="B1103" s="248">
        <v>0.43332175925925925</v>
      </c>
      <c r="C1103" s="1009" t="s">
        <v>1484</v>
      </c>
    </row>
    <row r="1104" spans="1:3" ht="60" x14ac:dyDescent="0.25">
      <c r="A1104" s="247">
        <v>41595</v>
      </c>
      <c r="B1104" s="248">
        <v>0.43332175925925925</v>
      </c>
      <c r="C1104" s="1005" t="s">
        <v>1485</v>
      </c>
    </row>
    <row r="1105" spans="1:3" x14ac:dyDescent="0.25">
      <c r="A1105" s="247">
        <v>41595</v>
      </c>
      <c r="B1105" s="248">
        <v>0.4334027777777778</v>
      </c>
      <c r="C1105" s="1009" t="s">
        <v>1486</v>
      </c>
    </row>
    <row r="1106" spans="1:3" ht="60" x14ac:dyDescent="0.25">
      <c r="A1106" s="247">
        <v>41595</v>
      </c>
      <c r="B1106" s="248">
        <v>0.4334027777777778</v>
      </c>
      <c r="C1106" s="1005" t="s">
        <v>1487</v>
      </c>
    </row>
    <row r="1107" spans="1:3" x14ac:dyDescent="0.25">
      <c r="A1107" s="247">
        <v>41595</v>
      </c>
      <c r="B1107" s="248">
        <v>0.43341435185185184</v>
      </c>
      <c r="C1107" s="1009" t="s">
        <v>1486</v>
      </c>
    </row>
    <row r="1108" spans="1:3" ht="60" x14ac:dyDescent="0.25">
      <c r="A1108" s="247">
        <v>41595</v>
      </c>
      <c r="B1108" s="248">
        <v>0.43341435185185184</v>
      </c>
      <c r="C1108" s="1005" t="s">
        <v>1488</v>
      </c>
    </row>
    <row r="1109" spans="1:3" x14ac:dyDescent="0.25">
      <c r="A1109" s="247">
        <v>41595</v>
      </c>
      <c r="B1109" s="248">
        <v>0.43342592592592594</v>
      </c>
      <c r="C1109" s="1009" t="s">
        <v>1489</v>
      </c>
    </row>
    <row r="1110" spans="1:3" ht="60" x14ac:dyDescent="0.25">
      <c r="A1110" s="247">
        <v>41595</v>
      </c>
      <c r="B1110" s="248">
        <v>0.43342592592592594</v>
      </c>
      <c r="C1110" s="1005" t="s">
        <v>1490</v>
      </c>
    </row>
    <row r="1111" spans="1:3" x14ac:dyDescent="0.25">
      <c r="A1111" s="247">
        <v>41595</v>
      </c>
      <c r="B1111" s="248">
        <v>0.43343749999999998</v>
      </c>
      <c r="C1111" s="1009" t="s">
        <v>1491</v>
      </c>
    </row>
    <row r="1112" spans="1:3" ht="60" x14ac:dyDescent="0.25">
      <c r="A1112" s="247">
        <v>41595</v>
      </c>
      <c r="B1112" s="248">
        <v>0.43343749999999998</v>
      </c>
      <c r="C1112" s="1005" t="s">
        <v>1492</v>
      </c>
    </row>
    <row r="1113" spans="1:3" x14ac:dyDescent="0.25">
      <c r="A1113" s="247">
        <v>41595</v>
      </c>
      <c r="B1113" s="248">
        <v>0.43356481481481479</v>
      </c>
      <c r="C1113" s="1009" t="s">
        <v>1634</v>
      </c>
    </row>
    <row r="1114" spans="1:3" x14ac:dyDescent="0.25">
      <c r="A1114" s="247">
        <v>41595</v>
      </c>
      <c r="B1114" s="248">
        <v>0.43356481481481479</v>
      </c>
      <c r="C1114" s="1009" t="s">
        <v>1635</v>
      </c>
    </row>
    <row r="1115" spans="1:3" x14ac:dyDescent="0.25">
      <c r="A1115" s="247">
        <v>41595</v>
      </c>
      <c r="B1115" s="248">
        <v>0.43356481481481479</v>
      </c>
      <c r="C1115" s="1009" t="s">
        <v>1636</v>
      </c>
    </row>
    <row r="1116" spans="1:3" x14ac:dyDescent="0.25">
      <c r="A1116" s="247">
        <v>41595</v>
      </c>
      <c r="B1116" s="248">
        <v>0.43356481481481479</v>
      </c>
      <c r="C1116" s="1009" t="s">
        <v>1637</v>
      </c>
    </row>
    <row r="1117" spans="1:3" x14ac:dyDescent="0.25">
      <c r="A1117" s="247">
        <v>41595</v>
      </c>
      <c r="B1117" s="248">
        <v>0.43356481481481479</v>
      </c>
      <c r="C1117" s="1009" t="s">
        <v>1638</v>
      </c>
    </row>
    <row r="1118" spans="1:3" x14ac:dyDescent="0.25">
      <c r="A1118" s="247">
        <v>41595</v>
      </c>
      <c r="B1118" s="248">
        <v>0.43356481481481479</v>
      </c>
      <c r="C1118" s="1009" t="s">
        <v>1406</v>
      </c>
    </row>
    <row r="1119" spans="1:3" x14ac:dyDescent="0.25">
      <c r="A1119" s="247">
        <v>41595</v>
      </c>
      <c r="B1119" s="248">
        <v>0.43356481481481479</v>
      </c>
      <c r="C1119" s="1009" t="s">
        <v>1407</v>
      </c>
    </row>
    <row r="1120" spans="1:3" x14ac:dyDescent="0.25">
      <c r="A1120" s="247">
        <v>41595</v>
      </c>
      <c r="B1120" s="248">
        <v>0.43356481481481479</v>
      </c>
      <c r="C1120" s="1009" t="s">
        <v>1639</v>
      </c>
    </row>
    <row r="1121" spans="1:3" x14ac:dyDescent="0.25">
      <c r="A1121" s="247">
        <v>41595</v>
      </c>
      <c r="B1121" s="248">
        <v>0.43356481481481479</v>
      </c>
      <c r="C1121" s="1009" t="s">
        <v>1640</v>
      </c>
    </row>
    <row r="1122" spans="1:3" x14ac:dyDescent="0.25">
      <c r="A1122" s="247">
        <v>41595</v>
      </c>
      <c r="B1122" s="248">
        <v>0.43356481481481479</v>
      </c>
      <c r="C1122" s="1009" t="s">
        <v>1641</v>
      </c>
    </row>
    <row r="1123" spans="1:3" x14ac:dyDescent="0.25">
      <c r="A1123" s="247">
        <v>41595</v>
      </c>
      <c r="B1123" s="248">
        <v>0.43356481481481479</v>
      </c>
      <c r="C1123" s="1009" t="s">
        <v>1642</v>
      </c>
    </row>
    <row r="1124" spans="1:3" x14ac:dyDescent="0.25">
      <c r="A1124" s="247">
        <v>41595</v>
      </c>
      <c r="B1124" s="248">
        <v>0.43356481481481479</v>
      </c>
      <c r="C1124" s="1009" t="s">
        <v>1410</v>
      </c>
    </row>
    <row r="1125" spans="1:3" x14ac:dyDescent="0.25">
      <c r="A1125" s="247">
        <v>41595</v>
      </c>
      <c r="B1125" s="248">
        <v>0.43975694444444446</v>
      </c>
      <c r="C1125" s="1009" t="s">
        <v>1643</v>
      </c>
    </row>
    <row r="1126" spans="1:3" x14ac:dyDescent="0.25">
      <c r="A1126" s="247">
        <v>41595</v>
      </c>
      <c r="B1126" s="248">
        <v>0.43996527777777777</v>
      </c>
      <c r="C1126" s="1009" t="s">
        <v>1633</v>
      </c>
    </row>
    <row r="1127" spans="1:3" x14ac:dyDescent="0.25">
      <c r="A1127" s="247">
        <v>41595</v>
      </c>
      <c r="B1127" s="248">
        <v>0.43996527777777777</v>
      </c>
      <c r="C1127" s="1009" t="s">
        <v>1606</v>
      </c>
    </row>
    <row r="1128" spans="1:3" x14ac:dyDescent="0.25">
      <c r="A1128" s="247">
        <v>41595</v>
      </c>
      <c r="B1128" s="248">
        <v>0.43997685185185187</v>
      </c>
      <c r="C1128" s="1009" t="s">
        <v>1644</v>
      </c>
    </row>
    <row r="1129" spans="1:3" x14ac:dyDescent="0.25">
      <c r="A1129" s="247">
        <v>41595</v>
      </c>
      <c r="B1129" s="248">
        <v>0.43997685185185187</v>
      </c>
      <c r="C1129" s="1009" t="s">
        <v>1333</v>
      </c>
    </row>
    <row r="1130" spans="1:3" x14ac:dyDescent="0.25">
      <c r="A1130" s="247">
        <v>41595</v>
      </c>
      <c r="B1130" s="248">
        <v>0.43998842592592591</v>
      </c>
      <c r="C1130" s="1009" t="s">
        <v>1645</v>
      </c>
    </row>
    <row r="1131" spans="1:3" x14ac:dyDescent="0.25">
      <c r="A1131" s="247">
        <v>41595</v>
      </c>
      <c r="B1131" s="248">
        <v>0.43998842592592591</v>
      </c>
      <c r="C1131" s="1009" t="s">
        <v>1613</v>
      </c>
    </row>
    <row r="1132" spans="1:3" x14ac:dyDescent="0.25">
      <c r="A1132" s="247">
        <v>41595</v>
      </c>
      <c r="B1132" s="248">
        <v>0.44005787037037036</v>
      </c>
      <c r="C1132" s="1009" t="s">
        <v>1617</v>
      </c>
    </row>
    <row r="1133" spans="1:3" x14ac:dyDescent="0.25">
      <c r="A1133" s="247">
        <v>41595</v>
      </c>
      <c r="B1133" s="248">
        <v>0.44005787037037036</v>
      </c>
      <c r="C1133" s="1009" t="s">
        <v>1646</v>
      </c>
    </row>
    <row r="1134" spans="1:3" x14ac:dyDescent="0.25">
      <c r="A1134" s="247">
        <v>41595</v>
      </c>
      <c r="B1134" s="248">
        <v>0.44010416666666669</v>
      </c>
      <c r="C1134" s="1009" t="s">
        <v>1647</v>
      </c>
    </row>
    <row r="1135" spans="1:3" ht="45" x14ac:dyDescent="0.25">
      <c r="A1135" s="247">
        <v>41600</v>
      </c>
      <c r="B1135" s="248">
        <v>0.83840277777777772</v>
      </c>
      <c r="C1135" s="1005" t="s">
        <v>1648</v>
      </c>
    </row>
    <row r="1136" spans="1:3" x14ac:dyDescent="0.25">
      <c r="A1136" s="247">
        <v>41600</v>
      </c>
      <c r="B1136" s="248">
        <v>0.83841435185185187</v>
      </c>
      <c r="C1136" s="1009" t="s">
        <v>1626</v>
      </c>
    </row>
    <row r="1137" spans="1:3" ht="45" x14ac:dyDescent="0.25">
      <c r="A1137" s="247">
        <v>41600</v>
      </c>
      <c r="B1137" s="248">
        <v>0.83864583333333342</v>
      </c>
      <c r="C1137" s="1005" t="s">
        <v>1649</v>
      </c>
    </row>
    <row r="1138" spans="1:3" x14ac:dyDescent="0.25">
      <c r="A1138" s="247">
        <v>41600</v>
      </c>
      <c r="B1138" s="248">
        <v>0.83872685185185192</v>
      </c>
      <c r="C1138" s="1009" t="s">
        <v>1650</v>
      </c>
    </row>
    <row r="1139" spans="1:3" x14ac:dyDescent="0.25">
      <c r="A1139" s="247">
        <v>41600</v>
      </c>
      <c r="B1139" s="248">
        <v>0.83884259259259253</v>
      </c>
      <c r="C1139" s="1009" t="s">
        <v>1651</v>
      </c>
    </row>
    <row r="1140" spans="1:3" x14ac:dyDescent="0.25">
      <c r="A1140" s="247">
        <v>41600</v>
      </c>
      <c r="B1140" s="248">
        <v>0.83961805555555558</v>
      </c>
      <c r="C1140" s="1009" t="s">
        <v>1262</v>
      </c>
    </row>
    <row r="1141" spans="1:3" x14ac:dyDescent="0.25">
      <c r="A1141" s="247">
        <v>41600</v>
      </c>
      <c r="B1141" s="248">
        <v>0.83961805555555558</v>
      </c>
      <c r="C1141" s="1009" t="s">
        <v>1652</v>
      </c>
    </row>
    <row r="1142" spans="1:3" x14ac:dyDescent="0.25">
      <c r="A1142" s="247">
        <v>41600</v>
      </c>
      <c r="B1142" s="248">
        <v>0.83961805555555558</v>
      </c>
      <c r="C1142" s="1009" t="s">
        <v>1650</v>
      </c>
    </row>
    <row r="1143" spans="1:3" x14ac:dyDescent="0.25">
      <c r="A1143" s="247">
        <v>41600</v>
      </c>
      <c r="B1143" s="248">
        <v>0.8397337962962963</v>
      </c>
      <c r="C1143" s="1009" t="s">
        <v>1651</v>
      </c>
    </row>
    <row r="1144" spans="1:3" x14ac:dyDescent="0.25">
      <c r="A1144" s="247">
        <v>41600</v>
      </c>
      <c r="B1144" s="248">
        <v>0.8397337962962963</v>
      </c>
      <c r="C1144" s="1009" t="s">
        <v>1631</v>
      </c>
    </row>
    <row r="1145" spans="1:3" x14ac:dyDescent="0.25">
      <c r="A1145" s="247">
        <v>41600</v>
      </c>
      <c r="B1145" s="248">
        <v>0.8397337962962963</v>
      </c>
      <c r="C1145" s="1009" t="s">
        <v>1385</v>
      </c>
    </row>
    <row r="1146" spans="1:3" x14ac:dyDescent="0.25">
      <c r="A1146" s="247">
        <v>41600</v>
      </c>
      <c r="B1146" s="248">
        <v>0.83975694444444438</v>
      </c>
      <c r="C1146" s="1009" t="s">
        <v>1502</v>
      </c>
    </row>
    <row r="1147" spans="1:3" x14ac:dyDescent="0.25">
      <c r="A1147" s="247">
        <v>41600</v>
      </c>
      <c r="B1147" s="248">
        <v>0.83975694444444438</v>
      </c>
      <c r="C1147" s="1009" t="s">
        <v>1587</v>
      </c>
    </row>
    <row r="1148" spans="1:3" x14ac:dyDescent="0.25">
      <c r="A1148" s="247">
        <v>41600</v>
      </c>
      <c r="B1148" s="248">
        <v>0.83975694444444438</v>
      </c>
      <c r="C1148" s="1009" t="s">
        <v>1512</v>
      </c>
    </row>
    <row r="1149" spans="1:3" x14ac:dyDescent="0.25">
      <c r="A1149" s="247">
        <v>41600</v>
      </c>
      <c r="B1149" s="248">
        <v>0.83976851851851853</v>
      </c>
      <c r="C1149" s="1009" t="s">
        <v>1572</v>
      </c>
    </row>
    <row r="1150" spans="1:3" x14ac:dyDescent="0.25">
      <c r="A1150" s="247">
        <v>41600</v>
      </c>
      <c r="B1150" s="248">
        <v>0.83979166666666671</v>
      </c>
      <c r="C1150" s="1009" t="s">
        <v>1653</v>
      </c>
    </row>
    <row r="1151" spans="1:3" x14ac:dyDescent="0.25">
      <c r="A1151" s="247">
        <v>41600</v>
      </c>
      <c r="B1151" s="248">
        <v>0.83979166666666671</v>
      </c>
      <c r="C1151" s="1009" t="s">
        <v>1652</v>
      </c>
    </row>
    <row r="1152" spans="1:3" x14ac:dyDescent="0.25">
      <c r="A1152" s="247">
        <v>41600</v>
      </c>
      <c r="B1152" s="248">
        <v>0.83979166666666671</v>
      </c>
      <c r="C1152" s="1009" t="s">
        <v>1650</v>
      </c>
    </row>
    <row r="1153" spans="1:3" x14ac:dyDescent="0.25">
      <c r="A1153" s="247">
        <v>41600</v>
      </c>
      <c r="B1153" s="248">
        <v>0.83990740740740744</v>
      </c>
      <c r="C1153" s="1009" t="s">
        <v>1651</v>
      </c>
    </row>
    <row r="1154" spans="1:3" ht="30" x14ac:dyDescent="0.25">
      <c r="A1154" s="247">
        <v>41600</v>
      </c>
      <c r="B1154" s="248">
        <v>0.84017361111111111</v>
      </c>
      <c r="C1154" s="1005" t="s">
        <v>1654</v>
      </c>
    </row>
    <row r="1155" spans="1:3" x14ac:dyDescent="0.25">
      <c r="A1155" s="247">
        <v>41600</v>
      </c>
      <c r="B1155" s="248">
        <v>0.84021990740740737</v>
      </c>
      <c r="C1155" s="1009" t="s">
        <v>1613</v>
      </c>
    </row>
    <row r="1156" spans="1:3" x14ac:dyDescent="0.25">
      <c r="A1156" s="247">
        <v>41600</v>
      </c>
      <c r="B1156" s="248">
        <v>0.84028935185185183</v>
      </c>
      <c r="C1156" s="1009" t="s">
        <v>1655</v>
      </c>
    </row>
    <row r="1157" spans="1:3" x14ac:dyDescent="0.25">
      <c r="A1157" s="247">
        <v>41600</v>
      </c>
      <c r="B1157" s="248">
        <v>0.84030092592592587</v>
      </c>
      <c r="C1157" s="1009" t="s">
        <v>1629</v>
      </c>
    </row>
    <row r="1158" spans="1:3" ht="30" x14ac:dyDescent="0.25">
      <c r="A1158" s="247">
        <v>41600</v>
      </c>
      <c r="B1158" s="248">
        <v>0.84035879629629628</v>
      </c>
      <c r="C1158" s="1005" t="s">
        <v>1656</v>
      </c>
    </row>
    <row r="1159" spans="1:3" x14ac:dyDescent="0.25">
      <c r="A1159" s="247">
        <v>41600</v>
      </c>
      <c r="B1159" s="248">
        <v>0.84037037037037043</v>
      </c>
      <c r="C1159" s="1009" t="s">
        <v>1507</v>
      </c>
    </row>
    <row r="1160" spans="1:3" x14ac:dyDescent="0.25">
      <c r="A1160" s="247">
        <v>41600</v>
      </c>
      <c r="B1160" s="248">
        <v>0.84037037037037043</v>
      </c>
      <c r="C1160" s="1009" t="s">
        <v>1385</v>
      </c>
    </row>
    <row r="1161" spans="1:3" x14ac:dyDescent="0.25">
      <c r="A1161" s="247">
        <v>41600</v>
      </c>
      <c r="B1161" s="248">
        <v>0.8404166666666667</v>
      </c>
      <c r="C1161" s="1009" t="s">
        <v>1502</v>
      </c>
    </row>
    <row r="1162" spans="1:3" x14ac:dyDescent="0.25">
      <c r="A1162" s="247">
        <v>41600</v>
      </c>
      <c r="B1162" s="248">
        <v>0.8404166666666667</v>
      </c>
      <c r="C1162" s="1009" t="s">
        <v>1617</v>
      </c>
    </row>
    <row r="1163" spans="1:3" x14ac:dyDescent="0.25">
      <c r="A1163" s="247">
        <v>41600</v>
      </c>
      <c r="B1163" s="248">
        <v>0.84046296296296286</v>
      </c>
      <c r="C1163" s="1009" t="s">
        <v>1618</v>
      </c>
    </row>
    <row r="1164" spans="1:3" x14ac:dyDescent="0.25">
      <c r="A1164" s="247">
        <v>41600</v>
      </c>
      <c r="B1164" s="248">
        <v>0.84047453703703701</v>
      </c>
      <c r="C1164" s="1009" t="s">
        <v>1265</v>
      </c>
    </row>
    <row r="1165" spans="1:3" x14ac:dyDescent="0.25">
      <c r="A1165" s="247">
        <v>41600</v>
      </c>
      <c r="B1165" s="248">
        <v>0.84047453703703701</v>
      </c>
      <c r="C1165" s="1009" t="s">
        <v>1564</v>
      </c>
    </row>
    <row r="1166" spans="1:3" x14ac:dyDescent="0.25">
      <c r="A1166" s="247">
        <v>41600</v>
      </c>
      <c r="B1166" s="248">
        <v>0.84050925925925923</v>
      </c>
      <c r="C1166" s="1009" t="s">
        <v>1266</v>
      </c>
    </row>
    <row r="1167" spans="1:3" x14ac:dyDescent="0.25">
      <c r="A1167" s="247">
        <v>41600</v>
      </c>
      <c r="B1167" s="248">
        <v>0.84052083333333327</v>
      </c>
      <c r="C1167" s="1009" t="s">
        <v>1592</v>
      </c>
    </row>
    <row r="1168" spans="1:3" x14ac:dyDescent="0.25">
      <c r="A1168" s="247">
        <v>41600</v>
      </c>
      <c r="B1168" s="248">
        <v>0.84052083333333327</v>
      </c>
      <c r="C1168" s="1009" t="s">
        <v>1652</v>
      </c>
    </row>
    <row r="1169" spans="1:3" ht="45" x14ac:dyDescent="0.25">
      <c r="A1169" s="247">
        <v>41600</v>
      </c>
      <c r="B1169" s="248">
        <v>0.84106481481481488</v>
      </c>
      <c r="C1169" s="1005" t="s">
        <v>1657</v>
      </c>
    </row>
    <row r="1170" spans="1:3" x14ac:dyDescent="0.25">
      <c r="A1170" s="247">
        <v>41600</v>
      </c>
      <c r="B1170" s="248">
        <v>0.84116898148148145</v>
      </c>
      <c r="C1170" s="1009" t="s">
        <v>1650</v>
      </c>
    </row>
    <row r="1171" spans="1:3" x14ac:dyDescent="0.25">
      <c r="A1171" s="247">
        <v>41600</v>
      </c>
      <c r="B1171" s="248">
        <v>0.84128472222222228</v>
      </c>
      <c r="C1171" s="1009" t="s">
        <v>1651</v>
      </c>
    </row>
    <row r="1172" spans="1:3" x14ac:dyDescent="0.25">
      <c r="A1172" s="247">
        <v>41600</v>
      </c>
      <c r="B1172" s="248">
        <v>0.84128472222222228</v>
      </c>
      <c r="C1172" s="1009" t="s">
        <v>1507</v>
      </c>
    </row>
    <row r="1173" spans="1:3" x14ac:dyDescent="0.25">
      <c r="A1173" s="247">
        <v>41600</v>
      </c>
      <c r="B1173" s="248">
        <v>0.84128472222222228</v>
      </c>
      <c r="C1173" s="1009" t="s">
        <v>1385</v>
      </c>
    </row>
    <row r="1174" spans="1:3" x14ac:dyDescent="0.25">
      <c r="A1174" s="247">
        <v>41600</v>
      </c>
      <c r="B1174" s="248">
        <v>0.84133101851851855</v>
      </c>
      <c r="C1174" s="1009" t="s">
        <v>1502</v>
      </c>
    </row>
    <row r="1175" spans="1:3" x14ac:dyDescent="0.25">
      <c r="A1175" s="247">
        <v>41600</v>
      </c>
      <c r="B1175" s="248">
        <v>0.8413425925925927</v>
      </c>
      <c r="C1175" s="1009" t="s">
        <v>1587</v>
      </c>
    </row>
    <row r="1176" spans="1:3" x14ac:dyDescent="0.25">
      <c r="A1176" s="247">
        <v>41600</v>
      </c>
      <c r="B1176" s="248">
        <v>0.8413425925925927</v>
      </c>
      <c r="C1176" s="1009" t="s">
        <v>1512</v>
      </c>
    </row>
    <row r="1177" spans="1:3" x14ac:dyDescent="0.25">
      <c r="A1177" s="247">
        <v>41600</v>
      </c>
      <c r="B1177" s="248">
        <v>0.84138888888888885</v>
      </c>
      <c r="C1177" s="1009" t="s">
        <v>1572</v>
      </c>
    </row>
    <row r="1178" spans="1:3" x14ac:dyDescent="0.25">
      <c r="A1178" s="247">
        <v>41600</v>
      </c>
      <c r="B1178" s="248">
        <v>0.84138888888888885</v>
      </c>
      <c r="C1178" s="1009" t="s">
        <v>1561</v>
      </c>
    </row>
    <row r="1179" spans="1:3" x14ac:dyDescent="0.25">
      <c r="A1179" s="247">
        <v>41600</v>
      </c>
      <c r="B1179" s="248">
        <v>0.84144675925925927</v>
      </c>
      <c r="C1179" s="1009" t="s">
        <v>1573</v>
      </c>
    </row>
    <row r="1180" spans="1:3" x14ac:dyDescent="0.25">
      <c r="A1180" s="247">
        <v>41600</v>
      </c>
      <c r="B1180" s="248">
        <v>0.84144675925925927</v>
      </c>
      <c r="C1180" s="1009" t="s">
        <v>1658</v>
      </c>
    </row>
    <row r="1181" spans="1:3" x14ac:dyDescent="0.25">
      <c r="A1181" s="247">
        <v>41600</v>
      </c>
      <c r="B1181" s="248">
        <v>0.84144675925925927</v>
      </c>
      <c r="C1181" s="1009" t="s">
        <v>1652</v>
      </c>
    </row>
    <row r="1182" spans="1:3" x14ac:dyDescent="0.25">
      <c r="A1182" s="247">
        <v>41600</v>
      </c>
      <c r="B1182" s="248">
        <v>0.84144675925925927</v>
      </c>
      <c r="C1182" s="1009" t="s">
        <v>1650</v>
      </c>
    </row>
    <row r="1183" spans="1:3" x14ac:dyDescent="0.25">
      <c r="A1183" s="247">
        <v>41600</v>
      </c>
      <c r="B1183" s="248">
        <v>0.8415625000000001</v>
      </c>
      <c r="C1183" s="1009" t="s">
        <v>1651</v>
      </c>
    </row>
    <row r="1184" spans="1:3" x14ac:dyDescent="0.25">
      <c r="A1184" s="247">
        <v>41600</v>
      </c>
      <c r="B1184" s="248">
        <v>0.84166666666666667</v>
      </c>
      <c r="C1184" s="1009" t="s">
        <v>1484</v>
      </c>
    </row>
    <row r="1185" spans="1:3" ht="60" x14ac:dyDescent="0.25">
      <c r="A1185" s="247">
        <v>41600</v>
      </c>
      <c r="B1185" s="248">
        <v>0.84166666666666667</v>
      </c>
      <c r="C1185" s="1005" t="s">
        <v>1485</v>
      </c>
    </row>
    <row r="1186" spans="1:3" x14ac:dyDescent="0.25">
      <c r="A1186" s="247">
        <v>41600</v>
      </c>
      <c r="B1186" s="248">
        <v>0.84173611111111113</v>
      </c>
      <c r="C1186" s="1009" t="s">
        <v>1486</v>
      </c>
    </row>
    <row r="1187" spans="1:3" ht="60" x14ac:dyDescent="0.25">
      <c r="A1187" s="247">
        <v>41600</v>
      </c>
      <c r="B1187" s="248">
        <v>0.84173611111111113</v>
      </c>
      <c r="C1187" s="1005" t="s">
        <v>1487</v>
      </c>
    </row>
    <row r="1188" spans="1:3" x14ac:dyDescent="0.25">
      <c r="A1188" s="247">
        <v>41600</v>
      </c>
      <c r="B1188" s="248">
        <v>0.84174768518518517</v>
      </c>
      <c r="C1188" s="1009" t="s">
        <v>1486</v>
      </c>
    </row>
    <row r="1189" spans="1:3" ht="60" x14ac:dyDescent="0.25">
      <c r="A1189" s="247">
        <v>41600</v>
      </c>
      <c r="B1189" s="248">
        <v>0.84174768518518517</v>
      </c>
      <c r="C1189" s="1005" t="s">
        <v>1488</v>
      </c>
    </row>
    <row r="1190" spans="1:3" x14ac:dyDescent="0.25">
      <c r="A1190" s="247">
        <v>41600</v>
      </c>
      <c r="B1190" s="248">
        <v>0.84179398148148143</v>
      </c>
      <c r="C1190" s="1009" t="s">
        <v>1489</v>
      </c>
    </row>
    <row r="1191" spans="1:3" ht="60" x14ac:dyDescent="0.25">
      <c r="A1191" s="247">
        <v>41600</v>
      </c>
      <c r="B1191" s="248">
        <v>0.84179398148148143</v>
      </c>
      <c r="C1191" s="1005" t="s">
        <v>1490</v>
      </c>
    </row>
    <row r="1192" spans="1:3" x14ac:dyDescent="0.25">
      <c r="A1192" s="247">
        <v>41600</v>
      </c>
      <c r="B1192" s="248">
        <v>0.84181712962962962</v>
      </c>
      <c r="C1192" s="1009" t="s">
        <v>1491</v>
      </c>
    </row>
    <row r="1193" spans="1:3" ht="60" x14ac:dyDescent="0.25">
      <c r="A1193" s="247">
        <v>41600</v>
      </c>
      <c r="B1193" s="248">
        <v>0.84181712962962962</v>
      </c>
      <c r="C1193" s="1005" t="s">
        <v>1492</v>
      </c>
    </row>
    <row r="1194" spans="1:3" x14ac:dyDescent="0.25">
      <c r="A1194" s="247">
        <v>41600</v>
      </c>
      <c r="B1194" s="248">
        <v>0.84185185185185185</v>
      </c>
      <c r="C1194" s="1009" t="s">
        <v>1659</v>
      </c>
    </row>
    <row r="1195" spans="1:3" x14ac:dyDescent="0.25">
      <c r="A1195" s="247">
        <v>41600</v>
      </c>
      <c r="B1195" s="248">
        <v>0.84187499999999993</v>
      </c>
      <c r="C1195" s="1009" t="s">
        <v>1660</v>
      </c>
    </row>
    <row r="1196" spans="1:3" x14ac:dyDescent="0.25">
      <c r="A1196" s="247">
        <v>41600</v>
      </c>
      <c r="B1196" s="248">
        <v>0.84187499999999993</v>
      </c>
      <c r="C1196" s="1009" t="s">
        <v>1661</v>
      </c>
    </row>
    <row r="1197" spans="1:3" x14ac:dyDescent="0.25">
      <c r="A1197" s="247">
        <v>41600</v>
      </c>
      <c r="B1197" s="248">
        <v>0.84189814814814812</v>
      </c>
      <c r="C1197" s="1009" t="s">
        <v>1662</v>
      </c>
    </row>
    <row r="1198" spans="1:3" x14ac:dyDescent="0.25">
      <c r="A1198" s="247">
        <v>41600</v>
      </c>
      <c r="B1198" s="248">
        <v>0.8419444444444445</v>
      </c>
      <c r="C1198" s="1009" t="s">
        <v>1663</v>
      </c>
    </row>
    <row r="1199" spans="1:3" x14ac:dyDescent="0.25">
      <c r="A1199" s="247">
        <v>41600</v>
      </c>
      <c r="B1199" s="248">
        <v>0.8419444444444445</v>
      </c>
      <c r="C1199" s="1009" t="s">
        <v>1664</v>
      </c>
    </row>
    <row r="1200" spans="1:3" x14ac:dyDescent="0.25">
      <c r="A1200" s="247">
        <v>41600</v>
      </c>
      <c r="B1200" s="248">
        <v>0.8419444444444445</v>
      </c>
      <c r="C1200" s="1009" t="s">
        <v>1665</v>
      </c>
    </row>
    <row r="1201" spans="1:3" x14ac:dyDescent="0.25">
      <c r="A1201" s="247">
        <v>41600</v>
      </c>
      <c r="B1201" s="248">
        <v>0.8419444444444445</v>
      </c>
      <c r="C1201" s="1009" t="s">
        <v>1666</v>
      </c>
    </row>
    <row r="1202" spans="1:3" x14ac:dyDescent="0.25">
      <c r="A1202" s="247">
        <v>41600</v>
      </c>
      <c r="B1202" s="248">
        <v>0.8419444444444445</v>
      </c>
      <c r="C1202" s="1009" t="s">
        <v>1667</v>
      </c>
    </row>
    <row r="1203" spans="1:3" x14ac:dyDescent="0.25">
      <c r="A1203" s="247">
        <v>41600</v>
      </c>
      <c r="B1203" s="248">
        <v>0.8419444444444445</v>
      </c>
      <c r="C1203" s="1009" t="s">
        <v>1668</v>
      </c>
    </row>
    <row r="1204" spans="1:3" x14ac:dyDescent="0.25">
      <c r="A1204" s="247">
        <v>41600</v>
      </c>
      <c r="B1204" s="248">
        <v>0.8419444444444445</v>
      </c>
      <c r="C1204" s="1009" t="s">
        <v>1669</v>
      </c>
    </row>
    <row r="1205" spans="1:3" x14ac:dyDescent="0.25">
      <c r="A1205" s="247">
        <v>41600</v>
      </c>
      <c r="B1205" s="248">
        <v>0.84195601851851853</v>
      </c>
      <c r="C1205" s="1009" t="s">
        <v>1670</v>
      </c>
    </row>
    <row r="1206" spans="1:3" x14ac:dyDescent="0.25">
      <c r="A1206" s="247">
        <v>41600</v>
      </c>
      <c r="B1206" s="248">
        <v>0.84195601851851853</v>
      </c>
      <c r="C1206" s="1009" t="s">
        <v>1671</v>
      </c>
    </row>
    <row r="1207" spans="1:3" x14ac:dyDescent="0.25">
      <c r="A1207" s="247">
        <v>41600</v>
      </c>
      <c r="B1207" s="248">
        <v>0.84195601851851853</v>
      </c>
      <c r="C1207" s="1009" t="s">
        <v>1672</v>
      </c>
    </row>
    <row r="1208" spans="1:3" x14ac:dyDescent="0.25">
      <c r="A1208" s="247">
        <v>41600</v>
      </c>
      <c r="B1208" s="248">
        <v>0.84195601851851853</v>
      </c>
      <c r="C1208" s="1009" t="s">
        <v>1673</v>
      </c>
    </row>
    <row r="1209" spans="1:3" x14ac:dyDescent="0.25">
      <c r="A1209" s="247">
        <v>41600</v>
      </c>
      <c r="B1209" s="248">
        <v>0.84195601851851853</v>
      </c>
      <c r="C1209" s="1009" t="s">
        <v>1674</v>
      </c>
    </row>
    <row r="1210" spans="1:3" x14ac:dyDescent="0.25">
      <c r="A1210" s="247">
        <v>41600</v>
      </c>
      <c r="B1210" s="248">
        <v>0.84271990740740732</v>
      </c>
      <c r="C1210" s="1009" t="s">
        <v>1658</v>
      </c>
    </row>
    <row r="1211" spans="1:3" x14ac:dyDescent="0.25">
      <c r="A1211" s="247">
        <v>41600</v>
      </c>
      <c r="B1211" s="248">
        <v>0.84271990740740732</v>
      </c>
      <c r="C1211" s="1009" t="s">
        <v>1606</v>
      </c>
    </row>
    <row r="1212" spans="1:3" x14ac:dyDescent="0.25">
      <c r="A1212" s="247">
        <v>41600</v>
      </c>
      <c r="B1212" s="248">
        <v>0.84271990740740732</v>
      </c>
      <c r="C1212" s="1009" t="s">
        <v>1312</v>
      </c>
    </row>
    <row r="1213" spans="1:3" x14ac:dyDescent="0.25">
      <c r="A1213" s="247">
        <v>41600</v>
      </c>
      <c r="B1213" s="248">
        <v>0.84273148148148147</v>
      </c>
      <c r="C1213" s="1009" t="s">
        <v>1333</v>
      </c>
    </row>
    <row r="1214" spans="1:3" x14ac:dyDescent="0.25">
      <c r="A1214" s="247">
        <v>41600</v>
      </c>
      <c r="B1214" s="248">
        <v>0.84273148148148147</v>
      </c>
      <c r="C1214" s="1009" t="s">
        <v>1675</v>
      </c>
    </row>
    <row r="1215" spans="1:3" x14ac:dyDescent="0.25">
      <c r="A1215" s="247">
        <v>41600</v>
      </c>
      <c r="B1215" s="248">
        <v>0.84273148148148147</v>
      </c>
      <c r="C1215" s="1009" t="s">
        <v>1613</v>
      </c>
    </row>
    <row r="1216" spans="1:3" x14ac:dyDescent="0.25">
      <c r="A1216" s="247">
        <v>41600</v>
      </c>
      <c r="B1216" s="248">
        <v>0.84281249999999996</v>
      </c>
      <c r="C1216" s="1009" t="s">
        <v>1617</v>
      </c>
    </row>
    <row r="1217" spans="1:3" x14ac:dyDescent="0.25">
      <c r="A1217" s="247">
        <v>41600</v>
      </c>
      <c r="B1217" s="248">
        <v>0.84282407407407411</v>
      </c>
      <c r="C1217" s="1009" t="s">
        <v>1646</v>
      </c>
    </row>
    <row r="1218" spans="1:3" x14ac:dyDescent="0.25">
      <c r="A1218" s="247">
        <v>41600</v>
      </c>
      <c r="B1218" s="248">
        <v>0.84287037037037038</v>
      </c>
      <c r="C1218" s="1009" t="s">
        <v>1676</v>
      </c>
    </row>
    <row r="1219" spans="1:3" ht="30" x14ac:dyDescent="0.25">
      <c r="A1219" s="247">
        <v>41600</v>
      </c>
      <c r="B1219" s="248">
        <v>0.84792824074074069</v>
      </c>
      <c r="C1219" s="1005" t="s">
        <v>1677</v>
      </c>
    </row>
    <row r="1220" spans="1:3" x14ac:dyDescent="0.25">
      <c r="A1220" s="247">
        <v>41600</v>
      </c>
      <c r="B1220" s="248">
        <v>0.84792824074074069</v>
      </c>
      <c r="C1220" s="1009" t="s">
        <v>1678</v>
      </c>
    </row>
    <row r="1221" spans="1:3" x14ac:dyDescent="0.25">
      <c r="A1221" s="247">
        <v>41600</v>
      </c>
      <c r="B1221" s="248">
        <v>0.84799768518518526</v>
      </c>
      <c r="C1221" s="1009" t="s">
        <v>1652</v>
      </c>
    </row>
    <row r="1222" spans="1:3" x14ac:dyDescent="0.25">
      <c r="A1222" s="247">
        <v>41600</v>
      </c>
      <c r="B1222" s="248">
        <v>0.84799768518518526</v>
      </c>
      <c r="C1222" s="1009" t="s">
        <v>1650</v>
      </c>
    </row>
    <row r="1223" spans="1:3" x14ac:dyDescent="0.25">
      <c r="A1223" s="247">
        <v>41600</v>
      </c>
      <c r="B1223" s="248">
        <v>0.84811342592592587</v>
      </c>
      <c r="C1223" s="1009" t="s">
        <v>1679</v>
      </c>
    </row>
    <row r="1224" spans="1:3" ht="30" x14ac:dyDescent="0.25">
      <c r="A1224" s="247">
        <v>41600</v>
      </c>
      <c r="B1224" s="248">
        <v>0.84846064814814814</v>
      </c>
      <c r="C1224" s="1005" t="s">
        <v>1680</v>
      </c>
    </row>
    <row r="1225" spans="1:3" x14ac:dyDescent="0.25">
      <c r="A1225" s="247">
        <v>41600</v>
      </c>
      <c r="B1225" s="248">
        <v>0.84849537037037026</v>
      </c>
      <c r="C1225" s="1009" t="s">
        <v>1681</v>
      </c>
    </row>
    <row r="1226" spans="1:3" x14ac:dyDescent="0.25">
      <c r="A1226" s="247">
        <v>41600</v>
      </c>
      <c r="B1226" s="248">
        <v>0.84856481481481483</v>
      </c>
      <c r="C1226" s="1009" t="s">
        <v>1682</v>
      </c>
    </row>
    <row r="1227" spans="1:3" ht="45" x14ac:dyDescent="0.25">
      <c r="A1227" s="247">
        <v>41600</v>
      </c>
      <c r="B1227" s="248">
        <v>0.84901620370370379</v>
      </c>
      <c r="C1227" s="1005" t="s">
        <v>1683</v>
      </c>
    </row>
    <row r="1228" spans="1:3" x14ac:dyDescent="0.25">
      <c r="A1228" s="247">
        <v>41600</v>
      </c>
      <c r="B1228" s="248">
        <v>0.84901620370370379</v>
      </c>
      <c r="C1228" s="1009" t="s">
        <v>1629</v>
      </c>
    </row>
    <row r="1229" spans="1:3" ht="30" x14ac:dyDescent="0.25">
      <c r="A1229" s="247">
        <v>41600</v>
      </c>
      <c r="B1229" s="248">
        <v>0.8491319444444444</v>
      </c>
      <c r="C1229" s="1005" t="s">
        <v>1684</v>
      </c>
    </row>
    <row r="1230" spans="1:3" x14ac:dyDescent="0.25">
      <c r="A1230" s="247">
        <v>41600</v>
      </c>
      <c r="B1230" s="248">
        <v>0.84914351851851855</v>
      </c>
      <c r="C1230" s="1009" t="s">
        <v>1507</v>
      </c>
    </row>
    <row r="1231" spans="1:3" x14ac:dyDescent="0.25">
      <c r="A1231" s="247">
        <v>41600</v>
      </c>
      <c r="B1231" s="248">
        <v>0.84914351851851855</v>
      </c>
      <c r="C1231" s="1009" t="s">
        <v>1385</v>
      </c>
    </row>
    <row r="1232" spans="1:3" x14ac:dyDescent="0.25">
      <c r="A1232" s="247">
        <v>41600</v>
      </c>
      <c r="B1232" s="248">
        <v>0.8491550925925927</v>
      </c>
      <c r="C1232" s="1009" t="s">
        <v>1502</v>
      </c>
    </row>
    <row r="1233" spans="1:3" x14ac:dyDescent="0.25">
      <c r="A1233" s="247">
        <v>41600</v>
      </c>
      <c r="B1233" s="248">
        <v>0.84916666666666663</v>
      </c>
      <c r="C1233" s="1009" t="s">
        <v>1617</v>
      </c>
    </row>
    <row r="1234" spans="1:3" x14ac:dyDescent="0.25">
      <c r="A1234" s="247">
        <v>41600</v>
      </c>
      <c r="B1234" s="248">
        <v>0.84917824074074078</v>
      </c>
      <c r="C1234" s="1009" t="s">
        <v>1685</v>
      </c>
    </row>
    <row r="1235" spans="1:3" ht="45" x14ac:dyDescent="0.25">
      <c r="A1235" s="247">
        <v>41600</v>
      </c>
      <c r="B1235" s="248">
        <v>0.85090277777777779</v>
      </c>
      <c r="C1235" s="1005" t="s">
        <v>1686</v>
      </c>
    </row>
    <row r="1236" spans="1:3" x14ac:dyDescent="0.25">
      <c r="A1236" s="247">
        <v>41600</v>
      </c>
      <c r="B1236" s="248">
        <v>0.85129629629629633</v>
      </c>
      <c r="C1236" s="1009" t="s">
        <v>1262</v>
      </c>
    </row>
    <row r="1237" spans="1:3" x14ac:dyDescent="0.25">
      <c r="A1237" s="247">
        <v>41600</v>
      </c>
      <c r="B1237" s="248">
        <v>0.85129629629629633</v>
      </c>
      <c r="C1237" s="1009" t="s">
        <v>1687</v>
      </c>
    </row>
    <row r="1238" spans="1:3" ht="45" x14ac:dyDescent="0.25">
      <c r="A1238" s="247">
        <v>41600</v>
      </c>
      <c r="B1238" s="248">
        <v>0.85193287037037047</v>
      </c>
      <c r="C1238" s="1005" t="s">
        <v>1688</v>
      </c>
    </row>
    <row r="1239" spans="1:3" x14ac:dyDescent="0.25">
      <c r="A1239" s="247">
        <v>41600</v>
      </c>
      <c r="B1239" s="248">
        <v>0.85203703703703704</v>
      </c>
      <c r="C1239" s="1009" t="s">
        <v>1650</v>
      </c>
    </row>
    <row r="1240" spans="1:3" x14ac:dyDescent="0.25">
      <c r="A1240" s="247">
        <v>41600</v>
      </c>
      <c r="B1240" s="248">
        <v>0.85214120370370372</v>
      </c>
      <c r="C1240" s="1009" t="s">
        <v>1689</v>
      </c>
    </row>
    <row r="1241" spans="1:3" x14ac:dyDescent="0.25">
      <c r="A1241" s="247">
        <v>41600</v>
      </c>
      <c r="B1241" s="248">
        <v>0.85215277777777787</v>
      </c>
      <c r="C1241" s="1009" t="s">
        <v>1507</v>
      </c>
    </row>
    <row r="1242" spans="1:3" ht="45" x14ac:dyDescent="0.25">
      <c r="A1242" s="247">
        <v>41600</v>
      </c>
      <c r="B1242" s="248">
        <v>0.85223379629629636</v>
      </c>
      <c r="C1242" s="1005" t="s">
        <v>1690</v>
      </c>
    </row>
    <row r="1243" spans="1:3" x14ac:dyDescent="0.25">
      <c r="A1243" s="247">
        <v>41600</v>
      </c>
      <c r="B1243" s="248">
        <v>0.85226851851851848</v>
      </c>
      <c r="C1243" s="1009" t="s">
        <v>1385</v>
      </c>
    </row>
    <row r="1244" spans="1:3" x14ac:dyDescent="0.25">
      <c r="A1244" s="247">
        <v>41600</v>
      </c>
      <c r="B1244" s="248">
        <v>0.85228009259259263</v>
      </c>
      <c r="C1244" s="1009" t="s">
        <v>1691</v>
      </c>
    </row>
    <row r="1245" spans="1:3" x14ac:dyDescent="0.25">
      <c r="A1245" s="247">
        <v>41600</v>
      </c>
      <c r="B1245" s="248">
        <v>0.85229166666666656</v>
      </c>
      <c r="C1245" s="1009" t="s">
        <v>1587</v>
      </c>
    </row>
    <row r="1246" spans="1:3" x14ac:dyDescent="0.25">
      <c r="A1246" s="247">
        <v>41600</v>
      </c>
      <c r="B1246" s="248">
        <v>0.85229166666666656</v>
      </c>
      <c r="C1246" s="1009" t="s">
        <v>1512</v>
      </c>
    </row>
    <row r="1247" spans="1:3" x14ac:dyDescent="0.25">
      <c r="A1247" s="247">
        <v>41600</v>
      </c>
      <c r="B1247" s="248">
        <v>0.85230324074074071</v>
      </c>
      <c r="C1247" s="1009" t="s">
        <v>1572</v>
      </c>
    </row>
    <row r="1248" spans="1:3" x14ac:dyDescent="0.25">
      <c r="A1248" s="247">
        <v>41600</v>
      </c>
      <c r="B1248" s="248">
        <v>0.85230324074074071</v>
      </c>
      <c r="C1248" s="1009" t="s">
        <v>1692</v>
      </c>
    </row>
    <row r="1249" spans="1:3" x14ac:dyDescent="0.25">
      <c r="A1249" s="247">
        <v>41600</v>
      </c>
      <c r="B1249" s="248">
        <v>0.85230324074074071</v>
      </c>
      <c r="C1249" s="1009" t="s">
        <v>1693</v>
      </c>
    </row>
    <row r="1250" spans="1:3" x14ac:dyDescent="0.25">
      <c r="A1250" s="247">
        <v>41600</v>
      </c>
      <c r="B1250" s="248">
        <v>0.85230324074074071</v>
      </c>
      <c r="C1250" s="1009" t="s">
        <v>1650</v>
      </c>
    </row>
    <row r="1251" spans="1:3" x14ac:dyDescent="0.25">
      <c r="A1251" s="247">
        <v>41600</v>
      </c>
      <c r="B1251" s="248">
        <v>0.85240740740740739</v>
      </c>
      <c r="C1251" s="1009" t="s">
        <v>1689</v>
      </c>
    </row>
    <row r="1252" spans="1:3" ht="30" x14ac:dyDescent="0.25">
      <c r="A1252" s="247">
        <v>41600</v>
      </c>
      <c r="B1252" s="248">
        <v>0.85269675925925925</v>
      </c>
      <c r="C1252" s="1005" t="s">
        <v>1694</v>
      </c>
    </row>
    <row r="1253" spans="1:3" x14ac:dyDescent="0.25">
      <c r="A1253" s="247">
        <v>41600</v>
      </c>
      <c r="B1253" s="248">
        <v>0.85274305555555552</v>
      </c>
      <c r="C1253" s="1009" t="s">
        <v>1681</v>
      </c>
    </row>
    <row r="1254" spans="1:3" x14ac:dyDescent="0.25">
      <c r="A1254" s="247">
        <v>41600</v>
      </c>
      <c r="B1254" s="248">
        <v>0.85281250000000008</v>
      </c>
      <c r="C1254" s="1009" t="s">
        <v>1695</v>
      </c>
    </row>
    <row r="1255" spans="1:3" x14ac:dyDescent="0.25">
      <c r="A1255" s="247">
        <v>41600</v>
      </c>
      <c r="B1255" s="248">
        <v>0.85281250000000008</v>
      </c>
      <c r="C1255" s="1009" t="s">
        <v>1696</v>
      </c>
    </row>
    <row r="1256" spans="1:3" ht="30" x14ac:dyDescent="0.25">
      <c r="A1256" s="247">
        <v>41600</v>
      </c>
      <c r="B1256" s="248">
        <v>0.85288194444444443</v>
      </c>
      <c r="C1256" s="1005" t="s">
        <v>1697</v>
      </c>
    </row>
    <row r="1257" spans="1:3" x14ac:dyDescent="0.25">
      <c r="A1257" s="247">
        <v>41600</v>
      </c>
      <c r="B1257" s="248">
        <v>0.85289351851851858</v>
      </c>
      <c r="C1257" s="1009" t="s">
        <v>1698</v>
      </c>
    </row>
    <row r="1258" spans="1:3" x14ac:dyDescent="0.25">
      <c r="A1258" s="247">
        <v>41600</v>
      </c>
      <c r="B1258" s="248">
        <v>0.85289351851851858</v>
      </c>
      <c r="C1258" s="1009" t="s">
        <v>1385</v>
      </c>
    </row>
    <row r="1259" spans="1:3" x14ac:dyDescent="0.25">
      <c r="A1259" s="247">
        <v>41600</v>
      </c>
      <c r="B1259" s="248">
        <v>0.85290509259259262</v>
      </c>
      <c r="C1259" s="1009" t="s">
        <v>1691</v>
      </c>
    </row>
    <row r="1260" spans="1:3" x14ac:dyDescent="0.25">
      <c r="A1260" s="247">
        <v>41600</v>
      </c>
      <c r="B1260" s="248">
        <v>0.85290509259259262</v>
      </c>
      <c r="C1260" s="1009" t="s">
        <v>1617</v>
      </c>
    </row>
    <row r="1261" spans="1:3" x14ac:dyDescent="0.25">
      <c r="A1261" s="247">
        <v>41600</v>
      </c>
      <c r="B1261" s="248">
        <v>0.85291666666666666</v>
      </c>
      <c r="C1261" s="1009" t="s">
        <v>1685</v>
      </c>
    </row>
    <row r="1262" spans="1:3" x14ac:dyDescent="0.25">
      <c r="A1262" s="247">
        <v>41600</v>
      </c>
      <c r="B1262" s="248">
        <v>0.8529282407407407</v>
      </c>
      <c r="C1262" s="1009" t="s">
        <v>1265</v>
      </c>
    </row>
    <row r="1263" spans="1:3" x14ac:dyDescent="0.25">
      <c r="A1263" s="247">
        <v>41600</v>
      </c>
      <c r="B1263" s="248">
        <v>0.8529282407407407</v>
      </c>
      <c r="C1263" s="1009" t="s">
        <v>1564</v>
      </c>
    </row>
    <row r="1264" spans="1:3" x14ac:dyDescent="0.25">
      <c r="A1264" s="247">
        <v>41600</v>
      </c>
      <c r="B1264" s="248">
        <v>0.8529282407407407</v>
      </c>
      <c r="C1264" s="1009" t="s">
        <v>1266</v>
      </c>
    </row>
    <row r="1265" spans="1:3" x14ac:dyDescent="0.25">
      <c r="A1265" s="247">
        <v>41600</v>
      </c>
      <c r="B1265" s="248">
        <v>0.85293981481481485</v>
      </c>
      <c r="C1265" s="1009" t="s">
        <v>1592</v>
      </c>
    </row>
    <row r="1266" spans="1:3" x14ac:dyDescent="0.25">
      <c r="A1266" s="247">
        <v>41600</v>
      </c>
      <c r="B1266" s="248">
        <v>0.85293981481481485</v>
      </c>
      <c r="C1266" s="1009" t="s">
        <v>1693</v>
      </c>
    </row>
    <row r="1267" spans="1:3" ht="45" x14ac:dyDescent="0.25">
      <c r="A1267" s="247">
        <v>41600</v>
      </c>
      <c r="B1267" s="248">
        <v>0.85348379629629623</v>
      </c>
      <c r="C1267" s="1005" t="s">
        <v>1699</v>
      </c>
    </row>
    <row r="1268" spans="1:3" x14ac:dyDescent="0.25">
      <c r="A1268" s="247">
        <v>41600</v>
      </c>
      <c r="B1268" s="248">
        <v>0.85357638888888887</v>
      </c>
      <c r="C1268" s="1009" t="s">
        <v>1650</v>
      </c>
    </row>
    <row r="1269" spans="1:3" x14ac:dyDescent="0.25">
      <c r="A1269" s="247">
        <v>41600</v>
      </c>
      <c r="B1269" s="248">
        <v>0.85368055555555555</v>
      </c>
      <c r="C1269" s="1009" t="s">
        <v>1689</v>
      </c>
    </row>
    <row r="1270" spans="1:3" x14ac:dyDescent="0.25">
      <c r="A1270" s="247">
        <v>41600</v>
      </c>
      <c r="B1270" s="248">
        <v>0.85368055555555555</v>
      </c>
      <c r="C1270" s="1009" t="s">
        <v>1698</v>
      </c>
    </row>
    <row r="1271" spans="1:3" x14ac:dyDescent="0.25">
      <c r="A1271" s="247">
        <v>41600</v>
      </c>
      <c r="B1271" s="248">
        <v>0.85368055555555555</v>
      </c>
      <c r="C1271" s="1009" t="s">
        <v>1385</v>
      </c>
    </row>
    <row r="1272" spans="1:3" x14ac:dyDescent="0.25">
      <c r="A1272" s="247">
        <v>41600</v>
      </c>
      <c r="B1272" s="248">
        <v>0.8536921296296297</v>
      </c>
      <c r="C1272" s="1009" t="s">
        <v>1691</v>
      </c>
    </row>
    <row r="1273" spans="1:3" x14ac:dyDescent="0.25">
      <c r="A1273" s="247">
        <v>41600</v>
      </c>
      <c r="B1273" s="248">
        <v>0.85370370370370363</v>
      </c>
      <c r="C1273" s="1009" t="s">
        <v>1587</v>
      </c>
    </row>
    <row r="1274" spans="1:3" x14ac:dyDescent="0.25">
      <c r="A1274" s="247">
        <v>41600</v>
      </c>
      <c r="B1274" s="248">
        <v>0.85370370370370363</v>
      </c>
      <c r="C1274" s="1009" t="s">
        <v>1512</v>
      </c>
    </row>
    <row r="1275" spans="1:3" x14ac:dyDescent="0.25">
      <c r="A1275" s="247">
        <v>41600</v>
      </c>
      <c r="B1275" s="248">
        <v>0.85371527777777778</v>
      </c>
      <c r="C1275" s="1009" t="s">
        <v>1572</v>
      </c>
    </row>
    <row r="1276" spans="1:3" x14ac:dyDescent="0.25">
      <c r="A1276" s="247">
        <v>41600</v>
      </c>
      <c r="B1276" s="248">
        <v>0.85372685185185182</v>
      </c>
      <c r="C1276" s="1009" t="s">
        <v>1561</v>
      </c>
    </row>
    <row r="1277" spans="1:3" x14ac:dyDescent="0.25">
      <c r="A1277" s="247">
        <v>41600</v>
      </c>
      <c r="B1277" s="248">
        <v>0.85376157407407405</v>
      </c>
      <c r="C1277" s="1009" t="s">
        <v>1573</v>
      </c>
    </row>
    <row r="1278" spans="1:3" x14ac:dyDescent="0.25">
      <c r="A1278" s="247">
        <v>41600</v>
      </c>
      <c r="B1278" s="248">
        <v>0.8537731481481482</v>
      </c>
      <c r="C1278" s="1009" t="s">
        <v>1700</v>
      </c>
    </row>
    <row r="1279" spans="1:3" x14ac:dyDescent="0.25">
      <c r="A1279" s="247">
        <v>41600</v>
      </c>
      <c r="B1279" s="248">
        <v>0.8537731481481482</v>
      </c>
      <c r="C1279" s="1009" t="s">
        <v>1693</v>
      </c>
    </row>
    <row r="1280" spans="1:3" x14ac:dyDescent="0.25">
      <c r="A1280" s="247">
        <v>41600</v>
      </c>
      <c r="B1280" s="248">
        <v>0.8537731481481482</v>
      </c>
      <c r="C1280" s="1009" t="s">
        <v>1650</v>
      </c>
    </row>
    <row r="1281" spans="1:3" x14ac:dyDescent="0.25">
      <c r="A1281" s="247">
        <v>41600</v>
      </c>
      <c r="B1281" s="248">
        <v>0.85388888888888881</v>
      </c>
      <c r="C1281" s="1009" t="s">
        <v>1689</v>
      </c>
    </row>
    <row r="1282" spans="1:3" x14ac:dyDescent="0.25">
      <c r="A1282" s="247">
        <v>41600</v>
      </c>
      <c r="B1282" s="248">
        <v>0.85395833333333337</v>
      </c>
      <c r="C1282" s="1009" t="s">
        <v>1484</v>
      </c>
    </row>
    <row r="1283" spans="1:3" ht="60" x14ac:dyDescent="0.25">
      <c r="A1283" s="247">
        <v>41600</v>
      </c>
      <c r="B1283" s="248">
        <v>0.85395833333333337</v>
      </c>
      <c r="C1283" s="1005" t="s">
        <v>1485</v>
      </c>
    </row>
    <row r="1284" spans="1:3" x14ac:dyDescent="0.25">
      <c r="A1284" s="247">
        <v>41600</v>
      </c>
      <c r="B1284" s="248">
        <v>0.85549768518518521</v>
      </c>
      <c r="C1284" s="1009" t="s">
        <v>1486</v>
      </c>
    </row>
    <row r="1285" spans="1:3" ht="60" x14ac:dyDescent="0.25">
      <c r="A1285" s="247">
        <v>41600</v>
      </c>
      <c r="B1285" s="248">
        <v>0.85549768518518521</v>
      </c>
      <c r="C1285" s="1005" t="s">
        <v>1487</v>
      </c>
    </row>
    <row r="1286" spans="1:3" x14ac:dyDescent="0.25">
      <c r="A1286" s="247">
        <v>41600</v>
      </c>
      <c r="B1286" s="248">
        <v>0.85550925925925936</v>
      </c>
      <c r="C1286" s="1009" t="s">
        <v>1486</v>
      </c>
    </row>
    <row r="1287" spans="1:3" ht="60" x14ac:dyDescent="0.25">
      <c r="A1287" s="247">
        <v>41600</v>
      </c>
      <c r="B1287" s="248">
        <v>0.85550925925925936</v>
      </c>
      <c r="C1287" s="1005" t="s">
        <v>1488</v>
      </c>
    </row>
    <row r="1288" spans="1:3" x14ac:dyDescent="0.25">
      <c r="A1288" s="247">
        <v>41600</v>
      </c>
      <c r="B1288" s="248">
        <v>0.85552083333333329</v>
      </c>
      <c r="C1288" s="1009" t="s">
        <v>1489</v>
      </c>
    </row>
    <row r="1289" spans="1:3" ht="60" x14ac:dyDescent="0.25">
      <c r="A1289" s="247">
        <v>41600</v>
      </c>
      <c r="B1289" s="248">
        <v>0.85552083333333329</v>
      </c>
      <c r="C1289" s="1005" t="s">
        <v>1490</v>
      </c>
    </row>
    <row r="1290" spans="1:3" x14ac:dyDescent="0.25">
      <c r="A1290" s="247">
        <v>41600</v>
      </c>
      <c r="B1290" s="248">
        <v>0.85553240740740744</v>
      </c>
      <c r="C1290" s="1009" t="s">
        <v>1491</v>
      </c>
    </row>
    <row r="1291" spans="1:3" ht="60" x14ac:dyDescent="0.25">
      <c r="A1291" s="247">
        <v>41600</v>
      </c>
      <c r="B1291" s="248">
        <v>0.85553240740740744</v>
      </c>
      <c r="C1291" s="1005" t="s">
        <v>1492</v>
      </c>
    </row>
    <row r="1292" spans="1:3" x14ac:dyDescent="0.25">
      <c r="A1292" s="247">
        <v>41600</v>
      </c>
      <c r="B1292" s="248">
        <v>0.85555555555555562</v>
      </c>
      <c r="C1292" s="1009" t="s">
        <v>1701</v>
      </c>
    </row>
    <row r="1293" spans="1:3" x14ac:dyDescent="0.25">
      <c r="A1293" s="247">
        <v>41600</v>
      </c>
      <c r="B1293" s="248">
        <v>0.8555787037037037</v>
      </c>
      <c r="C1293" s="1009" t="s">
        <v>1702</v>
      </c>
    </row>
    <row r="1294" spans="1:3" x14ac:dyDescent="0.25">
      <c r="A1294" s="247">
        <v>41600</v>
      </c>
      <c r="B1294" s="248">
        <v>0.8555787037037037</v>
      </c>
      <c r="C1294" s="1009" t="s">
        <v>1703</v>
      </c>
    </row>
    <row r="1295" spans="1:3" x14ac:dyDescent="0.25">
      <c r="A1295" s="247">
        <v>41600</v>
      </c>
      <c r="B1295" s="248">
        <v>0.8555787037037037</v>
      </c>
      <c r="C1295" s="1009" t="s">
        <v>1704</v>
      </c>
    </row>
    <row r="1296" spans="1:3" x14ac:dyDescent="0.25">
      <c r="A1296" s="247">
        <v>41600</v>
      </c>
      <c r="B1296" s="248">
        <v>0.85561342592592593</v>
      </c>
      <c r="C1296" s="1009" t="s">
        <v>1705</v>
      </c>
    </row>
    <row r="1297" spans="1:3" x14ac:dyDescent="0.25">
      <c r="A1297" s="247">
        <v>41600</v>
      </c>
      <c r="B1297" s="248">
        <v>0.85561342592592593</v>
      </c>
      <c r="C1297" s="1009" t="s">
        <v>1706</v>
      </c>
    </row>
    <row r="1298" spans="1:3" x14ac:dyDescent="0.25">
      <c r="A1298" s="247">
        <v>41600</v>
      </c>
      <c r="B1298" s="248">
        <v>0.85561342592592593</v>
      </c>
      <c r="C1298" s="1009" t="s">
        <v>1707</v>
      </c>
    </row>
    <row r="1299" spans="1:3" x14ac:dyDescent="0.25">
      <c r="A1299" s="247">
        <v>41600</v>
      </c>
      <c r="B1299" s="248">
        <v>0.85562499999999997</v>
      </c>
      <c r="C1299" s="1009" t="s">
        <v>1708</v>
      </c>
    </row>
    <row r="1300" spans="1:3" x14ac:dyDescent="0.25">
      <c r="A1300" s="247">
        <v>41600</v>
      </c>
      <c r="B1300" s="248">
        <v>0.85562499999999997</v>
      </c>
      <c r="C1300" s="1009" t="s">
        <v>1709</v>
      </c>
    </row>
    <row r="1301" spans="1:3" x14ac:dyDescent="0.25">
      <c r="A1301" s="247">
        <v>41600</v>
      </c>
      <c r="B1301" s="248">
        <v>0.85562499999999997</v>
      </c>
      <c r="C1301" s="1009" t="s">
        <v>1710</v>
      </c>
    </row>
    <row r="1302" spans="1:3" x14ac:dyDescent="0.25">
      <c r="A1302" s="247">
        <v>41600</v>
      </c>
      <c r="B1302" s="248">
        <v>0.85562499999999997</v>
      </c>
      <c r="C1302" s="1009" t="s">
        <v>1711</v>
      </c>
    </row>
    <row r="1303" spans="1:3" x14ac:dyDescent="0.25">
      <c r="A1303" s="247">
        <v>41600</v>
      </c>
      <c r="B1303" s="248">
        <v>0.85562499999999997</v>
      </c>
      <c r="C1303" s="1009" t="s">
        <v>1712</v>
      </c>
    </row>
    <row r="1304" spans="1:3" x14ac:dyDescent="0.25">
      <c r="A1304" s="247">
        <v>41600</v>
      </c>
      <c r="B1304" s="248">
        <v>0.85562499999999997</v>
      </c>
      <c r="C1304" s="1009" t="s">
        <v>1713</v>
      </c>
    </row>
    <row r="1305" spans="1:3" x14ac:dyDescent="0.25">
      <c r="A1305" s="247">
        <v>41600</v>
      </c>
      <c r="B1305" s="248">
        <v>0.85562499999999997</v>
      </c>
      <c r="C1305" s="1009" t="s">
        <v>1714</v>
      </c>
    </row>
    <row r="1306" spans="1:3" x14ac:dyDescent="0.25">
      <c r="A1306" s="247">
        <v>41600</v>
      </c>
      <c r="B1306" s="248">
        <v>0.85562499999999997</v>
      </c>
      <c r="C1306" s="1009" t="s">
        <v>1715</v>
      </c>
    </row>
    <row r="1307" spans="1:3" x14ac:dyDescent="0.25">
      <c r="A1307" s="247">
        <v>41600</v>
      </c>
      <c r="B1307" s="248">
        <v>0.85562499999999997</v>
      </c>
      <c r="C1307" s="1009" t="s">
        <v>1716</v>
      </c>
    </row>
    <row r="1308" spans="1:3" x14ac:dyDescent="0.25">
      <c r="A1308" s="247">
        <v>41600</v>
      </c>
      <c r="B1308" s="248">
        <v>0.85590277777777779</v>
      </c>
      <c r="C1308" s="1009" t="s">
        <v>1700</v>
      </c>
    </row>
    <row r="1309" spans="1:3" x14ac:dyDescent="0.25">
      <c r="A1309" s="247">
        <v>41600</v>
      </c>
      <c r="B1309" s="248">
        <v>0.85590277777777779</v>
      </c>
      <c r="C1309" s="1009" t="s">
        <v>1606</v>
      </c>
    </row>
    <row r="1310" spans="1:3" x14ac:dyDescent="0.25">
      <c r="A1310" s="247">
        <v>41600</v>
      </c>
      <c r="B1310" s="248">
        <v>0.85590277777777779</v>
      </c>
      <c r="C1310" s="1009" t="s">
        <v>1644</v>
      </c>
    </row>
    <row r="1311" spans="1:3" x14ac:dyDescent="0.25">
      <c r="A1311" s="247">
        <v>41600</v>
      </c>
      <c r="B1311" s="248">
        <v>0.85591435185185183</v>
      </c>
      <c r="C1311" s="1009" t="s">
        <v>1675</v>
      </c>
    </row>
    <row r="1312" spans="1:3" x14ac:dyDescent="0.25">
      <c r="A1312" s="247">
        <v>41600</v>
      </c>
      <c r="B1312" s="248">
        <v>0.85591435185185183</v>
      </c>
      <c r="C1312" s="1009" t="s">
        <v>1681</v>
      </c>
    </row>
    <row r="1313" spans="1:3" x14ac:dyDescent="0.25">
      <c r="A1313" s="247">
        <v>41600</v>
      </c>
      <c r="B1313" s="248">
        <v>0.85598379629629628</v>
      </c>
      <c r="C1313" s="1009" t="s">
        <v>1617</v>
      </c>
    </row>
    <row r="1314" spans="1:3" x14ac:dyDescent="0.25">
      <c r="A1314" s="247">
        <v>41600</v>
      </c>
      <c r="B1314" s="248">
        <v>0.85598379629629628</v>
      </c>
      <c r="C1314" s="1009" t="s">
        <v>1717</v>
      </c>
    </row>
    <row r="1315" spans="1:3" x14ac:dyDescent="0.25">
      <c r="A1315" s="247">
        <v>41600</v>
      </c>
      <c r="B1315" s="248">
        <v>0.85601851851851851</v>
      </c>
      <c r="C1315" s="1009" t="s">
        <v>1718</v>
      </c>
    </row>
    <row r="1316" spans="1:3" ht="45" x14ac:dyDescent="0.25">
      <c r="A1316" s="247">
        <v>41600</v>
      </c>
      <c r="B1316" s="248">
        <v>0.858912037037037</v>
      </c>
      <c r="C1316" s="1005" t="s">
        <v>1683</v>
      </c>
    </row>
    <row r="1317" spans="1:3" x14ac:dyDescent="0.25">
      <c r="A1317" s="247">
        <v>41600</v>
      </c>
      <c r="B1317" s="248">
        <v>0.858912037037037</v>
      </c>
      <c r="C1317" s="1009" t="s">
        <v>1696</v>
      </c>
    </row>
    <row r="1318" spans="1:3" ht="30" x14ac:dyDescent="0.25">
      <c r="A1318" s="247">
        <v>41600</v>
      </c>
      <c r="B1318" s="248">
        <v>0.85905092592592591</v>
      </c>
      <c r="C1318" s="1005" t="s">
        <v>1719</v>
      </c>
    </row>
    <row r="1319" spans="1:3" x14ac:dyDescent="0.25">
      <c r="A1319" s="247">
        <v>41600</v>
      </c>
      <c r="B1319" s="248">
        <v>0.85905092592592591</v>
      </c>
      <c r="C1319" s="1009" t="s">
        <v>1698</v>
      </c>
    </row>
    <row r="1320" spans="1:3" x14ac:dyDescent="0.25">
      <c r="A1320" s="247">
        <v>41600</v>
      </c>
      <c r="B1320" s="248">
        <v>0.85905092592592591</v>
      </c>
      <c r="C1320" s="1009" t="s">
        <v>1385</v>
      </c>
    </row>
    <row r="1321" spans="1:3" x14ac:dyDescent="0.25">
      <c r="A1321" s="247">
        <v>41600</v>
      </c>
      <c r="B1321" s="248">
        <v>0.85906249999999995</v>
      </c>
      <c r="C1321" s="1009" t="s">
        <v>1691</v>
      </c>
    </row>
    <row r="1322" spans="1:3" x14ac:dyDescent="0.25">
      <c r="A1322" s="247">
        <v>41600</v>
      </c>
      <c r="B1322" s="248">
        <v>0.8590740740740741</v>
      </c>
      <c r="C1322" s="1009" t="s">
        <v>1617</v>
      </c>
    </row>
    <row r="1323" spans="1:3" x14ac:dyDescent="0.25">
      <c r="A1323" s="247">
        <v>41600</v>
      </c>
      <c r="B1323" s="248">
        <v>0.85908564814814825</v>
      </c>
      <c r="C1323" s="1009" t="s">
        <v>1720</v>
      </c>
    </row>
    <row r="1324" spans="1:3" ht="45" x14ac:dyDescent="0.25">
      <c r="A1324" s="247">
        <v>41600</v>
      </c>
      <c r="B1324" s="248">
        <v>0.86091435185185183</v>
      </c>
      <c r="C1324" s="1005" t="s">
        <v>1721</v>
      </c>
    </row>
    <row r="1325" spans="1:3" x14ac:dyDescent="0.25">
      <c r="A1325" s="247">
        <v>41600</v>
      </c>
      <c r="B1325" s="248">
        <v>0.86092592592592598</v>
      </c>
      <c r="C1325" s="1009" t="s">
        <v>1698</v>
      </c>
    </row>
    <row r="1326" spans="1:3" ht="45" x14ac:dyDescent="0.25">
      <c r="A1326" s="247">
        <v>41600</v>
      </c>
      <c r="B1326" s="248">
        <v>0.8612037037037038</v>
      </c>
      <c r="C1326" s="1005" t="s">
        <v>1722</v>
      </c>
    </row>
    <row r="1327" spans="1:3" x14ac:dyDescent="0.25">
      <c r="A1327" s="247">
        <v>41600</v>
      </c>
      <c r="B1327" s="248">
        <v>0.8612847222222223</v>
      </c>
      <c r="C1327" s="1009" t="s">
        <v>1723</v>
      </c>
    </row>
    <row r="1328" spans="1:3" x14ac:dyDescent="0.25">
      <c r="A1328" s="247">
        <v>41600</v>
      </c>
      <c r="B1328" s="248">
        <v>0.86130787037037038</v>
      </c>
      <c r="C1328" s="1009" t="s">
        <v>1724</v>
      </c>
    </row>
    <row r="1329" spans="1:3" x14ac:dyDescent="0.25">
      <c r="A1329" s="247">
        <v>41600</v>
      </c>
      <c r="B1329" s="248">
        <v>0.86168981481481488</v>
      </c>
      <c r="C1329" s="1009" t="s">
        <v>1262</v>
      </c>
    </row>
    <row r="1330" spans="1:3" x14ac:dyDescent="0.25">
      <c r="A1330" s="247">
        <v>41600</v>
      </c>
      <c r="B1330" s="248">
        <v>0.86168981481481488</v>
      </c>
      <c r="C1330" s="1009" t="s">
        <v>1725</v>
      </c>
    </row>
    <row r="1331" spans="1:3" x14ac:dyDescent="0.25">
      <c r="A1331" s="247">
        <v>41600</v>
      </c>
      <c r="B1331" s="248">
        <v>0.86168981481481488</v>
      </c>
      <c r="C1331" s="1009" t="s">
        <v>1723</v>
      </c>
    </row>
    <row r="1332" spans="1:3" x14ac:dyDescent="0.25">
      <c r="A1332" s="247">
        <v>41600</v>
      </c>
      <c r="B1332" s="248">
        <v>0.86170138888888881</v>
      </c>
      <c r="C1332" s="1009" t="s">
        <v>1724</v>
      </c>
    </row>
    <row r="1333" spans="1:3" x14ac:dyDescent="0.25">
      <c r="A1333" s="247">
        <v>41600</v>
      </c>
      <c r="B1333" s="248">
        <v>0.86171296296296296</v>
      </c>
      <c r="C1333" s="1009" t="s">
        <v>1587</v>
      </c>
    </row>
    <row r="1334" spans="1:3" x14ac:dyDescent="0.25">
      <c r="A1334" s="247">
        <v>41600</v>
      </c>
      <c r="B1334" s="248">
        <v>0.86171296296296296</v>
      </c>
      <c r="C1334" s="1009" t="s">
        <v>1512</v>
      </c>
    </row>
    <row r="1335" spans="1:3" x14ac:dyDescent="0.25">
      <c r="A1335" s="247">
        <v>41600</v>
      </c>
      <c r="B1335" s="248">
        <v>0.86172453703703711</v>
      </c>
      <c r="C1335" s="1009" t="s">
        <v>1572</v>
      </c>
    </row>
    <row r="1336" spans="1:3" x14ac:dyDescent="0.25">
      <c r="A1336" s="247">
        <v>41600</v>
      </c>
      <c r="B1336" s="248">
        <v>0.86173611111111104</v>
      </c>
      <c r="C1336" s="1009" t="s">
        <v>1726</v>
      </c>
    </row>
    <row r="1337" spans="1:3" x14ac:dyDescent="0.25">
      <c r="A1337" s="247">
        <v>41600</v>
      </c>
      <c r="B1337" s="248">
        <v>0.86173611111111104</v>
      </c>
      <c r="C1337" s="1009" t="s">
        <v>1681</v>
      </c>
    </row>
    <row r="1338" spans="1:3" x14ac:dyDescent="0.25">
      <c r="A1338" s="247">
        <v>41600</v>
      </c>
      <c r="B1338" s="248">
        <v>0.8618055555555556</v>
      </c>
      <c r="C1338" s="1009" t="s">
        <v>1682</v>
      </c>
    </row>
    <row r="1339" spans="1:3" x14ac:dyDescent="0.25">
      <c r="A1339" s="247">
        <v>41600</v>
      </c>
      <c r="B1339" s="248">
        <v>0.8618055555555556</v>
      </c>
      <c r="C1339" s="1009" t="s">
        <v>1727</v>
      </c>
    </row>
    <row r="1340" spans="1:3" ht="30" x14ac:dyDescent="0.25">
      <c r="A1340" s="247">
        <v>41600</v>
      </c>
      <c r="B1340" s="248">
        <v>0.86187499999999995</v>
      </c>
      <c r="C1340" s="1005" t="s">
        <v>1728</v>
      </c>
    </row>
    <row r="1341" spans="1:3" x14ac:dyDescent="0.25">
      <c r="A1341" s="247">
        <v>41600</v>
      </c>
      <c r="B1341" s="248">
        <v>0.8618865740740741</v>
      </c>
      <c r="C1341" s="1009" t="s">
        <v>1725</v>
      </c>
    </row>
    <row r="1342" spans="1:3" x14ac:dyDescent="0.25">
      <c r="A1342" s="247">
        <v>41600</v>
      </c>
      <c r="B1342" s="248">
        <v>0.8618865740740741</v>
      </c>
      <c r="C1342" s="1009" t="s">
        <v>1723</v>
      </c>
    </row>
    <row r="1343" spans="1:3" x14ac:dyDescent="0.25">
      <c r="A1343" s="247">
        <v>41600</v>
      </c>
      <c r="B1343" s="248">
        <v>0.86189814814814814</v>
      </c>
      <c r="C1343" s="1009" t="s">
        <v>1724</v>
      </c>
    </row>
    <row r="1344" spans="1:3" x14ac:dyDescent="0.25">
      <c r="A1344" s="247">
        <v>41600</v>
      </c>
      <c r="B1344" s="248">
        <v>0.86190972222222229</v>
      </c>
      <c r="C1344" s="1009" t="s">
        <v>1617</v>
      </c>
    </row>
    <row r="1345" spans="1:3" x14ac:dyDescent="0.25">
      <c r="A1345" s="247">
        <v>41600</v>
      </c>
      <c r="B1345" s="248">
        <v>0.86192129629629621</v>
      </c>
      <c r="C1345" s="1009" t="s">
        <v>1729</v>
      </c>
    </row>
    <row r="1346" spans="1:3" x14ac:dyDescent="0.25">
      <c r="A1346" s="247">
        <v>41600</v>
      </c>
      <c r="B1346" s="248">
        <v>0.86193287037037036</v>
      </c>
      <c r="C1346" s="1009" t="s">
        <v>1265</v>
      </c>
    </row>
    <row r="1347" spans="1:3" x14ac:dyDescent="0.25">
      <c r="A1347" s="247">
        <v>41600</v>
      </c>
      <c r="B1347" s="248">
        <v>0.86193287037037036</v>
      </c>
      <c r="C1347" s="1009" t="s">
        <v>1564</v>
      </c>
    </row>
    <row r="1348" spans="1:3" x14ac:dyDescent="0.25">
      <c r="A1348" s="247">
        <v>41600</v>
      </c>
      <c r="B1348" s="248">
        <v>0.86193287037037036</v>
      </c>
      <c r="C1348" s="1009" t="s">
        <v>1266</v>
      </c>
    </row>
    <row r="1349" spans="1:3" x14ac:dyDescent="0.25">
      <c r="A1349" s="247">
        <v>41600</v>
      </c>
      <c r="B1349" s="248">
        <v>0.86194444444444451</v>
      </c>
      <c r="C1349" s="1009" t="s">
        <v>1592</v>
      </c>
    </row>
    <row r="1350" spans="1:3" x14ac:dyDescent="0.25">
      <c r="A1350" s="247">
        <v>41600</v>
      </c>
      <c r="B1350" s="248">
        <v>0.86194444444444451</v>
      </c>
      <c r="C1350" s="1009" t="s">
        <v>1725</v>
      </c>
    </row>
    <row r="1351" spans="1:3" ht="45" x14ac:dyDescent="0.25">
      <c r="A1351" s="247">
        <v>41600</v>
      </c>
      <c r="B1351" s="248">
        <v>0.86203703703703705</v>
      </c>
      <c r="C1351" s="1005" t="s">
        <v>1730</v>
      </c>
    </row>
    <row r="1352" spans="1:3" x14ac:dyDescent="0.25">
      <c r="A1352" s="247">
        <v>41600</v>
      </c>
      <c r="B1352" s="248">
        <v>0.86207175925925927</v>
      </c>
      <c r="C1352" s="1009" t="s">
        <v>1723</v>
      </c>
    </row>
    <row r="1353" spans="1:3" x14ac:dyDescent="0.25">
      <c r="A1353" s="247">
        <v>41600</v>
      </c>
      <c r="B1353" s="248">
        <v>0.86208333333333342</v>
      </c>
      <c r="C1353" s="1009" t="s">
        <v>1731</v>
      </c>
    </row>
    <row r="1354" spans="1:3" x14ac:dyDescent="0.25">
      <c r="A1354" s="247">
        <v>41600</v>
      </c>
      <c r="B1354" s="248">
        <v>0.86209490740740735</v>
      </c>
      <c r="C1354" s="1009" t="s">
        <v>1587</v>
      </c>
    </row>
    <row r="1355" spans="1:3" x14ac:dyDescent="0.25">
      <c r="A1355" s="247">
        <v>41600</v>
      </c>
      <c r="B1355" s="248">
        <v>0.86209490740740735</v>
      </c>
      <c r="C1355" s="1009" t="s">
        <v>1512</v>
      </c>
    </row>
    <row r="1356" spans="1:3" x14ac:dyDescent="0.25">
      <c r="A1356" s="247">
        <v>41600</v>
      </c>
      <c r="B1356" s="248">
        <v>0.8621064814814815</v>
      </c>
      <c r="C1356" s="1009" t="s">
        <v>1572</v>
      </c>
    </row>
    <row r="1357" spans="1:3" x14ac:dyDescent="0.25">
      <c r="A1357" s="247">
        <v>41600</v>
      </c>
      <c r="B1357" s="248">
        <v>0.86211805555555554</v>
      </c>
      <c r="C1357" s="1009" t="s">
        <v>1561</v>
      </c>
    </row>
    <row r="1358" spans="1:3" x14ac:dyDescent="0.25">
      <c r="A1358" s="247">
        <v>41600</v>
      </c>
      <c r="B1358" s="248">
        <v>0.86215277777777777</v>
      </c>
      <c r="C1358" s="1009" t="s">
        <v>1573</v>
      </c>
    </row>
    <row r="1359" spans="1:3" x14ac:dyDescent="0.25">
      <c r="A1359" s="247">
        <v>41600</v>
      </c>
      <c r="B1359" s="248">
        <v>0.86216435185185192</v>
      </c>
      <c r="C1359" s="1009" t="s">
        <v>1700</v>
      </c>
    </row>
    <row r="1360" spans="1:3" x14ac:dyDescent="0.25">
      <c r="A1360" s="247">
        <v>41600</v>
      </c>
      <c r="B1360" s="248">
        <v>0.86216435185185192</v>
      </c>
      <c r="C1360" s="1009" t="s">
        <v>1693</v>
      </c>
    </row>
    <row r="1361" spans="1:3" ht="45" x14ac:dyDescent="0.25">
      <c r="A1361" s="247">
        <v>41600</v>
      </c>
      <c r="B1361" s="248">
        <v>0.8627893518518519</v>
      </c>
      <c r="C1361" s="1005" t="s">
        <v>1732</v>
      </c>
    </row>
    <row r="1362" spans="1:3" x14ac:dyDescent="0.25">
      <c r="A1362" s="247">
        <v>41600</v>
      </c>
      <c r="B1362" s="248">
        <v>0.86288194444444455</v>
      </c>
      <c r="C1362" s="1009" t="s">
        <v>1650</v>
      </c>
    </row>
    <row r="1363" spans="1:3" x14ac:dyDescent="0.25">
      <c r="A1363" s="247">
        <v>41600</v>
      </c>
      <c r="B1363" s="248">
        <v>0.86297453703703697</v>
      </c>
      <c r="C1363" s="1009" t="s">
        <v>1689</v>
      </c>
    </row>
    <row r="1364" spans="1:3" x14ac:dyDescent="0.25">
      <c r="A1364" s="247">
        <v>41600</v>
      </c>
      <c r="B1364" s="248">
        <v>0.86304398148148154</v>
      </c>
      <c r="C1364" s="1009" t="s">
        <v>1484</v>
      </c>
    </row>
    <row r="1365" spans="1:3" ht="60" x14ac:dyDescent="0.25">
      <c r="A1365" s="247">
        <v>41600</v>
      </c>
      <c r="B1365" s="248">
        <v>0.86304398148148154</v>
      </c>
      <c r="C1365" s="1005" t="s">
        <v>1485</v>
      </c>
    </row>
    <row r="1366" spans="1:3" x14ac:dyDescent="0.25">
      <c r="A1366" s="247">
        <v>41600</v>
      </c>
      <c r="B1366" s="248">
        <v>0.86307870370370365</v>
      </c>
      <c r="C1366" s="1009" t="s">
        <v>1486</v>
      </c>
    </row>
    <row r="1367" spans="1:3" ht="60" x14ac:dyDescent="0.25">
      <c r="A1367" s="247">
        <v>41600</v>
      </c>
      <c r="B1367" s="248">
        <v>0.86307870370370365</v>
      </c>
      <c r="C1367" s="1005" t="s">
        <v>1487</v>
      </c>
    </row>
    <row r="1368" spans="1:3" x14ac:dyDescent="0.25">
      <c r="A1368" s="247">
        <v>41600</v>
      </c>
      <c r="B1368" s="248">
        <v>0.8630902777777778</v>
      </c>
      <c r="C1368" s="1009" t="s">
        <v>1486</v>
      </c>
    </row>
    <row r="1369" spans="1:3" ht="60" x14ac:dyDescent="0.25">
      <c r="A1369" s="247">
        <v>41600</v>
      </c>
      <c r="B1369" s="248">
        <v>0.8630902777777778</v>
      </c>
      <c r="C1369" s="1005" t="s">
        <v>1488</v>
      </c>
    </row>
    <row r="1370" spans="1:3" x14ac:dyDescent="0.25">
      <c r="A1370" s="247">
        <v>41600</v>
      </c>
      <c r="B1370" s="248">
        <v>0.86310185185185195</v>
      </c>
      <c r="C1370" s="1009" t="s">
        <v>1489</v>
      </c>
    </row>
    <row r="1371" spans="1:3" ht="60" x14ac:dyDescent="0.25">
      <c r="A1371" s="247">
        <v>41600</v>
      </c>
      <c r="B1371" s="248">
        <v>0.86310185185185195</v>
      </c>
      <c r="C1371" s="1005" t="s">
        <v>1490</v>
      </c>
    </row>
    <row r="1372" spans="1:3" x14ac:dyDescent="0.25">
      <c r="A1372" s="247">
        <v>41600</v>
      </c>
      <c r="B1372" s="248">
        <v>0.86311342592592588</v>
      </c>
      <c r="C1372" s="1009" t="s">
        <v>1491</v>
      </c>
    </row>
    <row r="1373" spans="1:3" ht="60" x14ac:dyDescent="0.25">
      <c r="A1373" s="247">
        <v>41600</v>
      </c>
      <c r="B1373" s="248">
        <v>0.86311342592592588</v>
      </c>
      <c r="C1373" s="1005" t="s">
        <v>1492</v>
      </c>
    </row>
    <row r="1374" spans="1:3" x14ac:dyDescent="0.25">
      <c r="A1374" s="247">
        <v>41600</v>
      </c>
      <c r="B1374" s="248">
        <v>0.86322916666666671</v>
      </c>
      <c r="C1374" s="1009" t="s">
        <v>1703</v>
      </c>
    </row>
    <row r="1375" spans="1:3" x14ac:dyDescent="0.25">
      <c r="A1375" s="247">
        <v>41600</v>
      </c>
      <c r="B1375" s="248">
        <v>0.86327546296296298</v>
      </c>
      <c r="C1375" s="1009" t="s">
        <v>1705</v>
      </c>
    </row>
    <row r="1376" spans="1:3" x14ac:dyDescent="0.25">
      <c r="A1376" s="247">
        <v>41600</v>
      </c>
      <c r="B1376" s="248">
        <v>0.86327546296296298</v>
      </c>
      <c r="C1376" s="1009" t="s">
        <v>1706</v>
      </c>
    </row>
    <row r="1377" spans="1:3" x14ac:dyDescent="0.25">
      <c r="A1377" s="247">
        <v>41600</v>
      </c>
      <c r="B1377" s="248">
        <v>0.86327546296296298</v>
      </c>
      <c r="C1377" s="1009" t="s">
        <v>1707</v>
      </c>
    </row>
    <row r="1378" spans="1:3" x14ac:dyDescent="0.25">
      <c r="A1378" s="247">
        <v>41600</v>
      </c>
      <c r="B1378" s="248">
        <v>0.86327546296296298</v>
      </c>
      <c r="C1378" s="1009" t="s">
        <v>1708</v>
      </c>
    </row>
    <row r="1379" spans="1:3" x14ac:dyDescent="0.25">
      <c r="A1379" s="247">
        <v>41600</v>
      </c>
      <c r="B1379" s="248">
        <v>0.86327546296296298</v>
      </c>
      <c r="C1379" s="1009" t="s">
        <v>1709</v>
      </c>
    </row>
    <row r="1380" spans="1:3" x14ac:dyDescent="0.25">
      <c r="A1380" s="247">
        <v>41600</v>
      </c>
      <c r="B1380" s="248">
        <v>0.86327546296296298</v>
      </c>
      <c r="C1380" s="1009" t="s">
        <v>1710</v>
      </c>
    </row>
    <row r="1381" spans="1:3" x14ac:dyDescent="0.25">
      <c r="A1381" s="247">
        <v>41600</v>
      </c>
      <c r="B1381" s="248">
        <v>0.86327546296296298</v>
      </c>
      <c r="C1381" s="1009" t="s">
        <v>1711</v>
      </c>
    </row>
    <row r="1382" spans="1:3" x14ac:dyDescent="0.25">
      <c r="A1382" s="247">
        <v>41600</v>
      </c>
      <c r="B1382" s="248">
        <v>0.86327546296296298</v>
      </c>
      <c r="C1382" s="1009" t="s">
        <v>1712</v>
      </c>
    </row>
    <row r="1383" spans="1:3" x14ac:dyDescent="0.25">
      <c r="A1383" s="247">
        <v>41600</v>
      </c>
      <c r="B1383" s="248">
        <v>0.86327546296296298</v>
      </c>
      <c r="C1383" s="1009" t="s">
        <v>1713</v>
      </c>
    </row>
    <row r="1384" spans="1:3" x14ac:dyDescent="0.25">
      <c r="A1384" s="247">
        <v>41600</v>
      </c>
      <c r="B1384" s="248">
        <v>0.86327546296296298</v>
      </c>
      <c r="C1384" s="1009" t="s">
        <v>1714</v>
      </c>
    </row>
    <row r="1385" spans="1:3" x14ac:dyDescent="0.25">
      <c r="A1385" s="247">
        <v>41600</v>
      </c>
      <c r="B1385" s="248">
        <v>0.86327546296296298</v>
      </c>
      <c r="C1385" s="1009" t="s">
        <v>1715</v>
      </c>
    </row>
    <row r="1386" spans="1:3" x14ac:dyDescent="0.25">
      <c r="A1386" s="247">
        <v>41600</v>
      </c>
      <c r="B1386" s="248">
        <v>0.86327546296296298</v>
      </c>
      <c r="C1386" s="1009" t="s">
        <v>1716</v>
      </c>
    </row>
    <row r="1387" spans="1:3" x14ac:dyDescent="0.25">
      <c r="A1387" s="247">
        <v>41600</v>
      </c>
      <c r="B1387" s="248">
        <v>0.86414351851851856</v>
      </c>
      <c r="C1387" s="1009" t="s">
        <v>1700</v>
      </c>
    </row>
    <row r="1388" spans="1:3" x14ac:dyDescent="0.25">
      <c r="A1388" s="247">
        <v>41600</v>
      </c>
      <c r="B1388" s="248">
        <v>0.86414351851851856</v>
      </c>
      <c r="C1388" s="1009" t="s">
        <v>1733</v>
      </c>
    </row>
    <row r="1389" spans="1:3" x14ac:dyDescent="0.25">
      <c r="A1389" s="247">
        <v>41600</v>
      </c>
      <c r="B1389" s="248">
        <v>0.86414351851851856</v>
      </c>
      <c r="C1389" s="1009" t="s">
        <v>1644</v>
      </c>
    </row>
    <row r="1390" spans="1:3" x14ac:dyDescent="0.25">
      <c r="A1390" s="247">
        <v>41600</v>
      </c>
      <c r="B1390" s="248">
        <v>0.8641550925925926</v>
      </c>
      <c r="C1390" s="1009" t="s">
        <v>1675</v>
      </c>
    </row>
    <row r="1391" spans="1:3" x14ac:dyDescent="0.25">
      <c r="A1391" s="247">
        <v>41600</v>
      </c>
      <c r="B1391" s="248">
        <v>0.8641550925925926</v>
      </c>
      <c r="C1391" s="1009" t="s">
        <v>1681</v>
      </c>
    </row>
    <row r="1392" spans="1:3" x14ac:dyDescent="0.25">
      <c r="A1392" s="247">
        <v>41600</v>
      </c>
      <c r="B1392" s="248">
        <v>0.86422453703703705</v>
      </c>
      <c r="C1392" s="1009" t="s">
        <v>1617</v>
      </c>
    </row>
    <row r="1393" spans="1:3" x14ac:dyDescent="0.25">
      <c r="A1393" s="247">
        <v>41600</v>
      </c>
      <c r="B1393" s="248">
        <v>0.86422453703703705</v>
      </c>
      <c r="C1393" s="1009" t="s">
        <v>1717</v>
      </c>
    </row>
    <row r="1394" spans="1:3" x14ac:dyDescent="0.25">
      <c r="A1394" s="247">
        <v>41600</v>
      </c>
      <c r="B1394" s="248">
        <v>0.86425925925925917</v>
      </c>
      <c r="C1394" s="1009" t="s">
        <v>1718</v>
      </c>
    </row>
    <row r="1395" spans="1:3" ht="45" x14ac:dyDescent="0.25">
      <c r="A1395" s="247">
        <v>41617</v>
      </c>
      <c r="B1395" s="248">
        <v>0.77618055555555554</v>
      </c>
      <c r="C1395" s="1005" t="s">
        <v>1737</v>
      </c>
    </row>
    <row r="1396" spans="1:3" x14ac:dyDescent="0.25">
      <c r="A1396" s="247">
        <v>41617</v>
      </c>
      <c r="B1396" s="248">
        <v>0.77618055555555554</v>
      </c>
      <c r="C1396" s="1009" t="s">
        <v>1693</v>
      </c>
    </row>
    <row r="1397" spans="1:3" ht="45" x14ac:dyDescent="0.25">
      <c r="A1397" s="247">
        <v>41617</v>
      </c>
      <c r="B1397" s="248">
        <v>0.77625</v>
      </c>
      <c r="C1397" s="1005" t="s">
        <v>1738</v>
      </c>
    </row>
    <row r="1398" spans="1:3" x14ac:dyDescent="0.25">
      <c r="A1398" s="247">
        <v>41617</v>
      </c>
      <c r="B1398" s="248">
        <v>0.77634259259259253</v>
      </c>
      <c r="C1398" s="1009" t="s">
        <v>1739</v>
      </c>
    </row>
    <row r="1399" spans="1:3" x14ac:dyDescent="0.25">
      <c r="A1399" s="247">
        <v>41617</v>
      </c>
      <c r="B1399" s="248">
        <v>0.77667824074074077</v>
      </c>
      <c r="C1399" s="1009" t="s">
        <v>1740</v>
      </c>
    </row>
    <row r="1400" spans="1:3" ht="30" x14ac:dyDescent="0.25">
      <c r="A1400" s="247">
        <v>41617</v>
      </c>
      <c r="B1400" s="248">
        <v>0.77762731481481484</v>
      </c>
      <c r="C1400" s="1005" t="s">
        <v>1741</v>
      </c>
    </row>
    <row r="1401" spans="1:3" x14ac:dyDescent="0.25">
      <c r="A1401" s="247">
        <v>41617</v>
      </c>
      <c r="B1401" s="248">
        <v>0.77762731481481484</v>
      </c>
      <c r="C1401" s="1009" t="s">
        <v>1692</v>
      </c>
    </row>
    <row r="1402" spans="1:3" x14ac:dyDescent="0.25">
      <c r="A1402" s="247">
        <v>41617</v>
      </c>
      <c r="B1402" s="248">
        <v>0.77773148148148152</v>
      </c>
      <c r="C1402" s="1009" t="s">
        <v>1742</v>
      </c>
    </row>
    <row r="1403" spans="1:3" x14ac:dyDescent="0.25">
      <c r="A1403" s="247">
        <v>41617</v>
      </c>
      <c r="B1403" s="248">
        <v>0.77773148148148152</v>
      </c>
      <c r="C1403" s="1009" t="s">
        <v>1739</v>
      </c>
    </row>
    <row r="1404" spans="1:3" x14ac:dyDescent="0.25">
      <c r="A1404" s="247">
        <v>41617</v>
      </c>
      <c r="B1404" s="248">
        <v>0.77802083333333327</v>
      </c>
      <c r="C1404" s="1009" t="s">
        <v>1740</v>
      </c>
    </row>
    <row r="1405" spans="1:3" ht="30" x14ac:dyDescent="0.25">
      <c r="A1405" s="247">
        <v>41617</v>
      </c>
      <c r="B1405" s="248">
        <v>0.77858796296296295</v>
      </c>
      <c r="C1405" s="1005" t="s">
        <v>1743</v>
      </c>
    </row>
    <row r="1406" spans="1:3" x14ac:dyDescent="0.25">
      <c r="A1406" s="247">
        <v>41617</v>
      </c>
      <c r="B1406" s="248">
        <v>0.77868055555555549</v>
      </c>
      <c r="C1406" s="1009" t="s">
        <v>1681</v>
      </c>
    </row>
    <row r="1407" spans="1:3" x14ac:dyDescent="0.25">
      <c r="A1407" s="247">
        <v>41617</v>
      </c>
      <c r="B1407" s="248">
        <v>0.77887731481481481</v>
      </c>
      <c r="C1407" s="1009" t="s">
        <v>1744</v>
      </c>
    </row>
    <row r="1408" spans="1:3" ht="45" x14ac:dyDescent="0.25">
      <c r="A1408" s="247">
        <v>41617</v>
      </c>
      <c r="B1408" s="248">
        <v>0.77927083333333336</v>
      </c>
      <c r="C1408" s="1005" t="s">
        <v>1745</v>
      </c>
    </row>
    <row r="1409" spans="1:3" ht="45" x14ac:dyDescent="0.25">
      <c r="A1409" s="247">
        <v>41617</v>
      </c>
      <c r="B1409" s="248">
        <v>0.78013888888888883</v>
      </c>
      <c r="C1409" s="1005" t="s">
        <v>1746</v>
      </c>
    </row>
    <row r="1410" spans="1:3" ht="45" x14ac:dyDescent="0.25">
      <c r="A1410" s="247">
        <v>41617</v>
      </c>
      <c r="B1410" s="248">
        <v>0.78069444444444447</v>
      </c>
      <c r="C1410" s="1005" t="s">
        <v>1747</v>
      </c>
    </row>
    <row r="1411" spans="1:3" x14ac:dyDescent="0.25">
      <c r="A1411" s="247">
        <v>41617</v>
      </c>
      <c r="B1411" s="248">
        <v>0.78069444444444447</v>
      </c>
      <c r="C1411" s="1009" t="s">
        <v>1265</v>
      </c>
    </row>
    <row r="1412" spans="1:3" x14ac:dyDescent="0.25">
      <c r="A1412" s="247">
        <v>41617</v>
      </c>
      <c r="B1412" s="248">
        <v>0.78122685185185192</v>
      </c>
      <c r="C1412" s="1009" t="s">
        <v>1748</v>
      </c>
    </row>
    <row r="1413" spans="1:3" x14ac:dyDescent="0.25">
      <c r="A1413" s="247">
        <v>41617</v>
      </c>
      <c r="B1413" s="248">
        <v>0.78123842592592585</v>
      </c>
      <c r="C1413" s="1009" t="s">
        <v>1266</v>
      </c>
    </row>
    <row r="1414" spans="1:3" ht="45" x14ac:dyDescent="0.25">
      <c r="A1414" s="247">
        <v>41617</v>
      </c>
      <c r="B1414" s="248">
        <v>0.78162037037037047</v>
      </c>
      <c r="C1414" s="1005" t="s">
        <v>1749</v>
      </c>
    </row>
    <row r="1415" spans="1:3" x14ac:dyDescent="0.25">
      <c r="A1415" s="247">
        <v>41617</v>
      </c>
      <c r="B1415" s="248">
        <v>0.78162037037037047</v>
      </c>
      <c r="C1415" s="1009" t="s">
        <v>1750</v>
      </c>
    </row>
    <row r="1416" spans="1:3" ht="45" x14ac:dyDescent="0.25">
      <c r="A1416" s="247">
        <v>41617</v>
      </c>
      <c r="B1416" s="248">
        <v>0.78164351851851854</v>
      </c>
      <c r="C1416" s="1005" t="s">
        <v>1751</v>
      </c>
    </row>
    <row r="1417" spans="1:3" x14ac:dyDescent="0.25">
      <c r="A1417" s="247">
        <v>41617</v>
      </c>
      <c r="B1417" s="248">
        <v>0.78179398148148149</v>
      </c>
      <c r="C1417" s="1009" t="s">
        <v>1752</v>
      </c>
    </row>
    <row r="1418" spans="1:3" x14ac:dyDescent="0.25">
      <c r="A1418" s="247">
        <v>41617</v>
      </c>
      <c r="B1418" s="248">
        <v>0.78181712962962957</v>
      </c>
      <c r="C1418" s="1009" t="s">
        <v>1753</v>
      </c>
    </row>
    <row r="1419" spans="1:3" ht="45" x14ac:dyDescent="0.25">
      <c r="A1419" s="247">
        <v>41617</v>
      </c>
      <c r="B1419" s="248">
        <v>0.78195601851851848</v>
      </c>
      <c r="C1419" s="1005" t="s">
        <v>1754</v>
      </c>
    </row>
    <row r="1420" spans="1:3" x14ac:dyDescent="0.25">
      <c r="A1420" s="247">
        <v>41617</v>
      </c>
      <c r="B1420" s="248">
        <v>0.78195601851851848</v>
      </c>
      <c r="C1420" s="1009" t="s">
        <v>1265</v>
      </c>
    </row>
    <row r="1421" spans="1:3" x14ac:dyDescent="0.25">
      <c r="A1421" s="247">
        <v>41617</v>
      </c>
      <c r="B1421" s="248">
        <v>0.78248842592592593</v>
      </c>
      <c r="C1421" s="1009" t="s">
        <v>1748</v>
      </c>
    </row>
    <row r="1422" spans="1:3" x14ac:dyDescent="0.25">
      <c r="A1422" s="247">
        <v>41617</v>
      </c>
      <c r="B1422" s="248">
        <v>0.78248842592592593</v>
      </c>
      <c r="C1422" s="1009" t="s">
        <v>1266</v>
      </c>
    </row>
    <row r="1423" spans="1:3" ht="45" x14ac:dyDescent="0.25">
      <c r="A1423" s="247">
        <v>41617</v>
      </c>
      <c r="B1423" s="248">
        <v>0.78295138888888882</v>
      </c>
      <c r="C1423" s="1005" t="s">
        <v>1755</v>
      </c>
    </row>
    <row r="1424" spans="1:3" x14ac:dyDescent="0.25">
      <c r="A1424" s="247">
        <v>41617</v>
      </c>
      <c r="B1424" s="248">
        <v>0.78295138888888882</v>
      </c>
      <c r="C1424" s="1009" t="s">
        <v>1756</v>
      </c>
    </row>
    <row r="1425" spans="1:3" ht="45" x14ac:dyDescent="0.25">
      <c r="A1425" s="247">
        <v>41617</v>
      </c>
      <c r="B1425" s="248">
        <v>0.78297453703703701</v>
      </c>
      <c r="C1425" s="1005" t="s">
        <v>1757</v>
      </c>
    </row>
    <row r="1426" spans="1:3" x14ac:dyDescent="0.25">
      <c r="A1426" s="247">
        <v>41617</v>
      </c>
      <c r="B1426" s="248">
        <v>0.78311342592592592</v>
      </c>
      <c r="C1426" s="1009" t="s">
        <v>1752</v>
      </c>
    </row>
    <row r="1427" spans="1:3" x14ac:dyDescent="0.25">
      <c r="A1427" s="247">
        <v>41617</v>
      </c>
      <c r="B1427" s="248">
        <v>0.783136574074074</v>
      </c>
      <c r="C1427" s="1009" t="s">
        <v>1753</v>
      </c>
    </row>
    <row r="1428" spans="1:3" ht="45" x14ac:dyDescent="0.25">
      <c r="A1428" s="247">
        <v>41617</v>
      </c>
      <c r="B1428" s="248">
        <v>0.78355324074074073</v>
      </c>
      <c r="C1428" s="1005" t="s">
        <v>1683</v>
      </c>
    </row>
    <row r="1429" spans="1:3" x14ac:dyDescent="0.25">
      <c r="A1429" s="247">
        <v>41617</v>
      </c>
      <c r="B1429" s="248">
        <v>0.78355324074074073</v>
      </c>
      <c r="C1429" s="1009" t="s">
        <v>1758</v>
      </c>
    </row>
    <row r="1430" spans="1:3" ht="30" x14ac:dyDescent="0.25">
      <c r="A1430" s="247">
        <v>41617</v>
      </c>
      <c r="B1430" s="248">
        <v>0.7836805555555556</v>
      </c>
      <c r="C1430" s="1005" t="s">
        <v>1759</v>
      </c>
    </row>
    <row r="1431" spans="1:3" x14ac:dyDescent="0.25">
      <c r="A1431" s="247">
        <v>41617</v>
      </c>
      <c r="B1431" s="248">
        <v>0.78369212962962964</v>
      </c>
      <c r="C1431" s="1009" t="s">
        <v>1756</v>
      </c>
    </row>
    <row r="1432" spans="1:3" x14ac:dyDescent="0.25">
      <c r="A1432" s="247">
        <v>41617</v>
      </c>
      <c r="B1432" s="248">
        <v>0.78369212962962964</v>
      </c>
      <c r="C1432" s="1009" t="s">
        <v>1752</v>
      </c>
    </row>
    <row r="1433" spans="1:3" x14ac:dyDescent="0.25">
      <c r="A1433" s="247">
        <v>41617</v>
      </c>
      <c r="B1433" s="248">
        <v>0.78371527777777772</v>
      </c>
      <c r="C1433" s="1009" t="s">
        <v>1753</v>
      </c>
    </row>
    <row r="1434" spans="1:3" x14ac:dyDescent="0.25">
      <c r="A1434" s="247">
        <v>41617</v>
      </c>
      <c r="B1434" s="248">
        <v>0.78372685185185187</v>
      </c>
      <c r="C1434" s="1009" t="s">
        <v>1617</v>
      </c>
    </row>
    <row r="1435" spans="1:3" x14ac:dyDescent="0.25">
      <c r="A1435" s="247">
        <v>41617</v>
      </c>
      <c r="B1435" s="248">
        <v>0.78373842592592602</v>
      </c>
      <c r="C1435" s="1009" t="s">
        <v>1760</v>
      </c>
    </row>
    <row r="1436" spans="1:3" ht="45" x14ac:dyDescent="0.25">
      <c r="A1436" s="247">
        <v>41617</v>
      </c>
      <c r="B1436" s="248">
        <v>0.78421296296296295</v>
      </c>
      <c r="C1436" s="1005" t="s">
        <v>1754</v>
      </c>
    </row>
    <row r="1437" spans="1:3" x14ac:dyDescent="0.25">
      <c r="A1437" s="247">
        <v>41617</v>
      </c>
      <c r="B1437" s="248">
        <v>0.78421296296296295</v>
      </c>
      <c r="C1437" s="1009" t="s">
        <v>1265</v>
      </c>
    </row>
    <row r="1438" spans="1:3" x14ac:dyDescent="0.25">
      <c r="A1438" s="247">
        <v>41617</v>
      </c>
      <c r="B1438" s="248">
        <v>0.78473379629629625</v>
      </c>
      <c r="C1438" s="1009" t="s">
        <v>1748</v>
      </c>
    </row>
    <row r="1439" spans="1:3" x14ac:dyDescent="0.25">
      <c r="A1439" s="247">
        <v>41617</v>
      </c>
      <c r="B1439" s="248">
        <v>0.78473379629629625</v>
      </c>
      <c r="C1439" s="1009" t="s">
        <v>1266</v>
      </c>
    </row>
    <row r="1440" spans="1:3" ht="45" x14ac:dyDescent="0.25">
      <c r="A1440" s="247">
        <v>41617</v>
      </c>
      <c r="B1440" s="248">
        <v>0.7857291666666667</v>
      </c>
      <c r="C1440" s="1005" t="s">
        <v>1761</v>
      </c>
    </row>
    <row r="1441" spans="1:3" x14ac:dyDescent="0.25">
      <c r="A1441" s="247">
        <v>41617</v>
      </c>
      <c r="B1441" s="248">
        <v>0.7857291666666667</v>
      </c>
      <c r="C1441" s="1009" t="s">
        <v>1587</v>
      </c>
    </row>
    <row r="1442" spans="1:3" ht="30" x14ac:dyDescent="0.25">
      <c r="A1442" s="247">
        <v>41617</v>
      </c>
      <c r="B1442" s="248">
        <v>0.78592592592592592</v>
      </c>
      <c r="C1442" s="1005" t="s">
        <v>1764</v>
      </c>
    </row>
    <row r="1443" spans="1:3" x14ac:dyDescent="0.25">
      <c r="A1443" s="247">
        <v>41617</v>
      </c>
      <c r="B1443" s="248">
        <v>0.78596064814814814</v>
      </c>
      <c r="C1443" s="1009" t="s">
        <v>1765</v>
      </c>
    </row>
    <row r="1444" spans="1:3" x14ac:dyDescent="0.25">
      <c r="A1444" s="247">
        <v>41617</v>
      </c>
      <c r="B1444" s="248">
        <v>0.78598379629629633</v>
      </c>
      <c r="C1444" s="1009" t="s">
        <v>1766</v>
      </c>
    </row>
    <row r="1445" spans="1:3" ht="45" x14ac:dyDescent="0.25">
      <c r="A1445" s="247">
        <v>41617</v>
      </c>
      <c r="B1445" s="248">
        <v>0.78664351851851855</v>
      </c>
      <c r="C1445" s="1005" t="s">
        <v>1767</v>
      </c>
    </row>
    <row r="1446" spans="1:3" x14ac:dyDescent="0.25">
      <c r="A1446" s="247">
        <v>41617</v>
      </c>
      <c r="B1446" s="248">
        <v>0.78664351851851855</v>
      </c>
      <c r="C1446" s="1009" t="s">
        <v>1592</v>
      </c>
    </row>
    <row r="1447" spans="1:3" x14ac:dyDescent="0.25">
      <c r="A1447" s="247">
        <v>41617</v>
      </c>
      <c r="B1447" s="248">
        <v>0.78664351851851855</v>
      </c>
      <c r="C1447" s="1009" t="s">
        <v>1742</v>
      </c>
    </row>
    <row r="1448" spans="1:3" ht="45" x14ac:dyDescent="0.25">
      <c r="A1448" s="247">
        <v>41617</v>
      </c>
      <c r="B1448" s="248">
        <v>0.78784722222222225</v>
      </c>
      <c r="C1448" s="1005" t="s">
        <v>1768</v>
      </c>
    </row>
    <row r="1449" spans="1:3" x14ac:dyDescent="0.25">
      <c r="A1449" s="247">
        <v>41617</v>
      </c>
      <c r="B1449" s="248">
        <v>0.78804398148148147</v>
      </c>
      <c r="C1449" s="1009" t="s">
        <v>1739</v>
      </c>
    </row>
    <row r="1450" spans="1:3" x14ac:dyDescent="0.25">
      <c r="A1450" s="247">
        <v>41617</v>
      </c>
      <c r="B1450" s="248">
        <v>0.7883796296296296</v>
      </c>
      <c r="C1450" s="1009" t="s">
        <v>1769</v>
      </c>
    </row>
    <row r="1451" spans="1:3" x14ac:dyDescent="0.25">
      <c r="A1451" s="247">
        <v>41617</v>
      </c>
      <c r="B1451" s="248">
        <v>0.78839120370370364</v>
      </c>
      <c r="C1451" s="1009" t="s">
        <v>1756</v>
      </c>
    </row>
    <row r="1452" spans="1:3" ht="45" x14ac:dyDescent="0.25">
      <c r="A1452" s="247">
        <v>41617</v>
      </c>
      <c r="B1452" s="248">
        <v>0.78858796296296296</v>
      </c>
      <c r="C1452" s="1005" t="s">
        <v>1770</v>
      </c>
    </row>
    <row r="1453" spans="1:3" x14ac:dyDescent="0.25">
      <c r="A1453" s="247">
        <v>41617</v>
      </c>
      <c r="B1453" s="248">
        <v>0.78864583333333327</v>
      </c>
      <c r="C1453" s="1009" t="s">
        <v>1752</v>
      </c>
    </row>
    <row r="1454" spans="1:3" x14ac:dyDescent="0.25">
      <c r="A1454" s="247">
        <v>41617</v>
      </c>
      <c r="B1454" s="248">
        <v>0.78866898148148146</v>
      </c>
      <c r="C1454" s="1009" t="s">
        <v>1771</v>
      </c>
    </row>
    <row r="1455" spans="1:3" x14ac:dyDescent="0.25">
      <c r="A1455" s="247">
        <v>41617</v>
      </c>
      <c r="B1455" s="248">
        <v>0.78868055555555561</v>
      </c>
      <c r="C1455" s="1009" t="s">
        <v>1772</v>
      </c>
    </row>
    <row r="1456" spans="1:3" x14ac:dyDescent="0.25">
      <c r="A1456" s="247">
        <v>41617</v>
      </c>
      <c r="B1456" s="248">
        <v>0.78868055555555561</v>
      </c>
      <c r="C1456" s="1009" t="s">
        <v>1765</v>
      </c>
    </row>
    <row r="1457" spans="1:3" x14ac:dyDescent="0.25">
      <c r="A1457" s="247">
        <v>41617</v>
      </c>
      <c r="B1457" s="248">
        <v>0.78870370370370368</v>
      </c>
      <c r="C1457" s="1009" t="s">
        <v>1766</v>
      </c>
    </row>
    <row r="1458" spans="1:3" x14ac:dyDescent="0.25">
      <c r="A1458" s="247">
        <v>41617</v>
      </c>
      <c r="B1458" s="248">
        <v>0.78871527777777783</v>
      </c>
      <c r="C1458" s="1009" t="s">
        <v>1773</v>
      </c>
    </row>
    <row r="1459" spans="1:3" x14ac:dyDescent="0.25">
      <c r="A1459" s="247">
        <v>41617</v>
      </c>
      <c r="B1459" s="248">
        <v>0.78883101851851845</v>
      </c>
      <c r="C1459" s="1009" t="s">
        <v>1774</v>
      </c>
    </row>
    <row r="1460" spans="1:3" ht="45" x14ac:dyDescent="0.25">
      <c r="A1460" s="247">
        <v>41617</v>
      </c>
      <c r="B1460" s="248">
        <v>0.78916666666666668</v>
      </c>
      <c r="C1460" s="1005" t="s">
        <v>1754</v>
      </c>
    </row>
    <row r="1461" spans="1:3" x14ac:dyDescent="0.25">
      <c r="A1461" s="247">
        <v>41617</v>
      </c>
      <c r="B1461" s="248">
        <v>0.78916666666666668</v>
      </c>
      <c r="C1461" s="1009" t="s">
        <v>1265</v>
      </c>
    </row>
    <row r="1462" spans="1:3" x14ac:dyDescent="0.25">
      <c r="A1462" s="247">
        <v>41617</v>
      </c>
      <c r="B1462" s="248">
        <v>0.78972222222222221</v>
      </c>
      <c r="C1462" s="1009" t="s">
        <v>1748</v>
      </c>
    </row>
    <row r="1463" spans="1:3" x14ac:dyDescent="0.25">
      <c r="A1463" s="247">
        <v>41617</v>
      </c>
      <c r="B1463" s="248">
        <v>0.78972222222222221</v>
      </c>
      <c r="C1463" s="1009" t="s">
        <v>1266</v>
      </c>
    </row>
    <row r="1464" spans="1:3" ht="45" x14ac:dyDescent="0.25">
      <c r="A1464" s="247">
        <v>41617</v>
      </c>
      <c r="B1464" s="248">
        <v>0.79023148148148137</v>
      </c>
      <c r="C1464" s="1005" t="s">
        <v>1754</v>
      </c>
    </row>
    <row r="1465" spans="1:3" x14ac:dyDescent="0.25">
      <c r="A1465" s="247">
        <v>41617</v>
      </c>
      <c r="B1465" s="248">
        <v>0.79023148148148137</v>
      </c>
      <c r="C1465" s="1009" t="s">
        <v>1265</v>
      </c>
    </row>
    <row r="1466" spans="1:3" x14ac:dyDescent="0.25">
      <c r="A1466" s="247">
        <v>41617</v>
      </c>
      <c r="B1466" s="248">
        <v>0.79077546296296297</v>
      </c>
      <c r="C1466" s="1009" t="s">
        <v>1748</v>
      </c>
    </row>
    <row r="1467" spans="1:3" x14ac:dyDescent="0.25">
      <c r="A1467" s="247">
        <v>41617</v>
      </c>
      <c r="B1467" s="248">
        <v>0.79077546296296297</v>
      </c>
      <c r="C1467" s="1009" t="s">
        <v>1266</v>
      </c>
    </row>
    <row r="1468" spans="1:3" ht="45" x14ac:dyDescent="0.25">
      <c r="A1468" s="247">
        <v>41617</v>
      </c>
      <c r="B1468" s="248">
        <v>0.79137731481481488</v>
      </c>
      <c r="C1468" s="1005" t="s">
        <v>1775</v>
      </c>
    </row>
    <row r="1469" spans="1:3" x14ac:dyDescent="0.25">
      <c r="A1469" s="247">
        <v>41617</v>
      </c>
      <c r="B1469" s="248">
        <v>0.79138888888888881</v>
      </c>
      <c r="C1469" s="1009" t="s">
        <v>1776</v>
      </c>
    </row>
    <row r="1470" spans="1:3" x14ac:dyDescent="0.25">
      <c r="A1470" s="247">
        <v>41617</v>
      </c>
      <c r="B1470" s="248">
        <v>0.79138888888888881</v>
      </c>
      <c r="C1470" s="1009" t="s">
        <v>1777</v>
      </c>
    </row>
    <row r="1471" spans="1:3" ht="45" x14ac:dyDescent="0.25">
      <c r="A1471" s="247">
        <v>41617</v>
      </c>
      <c r="B1471" s="248">
        <v>0.79268518518518516</v>
      </c>
      <c r="C1471" s="1005" t="s">
        <v>1778</v>
      </c>
    </row>
    <row r="1472" spans="1:3" x14ac:dyDescent="0.25">
      <c r="A1472" s="247">
        <v>41617</v>
      </c>
      <c r="B1472" s="248">
        <v>0.79289351851851853</v>
      </c>
      <c r="C1472" s="1009" t="s">
        <v>1739</v>
      </c>
    </row>
    <row r="1473" spans="1:3" x14ac:dyDescent="0.25">
      <c r="A1473" s="247">
        <v>41617</v>
      </c>
      <c r="B1473" s="248">
        <v>0.79319444444444442</v>
      </c>
      <c r="C1473" s="1009" t="s">
        <v>1769</v>
      </c>
    </row>
    <row r="1474" spans="1:3" x14ac:dyDescent="0.25">
      <c r="A1474" s="247">
        <v>41617</v>
      </c>
      <c r="B1474" s="248">
        <v>0.79320601851851846</v>
      </c>
      <c r="C1474" s="1009" t="s">
        <v>1779</v>
      </c>
    </row>
    <row r="1475" spans="1:3" ht="45" x14ac:dyDescent="0.25">
      <c r="A1475" s="247">
        <v>41617</v>
      </c>
      <c r="B1475" s="248">
        <v>0.79339120370370375</v>
      </c>
      <c r="C1475" s="1005" t="s">
        <v>1780</v>
      </c>
    </row>
    <row r="1476" spans="1:3" x14ac:dyDescent="0.25">
      <c r="A1476" s="247">
        <v>41617</v>
      </c>
      <c r="B1476" s="248">
        <v>0.79344907407407417</v>
      </c>
      <c r="C1476" s="1009" t="s">
        <v>1752</v>
      </c>
    </row>
    <row r="1477" spans="1:3" x14ac:dyDescent="0.25">
      <c r="A1477" s="247">
        <v>41617</v>
      </c>
      <c r="B1477" s="248">
        <v>0.7934606481481481</v>
      </c>
      <c r="C1477" s="1009" t="s">
        <v>1771</v>
      </c>
    </row>
    <row r="1478" spans="1:3" x14ac:dyDescent="0.25">
      <c r="A1478" s="247">
        <v>41617</v>
      </c>
      <c r="B1478" s="248">
        <v>0.79347222222222225</v>
      </c>
      <c r="C1478" s="1009" t="s">
        <v>1772</v>
      </c>
    </row>
    <row r="1479" spans="1:3" ht="30" x14ac:dyDescent="0.25">
      <c r="A1479" s="247">
        <v>41617</v>
      </c>
      <c r="B1479" s="248">
        <v>0.79366898148148157</v>
      </c>
      <c r="C1479" s="1005" t="s">
        <v>1781</v>
      </c>
    </row>
    <row r="1480" spans="1:3" x14ac:dyDescent="0.25">
      <c r="A1480" s="247">
        <v>41617</v>
      </c>
      <c r="B1480" s="248">
        <v>0.79370370370370369</v>
      </c>
      <c r="C1480" s="1009" t="s">
        <v>1765</v>
      </c>
    </row>
    <row r="1481" spans="1:3" x14ac:dyDescent="0.25">
      <c r="A1481" s="247">
        <v>41617</v>
      </c>
      <c r="B1481" s="248">
        <v>0.79372685185185177</v>
      </c>
      <c r="C1481" s="1009" t="s">
        <v>1782</v>
      </c>
    </row>
    <row r="1482" spans="1:3" x14ac:dyDescent="0.25">
      <c r="A1482" s="247">
        <v>41617</v>
      </c>
      <c r="B1482" s="248">
        <v>0.79373842592592592</v>
      </c>
      <c r="C1482" s="1009" t="s">
        <v>1773</v>
      </c>
    </row>
    <row r="1483" spans="1:3" x14ac:dyDescent="0.25">
      <c r="A1483" s="247">
        <v>41617</v>
      </c>
      <c r="B1483" s="248">
        <v>0.7938425925925926</v>
      </c>
      <c r="C1483" s="1009" t="s">
        <v>1774</v>
      </c>
    </row>
    <row r="1484" spans="1:3" x14ac:dyDescent="0.25">
      <c r="A1484" s="247">
        <v>41617</v>
      </c>
      <c r="B1484" s="248">
        <v>0.79532407407407402</v>
      </c>
      <c r="C1484" s="1009" t="s">
        <v>1262</v>
      </c>
    </row>
    <row r="1485" spans="1:3" x14ac:dyDescent="0.25">
      <c r="A1485" s="247">
        <v>41617</v>
      </c>
      <c r="B1485" s="248">
        <v>0.79532407407407402</v>
      </c>
      <c r="C1485" s="1009" t="s">
        <v>1777</v>
      </c>
    </row>
    <row r="1486" spans="1:3" x14ac:dyDescent="0.25">
      <c r="A1486" s="247">
        <v>41617</v>
      </c>
      <c r="B1486" s="248">
        <v>0.79532407407407402</v>
      </c>
      <c r="C1486" s="1009" t="s">
        <v>1739</v>
      </c>
    </row>
    <row r="1487" spans="1:3" x14ac:dyDescent="0.25">
      <c r="A1487" s="247">
        <v>41617</v>
      </c>
      <c r="B1487" s="248">
        <v>0.79561342592592599</v>
      </c>
      <c r="C1487" s="1009" t="s">
        <v>1769</v>
      </c>
    </row>
    <row r="1488" spans="1:3" x14ac:dyDescent="0.25">
      <c r="A1488" s="247">
        <v>41617</v>
      </c>
      <c r="B1488" s="248">
        <v>0.79562499999999992</v>
      </c>
      <c r="C1488" s="1009" t="s">
        <v>1779</v>
      </c>
    </row>
    <row r="1489" spans="1:3" x14ac:dyDescent="0.25">
      <c r="A1489" s="247">
        <v>41617</v>
      </c>
      <c r="B1489" s="248">
        <v>0.79562499999999992</v>
      </c>
      <c r="C1489" s="1009" t="s">
        <v>1752</v>
      </c>
    </row>
    <row r="1490" spans="1:3" x14ac:dyDescent="0.25">
      <c r="A1490" s="247">
        <v>41617</v>
      </c>
      <c r="B1490" s="248">
        <v>0.79564814814814822</v>
      </c>
      <c r="C1490" s="1009" t="s">
        <v>1771</v>
      </c>
    </row>
    <row r="1491" spans="1:3" x14ac:dyDescent="0.25">
      <c r="A1491" s="247">
        <v>41617</v>
      </c>
      <c r="B1491" s="248">
        <v>0.79565972222222225</v>
      </c>
      <c r="C1491" s="1009" t="s">
        <v>1783</v>
      </c>
    </row>
    <row r="1492" spans="1:3" x14ac:dyDescent="0.25">
      <c r="A1492" s="247">
        <v>41617</v>
      </c>
      <c r="B1492" s="248">
        <v>0.79565972222222225</v>
      </c>
      <c r="C1492" s="1009" t="s">
        <v>1765</v>
      </c>
    </row>
    <row r="1493" spans="1:3" x14ac:dyDescent="0.25">
      <c r="A1493" s="247">
        <v>41617</v>
      </c>
      <c r="B1493" s="248">
        <v>0.79568287037037033</v>
      </c>
      <c r="C1493" s="1009" t="s">
        <v>1782</v>
      </c>
    </row>
    <row r="1494" spans="1:3" x14ac:dyDescent="0.25">
      <c r="A1494" s="247">
        <v>41617</v>
      </c>
      <c r="B1494" s="248">
        <v>0.79569444444444448</v>
      </c>
      <c r="C1494" s="1009" t="s">
        <v>1784</v>
      </c>
    </row>
    <row r="1495" spans="1:3" x14ac:dyDescent="0.25">
      <c r="A1495" s="247">
        <v>41617</v>
      </c>
      <c r="B1495" s="248">
        <v>0.79569444444444448</v>
      </c>
      <c r="C1495" s="1009" t="s">
        <v>1777</v>
      </c>
    </row>
    <row r="1496" spans="1:3" x14ac:dyDescent="0.25">
      <c r="A1496" s="247">
        <v>41617</v>
      </c>
      <c r="B1496" s="248">
        <v>0.79569444444444448</v>
      </c>
      <c r="C1496" s="1009" t="s">
        <v>1739</v>
      </c>
    </row>
    <row r="1497" spans="1:3" x14ac:dyDescent="0.25">
      <c r="A1497" s="247">
        <v>41617</v>
      </c>
      <c r="B1497" s="248">
        <v>0.79600694444444453</v>
      </c>
      <c r="C1497" s="1009" t="s">
        <v>1769</v>
      </c>
    </row>
    <row r="1498" spans="1:3" ht="30" x14ac:dyDescent="0.25">
      <c r="A1498" s="247">
        <v>41617</v>
      </c>
      <c r="B1498" s="248">
        <v>0.79692129629629627</v>
      </c>
      <c r="C1498" s="1005" t="s">
        <v>1785</v>
      </c>
    </row>
    <row r="1499" spans="1:3" x14ac:dyDescent="0.25">
      <c r="A1499" s="247">
        <v>41617</v>
      </c>
      <c r="B1499" s="248">
        <v>0.79703703703703699</v>
      </c>
      <c r="C1499" s="1009" t="s">
        <v>1681</v>
      </c>
    </row>
    <row r="1500" spans="1:3" x14ac:dyDescent="0.25">
      <c r="A1500" s="247">
        <v>41617</v>
      </c>
      <c r="B1500" s="248">
        <v>0.79724537037037047</v>
      </c>
      <c r="C1500" s="1009" t="s">
        <v>1786</v>
      </c>
    </row>
    <row r="1501" spans="1:3" x14ac:dyDescent="0.25">
      <c r="A1501" s="247">
        <v>41617</v>
      </c>
      <c r="B1501" s="248">
        <v>0.79725694444444439</v>
      </c>
      <c r="C1501" s="1009" t="s">
        <v>1787</v>
      </c>
    </row>
    <row r="1502" spans="1:3" ht="30" x14ac:dyDescent="0.25">
      <c r="A1502" s="247">
        <v>41617</v>
      </c>
      <c r="B1502" s="248">
        <v>0.7973958333333333</v>
      </c>
      <c r="C1502" s="1005" t="s">
        <v>1788</v>
      </c>
    </row>
    <row r="1503" spans="1:3" x14ac:dyDescent="0.25">
      <c r="A1503" s="247">
        <v>41617</v>
      </c>
      <c r="B1503" s="248">
        <v>0.79740740740740745</v>
      </c>
      <c r="C1503" s="1009" t="s">
        <v>1779</v>
      </c>
    </row>
    <row r="1504" spans="1:3" x14ac:dyDescent="0.25">
      <c r="A1504" s="247">
        <v>41617</v>
      </c>
      <c r="B1504" s="248">
        <v>0.79740740740740745</v>
      </c>
      <c r="C1504" s="1009" t="s">
        <v>1752</v>
      </c>
    </row>
    <row r="1505" spans="1:3" x14ac:dyDescent="0.25">
      <c r="A1505" s="247">
        <v>41617</v>
      </c>
      <c r="B1505" s="248">
        <v>0.79743055555555553</v>
      </c>
      <c r="C1505" s="1009" t="s">
        <v>1771</v>
      </c>
    </row>
    <row r="1506" spans="1:3" x14ac:dyDescent="0.25">
      <c r="A1506" s="247">
        <v>41617</v>
      </c>
      <c r="B1506" s="248">
        <v>0.79744212962962957</v>
      </c>
      <c r="C1506" s="1009" t="s">
        <v>1617</v>
      </c>
    </row>
    <row r="1507" spans="1:3" x14ac:dyDescent="0.25">
      <c r="A1507" s="247">
        <v>41617</v>
      </c>
      <c r="B1507" s="248">
        <v>0.79745370370370372</v>
      </c>
      <c r="C1507" s="1009" t="s">
        <v>1760</v>
      </c>
    </row>
    <row r="1508" spans="1:3" x14ac:dyDescent="0.25">
      <c r="A1508" s="247">
        <v>41617</v>
      </c>
      <c r="B1508" s="248">
        <v>0.79745370370370372</v>
      </c>
      <c r="C1508" s="1009" t="s">
        <v>1265</v>
      </c>
    </row>
    <row r="1509" spans="1:3" x14ac:dyDescent="0.25">
      <c r="A1509" s="247">
        <v>41617</v>
      </c>
      <c r="B1509" s="248">
        <v>0.79745370370370372</v>
      </c>
      <c r="C1509" s="1009" t="s">
        <v>1748</v>
      </c>
    </row>
    <row r="1510" spans="1:3" x14ac:dyDescent="0.25">
      <c r="A1510" s="247">
        <v>41617</v>
      </c>
      <c r="B1510" s="248">
        <v>0.79746527777777787</v>
      </c>
      <c r="C1510" s="1009" t="s">
        <v>1266</v>
      </c>
    </row>
    <row r="1511" spans="1:3" x14ac:dyDescent="0.25">
      <c r="A1511" s="247">
        <v>41617</v>
      </c>
      <c r="B1511" s="248">
        <v>0.79746527777777787</v>
      </c>
      <c r="C1511" s="1009" t="s">
        <v>1776</v>
      </c>
    </row>
    <row r="1512" spans="1:3" x14ac:dyDescent="0.25">
      <c r="A1512" s="247">
        <v>41617</v>
      </c>
      <c r="B1512" s="248">
        <v>0.79746527777777787</v>
      </c>
      <c r="C1512" s="1009" t="s">
        <v>1773</v>
      </c>
    </row>
    <row r="1513" spans="1:3" x14ac:dyDescent="0.25">
      <c r="A1513" s="247">
        <v>41617</v>
      </c>
      <c r="B1513" s="248">
        <v>0.79758101851851848</v>
      </c>
      <c r="C1513" s="1009" t="s">
        <v>1774</v>
      </c>
    </row>
    <row r="1514" spans="1:3" x14ac:dyDescent="0.25">
      <c r="A1514" s="247">
        <v>41617</v>
      </c>
      <c r="B1514" s="248">
        <v>0.79759259259259263</v>
      </c>
      <c r="C1514" s="1009" t="s">
        <v>1789</v>
      </c>
    </row>
    <row r="1515" spans="1:3" x14ac:dyDescent="0.25">
      <c r="A1515" s="247">
        <v>41617</v>
      </c>
      <c r="B1515" s="248">
        <v>0.79759259259259263</v>
      </c>
      <c r="C1515" s="1009" t="s">
        <v>1777</v>
      </c>
    </row>
    <row r="1516" spans="1:3" ht="45" x14ac:dyDescent="0.25">
      <c r="A1516" s="247">
        <v>41617</v>
      </c>
      <c r="B1516" s="248">
        <v>0.79886574074074079</v>
      </c>
      <c r="C1516" s="1005" t="s">
        <v>1790</v>
      </c>
    </row>
    <row r="1517" spans="1:3" x14ac:dyDescent="0.25">
      <c r="A1517" s="247">
        <v>41617</v>
      </c>
      <c r="B1517" s="248">
        <v>0.7990856481481482</v>
      </c>
      <c r="C1517" s="1009" t="s">
        <v>1739</v>
      </c>
    </row>
    <row r="1518" spans="1:3" x14ac:dyDescent="0.25">
      <c r="A1518" s="247">
        <v>41617</v>
      </c>
      <c r="B1518" s="248">
        <v>0.79942129629629621</v>
      </c>
      <c r="C1518" s="1009" t="s">
        <v>1769</v>
      </c>
    </row>
    <row r="1519" spans="1:3" x14ac:dyDescent="0.25">
      <c r="A1519" s="247">
        <v>41617</v>
      </c>
      <c r="B1519" s="248">
        <v>0.79946759259259259</v>
      </c>
      <c r="C1519" s="1009" t="s">
        <v>1484</v>
      </c>
    </row>
    <row r="1520" spans="1:3" ht="60" x14ac:dyDescent="0.25">
      <c r="A1520" s="247">
        <v>41617</v>
      </c>
      <c r="B1520" s="248">
        <v>0.79946759259259259</v>
      </c>
      <c r="C1520" s="1005" t="s">
        <v>1485</v>
      </c>
    </row>
    <row r="1521" spans="1:3" x14ac:dyDescent="0.25">
      <c r="A1521" s="247">
        <v>41617</v>
      </c>
      <c r="B1521" s="248">
        <v>0.79958333333333342</v>
      </c>
      <c r="C1521" s="1009" t="s">
        <v>1486</v>
      </c>
    </row>
    <row r="1522" spans="1:3" ht="60" x14ac:dyDescent="0.25">
      <c r="A1522" s="247">
        <v>41617</v>
      </c>
      <c r="B1522" s="248">
        <v>0.79958333333333342</v>
      </c>
      <c r="C1522" s="1005" t="s">
        <v>1487</v>
      </c>
    </row>
    <row r="1523" spans="1:3" x14ac:dyDescent="0.25">
      <c r="A1523" s="247">
        <v>41617</v>
      </c>
      <c r="B1523" s="248">
        <v>0.79959490740740735</v>
      </c>
      <c r="C1523" s="1009" t="s">
        <v>1486</v>
      </c>
    </row>
    <row r="1524" spans="1:3" ht="60" x14ac:dyDescent="0.25">
      <c r="A1524" s="247">
        <v>41617</v>
      </c>
      <c r="B1524" s="248">
        <v>0.79959490740740735</v>
      </c>
      <c r="C1524" s="1005" t="s">
        <v>1488</v>
      </c>
    </row>
    <row r="1525" spans="1:3" x14ac:dyDescent="0.25">
      <c r="A1525" s="247">
        <v>41617</v>
      </c>
      <c r="B1525" s="248">
        <v>0.79962962962962969</v>
      </c>
      <c r="C1525" s="1009" t="s">
        <v>1489</v>
      </c>
    </row>
    <row r="1526" spans="1:3" ht="60" x14ac:dyDescent="0.25">
      <c r="A1526" s="247">
        <v>41617</v>
      </c>
      <c r="B1526" s="248">
        <v>0.79962962962962969</v>
      </c>
      <c r="C1526" s="1005" t="s">
        <v>1490</v>
      </c>
    </row>
    <row r="1527" spans="1:3" x14ac:dyDescent="0.25">
      <c r="A1527" s="247">
        <v>41617</v>
      </c>
      <c r="B1527" s="248">
        <v>0.79966435185185192</v>
      </c>
      <c r="C1527" s="1009" t="s">
        <v>1491</v>
      </c>
    </row>
    <row r="1528" spans="1:3" ht="60" x14ac:dyDescent="0.25">
      <c r="A1528" s="247">
        <v>41617</v>
      </c>
      <c r="B1528" s="248">
        <v>0.79966435185185192</v>
      </c>
      <c r="C1528" s="1005" t="s">
        <v>1492</v>
      </c>
    </row>
    <row r="1529" spans="1:3" x14ac:dyDescent="0.25">
      <c r="A1529" s="247">
        <v>41617</v>
      </c>
      <c r="B1529" s="248">
        <v>0.79997685185185186</v>
      </c>
      <c r="C1529" s="1009" t="s">
        <v>1791</v>
      </c>
    </row>
    <row r="1530" spans="1:3" x14ac:dyDescent="0.25">
      <c r="A1530" s="247">
        <v>41617</v>
      </c>
      <c r="B1530" s="248">
        <v>0.80011574074074077</v>
      </c>
      <c r="C1530" s="1009" t="s">
        <v>1792</v>
      </c>
    </row>
    <row r="1531" spans="1:3" x14ac:dyDescent="0.25">
      <c r="A1531" s="247">
        <v>41617</v>
      </c>
      <c r="B1531" s="248">
        <v>0.80011574074074077</v>
      </c>
      <c r="C1531" s="1009" t="s">
        <v>1793</v>
      </c>
    </row>
    <row r="1532" spans="1:3" x14ac:dyDescent="0.25">
      <c r="A1532" s="247">
        <v>41617</v>
      </c>
      <c r="B1532" s="248">
        <v>0.80011574074074077</v>
      </c>
      <c r="C1532" s="1009" t="s">
        <v>1794</v>
      </c>
    </row>
    <row r="1533" spans="1:3" x14ac:dyDescent="0.25">
      <c r="A1533" s="247">
        <v>41617</v>
      </c>
      <c r="B1533" s="248">
        <v>0.80013888888888884</v>
      </c>
      <c r="C1533" s="1009" t="s">
        <v>1795</v>
      </c>
    </row>
    <row r="1534" spans="1:3" x14ac:dyDescent="0.25">
      <c r="A1534" s="247">
        <v>41617</v>
      </c>
      <c r="B1534" s="248">
        <v>0.80013888888888884</v>
      </c>
      <c r="C1534" s="1009" t="s">
        <v>1796</v>
      </c>
    </row>
    <row r="1535" spans="1:3" x14ac:dyDescent="0.25">
      <c r="A1535" s="247">
        <v>41617</v>
      </c>
      <c r="B1535" s="248">
        <v>0.80013888888888884</v>
      </c>
      <c r="C1535" s="1009" t="s">
        <v>1797</v>
      </c>
    </row>
    <row r="1536" spans="1:3" x14ac:dyDescent="0.25">
      <c r="A1536" s="247">
        <v>41617</v>
      </c>
      <c r="B1536" s="248">
        <v>0.80013888888888884</v>
      </c>
      <c r="C1536" s="1009" t="s">
        <v>1798</v>
      </c>
    </row>
    <row r="1537" spans="1:3" x14ac:dyDescent="0.25">
      <c r="A1537" s="247">
        <v>41617</v>
      </c>
      <c r="B1537" s="248">
        <v>0.80015046296296299</v>
      </c>
      <c r="C1537" s="1009" t="s">
        <v>1799</v>
      </c>
    </row>
    <row r="1538" spans="1:3" x14ac:dyDescent="0.25">
      <c r="A1538" s="247">
        <v>41617</v>
      </c>
      <c r="B1538" s="248">
        <v>0.80015046296296299</v>
      </c>
      <c r="C1538" s="1009" t="s">
        <v>1800</v>
      </c>
    </row>
    <row r="1539" spans="1:3" x14ac:dyDescent="0.25">
      <c r="A1539" s="247">
        <v>41617</v>
      </c>
      <c r="B1539" s="248">
        <v>0.80015046296296299</v>
      </c>
      <c r="C1539" s="1009" t="s">
        <v>1801</v>
      </c>
    </row>
    <row r="1540" spans="1:3" x14ac:dyDescent="0.25">
      <c r="A1540" s="247">
        <v>41617</v>
      </c>
      <c r="B1540" s="248">
        <v>0.80015046296296299</v>
      </c>
      <c r="C1540" s="1009" t="s">
        <v>1802</v>
      </c>
    </row>
    <row r="1541" spans="1:3" x14ac:dyDescent="0.25">
      <c r="A1541" s="247">
        <v>41617</v>
      </c>
      <c r="B1541" s="248">
        <v>0.80015046296296299</v>
      </c>
      <c r="C1541" s="1009" t="s">
        <v>1803</v>
      </c>
    </row>
    <row r="1542" spans="1:3" x14ac:dyDescent="0.25">
      <c r="A1542" s="247">
        <v>41617</v>
      </c>
      <c r="B1542" s="248">
        <v>0.80407407407407405</v>
      </c>
      <c r="C1542" s="1009" t="s">
        <v>1789</v>
      </c>
    </row>
    <row r="1543" spans="1:3" x14ac:dyDescent="0.25">
      <c r="A1543" s="247">
        <v>41617</v>
      </c>
      <c r="B1543" s="248">
        <v>0.80407407407407405</v>
      </c>
      <c r="C1543" s="1009" t="s">
        <v>1804</v>
      </c>
    </row>
    <row r="1544" spans="1:3" x14ac:dyDescent="0.25">
      <c r="A1544" s="247">
        <v>41617</v>
      </c>
      <c r="B1544" s="248">
        <v>0.8040856481481482</v>
      </c>
      <c r="C1544" s="1009" t="s">
        <v>1805</v>
      </c>
    </row>
    <row r="1545" spans="1:3" x14ac:dyDescent="0.25">
      <c r="A1545" s="247">
        <v>41617</v>
      </c>
      <c r="B1545" s="248">
        <v>0.80409722222222213</v>
      </c>
      <c r="C1545" s="1009" t="s">
        <v>1806</v>
      </c>
    </row>
    <row r="1546" spans="1:3" x14ac:dyDescent="0.25">
      <c r="A1546" s="247">
        <v>41617</v>
      </c>
      <c r="B1546" s="248">
        <v>0.80410879629629628</v>
      </c>
      <c r="C1546" s="1009" t="s">
        <v>1807</v>
      </c>
    </row>
    <row r="1547" spans="1:3" x14ac:dyDescent="0.25">
      <c r="A1547" s="247">
        <v>41617</v>
      </c>
      <c r="B1547" s="248">
        <v>0.80410879629629628</v>
      </c>
      <c r="C1547" s="1009" t="s">
        <v>1681</v>
      </c>
    </row>
    <row r="1548" spans="1:3" x14ac:dyDescent="0.25">
      <c r="A1548" s="247">
        <v>41617</v>
      </c>
      <c r="B1548" s="248">
        <v>0.80431712962962953</v>
      </c>
      <c r="C1548" s="1009" t="s">
        <v>1617</v>
      </c>
    </row>
    <row r="1549" spans="1:3" x14ac:dyDescent="0.25">
      <c r="A1549" s="247">
        <v>41617</v>
      </c>
      <c r="B1549" s="248">
        <v>0.80432870370370368</v>
      </c>
      <c r="C1549" s="1009" t="s">
        <v>1808</v>
      </c>
    </row>
    <row r="1550" spans="1:3" x14ac:dyDescent="0.25">
      <c r="A1550" s="247">
        <v>41617</v>
      </c>
      <c r="B1550" s="248">
        <v>0.80443287037037037</v>
      </c>
      <c r="C1550" s="1009" t="s">
        <v>1809</v>
      </c>
    </row>
    <row r="1551" spans="1:3" ht="45" x14ac:dyDescent="0.25">
      <c r="A1551" s="247">
        <v>41617</v>
      </c>
      <c r="B1551" s="248">
        <v>0.81534722222222233</v>
      </c>
      <c r="C1551" s="1005" t="s">
        <v>1810</v>
      </c>
    </row>
    <row r="1552" spans="1:3" ht="45" x14ac:dyDescent="0.25">
      <c r="A1552" s="247">
        <v>41617</v>
      </c>
      <c r="B1552" s="248">
        <v>0.81633101851851853</v>
      </c>
      <c r="C1552" s="1005" t="s">
        <v>1811</v>
      </c>
    </row>
    <row r="1553" spans="1:3" ht="45" x14ac:dyDescent="0.25">
      <c r="A1553" s="247">
        <v>41617</v>
      </c>
      <c r="B1553" s="248">
        <v>0.81685185185185183</v>
      </c>
      <c r="C1553" s="1005" t="s">
        <v>1812</v>
      </c>
    </row>
    <row r="1554" spans="1:3" ht="30" x14ac:dyDescent="0.25">
      <c r="A1554" s="247">
        <v>41617</v>
      </c>
      <c r="B1554" s="248">
        <v>0.81833333333333336</v>
      </c>
      <c r="C1554" s="1005" t="s">
        <v>1813</v>
      </c>
    </row>
    <row r="1555" spans="1:3" x14ac:dyDescent="0.25">
      <c r="A1555" s="247">
        <v>41617</v>
      </c>
      <c r="B1555" s="248">
        <v>0.81833333333333336</v>
      </c>
      <c r="C1555" s="1009" t="s">
        <v>1814</v>
      </c>
    </row>
    <row r="1556" spans="1:3" x14ac:dyDescent="0.25">
      <c r="A1556" s="247">
        <v>41617</v>
      </c>
      <c r="B1556" s="248">
        <v>0.81844907407407408</v>
      </c>
      <c r="C1556" s="1009" t="s">
        <v>1777</v>
      </c>
    </row>
    <row r="1557" spans="1:3" x14ac:dyDescent="0.25">
      <c r="A1557" s="247">
        <v>41617</v>
      </c>
      <c r="B1557" s="248">
        <v>0.81844907407407408</v>
      </c>
      <c r="C1557" s="1009" t="s">
        <v>1739</v>
      </c>
    </row>
    <row r="1558" spans="1:3" x14ac:dyDescent="0.25">
      <c r="A1558" s="247">
        <v>41617</v>
      </c>
      <c r="B1558" s="248">
        <v>0.81878472222222232</v>
      </c>
      <c r="C1558" s="1009" t="s">
        <v>1815</v>
      </c>
    </row>
    <row r="1559" spans="1:3" ht="30" x14ac:dyDescent="0.25">
      <c r="A1559" s="247">
        <v>41617</v>
      </c>
      <c r="B1559" s="248">
        <v>0.81976851851851851</v>
      </c>
      <c r="C1559" s="1005" t="s">
        <v>1816</v>
      </c>
    </row>
    <row r="1560" spans="1:3" x14ac:dyDescent="0.25">
      <c r="A1560" s="247">
        <v>41617</v>
      </c>
      <c r="B1560" s="248">
        <v>0.819849537037037</v>
      </c>
      <c r="C1560" s="1009" t="s">
        <v>1817</v>
      </c>
    </row>
    <row r="1561" spans="1:3" x14ac:dyDescent="0.25">
      <c r="A1561" s="247">
        <v>41617</v>
      </c>
      <c r="B1561" s="248">
        <v>0.82005787037037037</v>
      </c>
      <c r="C1561" s="1009" t="s">
        <v>1818</v>
      </c>
    </row>
    <row r="1562" spans="1:3" ht="45" x14ac:dyDescent="0.25">
      <c r="A1562" s="247">
        <v>41617</v>
      </c>
      <c r="B1562" s="248">
        <v>0.82199074074074074</v>
      </c>
      <c r="C1562" s="1005" t="s">
        <v>1819</v>
      </c>
    </row>
    <row r="1563" spans="1:3" x14ac:dyDescent="0.25">
      <c r="A1563" s="247">
        <v>41617</v>
      </c>
      <c r="B1563" s="248">
        <v>0.82199074074074074</v>
      </c>
      <c r="C1563" s="1009" t="s">
        <v>1787</v>
      </c>
    </row>
    <row r="1564" spans="1:3" ht="30" x14ac:dyDescent="0.25">
      <c r="A1564" s="247">
        <v>41617</v>
      </c>
      <c r="B1564" s="248">
        <v>0.8221412037037038</v>
      </c>
      <c r="C1564" s="1005" t="s">
        <v>1820</v>
      </c>
    </row>
    <row r="1565" spans="1:3" x14ac:dyDescent="0.25">
      <c r="A1565" s="247">
        <v>41617</v>
      </c>
      <c r="B1565" s="248">
        <v>0.82215277777777773</v>
      </c>
      <c r="C1565" s="1009" t="s">
        <v>1779</v>
      </c>
    </row>
    <row r="1566" spans="1:3" x14ac:dyDescent="0.25">
      <c r="A1566" s="247">
        <v>41617</v>
      </c>
      <c r="B1566" s="248">
        <v>0.82215277777777773</v>
      </c>
      <c r="C1566" s="1009" t="s">
        <v>1752</v>
      </c>
    </row>
    <row r="1567" spans="1:3" x14ac:dyDescent="0.25">
      <c r="A1567" s="247">
        <v>41617</v>
      </c>
      <c r="B1567" s="248">
        <v>0.82217592592592592</v>
      </c>
      <c r="C1567" s="1009" t="s">
        <v>1771</v>
      </c>
    </row>
    <row r="1568" spans="1:3" x14ac:dyDescent="0.25">
      <c r="A1568" s="247">
        <v>41617</v>
      </c>
      <c r="B1568" s="248">
        <v>0.82218750000000007</v>
      </c>
      <c r="C1568" s="1009" t="s">
        <v>1821</v>
      </c>
    </row>
    <row r="1569" spans="1:3" x14ac:dyDescent="0.25">
      <c r="A1569" s="247">
        <v>41617</v>
      </c>
      <c r="B1569" s="248">
        <v>0.82221064814814815</v>
      </c>
      <c r="C1569" s="1009" t="s">
        <v>1822</v>
      </c>
    </row>
    <row r="1570" spans="1:3" x14ac:dyDescent="0.25">
      <c r="A1570" s="247">
        <v>41617</v>
      </c>
      <c r="B1570" s="248">
        <v>0.82256944444444446</v>
      </c>
      <c r="C1570" s="1009" t="s">
        <v>1262</v>
      </c>
    </row>
    <row r="1571" spans="1:3" x14ac:dyDescent="0.25">
      <c r="A1571" s="247">
        <v>41617</v>
      </c>
      <c r="B1571" s="248">
        <v>0.82256944444444446</v>
      </c>
      <c r="C1571" s="1009" t="s">
        <v>1823</v>
      </c>
    </row>
    <row r="1572" spans="1:3" ht="45" x14ac:dyDescent="0.25">
      <c r="A1572" s="247">
        <v>41617</v>
      </c>
      <c r="B1572" s="248">
        <v>0.82384259259259263</v>
      </c>
      <c r="C1572" s="1005" t="s">
        <v>1824</v>
      </c>
    </row>
    <row r="1573" spans="1:3" x14ac:dyDescent="0.25">
      <c r="A1573" s="247">
        <v>41617</v>
      </c>
      <c r="B1573" s="248">
        <v>0.82406250000000003</v>
      </c>
      <c r="C1573" s="1009" t="s">
        <v>1739</v>
      </c>
    </row>
    <row r="1574" spans="1:3" x14ac:dyDescent="0.25">
      <c r="A1574" s="247">
        <v>41617</v>
      </c>
      <c r="B1574" s="248">
        <v>0.82437499999999997</v>
      </c>
      <c r="C1574" s="1009" t="s">
        <v>1825</v>
      </c>
    </row>
    <row r="1575" spans="1:3" x14ac:dyDescent="0.25">
      <c r="A1575" s="247">
        <v>41617</v>
      </c>
      <c r="B1575" s="248">
        <v>0.82438657407407412</v>
      </c>
      <c r="C1575" s="1009" t="s">
        <v>1779</v>
      </c>
    </row>
    <row r="1576" spans="1:3" ht="45" x14ac:dyDescent="0.25">
      <c r="A1576" s="247">
        <v>41617</v>
      </c>
      <c r="B1576" s="248">
        <v>0.82460648148148152</v>
      </c>
      <c r="C1576" s="1005" t="s">
        <v>1826</v>
      </c>
    </row>
    <row r="1577" spans="1:3" x14ac:dyDescent="0.25">
      <c r="A1577" s="247">
        <v>41617</v>
      </c>
      <c r="B1577" s="248">
        <v>0.82466435185185183</v>
      </c>
      <c r="C1577" s="1009" t="s">
        <v>1752</v>
      </c>
    </row>
    <row r="1578" spans="1:3" x14ac:dyDescent="0.25">
      <c r="A1578" s="247">
        <v>41617</v>
      </c>
      <c r="B1578" s="248">
        <v>0.82468750000000002</v>
      </c>
      <c r="C1578" s="1009" t="s">
        <v>1827</v>
      </c>
    </row>
    <row r="1579" spans="1:3" x14ac:dyDescent="0.25">
      <c r="A1579" s="247">
        <v>41617</v>
      </c>
      <c r="B1579" s="248">
        <v>0.82469907407407417</v>
      </c>
      <c r="C1579" s="1009" t="s">
        <v>1783</v>
      </c>
    </row>
    <row r="1580" spans="1:3" x14ac:dyDescent="0.25">
      <c r="A1580" s="247">
        <v>41617</v>
      </c>
      <c r="B1580" s="248">
        <v>0.82469907407407417</v>
      </c>
      <c r="C1580" s="1009" t="s">
        <v>1765</v>
      </c>
    </row>
    <row r="1581" spans="1:3" x14ac:dyDescent="0.25">
      <c r="A1581" s="247">
        <v>41617</v>
      </c>
      <c r="B1581" s="248">
        <v>0.82472222222222225</v>
      </c>
      <c r="C1581" s="1009" t="s">
        <v>1782</v>
      </c>
    </row>
    <row r="1582" spans="1:3" x14ac:dyDescent="0.25">
      <c r="A1582" s="247">
        <v>41617</v>
      </c>
      <c r="B1582" s="248">
        <v>0.82473379629629628</v>
      </c>
      <c r="C1582" s="1009" t="s">
        <v>1828</v>
      </c>
    </row>
    <row r="1583" spans="1:3" x14ac:dyDescent="0.25">
      <c r="A1583" s="247">
        <v>41617</v>
      </c>
      <c r="B1583" s="248">
        <v>0.82473379629629628</v>
      </c>
      <c r="C1583" s="1009" t="s">
        <v>1829</v>
      </c>
    </row>
    <row r="1584" spans="1:3" x14ac:dyDescent="0.25">
      <c r="A1584" s="247">
        <v>41617</v>
      </c>
      <c r="B1584" s="248">
        <v>0.82473379629629628</v>
      </c>
      <c r="C1584" s="1009" t="s">
        <v>1739</v>
      </c>
    </row>
    <row r="1585" spans="1:3" x14ac:dyDescent="0.25">
      <c r="A1585" s="247">
        <v>41617</v>
      </c>
      <c r="B1585" s="248">
        <v>0.82508101851851856</v>
      </c>
      <c r="C1585" s="1009" t="s">
        <v>1825</v>
      </c>
    </row>
    <row r="1586" spans="1:3" ht="30" x14ac:dyDescent="0.25">
      <c r="A1586" s="247">
        <v>41617</v>
      </c>
      <c r="B1586" s="248">
        <v>0.82600694444444445</v>
      </c>
      <c r="C1586" s="1005" t="s">
        <v>1830</v>
      </c>
    </row>
    <row r="1587" spans="1:3" x14ac:dyDescent="0.25">
      <c r="A1587" s="247">
        <v>41617</v>
      </c>
      <c r="B1587" s="248">
        <v>0.82612268518518517</v>
      </c>
      <c r="C1587" s="1009" t="s">
        <v>1817</v>
      </c>
    </row>
    <row r="1588" spans="1:3" x14ac:dyDescent="0.25">
      <c r="A1588" s="247">
        <v>41617</v>
      </c>
      <c r="B1588" s="248">
        <v>0.82634259259259257</v>
      </c>
      <c r="C1588" s="1009" t="s">
        <v>1831</v>
      </c>
    </row>
    <row r="1589" spans="1:3" x14ac:dyDescent="0.25">
      <c r="A1589" s="247">
        <v>41617</v>
      </c>
      <c r="B1589" s="248">
        <v>0.82635416666666661</v>
      </c>
      <c r="C1589" s="1009" t="s">
        <v>1832</v>
      </c>
    </row>
    <row r="1590" spans="1:3" ht="30" x14ac:dyDescent="0.25">
      <c r="A1590" s="247">
        <v>41617</v>
      </c>
      <c r="B1590" s="248">
        <v>0.82649305555555552</v>
      </c>
      <c r="C1590" s="1005" t="s">
        <v>1833</v>
      </c>
    </row>
    <row r="1591" spans="1:3" x14ac:dyDescent="0.25">
      <c r="A1591" s="247">
        <v>41617</v>
      </c>
      <c r="B1591" s="248">
        <v>0.8265162037037036</v>
      </c>
      <c r="C1591" s="1009" t="s">
        <v>1834</v>
      </c>
    </row>
    <row r="1592" spans="1:3" x14ac:dyDescent="0.25">
      <c r="A1592" s="247">
        <v>41617</v>
      </c>
      <c r="B1592" s="248">
        <v>0.8265162037037036</v>
      </c>
      <c r="C1592" s="1009" t="s">
        <v>1752</v>
      </c>
    </row>
    <row r="1593" spans="1:3" x14ac:dyDescent="0.25">
      <c r="A1593" s="247">
        <v>41617</v>
      </c>
      <c r="B1593" s="248">
        <v>0.8265393518518519</v>
      </c>
      <c r="C1593" s="1009" t="s">
        <v>1827</v>
      </c>
    </row>
    <row r="1594" spans="1:3" x14ac:dyDescent="0.25">
      <c r="A1594" s="247">
        <v>41617</v>
      </c>
      <c r="B1594" s="248">
        <v>0.8265393518518519</v>
      </c>
      <c r="C1594" s="1009" t="s">
        <v>1821</v>
      </c>
    </row>
    <row r="1595" spans="1:3" x14ac:dyDescent="0.25">
      <c r="A1595" s="247">
        <v>41617</v>
      </c>
      <c r="B1595" s="248">
        <v>0.82655092592592594</v>
      </c>
      <c r="C1595" s="1009" t="s">
        <v>1822</v>
      </c>
    </row>
    <row r="1596" spans="1:3" x14ac:dyDescent="0.25">
      <c r="A1596" s="247">
        <v>41617</v>
      </c>
      <c r="B1596" s="248">
        <v>0.82657407407407402</v>
      </c>
      <c r="C1596" s="1009" t="s">
        <v>1265</v>
      </c>
    </row>
    <row r="1597" spans="1:3" x14ac:dyDescent="0.25">
      <c r="A1597" s="247">
        <v>41617</v>
      </c>
      <c r="B1597" s="248">
        <v>0.82657407407407402</v>
      </c>
      <c r="C1597" s="1009" t="s">
        <v>1748</v>
      </c>
    </row>
    <row r="1598" spans="1:3" x14ac:dyDescent="0.25">
      <c r="A1598" s="247">
        <v>41617</v>
      </c>
      <c r="B1598" s="248">
        <v>0.82657407407407402</v>
      </c>
      <c r="C1598" s="1009" t="s">
        <v>1266</v>
      </c>
    </row>
    <row r="1599" spans="1:3" x14ac:dyDescent="0.25">
      <c r="A1599" s="247">
        <v>41617</v>
      </c>
      <c r="B1599" s="248">
        <v>0.82657407407407402</v>
      </c>
      <c r="C1599" s="1009" t="s">
        <v>1776</v>
      </c>
    </row>
    <row r="1600" spans="1:3" x14ac:dyDescent="0.25">
      <c r="A1600" s="247">
        <v>41617</v>
      </c>
      <c r="B1600" s="248">
        <v>0.82657407407407402</v>
      </c>
      <c r="C1600" s="1009" t="s">
        <v>1829</v>
      </c>
    </row>
    <row r="1601" spans="1:3" ht="45" x14ac:dyDescent="0.25">
      <c r="A1601" s="247">
        <v>41617</v>
      </c>
      <c r="B1601" s="248">
        <v>0.82783564814814825</v>
      </c>
      <c r="C1601" s="1005" t="s">
        <v>1835</v>
      </c>
    </row>
    <row r="1602" spans="1:3" x14ac:dyDescent="0.25">
      <c r="A1602" s="247">
        <v>41617</v>
      </c>
      <c r="B1602" s="248">
        <v>0.82806712962962958</v>
      </c>
      <c r="C1602" s="1009" t="s">
        <v>1739</v>
      </c>
    </row>
    <row r="1603" spans="1:3" x14ac:dyDescent="0.25">
      <c r="A1603" s="247">
        <v>41617</v>
      </c>
      <c r="B1603" s="248">
        <v>0.82837962962962963</v>
      </c>
      <c r="C1603" s="1009" t="s">
        <v>1825</v>
      </c>
    </row>
    <row r="1604" spans="1:3" x14ac:dyDescent="0.25">
      <c r="A1604" s="247">
        <v>41617</v>
      </c>
      <c r="B1604" s="248">
        <v>0.82837962962962963</v>
      </c>
      <c r="C1604" s="1009" t="s">
        <v>1834</v>
      </c>
    </row>
    <row r="1605" spans="1:3" x14ac:dyDescent="0.25">
      <c r="A1605" s="247">
        <v>41617</v>
      </c>
      <c r="B1605" s="248">
        <v>0.82837962962962963</v>
      </c>
      <c r="C1605" s="1009" t="s">
        <v>1752</v>
      </c>
    </row>
    <row r="1606" spans="1:3" x14ac:dyDescent="0.25">
      <c r="A1606" s="247">
        <v>41617</v>
      </c>
      <c r="B1606" s="248">
        <v>0.82840277777777782</v>
      </c>
      <c r="C1606" s="1009" t="s">
        <v>1827</v>
      </c>
    </row>
    <row r="1607" spans="1:3" x14ac:dyDescent="0.25">
      <c r="A1607" s="247">
        <v>41617</v>
      </c>
      <c r="B1607" s="248">
        <v>0.82841435185185175</v>
      </c>
      <c r="C1607" s="1009" t="s">
        <v>1783</v>
      </c>
    </row>
    <row r="1608" spans="1:3" x14ac:dyDescent="0.25">
      <c r="A1608" s="247">
        <v>41617</v>
      </c>
      <c r="B1608" s="248">
        <v>0.82841435185185175</v>
      </c>
      <c r="C1608" s="1009" t="s">
        <v>1765</v>
      </c>
    </row>
    <row r="1609" spans="1:3" x14ac:dyDescent="0.25">
      <c r="A1609" s="247">
        <v>41617</v>
      </c>
      <c r="B1609" s="248">
        <v>0.82843750000000005</v>
      </c>
      <c r="C1609" s="1009" t="s">
        <v>1782</v>
      </c>
    </row>
    <row r="1610" spans="1:3" x14ac:dyDescent="0.25">
      <c r="A1610" s="247">
        <v>41617</v>
      </c>
      <c r="B1610" s="248">
        <v>0.82844907407407409</v>
      </c>
      <c r="C1610" s="1009" t="s">
        <v>1773</v>
      </c>
    </row>
    <row r="1611" spans="1:3" x14ac:dyDescent="0.25">
      <c r="A1611" s="247">
        <v>41617</v>
      </c>
      <c r="B1611" s="248">
        <v>0.82856481481481481</v>
      </c>
      <c r="C1611" s="1009" t="s">
        <v>1774</v>
      </c>
    </row>
    <row r="1612" spans="1:3" x14ac:dyDescent="0.25">
      <c r="A1612" s="247">
        <v>41617</v>
      </c>
      <c r="B1612" s="248">
        <v>0.82857638888888896</v>
      </c>
      <c r="C1612" s="1009" t="s">
        <v>1836</v>
      </c>
    </row>
    <row r="1613" spans="1:3" x14ac:dyDescent="0.25">
      <c r="A1613" s="247">
        <v>41617</v>
      </c>
      <c r="B1613" s="248">
        <v>0.82857638888888896</v>
      </c>
      <c r="C1613" s="1009" t="s">
        <v>1829</v>
      </c>
    </row>
    <row r="1614" spans="1:3" x14ac:dyDescent="0.25">
      <c r="A1614" s="247">
        <v>41617</v>
      </c>
      <c r="B1614" s="248">
        <v>0.82857638888888896</v>
      </c>
      <c r="C1614" s="1009" t="s">
        <v>1739</v>
      </c>
    </row>
    <row r="1615" spans="1:3" x14ac:dyDescent="0.25">
      <c r="A1615" s="247">
        <v>41617</v>
      </c>
      <c r="B1615" s="248">
        <v>0.82891203703703698</v>
      </c>
      <c r="C1615" s="1009" t="s">
        <v>1825</v>
      </c>
    </row>
    <row r="1616" spans="1:3" x14ac:dyDescent="0.25">
      <c r="A1616" s="247">
        <v>41617</v>
      </c>
      <c r="B1616" s="248">
        <v>0.82895833333333335</v>
      </c>
      <c r="C1616" s="1009" t="s">
        <v>1484</v>
      </c>
    </row>
    <row r="1617" spans="1:3" ht="60" x14ac:dyDescent="0.25">
      <c r="A1617" s="247">
        <v>41617</v>
      </c>
      <c r="B1617" s="248">
        <v>0.82895833333333335</v>
      </c>
      <c r="C1617" s="1005" t="s">
        <v>1485</v>
      </c>
    </row>
    <row r="1618" spans="1:3" x14ac:dyDescent="0.25">
      <c r="A1618" s="247">
        <v>41617</v>
      </c>
      <c r="B1618" s="248">
        <v>0.84046296296296286</v>
      </c>
      <c r="C1618" s="1009" t="s">
        <v>1486</v>
      </c>
    </row>
    <row r="1619" spans="1:3" ht="60" x14ac:dyDescent="0.25">
      <c r="A1619" s="247">
        <v>41617</v>
      </c>
      <c r="B1619" s="248">
        <v>0.84046296296296286</v>
      </c>
      <c r="C1619" s="1005" t="s">
        <v>1487</v>
      </c>
    </row>
    <row r="1620" spans="1:3" x14ac:dyDescent="0.25">
      <c r="A1620" s="247">
        <v>41617</v>
      </c>
      <c r="B1620" s="248">
        <v>0.84047453703703701</v>
      </c>
      <c r="C1620" s="1009" t="s">
        <v>1486</v>
      </c>
    </row>
    <row r="1621" spans="1:3" ht="60" x14ac:dyDescent="0.25">
      <c r="A1621" s="247">
        <v>41617</v>
      </c>
      <c r="B1621" s="248">
        <v>0.84047453703703701</v>
      </c>
      <c r="C1621" s="1005" t="s">
        <v>1488</v>
      </c>
    </row>
    <row r="1622" spans="1:3" x14ac:dyDescent="0.25">
      <c r="A1622" s="247">
        <v>41617</v>
      </c>
      <c r="B1622" s="248">
        <v>0.84049768518518519</v>
      </c>
      <c r="C1622" s="1009" t="s">
        <v>1489</v>
      </c>
    </row>
    <row r="1623" spans="1:3" ht="60" x14ac:dyDescent="0.25">
      <c r="A1623" s="247">
        <v>41617</v>
      </c>
      <c r="B1623" s="248">
        <v>0.84049768518518519</v>
      </c>
      <c r="C1623" s="1005" t="s">
        <v>1490</v>
      </c>
    </row>
    <row r="1624" spans="1:3" x14ac:dyDescent="0.25">
      <c r="A1624" s="247">
        <v>41617</v>
      </c>
      <c r="B1624" s="248">
        <v>0.84050925925925923</v>
      </c>
      <c r="C1624" s="1009" t="s">
        <v>1491</v>
      </c>
    </row>
    <row r="1625" spans="1:3" ht="60" x14ac:dyDescent="0.25">
      <c r="A1625" s="247">
        <v>41617</v>
      </c>
      <c r="B1625" s="248">
        <v>0.84050925925925923</v>
      </c>
      <c r="C1625" s="1005" t="s">
        <v>1492</v>
      </c>
    </row>
    <row r="1626" spans="1:3" x14ac:dyDescent="0.25">
      <c r="A1626" s="247">
        <v>41617</v>
      </c>
      <c r="B1626" s="248">
        <v>0.84061342592592592</v>
      </c>
      <c r="C1626" s="1009" t="s">
        <v>1837</v>
      </c>
    </row>
    <row r="1627" spans="1:3" x14ac:dyDescent="0.25">
      <c r="A1627" s="247">
        <v>41617</v>
      </c>
      <c r="B1627" s="248">
        <v>0.84069444444444441</v>
      </c>
      <c r="C1627" s="1009" t="s">
        <v>1838</v>
      </c>
    </row>
    <row r="1628" spans="1:3" x14ac:dyDescent="0.25">
      <c r="A1628" s="247">
        <v>41617</v>
      </c>
      <c r="B1628" s="248">
        <v>0.84069444444444441</v>
      </c>
      <c r="C1628" s="1009" t="s">
        <v>1839</v>
      </c>
    </row>
    <row r="1629" spans="1:3" x14ac:dyDescent="0.25">
      <c r="A1629" s="247">
        <v>41617</v>
      </c>
      <c r="B1629" s="248">
        <v>0.84069444444444441</v>
      </c>
      <c r="C1629" s="1009" t="s">
        <v>1840</v>
      </c>
    </row>
    <row r="1630" spans="1:3" x14ac:dyDescent="0.25">
      <c r="A1630" s="247">
        <v>41617</v>
      </c>
      <c r="B1630" s="248">
        <v>0.84070601851851856</v>
      </c>
      <c r="C1630" s="1009" t="s">
        <v>1841</v>
      </c>
    </row>
    <row r="1631" spans="1:3" x14ac:dyDescent="0.25">
      <c r="A1631" s="247">
        <v>41617</v>
      </c>
      <c r="B1631" s="248">
        <v>0.84070601851851856</v>
      </c>
      <c r="C1631" s="1009" t="s">
        <v>1842</v>
      </c>
    </row>
    <row r="1632" spans="1:3" x14ac:dyDescent="0.25">
      <c r="A1632" s="247">
        <v>41617</v>
      </c>
      <c r="B1632" s="248">
        <v>0.84070601851851856</v>
      </c>
      <c r="C1632" s="1009" t="s">
        <v>1843</v>
      </c>
    </row>
    <row r="1633" spans="1:3" x14ac:dyDescent="0.25">
      <c r="A1633" s="247">
        <v>41617</v>
      </c>
      <c r="B1633" s="248">
        <v>0.84070601851851856</v>
      </c>
      <c r="C1633" s="1009" t="s">
        <v>1844</v>
      </c>
    </row>
    <row r="1634" spans="1:3" x14ac:dyDescent="0.25">
      <c r="A1634" s="247">
        <v>41617</v>
      </c>
      <c r="B1634" s="248">
        <v>0.84070601851851856</v>
      </c>
      <c r="C1634" s="1009" t="s">
        <v>1845</v>
      </c>
    </row>
    <row r="1635" spans="1:3" x14ac:dyDescent="0.25">
      <c r="A1635" s="247">
        <v>41617</v>
      </c>
      <c r="B1635" s="248">
        <v>0.84070601851851856</v>
      </c>
      <c r="C1635" s="1009" t="s">
        <v>1846</v>
      </c>
    </row>
    <row r="1636" spans="1:3" x14ac:dyDescent="0.25">
      <c r="A1636" s="247">
        <v>41617</v>
      </c>
      <c r="B1636" s="248">
        <v>0.84070601851851856</v>
      </c>
      <c r="C1636" s="1009" t="s">
        <v>1847</v>
      </c>
    </row>
    <row r="1637" spans="1:3" x14ac:dyDescent="0.25">
      <c r="A1637" s="247">
        <v>41617</v>
      </c>
      <c r="B1637" s="248">
        <v>0.84070601851851856</v>
      </c>
      <c r="C1637" s="1009" t="s">
        <v>1848</v>
      </c>
    </row>
    <row r="1638" spans="1:3" x14ac:dyDescent="0.25">
      <c r="A1638" s="247">
        <v>41617</v>
      </c>
      <c r="B1638" s="248">
        <v>0.84070601851851856</v>
      </c>
      <c r="C1638" s="1009" t="s">
        <v>1849</v>
      </c>
    </row>
  </sheetData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229"/>
  <sheetViews>
    <sheetView zoomScale="70" zoomScaleNormal="70" workbookViewId="0">
      <pane xSplit="1" ySplit="2" topLeftCell="B18" activePane="bottomRight" state="frozen"/>
      <selection pane="topRight" activeCell="B1" sqref="B1"/>
      <selection pane="bottomLeft" activeCell="A3" sqref="A3"/>
      <selection pane="bottomRight" activeCell="A34" sqref="A34:W39"/>
    </sheetView>
  </sheetViews>
  <sheetFormatPr defaultRowHeight="15" x14ac:dyDescent="0.25"/>
  <cols>
    <col min="1" max="1" width="12" style="228" customWidth="1"/>
    <col min="2" max="2" width="15" style="228" customWidth="1"/>
    <col min="3" max="3" width="16.140625" style="228" customWidth="1"/>
    <col min="4" max="4" width="12.42578125" style="228" customWidth="1"/>
    <col min="5" max="5" width="13.85546875" style="228" customWidth="1"/>
    <col min="6" max="6" width="18" style="228" customWidth="1"/>
    <col min="7" max="7" width="15.85546875" style="228" customWidth="1"/>
    <col min="8" max="8" width="12.42578125" style="228" customWidth="1"/>
    <col min="9" max="9" width="12.5703125" style="228" customWidth="1"/>
    <col min="10" max="10" width="13.42578125" style="228" customWidth="1"/>
    <col min="11" max="12" width="10" style="228" customWidth="1"/>
    <col min="13" max="13" width="11.28515625" style="228" customWidth="1"/>
    <col min="14" max="14" width="12.42578125" style="228" customWidth="1"/>
    <col min="15" max="15" width="12.85546875" style="228" customWidth="1"/>
    <col min="16" max="16" width="11.28515625" style="228" customWidth="1"/>
    <col min="17" max="17" width="10.28515625" style="228" customWidth="1"/>
    <col min="18" max="18" width="9.140625" style="228"/>
    <col min="19" max="19" width="10.85546875" style="228" customWidth="1"/>
    <col min="20" max="20" width="11.140625" style="228" customWidth="1"/>
    <col min="21" max="29" width="9.140625" style="228"/>
    <col min="30" max="30" width="11" style="228" customWidth="1"/>
    <col min="31" max="31" width="16.42578125" style="228" customWidth="1"/>
    <col min="32" max="32" width="14.42578125" style="228" customWidth="1"/>
    <col min="33" max="33" width="11.28515625" style="228" bestFit="1" customWidth="1"/>
    <col min="34" max="34" width="11.42578125" style="228" bestFit="1" customWidth="1"/>
    <col min="35" max="37" width="12.42578125" style="228" bestFit="1" customWidth="1"/>
    <col min="38" max="38" width="9.140625" style="228"/>
    <col min="39" max="39" width="10.140625" style="228" customWidth="1"/>
    <col min="40" max="16384" width="9.140625" style="228"/>
  </cols>
  <sheetData>
    <row r="1" spans="1:45" s="251" customFormat="1" ht="15.75" thickBot="1" x14ac:dyDescent="0.3">
      <c r="A1" s="250">
        <v>41517</v>
      </c>
    </row>
    <row r="2" spans="1:45" s="251" customFormat="1" ht="19.5" x14ac:dyDescent="0.3">
      <c r="C2" s="252" t="s">
        <v>626</v>
      </c>
    </row>
    <row r="3" spans="1:45" s="251" customFormat="1" x14ac:dyDescent="0.25"/>
    <row r="4" spans="1:45" s="251" customFormat="1" x14ac:dyDescent="0.25">
      <c r="A4" s="251" t="s">
        <v>1075</v>
      </c>
    </row>
    <row r="5" spans="1:45" s="251" customFormat="1" ht="15.75" thickBot="1" x14ac:dyDescent="0.3">
      <c r="A5" s="683">
        <v>41517</v>
      </c>
      <c r="B5" s="251" t="s">
        <v>1085</v>
      </c>
    </row>
    <row r="6" spans="1:45" s="269" customFormat="1" ht="23.25" thickBot="1" x14ac:dyDescent="0.3">
      <c r="A6" s="253" t="s">
        <v>627</v>
      </c>
      <c r="B6" s="712" t="s">
        <v>628</v>
      </c>
      <c r="C6" s="616" t="s">
        <v>17</v>
      </c>
      <c r="D6" s="616" t="s">
        <v>629</v>
      </c>
      <c r="E6" s="616" t="s">
        <v>28</v>
      </c>
      <c r="F6" s="713"/>
      <c r="G6" s="714" t="s">
        <v>4</v>
      </c>
      <c r="H6" s="715" t="s">
        <v>6</v>
      </c>
      <c r="I6" s="714" t="s">
        <v>630</v>
      </c>
      <c r="J6" s="716" t="s">
        <v>15</v>
      </c>
      <c r="K6" s="717" t="s">
        <v>631</v>
      </c>
      <c r="L6" s="717" t="s">
        <v>632</v>
      </c>
      <c r="M6" s="717" t="s">
        <v>633</v>
      </c>
      <c r="N6" s="718" t="s">
        <v>634</v>
      </c>
      <c r="O6" s="718" t="s">
        <v>635</v>
      </c>
      <c r="P6" s="718" t="s">
        <v>636</v>
      </c>
      <c r="Q6" s="718" t="s">
        <v>637</v>
      </c>
      <c r="R6" s="718" t="s">
        <v>638</v>
      </c>
      <c r="S6" s="717" t="s">
        <v>639</v>
      </c>
      <c r="T6" s="716" t="s">
        <v>640</v>
      </c>
      <c r="U6" s="716" t="s">
        <v>641</v>
      </c>
      <c r="V6" s="716" t="s">
        <v>642</v>
      </c>
      <c r="W6" s="716" t="s">
        <v>46</v>
      </c>
      <c r="X6" s="716" t="s">
        <v>643</v>
      </c>
      <c r="Y6" s="716" t="s">
        <v>644</v>
      </c>
      <c r="Z6" s="714" t="s">
        <v>645</v>
      </c>
      <c r="AA6" s="716" t="s">
        <v>646</v>
      </c>
      <c r="AB6" s="717" t="s">
        <v>647</v>
      </c>
      <c r="AC6" s="716" t="s">
        <v>648</v>
      </c>
      <c r="AD6" s="719" t="s">
        <v>649</v>
      </c>
      <c r="AE6" s="1010" t="s">
        <v>1111</v>
      </c>
      <c r="AH6" s="681" t="s">
        <v>1084</v>
      </c>
      <c r="AI6" s="720" t="s">
        <v>650</v>
      </c>
      <c r="AJ6" s="256" t="s">
        <v>294</v>
      </c>
      <c r="AK6" s="257" t="s">
        <v>651</v>
      </c>
      <c r="AL6" s="257" t="s">
        <v>652</v>
      </c>
      <c r="AM6" s="257" t="s">
        <v>308</v>
      </c>
      <c r="AN6" s="257" t="s">
        <v>305</v>
      </c>
      <c r="AO6" s="256" t="s">
        <v>653</v>
      </c>
      <c r="AR6" s="256" t="s">
        <v>654</v>
      </c>
    </row>
    <row r="7" spans="1:45" s="251" customFormat="1" x14ac:dyDescent="0.25">
      <c r="A7" s="258" t="s">
        <v>1086</v>
      </c>
      <c r="B7" s="259" t="s">
        <v>82</v>
      </c>
      <c r="C7" s="260" t="str">
        <f>IF(D7="","",1)</f>
        <v/>
      </c>
      <c r="D7" s="261"/>
      <c r="E7" s="261"/>
      <c r="F7" s="262" t="str">
        <f>TRIM(G7)&amp;TRIM(AE7)&amp;ROUND(S7/1000,0)</f>
        <v>CopyHdr0</v>
      </c>
      <c r="AE7" s="722" t="s">
        <v>656</v>
      </c>
      <c r="AH7" s="437" t="s">
        <v>656</v>
      </c>
      <c r="AI7" s="263" t="s">
        <v>656</v>
      </c>
      <c r="AJ7" s="263" t="s">
        <v>656</v>
      </c>
      <c r="AK7" s="263" t="s">
        <v>656</v>
      </c>
      <c r="AL7" s="263" t="s">
        <v>656</v>
      </c>
      <c r="AM7" s="263" t="s">
        <v>656</v>
      </c>
      <c r="AN7" s="263" t="s">
        <v>656</v>
      </c>
      <c r="AO7" s="263" t="s">
        <v>656</v>
      </c>
      <c r="AR7" s="263" t="s">
        <v>656</v>
      </c>
    </row>
    <row r="8" spans="1:45" s="251" customFormat="1" x14ac:dyDescent="0.25">
      <c r="A8" s="253" t="s">
        <v>657</v>
      </c>
      <c r="B8" s="264">
        <v>0.5</v>
      </c>
      <c r="C8" s="264">
        <v>1.2</v>
      </c>
      <c r="D8" s="264">
        <v>0.5</v>
      </c>
      <c r="E8" s="264">
        <v>0.5</v>
      </c>
      <c r="F8" s="265">
        <v>0.3</v>
      </c>
      <c r="G8" s="266">
        <v>14</v>
      </c>
      <c r="H8" s="266">
        <v>8</v>
      </c>
      <c r="I8" s="266">
        <v>12.8</v>
      </c>
      <c r="J8" s="266">
        <v>22</v>
      </c>
      <c r="K8" s="266">
        <v>0</v>
      </c>
      <c r="L8" s="266">
        <v>0</v>
      </c>
      <c r="M8" s="266">
        <v>0</v>
      </c>
      <c r="N8" s="266">
        <v>0</v>
      </c>
      <c r="O8" s="266">
        <v>0</v>
      </c>
      <c r="P8" s="266">
        <v>0</v>
      </c>
      <c r="Q8" s="266">
        <v>0</v>
      </c>
      <c r="R8" s="266">
        <v>0</v>
      </c>
      <c r="S8" s="266">
        <v>10</v>
      </c>
      <c r="T8" s="266">
        <v>40</v>
      </c>
      <c r="U8" s="266">
        <v>0</v>
      </c>
      <c r="V8" s="266">
        <v>0</v>
      </c>
      <c r="W8" s="266">
        <v>10</v>
      </c>
      <c r="X8" s="266">
        <v>0</v>
      </c>
      <c r="Y8" s="266">
        <v>0</v>
      </c>
      <c r="Z8" s="266">
        <v>8</v>
      </c>
      <c r="AA8" s="266">
        <v>8</v>
      </c>
      <c r="AB8" s="266">
        <v>10</v>
      </c>
      <c r="AC8" s="266">
        <v>5</v>
      </c>
      <c r="AD8" s="266">
        <v>15</v>
      </c>
      <c r="AE8" s="721" t="s">
        <v>1112</v>
      </c>
      <c r="AH8" s="682" t="s">
        <v>811</v>
      </c>
      <c r="AI8" s="251">
        <v>8</v>
      </c>
      <c r="AJ8" s="264">
        <v>10</v>
      </c>
      <c r="AK8" s="264">
        <v>1</v>
      </c>
      <c r="AL8" s="264">
        <v>1</v>
      </c>
      <c r="AM8" s="264">
        <v>1</v>
      </c>
      <c r="AN8" s="264">
        <v>1</v>
      </c>
      <c r="AO8" s="264" t="s">
        <v>658</v>
      </c>
      <c r="AR8" s="264" t="s">
        <v>658</v>
      </c>
    </row>
    <row r="9" spans="1:45" s="251" customFormat="1" x14ac:dyDescent="0.25">
      <c r="A9" s="253" t="s">
        <v>659</v>
      </c>
      <c r="B9" s="264">
        <v>30</v>
      </c>
      <c r="C9" s="264"/>
      <c r="D9" s="264">
        <v>5</v>
      </c>
      <c r="E9" s="264">
        <v>3</v>
      </c>
      <c r="F9" s="265"/>
      <c r="G9" s="264"/>
      <c r="H9" s="264"/>
      <c r="K9" s="264"/>
      <c r="L9" s="266"/>
      <c r="M9" s="266"/>
      <c r="N9" s="266"/>
      <c r="O9" s="266"/>
      <c r="P9" s="266"/>
      <c r="Q9" s="266"/>
      <c r="R9" s="266"/>
      <c r="S9" s="266"/>
      <c r="T9" s="266"/>
      <c r="U9" s="267"/>
      <c r="V9" s="266"/>
      <c r="W9" s="266"/>
      <c r="X9" s="266"/>
      <c r="Y9" s="266"/>
      <c r="Z9" s="266"/>
      <c r="AA9" s="266"/>
      <c r="AE9" s="722">
        <v>9</v>
      </c>
      <c r="AH9" s="437" t="s">
        <v>1277</v>
      </c>
      <c r="AI9" s="264">
        <v>8</v>
      </c>
      <c r="AJ9" s="264">
        <v>19</v>
      </c>
      <c r="AK9" s="264">
        <f>COLUMN(AJ9)-1</f>
        <v>35</v>
      </c>
      <c r="AL9" s="264">
        <f>AK9</f>
        <v>35</v>
      </c>
      <c r="AM9" s="264">
        <f>AK9</f>
        <v>35</v>
      </c>
      <c r="AN9" s="264">
        <f>AK9</f>
        <v>35</v>
      </c>
      <c r="AO9" s="264">
        <v>5</v>
      </c>
      <c r="AR9" s="264">
        <v>5</v>
      </c>
    </row>
    <row r="10" spans="1:45" s="269" customFormat="1" ht="38.25" x14ac:dyDescent="0.25">
      <c r="A10" s="253" t="s">
        <v>660</v>
      </c>
      <c r="B10" s="268"/>
      <c r="C10" s="268"/>
      <c r="D10" s="268"/>
      <c r="E10" s="268"/>
      <c r="G10" s="268"/>
      <c r="H10" s="268"/>
      <c r="K10" s="268"/>
      <c r="L10" s="270"/>
      <c r="M10" s="270"/>
      <c r="N10" s="270"/>
      <c r="O10" s="270"/>
      <c r="P10" s="270"/>
      <c r="Q10" s="270"/>
      <c r="R10" s="270"/>
      <c r="S10" s="270"/>
      <c r="T10" s="270"/>
      <c r="U10" s="271"/>
      <c r="V10" s="270"/>
      <c r="W10" s="270"/>
      <c r="X10" s="270"/>
      <c r="Y10" s="270"/>
      <c r="Z10" s="270"/>
      <c r="AA10" s="270"/>
      <c r="AE10" s="723" t="s">
        <v>1113</v>
      </c>
      <c r="AH10" s="680"/>
      <c r="AI10" s="268" t="s">
        <v>661</v>
      </c>
      <c r="AJ10" s="272" t="s">
        <v>662</v>
      </c>
      <c r="AK10" s="273" t="s">
        <v>663</v>
      </c>
      <c r="AL10" s="273" t="s">
        <v>664</v>
      </c>
      <c r="AM10" s="273" t="s">
        <v>665</v>
      </c>
      <c r="AN10" s="273" t="s">
        <v>666</v>
      </c>
      <c r="AO10" s="274"/>
      <c r="AR10" s="274" t="s">
        <v>667</v>
      </c>
    </row>
    <row r="11" spans="1:45" s="251" customFormat="1" x14ac:dyDescent="0.25">
      <c r="A11" s="253" t="s">
        <v>668</v>
      </c>
      <c r="B11" s="275" t="s">
        <v>669</v>
      </c>
      <c r="C11" s="275"/>
      <c r="D11" s="275" t="s">
        <v>670</v>
      </c>
      <c r="E11" s="275" t="s">
        <v>671</v>
      </c>
      <c r="F11" s="265"/>
      <c r="G11" s="264"/>
      <c r="H11" s="264"/>
      <c r="K11" s="264"/>
      <c r="L11" s="266"/>
      <c r="M11" s="266"/>
      <c r="N11" s="266"/>
      <c r="O11" s="266"/>
      <c r="P11" s="266"/>
      <c r="Q11" s="266"/>
      <c r="R11" s="266"/>
      <c r="S11" s="266"/>
      <c r="T11" s="266"/>
      <c r="U11" s="267"/>
      <c r="V11" s="266"/>
      <c r="W11" s="266"/>
      <c r="X11" s="266"/>
      <c r="Y11" s="266"/>
      <c r="Z11" s="266"/>
      <c r="AA11" s="266"/>
      <c r="AE11" s="724" t="s">
        <v>1116</v>
      </c>
      <c r="AH11" s="436"/>
      <c r="AO11" s="275" t="s">
        <v>672</v>
      </c>
      <c r="AR11" s="275" t="s">
        <v>672</v>
      </c>
    </row>
    <row r="12" spans="1:45" s="251" customFormat="1" x14ac:dyDescent="0.25">
      <c r="Z12" s="266"/>
    </row>
    <row r="13" spans="1:45" s="251" customFormat="1" x14ac:dyDescent="0.25">
      <c r="A13" s="314" t="s">
        <v>1127</v>
      </c>
      <c r="Z13" s="266"/>
    </row>
    <row r="14" spans="1:45" s="251" customFormat="1" x14ac:dyDescent="0.25">
      <c r="A14" s="745" t="s">
        <v>1</v>
      </c>
      <c r="B14" s="437">
        <v>30</v>
      </c>
      <c r="C14" s="275"/>
      <c r="D14" s="275"/>
      <c r="E14" s="275"/>
      <c r="F14" s="275"/>
      <c r="G14" s="265"/>
      <c r="H14" s="264"/>
      <c r="I14" s="264"/>
      <c r="L14" s="264"/>
      <c r="M14" s="266"/>
      <c r="N14" s="266"/>
      <c r="O14" s="266"/>
      <c r="P14" s="266"/>
      <c r="Q14" s="266"/>
      <c r="R14" s="266"/>
      <c r="S14" s="266"/>
      <c r="T14" s="266"/>
      <c r="U14" s="266"/>
      <c r="V14" s="267"/>
      <c r="W14" s="266"/>
      <c r="X14" s="266"/>
      <c r="Y14" s="266"/>
      <c r="Z14" s="266"/>
      <c r="AA14" s="266"/>
      <c r="AB14" s="266"/>
      <c r="AH14" s="724"/>
      <c r="AI14" s="436"/>
      <c r="AP14" s="275"/>
      <c r="AS14" s="275"/>
    </row>
    <row r="15" spans="1:45" s="251" customFormat="1" x14ac:dyDescent="0.25">
      <c r="Z15" s="266"/>
    </row>
    <row r="16" spans="1:45" s="251" customFormat="1" ht="15.75" thickBot="1" x14ac:dyDescent="0.3">
      <c r="A16" s="251" t="s">
        <v>673</v>
      </c>
      <c r="Z16" s="266"/>
    </row>
    <row r="17" spans="1:43" s="276" customFormat="1" ht="15.75" thickBot="1" x14ac:dyDescent="0.3">
      <c r="F17" s="277"/>
      <c r="G17" s="278"/>
      <c r="H17" s="277"/>
      <c r="I17" s="279" t="s">
        <v>674</v>
      </c>
      <c r="J17" s="280"/>
      <c r="K17" s="281"/>
      <c r="L17" s="282"/>
      <c r="M17" s="282"/>
      <c r="N17" s="282"/>
      <c r="O17" s="282"/>
      <c r="P17" s="282"/>
      <c r="Q17" s="282"/>
      <c r="R17" s="283">
        <f>SUM(R$2:R15)</f>
        <v>0</v>
      </c>
      <c r="S17" s="284"/>
      <c r="V17" s="285" t="s">
        <v>675</v>
      </c>
      <c r="W17" s="286"/>
      <c r="X17" s="286"/>
      <c r="Y17" s="287">
        <f>1 - COUNTIF(A$2:A15,"")/COUNTA(A$2:A15)</f>
        <v>0.6</v>
      </c>
      <c r="Z17" s="285" t="s">
        <v>676</v>
      </c>
      <c r="AA17" s="283">
        <f>R17-SUMIF(B$2:B15,"1",R$2:R15)</f>
        <v>0</v>
      </c>
      <c r="AB17" s="288" t="e">
        <f>AA17/R17</f>
        <v>#DIV/0!</v>
      </c>
      <c r="AC17" s="289" t="e">
        <f>1-AB17</f>
        <v>#DIV/0!</v>
      </c>
    </row>
    <row r="18" spans="1:43" s="251" customFormat="1" x14ac:dyDescent="0.25">
      <c r="P18" s="282"/>
    </row>
    <row r="19" spans="1:43" s="251" customFormat="1" x14ac:dyDescent="0.25">
      <c r="A19" s="251" t="s">
        <v>677</v>
      </c>
      <c r="P19" s="282"/>
    </row>
    <row r="20" spans="1:43" s="251" customFormat="1" x14ac:dyDescent="0.25">
      <c r="B20" s="251" t="s">
        <v>678</v>
      </c>
      <c r="P20" s="282"/>
    </row>
    <row r="21" spans="1:43" s="378" customFormat="1" ht="15.75" thickBot="1" x14ac:dyDescent="0.3">
      <c r="B21" s="378" t="s">
        <v>1125</v>
      </c>
      <c r="P21" s="282"/>
    </row>
    <row r="22" spans="1:43" s="268" customFormat="1" ht="60.75" thickBot="1" x14ac:dyDescent="0.3">
      <c r="A22" s="253" t="s">
        <v>627</v>
      </c>
      <c r="B22" s="290" t="s">
        <v>679</v>
      </c>
      <c r="C22" s="291" t="s">
        <v>680</v>
      </c>
      <c r="D22" s="291" t="s">
        <v>681</v>
      </c>
      <c r="E22" s="292" t="s">
        <v>682</v>
      </c>
      <c r="F22" s="293" t="s">
        <v>683</v>
      </c>
      <c r="G22" s="294" t="s">
        <v>684</v>
      </c>
      <c r="H22" s="295" t="s">
        <v>685</v>
      </c>
      <c r="I22" s="296"/>
      <c r="J22" s="744" t="s">
        <v>1124</v>
      </c>
      <c r="K22" s="298" t="s">
        <v>9</v>
      </c>
      <c r="L22" s="298"/>
      <c r="M22" s="299" t="s">
        <v>11</v>
      </c>
      <c r="N22" s="297" t="s">
        <v>641</v>
      </c>
      <c r="O22" s="297" t="s">
        <v>46</v>
      </c>
      <c r="P22" s="297" t="s">
        <v>686</v>
      </c>
      <c r="Q22" s="297" t="s">
        <v>687</v>
      </c>
      <c r="R22" s="297" t="s">
        <v>688</v>
      </c>
      <c r="S22" s="297" t="s">
        <v>689</v>
      </c>
      <c r="T22" s="298" t="s">
        <v>690</v>
      </c>
      <c r="U22" s="300" t="s">
        <v>691</v>
      </c>
      <c r="V22" s="300" t="s">
        <v>692</v>
      </c>
      <c r="W22" s="300" t="s">
        <v>693</v>
      </c>
      <c r="X22" s="297" t="s">
        <v>694</v>
      </c>
      <c r="Y22" s="297" t="s">
        <v>695</v>
      </c>
      <c r="Z22" s="297" t="s">
        <v>649</v>
      </c>
      <c r="AA22" s="297" t="s">
        <v>696</v>
      </c>
    </row>
    <row r="23" spans="1:43" s="251" customFormat="1" ht="18" customHeight="1" x14ac:dyDescent="0.25">
      <c r="A23" s="258" t="s">
        <v>1086</v>
      </c>
      <c r="B23" s="301"/>
      <c r="C23" s="302" t="s">
        <v>697</v>
      </c>
      <c r="D23" s="303"/>
      <c r="E23" s="304">
        <v>1</v>
      </c>
      <c r="F23" s="305" t="str">
        <f>IF(AND(U23=W23,W23&gt;0),"1","")</f>
        <v/>
      </c>
      <c r="G23" s="306" t="str">
        <f>IF(U23=V23,"1","")</f>
        <v/>
      </c>
      <c r="H23" s="307"/>
      <c r="I23" s="308" t="str">
        <f>IF(S23="",TRIM(K23),TRIM(MID(S23,9,55))&amp;"/"&amp;TRIM(K23))</f>
        <v>2009-1-065</v>
      </c>
      <c r="J23" s="722" t="s">
        <v>656</v>
      </c>
      <c r="K23" s="310" t="s">
        <v>698</v>
      </c>
      <c r="L23" s="310"/>
      <c r="M23" s="311">
        <v>40058</v>
      </c>
      <c r="N23" s="309" t="s">
        <v>147</v>
      </c>
      <c r="O23" s="309" t="s">
        <v>267</v>
      </c>
      <c r="P23" s="309"/>
      <c r="Q23" s="309"/>
      <c r="R23" s="309" t="s">
        <v>699</v>
      </c>
      <c r="S23" s="309"/>
      <c r="T23" s="310" t="s">
        <v>700</v>
      </c>
      <c r="U23" s="312">
        <v>324000</v>
      </c>
      <c r="V23" s="312">
        <v>0</v>
      </c>
      <c r="W23" s="312">
        <v>0</v>
      </c>
      <c r="X23" s="309" t="s">
        <v>286</v>
      </c>
      <c r="Y23" s="313"/>
      <c r="Z23" s="313" t="s">
        <v>701</v>
      </c>
      <c r="AA23" s="309" t="s">
        <v>702</v>
      </c>
    </row>
    <row r="24" spans="1:43" s="251" customFormat="1" x14ac:dyDescent="0.25">
      <c r="A24" s="253" t="s">
        <v>657</v>
      </c>
      <c r="B24" s="264">
        <v>0.5</v>
      </c>
      <c r="C24" s="264">
        <v>8</v>
      </c>
      <c r="D24" s="251">
        <v>6</v>
      </c>
      <c r="E24" s="264">
        <v>5</v>
      </c>
      <c r="F24" s="265">
        <v>2</v>
      </c>
      <c r="G24" s="264">
        <v>2</v>
      </c>
      <c r="H24" s="264">
        <v>2</v>
      </c>
      <c r="I24" s="264">
        <v>0.5</v>
      </c>
      <c r="J24" s="721" t="s">
        <v>1126</v>
      </c>
      <c r="K24" s="264">
        <v>10</v>
      </c>
      <c r="L24" s="514">
        <v>0.7</v>
      </c>
      <c r="M24" s="514">
        <v>10</v>
      </c>
      <c r="N24" s="514">
        <v>7</v>
      </c>
      <c r="O24" s="514">
        <v>10</v>
      </c>
      <c r="P24" s="264">
        <v>20</v>
      </c>
      <c r="Q24" s="514">
        <v>12</v>
      </c>
      <c r="R24" s="514">
        <v>12</v>
      </c>
      <c r="S24" s="266">
        <v>10</v>
      </c>
      <c r="T24" s="266">
        <v>8</v>
      </c>
      <c r="U24" s="267">
        <v>12</v>
      </c>
      <c r="V24" s="266">
        <v>11</v>
      </c>
      <c r="W24" s="266">
        <v>11</v>
      </c>
      <c r="X24" s="266">
        <v>10</v>
      </c>
      <c r="Y24" s="266">
        <v>12</v>
      </c>
      <c r="Z24" s="266">
        <v>20</v>
      </c>
      <c r="AA24" s="266">
        <v>10</v>
      </c>
    </row>
    <row r="25" spans="1:43" s="251" customFormat="1" x14ac:dyDescent="0.25">
      <c r="A25" s="253" t="s">
        <v>659</v>
      </c>
      <c r="B25" s="264">
        <v>9</v>
      </c>
      <c r="C25" s="264">
        <v>8</v>
      </c>
      <c r="D25" s="251">
        <v>8</v>
      </c>
      <c r="E25" s="264"/>
      <c r="F25" s="265"/>
      <c r="G25" s="264"/>
      <c r="H25" s="264">
        <v>8</v>
      </c>
      <c r="J25" s="722">
        <v>15</v>
      </c>
      <c r="K25" s="264"/>
      <c r="L25" s="266"/>
      <c r="M25" s="266"/>
      <c r="N25" s="266"/>
      <c r="O25" s="266"/>
      <c r="P25" s="268"/>
      <c r="Q25" s="266"/>
      <c r="R25" s="266"/>
      <c r="S25" s="266"/>
      <c r="T25" s="266"/>
      <c r="U25" s="267"/>
      <c r="V25" s="266"/>
      <c r="W25" s="266"/>
      <c r="X25" s="266"/>
      <c r="Y25" s="266"/>
      <c r="Z25" s="266"/>
      <c r="AA25" s="266"/>
    </row>
    <row r="26" spans="1:43" s="251" customFormat="1" x14ac:dyDescent="0.25">
      <c r="A26" s="253" t="s">
        <v>660</v>
      </c>
      <c r="B26" s="264"/>
      <c r="C26" s="264"/>
      <c r="E26" s="264"/>
      <c r="F26" s="265"/>
      <c r="G26" s="264"/>
      <c r="H26" s="264"/>
      <c r="J26" s="723" t="s">
        <v>1113</v>
      </c>
      <c r="K26" s="264"/>
      <c r="L26" s="266"/>
      <c r="M26" s="266"/>
      <c r="N26" s="266"/>
      <c r="O26" s="266"/>
      <c r="Q26" s="266"/>
      <c r="R26" s="266"/>
      <c r="S26" s="266"/>
      <c r="T26" s="266"/>
      <c r="U26" s="267"/>
      <c r="V26" s="266"/>
      <c r="W26" s="266"/>
      <c r="X26" s="266"/>
      <c r="Y26" s="266"/>
      <c r="Z26" s="266"/>
      <c r="AA26" s="266"/>
    </row>
    <row r="27" spans="1:43" s="251" customFormat="1" x14ac:dyDescent="0.25">
      <c r="A27" s="253" t="s">
        <v>668</v>
      </c>
      <c r="B27" s="264" t="s">
        <v>669</v>
      </c>
      <c r="C27" s="264" t="s">
        <v>703</v>
      </c>
      <c r="D27" s="251" t="s">
        <v>704</v>
      </c>
      <c r="E27" s="264"/>
      <c r="F27" s="265"/>
      <c r="G27" s="264"/>
      <c r="H27" s="264" t="s">
        <v>705</v>
      </c>
      <c r="J27" s="724" t="s">
        <v>1116</v>
      </c>
      <c r="K27" s="264"/>
      <c r="L27" s="266"/>
      <c r="M27" s="266"/>
      <c r="N27" s="266"/>
      <c r="O27" s="266"/>
      <c r="Q27" s="266"/>
      <c r="R27" s="266"/>
      <c r="S27" s="266"/>
      <c r="T27" s="266"/>
      <c r="U27" s="267"/>
      <c r="V27" s="266"/>
      <c r="W27" s="266"/>
      <c r="X27" s="266"/>
      <c r="Y27" s="266"/>
      <c r="Z27" s="266"/>
      <c r="AA27" s="266"/>
    </row>
    <row r="28" spans="1:43" s="251" customFormat="1" x14ac:dyDescent="0.25">
      <c r="Z28" s="266"/>
    </row>
    <row r="29" spans="1:43" s="251" customFormat="1" x14ac:dyDescent="0.25">
      <c r="A29" s="314" t="s">
        <v>1128</v>
      </c>
      <c r="Z29" s="266"/>
    </row>
    <row r="30" spans="1:43" s="251" customFormat="1" x14ac:dyDescent="0.25">
      <c r="A30" s="745" t="s">
        <v>7</v>
      </c>
      <c r="B30" s="437">
        <v>9</v>
      </c>
      <c r="C30" s="275"/>
      <c r="D30" s="275"/>
      <c r="E30" s="275"/>
      <c r="F30" s="275"/>
      <c r="G30" s="265"/>
      <c r="H30" s="264"/>
      <c r="I30" s="264"/>
      <c r="L30" s="264"/>
      <c r="M30" s="266"/>
      <c r="N30" s="266"/>
      <c r="O30" s="266"/>
      <c r="P30" s="266"/>
      <c r="Q30" s="266"/>
      <c r="R30" s="266"/>
      <c r="S30" s="266"/>
      <c r="T30" s="266"/>
      <c r="U30" s="266"/>
      <c r="V30" s="267"/>
      <c r="W30" s="266"/>
      <c r="X30" s="266"/>
      <c r="Y30" s="266"/>
      <c r="Z30" s="266"/>
      <c r="AA30" s="266"/>
      <c r="AB30" s="266"/>
      <c r="AF30" s="724"/>
      <c r="AG30" s="436"/>
      <c r="AN30" s="275"/>
      <c r="AQ30" s="275"/>
    </row>
    <row r="31" spans="1:43" s="251" customFormat="1" x14ac:dyDescent="0.25">
      <c r="A31" s="264"/>
      <c r="B31" s="264"/>
      <c r="D31" s="264"/>
      <c r="E31" s="265"/>
      <c r="F31" s="266"/>
      <c r="G31" s="266"/>
      <c r="H31" s="266"/>
      <c r="I31" s="266"/>
      <c r="J31" s="266"/>
      <c r="K31" s="266"/>
      <c r="L31" s="266"/>
      <c r="M31" s="266"/>
      <c r="N31" s="266"/>
      <c r="O31" s="266"/>
      <c r="P31" s="266"/>
      <c r="Q31" s="266"/>
      <c r="R31" s="266"/>
      <c r="S31" s="266"/>
      <c r="T31" s="266"/>
      <c r="U31" s="266"/>
      <c r="V31" s="266"/>
      <c r="W31" s="266"/>
      <c r="X31" s="266"/>
      <c r="Y31" s="266"/>
      <c r="Z31" s="266"/>
    </row>
    <row r="32" spans="1:43" s="251" customFormat="1" x14ac:dyDescent="0.25">
      <c r="A32" s="251" t="s">
        <v>706</v>
      </c>
    </row>
    <row r="33" spans="1:26" s="251" customFormat="1" ht="15.75" thickBot="1" x14ac:dyDescent="0.3">
      <c r="A33" s="314">
        <v>41504</v>
      </c>
      <c r="B33" s="251" t="s">
        <v>707</v>
      </c>
    </row>
    <row r="34" spans="1:26" s="331" customFormat="1" ht="15" customHeight="1" x14ac:dyDescent="0.25">
      <c r="A34" s="315"/>
      <c r="B34" s="316" t="s">
        <v>708</v>
      </c>
      <c r="C34" s="317">
        <f>COUNTIF(B$1:B32,B34)</f>
        <v>0</v>
      </c>
      <c r="D34" s="318" t="e">
        <f>C34/C39</f>
        <v>#DIV/0!</v>
      </c>
      <c r="E34" s="319"/>
      <c r="F34" s="320"/>
      <c r="G34" s="321"/>
      <c r="H34" s="321"/>
      <c r="I34" s="322"/>
      <c r="J34" s="323">
        <f>SUMIF(B$2:B32,B34,T$2:T32)</f>
        <v>0</v>
      </c>
      <c r="K34" s="324"/>
      <c r="L34" s="325" t="e">
        <f>J34/J39</f>
        <v>#DIV/0!</v>
      </c>
      <c r="M34" s="326"/>
      <c r="N34" s="326"/>
      <c r="O34" s="326"/>
      <c r="P34" s="327"/>
      <c r="Q34" s="327"/>
      <c r="R34" s="327"/>
      <c r="S34" s="328" t="s">
        <v>674</v>
      </c>
      <c r="T34" s="329">
        <f>SUM(T$1:T33)</f>
        <v>48</v>
      </c>
      <c r="U34" s="329">
        <f>SUM(U$1:U33)</f>
        <v>324012</v>
      </c>
      <c r="V34" s="329">
        <f>SUM(V$1:V33)</f>
        <v>11</v>
      </c>
      <c r="W34" s="327" t="s">
        <v>709</v>
      </c>
      <c r="X34" s="330"/>
      <c r="Y34" s="330"/>
      <c r="Z34" s="327"/>
    </row>
    <row r="35" spans="1:26" s="331" customFormat="1" ht="15" customHeight="1" x14ac:dyDescent="0.25">
      <c r="A35" s="315"/>
      <c r="B35" s="332" t="s">
        <v>710</v>
      </c>
      <c r="C35" s="333">
        <f>COUNTIF(B$1:B32,B35)</f>
        <v>0</v>
      </c>
      <c r="D35" s="334" t="e">
        <f>C35/C39</f>
        <v>#DIV/0!</v>
      </c>
      <c r="E35" s="319"/>
      <c r="F35" s="320"/>
      <c r="G35" s="321"/>
      <c r="H35" s="321"/>
      <c r="I35" s="322"/>
      <c r="J35" s="335">
        <f>SUMIF(B$2:B32,B35,T$2:T32)</f>
        <v>0</v>
      </c>
      <c r="K35" s="336"/>
      <c r="L35" s="337" t="e">
        <f>J35/J39</f>
        <v>#DIV/0!</v>
      </c>
      <c r="M35" s="326"/>
      <c r="N35" s="326"/>
      <c r="O35" s="326"/>
      <c r="S35" s="338"/>
      <c r="T35" s="339"/>
      <c r="U35" s="339"/>
      <c r="V35" s="339"/>
      <c r="X35" s="340"/>
      <c r="Y35" s="340"/>
    </row>
    <row r="36" spans="1:26" s="331" customFormat="1" ht="15" customHeight="1" x14ac:dyDescent="0.25">
      <c r="A36" s="315"/>
      <c r="B36" s="341" t="s">
        <v>711</v>
      </c>
      <c r="C36" s="342">
        <f>COUNTIF(B$1:B32,B36)</f>
        <v>0</v>
      </c>
      <c r="D36" s="343" t="e">
        <f>C36/C39</f>
        <v>#DIV/0!</v>
      </c>
      <c r="E36" s="319"/>
      <c r="F36" s="320"/>
      <c r="G36" s="321"/>
      <c r="H36" s="321"/>
      <c r="I36" s="322"/>
      <c r="J36" s="344">
        <f>SUMIF(B$2:B32,B36,T$2:T32)</f>
        <v>0</v>
      </c>
      <c r="K36" s="345"/>
      <c r="L36" s="346" t="e">
        <f>J36/J39</f>
        <v>#DIV/0!</v>
      </c>
      <c r="M36" s="347"/>
      <c r="N36" s="326"/>
      <c r="O36" s="326"/>
      <c r="S36" s="338"/>
      <c r="T36" s="339"/>
      <c r="U36" s="339"/>
      <c r="V36" s="339"/>
      <c r="X36" s="340"/>
      <c r="Y36" s="340"/>
    </row>
    <row r="37" spans="1:26" s="331" customFormat="1" ht="15" customHeight="1" thickBot="1" x14ac:dyDescent="0.3">
      <c r="A37" s="315"/>
      <c r="B37" s="348" t="s">
        <v>712</v>
      </c>
      <c r="C37" s="349">
        <f>COUNTIF(B$1:B32,B37)</f>
        <v>0</v>
      </c>
      <c r="D37" s="350" t="e">
        <f>C37/C39</f>
        <v>#DIV/0!</v>
      </c>
      <c r="E37" s="319"/>
      <c r="F37" s="320"/>
      <c r="G37" s="321"/>
      <c r="H37" s="321"/>
      <c r="I37" s="322"/>
      <c r="J37" s="351">
        <f>SUMIF(B$2:B32,B37,T$2:T32)</f>
        <v>0</v>
      </c>
      <c r="K37" s="352"/>
      <c r="L37" s="353" t="e">
        <f>J37/J39</f>
        <v>#DIV/0!</v>
      </c>
      <c r="M37" s="347"/>
      <c r="N37" s="326"/>
      <c r="O37" s="326"/>
      <c r="S37" s="338"/>
      <c r="T37" s="339"/>
      <c r="U37" s="339"/>
      <c r="V37" s="339"/>
      <c r="X37" s="340"/>
      <c r="Y37" s="340"/>
    </row>
    <row r="38" spans="1:26" s="331" customFormat="1" ht="15" customHeight="1" thickTop="1" thickBot="1" x14ac:dyDescent="0.3">
      <c r="A38" s="354"/>
      <c r="B38" s="355" t="s">
        <v>697</v>
      </c>
      <c r="C38" s="356">
        <f>COUNTIF(B$1:B32,B38)</f>
        <v>0</v>
      </c>
      <c r="D38" s="357" t="e">
        <f>C38/C39</f>
        <v>#DIV/0!</v>
      </c>
      <c r="E38" s="358"/>
      <c r="F38" s="359"/>
      <c r="G38" s="360"/>
      <c r="H38" s="360"/>
      <c r="I38" s="361"/>
      <c r="J38" s="362">
        <f>SUMIF(B$2:B32,B38,T$2:T32)</f>
        <v>0</v>
      </c>
      <c r="K38" s="363"/>
      <c r="L38" s="364" t="e">
        <f>J38/J39</f>
        <v>#DIV/0!</v>
      </c>
      <c r="M38" s="365"/>
      <c r="N38" s="365"/>
      <c r="O38" s="365"/>
      <c r="S38" s="338"/>
      <c r="T38" s="339"/>
      <c r="U38" s="339"/>
      <c r="V38" s="339"/>
      <c r="X38" s="340"/>
      <c r="Y38" s="340"/>
    </row>
    <row r="39" spans="1:26" s="331" customFormat="1" ht="15" customHeight="1" x14ac:dyDescent="0.25">
      <c r="A39" s="315"/>
      <c r="B39" s="366"/>
      <c r="C39" s="367">
        <f>SUM(C34:C38)</f>
        <v>0</v>
      </c>
      <c r="D39" s="368"/>
      <c r="E39" s="319"/>
      <c r="F39" s="320"/>
      <c r="G39" s="321"/>
      <c r="H39" s="321"/>
      <c r="I39" s="322"/>
      <c r="J39" s="369">
        <f>SUM(J34:J38)</f>
        <v>0</v>
      </c>
      <c r="K39" s="370"/>
      <c r="L39" s="371"/>
      <c r="M39" s="347"/>
      <c r="N39" s="326"/>
      <c r="O39" s="326"/>
      <c r="S39" s="338"/>
      <c r="T39" s="339"/>
      <c r="U39" s="339"/>
      <c r="V39" s="339"/>
      <c r="X39" s="340"/>
      <c r="Y39" s="340"/>
    </row>
    <row r="40" spans="1:26" s="251" customFormat="1" x14ac:dyDescent="0.25">
      <c r="A40" s="264"/>
      <c r="B40" s="264"/>
      <c r="D40" s="264"/>
      <c r="E40" s="265"/>
      <c r="F40" s="266"/>
      <c r="G40" s="266"/>
      <c r="H40" s="266"/>
      <c r="I40" s="266"/>
      <c r="J40" s="266"/>
      <c r="K40" s="266"/>
      <c r="L40" s="266"/>
      <c r="M40" s="266"/>
      <c r="N40" s="266"/>
      <c r="O40" s="266"/>
      <c r="P40" s="266"/>
      <c r="Q40" s="266"/>
      <c r="R40" s="266"/>
      <c r="S40" s="266"/>
      <c r="T40" s="266"/>
      <c r="U40" s="266"/>
      <c r="V40" s="266"/>
      <c r="W40" s="266"/>
      <c r="X40" s="266"/>
      <c r="Y40" s="266"/>
      <c r="Z40" s="266"/>
    </row>
    <row r="41" spans="1:26" s="251" customFormat="1" x14ac:dyDescent="0.25">
      <c r="A41" s="372" t="s">
        <v>1077</v>
      </c>
    </row>
    <row r="42" spans="1:26" s="251" customFormat="1" ht="17.25" x14ac:dyDescent="0.4">
      <c r="A42" s="253" t="s">
        <v>627</v>
      </c>
      <c r="B42" s="373" t="s">
        <v>628</v>
      </c>
      <c r="C42" s="374"/>
    </row>
    <row r="43" spans="1:26" s="251" customFormat="1" ht="17.25" x14ac:dyDescent="0.4">
      <c r="A43" s="258" t="s">
        <v>1086</v>
      </c>
      <c r="B43" s="375"/>
      <c r="C43" s="374"/>
    </row>
    <row r="44" spans="1:26" s="251" customFormat="1" x14ac:dyDescent="0.25">
      <c r="A44" s="253" t="s">
        <v>657</v>
      </c>
      <c r="B44" s="264">
        <v>0.5</v>
      </c>
      <c r="C44" s="264"/>
    </row>
    <row r="45" spans="1:26" s="251" customFormat="1" x14ac:dyDescent="0.25">
      <c r="A45" s="253" t="s">
        <v>659</v>
      </c>
      <c r="B45" s="264">
        <v>3</v>
      </c>
      <c r="C45" s="264"/>
    </row>
    <row r="46" spans="1:26" s="251" customFormat="1" x14ac:dyDescent="0.25">
      <c r="A46" s="253" t="s">
        <v>660</v>
      </c>
      <c r="B46" s="264"/>
      <c r="C46" s="264"/>
    </row>
    <row r="47" spans="1:26" s="251" customFormat="1" x14ac:dyDescent="0.25">
      <c r="A47" s="253" t="s">
        <v>668</v>
      </c>
      <c r="B47" s="264" t="s">
        <v>669</v>
      </c>
      <c r="C47" s="264"/>
    </row>
    <row r="48" spans="1:26" s="251" customFormat="1" x14ac:dyDescent="0.25">
      <c r="A48" s="264"/>
      <c r="B48" s="264"/>
      <c r="D48" s="264"/>
      <c r="E48" s="265"/>
      <c r="F48" s="266"/>
      <c r="G48" s="266"/>
      <c r="H48" s="266"/>
      <c r="I48" s="266"/>
      <c r="J48" s="266"/>
      <c r="K48" s="266"/>
      <c r="L48" s="266"/>
      <c r="M48" s="266"/>
      <c r="N48" s="266"/>
      <c r="O48" s="266"/>
      <c r="P48" s="266"/>
      <c r="Q48" s="266"/>
      <c r="R48" s="266"/>
      <c r="S48" s="266"/>
      <c r="T48" s="266"/>
      <c r="U48" s="266"/>
      <c r="V48" s="266"/>
      <c r="W48" s="266"/>
      <c r="X48" s="266"/>
      <c r="Y48" s="266"/>
      <c r="Z48" s="266"/>
    </row>
    <row r="49" spans="1:11" s="251" customFormat="1" x14ac:dyDescent="0.25">
      <c r="A49" s="372" t="s">
        <v>1078</v>
      </c>
    </row>
    <row r="50" spans="1:11" s="251" customFormat="1" ht="15.75" thickBot="1" x14ac:dyDescent="0.3">
      <c r="A50" s="670"/>
      <c r="B50" s="373"/>
      <c r="C50" s="1046" t="s">
        <v>1762</v>
      </c>
      <c r="D50" s="661"/>
      <c r="E50" s="662" t="s">
        <v>1079</v>
      </c>
      <c r="F50" s="663">
        <f>COUNTA(D$2:D48)</f>
        <v>13</v>
      </c>
      <c r="G50" s="661"/>
      <c r="H50" s="661"/>
      <c r="I50" s="661"/>
    </row>
    <row r="51" spans="1:11" s="251" customFormat="1" ht="15.75" thickBot="1" x14ac:dyDescent="0.3">
      <c r="A51" s="671"/>
      <c r="B51" s="671"/>
      <c r="C51" s="1047" t="s">
        <v>1763</v>
      </c>
      <c r="D51" s="664"/>
      <c r="E51" s="662" t="s">
        <v>1080</v>
      </c>
      <c r="F51" s="663">
        <f>F50-I51</f>
        <v>-5</v>
      </c>
      <c r="G51" s="665" t="s">
        <v>1081</v>
      </c>
      <c r="H51" s="666">
        <f>1-F51/F50</f>
        <v>1.3846153846153846</v>
      </c>
      <c r="I51" s="667">
        <f>COUNTIF(A$2:A48,"")</f>
        <v>18</v>
      </c>
      <c r="K51" s="663"/>
    </row>
    <row r="52" spans="1:11" s="251" customFormat="1" x14ac:dyDescent="0.25">
      <c r="A52" s="670"/>
    </row>
    <row r="53" spans="1:11" s="376" customFormat="1" ht="7.5" customHeight="1" x14ac:dyDescent="0.25">
      <c r="D53" s="377"/>
      <c r="E53" s="377"/>
    </row>
    <row r="54" spans="1:11" s="378" customFormat="1" ht="19.5" x14ac:dyDescent="0.3">
      <c r="A54" s="251"/>
      <c r="C54" s="379" t="s">
        <v>713</v>
      </c>
    </row>
    <row r="55" spans="1:11" s="378" customFormat="1" x14ac:dyDescent="0.25"/>
    <row r="56" spans="1:11" s="378" customFormat="1" ht="15.75" thickBot="1" x14ac:dyDescent="0.3">
      <c r="A56" s="378" t="s">
        <v>714</v>
      </c>
    </row>
    <row r="57" spans="1:11" s="378" customFormat="1" ht="17.25" x14ac:dyDescent="0.4">
      <c r="A57" s="1067" t="s">
        <v>1</v>
      </c>
      <c r="B57" s="253" t="s">
        <v>627</v>
      </c>
      <c r="C57" s="374" t="s">
        <v>715</v>
      </c>
      <c r="D57" s="380" t="s">
        <v>716</v>
      </c>
      <c r="G57" s="378" t="s">
        <v>717</v>
      </c>
    </row>
    <row r="58" spans="1:11" s="378" customFormat="1" x14ac:dyDescent="0.25">
      <c r="A58" s="1068"/>
      <c r="B58" s="258" t="s">
        <v>655</v>
      </c>
      <c r="C58" s="381">
        <v>4240</v>
      </c>
      <c r="D58" s="382" t="str">
        <f>IF(F58="&lt;&lt;ПУСТО&gt;&gt;",E58&amp;ROUND(H58/1000,0),F58&amp;E58&amp;ROUND(H58/1000,0))</f>
        <v>0</v>
      </c>
      <c r="G58" s="378" t="s">
        <v>718</v>
      </c>
    </row>
    <row r="59" spans="1:11" s="378" customFormat="1" x14ac:dyDescent="0.25">
      <c r="A59" s="1068"/>
      <c r="B59" s="253" t="s">
        <v>657</v>
      </c>
      <c r="C59" s="383">
        <v>8</v>
      </c>
      <c r="D59" s="383">
        <v>1</v>
      </c>
      <c r="G59" s="378" t="s">
        <v>719</v>
      </c>
    </row>
    <row r="60" spans="1:11" s="378" customFormat="1" x14ac:dyDescent="0.25">
      <c r="A60" s="1068"/>
      <c r="B60" s="253" t="s">
        <v>659</v>
      </c>
      <c r="C60" s="383">
        <v>2</v>
      </c>
      <c r="D60" s="383"/>
    </row>
    <row r="61" spans="1:11" s="378" customFormat="1" x14ac:dyDescent="0.25">
      <c r="A61" s="1068"/>
      <c r="B61" s="253" t="s">
        <v>660</v>
      </c>
      <c r="C61" s="383"/>
      <c r="D61" s="383"/>
    </row>
    <row r="62" spans="1:11" s="378" customFormat="1" ht="15.75" thickBot="1" x14ac:dyDescent="0.3">
      <c r="A62" s="1069"/>
      <c r="B62" s="253" t="s">
        <v>668</v>
      </c>
      <c r="C62" s="383" t="s">
        <v>720</v>
      </c>
      <c r="D62" s="383"/>
      <c r="G62" s="251" t="s">
        <v>721</v>
      </c>
    </row>
    <row r="63" spans="1:11" s="378" customFormat="1" x14ac:dyDescent="0.25"/>
    <row r="64" spans="1:11" s="378" customFormat="1" ht="15.75" thickBot="1" x14ac:dyDescent="0.3">
      <c r="A64" s="378" t="s">
        <v>722</v>
      </c>
    </row>
    <row r="65" spans="1:8" s="378" customFormat="1" x14ac:dyDescent="0.25">
      <c r="A65" s="384">
        <f>(SUMIF(A$2:A62,"",F$2:F62)-F65)/1000000</f>
        <v>7.9999999999999996E-6</v>
      </c>
      <c r="B65" s="385"/>
      <c r="C65" s="386" t="s">
        <v>20</v>
      </c>
      <c r="E65" s="387" t="s">
        <v>723</v>
      </c>
      <c r="F65" s="388">
        <f>SUMIF(I$54:I59,"Наталья Константиновна Лидер",F$54:F59)</f>
        <v>0</v>
      </c>
    </row>
    <row r="66" spans="1:8" s="378" customFormat="1" ht="15.75" thickBot="1" x14ac:dyDescent="0.3">
      <c r="A66" s="389">
        <f>COUNTIF(A$2:A62,"")-F66</f>
        <v>29</v>
      </c>
      <c r="B66" s="385"/>
      <c r="C66" s="386" t="s">
        <v>724</v>
      </c>
      <c r="E66" s="390"/>
      <c r="F66" s="391">
        <f>COUNTIF(I$54:I67,"Наталья Константиновна Лидер")</f>
        <v>0</v>
      </c>
    </row>
    <row r="67" spans="1:8" s="378" customFormat="1" x14ac:dyDescent="0.25"/>
    <row r="68" spans="1:8" s="378" customFormat="1" x14ac:dyDescent="0.25">
      <c r="A68" s="378" t="s">
        <v>725</v>
      </c>
    </row>
    <row r="69" spans="1:8" s="378" customFormat="1" ht="15.75" thickBot="1" x14ac:dyDescent="0.3">
      <c r="B69" s="378" t="s">
        <v>726</v>
      </c>
    </row>
    <row r="70" spans="1:8" s="378" customFormat="1" ht="17.25" x14ac:dyDescent="0.4">
      <c r="A70" s="1067" t="s">
        <v>7</v>
      </c>
      <c r="B70" s="253" t="s">
        <v>627</v>
      </c>
      <c r="C70" s="374" t="s">
        <v>715</v>
      </c>
      <c r="D70" s="374" t="s">
        <v>727</v>
      </c>
      <c r="G70" s="378" t="s">
        <v>717</v>
      </c>
    </row>
    <row r="71" spans="1:8" s="378" customFormat="1" x14ac:dyDescent="0.25">
      <c r="A71" s="1068"/>
      <c r="B71" s="258" t="s">
        <v>1086</v>
      </c>
      <c r="C71" s="375">
        <f>O71</f>
        <v>0</v>
      </c>
      <c r="D71" s="392" t="str">
        <f>IF(G71="",F71,G71&amp;"/"&amp;F71)</f>
        <v>Match=&lt;номер строки Договора1С&gt;/</v>
      </c>
      <c r="G71" s="378" t="s">
        <v>728</v>
      </c>
    </row>
    <row r="72" spans="1:8" s="378" customFormat="1" x14ac:dyDescent="0.25">
      <c r="A72" s="1068"/>
      <c r="B72" s="253" t="s">
        <v>657</v>
      </c>
      <c r="C72" s="378">
        <v>10</v>
      </c>
      <c r="D72" s="383">
        <v>1</v>
      </c>
      <c r="F72" s="393" t="str">
        <f>"/=""Не состоялся"":"&amp;F73</f>
        <v>/="Не состоялся":/="Договор расторгнут"</v>
      </c>
      <c r="G72" s="378" t="s">
        <v>729</v>
      </c>
    </row>
    <row r="73" spans="1:8" s="251" customFormat="1" x14ac:dyDescent="0.25">
      <c r="A73" s="1068"/>
      <c r="B73" s="253" t="s">
        <v>659</v>
      </c>
      <c r="C73" s="264">
        <v>2</v>
      </c>
      <c r="D73" s="264"/>
      <c r="F73" s="394" t="s">
        <v>730</v>
      </c>
    </row>
    <row r="74" spans="1:8" s="251" customFormat="1" x14ac:dyDescent="0.25">
      <c r="A74" s="1068"/>
      <c r="B74" s="253" t="s">
        <v>660</v>
      </c>
      <c r="C74" s="264"/>
      <c r="D74" s="264"/>
    </row>
    <row r="75" spans="1:8" s="251" customFormat="1" ht="15.75" thickBot="1" x14ac:dyDescent="0.3">
      <c r="A75" s="1069"/>
      <c r="B75" s="253" t="s">
        <v>668</v>
      </c>
      <c r="C75" s="264" t="s">
        <v>731</v>
      </c>
      <c r="D75" s="264"/>
      <c r="F75" s="383" t="str">
        <f>"10/="""":"&amp;F72</f>
        <v>10/="":/="Не состоялся":/="Договор расторгнут"</v>
      </c>
      <c r="G75" s="251" t="s">
        <v>732</v>
      </c>
    </row>
    <row r="76" spans="1:8" s="378" customFormat="1" x14ac:dyDescent="0.25">
      <c r="E76" s="251"/>
      <c r="H76" s="251"/>
    </row>
    <row r="77" spans="1:8" s="378" customFormat="1" x14ac:dyDescent="0.25">
      <c r="A77" s="378" t="s">
        <v>733</v>
      </c>
      <c r="E77" s="251"/>
      <c r="H77" s="251"/>
    </row>
    <row r="78" spans="1:8" s="378" customFormat="1" ht="15.75" thickBot="1" x14ac:dyDescent="0.3">
      <c r="B78" s="378" t="s">
        <v>734</v>
      </c>
    </row>
    <row r="79" spans="1:8" s="378" customFormat="1" ht="15.75" thickBot="1" x14ac:dyDescent="0.3">
      <c r="A79" s="395">
        <f>COUNTIF(A$2:A73,"")-COUNTIF(M$2:M70,"Не состоялся")-COUNTIF(M$2:M70,"Договор расторгнут")</f>
        <v>35</v>
      </c>
      <c r="B79" s="385"/>
    </row>
    <row r="80" spans="1:8" s="378" customFormat="1" x14ac:dyDescent="0.25">
      <c r="B80" s="385"/>
    </row>
    <row r="81" spans="1:38" s="378" customFormat="1" x14ac:dyDescent="0.25">
      <c r="A81" s="378" t="s">
        <v>735</v>
      </c>
    </row>
    <row r="82" spans="1:38" s="378" customFormat="1" x14ac:dyDescent="0.25">
      <c r="A82" s="396" t="s">
        <v>736</v>
      </c>
      <c r="B82" s="396" t="s">
        <v>737</v>
      </c>
      <c r="C82" s="396" t="s">
        <v>738</v>
      </c>
      <c r="D82" s="396" t="s">
        <v>739</v>
      </c>
      <c r="E82" s="396" t="s">
        <v>740</v>
      </c>
      <c r="F82" s="396" t="s">
        <v>741</v>
      </c>
      <c r="G82" s="396" t="s">
        <v>742</v>
      </c>
      <c r="H82" s="396" t="s">
        <v>743</v>
      </c>
      <c r="I82" s="396" t="s">
        <v>744</v>
      </c>
    </row>
    <row r="83" spans="1:38" s="378" customFormat="1" x14ac:dyDescent="0.25">
      <c r="A83" s="378" t="s">
        <v>745</v>
      </c>
      <c r="B83" s="378" t="s">
        <v>746</v>
      </c>
      <c r="D83" s="383" t="s">
        <v>17</v>
      </c>
      <c r="E83" s="383">
        <v>1</v>
      </c>
      <c r="F83" s="378" t="s">
        <v>747</v>
      </c>
      <c r="G83" s="378" t="s">
        <v>748</v>
      </c>
      <c r="H83" s="378" t="s">
        <v>1</v>
      </c>
      <c r="I83" s="378" t="s">
        <v>749</v>
      </c>
    </row>
    <row r="84" spans="1:38" s="376" customFormat="1" ht="7.5" customHeight="1" x14ac:dyDescent="0.25">
      <c r="D84" s="377"/>
      <c r="E84" s="377"/>
    </row>
    <row r="85" spans="1:38" s="378" customFormat="1" ht="19.5" x14ac:dyDescent="0.3">
      <c r="A85" s="251"/>
      <c r="C85" s="379" t="s">
        <v>750</v>
      </c>
      <c r="I85" s="378">
        <f>C91</f>
        <v>5</v>
      </c>
    </row>
    <row r="86" spans="1:38" s="251" customFormat="1" x14ac:dyDescent="0.25"/>
    <row r="87" spans="1:38" s="251" customFormat="1" x14ac:dyDescent="0.25">
      <c r="A87" s="251" t="s">
        <v>751</v>
      </c>
    </row>
    <row r="88" spans="1:38" s="251" customFormat="1" ht="25.5" x14ac:dyDescent="0.25">
      <c r="A88" s="253" t="s">
        <v>627</v>
      </c>
      <c r="B88" s="397" t="s">
        <v>752</v>
      </c>
      <c r="C88" s="397" t="s">
        <v>753</v>
      </c>
      <c r="D88" s="398" t="s">
        <v>754</v>
      </c>
      <c r="E88" s="399" t="s">
        <v>755</v>
      </c>
      <c r="F88" s="400" t="s">
        <v>756</v>
      </c>
      <c r="G88" s="397" t="s">
        <v>46</v>
      </c>
      <c r="H88" s="397" t="s">
        <v>686</v>
      </c>
      <c r="I88" s="397" t="s">
        <v>757</v>
      </c>
      <c r="J88" s="397" t="s">
        <v>645</v>
      </c>
      <c r="L88" s="401" t="s">
        <v>758</v>
      </c>
      <c r="M88" s="402" t="s">
        <v>759</v>
      </c>
      <c r="N88" s="403"/>
      <c r="O88" s="404" t="s">
        <v>43</v>
      </c>
      <c r="P88" s="405" t="s">
        <v>760</v>
      </c>
      <c r="Q88" s="404" t="s">
        <v>45</v>
      </c>
      <c r="R88" s="404" t="s">
        <v>15</v>
      </c>
      <c r="S88" s="404" t="s">
        <v>46</v>
      </c>
      <c r="T88" s="406" t="s">
        <v>47</v>
      </c>
      <c r="U88" s="407" t="s">
        <v>761</v>
      </c>
      <c r="V88" s="408" t="s">
        <v>762</v>
      </c>
      <c r="W88" s="404" t="s">
        <v>763</v>
      </c>
      <c r="X88" s="409" t="s">
        <v>38</v>
      </c>
      <c r="Y88" s="410" t="s">
        <v>38</v>
      </c>
      <c r="Z88" s="410" t="s">
        <v>38</v>
      </c>
      <c r="AA88" s="410" t="s">
        <v>38</v>
      </c>
      <c r="AB88" s="404" t="s">
        <v>38</v>
      </c>
      <c r="AC88" s="404" t="s">
        <v>764</v>
      </c>
      <c r="AD88" s="404" t="s">
        <v>38</v>
      </c>
      <c r="AE88" s="404"/>
      <c r="AF88" s="404" t="s">
        <v>38</v>
      </c>
      <c r="AG88" s="411" t="s">
        <v>765</v>
      </c>
      <c r="AH88" s="412" t="s">
        <v>38</v>
      </c>
      <c r="AI88" s="404" t="s">
        <v>38</v>
      </c>
      <c r="AJ88" s="404" t="s">
        <v>38</v>
      </c>
      <c r="AK88" s="413" t="s">
        <v>766</v>
      </c>
      <c r="AL88" s="414"/>
    </row>
    <row r="89" spans="1:38" s="251" customFormat="1" x14ac:dyDescent="0.25">
      <c r="A89" s="258" t="s">
        <v>1086</v>
      </c>
      <c r="B89" s="415"/>
      <c r="C89" s="416"/>
      <c r="D89" s="417">
        <v>41367</v>
      </c>
      <c r="E89" s="418" t="s">
        <v>767</v>
      </c>
      <c r="F89" s="419">
        <f>T89</f>
        <v>0</v>
      </c>
      <c r="G89" s="264"/>
      <c r="H89" s="265"/>
    </row>
    <row r="90" spans="1:38" s="251" customFormat="1" x14ac:dyDescent="0.25">
      <c r="A90" s="253" t="s">
        <v>657</v>
      </c>
      <c r="B90" s="264">
        <v>1</v>
      </c>
      <c r="C90" s="264">
        <v>5</v>
      </c>
      <c r="D90" s="264">
        <v>8</v>
      </c>
      <c r="E90" s="264">
        <v>13</v>
      </c>
      <c r="F90" s="264">
        <v>14</v>
      </c>
      <c r="G90" s="264">
        <v>11</v>
      </c>
      <c r="H90" s="265">
        <v>20</v>
      </c>
      <c r="I90" s="266">
        <v>15</v>
      </c>
      <c r="J90" s="266">
        <v>10</v>
      </c>
      <c r="K90" s="266">
        <v>6</v>
      </c>
      <c r="L90" s="266">
        <v>6</v>
      </c>
      <c r="M90" s="266">
        <v>10</v>
      </c>
      <c r="N90" s="266">
        <v>1</v>
      </c>
      <c r="O90" s="266">
        <v>45</v>
      </c>
      <c r="P90" s="266"/>
      <c r="Q90" s="266">
        <v>13</v>
      </c>
      <c r="R90" s="266">
        <v>16</v>
      </c>
      <c r="S90" s="266">
        <v>10</v>
      </c>
      <c r="T90" s="266">
        <v>10</v>
      </c>
      <c r="U90" s="266">
        <v>10</v>
      </c>
      <c r="V90" s="266">
        <v>10</v>
      </c>
      <c r="W90" s="266">
        <v>10</v>
      </c>
      <c r="X90" s="266">
        <v>10</v>
      </c>
      <c r="Y90" s="266">
        <v>0</v>
      </c>
      <c r="Z90" s="266">
        <v>0</v>
      </c>
      <c r="AA90" s="266">
        <v>0</v>
      </c>
      <c r="AB90" s="266">
        <v>0</v>
      </c>
      <c r="AC90" s="266">
        <v>0</v>
      </c>
      <c r="AD90" s="266">
        <v>0</v>
      </c>
      <c r="AE90" s="266"/>
      <c r="AF90" s="266">
        <v>0</v>
      </c>
      <c r="AG90" s="266">
        <v>0</v>
      </c>
      <c r="AH90" s="266">
        <v>0</v>
      </c>
      <c r="AI90" s="266">
        <v>0</v>
      </c>
      <c r="AJ90" s="266">
        <v>0</v>
      </c>
      <c r="AK90" s="266">
        <v>0</v>
      </c>
      <c r="AL90" s="266">
        <v>0</v>
      </c>
    </row>
    <row r="91" spans="1:38" s="251" customFormat="1" x14ac:dyDescent="0.25">
      <c r="A91" s="253" t="s">
        <v>659</v>
      </c>
      <c r="B91" s="264">
        <v>5</v>
      </c>
      <c r="C91" s="264">
        <v>5</v>
      </c>
      <c r="D91" s="264" t="s">
        <v>768</v>
      </c>
      <c r="E91" s="264">
        <v>5</v>
      </c>
      <c r="F91" s="264"/>
      <c r="G91" s="264">
        <v>5</v>
      </c>
      <c r="H91" s="251">
        <v>5</v>
      </c>
      <c r="I91" s="251">
        <v>1</v>
      </c>
      <c r="J91" s="264">
        <v>1</v>
      </c>
      <c r="K91" s="265">
        <v>-1</v>
      </c>
      <c r="L91" s="264"/>
      <c r="O91" s="264"/>
      <c r="P91" s="264"/>
      <c r="Q91" s="266"/>
      <c r="R91" s="266"/>
      <c r="S91" s="266"/>
      <c r="T91" s="266"/>
      <c r="U91" s="266"/>
      <c r="V91" s="266"/>
      <c r="W91" s="266"/>
      <c r="X91" s="266"/>
      <c r="Y91" s="266"/>
      <c r="Z91" s="267"/>
      <c r="AA91" s="266"/>
      <c r="AB91" s="266"/>
      <c r="AC91" s="266"/>
      <c r="AD91" s="266"/>
      <c r="AE91" s="266"/>
      <c r="AF91" s="266"/>
      <c r="AG91" s="266"/>
    </row>
    <row r="92" spans="1:38" s="251" customFormat="1" x14ac:dyDescent="0.25">
      <c r="A92" s="253" t="s">
        <v>660</v>
      </c>
      <c r="B92" s="264"/>
      <c r="C92" s="264"/>
      <c r="D92" s="264"/>
      <c r="E92" s="264"/>
      <c r="F92" s="264"/>
      <c r="G92" s="264"/>
      <c r="J92" s="264"/>
      <c r="K92" s="265"/>
      <c r="L92" s="264"/>
      <c r="O92" s="264" t="s">
        <v>769</v>
      </c>
      <c r="P92" s="264"/>
      <c r="Q92" s="266"/>
      <c r="R92" s="266"/>
      <c r="S92" s="266"/>
      <c r="T92" s="266"/>
      <c r="U92" s="266"/>
      <c r="V92" s="266"/>
      <c r="W92" s="266"/>
      <c r="X92" s="266"/>
      <c r="Y92" s="266"/>
      <c r="Z92" s="267"/>
      <c r="AA92" s="266"/>
      <c r="AB92" s="266"/>
      <c r="AC92" s="266"/>
      <c r="AD92" s="266"/>
      <c r="AE92" s="266"/>
      <c r="AF92" s="266"/>
      <c r="AG92" s="266"/>
    </row>
    <row r="93" spans="1:38" s="251" customFormat="1" x14ac:dyDescent="0.25">
      <c r="A93" s="253" t="s">
        <v>668</v>
      </c>
      <c r="B93" s="264" t="s">
        <v>770</v>
      </c>
      <c r="C93" s="264" t="s">
        <v>771</v>
      </c>
      <c r="D93" s="275" t="s">
        <v>772</v>
      </c>
      <c r="E93" s="275" t="s">
        <v>773</v>
      </c>
      <c r="F93" s="275"/>
      <c r="G93" s="264" t="s">
        <v>774</v>
      </c>
      <c r="H93" s="420" t="s">
        <v>775</v>
      </c>
      <c r="I93" s="264" t="s">
        <v>776</v>
      </c>
      <c r="J93" s="264" t="s">
        <v>777</v>
      </c>
      <c r="K93" s="264"/>
      <c r="L93" s="264"/>
      <c r="O93" s="264"/>
      <c r="P93" s="264"/>
      <c r="Q93" s="266"/>
      <c r="R93" s="266"/>
      <c r="S93" s="266"/>
      <c r="T93" s="266"/>
      <c r="U93" s="266"/>
      <c r="V93" s="266"/>
      <c r="W93" s="266"/>
      <c r="X93" s="266"/>
      <c r="Y93" s="266"/>
      <c r="Z93" s="267"/>
      <c r="AA93" s="266"/>
      <c r="AB93" s="266"/>
      <c r="AC93" s="266"/>
      <c r="AD93" s="266"/>
      <c r="AE93" s="266"/>
      <c r="AF93" s="266"/>
      <c r="AG93" s="266"/>
    </row>
    <row r="94" spans="1:38" s="251" customFormat="1" x14ac:dyDescent="0.25">
      <c r="N94" s="251" t="s">
        <v>778</v>
      </c>
    </row>
    <row r="95" spans="1:38" s="251" customFormat="1" x14ac:dyDescent="0.25">
      <c r="A95" s="251" t="s">
        <v>779</v>
      </c>
    </row>
    <row r="96" spans="1:38" s="251" customFormat="1" ht="25.5" x14ac:dyDescent="0.25">
      <c r="A96" s="253" t="s">
        <v>627</v>
      </c>
      <c r="B96" s="397" t="s">
        <v>752</v>
      </c>
      <c r="C96" s="397" t="s">
        <v>753</v>
      </c>
      <c r="D96" s="398" t="s">
        <v>754</v>
      </c>
      <c r="E96" s="399" t="s">
        <v>755</v>
      </c>
      <c r="F96" s="400" t="s">
        <v>756</v>
      </c>
      <c r="G96" s="397" t="s">
        <v>46</v>
      </c>
      <c r="H96" s="397" t="s">
        <v>686</v>
      </c>
      <c r="I96" s="397" t="s">
        <v>757</v>
      </c>
      <c r="J96" s="397" t="s">
        <v>645</v>
      </c>
      <c r="L96" s="401" t="s">
        <v>758</v>
      </c>
      <c r="M96" s="402" t="s">
        <v>759</v>
      </c>
      <c r="N96" s="403"/>
      <c r="O96" s="404" t="s">
        <v>43</v>
      </c>
      <c r="P96" s="405" t="s">
        <v>760</v>
      </c>
      <c r="Q96" s="404" t="s">
        <v>45</v>
      </c>
      <c r="R96" s="404" t="s">
        <v>15</v>
      </c>
      <c r="S96" s="404" t="s">
        <v>46</v>
      </c>
      <c r="T96" s="406" t="s">
        <v>47</v>
      </c>
      <c r="U96" s="407" t="s">
        <v>761</v>
      </c>
      <c r="V96" s="408" t="s">
        <v>762</v>
      </c>
      <c r="W96" s="404" t="s">
        <v>763</v>
      </c>
      <c r="X96" s="409" t="s">
        <v>38</v>
      </c>
      <c r="Y96" s="410" t="s">
        <v>38</v>
      </c>
      <c r="Z96" s="410" t="s">
        <v>38</v>
      </c>
      <c r="AA96" s="410" t="s">
        <v>38</v>
      </c>
      <c r="AB96" s="404" t="s">
        <v>38</v>
      </c>
      <c r="AC96" s="404" t="s">
        <v>764</v>
      </c>
      <c r="AD96" s="404" t="s">
        <v>38</v>
      </c>
      <c r="AE96" s="404"/>
      <c r="AF96" s="404" t="s">
        <v>38</v>
      </c>
      <c r="AG96" s="411" t="s">
        <v>765</v>
      </c>
      <c r="AH96" s="412" t="s">
        <v>38</v>
      </c>
      <c r="AI96" s="404" t="s">
        <v>38</v>
      </c>
      <c r="AJ96" s="404" t="s">
        <v>38</v>
      </c>
      <c r="AK96" s="413" t="s">
        <v>766</v>
      </c>
      <c r="AL96" s="414"/>
    </row>
    <row r="97" spans="1:38" s="251" customFormat="1" x14ac:dyDescent="0.25">
      <c r="A97" s="258" t="s">
        <v>1086</v>
      </c>
      <c r="B97" s="415"/>
      <c r="C97" s="416"/>
      <c r="D97" s="417">
        <v>41367</v>
      </c>
      <c r="E97" s="418" t="s">
        <v>767</v>
      </c>
      <c r="F97" s="419">
        <f>T97</f>
        <v>0</v>
      </c>
      <c r="G97" s="264"/>
      <c r="H97" s="265"/>
    </row>
    <row r="98" spans="1:38" s="251" customFormat="1" x14ac:dyDescent="0.25">
      <c r="A98" s="253" t="s">
        <v>657</v>
      </c>
      <c r="B98" s="264">
        <v>1</v>
      </c>
      <c r="C98" s="264">
        <v>5</v>
      </c>
      <c r="D98" s="264">
        <v>8</v>
      </c>
      <c r="E98" s="264">
        <v>13</v>
      </c>
      <c r="F98" s="264">
        <v>14</v>
      </c>
      <c r="G98" s="264">
        <v>11</v>
      </c>
      <c r="H98" s="265">
        <v>20</v>
      </c>
      <c r="I98" s="266">
        <v>15</v>
      </c>
      <c r="J98" s="266">
        <v>10</v>
      </c>
      <c r="K98" s="266">
        <v>6</v>
      </c>
      <c r="L98" s="266">
        <v>6</v>
      </c>
      <c r="M98" s="266">
        <v>10</v>
      </c>
      <c r="N98" s="266">
        <v>1</v>
      </c>
      <c r="O98" s="266">
        <v>45</v>
      </c>
      <c r="P98" s="266"/>
      <c r="Q98" s="266">
        <v>13</v>
      </c>
      <c r="R98" s="266">
        <v>16</v>
      </c>
      <c r="S98" s="266">
        <v>10</v>
      </c>
      <c r="T98" s="266">
        <v>10</v>
      </c>
      <c r="U98" s="266">
        <v>10</v>
      </c>
      <c r="V98" s="266">
        <v>10</v>
      </c>
      <c r="W98" s="266">
        <v>10</v>
      </c>
      <c r="X98" s="266">
        <v>10</v>
      </c>
      <c r="Y98" s="266">
        <v>0</v>
      </c>
      <c r="Z98" s="266">
        <v>0</v>
      </c>
      <c r="AA98" s="266">
        <v>0</v>
      </c>
      <c r="AB98" s="266">
        <v>0</v>
      </c>
      <c r="AC98" s="266">
        <v>0</v>
      </c>
      <c r="AD98" s="266">
        <v>0</v>
      </c>
      <c r="AE98" s="266"/>
      <c r="AF98" s="266">
        <v>0</v>
      </c>
      <c r="AG98" s="266">
        <v>0</v>
      </c>
      <c r="AH98" s="266">
        <v>0</v>
      </c>
      <c r="AI98" s="266">
        <v>0</v>
      </c>
      <c r="AJ98" s="266">
        <v>0</v>
      </c>
      <c r="AK98" s="266">
        <v>0</v>
      </c>
      <c r="AL98" s="266">
        <v>0</v>
      </c>
    </row>
    <row r="99" spans="1:38" s="251" customFormat="1" x14ac:dyDescent="0.25">
      <c r="A99" s="253" t="s">
        <v>659</v>
      </c>
      <c r="B99" s="264">
        <v>5</v>
      </c>
      <c r="C99" s="264">
        <v>5</v>
      </c>
      <c r="D99" s="264" t="s">
        <v>768</v>
      </c>
      <c r="E99" s="264">
        <v>5</v>
      </c>
      <c r="F99" s="264"/>
      <c r="G99" s="264">
        <v>5</v>
      </c>
      <c r="H99" s="251">
        <v>5</v>
      </c>
      <c r="I99" s="251">
        <v>1</v>
      </c>
      <c r="J99" s="264">
        <v>1</v>
      </c>
      <c r="K99" s="265">
        <v>-1</v>
      </c>
      <c r="L99" s="264"/>
      <c r="O99" s="264"/>
      <c r="P99" s="264"/>
      <c r="Q99" s="266"/>
      <c r="R99" s="266"/>
      <c r="S99" s="266"/>
      <c r="T99" s="266"/>
      <c r="U99" s="266"/>
      <c r="V99" s="266"/>
      <c r="W99" s="266"/>
      <c r="X99" s="266"/>
      <c r="Y99" s="266"/>
      <c r="Z99" s="267"/>
      <c r="AA99" s="266"/>
      <c r="AB99" s="266"/>
      <c r="AC99" s="266"/>
      <c r="AD99" s="266"/>
      <c r="AE99" s="266"/>
      <c r="AF99" s="266"/>
      <c r="AG99" s="266"/>
    </row>
    <row r="100" spans="1:38" s="251" customFormat="1" x14ac:dyDescent="0.25">
      <c r="A100" s="253" t="s">
        <v>660</v>
      </c>
      <c r="B100" s="264"/>
      <c r="C100" s="264"/>
      <c r="D100" s="264"/>
      <c r="E100" s="264"/>
      <c r="F100" s="264"/>
      <c r="G100" s="264"/>
      <c r="J100" s="264"/>
      <c r="K100" s="265"/>
      <c r="L100" s="264"/>
      <c r="O100" s="264" t="s">
        <v>769</v>
      </c>
      <c r="P100" s="264"/>
      <c r="Q100" s="266"/>
      <c r="R100" s="266"/>
      <c r="S100" s="266"/>
      <c r="T100" s="266"/>
      <c r="U100" s="266"/>
      <c r="V100" s="266"/>
      <c r="W100" s="266"/>
      <c r="X100" s="266"/>
      <c r="Y100" s="266"/>
      <c r="Z100" s="267"/>
      <c r="AA100" s="266"/>
      <c r="AB100" s="266"/>
      <c r="AC100" s="266"/>
      <c r="AD100" s="266"/>
      <c r="AE100" s="266"/>
      <c r="AF100" s="266"/>
      <c r="AG100" s="266"/>
    </row>
    <row r="101" spans="1:38" s="251" customFormat="1" x14ac:dyDescent="0.25">
      <c r="A101" s="253" t="s">
        <v>668</v>
      </c>
      <c r="B101" s="264" t="s">
        <v>770</v>
      </c>
      <c r="C101" s="264" t="s">
        <v>771</v>
      </c>
      <c r="D101" s="275" t="s">
        <v>772</v>
      </c>
      <c r="E101" s="275" t="s">
        <v>773</v>
      </c>
      <c r="F101" s="275"/>
      <c r="G101" s="264" t="s">
        <v>774</v>
      </c>
      <c r="H101" s="420" t="s">
        <v>775</v>
      </c>
      <c r="I101" s="264" t="s">
        <v>776</v>
      </c>
      <c r="J101" s="264" t="s">
        <v>777</v>
      </c>
      <c r="K101" s="264"/>
      <c r="L101" s="264"/>
      <c r="O101" s="264"/>
      <c r="P101" s="264"/>
      <c r="Q101" s="266"/>
      <c r="R101" s="266"/>
      <c r="S101" s="266"/>
      <c r="T101" s="266"/>
      <c r="U101" s="266"/>
      <c r="V101" s="266"/>
      <c r="W101" s="266"/>
      <c r="X101" s="266"/>
      <c r="Y101" s="266"/>
      <c r="Z101" s="267"/>
      <c r="AA101" s="266"/>
      <c r="AB101" s="266"/>
      <c r="AC101" s="266"/>
      <c r="AD101" s="266"/>
      <c r="AE101" s="266"/>
      <c r="AF101" s="266"/>
      <c r="AG101" s="266"/>
    </row>
    <row r="102" spans="1:38" s="251" customFormat="1" x14ac:dyDescent="0.25">
      <c r="N102" s="251" t="s">
        <v>778</v>
      </c>
    </row>
    <row r="103" spans="1:38" s="251" customFormat="1" ht="15.75" thickBot="1" x14ac:dyDescent="0.3">
      <c r="A103" s="251" t="s">
        <v>780</v>
      </c>
      <c r="F103" s="251">
        <v>5</v>
      </c>
      <c r="I103" s="251">
        <v>8</v>
      </c>
      <c r="P103" s="251">
        <v>10</v>
      </c>
      <c r="T103" s="251">
        <v>14</v>
      </c>
    </row>
    <row r="104" spans="1:38" s="251" customFormat="1" ht="75" x14ac:dyDescent="0.25">
      <c r="A104" s="421" t="s">
        <v>32</v>
      </c>
      <c r="B104" s="422" t="s">
        <v>781</v>
      </c>
      <c r="C104" s="397" t="s">
        <v>630</v>
      </c>
      <c r="D104" s="397" t="s">
        <v>782</v>
      </c>
      <c r="E104" s="397" t="s">
        <v>783</v>
      </c>
      <c r="F104" s="397" t="s">
        <v>46</v>
      </c>
      <c r="G104" s="397" t="s">
        <v>752</v>
      </c>
      <c r="H104" s="397" t="s">
        <v>757</v>
      </c>
      <c r="I104" s="397" t="s">
        <v>299</v>
      </c>
      <c r="J104" s="397" t="s">
        <v>645</v>
      </c>
      <c r="K104" s="397"/>
      <c r="L104" s="397"/>
      <c r="M104" s="397" t="s">
        <v>784</v>
      </c>
      <c r="N104" s="423" t="s">
        <v>53</v>
      </c>
      <c r="O104" s="397" t="s">
        <v>785</v>
      </c>
      <c r="P104" s="397" t="s">
        <v>786</v>
      </c>
      <c r="Q104" s="424" t="s">
        <v>787</v>
      </c>
      <c r="R104" s="424" t="s">
        <v>36</v>
      </c>
      <c r="S104" s="425" t="s">
        <v>37</v>
      </c>
      <c r="T104" s="424" t="s">
        <v>40</v>
      </c>
      <c r="U104" s="426" t="s">
        <v>38</v>
      </c>
      <c r="V104" s="426" t="s">
        <v>39</v>
      </c>
      <c r="W104" s="426" t="s">
        <v>788</v>
      </c>
      <c r="X104" s="426" t="s">
        <v>789</v>
      </c>
      <c r="Y104" s="426" t="s">
        <v>790</v>
      </c>
    </row>
    <row r="105" spans="1:38" s="251" customFormat="1" x14ac:dyDescent="0.25">
      <c r="A105" s="427"/>
      <c r="B105" s="258" t="s">
        <v>1086</v>
      </c>
      <c r="D105" s="428"/>
      <c r="M105" s="265"/>
      <c r="N105" s="260"/>
      <c r="O105" s="261"/>
      <c r="P105" s="261"/>
      <c r="Q105" s="264" t="s">
        <v>656</v>
      </c>
      <c r="R105" s="264" t="s">
        <v>656</v>
      </c>
      <c r="S105" s="264" t="s">
        <v>656</v>
      </c>
      <c r="T105" s="264" t="s">
        <v>656</v>
      </c>
      <c r="U105" s="264" t="s">
        <v>656</v>
      </c>
      <c r="V105" s="264" t="s">
        <v>656</v>
      </c>
      <c r="W105" s="264" t="s">
        <v>656</v>
      </c>
      <c r="X105" s="264" t="s">
        <v>656</v>
      </c>
      <c r="Y105" s="264" t="s">
        <v>656</v>
      </c>
    </row>
    <row r="106" spans="1:38" s="251" customFormat="1" x14ac:dyDescent="0.25">
      <c r="A106" s="427"/>
      <c r="B106" s="253" t="s">
        <v>657</v>
      </c>
      <c r="C106" s="264">
        <v>9</v>
      </c>
      <c r="D106" s="264">
        <v>5</v>
      </c>
      <c r="E106" s="264">
        <v>22</v>
      </c>
      <c r="F106" s="264">
        <v>10</v>
      </c>
      <c r="G106" s="264">
        <v>1</v>
      </c>
      <c r="H106" s="264">
        <v>15</v>
      </c>
      <c r="I106" s="264">
        <v>10</v>
      </c>
      <c r="J106" s="264">
        <v>8</v>
      </c>
      <c r="K106" s="264">
        <v>1</v>
      </c>
      <c r="L106" s="264">
        <v>1</v>
      </c>
      <c r="M106" s="264">
        <v>12</v>
      </c>
      <c r="N106" s="264">
        <v>14</v>
      </c>
      <c r="O106" s="264">
        <v>12</v>
      </c>
      <c r="P106" s="264">
        <v>8</v>
      </c>
      <c r="Q106" s="264">
        <v>47</v>
      </c>
      <c r="R106" s="264">
        <v>44</v>
      </c>
      <c r="S106" s="264">
        <v>8</v>
      </c>
      <c r="T106" s="264">
        <v>44</v>
      </c>
      <c r="U106" s="264">
        <v>9</v>
      </c>
      <c r="V106" s="264">
        <v>25</v>
      </c>
      <c r="W106" s="264">
        <v>22</v>
      </c>
      <c r="X106" s="264">
        <v>0</v>
      </c>
      <c r="Y106" s="266">
        <v>0</v>
      </c>
    </row>
    <row r="107" spans="1:38" s="251" customFormat="1" x14ac:dyDescent="0.25">
      <c r="A107" s="427"/>
      <c r="B107" s="253" t="s">
        <v>659</v>
      </c>
      <c r="C107" s="264">
        <v>15</v>
      </c>
      <c r="D107" s="264">
        <v>19</v>
      </c>
      <c r="E107" s="264">
        <v>2</v>
      </c>
      <c r="G107" s="251">
        <v>-1</v>
      </c>
      <c r="M107" s="264"/>
      <c r="N107" s="264"/>
      <c r="O107" s="264"/>
      <c r="P107" s="264"/>
      <c r="T107" s="264"/>
      <c r="U107" s="266"/>
      <c r="V107" s="266"/>
      <c r="W107" s="266"/>
      <c r="X107" s="266"/>
      <c r="Y107" s="266"/>
    </row>
    <row r="108" spans="1:38" s="251" customFormat="1" ht="30" x14ac:dyDescent="0.25">
      <c r="A108" s="427"/>
      <c r="B108" s="253" t="s">
        <v>660</v>
      </c>
      <c r="C108" s="264" t="s">
        <v>791</v>
      </c>
      <c r="D108" s="429" t="s">
        <v>792</v>
      </c>
      <c r="E108" s="430" t="s">
        <v>793</v>
      </c>
      <c r="G108" s="264"/>
      <c r="M108" s="264"/>
      <c r="N108" s="264"/>
      <c r="O108" s="264"/>
      <c r="P108" s="264"/>
      <c r="Q108" s="264"/>
      <c r="T108" s="264"/>
      <c r="U108" s="266"/>
      <c r="V108" s="266"/>
      <c r="W108" s="266"/>
      <c r="X108" s="266"/>
      <c r="Y108" s="266"/>
      <c r="Z108" s="266"/>
      <c r="AA108" s="266"/>
      <c r="AB108" s="266"/>
      <c r="AC108" s="266"/>
      <c r="AD108" s="267"/>
      <c r="AE108" s="267"/>
      <c r="AF108" s="266"/>
      <c r="AG108" s="266"/>
      <c r="AH108" s="266"/>
      <c r="AI108" s="266"/>
      <c r="AJ108" s="266"/>
      <c r="AK108" s="266"/>
    </row>
    <row r="109" spans="1:38" s="251" customFormat="1" x14ac:dyDescent="0.25">
      <c r="A109" s="427"/>
      <c r="B109" s="253" t="s">
        <v>668</v>
      </c>
      <c r="D109" s="265"/>
      <c r="E109" s="264"/>
      <c r="F109" s="264"/>
      <c r="H109" s="264"/>
      <c r="K109" s="264"/>
      <c r="L109" s="266"/>
      <c r="M109" s="275"/>
      <c r="N109" s="275"/>
      <c r="O109" s="275"/>
      <c r="P109" s="275"/>
      <c r="Q109" s="266"/>
      <c r="R109" s="266"/>
      <c r="S109" s="266"/>
      <c r="T109" s="266"/>
      <c r="U109" s="266"/>
      <c r="V109" s="266"/>
      <c r="W109" s="266"/>
      <c r="X109" s="266"/>
      <c r="Y109" s="267"/>
      <c r="Z109" s="266"/>
      <c r="AA109" s="266"/>
      <c r="AB109" s="266"/>
      <c r="AC109" s="266"/>
      <c r="AD109" s="266"/>
      <c r="AE109" s="266"/>
      <c r="AF109" s="266"/>
    </row>
    <row r="111" spans="1:38" x14ac:dyDescent="0.25">
      <c r="D111" s="251">
        <v>5</v>
      </c>
      <c r="E111" s="251">
        <v>5</v>
      </c>
      <c r="J111" s="264"/>
      <c r="K111" s="264">
        <v>5</v>
      </c>
      <c r="L111" s="251">
        <v>5</v>
      </c>
      <c r="M111" s="265">
        <v>-1</v>
      </c>
      <c r="N111" s="264"/>
      <c r="O111" s="264"/>
      <c r="P111" s="264"/>
    </row>
    <row r="112" spans="1:38" ht="36.75" x14ac:dyDescent="0.25">
      <c r="D112" s="430" t="s">
        <v>793</v>
      </c>
      <c r="E112" s="430" t="s">
        <v>794</v>
      </c>
      <c r="F112" s="264" t="s">
        <v>791</v>
      </c>
      <c r="K112" s="431" t="s">
        <v>795</v>
      </c>
      <c r="L112" s="431" t="s">
        <v>796</v>
      </c>
      <c r="M112" s="431"/>
      <c r="N112" s="431"/>
      <c r="O112" s="431"/>
      <c r="P112" s="431"/>
    </row>
    <row r="114" spans="1:27" s="376" customFormat="1" ht="7.5" customHeight="1" x14ac:dyDescent="0.25">
      <c r="D114" s="377"/>
      <c r="E114" s="377"/>
    </row>
    <row r="115" spans="1:27" s="378" customFormat="1" ht="19.5" x14ac:dyDescent="0.3">
      <c r="A115" s="251"/>
      <c r="C115" s="379" t="s">
        <v>797</v>
      </c>
      <c r="I115" s="378">
        <f>G155</f>
        <v>0</v>
      </c>
    </row>
    <row r="117" spans="1:27" ht="15.75" thickBot="1" x14ac:dyDescent="0.3">
      <c r="A117" s="432" t="s">
        <v>798</v>
      </c>
    </row>
    <row r="118" spans="1:27" ht="16.5" thickBot="1" x14ac:dyDescent="0.3">
      <c r="A118" s="433">
        <v>40954</v>
      </c>
      <c r="B118" s="434" t="s">
        <v>625</v>
      </c>
      <c r="D118" s="435">
        <v>1</v>
      </c>
    </row>
    <row r="119" spans="1:27" s="251" customFormat="1" x14ac:dyDescent="0.25">
      <c r="A119" s="275"/>
      <c r="B119" s="275"/>
      <c r="C119" s="275"/>
      <c r="D119" s="275"/>
      <c r="E119" s="275"/>
      <c r="F119" s="265"/>
      <c r="G119" s="264"/>
      <c r="H119" s="264"/>
      <c r="K119" s="264"/>
      <c r="L119" s="266"/>
      <c r="M119" s="266"/>
      <c r="N119" s="266"/>
      <c r="O119" s="266"/>
      <c r="P119" s="266"/>
      <c r="Q119" s="266"/>
      <c r="R119" s="266"/>
      <c r="S119" s="266"/>
      <c r="T119" s="266"/>
      <c r="U119" s="267"/>
      <c r="V119" s="266"/>
      <c r="W119" s="266"/>
      <c r="X119" s="266"/>
      <c r="Y119" s="266"/>
      <c r="Z119" s="266"/>
      <c r="AA119" s="266"/>
    </row>
    <row r="120" spans="1:27" s="436" customFormat="1" ht="7.5" customHeight="1" x14ac:dyDescent="0.25">
      <c r="D120" s="437"/>
      <c r="E120" s="437"/>
    </row>
    <row r="121" spans="1:27" s="251" customFormat="1" ht="19.5" x14ac:dyDescent="0.3">
      <c r="C121" s="252" t="s">
        <v>799</v>
      </c>
    </row>
    <row r="123" spans="1:27" x14ac:dyDescent="0.25">
      <c r="A123" s="432" t="s">
        <v>800</v>
      </c>
    </row>
    <row r="124" spans="1:27" s="711" customFormat="1" ht="15.75" thickBot="1" x14ac:dyDescent="0.3">
      <c r="A124" s="778" t="s">
        <v>1150</v>
      </c>
    </row>
    <row r="125" spans="1:27" ht="15.75" thickBot="1" x14ac:dyDescent="0.3">
      <c r="A125" s="253" t="s">
        <v>801</v>
      </c>
      <c r="B125" s="438" t="s">
        <v>802</v>
      </c>
      <c r="C125" s="438" t="s">
        <v>0</v>
      </c>
      <c r="D125" s="438" t="s">
        <v>803</v>
      </c>
      <c r="E125" s="438" t="s">
        <v>804</v>
      </c>
      <c r="F125" s="438" t="s">
        <v>805</v>
      </c>
      <c r="G125" s="438" t="s">
        <v>806</v>
      </c>
      <c r="H125" s="439" t="s">
        <v>807</v>
      </c>
      <c r="I125" s="440" t="s">
        <v>808</v>
      </c>
      <c r="J125" s="440" t="s">
        <v>809</v>
      </c>
    </row>
    <row r="126" spans="1:27" s="441" customFormat="1" x14ac:dyDescent="0.25">
      <c r="A126" s="258" t="s">
        <v>804</v>
      </c>
      <c r="J126" s="442"/>
      <c r="K126" s="442"/>
      <c r="L126" s="443"/>
      <c r="M126" s="444"/>
      <c r="N126" s="445"/>
      <c r="O126" s="228"/>
      <c r="P126" s="228"/>
      <c r="Q126" s="228"/>
      <c r="R126" s="228"/>
      <c r="S126" s="228"/>
      <c r="T126" s="228"/>
      <c r="U126" s="228"/>
      <c r="V126" s="228"/>
      <c r="W126" s="228"/>
      <c r="X126" s="228"/>
    </row>
    <row r="127" spans="1:27" x14ac:dyDescent="0.25">
      <c r="A127" s="253" t="s">
        <v>810</v>
      </c>
      <c r="B127" s="442" t="s">
        <v>811</v>
      </c>
      <c r="C127" s="442" t="s">
        <v>812</v>
      </c>
      <c r="D127" s="442" t="s">
        <v>811</v>
      </c>
      <c r="E127" s="442" t="s">
        <v>31</v>
      </c>
      <c r="F127" s="442" t="s">
        <v>658</v>
      </c>
      <c r="G127" s="442" t="s">
        <v>811</v>
      </c>
      <c r="H127" s="442" t="s">
        <v>811</v>
      </c>
      <c r="I127" s="442" t="s">
        <v>813</v>
      </c>
      <c r="J127" s="442" t="s">
        <v>813</v>
      </c>
      <c r="K127" s="442"/>
      <c r="L127" s="442"/>
      <c r="M127" s="442"/>
      <c r="N127" s="442"/>
    </row>
    <row r="128" spans="1:27" x14ac:dyDescent="0.25">
      <c r="A128" s="253" t="s">
        <v>814</v>
      </c>
      <c r="B128" s="442" t="s">
        <v>51</v>
      </c>
      <c r="C128" s="442" t="s">
        <v>3</v>
      </c>
      <c r="D128" s="442" t="s">
        <v>91</v>
      </c>
      <c r="E128" s="442" t="s">
        <v>815</v>
      </c>
      <c r="F128" s="442" t="s">
        <v>140</v>
      </c>
      <c r="G128" s="442" t="s">
        <v>816</v>
      </c>
      <c r="H128" s="446" t="s">
        <v>69</v>
      </c>
      <c r="I128" s="447" t="s">
        <v>817</v>
      </c>
      <c r="J128" s="442" t="s">
        <v>19</v>
      </c>
      <c r="K128" s="442"/>
      <c r="L128" s="442"/>
      <c r="M128" s="442"/>
      <c r="N128" s="442"/>
    </row>
    <row r="129" spans="1:31" x14ac:dyDescent="0.25">
      <c r="A129" s="253" t="s">
        <v>818</v>
      </c>
      <c r="E129" s="228" t="s">
        <v>819</v>
      </c>
      <c r="H129" s="228" t="s">
        <v>820</v>
      </c>
      <c r="I129" s="448"/>
      <c r="J129" s="449"/>
      <c r="N129" s="449"/>
      <c r="O129" s="449"/>
      <c r="P129" s="450"/>
      <c r="Q129" s="449"/>
    </row>
    <row r="130" spans="1:31" x14ac:dyDescent="0.25">
      <c r="A130" s="253" t="s">
        <v>821</v>
      </c>
      <c r="E130" s="451"/>
      <c r="H130" s="451" t="s">
        <v>1034</v>
      </c>
      <c r="I130" s="452" t="s">
        <v>823</v>
      </c>
      <c r="J130" s="264"/>
      <c r="O130" s="453"/>
      <c r="S130" s="454"/>
      <c r="T130" s="454"/>
      <c r="U130" s="454"/>
      <c r="V130" s="454"/>
      <c r="W130" s="454"/>
    </row>
    <row r="132" spans="1:31" ht="15.75" thickBot="1" x14ac:dyDescent="0.3">
      <c r="A132" s="432" t="s">
        <v>824</v>
      </c>
    </row>
    <row r="133" spans="1:31" ht="15.75" thickBot="1" x14ac:dyDescent="0.3">
      <c r="A133" s="253" t="s">
        <v>801</v>
      </c>
      <c r="B133" s="438" t="s">
        <v>802</v>
      </c>
      <c r="C133" s="438" t="s">
        <v>0</v>
      </c>
      <c r="D133" s="438" t="s">
        <v>803</v>
      </c>
      <c r="E133" s="438" t="s">
        <v>804</v>
      </c>
      <c r="F133" s="438" t="s">
        <v>805</v>
      </c>
      <c r="G133" s="438" t="s">
        <v>806</v>
      </c>
      <c r="H133" s="439" t="s">
        <v>807</v>
      </c>
      <c r="I133" s="440" t="s">
        <v>808</v>
      </c>
      <c r="J133" s="440" t="s">
        <v>809</v>
      </c>
    </row>
    <row r="134" spans="1:31" s="441" customFormat="1" x14ac:dyDescent="0.25">
      <c r="A134" s="258" t="s">
        <v>804</v>
      </c>
      <c r="J134" s="442"/>
      <c r="K134" s="442"/>
      <c r="L134" s="443"/>
      <c r="M134" s="444"/>
      <c r="N134" s="445"/>
      <c r="O134" s="228"/>
      <c r="P134" s="228"/>
      <c r="Q134" s="228"/>
      <c r="R134" s="228"/>
      <c r="S134" s="228"/>
      <c r="T134" s="228"/>
      <c r="U134" s="228"/>
      <c r="V134" s="228"/>
      <c r="W134" s="228"/>
      <c r="X134" s="228"/>
    </row>
    <row r="135" spans="1:31" x14ac:dyDescent="0.25">
      <c r="A135" s="253" t="s">
        <v>810</v>
      </c>
      <c r="B135" s="442" t="s">
        <v>811</v>
      </c>
      <c r="C135" s="442" t="s">
        <v>812</v>
      </c>
      <c r="D135" s="442" t="s">
        <v>811</v>
      </c>
      <c r="E135" s="442" t="s">
        <v>31</v>
      </c>
      <c r="F135" s="442" t="s">
        <v>658</v>
      </c>
      <c r="G135" s="442" t="s">
        <v>811</v>
      </c>
      <c r="H135" s="442" t="s">
        <v>811</v>
      </c>
      <c r="I135" s="442" t="s">
        <v>813</v>
      </c>
      <c r="J135" s="442" t="s">
        <v>813</v>
      </c>
      <c r="K135" s="442"/>
      <c r="L135" s="442"/>
      <c r="M135" s="442"/>
      <c r="N135" s="442"/>
    </row>
    <row r="136" spans="1:31" x14ac:dyDescent="0.25">
      <c r="A136" s="253" t="s">
        <v>814</v>
      </c>
      <c r="B136" s="442" t="s">
        <v>51</v>
      </c>
      <c r="C136" s="442" t="s">
        <v>3</v>
      </c>
      <c r="D136" s="442" t="s">
        <v>91</v>
      </c>
      <c r="E136" s="442" t="s">
        <v>815</v>
      </c>
      <c r="F136" s="442" t="s">
        <v>140</v>
      </c>
      <c r="G136" s="442" t="s">
        <v>816</v>
      </c>
      <c r="H136" s="446" t="s">
        <v>69</v>
      </c>
      <c r="I136" s="455" t="s">
        <v>825</v>
      </c>
      <c r="J136" s="442" t="s">
        <v>19</v>
      </c>
      <c r="K136" s="442"/>
      <c r="L136" s="442"/>
      <c r="M136" s="442"/>
      <c r="N136" s="442"/>
    </row>
    <row r="137" spans="1:31" x14ac:dyDescent="0.25">
      <c r="A137" s="253" t="s">
        <v>818</v>
      </c>
      <c r="B137" s="228" t="s">
        <v>826</v>
      </c>
      <c r="E137" s="228" t="s">
        <v>819</v>
      </c>
      <c r="H137" s="228" t="s">
        <v>820</v>
      </c>
      <c r="I137" s="456" t="s">
        <v>827</v>
      </c>
      <c r="J137" s="449"/>
      <c r="N137" s="449"/>
      <c r="O137" s="449"/>
      <c r="P137" s="450"/>
      <c r="Q137" s="449"/>
    </row>
    <row r="138" spans="1:31" x14ac:dyDescent="0.25">
      <c r="A138" s="253" t="s">
        <v>821</v>
      </c>
      <c r="E138" s="451"/>
      <c r="H138" s="451" t="s">
        <v>822</v>
      </c>
      <c r="I138" s="457"/>
      <c r="J138" s="264"/>
      <c r="O138" s="453"/>
      <c r="S138" s="454"/>
      <c r="T138" s="454"/>
      <c r="U138" s="454"/>
      <c r="V138" s="454"/>
      <c r="W138" s="454"/>
    </row>
    <row r="140" spans="1:31" ht="15.75" thickBot="1" x14ac:dyDescent="0.3">
      <c r="A140" s="432" t="s">
        <v>828</v>
      </c>
    </row>
    <row r="141" spans="1:31" s="205" customFormat="1" ht="15.75" thickBot="1" x14ac:dyDescent="0.3">
      <c r="A141" s="253" t="s">
        <v>801</v>
      </c>
      <c r="B141" s="458" t="s">
        <v>829</v>
      </c>
      <c r="C141" s="458" t="s">
        <v>0</v>
      </c>
      <c r="D141" s="459" t="s">
        <v>830</v>
      </c>
      <c r="E141" s="460" t="s">
        <v>142</v>
      </c>
      <c r="F141" s="459" t="s">
        <v>831</v>
      </c>
      <c r="G141" s="461" t="s">
        <v>169</v>
      </c>
      <c r="H141" s="459" t="s">
        <v>832</v>
      </c>
      <c r="I141" s="461" t="s">
        <v>833</v>
      </c>
      <c r="J141" s="460" t="s">
        <v>834</v>
      </c>
      <c r="K141" s="461" t="s">
        <v>835</v>
      </c>
      <c r="L141" s="459" t="s">
        <v>836</v>
      </c>
      <c r="M141" s="462" t="s">
        <v>804</v>
      </c>
      <c r="N141" s="463" t="s">
        <v>283</v>
      </c>
      <c r="O141" s="464" t="s">
        <v>284</v>
      </c>
      <c r="P141" s="464" t="s">
        <v>837</v>
      </c>
      <c r="Q141" s="464" t="s">
        <v>838</v>
      </c>
      <c r="R141" s="465" t="s">
        <v>839</v>
      </c>
      <c r="S141" s="465" t="s">
        <v>840</v>
      </c>
      <c r="T141" s="465" t="s">
        <v>841</v>
      </c>
      <c r="U141" s="465" t="s">
        <v>842</v>
      </c>
      <c r="V141" s="465" t="s">
        <v>843</v>
      </c>
      <c r="AE141" s="679"/>
    </row>
    <row r="142" spans="1:31" s="441" customFormat="1" x14ac:dyDescent="0.25">
      <c r="A142" s="258" t="s">
        <v>804</v>
      </c>
      <c r="B142" s="444" t="s">
        <v>844</v>
      </c>
      <c r="C142" s="466">
        <v>40918</v>
      </c>
      <c r="D142" s="443" t="s">
        <v>147</v>
      </c>
      <c r="E142" s="467"/>
      <c r="F142" s="443" t="s">
        <v>259</v>
      </c>
      <c r="G142" s="468"/>
      <c r="H142" s="443" t="s">
        <v>845</v>
      </c>
      <c r="I142" s="469"/>
      <c r="J142" s="443" t="s">
        <v>846</v>
      </c>
      <c r="K142" s="443"/>
      <c r="L142" s="444" t="s">
        <v>700</v>
      </c>
      <c r="M142" s="445">
        <v>130000</v>
      </c>
      <c r="N142" s="470" t="s">
        <v>286</v>
      </c>
      <c r="O142" s="471" t="s">
        <v>287</v>
      </c>
      <c r="P142" s="472"/>
      <c r="Q142" s="473"/>
      <c r="R142" s="474"/>
      <c r="S142" s="474"/>
      <c r="T142" s="474"/>
      <c r="U142" s="474"/>
      <c r="V142" s="474"/>
      <c r="W142" s="205"/>
    </row>
    <row r="143" spans="1:31" x14ac:dyDescent="0.25">
      <c r="A143" s="253" t="s">
        <v>810</v>
      </c>
      <c r="B143" s="442" t="s">
        <v>811</v>
      </c>
      <c r="C143" s="442" t="s">
        <v>811</v>
      </c>
      <c r="D143" s="442" t="s">
        <v>847</v>
      </c>
      <c r="E143" s="442" t="s">
        <v>848</v>
      </c>
      <c r="F143" s="442" t="s">
        <v>847</v>
      </c>
      <c r="G143" s="442" t="s">
        <v>848</v>
      </c>
      <c r="H143" s="442" t="s">
        <v>811</v>
      </c>
      <c r="I143" s="442" t="s">
        <v>848</v>
      </c>
      <c r="J143" s="442" t="s">
        <v>847</v>
      </c>
      <c r="K143" s="442" t="s">
        <v>811</v>
      </c>
      <c r="L143" s="442" t="s">
        <v>76</v>
      </c>
      <c r="M143" s="442" t="s">
        <v>85</v>
      </c>
      <c r="N143" s="442" t="s">
        <v>3</v>
      </c>
      <c r="O143" s="442" t="s">
        <v>19</v>
      </c>
      <c r="P143" s="442" t="s">
        <v>77</v>
      </c>
      <c r="Q143" s="442" t="s">
        <v>19</v>
      </c>
      <c r="R143" s="442" t="s">
        <v>31</v>
      </c>
      <c r="S143" s="442" t="s">
        <v>31</v>
      </c>
      <c r="T143" s="442" t="s">
        <v>847</v>
      </c>
      <c r="U143" s="442" t="s">
        <v>77</v>
      </c>
      <c r="V143" s="442" t="s">
        <v>77</v>
      </c>
    </row>
    <row r="144" spans="1:31" x14ac:dyDescent="0.25">
      <c r="A144" s="253" t="s">
        <v>814</v>
      </c>
      <c r="B144" s="442">
        <v>10</v>
      </c>
      <c r="C144" s="442">
        <v>12</v>
      </c>
      <c r="D144" s="442" t="s">
        <v>849</v>
      </c>
      <c r="E144" s="442" t="s">
        <v>849</v>
      </c>
      <c r="F144" s="442" t="s">
        <v>33</v>
      </c>
      <c r="G144" s="442" t="s">
        <v>33</v>
      </c>
      <c r="H144" s="442" t="s">
        <v>139</v>
      </c>
      <c r="I144" s="442" t="s">
        <v>80</v>
      </c>
      <c r="J144" s="442" t="s">
        <v>850</v>
      </c>
      <c r="K144" s="442">
        <v>18</v>
      </c>
      <c r="L144" s="442" t="s">
        <v>851</v>
      </c>
      <c r="M144" s="442" t="s">
        <v>29</v>
      </c>
      <c r="N144" s="442" t="s">
        <v>852</v>
      </c>
      <c r="O144" s="442" t="s">
        <v>852</v>
      </c>
      <c r="P144" s="442" t="s">
        <v>852</v>
      </c>
      <c r="Q144" s="442">
        <v>12</v>
      </c>
      <c r="R144" s="442" t="s">
        <v>80</v>
      </c>
      <c r="S144" s="442" t="s">
        <v>80</v>
      </c>
      <c r="T144" s="442" t="s">
        <v>80</v>
      </c>
      <c r="U144" s="442" t="s">
        <v>80</v>
      </c>
      <c r="V144" s="442" t="s">
        <v>80</v>
      </c>
    </row>
    <row r="145" spans="1:26" x14ac:dyDescent="0.25">
      <c r="A145" s="253" t="s">
        <v>818</v>
      </c>
      <c r="E145" s="451" t="s">
        <v>853</v>
      </c>
      <c r="G145" s="451" t="s">
        <v>854</v>
      </c>
      <c r="I145" s="449"/>
      <c r="K145" s="451" t="s">
        <v>835</v>
      </c>
      <c r="M145" s="449" t="s">
        <v>819</v>
      </c>
      <c r="N145" s="449"/>
      <c r="O145" s="450" t="s">
        <v>855</v>
      </c>
      <c r="P145" s="449" t="s">
        <v>856</v>
      </c>
    </row>
    <row r="146" spans="1:26" x14ac:dyDescent="0.25">
      <c r="A146" s="253" t="s">
        <v>821</v>
      </c>
      <c r="E146" s="451"/>
      <c r="G146" s="451"/>
      <c r="I146" s="264"/>
      <c r="K146" s="454" t="s">
        <v>822</v>
      </c>
      <c r="N146" s="453"/>
      <c r="R146" s="454" t="s">
        <v>857</v>
      </c>
      <c r="S146" s="454" t="s">
        <v>858</v>
      </c>
      <c r="T146" s="454" t="s">
        <v>859</v>
      </c>
      <c r="U146" s="454" t="s">
        <v>860</v>
      </c>
      <c r="V146" s="454" t="s">
        <v>861</v>
      </c>
    </row>
    <row r="148" spans="1:26" ht="15.75" thickBot="1" x14ac:dyDescent="0.3">
      <c r="A148" s="432" t="s">
        <v>1099</v>
      </c>
      <c r="B148" s="432"/>
      <c r="C148" s="432"/>
      <c r="D148" s="432"/>
      <c r="E148" s="432"/>
      <c r="F148" s="432"/>
      <c r="G148" s="432"/>
      <c r="H148" s="432"/>
      <c r="I148" s="432"/>
      <c r="J148" s="432"/>
      <c r="P148" s="432"/>
      <c r="Q148" s="432"/>
    </row>
    <row r="149" spans="1:26" ht="15.75" thickBot="1" x14ac:dyDescent="0.3">
      <c r="A149" s="690" t="s">
        <v>68</v>
      </c>
      <c r="B149" s="253" t="s">
        <v>801</v>
      </c>
      <c r="C149" s="438" t="s">
        <v>862</v>
      </c>
      <c r="D149" s="438" t="s">
        <v>654</v>
      </c>
      <c r="E149" s="438" t="s">
        <v>863</v>
      </c>
      <c r="F149" s="438" t="s">
        <v>864</v>
      </c>
      <c r="G149" s="438" t="s">
        <v>804</v>
      </c>
      <c r="H149" s="438" t="s">
        <v>865</v>
      </c>
      <c r="I149" s="438" t="s">
        <v>866</v>
      </c>
      <c r="J149" s="438" t="s">
        <v>867</v>
      </c>
      <c r="K149" s="438" t="s">
        <v>868</v>
      </c>
      <c r="L149" s="438" t="s">
        <v>869</v>
      </c>
      <c r="M149" s="438" t="s">
        <v>870</v>
      </c>
      <c r="N149" s="438" t="s">
        <v>871</v>
      </c>
      <c r="P149" s="438" t="s">
        <v>866</v>
      </c>
      <c r="Q149" s="438" t="s">
        <v>867</v>
      </c>
      <c r="R149" s="438" t="s">
        <v>868</v>
      </c>
      <c r="S149" s="438" t="s">
        <v>869</v>
      </c>
      <c r="T149" s="438" t="s">
        <v>870</v>
      </c>
      <c r="U149" s="438" t="s">
        <v>871</v>
      </c>
    </row>
    <row r="150" spans="1:26" s="441" customFormat="1" x14ac:dyDescent="0.25">
      <c r="A150" s="691"/>
      <c r="B150" s="258" t="s">
        <v>804</v>
      </c>
      <c r="C150" s="475" t="s">
        <v>872</v>
      </c>
      <c r="D150" s="466" t="s">
        <v>873</v>
      </c>
      <c r="E150" s="476" t="s">
        <v>874</v>
      </c>
      <c r="F150" s="467"/>
      <c r="G150" s="477">
        <v>2298687.7200000002</v>
      </c>
      <c r="H150" s="468"/>
      <c r="I150" s="478" t="s">
        <v>345</v>
      </c>
      <c r="J150" s="479" t="s">
        <v>875</v>
      </c>
      <c r="K150" s="478"/>
      <c r="L150" s="478"/>
      <c r="M150" s="480"/>
      <c r="N150" s="481"/>
      <c r="O150" s="228"/>
      <c r="P150" s="443" t="s">
        <v>345</v>
      </c>
      <c r="Q150" s="482"/>
      <c r="R150" s="443" t="s">
        <v>876</v>
      </c>
      <c r="S150" s="443" t="s">
        <v>345</v>
      </c>
      <c r="T150" s="444" t="s">
        <v>227</v>
      </c>
      <c r="U150" s="445" t="s">
        <v>877</v>
      </c>
      <c r="V150" s="228"/>
      <c r="W150" s="228"/>
      <c r="X150" s="228"/>
      <c r="Y150" s="228"/>
    </row>
    <row r="151" spans="1:26" x14ac:dyDescent="0.25">
      <c r="A151" s="691"/>
      <c r="B151" s="253" t="s">
        <v>810</v>
      </c>
      <c r="C151" s="442" t="s">
        <v>139</v>
      </c>
      <c r="D151" s="442" t="s">
        <v>878</v>
      </c>
      <c r="E151" s="442" t="s">
        <v>85</v>
      </c>
      <c r="F151" s="442" t="s">
        <v>139</v>
      </c>
      <c r="G151" s="442" t="s">
        <v>139</v>
      </c>
      <c r="H151" s="442" t="s">
        <v>19</v>
      </c>
      <c r="I151" s="483"/>
      <c r="J151" s="484"/>
      <c r="K151" s="442"/>
      <c r="L151" s="442"/>
      <c r="M151" s="442"/>
      <c r="N151" s="442"/>
      <c r="P151" s="442">
        <v>10</v>
      </c>
      <c r="Q151" s="442" t="s">
        <v>31</v>
      </c>
      <c r="R151" s="442" t="s">
        <v>3</v>
      </c>
      <c r="S151" s="442" t="s">
        <v>85</v>
      </c>
      <c r="T151" s="442" t="s">
        <v>31</v>
      </c>
      <c r="U151" s="442" t="s">
        <v>31</v>
      </c>
    </row>
    <row r="152" spans="1:26" x14ac:dyDescent="0.25">
      <c r="A152" s="691"/>
      <c r="B152" s="253" t="s">
        <v>814</v>
      </c>
      <c r="C152" s="442" t="s">
        <v>19</v>
      </c>
      <c r="D152" s="442" t="s">
        <v>19</v>
      </c>
      <c r="E152" s="442" t="s">
        <v>33</v>
      </c>
      <c r="F152" s="442" t="s">
        <v>29</v>
      </c>
      <c r="G152" s="442" t="s">
        <v>816</v>
      </c>
      <c r="H152" s="442" t="s">
        <v>852</v>
      </c>
      <c r="I152" s="483" t="s">
        <v>851</v>
      </c>
      <c r="J152" s="484"/>
      <c r="K152" s="442"/>
      <c r="L152" s="442"/>
      <c r="M152" s="442"/>
      <c r="N152" s="442"/>
      <c r="P152" s="442" t="s">
        <v>31</v>
      </c>
      <c r="Q152" s="442" t="s">
        <v>31</v>
      </c>
      <c r="R152" s="442"/>
      <c r="S152" s="442" t="s">
        <v>31</v>
      </c>
      <c r="T152" s="442" t="s">
        <v>140</v>
      </c>
      <c r="U152" s="442" t="s">
        <v>78</v>
      </c>
    </row>
    <row r="153" spans="1:26" x14ac:dyDescent="0.25">
      <c r="A153" s="691"/>
      <c r="B153" s="253" t="s">
        <v>818</v>
      </c>
      <c r="D153" s="451" t="s">
        <v>879</v>
      </c>
      <c r="F153" s="451" t="s">
        <v>880</v>
      </c>
      <c r="G153" s="485" t="s">
        <v>881</v>
      </c>
      <c r="H153" s="451" t="s">
        <v>855</v>
      </c>
      <c r="I153" s="486" t="s">
        <v>882</v>
      </c>
      <c r="K153" s="487"/>
      <c r="L153" s="486"/>
      <c r="M153" s="486"/>
      <c r="N153" s="488"/>
      <c r="P153" s="451" t="s">
        <v>883</v>
      </c>
      <c r="Q153" s="486" t="s">
        <v>884</v>
      </c>
      <c r="R153" s="487"/>
      <c r="S153" s="486" t="s">
        <v>885</v>
      </c>
      <c r="T153" s="486" t="s">
        <v>886</v>
      </c>
      <c r="U153" s="488"/>
    </row>
    <row r="154" spans="1:26" x14ac:dyDescent="0.25">
      <c r="A154" s="691"/>
      <c r="B154" s="253" t="s">
        <v>821</v>
      </c>
      <c r="D154" s="228" t="s">
        <v>887</v>
      </c>
      <c r="F154" s="451"/>
      <c r="H154" s="451"/>
      <c r="J154" s="489"/>
      <c r="L154" s="454"/>
      <c r="Q154" s="264"/>
      <c r="S154" s="454"/>
      <c r="U154" s="228" t="s">
        <v>888</v>
      </c>
    </row>
    <row r="156" spans="1:26" ht="15.75" thickBot="1" x14ac:dyDescent="0.3">
      <c r="A156" s="432" t="s">
        <v>1098</v>
      </c>
      <c r="B156" s="432"/>
      <c r="C156" s="432"/>
      <c r="D156" s="432"/>
      <c r="E156" s="432"/>
      <c r="F156" s="432"/>
      <c r="G156" s="432"/>
      <c r="H156" s="432"/>
      <c r="I156" s="432"/>
      <c r="J156" s="432"/>
      <c r="P156" s="432"/>
      <c r="Q156" s="432"/>
    </row>
    <row r="157" spans="1:26" ht="15.75" thickBot="1" x14ac:dyDescent="0.3">
      <c r="A157" s="1070" t="s">
        <v>1</v>
      </c>
      <c r="B157" s="253" t="s">
        <v>801</v>
      </c>
      <c r="C157" s="438" t="s">
        <v>862</v>
      </c>
      <c r="D157" s="438" t="s">
        <v>654</v>
      </c>
      <c r="E157" s="438" t="s">
        <v>863</v>
      </c>
      <c r="F157" s="695" t="s">
        <v>831</v>
      </c>
      <c r="G157" s="438" t="s">
        <v>864</v>
      </c>
      <c r="H157" s="438" t="s">
        <v>804</v>
      </c>
      <c r="I157" s="438" t="s">
        <v>865</v>
      </c>
      <c r="J157" s="438" t="s">
        <v>866</v>
      </c>
      <c r="K157" s="438" t="s">
        <v>867</v>
      </c>
      <c r="L157" s="438" t="s">
        <v>868</v>
      </c>
      <c r="M157" s="438" t="s">
        <v>869</v>
      </c>
      <c r="N157" s="438" t="s">
        <v>870</v>
      </c>
      <c r="O157" s="438" t="s">
        <v>871</v>
      </c>
      <c r="Q157" s="438" t="s">
        <v>866</v>
      </c>
      <c r="R157" s="438" t="s">
        <v>867</v>
      </c>
      <c r="S157" s="438" t="s">
        <v>868</v>
      </c>
      <c r="T157" s="438" t="s">
        <v>869</v>
      </c>
      <c r="U157" s="438" t="s">
        <v>870</v>
      </c>
      <c r="V157" s="438" t="s">
        <v>871</v>
      </c>
    </row>
    <row r="158" spans="1:26" s="441" customFormat="1" x14ac:dyDescent="0.25">
      <c r="A158" s="1071"/>
      <c r="B158" s="258" t="s">
        <v>804</v>
      </c>
      <c r="C158" s="475" t="s">
        <v>872</v>
      </c>
      <c r="D158" s="693" t="s">
        <v>873</v>
      </c>
      <c r="E158" s="746" t="s">
        <v>874</v>
      </c>
      <c r="F158" s="696" t="s">
        <v>258</v>
      </c>
      <c r="G158" s="697" t="s">
        <v>261</v>
      </c>
      <c r="H158" s="748">
        <v>2298687.7200000002</v>
      </c>
      <c r="I158" s="468"/>
      <c r="J158" s="451" t="s">
        <v>345</v>
      </c>
      <c r="K158" s="479" t="s">
        <v>875</v>
      </c>
      <c r="L158" s="443" t="s">
        <v>876</v>
      </c>
      <c r="M158" s="491" t="s">
        <v>309</v>
      </c>
      <c r="N158" s="444" t="s">
        <v>263</v>
      </c>
      <c r="O158" s="481"/>
      <c r="P158" s="228"/>
      <c r="Q158" s="443" t="s">
        <v>345</v>
      </c>
      <c r="R158" s="482"/>
      <c r="S158" s="443" t="s">
        <v>876</v>
      </c>
      <c r="T158" s="443" t="s">
        <v>345</v>
      </c>
      <c r="U158" s="444" t="s">
        <v>227</v>
      </c>
      <c r="V158" s="445" t="s">
        <v>877</v>
      </c>
      <c r="W158" s="228"/>
      <c r="X158" s="228"/>
      <c r="Y158" s="228"/>
      <c r="Z158" s="228"/>
    </row>
    <row r="159" spans="1:26" x14ac:dyDescent="0.25">
      <c r="A159" s="1071"/>
      <c r="B159" s="253" t="s">
        <v>810</v>
      </c>
      <c r="C159" s="692" t="s">
        <v>1100</v>
      </c>
      <c r="D159" s="694" t="s">
        <v>1101</v>
      </c>
      <c r="E159" s="694" t="s">
        <v>939</v>
      </c>
      <c r="F159" s="692" t="s">
        <v>939</v>
      </c>
      <c r="G159" s="692" t="s">
        <v>1100</v>
      </c>
      <c r="H159" s="442" t="s">
        <v>139</v>
      </c>
      <c r="I159" s="442" t="s">
        <v>19</v>
      </c>
      <c r="J159" s="484"/>
      <c r="K159" s="484"/>
      <c r="L159" s="442" t="s">
        <v>3</v>
      </c>
      <c r="N159" s="484"/>
      <c r="O159" s="442"/>
      <c r="Q159" s="442">
        <v>10</v>
      </c>
      <c r="R159" s="442" t="s">
        <v>31</v>
      </c>
      <c r="S159" s="442" t="s">
        <v>3</v>
      </c>
      <c r="T159" s="442" t="s">
        <v>85</v>
      </c>
      <c r="U159" s="442" t="s">
        <v>31</v>
      </c>
      <c r="V159" s="442" t="s">
        <v>31</v>
      </c>
    </row>
    <row r="160" spans="1:26" x14ac:dyDescent="0.25">
      <c r="A160" s="1071"/>
      <c r="B160" s="253" t="s">
        <v>814</v>
      </c>
      <c r="C160" s="692" t="s">
        <v>80</v>
      </c>
      <c r="D160" s="447" t="s">
        <v>817</v>
      </c>
      <c r="E160" s="694" t="s">
        <v>1129</v>
      </c>
      <c r="F160" s="692" t="s">
        <v>816</v>
      </c>
      <c r="G160" s="692" t="s">
        <v>1102</v>
      </c>
      <c r="H160" s="694" t="s">
        <v>1130</v>
      </c>
      <c r="I160" s="442" t="s">
        <v>852</v>
      </c>
      <c r="J160" s="687" t="s">
        <v>140</v>
      </c>
      <c r="K160" s="484"/>
      <c r="L160" s="692" t="s">
        <v>140</v>
      </c>
      <c r="M160" s="692" t="s">
        <v>140</v>
      </c>
      <c r="N160" s="687" t="s">
        <v>816</v>
      </c>
      <c r="O160" s="442"/>
      <c r="Q160" s="442" t="s">
        <v>31</v>
      </c>
      <c r="R160" s="442" t="s">
        <v>31</v>
      </c>
      <c r="S160" s="442"/>
      <c r="T160" s="442" t="s">
        <v>31</v>
      </c>
      <c r="U160" s="442" t="s">
        <v>140</v>
      </c>
      <c r="V160" s="442" t="s">
        <v>78</v>
      </c>
    </row>
    <row r="161" spans="1:25" ht="75" x14ac:dyDescent="0.25">
      <c r="A161" s="1071"/>
      <c r="B161" s="253" t="s">
        <v>818</v>
      </c>
      <c r="C161" s="601"/>
      <c r="D161" s="699"/>
      <c r="E161" s="747"/>
      <c r="F161" s="743"/>
      <c r="G161" s="700" t="s">
        <v>880</v>
      </c>
      <c r="H161" s="701" t="s">
        <v>1103</v>
      </c>
      <c r="I161" s="700" t="s">
        <v>855</v>
      </c>
      <c r="J161" s="700" t="s">
        <v>866</v>
      </c>
      <c r="K161" s="702" t="s">
        <v>898</v>
      </c>
      <c r="L161" s="576" t="s">
        <v>899</v>
      </c>
      <c r="M161" s="706" t="s">
        <v>1106</v>
      </c>
      <c r="N161" s="708" t="s">
        <v>1107</v>
      </c>
      <c r="O161" s="704"/>
      <c r="P161" s="601"/>
      <c r="Q161" s="700" t="s">
        <v>883</v>
      </c>
      <c r="R161" s="703" t="s">
        <v>884</v>
      </c>
      <c r="S161" s="705"/>
      <c r="T161" s="703" t="s">
        <v>885</v>
      </c>
      <c r="U161" s="703" t="s">
        <v>886</v>
      </c>
      <c r="V161" s="704"/>
      <c r="W161" s="601"/>
    </row>
    <row r="162" spans="1:25" x14ac:dyDescent="0.25">
      <c r="A162" s="1071"/>
      <c r="B162" s="253" t="s">
        <v>821</v>
      </c>
      <c r="D162" s="452"/>
      <c r="E162" s="448"/>
      <c r="G162" s="451"/>
      <c r="H162" s="448"/>
      <c r="I162" s="451"/>
      <c r="J162" s="499"/>
      <c r="K162" s="489"/>
      <c r="R162" s="264"/>
      <c r="T162" s="454"/>
      <c r="V162" s="228" t="s">
        <v>888</v>
      </c>
    </row>
    <row r="164" spans="1:25" ht="15.75" thickBot="1" x14ac:dyDescent="0.3">
      <c r="A164" s="432" t="s">
        <v>889</v>
      </c>
      <c r="B164" s="432"/>
      <c r="C164" s="432"/>
      <c r="D164" s="432"/>
      <c r="E164" s="432"/>
      <c r="F164" s="432"/>
      <c r="G164" s="432"/>
      <c r="H164" s="432"/>
      <c r="I164" s="432"/>
      <c r="J164" s="432"/>
    </row>
    <row r="165" spans="1:25" ht="15.75" thickBot="1" x14ac:dyDescent="0.3">
      <c r="A165" s="421" t="s">
        <v>1</v>
      </c>
      <c r="B165" s="253" t="s">
        <v>801</v>
      </c>
      <c r="C165" s="438" t="s">
        <v>862</v>
      </c>
      <c r="D165" s="438" t="s">
        <v>654</v>
      </c>
      <c r="E165" s="438" t="s">
        <v>863</v>
      </c>
      <c r="F165" s="438" t="s">
        <v>864</v>
      </c>
      <c r="G165" s="438" t="s">
        <v>804</v>
      </c>
      <c r="H165" s="438" t="s">
        <v>865</v>
      </c>
      <c r="I165" s="438" t="s">
        <v>866</v>
      </c>
      <c r="J165" s="438" t="s">
        <v>867</v>
      </c>
      <c r="K165" s="438" t="s">
        <v>868</v>
      </c>
      <c r="L165" s="438" t="s">
        <v>869</v>
      </c>
      <c r="M165" s="438" t="s">
        <v>870</v>
      </c>
      <c r="N165" s="438" t="s">
        <v>871</v>
      </c>
      <c r="Q165" s="224" t="s">
        <v>314</v>
      </c>
    </row>
    <row r="166" spans="1:25" s="441" customFormat="1" x14ac:dyDescent="0.25">
      <c r="A166" s="427"/>
      <c r="B166" s="258" t="s">
        <v>804</v>
      </c>
      <c r="C166" s="475" t="s">
        <v>872</v>
      </c>
      <c r="D166" s="466" t="s">
        <v>873</v>
      </c>
      <c r="E166" s="476" t="s">
        <v>874</v>
      </c>
      <c r="F166" s="467"/>
      <c r="G166" s="477">
        <v>2298687.7200000002</v>
      </c>
      <c r="H166" s="468"/>
      <c r="I166" s="490" t="s">
        <v>251</v>
      </c>
      <c r="J166" s="479" t="s">
        <v>875</v>
      </c>
      <c r="K166" s="491" t="s">
        <v>890</v>
      </c>
      <c r="L166" s="491" t="s">
        <v>309</v>
      </c>
      <c r="M166" s="492" t="s">
        <v>179</v>
      </c>
      <c r="N166" s="481"/>
      <c r="O166" s="228"/>
      <c r="P166" s="228"/>
      <c r="Q166" s="224" t="s">
        <v>302</v>
      </c>
      <c r="R166" s="228"/>
      <c r="S166" s="228"/>
      <c r="T166" s="228"/>
      <c r="U166" s="228"/>
      <c r="V166" s="228"/>
      <c r="W166" s="228"/>
      <c r="X166" s="228"/>
      <c r="Y166" s="228"/>
    </row>
    <row r="167" spans="1:25" x14ac:dyDescent="0.25">
      <c r="A167" s="427"/>
      <c r="B167" s="253" t="s">
        <v>810</v>
      </c>
      <c r="C167" s="442" t="s">
        <v>139</v>
      </c>
      <c r="D167" s="442" t="s">
        <v>878</v>
      </c>
      <c r="E167" s="442" t="s">
        <v>85</v>
      </c>
      <c r="F167" s="442" t="s">
        <v>139</v>
      </c>
      <c r="G167" s="442" t="s">
        <v>139</v>
      </c>
      <c r="H167" s="442" t="s">
        <v>19</v>
      </c>
      <c r="I167" s="442" t="s">
        <v>825</v>
      </c>
      <c r="J167" s="484"/>
      <c r="K167" s="442"/>
      <c r="M167" s="442" t="s">
        <v>91</v>
      </c>
      <c r="N167" s="442"/>
      <c r="Q167" s="224" t="s">
        <v>305</v>
      </c>
    </row>
    <row r="168" spans="1:25" x14ac:dyDescent="0.25">
      <c r="A168" s="427"/>
      <c r="B168" s="253" t="s">
        <v>814</v>
      </c>
      <c r="C168" s="442" t="s">
        <v>80</v>
      </c>
      <c r="D168" s="442" t="s">
        <v>891</v>
      </c>
      <c r="E168" s="484" t="s">
        <v>3</v>
      </c>
      <c r="F168" s="484" t="s">
        <v>816</v>
      </c>
      <c r="G168" s="442" t="s">
        <v>892</v>
      </c>
      <c r="H168" s="442" t="s">
        <v>893</v>
      </c>
      <c r="I168" s="442" t="s">
        <v>894</v>
      </c>
      <c r="J168" s="484" t="s">
        <v>80</v>
      </c>
      <c r="K168" s="692" t="s">
        <v>1105</v>
      </c>
      <c r="L168" s="692" t="s">
        <v>1105</v>
      </c>
      <c r="M168" s="442" t="s">
        <v>816</v>
      </c>
      <c r="N168" s="442"/>
      <c r="Q168" s="224" t="s">
        <v>230</v>
      </c>
    </row>
    <row r="169" spans="1:25" ht="60" x14ac:dyDescent="0.25">
      <c r="A169" s="427"/>
      <c r="B169" s="253" t="s">
        <v>818</v>
      </c>
      <c r="C169" s="687" t="s">
        <v>895</v>
      </c>
      <c r="D169" s="484" t="s">
        <v>896</v>
      </c>
      <c r="E169" s="451"/>
      <c r="F169" s="493" t="s">
        <v>880</v>
      </c>
      <c r="G169" s="484" t="s">
        <v>895</v>
      </c>
      <c r="H169" s="484" t="s">
        <v>855</v>
      </c>
      <c r="I169" s="494" t="s">
        <v>897</v>
      </c>
      <c r="J169" s="495" t="s">
        <v>898</v>
      </c>
      <c r="K169" s="496" t="s">
        <v>899</v>
      </c>
      <c r="M169" s="497" t="s">
        <v>1107</v>
      </c>
      <c r="N169" s="488"/>
      <c r="Q169" s="224" t="s">
        <v>346</v>
      </c>
    </row>
    <row r="170" spans="1:25" x14ac:dyDescent="0.25">
      <c r="A170" s="427"/>
      <c r="B170" s="253" t="s">
        <v>821</v>
      </c>
      <c r="E170" s="449"/>
      <c r="F170" s="451"/>
      <c r="H170" s="451"/>
      <c r="I170" s="451"/>
      <c r="J170" s="489"/>
      <c r="M170" s="498"/>
    </row>
    <row r="171" spans="1:25" x14ac:dyDescent="0.25">
      <c r="I171" s="499"/>
    </row>
    <row r="172" spans="1:25" x14ac:dyDescent="0.25">
      <c r="A172" s="500" t="s">
        <v>900</v>
      </c>
      <c r="B172" s="432"/>
      <c r="C172" s="432"/>
      <c r="D172" s="432"/>
      <c r="E172" s="432"/>
      <c r="F172" s="432"/>
      <c r="G172" s="432"/>
      <c r="H172" s="432"/>
      <c r="I172" s="432"/>
      <c r="J172" s="432"/>
    </row>
    <row r="173" spans="1:25" ht="15.75" thickBot="1" x14ac:dyDescent="0.3">
      <c r="A173" s="658">
        <v>41529</v>
      </c>
      <c r="B173" s="711" t="s">
        <v>1108</v>
      </c>
      <c r="C173" s="432"/>
      <c r="D173" s="432"/>
      <c r="E173" s="432"/>
      <c r="F173" s="432"/>
      <c r="G173" s="432"/>
      <c r="H173" s="432"/>
      <c r="I173" s="432"/>
      <c r="J173" s="432"/>
    </row>
    <row r="174" spans="1:25" ht="15.75" thickBot="1" x14ac:dyDescent="0.3">
      <c r="A174" s="1070" t="s">
        <v>1</v>
      </c>
      <c r="B174" s="253" t="s">
        <v>801</v>
      </c>
      <c r="C174" s="439" t="s">
        <v>807</v>
      </c>
      <c r="D174" s="439" t="s">
        <v>653</v>
      </c>
      <c r="L174" s="501"/>
    </row>
    <row r="175" spans="1:25" x14ac:dyDescent="0.25">
      <c r="A175" s="1071"/>
      <c r="B175" s="258" t="s">
        <v>804</v>
      </c>
      <c r="C175" s="441"/>
      <c r="D175" s="441"/>
    </row>
    <row r="176" spans="1:25" x14ac:dyDescent="0.25">
      <c r="A176" s="1071"/>
      <c r="B176" s="253" t="s">
        <v>810</v>
      </c>
      <c r="C176" s="692" t="s">
        <v>1100</v>
      </c>
      <c r="D176" s="692" t="s">
        <v>1100</v>
      </c>
    </row>
    <row r="177" spans="1:22" x14ac:dyDescent="0.25">
      <c r="A177" s="1071"/>
      <c r="B177" s="253" t="s">
        <v>814</v>
      </c>
      <c r="C177" s="446" t="s">
        <v>69</v>
      </c>
      <c r="D177" s="447" t="s">
        <v>817</v>
      </c>
    </row>
    <row r="178" spans="1:22" x14ac:dyDescent="0.25">
      <c r="A178" s="1071"/>
      <c r="B178" s="253" t="s">
        <v>818</v>
      </c>
      <c r="C178" s="449" t="s">
        <v>820</v>
      </c>
    </row>
    <row r="179" spans="1:22" x14ac:dyDescent="0.25">
      <c r="A179" s="1071"/>
      <c r="B179" s="253" t="s">
        <v>821</v>
      </c>
      <c r="C179" s="451" t="s">
        <v>1034</v>
      </c>
    </row>
    <row r="181" spans="1:22" ht="15.75" thickBot="1" x14ac:dyDescent="0.3">
      <c r="A181" s="432" t="s">
        <v>901</v>
      </c>
      <c r="B181" s="432"/>
      <c r="C181" s="432"/>
      <c r="D181" s="432"/>
      <c r="E181" s="432"/>
      <c r="F181" s="432"/>
      <c r="G181" s="432"/>
      <c r="H181" s="432"/>
      <c r="I181" s="432"/>
      <c r="J181" s="432"/>
    </row>
    <row r="182" spans="1:22" ht="15.75" thickBot="1" x14ac:dyDescent="0.3">
      <c r="A182" s="439" t="s">
        <v>902</v>
      </c>
      <c r="B182" s="439" t="s">
        <v>903</v>
      </c>
      <c r="J182" s="501"/>
    </row>
    <row r="184" spans="1:22" ht="15.75" thickBot="1" x14ac:dyDescent="0.3">
      <c r="A184" s="500" t="s">
        <v>1088</v>
      </c>
      <c r="B184" s="502"/>
      <c r="C184" s="502"/>
      <c r="D184" s="502"/>
      <c r="E184" s="502"/>
      <c r="F184" s="432"/>
      <c r="G184" s="432"/>
      <c r="H184" s="432"/>
      <c r="I184" s="432"/>
      <c r="J184" s="432"/>
    </row>
    <row r="185" spans="1:22" ht="15.75" thickBot="1" x14ac:dyDescent="0.3">
      <c r="A185" s="438" t="s">
        <v>904</v>
      </c>
      <c r="B185" s="438" t="s">
        <v>905</v>
      </c>
      <c r="C185" s="438" t="s">
        <v>864</v>
      </c>
      <c r="D185" s="438" t="s">
        <v>906</v>
      </c>
      <c r="E185" s="438" t="s">
        <v>839</v>
      </c>
      <c r="F185" s="438" t="s">
        <v>840</v>
      </c>
      <c r="G185" s="438" t="s">
        <v>841</v>
      </c>
      <c r="H185" s="438" t="s">
        <v>842</v>
      </c>
      <c r="I185" s="438" t="s">
        <v>843</v>
      </c>
      <c r="J185" s="438" t="s">
        <v>907</v>
      </c>
      <c r="K185" s="438" t="s">
        <v>908</v>
      </c>
      <c r="L185" s="438" t="s">
        <v>909</v>
      </c>
      <c r="M185" s="438" t="s">
        <v>910</v>
      </c>
      <c r="N185" s="438" t="s">
        <v>911</v>
      </c>
      <c r="O185" s="438" t="s">
        <v>912</v>
      </c>
      <c r="P185" s="438" t="s">
        <v>913</v>
      </c>
      <c r="Q185" s="438" t="s">
        <v>914</v>
      </c>
      <c r="R185" s="438" t="s">
        <v>915</v>
      </c>
      <c r="S185" s="438" t="s">
        <v>916</v>
      </c>
      <c r="T185" s="438" t="s">
        <v>917</v>
      </c>
      <c r="U185" s="438" t="s">
        <v>918</v>
      </c>
      <c r="V185" s="503" t="s">
        <v>919</v>
      </c>
    </row>
    <row r="187" spans="1:22" ht="15.75" thickBot="1" x14ac:dyDescent="0.3">
      <c r="A187" s="432" t="s">
        <v>920</v>
      </c>
    </row>
    <row r="188" spans="1:22" ht="15.75" thickBot="1" x14ac:dyDescent="0.3">
      <c r="A188" s="438" t="s">
        <v>25</v>
      </c>
      <c r="B188" s="438" t="s">
        <v>783</v>
      </c>
      <c r="C188" s="438" t="s">
        <v>906</v>
      </c>
      <c r="D188" s="438" t="s">
        <v>911</v>
      </c>
      <c r="E188" s="438" t="s">
        <v>839</v>
      </c>
      <c r="F188" s="438" t="s">
        <v>840</v>
      </c>
      <c r="G188" s="438" t="s">
        <v>841</v>
      </c>
      <c r="H188" s="438" t="s">
        <v>842</v>
      </c>
      <c r="I188" s="438" t="s">
        <v>843</v>
      </c>
      <c r="J188" s="438" t="s">
        <v>914</v>
      </c>
      <c r="K188" s="438" t="s">
        <v>915</v>
      </c>
      <c r="L188" s="438" t="s">
        <v>916</v>
      </c>
      <c r="M188" s="438" t="s">
        <v>917</v>
      </c>
      <c r="N188" s="438" t="s">
        <v>918</v>
      </c>
    </row>
    <row r="190" spans="1:22" ht="15.75" thickBot="1" x14ac:dyDescent="0.3">
      <c r="A190" s="432" t="s">
        <v>921</v>
      </c>
    </row>
    <row r="191" spans="1:22" ht="15.75" thickBot="1" x14ac:dyDescent="0.3">
      <c r="A191" s="438" t="s">
        <v>922</v>
      </c>
      <c r="B191" s="438" t="s">
        <v>783</v>
      </c>
      <c r="C191" s="438" t="s">
        <v>923</v>
      </c>
    </row>
    <row r="192" spans="1:22" x14ac:dyDescent="0.25">
      <c r="A192" s="249" t="s">
        <v>139</v>
      </c>
      <c r="B192" s="249" t="s">
        <v>924</v>
      </c>
      <c r="C192" s="249" t="s">
        <v>815</v>
      </c>
    </row>
    <row r="193" spans="1:14" x14ac:dyDescent="0.25">
      <c r="I193" s="499"/>
    </row>
    <row r="194" spans="1:14" ht="15.75" thickBot="1" x14ac:dyDescent="0.3">
      <c r="A194" s="658" t="s">
        <v>1118</v>
      </c>
      <c r="B194" s="432"/>
      <c r="C194" s="432"/>
      <c r="D194" s="432"/>
      <c r="E194" s="432"/>
      <c r="F194" s="432"/>
      <c r="G194" s="432"/>
      <c r="H194" s="432"/>
      <c r="I194" s="432"/>
      <c r="J194" s="432"/>
    </row>
    <row r="195" spans="1:14" x14ac:dyDescent="0.25">
      <c r="A195" s="1072" t="s">
        <v>1115</v>
      </c>
      <c r="B195" s="253" t="s">
        <v>801</v>
      </c>
      <c r="C195" s="732" t="s">
        <v>1119</v>
      </c>
      <c r="D195" s="733" t="s">
        <v>1114</v>
      </c>
      <c r="L195" s="501"/>
    </row>
    <row r="196" spans="1:14" x14ac:dyDescent="0.25">
      <c r="A196" s="1073"/>
      <c r="B196" s="258" t="s">
        <v>804</v>
      </c>
      <c r="C196" s="730" t="s">
        <v>656</v>
      </c>
      <c r="D196" s="731" t="s">
        <v>656</v>
      </c>
    </row>
    <row r="197" spans="1:14" x14ac:dyDescent="0.25">
      <c r="A197" s="1073"/>
      <c r="B197" s="253" t="s">
        <v>810</v>
      </c>
      <c r="C197" s="692" t="s">
        <v>1120</v>
      </c>
      <c r="D197" s="692" t="s">
        <v>1121</v>
      </c>
    </row>
    <row r="198" spans="1:14" x14ac:dyDescent="0.25">
      <c r="A198" s="1073"/>
      <c r="B198" s="253" t="s">
        <v>814</v>
      </c>
      <c r="C198" s="447" t="s">
        <v>817</v>
      </c>
      <c r="D198" s="729" t="s">
        <v>77</v>
      </c>
    </row>
    <row r="199" spans="1:14" x14ac:dyDescent="0.25">
      <c r="A199" s="1073"/>
      <c r="B199" s="253" t="s">
        <v>818</v>
      </c>
      <c r="C199" s="449"/>
    </row>
    <row r="200" spans="1:14" x14ac:dyDescent="0.25">
      <c r="A200" s="1073"/>
      <c r="B200" s="253" t="s">
        <v>821</v>
      </c>
      <c r="C200" s="451"/>
    </row>
    <row r="201" spans="1:14" ht="15.75" thickBot="1" x14ac:dyDescent="0.3">
      <c r="A201" s="249"/>
      <c r="B201" s="249"/>
    </row>
    <row r="202" spans="1:14" ht="15.75" thickBot="1" x14ac:dyDescent="0.3">
      <c r="A202" s="504" t="s">
        <v>925</v>
      </c>
      <c r="B202" s="249"/>
      <c r="I202" s="505" t="s">
        <v>47</v>
      </c>
      <c r="N202" s="506" t="s">
        <v>763</v>
      </c>
    </row>
    <row r="203" spans="1:14" s="251" customFormat="1" ht="25.5" x14ac:dyDescent="0.25">
      <c r="A203" s="253" t="s">
        <v>627</v>
      </c>
      <c r="B203" s="507" t="s">
        <v>926</v>
      </c>
      <c r="C203" s="397" t="s">
        <v>927</v>
      </c>
      <c r="D203" s="508" t="s">
        <v>928</v>
      </c>
      <c r="E203" s="508" t="s">
        <v>929</v>
      </c>
      <c r="F203" s="509" t="s">
        <v>930</v>
      </c>
      <c r="G203" s="509" t="s">
        <v>931</v>
      </c>
      <c r="H203" s="509" t="s">
        <v>932</v>
      </c>
      <c r="I203" s="510" t="s">
        <v>933</v>
      </c>
      <c r="J203" s="511" t="s">
        <v>934</v>
      </c>
      <c r="K203" s="512" t="s">
        <v>935</v>
      </c>
      <c r="L203" s="513" t="s">
        <v>936</v>
      </c>
      <c r="M203" s="513" t="s">
        <v>937</v>
      </c>
      <c r="N203" s="513" t="s">
        <v>155</v>
      </c>
    </row>
    <row r="204" spans="1:14" s="251" customFormat="1" x14ac:dyDescent="0.25">
      <c r="A204" s="258" t="s">
        <v>1086</v>
      </c>
      <c r="B204" s="415"/>
      <c r="C204" s="416"/>
    </row>
    <row r="205" spans="1:14" s="251" customFormat="1" x14ac:dyDescent="0.25">
      <c r="A205" s="253" t="s">
        <v>657</v>
      </c>
      <c r="B205" s="264">
        <v>1</v>
      </c>
      <c r="C205" s="264">
        <v>5</v>
      </c>
      <c r="D205" s="514">
        <v>45</v>
      </c>
      <c r="E205" s="514">
        <v>5</v>
      </c>
      <c r="F205" s="514">
        <v>7</v>
      </c>
      <c r="G205" s="514">
        <v>16</v>
      </c>
      <c r="H205" s="514">
        <v>10</v>
      </c>
      <c r="I205" s="514" t="s">
        <v>938</v>
      </c>
      <c r="J205" s="514" t="s">
        <v>939</v>
      </c>
      <c r="K205" s="514">
        <v>10</v>
      </c>
      <c r="L205" s="514" t="s">
        <v>940</v>
      </c>
      <c r="M205" s="514" t="s">
        <v>811</v>
      </c>
      <c r="N205" s="514" t="s">
        <v>811</v>
      </c>
    </row>
    <row r="206" spans="1:14" s="251" customFormat="1" x14ac:dyDescent="0.25">
      <c r="A206" s="253" t="s">
        <v>659</v>
      </c>
      <c r="B206" s="515" t="s">
        <v>941</v>
      </c>
      <c r="C206" s="264" t="s">
        <v>942</v>
      </c>
      <c r="D206" s="264">
        <v>13</v>
      </c>
      <c r="E206" s="264">
        <v>14</v>
      </c>
      <c r="F206" s="264">
        <v>15</v>
      </c>
      <c r="G206" s="264">
        <v>16</v>
      </c>
      <c r="H206" s="264">
        <v>17</v>
      </c>
      <c r="I206" s="264">
        <v>18</v>
      </c>
      <c r="J206" s="264">
        <v>19</v>
      </c>
      <c r="K206" s="264">
        <v>20</v>
      </c>
      <c r="L206" s="264">
        <v>21</v>
      </c>
      <c r="M206" s="264">
        <v>22</v>
      </c>
      <c r="N206" s="264">
        <v>23</v>
      </c>
    </row>
    <row r="207" spans="1:14" s="442" customFormat="1" x14ac:dyDescent="0.25">
      <c r="A207" s="516" t="s">
        <v>660</v>
      </c>
      <c r="L207" s="442" t="s">
        <v>819</v>
      </c>
      <c r="M207" s="442" t="s">
        <v>819</v>
      </c>
      <c r="N207" s="442" t="s">
        <v>943</v>
      </c>
    </row>
    <row r="208" spans="1:14" s="249" customFormat="1" x14ac:dyDescent="0.25">
      <c r="A208" s="253" t="s">
        <v>668</v>
      </c>
      <c r="C208" s="249" t="s">
        <v>944</v>
      </c>
    </row>
    <row r="210" spans="1:39" s="251" customFormat="1" ht="25.5" x14ac:dyDescent="0.25">
      <c r="A210" s="253" t="s">
        <v>627</v>
      </c>
      <c r="B210" s="397" t="s">
        <v>945</v>
      </c>
      <c r="C210" s="397" t="s">
        <v>946</v>
      </c>
      <c r="D210" s="397" t="s">
        <v>927</v>
      </c>
      <c r="E210" s="398" t="s">
        <v>754</v>
      </c>
      <c r="F210" s="399" t="s">
        <v>755</v>
      </c>
      <c r="G210" s="400" t="s">
        <v>756</v>
      </c>
      <c r="H210" s="397" t="s">
        <v>947</v>
      </c>
      <c r="I210" s="397" t="s">
        <v>686</v>
      </c>
      <c r="J210" s="397" t="s">
        <v>757</v>
      </c>
      <c r="K210" s="397" t="s">
        <v>948</v>
      </c>
      <c r="M210" s="401" t="s">
        <v>758</v>
      </c>
      <c r="N210" s="402" t="s">
        <v>759</v>
      </c>
      <c r="O210" s="403"/>
      <c r="P210" s="404" t="s">
        <v>43</v>
      </c>
      <c r="Q210" s="405" t="s">
        <v>760</v>
      </c>
      <c r="R210" s="404" t="s">
        <v>45</v>
      </c>
      <c r="S210" s="404" t="s">
        <v>15</v>
      </c>
      <c r="T210" s="404" t="s">
        <v>46</v>
      </c>
      <c r="U210" s="406" t="s">
        <v>47</v>
      </c>
      <c r="V210" s="407" t="s">
        <v>761</v>
      </c>
      <c r="W210" s="408" t="s">
        <v>762</v>
      </c>
      <c r="X210" s="404" t="s">
        <v>763</v>
      </c>
      <c r="Y210" s="409" t="s">
        <v>38</v>
      </c>
      <c r="Z210" s="410" t="s">
        <v>38</v>
      </c>
      <c r="AA210" s="410" t="s">
        <v>38</v>
      </c>
      <c r="AB210" s="410" t="s">
        <v>38</v>
      </c>
      <c r="AC210" s="404" t="s">
        <v>38</v>
      </c>
      <c r="AD210" s="404" t="s">
        <v>764</v>
      </c>
      <c r="AE210" s="404"/>
      <c r="AF210" s="404" t="s">
        <v>38</v>
      </c>
      <c r="AG210" s="404" t="s">
        <v>38</v>
      </c>
      <c r="AH210" s="411" t="s">
        <v>765</v>
      </c>
      <c r="AI210" s="412" t="s">
        <v>38</v>
      </c>
      <c r="AJ210" s="404" t="s">
        <v>38</v>
      </c>
      <c r="AK210" s="404" t="s">
        <v>38</v>
      </c>
      <c r="AL210" s="413" t="s">
        <v>766</v>
      </c>
      <c r="AM210" s="414"/>
    </row>
    <row r="211" spans="1:39" s="251" customFormat="1" x14ac:dyDescent="0.25">
      <c r="A211" s="258" t="s">
        <v>655</v>
      </c>
      <c r="B211" s="415"/>
      <c r="C211" s="415" t="str">
        <f>IF(B211&lt;&gt;"",1,"")</f>
        <v/>
      </c>
      <c r="D211" s="416"/>
      <c r="E211" s="517"/>
      <c r="F211" s="260"/>
      <c r="G211" s="419">
        <f>U211</f>
        <v>0</v>
      </c>
      <c r="H211" s="261"/>
      <c r="I211" s="265"/>
    </row>
    <row r="212" spans="1:39" s="251" customFormat="1" x14ac:dyDescent="0.25">
      <c r="A212" s="253" t="s">
        <v>657</v>
      </c>
      <c r="B212" s="264">
        <v>1</v>
      </c>
      <c r="C212" s="264"/>
      <c r="D212" s="264">
        <v>5</v>
      </c>
      <c r="E212" s="264">
        <v>8</v>
      </c>
      <c r="F212" s="264">
        <v>13</v>
      </c>
      <c r="G212" s="264">
        <v>14</v>
      </c>
      <c r="H212" s="264">
        <v>11</v>
      </c>
      <c r="I212" s="265">
        <v>20</v>
      </c>
      <c r="J212" s="266">
        <v>15</v>
      </c>
      <c r="K212" s="266">
        <v>10</v>
      </c>
      <c r="L212" s="266">
        <v>6</v>
      </c>
      <c r="M212" s="266">
        <v>6</v>
      </c>
      <c r="N212" s="266">
        <v>10</v>
      </c>
      <c r="O212" s="266">
        <v>1</v>
      </c>
      <c r="P212" s="266">
        <v>45</v>
      </c>
      <c r="Q212" s="266"/>
      <c r="R212" s="266">
        <v>13</v>
      </c>
      <c r="S212" s="266">
        <v>16</v>
      </c>
      <c r="T212" s="266">
        <v>10</v>
      </c>
      <c r="U212" s="266">
        <v>10</v>
      </c>
      <c r="V212" s="266">
        <v>10</v>
      </c>
      <c r="W212" s="266">
        <v>10</v>
      </c>
      <c r="X212" s="266">
        <v>10</v>
      </c>
      <c r="Y212" s="266">
        <v>10</v>
      </c>
      <c r="Z212" s="266">
        <v>0</v>
      </c>
      <c r="AA212" s="266">
        <v>0</v>
      </c>
      <c r="AB212" s="266">
        <v>0</v>
      </c>
      <c r="AC212" s="266">
        <v>0</v>
      </c>
      <c r="AD212" s="266">
        <v>0</v>
      </c>
      <c r="AE212" s="266"/>
      <c r="AF212" s="266">
        <v>0</v>
      </c>
      <c r="AG212" s="266">
        <v>0</v>
      </c>
      <c r="AH212" s="266">
        <v>0</v>
      </c>
      <c r="AI212" s="266">
        <v>0</v>
      </c>
      <c r="AJ212" s="266">
        <v>0</v>
      </c>
      <c r="AK212" s="266">
        <v>0</v>
      </c>
      <c r="AL212" s="266">
        <v>0</v>
      </c>
      <c r="AM212" s="266">
        <v>0</v>
      </c>
    </row>
    <row r="213" spans="1:39" s="251" customFormat="1" x14ac:dyDescent="0.25">
      <c r="A213" s="253" t="s">
        <v>659</v>
      </c>
      <c r="B213" s="264">
        <v>5</v>
      </c>
      <c r="C213" s="264"/>
      <c r="D213" s="264">
        <v>1</v>
      </c>
      <c r="E213" s="264">
        <v>2</v>
      </c>
      <c r="F213" s="264">
        <v>2</v>
      </c>
      <c r="G213" s="264"/>
      <c r="H213" s="264">
        <v>2</v>
      </c>
      <c r="I213" s="251">
        <v>2</v>
      </c>
      <c r="J213" s="251">
        <v>2</v>
      </c>
      <c r="K213" s="264">
        <v>2</v>
      </c>
      <c r="L213" s="265">
        <v>-1</v>
      </c>
      <c r="M213" s="264"/>
      <c r="P213" s="264"/>
      <c r="Q213" s="264"/>
      <c r="R213" s="266"/>
      <c r="S213" s="266"/>
      <c r="T213" s="266"/>
      <c r="U213" s="266"/>
      <c r="V213" s="266"/>
      <c r="W213" s="266"/>
      <c r="X213" s="266"/>
      <c r="Y213" s="266"/>
      <c r="Z213" s="266"/>
      <c r="AA213" s="267"/>
      <c r="AB213" s="266"/>
      <c r="AC213" s="266"/>
      <c r="AD213" s="266"/>
      <c r="AE213" s="266"/>
      <c r="AF213" s="266"/>
      <c r="AG213" s="266"/>
      <c r="AH213" s="266"/>
    </row>
    <row r="214" spans="1:39" s="251" customFormat="1" ht="44.25" customHeight="1" x14ac:dyDescent="0.25">
      <c r="A214" s="253" t="s">
        <v>660</v>
      </c>
      <c r="B214" s="518"/>
      <c r="C214" s="519" t="s">
        <v>949</v>
      </c>
      <c r="D214" s="520" t="s">
        <v>950</v>
      </c>
      <c r="E214" s="521" t="s">
        <v>951</v>
      </c>
      <c r="F214" s="521" t="s">
        <v>952</v>
      </c>
      <c r="G214" s="264"/>
      <c r="H214" s="521" t="s">
        <v>794</v>
      </c>
      <c r="I214" s="521" t="s">
        <v>793</v>
      </c>
      <c r="J214" s="518" t="s">
        <v>796</v>
      </c>
      <c r="K214" s="518" t="s">
        <v>953</v>
      </c>
      <c r="L214" s="264"/>
      <c r="M214" s="264"/>
      <c r="P214" s="522" t="s">
        <v>769</v>
      </c>
      <c r="Q214" s="522"/>
      <c r="R214" s="266"/>
      <c r="S214" s="266"/>
      <c r="T214" s="266"/>
      <c r="U214" s="266"/>
      <c r="V214" s="266"/>
      <c r="W214" s="266"/>
      <c r="X214" s="266"/>
      <c r="Y214" s="266"/>
      <c r="Z214" s="266"/>
      <c r="AA214" s="267"/>
      <c r="AB214" s="266"/>
      <c r="AC214" s="266"/>
      <c r="AD214" s="266"/>
      <c r="AE214" s="266"/>
      <c r="AF214" s="266"/>
      <c r="AG214" s="266"/>
      <c r="AH214" s="266"/>
    </row>
    <row r="215" spans="1:39" s="251" customFormat="1" x14ac:dyDescent="0.25">
      <c r="A215" s="253" t="s">
        <v>668</v>
      </c>
      <c r="B215" s="264" t="s">
        <v>770</v>
      </c>
      <c r="C215" s="264"/>
      <c r="D215" s="264"/>
      <c r="E215" s="275"/>
      <c r="F215" s="275"/>
      <c r="G215" s="275"/>
      <c r="H215" s="275"/>
      <c r="I215" s="265"/>
      <c r="J215" s="264"/>
      <c r="K215" s="264"/>
      <c r="L215" s="264"/>
      <c r="M215" s="264"/>
      <c r="P215" s="264"/>
      <c r="Q215" s="264"/>
      <c r="R215" s="266"/>
      <c r="S215" s="266"/>
      <c r="T215" s="266"/>
      <c r="U215" s="266"/>
      <c r="V215" s="266"/>
      <c r="W215" s="266"/>
      <c r="X215" s="266"/>
      <c r="Y215" s="266"/>
      <c r="Z215" s="266"/>
      <c r="AA215" s="267"/>
      <c r="AB215" s="266"/>
      <c r="AC215" s="266"/>
      <c r="AD215" s="266"/>
      <c r="AE215" s="266"/>
      <c r="AF215" s="266"/>
      <c r="AG215" s="266"/>
      <c r="AH215" s="266"/>
    </row>
    <row r="217" spans="1:39" ht="15.75" thickBot="1" x14ac:dyDescent="0.3">
      <c r="A217" s="504" t="s">
        <v>954</v>
      </c>
      <c r="B217" s="249"/>
    </row>
    <row r="218" spans="1:39" ht="29.25" customHeight="1" thickBot="1" x14ac:dyDescent="0.3">
      <c r="A218" s="253" t="s">
        <v>627</v>
      </c>
      <c r="B218" s="523" t="s">
        <v>955</v>
      </c>
      <c r="C218" s="523" t="s">
        <v>956</v>
      </c>
      <c r="D218" s="523" t="s">
        <v>957</v>
      </c>
      <c r="E218" s="523" t="s">
        <v>755</v>
      </c>
      <c r="F218" s="523" t="s">
        <v>46</v>
      </c>
      <c r="G218" s="523" t="s">
        <v>686</v>
      </c>
      <c r="H218" s="523" t="s">
        <v>54</v>
      </c>
      <c r="I218" s="523" t="s">
        <v>958</v>
      </c>
      <c r="J218" s="523" t="s">
        <v>959</v>
      </c>
      <c r="K218" s="523" t="s">
        <v>960</v>
      </c>
      <c r="L218" s="524" t="s">
        <v>809</v>
      </c>
      <c r="M218" s="523" t="s">
        <v>961</v>
      </c>
    </row>
    <row r="219" spans="1:39" s="249" customFormat="1" x14ac:dyDescent="0.25">
      <c r="A219" s="258" t="s">
        <v>1086</v>
      </c>
      <c r="B219" s="249" t="s">
        <v>962</v>
      </c>
      <c r="C219" s="249" t="s">
        <v>963</v>
      </c>
      <c r="D219" s="249" t="s">
        <v>964</v>
      </c>
      <c r="E219" s="260" t="s">
        <v>965</v>
      </c>
      <c r="F219" s="249" t="s">
        <v>278</v>
      </c>
      <c r="G219" s="249" t="s">
        <v>966</v>
      </c>
      <c r="H219" s="249" t="s">
        <v>967</v>
      </c>
      <c r="I219" s="249" t="s">
        <v>968</v>
      </c>
      <c r="J219" s="249" t="s">
        <v>969</v>
      </c>
      <c r="K219" s="442" t="s">
        <v>80</v>
      </c>
      <c r="L219" s="525" t="str">
        <f>H219&amp;" "&amp;C219&amp;" "&amp;B219</f>
        <v>394-1234567 7749/169409 04.04.2013 14:26:36</v>
      </c>
      <c r="M219" s="442" t="s">
        <v>80</v>
      </c>
      <c r="N219" s="228"/>
    </row>
    <row r="220" spans="1:39" s="249" customFormat="1" x14ac:dyDescent="0.25">
      <c r="A220" s="253" t="s">
        <v>657</v>
      </c>
      <c r="B220" s="442" t="s">
        <v>825</v>
      </c>
      <c r="C220" s="442" t="s">
        <v>939</v>
      </c>
      <c r="D220" s="442" t="s">
        <v>76</v>
      </c>
      <c r="E220" s="442" t="s">
        <v>815</v>
      </c>
      <c r="F220" s="442" t="s">
        <v>31</v>
      </c>
      <c r="G220" s="442" t="s">
        <v>14</v>
      </c>
      <c r="H220" s="442" t="s">
        <v>85</v>
      </c>
      <c r="I220" s="442" t="s">
        <v>76</v>
      </c>
      <c r="J220" s="442" t="s">
        <v>14</v>
      </c>
      <c r="K220" s="442" t="s">
        <v>970</v>
      </c>
      <c r="L220" s="526" t="s">
        <v>971</v>
      </c>
      <c r="M220" s="442" t="s">
        <v>972</v>
      </c>
      <c r="N220" s="228"/>
    </row>
    <row r="221" spans="1:39" s="249" customFormat="1" x14ac:dyDescent="0.25">
      <c r="A221" s="253" t="s">
        <v>659</v>
      </c>
      <c r="B221" s="249" t="s">
        <v>80</v>
      </c>
      <c r="C221" s="249" t="s">
        <v>80</v>
      </c>
      <c r="D221" s="442" t="s">
        <v>768</v>
      </c>
      <c r="E221" s="442" t="s">
        <v>768</v>
      </c>
      <c r="F221" s="442" t="s">
        <v>768</v>
      </c>
      <c r="G221" s="442" t="s">
        <v>768</v>
      </c>
      <c r="H221" s="527" t="s">
        <v>941</v>
      </c>
      <c r="I221" s="442" t="s">
        <v>973</v>
      </c>
      <c r="J221" s="527" t="s">
        <v>974</v>
      </c>
      <c r="K221" s="527" t="s">
        <v>975</v>
      </c>
      <c r="L221" s="527" t="s">
        <v>976</v>
      </c>
      <c r="M221" s="249" t="s">
        <v>80</v>
      </c>
      <c r="N221" s="228"/>
    </row>
    <row r="222" spans="1:39" s="249" customFormat="1" x14ac:dyDescent="0.25">
      <c r="A222" s="516" t="s">
        <v>660</v>
      </c>
      <c r="B222" s="249" t="s">
        <v>977</v>
      </c>
      <c r="C222" s="686" t="s">
        <v>978</v>
      </c>
      <c r="L222" s="528"/>
      <c r="N222" s="228"/>
    </row>
    <row r="223" spans="1:39" s="249" customFormat="1" x14ac:dyDescent="0.25">
      <c r="A223" s="253" t="s">
        <v>668</v>
      </c>
      <c r="D223" s="529" t="s">
        <v>770</v>
      </c>
      <c r="E223" s="249" t="s">
        <v>979</v>
      </c>
      <c r="F223" s="249" t="s">
        <v>980</v>
      </c>
      <c r="G223" s="249" t="s">
        <v>981</v>
      </c>
      <c r="I223" s="530" t="s">
        <v>982</v>
      </c>
      <c r="L223" s="531"/>
    </row>
    <row r="225" spans="1:18" x14ac:dyDescent="0.25">
      <c r="A225" s="504" t="s">
        <v>983</v>
      </c>
      <c r="B225" s="249"/>
    </row>
    <row r="226" spans="1:18" s="251" customFormat="1" x14ac:dyDescent="0.25">
      <c r="A226" s="253" t="s">
        <v>627</v>
      </c>
      <c r="B226" s="532" t="s">
        <v>54</v>
      </c>
      <c r="C226" s="533" t="s">
        <v>984</v>
      </c>
      <c r="D226" s="442"/>
      <c r="E226" s="442"/>
      <c r="F226" s="442"/>
      <c r="G226" s="228"/>
      <c r="H226" s="228"/>
      <c r="I226" s="228"/>
      <c r="J226" s="228"/>
      <c r="K226" s="228"/>
      <c r="L226" s="228"/>
      <c r="M226" s="228"/>
      <c r="N226" s="228"/>
    </row>
    <row r="227" spans="1:18" s="251" customFormat="1" x14ac:dyDescent="0.25">
      <c r="A227" s="258" t="s">
        <v>1086</v>
      </c>
      <c r="B227" s="534"/>
      <c r="C227" s="534"/>
      <c r="D227" s="442"/>
      <c r="E227" s="442"/>
      <c r="F227" s="442"/>
      <c r="G227" s="228"/>
      <c r="H227" s="228"/>
      <c r="I227" s="228"/>
      <c r="J227" s="228"/>
      <c r="K227" s="228"/>
      <c r="L227" s="228"/>
      <c r="M227" s="228"/>
      <c r="N227" s="228"/>
    </row>
    <row r="228" spans="1:18" s="251" customFormat="1" x14ac:dyDescent="0.25">
      <c r="A228" s="253" t="s">
        <v>657</v>
      </c>
      <c r="B228" s="264" t="s">
        <v>985</v>
      </c>
      <c r="C228" s="264" t="s">
        <v>811</v>
      </c>
      <c r="D228" s="442"/>
      <c r="E228" s="442"/>
      <c r="F228" s="442"/>
      <c r="G228" s="228"/>
      <c r="H228" s="228"/>
      <c r="I228" s="228"/>
      <c r="J228" s="228"/>
      <c r="K228" s="228"/>
      <c r="L228" s="228"/>
      <c r="M228" s="228"/>
      <c r="N228" s="228"/>
    </row>
    <row r="229" spans="1:18" s="251" customFormat="1" x14ac:dyDescent="0.25">
      <c r="A229" s="253" t="s">
        <v>659</v>
      </c>
      <c r="B229" s="489">
        <v>4</v>
      </c>
      <c r="C229" s="489">
        <v>7</v>
      </c>
      <c r="D229" s="442"/>
      <c r="E229" s="442"/>
      <c r="F229" s="442"/>
      <c r="G229" s="228"/>
      <c r="H229" s="228"/>
      <c r="I229" s="228"/>
      <c r="J229" s="228"/>
      <c r="K229" s="228"/>
      <c r="L229" s="228"/>
      <c r="M229" s="228"/>
      <c r="N229" s="228"/>
    </row>
    <row r="230" spans="1:18" s="442" customFormat="1" x14ac:dyDescent="0.25">
      <c r="A230" s="516" t="s">
        <v>660</v>
      </c>
      <c r="B230" s="442" t="s">
        <v>986</v>
      </c>
      <c r="C230" s="522" t="s">
        <v>987</v>
      </c>
      <c r="G230" s="228"/>
      <c r="H230" s="228"/>
      <c r="I230" s="228"/>
      <c r="J230" s="228"/>
      <c r="K230" s="228"/>
      <c r="L230" s="228"/>
      <c r="M230" s="228"/>
      <c r="N230" s="228"/>
    </row>
    <row r="231" spans="1:18" s="249" customFormat="1" x14ac:dyDescent="0.25">
      <c r="A231" s="253" t="s">
        <v>668</v>
      </c>
      <c r="C231" s="442"/>
      <c r="D231" s="442"/>
      <c r="E231" s="442"/>
      <c r="F231" s="442"/>
      <c r="G231" s="228"/>
      <c r="H231" s="228"/>
      <c r="I231" s="228"/>
      <c r="J231" s="228"/>
      <c r="K231" s="228"/>
      <c r="L231" s="228"/>
      <c r="M231" s="228"/>
      <c r="N231" s="228"/>
    </row>
    <row r="233" spans="1:18" x14ac:dyDescent="0.25">
      <c r="A233" s="504" t="s">
        <v>988</v>
      </c>
      <c r="B233" s="249"/>
    </row>
    <row r="234" spans="1:18" s="251" customFormat="1" x14ac:dyDescent="0.25">
      <c r="A234" s="253" t="s">
        <v>627</v>
      </c>
      <c r="B234" s="535" t="s">
        <v>54</v>
      </c>
      <c r="C234" s="535" t="s">
        <v>989</v>
      </c>
      <c r="D234" s="535" t="s">
        <v>990</v>
      </c>
      <c r="E234" s="535" t="s">
        <v>991</v>
      </c>
      <c r="F234" s="535" t="s">
        <v>992</v>
      </c>
      <c r="G234" s="535" t="s">
        <v>993</v>
      </c>
      <c r="H234" s="535" t="s">
        <v>994</v>
      </c>
      <c r="I234" s="535" t="s">
        <v>995</v>
      </c>
      <c r="J234" s="535" t="s">
        <v>996</v>
      </c>
      <c r="K234" s="535" t="s">
        <v>313</v>
      </c>
      <c r="L234" s="535" t="s">
        <v>997</v>
      </c>
      <c r="M234" s="535" t="s">
        <v>998</v>
      </c>
      <c r="N234" s="535" t="s">
        <v>999</v>
      </c>
      <c r="O234" s="535" t="s">
        <v>1000</v>
      </c>
      <c r="P234" s="535" t="s">
        <v>1001</v>
      </c>
      <c r="Q234" s="535" t="s">
        <v>1002</v>
      </c>
      <c r="R234" s="535" t="s">
        <v>1003</v>
      </c>
    </row>
    <row r="235" spans="1:18" s="251" customFormat="1" x14ac:dyDescent="0.25">
      <c r="A235" s="258" t="s">
        <v>1086</v>
      </c>
      <c r="B235" s="515" t="s">
        <v>1004</v>
      </c>
      <c r="C235" s="515" t="s">
        <v>1005</v>
      </c>
      <c r="D235" s="515"/>
      <c r="E235" s="515"/>
      <c r="F235" s="515"/>
      <c r="G235" s="515"/>
      <c r="H235" s="515"/>
      <c r="I235" s="515"/>
      <c r="J235" s="515"/>
      <c r="K235" s="515"/>
      <c r="L235" s="515" t="s">
        <v>1005</v>
      </c>
      <c r="M235" s="515"/>
      <c r="N235" s="515"/>
      <c r="O235" s="515" t="s">
        <v>1005</v>
      </c>
      <c r="P235" s="515"/>
      <c r="Q235" s="515"/>
      <c r="R235" s="515"/>
    </row>
    <row r="236" spans="1:18" s="251" customFormat="1" x14ac:dyDescent="0.25">
      <c r="A236" s="253" t="s">
        <v>657</v>
      </c>
      <c r="B236" s="264" t="s">
        <v>985</v>
      </c>
      <c r="C236" s="264" t="s">
        <v>985</v>
      </c>
      <c r="D236" s="264" t="s">
        <v>985</v>
      </c>
      <c r="E236" s="264" t="s">
        <v>811</v>
      </c>
      <c r="F236" s="264" t="s">
        <v>658</v>
      </c>
      <c r="G236" s="264" t="s">
        <v>1006</v>
      </c>
      <c r="H236" s="264" t="s">
        <v>1007</v>
      </c>
      <c r="I236" s="264" t="s">
        <v>811</v>
      </c>
      <c r="J236" s="264" t="s">
        <v>811</v>
      </c>
      <c r="K236" s="264" t="s">
        <v>1007</v>
      </c>
      <c r="L236" s="264">
        <v>1</v>
      </c>
      <c r="M236" s="264" t="s">
        <v>811</v>
      </c>
      <c r="N236" s="264" t="s">
        <v>813</v>
      </c>
      <c r="O236" s="264" t="s">
        <v>813</v>
      </c>
      <c r="P236" s="264" t="s">
        <v>813</v>
      </c>
      <c r="Q236" s="264" t="s">
        <v>813</v>
      </c>
      <c r="R236" s="264" t="s">
        <v>813</v>
      </c>
    </row>
    <row r="237" spans="1:18" s="251" customFormat="1" x14ac:dyDescent="0.25">
      <c r="A237" s="253" t="s">
        <v>659</v>
      </c>
      <c r="B237" s="489"/>
      <c r="C237" s="489"/>
      <c r="D237" s="442"/>
      <c r="E237" s="442"/>
      <c r="F237" s="442"/>
      <c r="G237" s="442"/>
      <c r="H237" s="442"/>
      <c r="I237" s="442"/>
      <c r="J237" s="442"/>
      <c r="K237" s="228"/>
      <c r="L237" s="442"/>
      <c r="M237" s="442"/>
      <c r="N237" s="442"/>
      <c r="O237" s="442"/>
      <c r="P237" s="442"/>
      <c r="Q237" s="442"/>
      <c r="R237" s="228"/>
    </row>
    <row r="238" spans="1:18" s="442" customFormat="1" x14ac:dyDescent="0.25">
      <c r="A238" s="516" t="s">
        <v>660</v>
      </c>
      <c r="F238" s="228"/>
      <c r="G238" s="228"/>
      <c r="H238" s="228"/>
      <c r="I238" s="228"/>
      <c r="J238" s="228"/>
      <c r="K238" s="228"/>
      <c r="L238" s="228"/>
      <c r="M238" s="228"/>
    </row>
    <row r="239" spans="1:18" s="249" customFormat="1" x14ac:dyDescent="0.25">
      <c r="A239" s="253" t="s">
        <v>668</v>
      </c>
      <c r="C239" s="442"/>
      <c r="D239" s="442"/>
      <c r="E239" s="442"/>
      <c r="F239" s="228"/>
      <c r="G239" s="228"/>
      <c r="H239" s="228"/>
      <c r="I239" s="228"/>
      <c r="J239" s="228"/>
      <c r="K239" s="228"/>
      <c r="L239" s="228"/>
      <c r="M239" s="228"/>
    </row>
    <row r="240" spans="1:18" s="537" customFormat="1" x14ac:dyDescent="0.25">
      <c r="A240" s="536"/>
      <c r="C240" s="484"/>
      <c r="D240" s="484"/>
      <c r="E240" s="484"/>
      <c r="F240" s="499"/>
      <c r="G240" s="499"/>
      <c r="H240" s="499"/>
      <c r="I240" s="499"/>
      <c r="J240" s="499"/>
      <c r="K240" s="499"/>
      <c r="L240" s="499"/>
      <c r="M240" s="499"/>
    </row>
    <row r="241" spans="1:48" x14ac:dyDescent="0.25">
      <c r="A241" s="504" t="s">
        <v>1008</v>
      </c>
      <c r="B241" s="249"/>
    </row>
    <row r="242" spans="1:48" s="251" customFormat="1" x14ac:dyDescent="0.25">
      <c r="A242" s="253" t="s">
        <v>627</v>
      </c>
      <c r="B242" s="535" t="s">
        <v>54</v>
      </c>
      <c r="C242" s="535" t="s">
        <v>989</v>
      </c>
      <c r="D242" s="535" t="s">
        <v>990</v>
      </c>
      <c r="E242" s="535" t="s">
        <v>991</v>
      </c>
      <c r="F242" s="535" t="s">
        <v>992</v>
      </c>
      <c r="G242" s="535" t="s">
        <v>993</v>
      </c>
      <c r="H242" s="535" t="s">
        <v>994</v>
      </c>
      <c r="I242" s="535" t="s">
        <v>995</v>
      </c>
      <c r="J242" s="535" t="s">
        <v>996</v>
      </c>
      <c r="K242" s="535" t="s">
        <v>313</v>
      </c>
      <c r="L242" s="535" t="s">
        <v>997</v>
      </c>
      <c r="M242" s="535" t="s">
        <v>998</v>
      </c>
      <c r="N242" s="535" t="s">
        <v>999</v>
      </c>
      <c r="O242" s="535" t="s">
        <v>1000</v>
      </c>
      <c r="P242" s="535" t="s">
        <v>1001</v>
      </c>
      <c r="Q242" s="535" t="s">
        <v>1002</v>
      </c>
      <c r="R242" s="535" t="s">
        <v>1003</v>
      </c>
    </row>
    <row r="243" spans="1:48" s="251" customFormat="1" x14ac:dyDescent="0.25">
      <c r="A243" s="258" t="s">
        <v>1086</v>
      </c>
      <c r="B243" s="515" t="s">
        <v>1004</v>
      </c>
      <c r="C243" s="515" t="s">
        <v>1005</v>
      </c>
      <c r="D243" s="515"/>
      <c r="E243" s="515"/>
      <c r="F243" s="515"/>
      <c r="G243" s="515"/>
      <c r="H243" s="515"/>
      <c r="I243" s="515"/>
      <c r="J243" s="515"/>
      <c r="K243" s="515"/>
      <c r="L243" s="515" t="s">
        <v>1005</v>
      </c>
      <c r="M243" s="515"/>
      <c r="N243" s="515"/>
      <c r="O243" s="515" t="s">
        <v>1005</v>
      </c>
      <c r="P243" s="515"/>
      <c r="Q243" s="515"/>
      <c r="R243" s="515"/>
    </row>
    <row r="244" spans="1:48" s="251" customFormat="1" x14ac:dyDescent="0.25">
      <c r="A244" s="253" t="s">
        <v>657</v>
      </c>
      <c r="B244" s="264" t="s">
        <v>985</v>
      </c>
      <c r="C244" s="264" t="s">
        <v>985</v>
      </c>
      <c r="D244" s="264" t="s">
        <v>985</v>
      </c>
      <c r="E244" s="264" t="s">
        <v>811</v>
      </c>
      <c r="F244" s="264" t="s">
        <v>658</v>
      </c>
      <c r="G244" s="264" t="s">
        <v>1006</v>
      </c>
      <c r="H244" s="264" t="s">
        <v>1007</v>
      </c>
      <c r="I244" s="264" t="s">
        <v>811</v>
      </c>
      <c r="J244" s="264" t="s">
        <v>811</v>
      </c>
      <c r="K244" s="264" t="s">
        <v>1007</v>
      </c>
      <c r="L244" s="264">
        <v>1</v>
      </c>
      <c r="M244" s="264" t="s">
        <v>811</v>
      </c>
      <c r="N244" s="264" t="s">
        <v>813</v>
      </c>
      <c r="O244" s="264" t="s">
        <v>813</v>
      </c>
      <c r="P244" s="264" t="s">
        <v>813</v>
      </c>
      <c r="Q244" s="264" t="s">
        <v>813</v>
      </c>
      <c r="R244" s="264" t="s">
        <v>813</v>
      </c>
    </row>
    <row r="245" spans="1:48" s="251" customFormat="1" x14ac:dyDescent="0.25">
      <c r="A245" s="253" t="s">
        <v>659</v>
      </c>
      <c r="B245" s="489"/>
      <c r="C245" s="489"/>
      <c r="D245" s="442"/>
      <c r="E245" s="442"/>
      <c r="F245" s="442"/>
      <c r="G245" s="442"/>
      <c r="H245" s="442"/>
      <c r="I245" s="442"/>
      <c r="J245" s="442"/>
      <c r="K245" s="228"/>
      <c r="L245" s="442"/>
      <c r="M245" s="442"/>
      <c r="N245" s="442"/>
      <c r="O245" s="442"/>
      <c r="P245" s="442"/>
      <c r="Q245" s="442"/>
      <c r="R245" s="228"/>
    </row>
    <row r="246" spans="1:48" s="442" customFormat="1" x14ac:dyDescent="0.25">
      <c r="A246" s="516" t="s">
        <v>660</v>
      </c>
      <c r="F246" s="228"/>
      <c r="G246" s="228"/>
      <c r="H246" s="228"/>
      <c r="I246" s="228"/>
      <c r="J246" s="228"/>
      <c r="K246" s="228"/>
      <c r="L246" s="228"/>
      <c r="M246" s="228"/>
    </row>
    <row r="247" spans="1:48" s="249" customFormat="1" x14ac:dyDescent="0.25">
      <c r="A247" s="253" t="s">
        <v>668</v>
      </c>
      <c r="C247" s="442"/>
      <c r="D247" s="442"/>
      <c r="E247" s="442"/>
      <c r="F247" s="228"/>
      <c r="G247" s="228"/>
      <c r="H247" s="228"/>
      <c r="I247" s="228"/>
      <c r="J247" s="228"/>
      <c r="K247" s="228"/>
      <c r="L247" s="228"/>
      <c r="M247" s="228"/>
    </row>
    <row r="248" spans="1:48" s="537" customFormat="1" x14ac:dyDescent="0.25">
      <c r="A248" s="536"/>
      <c r="C248" s="484"/>
      <c r="D248" s="484"/>
      <c r="E248" s="484"/>
      <c r="F248" s="499"/>
      <c r="G248" s="499"/>
      <c r="H248" s="499"/>
      <c r="I248" s="499"/>
      <c r="J248" s="499"/>
      <c r="K248" s="499"/>
      <c r="L248" s="499"/>
      <c r="M248" s="499"/>
    </row>
    <row r="249" spans="1:48" ht="15.75" thickBot="1" x14ac:dyDescent="0.3">
      <c r="A249" s="504" t="s">
        <v>1009</v>
      </c>
      <c r="G249" s="449"/>
    </row>
    <row r="250" spans="1:48" ht="71.25" thickBot="1" x14ac:dyDescent="0.3">
      <c r="A250" s="538" t="s">
        <v>1010</v>
      </c>
      <c r="B250" s="539" t="s">
        <v>1011</v>
      </c>
      <c r="C250" s="540">
        <v>40057</v>
      </c>
      <c r="D250" s="540">
        <v>40087</v>
      </c>
      <c r="E250" s="540">
        <v>40118</v>
      </c>
      <c r="F250" s="540">
        <v>40148</v>
      </c>
      <c r="G250" s="541" t="s">
        <v>1012</v>
      </c>
      <c r="H250" s="540">
        <v>40179</v>
      </c>
      <c r="I250" s="540">
        <v>40210</v>
      </c>
      <c r="J250" s="540">
        <v>40238</v>
      </c>
      <c r="K250" s="540">
        <v>40269</v>
      </c>
      <c r="L250" s="540">
        <v>40299</v>
      </c>
      <c r="M250" s="540">
        <v>40330</v>
      </c>
      <c r="N250" s="540">
        <v>40360</v>
      </c>
      <c r="O250" s="540">
        <v>40391</v>
      </c>
      <c r="P250" s="540">
        <v>40422</v>
      </c>
      <c r="Q250" s="540">
        <v>40452</v>
      </c>
      <c r="R250" s="540">
        <v>40483</v>
      </c>
      <c r="S250" s="540">
        <v>40513</v>
      </c>
      <c r="T250" s="541" t="s">
        <v>1013</v>
      </c>
      <c r="U250" s="540">
        <v>40544</v>
      </c>
      <c r="V250" s="540">
        <v>40575</v>
      </c>
      <c r="W250" s="540">
        <v>40603</v>
      </c>
      <c r="X250" s="540">
        <v>40634</v>
      </c>
      <c r="Y250" s="540">
        <v>40664</v>
      </c>
      <c r="Z250" s="540">
        <v>40695</v>
      </c>
      <c r="AA250" s="540">
        <v>40725</v>
      </c>
      <c r="AB250" s="540">
        <v>40756</v>
      </c>
      <c r="AC250" s="540">
        <v>40787</v>
      </c>
      <c r="AD250" s="540">
        <v>40817</v>
      </c>
      <c r="AE250" s="540"/>
      <c r="AF250" s="540">
        <v>40848</v>
      </c>
      <c r="AG250" s="540">
        <v>40878</v>
      </c>
      <c r="AH250" s="541" t="s">
        <v>1014</v>
      </c>
      <c r="AI250" s="540">
        <v>40909</v>
      </c>
      <c r="AJ250" s="540">
        <v>40940</v>
      </c>
      <c r="AK250" s="540">
        <v>40969</v>
      </c>
      <c r="AL250" s="540">
        <v>41000</v>
      </c>
      <c r="AM250" s="540">
        <v>41030</v>
      </c>
      <c r="AN250" s="540">
        <v>41061</v>
      </c>
      <c r="AO250" s="540">
        <v>41091</v>
      </c>
      <c r="AP250" s="540">
        <v>41122</v>
      </c>
      <c r="AQ250" s="540">
        <v>41153</v>
      </c>
      <c r="AR250" s="540">
        <v>41183</v>
      </c>
      <c r="AS250" s="540">
        <v>41214</v>
      </c>
      <c r="AT250" s="540">
        <v>41244</v>
      </c>
      <c r="AU250" s="541" t="s">
        <v>1015</v>
      </c>
      <c r="AV250" s="542" t="s">
        <v>1016</v>
      </c>
    </row>
    <row r="251" spans="1:48" x14ac:dyDescent="0.25">
      <c r="A251" s="543" t="s">
        <v>513</v>
      </c>
      <c r="B251" s="544" t="s">
        <v>512</v>
      </c>
      <c r="C251" s="545"/>
      <c r="D251" s="545"/>
      <c r="E251" s="545"/>
      <c r="F251" s="546"/>
      <c r="G251" s="547">
        <f t="shared" ref="G251:G283" si="0">SUM(C251:F251)</f>
        <v>0</v>
      </c>
      <c r="H251" s="545"/>
      <c r="I251" s="545"/>
      <c r="J251" s="545"/>
      <c r="K251" s="545"/>
      <c r="L251" s="545"/>
      <c r="M251" s="545"/>
      <c r="N251" s="545"/>
      <c r="O251" s="545"/>
      <c r="P251" s="545"/>
      <c r="Q251" s="545"/>
      <c r="R251" s="545"/>
      <c r="S251" s="545"/>
      <c r="T251" s="547">
        <f t="shared" ref="T251:T283" si="1">SUM(H251:S251)</f>
        <v>0</v>
      </c>
      <c r="U251" s="545"/>
      <c r="V251" s="545"/>
      <c r="W251" s="545"/>
      <c r="X251" s="545"/>
      <c r="Y251" s="545"/>
      <c r="Z251" s="545"/>
      <c r="AA251" s="545"/>
      <c r="AB251" s="545"/>
      <c r="AC251" s="545"/>
      <c r="AD251" s="545"/>
      <c r="AE251" s="545"/>
      <c r="AF251" s="545"/>
      <c r="AG251" s="545"/>
      <c r="AH251" s="547">
        <f t="shared" ref="AH251:AH283" si="2">SUM(U251:AG251)</f>
        <v>0</v>
      </c>
      <c r="AI251" s="545"/>
      <c r="AJ251" s="545"/>
      <c r="AK251" s="545"/>
      <c r="AL251" s="545"/>
      <c r="AM251" s="545"/>
      <c r="AN251" s="545"/>
      <c r="AO251" s="545"/>
      <c r="AP251" s="545"/>
      <c r="AQ251" s="545"/>
      <c r="AR251" s="545"/>
      <c r="AS251" s="545"/>
      <c r="AT251" s="545"/>
      <c r="AU251" s="547">
        <f t="shared" ref="AU251:AU283" si="3">SUM(AI251:AT251)</f>
        <v>0</v>
      </c>
      <c r="AV251" s="548">
        <f t="shared" ref="AV251:AV283" si="4">G251+T251+AH251+AU251</f>
        <v>0</v>
      </c>
    </row>
    <row r="252" spans="1:48" x14ac:dyDescent="0.25">
      <c r="A252" s="543" t="s">
        <v>513</v>
      </c>
      <c r="B252" s="544" t="s">
        <v>516</v>
      </c>
      <c r="C252" s="549"/>
      <c r="D252" s="549"/>
      <c r="E252" s="549"/>
      <c r="F252" s="550"/>
      <c r="G252" s="551">
        <f t="shared" si="0"/>
        <v>0</v>
      </c>
      <c r="H252" s="549"/>
      <c r="I252" s="549"/>
      <c r="J252" s="549"/>
      <c r="K252" s="549"/>
      <c r="L252" s="549"/>
      <c r="M252" s="549"/>
      <c r="N252" s="549"/>
      <c r="O252" s="549"/>
      <c r="P252" s="549"/>
      <c r="Q252" s="549"/>
      <c r="R252" s="549"/>
      <c r="S252" s="549"/>
      <c r="T252" s="551">
        <f t="shared" si="1"/>
        <v>0</v>
      </c>
      <c r="U252" s="549"/>
      <c r="V252" s="549"/>
      <c r="W252" s="549"/>
      <c r="X252" s="549"/>
      <c r="Y252" s="549"/>
      <c r="Z252" s="549"/>
      <c r="AA252" s="549"/>
      <c r="AB252" s="549"/>
      <c r="AC252" s="549"/>
      <c r="AD252" s="549"/>
      <c r="AE252" s="549"/>
      <c r="AF252" s="549"/>
      <c r="AG252" s="549"/>
      <c r="AH252" s="551">
        <f t="shared" si="2"/>
        <v>0</v>
      </c>
      <c r="AI252" s="549"/>
      <c r="AJ252" s="549"/>
      <c r="AK252" s="549"/>
      <c r="AL252" s="549"/>
      <c r="AM252" s="549"/>
      <c r="AN252" s="549"/>
      <c r="AO252" s="549"/>
      <c r="AP252" s="549"/>
      <c r="AQ252" s="549"/>
      <c r="AR252" s="549"/>
      <c r="AS252" s="549"/>
      <c r="AT252" s="549"/>
      <c r="AU252" s="551">
        <f t="shared" si="3"/>
        <v>0</v>
      </c>
      <c r="AV252" s="548">
        <f t="shared" si="4"/>
        <v>0</v>
      </c>
    </row>
    <row r="253" spans="1:48" x14ac:dyDescent="0.25">
      <c r="A253" s="543" t="s">
        <v>513</v>
      </c>
      <c r="B253" s="544" t="s">
        <v>519</v>
      </c>
      <c r="C253" s="549"/>
      <c r="D253" s="549"/>
      <c r="E253" s="549"/>
      <c r="F253" s="550"/>
      <c r="G253" s="551">
        <f t="shared" si="0"/>
        <v>0</v>
      </c>
      <c r="H253" s="549"/>
      <c r="I253" s="549"/>
      <c r="J253" s="549"/>
      <c r="K253" s="549"/>
      <c r="L253" s="549"/>
      <c r="M253" s="549"/>
      <c r="N253" s="549"/>
      <c r="O253" s="549"/>
      <c r="P253" s="549"/>
      <c r="Q253" s="549"/>
      <c r="R253" s="549"/>
      <c r="S253" s="549"/>
      <c r="T253" s="551">
        <f t="shared" si="1"/>
        <v>0</v>
      </c>
      <c r="U253" s="549"/>
      <c r="V253" s="549"/>
      <c r="W253" s="549"/>
      <c r="X253" s="549"/>
      <c r="Y253" s="549"/>
      <c r="Z253" s="549"/>
      <c r="AA253" s="549"/>
      <c r="AB253" s="549"/>
      <c r="AC253" s="549"/>
      <c r="AD253" s="549"/>
      <c r="AE253" s="549"/>
      <c r="AF253" s="549"/>
      <c r="AG253" s="549"/>
      <c r="AH253" s="551">
        <f t="shared" si="2"/>
        <v>0</v>
      </c>
      <c r="AI253" s="549"/>
      <c r="AJ253" s="549"/>
      <c r="AK253" s="549"/>
      <c r="AL253" s="549"/>
      <c r="AM253" s="549"/>
      <c r="AN253" s="549"/>
      <c r="AO253" s="549"/>
      <c r="AP253" s="549"/>
      <c r="AQ253" s="549"/>
      <c r="AR253" s="549"/>
      <c r="AS253" s="549"/>
      <c r="AT253" s="549"/>
      <c r="AU253" s="551">
        <f t="shared" si="3"/>
        <v>0</v>
      </c>
      <c r="AV253" s="548">
        <f t="shared" si="4"/>
        <v>0</v>
      </c>
    </row>
    <row r="254" spans="1:48" x14ac:dyDescent="0.25">
      <c r="A254" s="552" t="s">
        <v>513</v>
      </c>
      <c r="B254" s="544" t="s">
        <v>521</v>
      </c>
      <c r="C254" s="549"/>
      <c r="D254" s="549"/>
      <c r="E254" s="549"/>
      <c r="F254" s="550"/>
      <c r="G254" s="551">
        <f t="shared" si="0"/>
        <v>0</v>
      </c>
      <c r="H254" s="549"/>
      <c r="I254" s="549"/>
      <c r="J254" s="549"/>
      <c r="K254" s="549"/>
      <c r="L254" s="549"/>
      <c r="M254" s="549"/>
      <c r="N254" s="549"/>
      <c r="O254" s="549"/>
      <c r="P254" s="549"/>
      <c r="Q254" s="549"/>
      <c r="R254" s="549"/>
      <c r="S254" s="549"/>
      <c r="T254" s="551">
        <f t="shared" si="1"/>
        <v>0</v>
      </c>
      <c r="U254" s="549"/>
      <c r="V254" s="549"/>
      <c r="W254" s="549"/>
      <c r="X254" s="549"/>
      <c r="Y254" s="549"/>
      <c r="Z254" s="549"/>
      <c r="AA254" s="549"/>
      <c r="AB254" s="549"/>
      <c r="AC254" s="549"/>
      <c r="AD254" s="549"/>
      <c r="AE254" s="549"/>
      <c r="AF254" s="549"/>
      <c r="AG254" s="549"/>
      <c r="AH254" s="551">
        <f t="shared" si="2"/>
        <v>0</v>
      </c>
      <c r="AI254" s="549"/>
      <c r="AJ254" s="549"/>
      <c r="AK254" s="549"/>
      <c r="AL254" s="549"/>
      <c r="AM254" s="549"/>
      <c r="AN254" s="549"/>
      <c r="AO254" s="549"/>
      <c r="AP254" s="549"/>
      <c r="AQ254" s="549"/>
      <c r="AR254" s="549"/>
      <c r="AS254" s="549"/>
      <c r="AT254" s="549"/>
      <c r="AU254" s="551">
        <f t="shared" si="3"/>
        <v>0</v>
      </c>
      <c r="AV254" s="548">
        <f t="shared" si="4"/>
        <v>0</v>
      </c>
    </row>
    <row r="255" spans="1:48" x14ac:dyDescent="0.25">
      <c r="A255" s="543" t="s">
        <v>513</v>
      </c>
      <c r="B255" s="544" t="s">
        <v>523</v>
      </c>
      <c r="C255" s="549"/>
      <c r="D255" s="549"/>
      <c r="E255" s="549"/>
      <c r="F255" s="550"/>
      <c r="G255" s="551">
        <f t="shared" si="0"/>
        <v>0</v>
      </c>
      <c r="H255" s="549"/>
      <c r="I255" s="549"/>
      <c r="J255" s="549"/>
      <c r="K255" s="549"/>
      <c r="L255" s="549"/>
      <c r="M255" s="549"/>
      <c r="N255" s="549"/>
      <c r="O255" s="549"/>
      <c r="P255" s="549"/>
      <c r="Q255" s="549"/>
      <c r="R255" s="549"/>
      <c r="S255" s="549"/>
      <c r="T255" s="551">
        <f t="shared" si="1"/>
        <v>0</v>
      </c>
      <c r="U255" s="549"/>
      <c r="V255" s="549"/>
      <c r="W255" s="549"/>
      <c r="X255" s="549"/>
      <c r="Y255" s="549"/>
      <c r="Z255" s="549"/>
      <c r="AA255" s="549"/>
      <c r="AB255" s="549"/>
      <c r="AC255" s="549"/>
      <c r="AD255" s="549"/>
      <c r="AE255" s="549"/>
      <c r="AF255" s="549"/>
      <c r="AG255" s="549"/>
      <c r="AH255" s="551">
        <f t="shared" si="2"/>
        <v>0</v>
      </c>
      <c r="AI255" s="549"/>
      <c r="AJ255" s="549"/>
      <c r="AK255" s="549"/>
      <c r="AL255" s="549"/>
      <c r="AM255" s="549"/>
      <c r="AN255" s="549"/>
      <c r="AO255" s="549"/>
      <c r="AP255" s="549"/>
      <c r="AQ255" s="549"/>
      <c r="AR255" s="549"/>
      <c r="AS255" s="549"/>
      <c r="AT255" s="549"/>
      <c r="AU255" s="551">
        <f t="shared" si="3"/>
        <v>0</v>
      </c>
      <c r="AV255" s="548">
        <f t="shared" si="4"/>
        <v>0</v>
      </c>
    </row>
    <row r="256" spans="1:48" x14ac:dyDescent="0.25">
      <c r="A256" s="543" t="s">
        <v>513</v>
      </c>
      <c r="B256" s="544" t="s">
        <v>526</v>
      </c>
      <c r="C256" s="549"/>
      <c r="D256" s="549"/>
      <c r="E256" s="549"/>
      <c r="F256" s="550"/>
      <c r="G256" s="551">
        <f t="shared" si="0"/>
        <v>0</v>
      </c>
      <c r="H256" s="549"/>
      <c r="I256" s="549"/>
      <c r="J256" s="549"/>
      <c r="K256" s="549"/>
      <c r="L256" s="549"/>
      <c r="M256" s="549"/>
      <c r="N256" s="549"/>
      <c r="O256" s="549"/>
      <c r="P256" s="549"/>
      <c r="Q256" s="549"/>
      <c r="R256" s="549"/>
      <c r="S256" s="549"/>
      <c r="T256" s="551">
        <f t="shared" si="1"/>
        <v>0</v>
      </c>
      <c r="U256" s="549"/>
      <c r="V256" s="549"/>
      <c r="W256" s="549"/>
      <c r="X256" s="549"/>
      <c r="Y256" s="549"/>
      <c r="Z256" s="549"/>
      <c r="AA256" s="549"/>
      <c r="AB256" s="549"/>
      <c r="AC256" s="549"/>
      <c r="AD256" s="549"/>
      <c r="AE256" s="549"/>
      <c r="AF256" s="549"/>
      <c r="AG256" s="549"/>
      <c r="AH256" s="551">
        <f t="shared" si="2"/>
        <v>0</v>
      </c>
      <c r="AI256" s="549"/>
      <c r="AJ256" s="549"/>
      <c r="AK256" s="549"/>
      <c r="AL256" s="549"/>
      <c r="AM256" s="549"/>
      <c r="AN256" s="549"/>
      <c r="AO256" s="549"/>
      <c r="AP256" s="549"/>
      <c r="AQ256" s="549"/>
      <c r="AR256" s="549"/>
      <c r="AS256" s="549"/>
      <c r="AT256" s="549"/>
      <c r="AU256" s="551">
        <f t="shared" si="3"/>
        <v>0</v>
      </c>
      <c r="AV256" s="548">
        <f t="shared" si="4"/>
        <v>0</v>
      </c>
    </row>
    <row r="257" spans="1:48" x14ac:dyDescent="0.25">
      <c r="A257" s="543" t="s">
        <v>513</v>
      </c>
      <c r="B257" s="544" t="s">
        <v>529</v>
      </c>
      <c r="C257" s="549"/>
      <c r="D257" s="549"/>
      <c r="E257" s="549"/>
      <c r="F257" s="550"/>
      <c r="G257" s="551">
        <f t="shared" si="0"/>
        <v>0</v>
      </c>
      <c r="H257" s="549"/>
      <c r="I257" s="549"/>
      <c r="J257" s="549"/>
      <c r="K257" s="549"/>
      <c r="L257" s="549"/>
      <c r="M257" s="549"/>
      <c r="N257" s="549"/>
      <c r="O257" s="549"/>
      <c r="P257" s="549"/>
      <c r="Q257" s="549"/>
      <c r="R257" s="549"/>
      <c r="S257" s="549"/>
      <c r="T257" s="551">
        <f t="shared" si="1"/>
        <v>0</v>
      </c>
      <c r="U257" s="549"/>
      <c r="V257" s="549"/>
      <c r="W257" s="549"/>
      <c r="X257" s="549"/>
      <c r="Y257" s="549"/>
      <c r="Z257" s="549"/>
      <c r="AA257" s="549"/>
      <c r="AB257" s="549"/>
      <c r="AC257" s="549"/>
      <c r="AD257" s="549"/>
      <c r="AE257" s="549"/>
      <c r="AF257" s="549"/>
      <c r="AG257" s="549"/>
      <c r="AH257" s="551">
        <f t="shared" si="2"/>
        <v>0</v>
      </c>
      <c r="AI257" s="549"/>
      <c r="AJ257" s="549"/>
      <c r="AK257" s="549"/>
      <c r="AL257" s="549"/>
      <c r="AM257" s="549"/>
      <c r="AN257" s="549"/>
      <c r="AO257" s="549"/>
      <c r="AP257" s="549"/>
      <c r="AQ257" s="549"/>
      <c r="AR257" s="549"/>
      <c r="AS257" s="549"/>
      <c r="AT257" s="549"/>
      <c r="AU257" s="551">
        <f t="shared" si="3"/>
        <v>0</v>
      </c>
      <c r="AV257" s="548">
        <f t="shared" si="4"/>
        <v>0</v>
      </c>
    </row>
    <row r="258" spans="1:48" x14ac:dyDescent="0.25">
      <c r="A258" s="543" t="s">
        <v>513</v>
      </c>
      <c r="B258" s="544" t="s">
        <v>524</v>
      </c>
      <c r="C258" s="549"/>
      <c r="D258" s="549"/>
      <c r="E258" s="549"/>
      <c r="F258" s="550"/>
      <c r="G258" s="551">
        <f t="shared" si="0"/>
        <v>0</v>
      </c>
      <c r="H258" s="549"/>
      <c r="I258" s="549"/>
      <c r="J258" s="549"/>
      <c r="K258" s="549"/>
      <c r="L258" s="549"/>
      <c r="M258" s="549"/>
      <c r="N258" s="549"/>
      <c r="O258" s="549"/>
      <c r="P258" s="549"/>
      <c r="Q258" s="549"/>
      <c r="R258" s="549"/>
      <c r="S258" s="549"/>
      <c r="T258" s="551">
        <f t="shared" si="1"/>
        <v>0</v>
      </c>
      <c r="U258" s="549"/>
      <c r="V258" s="549"/>
      <c r="W258" s="549"/>
      <c r="X258" s="549"/>
      <c r="Y258" s="549"/>
      <c r="Z258" s="549"/>
      <c r="AA258" s="549"/>
      <c r="AB258" s="549"/>
      <c r="AC258" s="549"/>
      <c r="AD258" s="549"/>
      <c r="AE258" s="549"/>
      <c r="AF258" s="549"/>
      <c r="AG258" s="549"/>
      <c r="AH258" s="551">
        <f t="shared" si="2"/>
        <v>0</v>
      </c>
      <c r="AI258" s="549"/>
      <c r="AJ258" s="549"/>
      <c r="AK258" s="549"/>
      <c r="AL258" s="549"/>
      <c r="AM258" s="549"/>
      <c r="AN258" s="549"/>
      <c r="AO258" s="549"/>
      <c r="AP258" s="549"/>
      <c r="AQ258" s="549"/>
      <c r="AR258" s="549"/>
      <c r="AS258" s="549"/>
      <c r="AT258" s="549"/>
      <c r="AU258" s="551">
        <f t="shared" si="3"/>
        <v>0</v>
      </c>
      <c r="AV258" s="548">
        <f t="shared" si="4"/>
        <v>0</v>
      </c>
    </row>
    <row r="259" spans="1:48" x14ac:dyDescent="0.25">
      <c r="A259" s="543" t="s">
        <v>513</v>
      </c>
      <c r="B259" s="544" t="s">
        <v>534</v>
      </c>
      <c r="C259" s="549"/>
      <c r="D259" s="549"/>
      <c r="E259" s="549"/>
      <c r="F259" s="550"/>
      <c r="G259" s="551">
        <f t="shared" si="0"/>
        <v>0</v>
      </c>
      <c r="H259" s="549"/>
      <c r="I259" s="549"/>
      <c r="J259" s="549"/>
      <c r="K259" s="549"/>
      <c r="L259" s="549"/>
      <c r="M259" s="549"/>
      <c r="N259" s="549"/>
      <c r="O259" s="549"/>
      <c r="P259" s="549"/>
      <c r="Q259" s="549"/>
      <c r="R259" s="549"/>
      <c r="S259" s="549"/>
      <c r="T259" s="551">
        <f t="shared" si="1"/>
        <v>0</v>
      </c>
      <c r="U259" s="549"/>
      <c r="V259" s="549"/>
      <c r="W259" s="549"/>
      <c r="X259" s="549"/>
      <c r="Y259" s="549"/>
      <c r="Z259" s="549"/>
      <c r="AA259" s="549"/>
      <c r="AB259" s="549"/>
      <c r="AC259" s="549"/>
      <c r="AD259" s="549"/>
      <c r="AE259" s="549"/>
      <c r="AF259" s="549"/>
      <c r="AG259" s="549"/>
      <c r="AH259" s="551">
        <f t="shared" si="2"/>
        <v>0</v>
      </c>
      <c r="AI259" s="549"/>
      <c r="AJ259" s="549"/>
      <c r="AK259" s="549"/>
      <c r="AL259" s="549"/>
      <c r="AM259" s="549"/>
      <c r="AN259" s="549"/>
      <c r="AO259" s="549"/>
      <c r="AP259" s="549"/>
      <c r="AQ259" s="549"/>
      <c r="AR259" s="549"/>
      <c r="AS259" s="549"/>
      <c r="AT259" s="549"/>
      <c r="AU259" s="551">
        <f t="shared" si="3"/>
        <v>0</v>
      </c>
      <c r="AV259" s="548">
        <f t="shared" si="4"/>
        <v>0</v>
      </c>
    </row>
    <row r="260" spans="1:48" x14ac:dyDescent="0.25">
      <c r="A260" s="543" t="s">
        <v>513</v>
      </c>
      <c r="B260" s="544" t="s">
        <v>536</v>
      </c>
      <c r="C260" s="549"/>
      <c r="D260" s="549"/>
      <c r="E260" s="549"/>
      <c r="F260" s="550"/>
      <c r="G260" s="551">
        <f t="shared" si="0"/>
        <v>0</v>
      </c>
      <c r="H260" s="549"/>
      <c r="I260" s="549"/>
      <c r="J260" s="549"/>
      <c r="K260" s="549"/>
      <c r="L260" s="549"/>
      <c r="M260" s="549"/>
      <c r="N260" s="549"/>
      <c r="O260" s="549"/>
      <c r="P260" s="549"/>
      <c r="Q260" s="549"/>
      <c r="R260" s="549"/>
      <c r="S260" s="549"/>
      <c r="T260" s="551">
        <f t="shared" si="1"/>
        <v>0</v>
      </c>
      <c r="U260" s="549"/>
      <c r="V260" s="549"/>
      <c r="W260" s="549"/>
      <c r="X260" s="549"/>
      <c r="Y260" s="549"/>
      <c r="Z260" s="549"/>
      <c r="AA260" s="549"/>
      <c r="AB260" s="549"/>
      <c r="AC260" s="549"/>
      <c r="AD260" s="549"/>
      <c r="AE260" s="549"/>
      <c r="AF260" s="549"/>
      <c r="AG260" s="549"/>
      <c r="AH260" s="551">
        <f t="shared" si="2"/>
        <v>0</v>
      </c>
      <c r="AI260" s="549"/>
      <c r="AJ260" s="549"/>
      <c r="AK260" s="549"/>
      <c r="AL260" s="549"/>
      <c r="AM260" s="549"/>
      <c r="AN260" s="549"/>
      <c r="AO260" s="549"/>
      <c r="AP260" s="549"/>
      <c r="AQ260" s="549"/>
      <c r="AR260" s="549"/>
      <c r="AS260" s="549"/>
      <c r="AT260" s="549"/>
      <c r="AU260" s="551">
        <f t="shared" si="3"/>
        <v>0</v>
      </c>
      <c r="AV260" s="548">
        <f t="shared" si="4"/>
        <v>0</v>
      </c>
    </row>
    <row r="261" spans="1:48" x14ac:dyDescent="0.25">
      <c r="A261" s="543" t="s">
        <v>513</v>
      </c>
      <c r="B261" s="544" t="s">
        <v>538</v>
      </c>
      <c r="C261" s="549"/>
      <c r="D261" s="549"/>
      <c r="E261" s="549"/>
      <c r="F261" s="550"/>
      <c r="G261" s="551">
        <f t="shared" si="0"/>
        <v>0</v>
      </c>
      <c r="H261" s="549"/>
      <c r="I261" s="549"/>
      <c r="J261" s="549"/>
      <c r="K261" s="549"/>
      <c r="L261" s="549"/>
      <c r="M261" s="549"/>
      <c r="N261" s="549"/>
      <c r="O261" s="549"/>
      <c r="P261" s="549"/>
      <c r="Q261" s="549"/>
      <c r="R261" s="549"/>
      <c r="S261" s="549"/>
      <c r="T261" s="551">
        <f t="shared" si="1"/>
        <v>0</v>
      </c>
      <c r="U261" s="549"/>
      <c r="V261" s="549"/>
      <c r="W261" s="549"/>
      <c r="X261" s="549"/>
      <c r="Y261" s="549"/>
      <c r="Z261" s="549"/>
      <c r="AA261" s="549"/>
      <c r="AB261" s="549"/>
      <c r="AC261" s="549"/>
      <c r="AD261" s="549"/>
      <c r="AE261" s="549"/>
      <c r="AF261" s="549"/>
      <c r="AG261" s="549"/>
      <c r="AH261" s="551">
        <f t="shared" si="2"/>
        <v>0</v>
      </c>
      <c r="AI261" s="549"/>
      <c r="AJ261" s="549"/>
      <c r="AK261" s="549"/>
      <c r="AL261" s="549"/>
      <c r="AM261" s="549"/>
      <c r="AN261" s="549"/>
      <c r="AO261" s="549"/>
      <c r="AP261" s="549"/>
      <c r="AQ261" s="549"/>
      <c r="AR261" s="549"/>
      <c r="AS261" s="549"/>
      <c r="AT261" s="549"/>
      <c r="AU261" s="551">
        <f t="shared" si="3"/>
        <v>0</v>
      </c>
      <c r="AV261" s="548">
        <f t="shared" si="4"/>
        <v>0</v>
      </c>
    </row>
    <row r="262" spans="1:48" x14ac:dyDescent="0.25">
      <c r="A262" s="543" t="s">
        <v>513</v>
      </c>
      <c r="B262" s="544" t="s">
        <v>540</v>
      </c>
      <c r="C262" s="549"/>
      <c r="D262" s="549"/>
      <c r="E262" s="549"/>
      <c r="F262" s="550"/>
      <c r="G262" s="551">
        <f t="shared" si="0"/>
        <v>0</v>
      </c>
      <c r="H262" s="549"/>
      <c r="I262" s="549"/>
      <c r="J262" s="549"/>
      <c r="K262" s="549"/>
      <c r="L262" s="549"/>
      <c r="M262" s="549"/>
      <c r="N262" s="549"/>
      <c r="O262" s="549"/>
      <c r="P262" s="549"/>
      <c r="Q262" s="549"/>
      <c r="R262" s="549"/>
      <c r="S262" s="549"/>
      <c r="T262" s="551">
        <f t="shared" si="1"/>
        <v>0</v>
      </c>
      <c r="U262" s="549"/>
      <c r="V262" s="549"/>
      <c r="W262" s="549"/>
      <c r="X262" s="549"/>
      <c r="Y262" s="549"/>
      <c r="Z262" s="549"/>
      <c r="AA262" s="549"/>
      <c r="AB262" s="549"/>
      <c r="AC262" s="549"/>
      <c r="AD262" s="549"/>
      <c r="AE262" s="549"/>
      <c r="AF262" s="549"/>
      <c r="AG262" s="549"/>
      <c r="AH262" s="551">
        <f t="shared" si="2"/>
        <v>0</v>
      </c>
      <c r="AI262" s="549"/>
      <c r="AJ262" s="549"/>
      <c r="AK262" s="549"/>
      <c r="AL262" s="549"/>
      <c r="AM262" s="549"/>
      <c r="AN262" s="549"/>
      <c r="AO262" s="549"/>
      <c r="AP262" s="549"/>
      <c r="AQ262" s="549"/>
      <c r="AR262" s="549"/>
      <c r="AS262" s="549"/>
      <c r="AT262" s="549"/>
      <c r="AU262" s="551">
        <f t="shared" si="3"/>
        <v>0</v>
      </c>
      <c r="AV262" s="548">
        <f t="shared" si="4"/>
        <v>0</v>
      </c>
    </row>
    <row r="263" spans="1:48" x14ac:dyDescent="0.25">
      <c r="A263" s="543" t="s">
        <v>543</v>
      </c>
      <c r="B263" s="544" t="s">
        <v>542</v>
      </c>
      <c r="C263" s="549"/>
      <c r="D263" s="549"/>
      <c r="E263" s="549"/>
      <c r="F263" s="550"/>
      <c r="G263" s="551">
        <f t="shared" si="0"/>
        <v>0</v>
      </c>
      <c r="H263" s="549"/>
      <c r="I263" s="549"/>
      <c r="J263" s="549"/>
      <c r="K263" s="549"/>
      <c r="L263" s="549"/>
      <c r="M263" s="549"/>
      <c r="N263" s="549"/>
      <c r="O263" s="549"/>
      <c r="P263" s="549"/>
      <c r="Q263" s="549"/>
      <c r="R263" s="549"/>
      <c r="S263" s="549"/>
      <c r="T263" s="551">
        <f t="shared" si="1"/>
        <v>0</v>
      </c>
      <c r="U263" s="549"/>
      <c r="V263" s="549"/>
      <c r="W263" s="549"/>
      <c r="X263" s="549"/>
      <c r="Y263" s="549"/>
      <c r="Z263" s="549"/>
      <c r="AA263" s="549"/>
      <c r="AB263" s="549"/>
      <c r="AC263" s="549"/>
      <c r="AD263" s="549"/>
      <c r="AE263" s="549"/>
      <c r="AF263" s="549"/>
      <c r="AG263" s="549"/>
      <c r="AH263" s="551">
        <f t="shared" si="2"/>
        <v>0</v>
      </c>
      <c r="AI263" s="549"/>
      <c r="AJ263" s="549"/>
      <c r="AK263" s="549"/>
      <c r="AL263" s="549"/>
      <c r="AM263" s="549"/>
      <c r="AN263" s="549"/>
      <c r="AO263" s="549"/>
      <c r="AP263" s="549"/>
      <c r="AQ263" s="549"/>
      <c r="AR263" s="549"/>
      <c r="AS263" s="549"/>
      <c r="AT263" s="549"/>
      <c r="AU263" s="551">
        <f t="shared" si="3"/>
        <v>0</v>
      </c>
      <c r="AV263" s="548">
        <f t="shared" si="4"/>
        <v>0</v>
      </c>
    </row>
    <row r="264" spans="1:48" x14ac:dyDescent="0.25">
      <c r="A264" s="543" t="s">
        <v>543</v>
      </c>
      <c r="B264" s="544" t="s">
        <v>546</v>
      </c>
      <c r="C264" s="549"/>
      <c r="D264" s="549"/>
      <c r="E264" s="549"/>
      <c r="F264" s="550"/>
      <c r="G264" s="551">
        <f t="shared" si="0"/>
        <v>0</v>
      </c>
      <c r="H264" s="549"/>
      <c r="I264" s="549"/>
      <c r="J264" s="549"/>
      <c r="K264" s="549"/>
      <c r="L264" s="549"/>
      <c r="M264" s="549"/>
      <c r="N264" s="549"/>
      <c r="O264" s="549"/>
      <c r="P264" s="549"/>
      <c r="Q264" s="549"/>
      <c r="R264" s="549"/>
      <c r="S264" s="549"/>
      <c r="T264" s="551">
        <f t="shared" si="1"/>
        <v>0</v>
      </c>
      <c r="U264" s="549"/>
      <c r="V264" s="549"/>
      <c r="W264" s="549"/>
      <c r="X264" s="549"/>
      <c r="Y264" s="549"/>
      <c r="Z264" s="549"/>
      <c r="AA264" s="549"/>
      <c r="AB264" s="549"/>
      <c r="AC264" s="549"/>
      <c r="AD264" s="549"/>
      <c r="AE264" s="549"/>
      <c r="AF264" s="549"/>
      <c r="AG264" s="549"/>
      <c r="AH264" s="551">
        <f t="shared" si="2"/>
        <v>0</v>
      </c>
      <c r="AI264" s="549"/>
      <c r="AJ264" s="549"/>
      <c r="AK264" s="549"/>
      <c r="AL264" s="549"/>
      <c r="AM264" s="549"/>
      <c r="AN264" s="549"/>
      <c r="AO264" s="549"/>
      <c r="AP264" s="549"/>
      <c r="AQ264" s="549"/>
      <c r="AR264" s="549"/>
      <c r="AS264" s="549"/>
      <c r="AT264" s="549"/>
      <c r="AU264" s="551">
        <f t="shared" si="3"/>
        <v>0</v>
      </c>
      <c r="AV264" s="548">
        <f t="shared" si="4"/>
        <v>0</v>
      </c>
    </row>
    <row r="265" spans="1:48" x14ac:dyDescent="0.25">
      <c r="A265" s="552" t="s">
        <v>549</v>
      </c>
      <c r="B265" s="544" t="s">
        <v>544</v>
      </c>
      <c r="C265" s="549"/>
      <c r="D265" s="549"/>
      <c r="E265" s="549"/>
      <c r="F265" s="550"/>
      <c r="G265" s="551">
        <f t="shared" si="0"/>
        <v>0</v>
      </c>
      <c r="H265" s="549"/>
      <c r="I265" s="549"/>
      <c r="J265" s="549"/>
      <c r="K265" s="549"/>
      <c r="L265" s="549"/>
      <c r="M265" s="549"/>
      <c r="N265" s="549"/>
      <c r="O265" s="549"/>
      <c r="P265" s="549"/>
      <c r="Q265" s="549"/>
      <c r="R265" s="549"/>
      <c r="S265" s="549"/>
      <c r="T265" s="551">
        <f t="shared" si="1"/>
        <v>0</v>
      </c>
      <c r="U265" s="549"/>
      <c r="V265" s="549"/>
      <c r="W265" s="549"/>
      <c r="X265" s="549"/>
      <c r="Y265" s="549"/>
      <c r="Z265" s="549"/>
      <c r="AA265" s="549"/>
      <c r="AB265" s="549"/>
      <c r="AC265" s="549"/>
      <c r="AD265" s="549"/>
      <c r="AE265" s="549"/>
      <c r="AF265" s="549"/>
      <c r="AG265" s="549"/>
      <c r="AH265" s="551">
        <f t="shared" si="2"/>
        <v>0</v>
      </c>
      <c r="AI265" s="549"/>
      <c r="AJ265" s="549"/>
      <c r="AK265" s="549"/>
      <c r="AL265" s="549"/>
      <c r="AM265" s="549"/>
      <c r="AN265" s="549"/>
      <c r="AO265" s="549"/>
      <c r="AP265" s="549"/>
      <c r="AQ265" s="549"/>
      <c r="AR265" s="549"/>
      <c r="AS265" s="549"/>
      <c r="AT265" s="549"/>
      <c r="AU265" s="551">
        <f t="shared" si="3"/>
        <v>0</v>
      </c>
      <c r="AV265" s="548">
        <f t="shared" si="4"/>
        <v>0</v>
      </c>
    </row>
    <row r="266" spans="1:48" x14ac:dyDescent="0.25">
      <c r="A266" s="552" t="s">
        <v>549</v>
      </c>
      <c r="B266" s="544" t="s">
        <v>530</v>
      </c>
      <c r="C266" s="549"/>
      <c r="D266" s="549"/>
      <c r="E266" s="549"/>
      <c r="F266" s="550"/>
      <c r="G266" s="551">
        <f t="shared" si="0"/>
        <v>0</v>
      </c>
      <c r="H266" s="549"/>
      <c r="I266" s="549"/>
      <c r="J266" s="549"/>
      <c r="K266" s="549"/>
      <c r="L266" s="549"/>
      <c r="M266" s="549"/>
      <c r="N266" s="549"/>
      <c r="O266" s="549"/>
      <c r="P266" s="549"/>
      <c r="Q266" s="549"/>
      <c r="R266" s="549"/>
      <c r="S266" s="549"/>
      <c r="T266" s="551">
        <f t="shared" si="1"/>
        <v>0</v>
      </c>
      <c r="U266" s="549"/>
      <c r="V266" s="549"/>
      <c r="W266" s="549"/>
      <c r="X266" s="549"/>
      <c r="Y266" s="549"/>
      <c r="Z266" s="549"/>
      <c r="AA266" s="549"/>
      <c r="AB266" s="549"/>
      <c r="AC266" s="549"/>
      <c r="AD266" s="549"/>
      <c r="AE266" s="549"/>
      <c r="AF266" s="549"/>
      <c r="AG266" s="549"/>
      <c r="AH266" s="551">
        <f t="shared" si="2"/>
        <v>0</v>
      </c>
      <c r="AI266" s="549"/>
      <c r="AJ266" s="549"/>
      <c r="AK266" s="549"/>
      <c r="AL266" s="549"/>
      <c r="AM266" s="549"/>
      <c r="AN266" s="549"/>
      <c r="AO266" s="549"/>
      <c r="AP266" s="549"/>
      <c r="AQ266" s="549"/>
      <c r="AR266" s="549"/>
      <c r="AS266" s="549"/>
      <c r="AT266" s="549"/>
      <c r="AU266" s="551">
        <f t="shared" si="3"/>
        <v>0</v>
      </c>
      <c r="AV266" s="548">
        <f t="shared" si="4"/>
        <v>0</v>
      </c>
    </row>
    <row r="267" spans="1:48" x14ac:dyDescent="0.25">
      <c r="A267" s="552" t="s">
        <v>549</v>
      </c>
      <c r="B267" s="544" t="s">
        <v>553</v>
      </c>
      <c r="C267" s="549"/>
      <c r="D267" s="549"/>
      <c r="E267" s="549"/>
      <c r="F267" s="550"/>
      <c r="G267" s="551">
        <f t="shared" si="0"/>
        <v>0</v>
      </c>
      <c r="H267" s="549"/>
      <c r="I267" s="549"/>
      <c r="J267" s="549"/>
      <c r="K267" s="549"/>
      <c r="L267" s="549"/>
      <c r="M267" s="549"/>
      <c r="N267" s="549"/>
      <c r="O267" s="549"/>
      <c r="P267" s="549"/>
      <c r="Q267" s="549"/>
      <c r="R267" s="549"/>
      <c r="S267" s="549"/>
      <c r="T267" s="551">
        <f t="shared" si="1"/>
        <v>0</v>
      </c>
      <c r="U267" s="549"/>
      <c r="V267" s="549"/>
      <c r="W267" s="549"/>
      <c r="X267" s="549"/>
      <c r="Y267" s="549"/>
      <c r="Z267" s="549"/>
      <c r="AA267" s="549"/>
      <c r="AB267" s="549"/>
      <c r="AC267" s="549"/>
      <c r="AD267" s="549"/>
      <c r="AE267" s="549"/>
      <c r="AF267" s="549"/>
      <c r="AG267" s="549"/>
      <c r="AH267" s="551">
        <f t="shared" si="2"/>
        <v>0</v>
      </c>
      <c r="AI267" s="549"/>
      <c r="AJ267" s="549"/>
      <c r="AK267" s="549"/>
      <c r="AL267" s="549"/>
      <c r="AM267" s="549"/>
      <c r="AN267" s="549"/>
      <c r="AO267" s="549"/>
      <c r="AP267" s="549"/>
      <c r="AQ267" s="549"/>
      <c r="AR267" s="549"/>
      <c r="AS267" s="549"/>
      <c r="AT267" s="549"/>
      <c r="AU267" s="551">
        <f t="shared" si="3"/>
        <v>0</v>
      </c>
      <c r="AV267" s="548">
        <f t="shared" si="4"/>
        <v>0</v>
      </c>
    </row>
    <row r="268" spans="1:48" x14ac:dyDescent="0.25">
      <c r="A268" s="543" t="s">
        <v>549</v>
      </c>
      <c r="B268" s="544" t="s">
        <v>555</v>
      </c>
      <c r="C268" s="549"/>
      <c r="D268" s="549"/>
      <c r="E268" s="549"/>
      <c r="F268" s="550"/>
      <c r="G268" s="551">
        <f t="shared" si="0"/>
        <v>0</v>
      </c>
      <c r="H268" s="549"/>
      <c r="I268" s="549"/>
      <c r="J268" s="549"/>
      <c r="K268" s="549"/>
      <c r="L268" s="549"/>
      <c r="M268" s="549"/>
      <c r="N268" s="549"/>
      <c r="O268" s="549"/>
      <c r="P268" s="549"/>
      <c r="Q268" s="549"/>
      <c r="R268" s="549"/>
      <c r="S268" s="549"/>
      <c r="T268" s="551">
        <f t="shared" si="1"/>
        <v>0</v>
      </c>
      <c r="U268" s="549"/>
      <c r="V268" s="549"/>
      <c r="W268" s="549"/>
      <c r="X268" s="549"/>
      <c r="Y268" s="549"/>
      <c r="Z268" s="549"/>
      <c r="AA268" s="549"/>
      <c r="AB268" s="549"/>
      <c r="AC268" s="549"/>
      <c r="AD268" s="549"/>
      <c r="AE268" s="549"/>
      <c r="AF268" s="549"/>
      <c r="AG268" s="549"/>
      <c r="AH268" s="551">
        <f t="shared" si="2"/>
        <v>0</v>
      </c>
      <c r="AI268" s="549"/>
      <c r="AJ268" s="549"/>
      <c r="AK268" s="549"/>
      <c r="AL268" s="549"/>
      <c r="AM268" s="549"/>
      <c r="AN268" s="549"/>
      <c r="AO268" s="549"/>
      <c r="AP268" s="549"/>
      <c r="AQ268" s="549"/>
      <c r="AR268" s="549"/>
      <c r="AS268" s="549"/>
      <c r="AT268" s="549"/>
      <c r="AU268" s="551">
        <f t="shared" si="3"/>
        <v>0</v>
      </c>
      <c r="AV268" s="548">
        <f t="shared" si="4"/>
        <v>0</v>
      </c>
    </row>
    <row r="269" spans="1:48" x14ac:dyDescent="0.25">
      <c r="A269" s="543" t="s">
        <v>549</v>
      </c>
      <c r="B269" s="544" t="s">
        <v>557</v>
      </c>
      <c r="C269" s="549"/>
      <c r="D269" s="549"/>
      <c r="E269" s="549"/>
      <c r="F269" s="550"/>
      <c r="G269" s="551">
        <f t="shared" si="0"/>
        <v>0</v>
      </c>
      <c r="H269" s="549"/>
      <c r="I269" s="549"/>
      <c r="J269" s="549"/>
      <c r="K269" s="549"/>
      <c r="L269" s="549"/>
      <c r="M269" s="549"/>
      <c r="N269" s="549"/>
      <c r="O269" s="549"/>
      <c r="P269" s="549"/>
      <c r="Q269" s="549"/>
      <c r="R269" s="549"/>
      <c r="S269" s="549"/>
      <c r="T269" s="551">
        <f t="shared" si="1"/>
        <v>0</v>
      </c>
      <c r="U269" s="549"/>
      <c r="V269" s="549"/>
      <c r="W269" s="549"/>
      <c r="X269" s="549"/>
      <c r="Y269" s="549"/>
      <c r="Z269" s="549"/>
      <c r="AA269" s="549"/>
      <c r="AB269" s="549"/>
      <c r="AC269" s="549"/>
      <c r="AD269" s="549"/>
      <c r="AE269" s="549"/>
      <c r="AF269" s="549"/>
      <c r="AG269" s="549"/>
      <c r="AH269" s="551">
        <f t="shared" si="2"/>
        <v>0</v>
      </c>
      <c r="AI269" s="549"/>
      <c r="AJ269" s="549"/>
      <c r="AK269" s="549"/>
      <c r="AL269" s="549"/>
      <c r="AM269" s="549"/>
      <c r="AN269" s="549"/>
      <c r="AO269" s="549"/>
      <c r="AP269" s="549"/>
      <c r="AQ269" s="549"/>
      <c r="AR269" s="549"/>
      <c r="AS269" s="549"/>
      <c r="AT269" s="549"/>
      <c r="AU269" s="551">
        <f t="shared" si="3"/>
        <v>0</v>
      </c>
      <c r="AV269" s="548">
        <f t="shared" si="4"/>
        <v>0</v>
      </c>
    </row>
    <row r="270" spans="1:48" x14ac:dyDescent="0.25">
      <c r="A270" s="543" t="s">
        <v>549</v>
      </c>
      <c r="B270" s="544" t="s">
        <v>559</v>
      </c>
      <c r="C270" s="549"/>
      <c r="D270" s="549"/>
      <c r="E270" s="549"/>
      <c r="F270" s="550"/>
      <c r="G270" s="551">
        <f t="shared" si="0"/>
        <v>0</v>
      </c>
      <c r="H270" s="549"/>
      <c r="I270" s="549"/>
      <c r="J270" s="549"/>
      <c r="K270" s="549"/>
      <c r="L270" s="549"/>
      <c r="M270" s="549"/>
      <c r="N270" s="549"/>
      <c r="O270" s="549"/>
      <c r="P270" s="549"/>
      <c r="Q270" s="549"/>
      <c r="R270" s="549"/>
      <c r="S270" s="549"/>
      <c r="T270" s="551">
        <f t="shared" si="1"/>
        <v>0</v>
      </c>
      <c r="U270" s="549"/>
      <c r="V270" s="549"/>
      <c r="W270" s="549"/>
      <c r="X270" s="549"/>
      <c r="Y270" s="549"/>
      <c r="Z270" s="549"/>
      <c r="AA270" s="549"/>
      <c r="AB270" s="549"/>
      <c r="AC270" s="549"/>
      <c r="AD270" s="549"/>
      <c r="AE270" s="549"/>
      <c r="AF270" s="549"/>
      <c r="AG270" s="549"/>
      <c r="AH270" s="551">
        <f t="shared" si="2"/>
        <v>0</v>
      </c>
      <c r="AI270" s="549"/>
      <c r="AJ270" s="549"/>
      <c r="AK270" s="549"/>
      <c r="AL270" s="549"/>
      <c r="AM270" s="549"/>
      <c r="AN270" s="549"/>
      <c r="AO270" s="549"/>
      <c r="AP270" s="549"/>
      <c r="AQ270" s="549"/>
      <c r="AR270" s="549"/>
      <c r="AS270" s="549"/>
      <c r="AT270" s="549"/>
      <c r="AU270" s="551">
        <f t="shared" si="3"/>
        <v>0</v>
      </c>
      <c r="AV270" s="548">
        <f t="shared" si="4"/>
        <v>0</v>
      </c>
    </row>
    <row r="271" spans="1:48" x14ac:dyDescent="0.25">
      <c r="A271" s="552" t="s">
        <v>549</v>
      </c>
      <c r="B271" s="544" t="s">
        <v>561</v>
      </c>
      <c r="C271" s="549"/>
      <c r="D271" s="549"/>
      <c r="E271" s="549"/>
      <c r="F271" s="550"/>
      <c r="G271" s="551">
        <f t="shared" si="0"/>
        <v>0</v>
      </c>
      <c r="H271" s="549"/>
      <c r="I271" s="549"/>
      <c r="J271" s="549"/>
      <c r="K271" s="549"/>
      <c r="L271" s="549"/>
      <c r="M271" s="549"/>
      <c r="N271" s="549"/>
      <c r="O271" s="549"/>
      <c r="P271" s="549"/>
      <c r="Q271" s="549"/>
      <c r="R271" s="549"/>
      <c r="S271" s="549"/>
      <c r="T271" s="551">
        <f t="shared" si="1"/>
        <v>0</v>
      </c>
      <c r="U271" s="549"/>
      <c r="V271" s="549"/>
      <c r="W271" s="549"/>
      <c r="X271" s="549"/>
      <c r="Y271" s="549"/>
      <c r="Z271" s="549"/>
      <c r="AA271" s="549"/>
      <c r="AB271" s="549"/>
      <c r="AC271" s="549"/>
      <c r="AD271" s="549"/>
      <c r="AE271" s="549"/>
      <c r="AF271" s="549"/>
      <c r="AG271" s="549"/>
      <c r="AH271" s="551">
        <f t="shared" si="2"/>
        <v>0</v>
      </c>
      <c r="AI271" s="549"/>
      <c r="AJ271" s="549"/>
      <c r="AK271" s="549"/>
      <c r="AL271" s="549"/>
      <c r="AM271" s="549"/>
      <c r="AN271" s="549"/>
      <c r="AO271" s="549"/>
      <c r="AP271" s="549"/>
      <c r="AQ271" s="549"/>
      <c r="AR271" s="549"/>
      <c r="AS271" s="549"/>
      <c r="AT271" s="549"/>
      <c r="AU271" s="551">
        <f t="shared" si="3"/>
        <v>0</v>
      </c>
      <c r="AV271" s="548">
        <f t="shared" si="4"/>
        <v>0</v>
      </c>
    </row>
    <row r="272" spans="1:48" x14ac:dyDescent="0.25">
      <c r="A272" s="543" t="s">
        <v>549</v>
      </c>
      <c r="B272" s="544" t="s">
        <v>548</v>
      </c>
      <c r="C272" s="549"/>
      <c r="D272" s="549"/>
      <c r="E272" s="549"/>
      <c r="F272" s="550"/>
      <c r="G272" s="551">
        <f t="shared" si="0"/>
        <v>0</v>
      </c>
      <c r="H272" s="549"/>
      <c r="I272" s="549"/>
      <c r="J272" s="549"/>
      <c r="K272" s="549"/>
      <c r="L272" s="549"/>
      <c r="M272" s="549"/>
      <c r="N272" s="549"/>
      <c r="O272" s="549"/>
      <c r="P272" s="549"/>
      <c r="Q272" s="549"/>
      <c r="R272" s="549"/>
      <c r="S272" s="549"/>
      <c r="T272" s="551">
        <f t="shared" si="1"/>
        <v>0</v>
      </c>
      <c r="U272" s="549"/>
      <c r="V272" s="549"/>
      <c r="W272" s="549"/>
      <c r="X272" s="549"/>
      <c r="Y272" s="549"/>
      <c r="Z272" s="549"/>
      <c r="AA272" s="549"/>
      <c r="AB272" s="549"/>
      <c r="AC272" s="549"/>
      <c r="AD272" s="549"/>
      <c r="AE272" s="549"/>
      <c r="AF272" s="549"/>
      <c r="AG272" s="549"/>
      <c r="AH272" s="551">
        <f t="shared" si="2"/>
        <v>0</v>
      </c>
      <c r="AI272" s="549"/>
      <c r="AJ272" s="549"/>
      <c r="AK272" s="549"/>
      <c r="AL272" s="549"/>
      <c r="AM272" s="549"/>
      <c r="AN272" s="549"/>
      <c r="AO272" s="549"/>
      <c r="AP272" s="549"/>
      <c r="AQ272" s="549"/>
      <c r="AR272" s="549"/>
      <c r="AS272" s="549"/>
      <c r="AT272" s="549"/>
      <c r="AU272" s="551">
        <f t="shared" si="3"/>
        <v>0</v>
      </c>
      <c r="AV272" s="548">
        <f t="shared" si="4"/>
        <v>0</v>
      </c>
    </row>
    <row r="273" spans="1:48" x14ac:dyDescent="0.25">
      <c r="A273" s="543" t="s">
        <v>549</v>
      </c>
      <c r="B273" s="544" t="s">
        <v>563</v>
      </c>
      <c r="C273" s="549"/>
      <c r="D273" s="549"/>
      <c r="E273" s="549"/>
      <c r="F273" s="550"/>
      <c r="G273" s="551">
        <f t="shared" si="0"/>
        <v>0</v>
      </c>
      <c r="H273" s="549"/>
      <c r="I273" s="549"/>
      <c r="J273" s="549"/>
      <c r="K273" s="549"/>
      <c r="L273" s="549"/>
      <c r="M273" s="549"/>
      <c r="N273" s="549"/>
      <c r="O273" s="549"/>
      <c r="P273" s="549"/>
      <c r="Q273" s="549"/>
      <c r="R273" s="549"/>
      <c r="S273" s="549"/>
      <c r="T273" s="551">
        <f t="shared" si="1"/>
        <v>0</v>
      </c>
      <c r="U273" s="549"/>
      <c r="V273" s="549"/>
      <c r="W273" s="549"/>
      <c r="X273" s="549"/>
      <c r="Y273" s="549"/>
      <c r="Z273" s="549"/>
      <c r="AA273" s="549"/>
      <c r="AB273" s="549"/>
      <c r="AC273" s="549"/>
      <c r="AD273" s="549"/>
      <c r="AE273" s="549"/>
      <c r="AF273" s="549"/>
      <c r="AG273" s="549"/>
      <c r="AH273" s="551">
        <f t="shared" si="2"/>
        <v>0</v>
      </c>
      <c r="AI273" s="549"/>
      <c r="AJ273" s="549"/>
      <c r="AK273" s="549"/>
      <c r="AL273" s="549"/>
      <c r="AM273" s="549"/>
      <c r="AN273" s="549"/>
      <c r="AO273" s="549"/>
      <c r="AP273" s="549"/>
      <c r="AQ273" s="549"/>
      <c r="AR273" s="549"/>
      <c r="AS273" s="549"/>
      <c r="AT273" s="549"/>
      <c r="AU273" s="551">
        <f t="shared" si="3"/>
        <v>0</v>
      </c>
      <c r="AV273" s="548">
        <f t="shared" si="4"/>
        <v>0</v>
      </c>
    </row>
    <row r="274" spans="1:48" x14ac:dyDescent="0.25">
      <c r="A274" s="543" t="s">
        <v>566</v>
      </c>
      <c r="B274" s="544" t="s">
        <v>565</v>
      </c>
      <c r="C274" s="549"/>
      <c r="D274" s="549"/>
      <c r="E274" s="549"/>
      <c r="F274" s="550"/>
      <c r="G274" s="551">
        <f t="shared" si="0"/>
        <v>0</v>
      </c>
      <c r="H274" s="549"/>
      <c r="I274" s="549"/>
      <c r="J274" s="549"/>
      <c r="K274" s="549"/>
      <c r="L274" s="549"/>
      <c r="M274" s="549"/>
      <c r="N274" s="549"/>
      <c r="O274" s="549"/>
      <c r="P274" s="549"/>
      <c r="Q274" s="549"/>
      <c r="R274" s="549"/>
      <c r="S274" s="549"/>
      <c r="T274" s="551">
        <f t="shared" si="1"/>
        <v>0</v>
      </c>
      <c r="U274" s="549"/>
      <c r="V274" s="549"/>
      <c r="W274" s="549"/>
      <c r="X274" s="549"/>
      <c r="Y274" s="549"/>
      <c r="Z274" s="549"/>
      <c r="AA274" s="549"/>
      <c r="AB274" s="549"/>
      <c r="AC274" s="549"/>
      <c r="AD274" s="549"/>
      <c r="AE274" s="549"/>
      <c r="AF274" s="549"/>
      <c r="AG274" s="549"/>
      <c r="AH274" s="551">
        <f t="shared" si="2"/>
        <v>0</v>
      </c>
      <c r="AI274" s="549"/>
      <c r="AJ274" s="549"/>
      <c r="AK274" s="549"/>
      <c r="AL274" s="549"/>
      <c r="AM274" s="549"/>
      <c r="AN274" s="549"/>
      <c r="AO274" s="549"/>
      <c r="AP274" s="549"/>
      <c r="AQ274" s="549"/>
      <c r="AR274" s="549"/>
      <c r="AS274" s="549"/>
      <c r="AT274" s="549"/>
      <c r="AU274" s="551">
        <f t="shared" si="3"/>
        <v>0</v>
      </c>
      <c r="AV274" s="548">
        <f t="shared" si="4"/>
        <v>0</v>
      </c>
    </row>
    <row r="275" spans="1:48" x14ac:dyDescent="0.25">
      <c r="A275" s="543" t="s">
        <v>566</v>
      </c>
      <c r="B275" s="544" t="s">
        <v>514</v>
      </c>
      <c r="C275" s="549"/>
      <c r="D275" s="549"/>
      <c r="E275" s="549"/>
      <c r="F275" s="550"/>
      <c r="G275" s="551">
        <f t="shared" si="0"/>
        <v>0</v>
      </c>
      <c r="H275" s="549"/>
      <c r="I275" s="549"/>
      <c r="J275" s="549"/>
      <c r="K275" s="549"/>
      <c r="L275" s="549"/>
      <c r="M275" s="549"/>
      <c r="N275" s="549"/>
      <c r="O275" s="549"/>
      <c r="P275" s="549"/>
      <c r="Q275" s="549"/>
      <c r="R275" s="549"/>
      <c r="S275" s="549"/>
      <c r="T275" s="551">
        <f t="shared" si="1"/>
        <v>0</v>
      </c>
      <c r="U275" s="549"/>
      <c r="V275" s="549"/>
      <c r="W275" s="549"/>
      <c r="X275" s="549"/>
      <c r="Y275" s="549"/>
      <c r="Z275" s="549"/>
      <c r="AA275" s="549"/>
      <c r="AB275" s="549"/>
      <c r="AC275" s="549"/>
      <c r="AD275" s="549"/>
      <c r="AE275" s="549"/>
      <c r="AF275" s="549"/>
      <c r="AG275" s="549"/>
      <c r="AH275" s="551">
        <f t="shared" si="2"/>
        <v>0</v>
      </c>
      <c r="AI275" s="549"/>
      <c r="AJ275" s="549"/>
      <c r="AK275" s="549"/>
      <c r="AL275" s="549"/>
      <c r="AM275" s="549"/>
      <c r="AN275" s="549"/>
      <c r="AO275" s="549"/>
      <c r="AP275" s="549"/>
      <c r="AQ275" s="549"/>
      <c r="AR275" s="549"/>
      <c r="AS275" s="549"/>
      <c r="AT275" s="549"/>
      <c r="AU275" s="551">
        <f t="shared" si="3"/>
        <v>0</v>
      </c>
      <c r="AV275" s="548">
        <f t="shared" si="4"/>
        <v>0</v>
      </c>
    </row>
    <row r="276" spans="1:48" x14ac:dyDescent="0.25">
      <c r="A276" s="543" t="s">
        <v>566</v>
      </c>
      <c r="B276" s="544" t="s">
        <v>569</v>
      </c>
      <c r="C276" s="549"/>
      <c r="D276" s="549"/>
      <c r="E276" s="549"/>
      <c r="F276" s="550"/>
      <c r="G276" s="551">
        <f t="shared" si="0"/>
        <v>0</v>
      </c>
      <c r="H276" s="549"/>
      <c r="I276" s="549"/>
      <c r="J276" s="549"/>
      <c r="K276" s="549"/>
      <c r="L276" s="549"/>
      <c r="M276" s="549"/>
      <c r="N276" s="549"/>
      <c r="O276" s="549"/>
      <c r="P276" s="549"/>
      <c r="Q276" s="549"/>
      <c r="R276" s="549"/>
      <c r="S276" s="549"/>
      <c r="T276" s="551">
        <f t="shared" si="1"/>
        <v>0</v>
      </c>
      <c r="U276" s="549"/>
      <c r="V276" s="549"/>
      <c r="W276" s="549"/>
      <c r="X276" s="549"/>
      <c r="Y276" s="549"/>
      <c r="Z276" s="549"/>
      <c r="AA276" s="549"/>
      <c r="AB276" s="549"/>
      <c r="AC276" s="549"/>
      <c r="AD276" s="549"/>
      <c r="AE276" s="549"/>
      <c r="AF276" s="549"/>
      <c r="AG276" s="549"/>
      <c r="AH276" s="551">
        <f t="shared" si="2"/>
        <v>0</v>
      </c>
      <c r="AI276" s="549"/>
      <c r="AJ276" s="549"/>
      <c r="AK276" s="549"/>
      <c r="AL276" s="549"/>
      <c r="AM276" s="549"/>
      <c r="AN276" s="549"/>
      <c r="AO276" s="549"/>
      <c r="AP276" s="549"/>
      <c r="AQ276" s="549"/>
      <c r="AR276" s="549"/>
      <c r="AS276" s="549"/>
      <c r="AT276" s="549"/>
      <c r="AU276" s="551">
        <f t="shared" si="3"/>
        <v>0</v>
      </c>
      <c r="AV276" s="548">
        <f t="shared" si="4"/>
        <v>0</v>
      </c>
    </row>
    <row r="277" spans="1:48" x14ac:dyDescent="0.25">
      <c r="A277" s="543" t="s">
        <v>566</v>
      </c>
      <c r="B277" s="544" t="s">
        <v>571</v>
      </c>
      <c r="C277" s="549"/>
      <c r="D277" s="549"/>
      <c r="E277" s="549"/>
      <c r="F277" s="550"/>
      <c r="G277" s="551">
        <f t="shared" si="0"/>
        <v>0</v>
      </c>
      <c r="H277" s="549"/>
      <c r="I277" s="549"/>
      <c r="J277" s="549"/>
      <c r="K277" s="549"/>
      <c r="L277" s="549"/>
      <c r="M277" s="549"/>
      <c r="N277" s="549"/>
      <c r="O277" s="549"/>
      <c r="P277" s="549"/>
      <c r="Q277" s="549"/>
      <c r="R277" s="549"/>
      <c r="S277" s="549"/>
      <c r="T277" s="551">
        <f t="shared" si="1"/>
        <v>0</v>
      </c>
      <c r="U277" s="549"/>
      <c r="V277" s="549"/>
      <c r="W277" s="549"/>
      <c r="X277" s="549"/>
      <c r="Y277" s="549"/>
      <c r="Z277" s="549"/>
      <c r="AA277" s="549"/>
      <c r="AB277" s="549"/>
      <c r="AC277" s="549"/>
      <c r="AD277" s="549"/>
      <c r="AE277" s="549"/>
      <c r="AF277" s="549"/>
      <c r="AG277" s="549"/>
      <c r="AH277" s="551">
        <f t="shared" si="2"/>
        <v>0</v>
      </c>
      <c r="AI277" s="549"/>
      <c r="AJ277" s="549"/>
      <c r="AK277" s="549"/>
      <c r="AL277" s="549"/>
      <c r="AM277" s="549"/>
      <c r="AN277" s="549"/>
      <c r="AO277" s="549"/>
      <c r="AP277" s="549"/>
      <c r="AQ277" s="549"/>
      <c r="AR277" s="549"/>
      <c r="AS277" s="549"/>
      <c r="AT277" s="549"/>
      <c r="AU277" s="551">
        <f t="shared" si="3"/>
        <v>0</v>
      </c>
      <c r="AV277" s="548">
        <f t="shared" si="4"/>
        <v>0</v>
      </c>
    </row>
    <row r="278" spans="1:48" x14ac:dyDescent="0.25">
      <c r="A278" s="543" t="s">
        <v>566</v>
      </c>
      <c r="B278" s="544" t="s">
        <v>527</v>
      </c>
      <c r="C278" s="549"/>
      <c r="D278" s="549"/>
      <c r="E278" s="549"/>
      <c r="F278" s="550"/>
      <c r="G278" s="551">
        <f t="shared" si="0"/>
        <v>0</v>
      </c>
      <c r="H278" s="549"/>
      <c r="I278" s="549"/>
      <c r="J278" s="549"/>
      <c r="K278" s="549"/>
      <c r="L278" s="549"/>
      <c r="M278" s="549"/>
      <c r="N278" s="549"/>
      <c r="O278" s="549"/>
      <c r="P278" s="549"/>
      <c r="Q278" s="549"/>
      <c r="R278" s="549"/>
      <c r="S278" s="549"/>
      <c r="T278" s="551">
        <f t="shared" si="1"/>
        <v>0</v>
      </c>
      <c r="U278" s="549"/>
      <c r="V278" s="549"/>
      <c r="W278" s="549"/>
      <c r="X278" s="549"/>
      <c r="Y278" s="549"/>
      <c r="Z278" s="549"/>
      <c r="AA278" s="549"/>
      <c r="AB278" s="549"/>
      <c r="AC278" s="549"/>
      <c r="AD278" s="549"/>
      <c r="AE278" s="549"/>
      <c r="AF278" s="549"/>
      <c r="AG278" s="549"/>
      <c r="AH278" s="551">
        <f t="shared" si="2"/>
        <v>0</v>
      </c>
      <c r="AI278" s="549"/>
      <c r="AJ278" s="549"/>
      <c r="AK278" s="549"/>
      <c r="AL278" s="549"/>
      <c r="AM278" s="549"/>
      <c r="AN278" s="549"/>
      <c r="AO278" s="549"/>
      <c r="AP278" s="549"/>
      <c r="AQ278" s="549"/>
      <c r="AR278" s="549"/>
      <c r="AS278" s="549"/>
      <c r="AT278" s="549"/>
      <c r="AU278" s="551">
        <f t="shared" si="3"/>
        <v>0</v>
      </c>
      <c r="AV278" s="548">
        <f t="shared" si="4"/>
        <v>0</v>
      </c>
    </row>
    <row r="279" spans="1:48" x14ac:dyDescent="0.25">
      <c r="A279" s="543" t="s">
        <v>566</v>
      </c>
      <c r="B279" s="544" t="s">
        <v>574</v>
      </c>
      <c r="C279" s="549"/>
      <c r="D279" s="549"/>
      <c r="E279" s="549"/>
      <c r="F279" s="550"/>
      <c r="G279" s="551">
        <f t="shared" si="0"/>
        <v>0</v>
      </c>
      <c r="H279" s="549"/>
      <c r="I279" s="549"/>
      <c r="J279" s="549"/>
      <c r="K279" s="549"/>
      <c r="L279" s="549"/>
      <c r="M279" s="549"/>
      <c r="N279" s="549"/>
      <c r="O279" s="549"/>
      <c r="P279" s="549"/>
      <c r="Q279" s="549"/>
      <c r="R279" s="549"/>
      <c r="S279" s="549"/>
      <c r="T279" s="551">
        <f t="shared" si="1"/>
        <v>0</v>
      </c>
      <c r="U279" s="549"/>
      <c r="V279" s="549"/>
      <c r="W279" s="549"/>
      <c r="X279" s="549"/>
      <c r="Y279" s="549"/>
      <c r="Z279" s="549"/>
      <c r="AA279" s="549"/>
      <c r="AB279" s="549"/>
      <c r="AC279" s="549"/>
      <c r="AD279" s="549"/>
      <c r="AE279" s="549"/>
      <c r="AF279" s="549"/>
      <c r="AG279" s="549"/>
      <c r="AH279" s="551">
        <f t="shared" si="2"/>
        <v>0</v>
      </c>
      <c r="AI279" s="549"/>
      <c r="AJ279" s="549"/>
      <c r="AK279" s="549"/>
      <c r="AL279" s="549"/>
      <c r="AM279" s="549"/>
      <c r="AN279" s="549"/>
      <c r="AO279" s="549"/>
      <c r="AP279" s="549"/>
      <c r="AQ279" s="549"/>
      <c r="AR279" s="549"/>
      <c r="AS279" s="549"/>
      <c r="AT279" s="549"/>
      <c r="AU279" s="551">
        <f t="shared" si="3"/>
        <v>0</v>
      </c>
      <c r="AV279" s="548">
        <f t="shared" si="4"/>
        <v>0</v>
      </c>
    </row>
    <row r="280" spans="1:48" x14ac:dyDescent="0.25">
      <c r="A280" s="543" t="s">
        <v>566</v>
      </c>
      <c r="B280" s="544" t="s">
        <v>576</v>
      </c>
      <c r="C280" s="549"/>
      <c r="D280" s="549"/>
      <c r="E280" s="549"/>
      <c r="F280" s="550"/>
      <c r="G280" s="551">
        <f t="shared" si="0"/>
        <v>0</v>
      </c>
      <c r="H280" s="549"/>
      <c r="I280" s="549"/>
      <c r="J280" s="549"/>
      <c r="K280" s="549"/>
      <c r="L280" s="549"/>
      <c r="M280" s="549"/>
      <c r="N280" s="549"/>
      <c r="O280" s="549"/>
      <c r="P280" s="549"/>
      <c r="Q280" s="549"/>
      <c r="R280" s="549"/>
      <c r="S280" s="549"/>
      <c r="T280" s="551">
        <f t="shared" si="1"/>
        <v>0</v>
      </c>
      <c r="U280" s="549"/>
      <c r="V280" s="549"/>
      <c r="W280" s="549"/>
      <c r="X280" s="549"/>
      <c r="Y280" s="549"/>
      <c r="Z280" s="549"/>
      <c r="AA280" s="549"/>
      <c r="AB280" s="549"/>
      <c r="AC280" s="549"/>
      <c r="AD280" s="549"/>
      <c r="AE280" s="549"/>
      <c r="AF280" s="549"/>
      <c r="AG280" s="549"/>
      <c r="AH280" s="551">
        <f t="shared" si="2"/>
        <v>0</v>
      </c>
      <c r="AI280" s="549"/>
      <c r="AJ280" s="549"/>
      <c r="AK280" s="549"/>
      <c r="AL280" s="549"/>
      <c r="AM280" s="549"/>
      <c r="AN280" s="549"/>
      <c r="AO280" s="549"/>
      <c r="AP280" s="549"/>
      <c r="AQ280" s="549"/>
      <c r="AR280" s="549"/>
      <c r="AS280" s="549"/>
      <c r="AT280" s="549"/>
      <c r="AU280" s="551">
        <f t="shared" si="3"/>
        <v>0</v>
      </c>
      <c r="AV280" s="548">
        <f t="shared" si="4"/>
        <v>0</v>
      </c>
    </row>
    <row r="281" spans="1:48" x14ac:dyDescent="0.25">
      <c r="A281" s="543" t="s">
        <v>578</v>
      </c>
      <c r="B281" s="544" t="s">
        <v>578</v>
      </c>
      <c r="C281" s="549"/>
      <c r="D281" s="549"/>
      <c r="E281" s="549"/>
      <c r="F281" s="550"/>
      <c r="G281" s="551">
        <f t="shared" si="0"/>
        <v>0</v>
      </c>
      <c r="H281" s="549"/>
      <c r="I281" s="549"/>
      <c r="J281" s="549"/>
      <c r="K281" s="549"/>
      <c r="L281" s="549"/>
      <c r="M281" s="549"/>
      <c r="N281" s="549"/>
      <c r="O281" s="549"/>
      <c r="P281" s="549"/>
      <c r="Q281" s="549"/>
      <c r="R281" s="549"/>
      <c r="S281" s="549"/>
      <c r="T281" s="551">
        <f t="shared" si="1"/>
        <v>0</v>
      </c>
      <c r="U281" s="549"/>
      <c r="V281" s="549"/>
      <c r="W281" s="549"/>
      <c r="X281" s="549"/>
      <c r="Y281" s="549"/>
      <c r="Z281" s="549"/>
      <c r="AA281" s="549"/>
      <c r="AB281" s="549"/>
      <c r="AC281" s="549"/>
      <c r="AD281" s="549"/>
      <c r="AE281" s="549"/>
      <c r="AF281" s="549"/>
      <c r="AG281" s="549"/>
      <c r="AH281" s="551">
        <f t="shared" si="2"/>
        <v>0</v>
      </c>
      <c r="AI281" s="549"/>
      <c r="AJ281" s="549"/>
      <c r="AK281" s="549"/>
      <c r="AL281" s="549"/>
      <c r="AM281" s="549"/>
      <c r="AN281" s="549"/>
      <c r="AO281" s="549"/>
      <c r="AP281" s="549"/>
      <c r="AQ281" s="549"/>
      <c r="AR281" s="549"/>
      <c r="AS281" s="549"/>
      <c r="AT281" s="549"/>
      <c r="AU281" s="551">
        <f t="shared" si="3"/>
        <v>0</v>
      </c>
      <c r="AV281" s="548">
        <f t="shared" si="4"/>
        <v>0</v>
      </c>
    </row>
    <row r="282" spans="1:48" x14ac:dyDescent="0.25">
      <c r="A282" s="543" t="s">
        <v>517</v>
      </c>
      <c r="B282" s="544" t="s">
        <v>517</v>
      </c>
      <c r="C282" s="549"/>
      <c r="D282" s="549"/>
      <c r="E282" s="549"/>
      <c r="F282" s="550"/>
      <c r="G282" s="551">
        <f t="shared" si="0"/>
        <v>0</v>
      </c>
      <c r="H282" s="549"/>
      <c r="I282" s="549"/>
      <c r="J282" s="549"/>
      <c r="K282" s="549"/>
      <c r="L282" s="549"/>
      <c r="M282" s="549"/>
      <c r="N282" s="549"/>
      <c r="O282" s="549"/>
      <c r="P282" s="549"/>
      <c r="Q282" s="549"/>
      <c r="R282" s="549"/>
      <c r="S282" s="549"/>
      <c r="T282" s="551">
        <f t="shared" si="1"/>
        <v>0</v>
      </c>
      <c r="U282" s="549"/>
      <c r="V282" s="549"/>
      <c r="W282" s="549"/>
      <c r="X282" s="549"/>
      <c r="Y282" s="549"/>
      <c r="Z282" s="549"/>
      <c r="AA282" s="549"/>
      <c r="AB282" s="549"/>
      <c r="AC282" s="549"/>
      <c r="AD282" s="549"/>
      <c r="AE282" s="549"/>
      <c r="AF282" s="549"/>
      <c r="AG282" s="549"/>
      <c r="AH282" s="551">
        <f t="shared" si="2"/>
        <v>0</v>
      </c>
      <c r="AI282" s="549"/>
      <c r="AJ282" s="549"/>
      <c r="AK282" s="549"/>
      <c r="AL282" s="549"/>
      <c r="AM282" s="549"/>
      <c r="AN282" s="549"/>
      <c r="AO282" s="549"/>
      <c r="AP282" s="549"/>
      <c r="AQ282" s="549"/>
      <c r="AR282" s="549"/>
      <c r="AS282" s="549"/>
      <c r="AT282" s="549"/>
      <c r="AU282" s="551">
        <f t="shared" si="3"/>
        <v>0</v>
      </c>
      <c r="AV282" s="548">
        <f t="shared" si="4"/>
        <v>0</v>
      </c>
    </row>
    <row r="283" spans="1:48" ht="15.75" thickBot="1" x14ac:dyDescent="0.3">
      <c r="A283" s="553" t="s">
        <v>532</v>
      </c>
      <c r="B283" s="554" t="s">
        <v>532</v>
      </c>
      <c r="C283" s="555"/>
      <c r="D283" s="555"/>
      <c r="E283" s="555"/>
      <c r="F283" s="556"/>
      <c r="G283" s="557">
        <f t="shared" si="0"/>
        <v>0</v>
      </c>
      <c r="H283" s="555"/>
      <c r="I283" s="555"/>
      <c r="J283" s="555"/>
      <c r="K283" s="555"/>
      <c r="L283" s="555"/>
      <c r="M283" s="555"/>
      <c r="N283" s="555"/>
      <c r="O283" s="555"/>
      <c r="P283" s="555"/>
      <c r="Q283" s="555"/>
      <c r="R283" s="555"/>
      <c r="S283" s="555"/>
      <c r="T283" s="557">
        <f t="shared" si="1"/>
        <v>0</v>
      </c>
      <c r="U283" s="555"/>
      <c r="V283" s="555"/>
      <c r="W283" s="555"/>
      <c r="X283" s="555"/>
      <c r="Y283" s="555"/>
      <c r="Z283" s="555"/>
      <c r="AA283" s="555"/>
      <c r="AB283" s="555"/>
      <c r="AC283" s="555"/>
      <c r="AD283" s="555"/>
      <c r="AE283" s="555"/>
      <c r="AF283" s="555"/>
      <c r="AG283" s="555"/>
      <c r="AH283" s="557">
        <f t="shared" si="2"/>
        <v>0</v>
      </c>
      <c r="AI283" s="555"/>
      <c r="AJ283" s="555"/>
      <c r="AK283" s="555"/>
      <c r="AL283" s="555"/>
      <c r="AM283" s="555"/>
      <c r="AN283" s="555"/>
      <c r="AO283" s="555"/>
      <c r="AP283" s="555"/>
      <c r="AQ283" s="555"/>
      <c r="AR283" s="555"/>
      <c r="AS283" s="555"/>
      <c r="AT283" s="555"/>
      <c r="AU283" s="557">
        <f t="shared" si="3"/>
        <v>0</v>
      </c>
      <c r="AV283" s="558">
        <f t="shared" si="4"/>
        <v>0</v>
      </c>
    </row>
    <row r="284" spans="1:48" ht="15.75" thickBot="1" x14ac:dyDescent="0.3">
      <c r="A284" s="449"/>
      <c r="B284" s="559" t="s">
        <v>1017</v>
      </c>
      <c r="C284" s="560">
        <f t="shared" ref="C284:AV284" si="5">SUM(C251:C283)</f>
        <v>0</v>
      </c>
      <c r="D284" s="560">
        <f t="shared" si="5"/>
        <v>0</v>
      </c>
      <c r="E284" s="560">
        <f t="shared" si="5"/>
        <v>0</v>
      </c>
      <c r="F284" s="560">
        <f t="shared" si="5"/>
        <v>0</v>
      </c>
      <c r="G284" s="561">
        <f t="shared" si="5"/>
        <v>0</v>
      </c>
      <c r="H284" s="560">
        <f t="shared" si="5"/>
        <v>0</v>
      </c>
      <c r="I284" s="560">
        <f t="shared" si="5"/>
        <v>0</v>
      </c>
      <c r="J284" s="560">
        <f t="shared" si="5"/>
        <v>0</v>
      </c>
      <c r="K284" s="560">
        <f t="shared" si="5"/>
        <v>0</v>
      </c>
      <c r="L284" s="560">
        <f t="shared" si="5"/>
        <v>0</v>
      </c>
      <c r="M284" s="560">
        <f t="shared" si="5"/>
        <v>0</v>
      </c>
      <c r="N284" s="560">
        <f t="shared" si="5"/>
        <v>0</v>
      </c>
      <c r="O284" s="560">
        <f t="shared" si="5"/>
        <v>0</v>
      </c>
      <c r="P284" s="560">
        <f t="shared" si="5"/>
        <v>0</v>
      </c>
      <c r="Q284" s="560">
        <f t="shared" si="5"/>
        <v>0</v>
      </c>
      <c r="R284" s="560">
        <f t="shared" si="5"/>
        <v>0</v>
      </c>
      <c r="S284" s="560">
        <f t="shared" si="5"/>
        <v>0</v>
      </c>
      <c r="T284" s="561">
        <f t="shared" si="5"/>
        <v>0</v>
      </c>
      <c r="U284" s="560">
        <f t="shared" si="5"/>
        <v>0</v>
      </c>
      <c r="V284" s="560">
        <f t="shared" si="5"/>
        <v>0</v>
      </c>
      <c r="W284" s="560">
        <f t="shared" si="5"/>
        <v>0</v>
      </c>
      <c r="X284" s="560">
        <f t="shared" si="5"/>
        <v>0</v>
      </c>
      <c r="Y284" s="560">
        <f t="shared" si="5"/>
        <v>0</v>
      </c>
      <c r="Z284" s="560">
        <f t="shared" si="5"/>
        <v>0</v>
      </c>
      <c r="AA284" s="560">
        <f t="shared" si="5"/>
        <v>0</v>
      </c>
      <c r="AB284" s="560">
        <f t="shared" si="5"/>
        <v>0</v>
      </c>
      <c r="AC284" s="560">
        <f t="shared" si="5"/>
        <v>0</v>
      </c>
      <c r="AD284" s="560">
        <f t="shared" si="5"/>
        <v>0</v>
      </c>
      <c r="AE284" s="560"/>
      <c r="AF284" s="560">
        <f t="shared" si="5"/>
        <v>0</v>
      </c>
      <c r="AG284" s="560">
        <f t="shared" si="5"/>
        <v>0</v>
      </c>
      <c r="AH284" s="561">
        <f t="shared" si="5"/>
        <v>0</v>
      </c>
      <c r="AI284" s="560">
        <f t="shared" si="5"/>
        <v>0</v>
      </c>
      <c r="AJ284" s="560">
        <f t="shared" si="5"/>
        <v>0</v>
      </c>
      <c r="AK284" s="560">
        <f t="shared" si="5"/>
        <v>0</v>
      </c>
      <c r="AL284" s="560">
        <f t="shared" si="5"/>
        <v>0</v>
      </c>
      <c r="AM284" s="560">
        <f t="shared" si="5"/>
        <v>0</v>
      </c>
      <c r="AN284" s="560">
        <f t="shared" si="5"/>
        <v>0</v>
      </c>
      <c r="AO284" s="560">
        <f t="shared" si="5"/>
        <v>0</v>
      </c>
      <c r="AP284" s="560">
        <f t="shared" si="5"/>
        <v>0</v>
      </c>
      <c r="AQ284" s="560">
        <f t="shared" si="5"/>
        <v>0</v>
      </c>
      <c r="AR284" s="560">
        <f t="shared" si="5"/>
        <v>0</v>
      </c>
      <c r="AS284" s="560">
        <f t="shared" si="5"/>
        <v>0</v>
      </c>
      <c r="AT284" s="560">
        <f t="shared" si="5"/>
        <v>0</v>
      </c>
      <c r="AU284" s="561">
        <f t="shared" si="5"/>
        <v>0</v>
      </c>
      <c r="AV284" s="562">
        <f t="shared" si="5"/>
        <v>0</v>
      </c>
    </row>
    <row r="1223" spans="1:23" ht="15.75" thickBot="1" x14ac:dyDescent="0.3">
      <c r="A1223" s="315"/>
      <c r="B1223" s="563"/>
      <c r="C1223" s="368"/>
      <c r="D1223" s="368"/>
      <c r="E1223" s="564"/>
      <c r="F1223" s="320"/>
      <c r="G1223" s="321"/>
      <c r="H1223" s="321"/>
      <c r="I1223" s="347"/>
      <c r="J1223" s="565"/>
      <c r="K1223" s="565"/>
      <c r="L1223" s="566"/>
      <c r="M1223" s="347"/>
      <c r="N1223" s="326"/>
      <c r="O1223" s="326"/>
      <c r="P1223" s="327"/>
      <c r="Q1223" s="327"/>
      <c r="R1223" s="327"/>
      <c r="S1223" s="328"/>
      <c r="T1223" s="567"/>
      <c r="U1223" s="567"/>
      <c r="V1223" s="567"/>
      <c r="W1223" s="327"/>
    </row>
    <row r="1224" spans="1:23" x14ac:dyDescent="0.25">
      <c r="A1224" s="315"/>
      <c r="B1224" s="316" t="s">
        <v>708</v>
      </c>
      <c r="C1224" s="317">
        <f>COUNTIF(B$1:B1221,B1224)</f>
        <v>1</v>
      </c>
      <c r="D1224" s="318">
        <f>C1224/C1229</f>
        <v>0.2</v>
      </c>
      <c r="E1224" s="319"/>
      <c r="F1224" s="320"/>
      <c r="G1224" s="321"/>
      <c r="H1224" s="321"/>
      <c r="I1224" s="322"/>
      <c r="J1224" s="323">
        <f>SUMIF(B$3:B1221,B1224,T$3:T1228)</f>
        <v>48</v>
      </c>
      <c r="K1224" s="324"/>
      <c r="L1224" s="325">
        <f>J1224/J1229</f>
        <v>1</v>
      </c>
      <c r="M1224" s="326"/>
      <c r="N1224" s="326"/>
      <c r="O1224" s="326"/>
      <c r="P1224" s="327"/>
      <c r="Q1224" s="327"/>
      <c r="R1224" s="327"/>
      <c r="S1224" s="328" t="s">
        <v>674</v>
      </c>
      <c r="T1224" s="329">
        <v>1261915799.52244</v>
      </c>
      <c r="U1224" s="329" t="e">
        <f>SUM(#REF!)</f>
        <v>#REF!</v>
      </c>
      <c r="V1224" s="329" t="e">
        <f>SUM(#REF!)</f>
        <v>#REF!</v>
      </c>
      <c r="W1224" s="327" t="s">
        <v>709</v>
      </c>
    </row>
    <row r="1225" spans="1:23" x14ac:dyDescent="0.25">
      <c r="A1225" s="315"/>
      <c r="B1225" s="332" t="s">
        <v>710</v>
      </c>
      <c r="C1225" s="333">
        <f>COUNTIF(B$1:B1221,B1225)</f>
        <v>1</v>
      </c>
      <c r="D1225" s="334">
        <f>C1225/C1229</f>
        <v>0.2</v>
      </c>
      <c r="E1225" s="319"/>
      <c r="F1225" s="320"/>
      <c r="G1225" s="321"/>
      <c r="H1225" s="321"/>
      <c r="I1225" s="322"/>
      <c r="J1225" s="335">
        <f>SUMIF(B$3:B1224,B1225,T$3:T1229)</f>
        <v>0</v>
      </c>
      <c r="K1225" s="336"/>
      <c r="L1225" s="337">
        <f>J1225/J1229</f>
        <v>0</v>
      </c>
      <c r="M1225" s="326"/>
      <c r="N1225" s="326"/>
      <c r="O1225" s="326"/>
      <c r="P1225" s="331"/>
      <c r="Q1225" s="331"/>
      <c r="R1225" s="331"/>
      <c r="S1225" s="338"/>
      <c r="T1225" s="339"/>
      <c r="U1225" s="339"/>
      <c r="V1225" s="339"/>
      <c r="W1225" s="331"/>
    </row>
    <row r="1226" spans="1:23" x14ac:dyDescent="0.25">
      <c r="A1226" s="315"/>
      <c r="B1226" s="341" t="s">
        <v>711</v>
      </c>
      <c r="C1226" s="342">
        <f>COUNTIF(B$1:B1221,B1226)</f>
        <v>1</v>
      </c>
      <c r="D1226" s="343">
        <f>C1226/C1229</f>
        <v>0.2</v>
      </c>
      <c r="E1226" s="319"/>
      <c r="F1226" s="320"/>
      <c r="G1226" s="321"/>
      <c r="H1226" s="321"/>
      <c r="I1226" s="322"/>
      <c r="J1226" s="344">
        <f>SUMIF(B$3:B1225,B1226,T$3:T1229)</f>
        <v>0</v>
      </c>
      <c r="K1226" s="345"/>
      <c r="L1226" s="346">
        <f>J1226/J1229</f>
        <v>0</v>
      </c>
      <c r="M1226" s="347"/>
      <c r="N1226" s="326"/>
      <c r="O1226" s="326"/>
      <c r="P1226" s="331"/>
      <c r="Q1226" s="331"/>
      <c r="R1226" s="331"/>
      <c r="S1226" s="338"/>
      <c r="T1226" s="339"/>
      <c r="U1226" s="339"/>
      <c r="V1226" s="339"/>
      <c r="W1226" s="331"/>
    </row>
    <row r="1227" spans="1:23" ht="15.75" thickBot="1" x14ac:dyDescent="0.3">
      <c r="A1227" s="315"/>
      <c r="B1227" s="348" t="s">
        <v>712</v>
      </c>
      <c r="C1227" s="349">
        <f>COUNTIF(B$1:B1224,B1227)</f>
        <v>1</v>
      </c>
      <c r="D1227" s="350">
        <f>C1227/C1229</f>
        <v>0.2</v>
      </c>
      <c r="E1227" s="319"/>
      <c r="F1227" s="320"/>
      <c r="G1227" s="321"/>
      <c r="H1227" s="321"/>
      <c r="I1227" s="322"/>
      <c r="J1227" s="351">
        <f>SUMIF(B$3:B1226,B1227,T$3:T1229)</f>
        <v>0</v>
      </c>
      <c r="K1227" s="352"/>
      <c r="L1227" s="353">
        <f>J1227/J1229</f>
        <v>0</v>
      </c>
      <c r="M1227" s="347"/>
      <c r="N1227" s="326"/>
      <c r="O1227" s="326"/>
      <c r="P1227" s="331"/>
      <c r="Q1227" s="331"/>
      <c r="R1227" s="331"/>
      <c r="S1227" s="338"/>
      <c r="T1227" s="339"/>
      <c r="U1227" s="339"/>
      <c r="V1227" s="339"/>
      <c r="W1227" s="331"/>
    </row>
    <row r="1228" spans="1:23" ht="16.5" thickTop="1" thickBot="1" x14ac:dyDescent="0.3">
      <c r="A1228" s="354"/>
      <c r="B1228" s="355" t="s">
        <v>697</v>
      </c>
      <c r="C1228" s="356">
        <f>COUNTIF(B$1:B1221,B1228)</f>
        <v>1</v>
      </c>
      <c r="D1228" s="357">
        <f>C1228/C1229</f>
        <v>0.2</v>
      </c>
      <c r="E1228" s="358"/>
      <c r="F1228" s="359"/>
      <c r="G1228" s="360"/>
      <c r="H1228" s="360"/>
      <c r="I1228" s="361"/>
      <c r="J1228" s="362">
        <f>SUMIF(B$3:B1227,B1228,T$3:T1229)</f>
        <v>0</v>
      </c>
      <c r="K1228" s="363"/>
      <c r="L1228" s="364">
        <f>J1228/J1229</f>
        <v>0</v>
      </c>
      <c r="M1228" s="365"/>
      <c r="N1228" s="365"/>
      <c r="O1228" s="365"/>
      <c r="P1228" s="331"/>
      <c r="Q1228" s="331"/>
      <c r="R1228" s="331"/>
      <c r="S1228" s="338"/>
      <c r="T1228" s="339"/>
      <c r="U1228" s="339"/>
      <c r="V1228" s="339"/>
      <c r="W1228" s="331"/>
    </row>
    <row r="1229" spans="1:23" x14ac:dyDescent="0.25">
      <c r="A1229" s="315"/>
      <c r="B1229" s="366"/>
      <c r="C1229" s="367">
        <f>SUM(C1224:C1228)</f>
        <v>5</v>
      </c>
      <c r="D1229" s="368"/>
      <c r="E1229" s="319"/>
      <c r="F1229" s="320"/>
      <c r="G1229" s="321"/>
      <c r="H1229" s="321"/>
      <c r="I1229" s="322"/>
      <c r="J1229" s="369">
        <f>SUM(J1224:J1228)</f>
        <v>48</v>
      </c>
      <c r="K1229" s="370"/>
      <c r="L1229" s="371"/>
      <c r="M1229" s="347"/>
      <c r="N1229" s="326"/>
      <c r="O1229" s="326"/>
      <c r="P1229" s="331"/>
      <c r="Q1229" s="331"/>
      <c r="R1229" s="331"/>
      <c r="S1229" s="338"/>
      <c r="T1229" s="339"/>
      <c r="U1229" s="339"/>
      <c r="V1229" s="339"/>
      <c r="W1229" s="331"/>
    </row>
  </sheetData>
  <mergeCells count="5">
    <mergeCell ref="A57:A62"/>
    <mergeCell ref="A70:A75"/>
    <mergeCell ref="A157:A162"/>
    <mergeCell ref="A174:A179"/>
    <mergeCell ref="A195:A200"/>
  </mergeCells>
  <conditionalFormatting sqref="B7">
    <cfRule type="cellIs" dxfId="3" priority="4" operator="lessThanOrEqual">
      <formula>0</formula>
    </cfRule>
  </conditionalFormatting>
  <conditionalFormatting sqref="C71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43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C71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L60"/>
  <sheetViews>
    <sheetView zoomScale="70" zoomScaleNormal="70" workbookViewId="0">
      <selection activeCell="G15" sqref="G15"/>
    </sheetView>
  </sheetViews>
  <sheetFormatPr defaultRowHeight="15" x14ac:dyDescent="0.25"/>
  <cols>
    <col min="1" max="3" width="9.140625" style="228"/>
    <col min="4" max="4" width="10.7109375" style="228" customWidth="1"/>
    <col min="5" max="7" width="10.5703125" style="228" customWidth="1"/>
    <col min="8" max="10" width="9.140625" style="228"/>
    <col min="11" max="11" width="17.7109375" style="499" customWidth="1"/>
    <col min="12" max="12" width="22.7109375" style="228" customWidth="1"/>
    <col min="13" max="13" width="17.7109375" style="228" customWidth="1"/>
    <col min="14" max="14" width="10.7109375" style="228" customWidth="1"/>
    <col min="15" max="16" width="18.7109375" style="228" customWidth="1"/>
    <col min="17" max="17" width="15.5703125" style="228" customWidth="1"/>
    <col min="18" max="18" width="10.85546875" style="228" customWidth="1"/>
    <col min="19" max="19" width="30.85546875" style="228" customWidth="1"/>
    <col min="20" max="20" width="20.7109375" style="228" customWidth="1"/>
    <col min="21" max="22" width="10.7109375" style="228" customWidth="1"/>
    <col min="23" max="23" width="15.85546875" style="228" customWidth="1"/>
    <col min="24" max="24" width="8.5703125" style="228" customWidth="1"/>
    <col min="25" max="25" width="15.5703125" style="228" customWidth="1"/>
    <col min="26" max="16384" width="9.140625" style="228"/>
  </cols>
  <sheetData>
    <row r="1" spans="1:34" s="376" customFormat="1" ht="7.5" customHeight="1" x14ac:dyDescent="0.25">
      <c r="D1" s="377"/>
      <c r="E1" s="377"/>
      <c r="F1" s="377"/>
      <c r="G1" s="377"/>
    </row>
    <row r="2" spans="1:34" s="251" customFormat="1" ht="19.5" x14ac:dyDescent="0.3">
      <c r="C2" s="252" t="s">
        <v>1018</v>
      </c>
      <c r="K2" s="568"/>
    </row>
    <row r="4" spans="1:34" ht="15.75" thickBot="1" x14ac:dyDescent="0.3">
      <c r="A4" s="432" t="s">
        <v>1019</v>
      </c>
    </row>
    <row r="5" spans="1:34" s="441" customFormat="1" ht="15.75" thickBot="1" x14ac:dyDescent="0.3">
      <c r="A5" s="228"/>
      <c r="B5" s="569" t="s">
        <v>1020</v>
      </c>
      <c r="C5" s="570">
        <f>MATCH("NewOpp",E5:N5,0)+4</f>
        <v>12</v>
      </c>
      <c r="D5" s="570">
        <f>MATCH("STOP",E5:N5,0)+4</f>
        <v>14</v>
      </c>
      <c r="K5" s="571"/>
      <c r="L5" s="572" t="s">
        <v>60</v>
      </c>
      <c r="M5" s="573" t="s">
        <v>1021</v>
      </c>
      <c r="N5" s="574" t="s">
        <v>1022</v>
      </c>
      <c r="P5" s="442"/>
      <c r="Q5" s="443"/>
      <c r="R5" s="444"/>
      <c r="S5" s="445"/>
      <c r="T5" s="228"/>
      <c r="U5" s="228"/>
      <c r="V5" s="228"/>
      <c r="W5" s="228"/>
      <c r="X5" s="228"/>
      <c r="Y5" s="228"/>
      <c r="Z5" s="228"/>
      <c r="AA5" s="228"/>
      <c r="AB5" s="228"/>
      <c r="AC5" s="228"/>
    </row>
    <row r="6" spans="1:34" s="571" customFormat="1" x14ac:dyDescent="0.25">
      <c r="A6" s="575"/>
      <c r="B6" s="576"/>
      <c r="C6" s="577"/>
      <c r="D6" s="578"/>
      <c r="L6" s="579"/>
      <c r="M6" s="579"/>
      <c r="N6" s="580"/>
      <c r="Q6" s="484"/>
      <c r="R6" s="443"/>
      <c r="S6" s="444"/>
      <c r="T6" s="445"/>
      <c r="U6" s="499"/>
      <c r="V6" s="499"/>
      <c r="W6" s="499"/>
      <c r="X6" s="499"/>
      <c r="Y6" s="499"/>
      <c r="Z6" s="499"/>
      <c r="AA6" s="499"/>
      <c r="AB6" s="499"/>
      <c r="AC6" s="499"/>
      <c r="AD6" s="499"/>
    </row>
    <row r="7" spans="1:34" x14ac:dyDescent="0.25">
      <c r="A7" s="581">
        <v>0</v>
      </c>
      <c r="B7" s="582" t="s">
        <v>23</v>
      </c>
      <c r="C7" s="583" t="s">
        <v>23</v>
      </c>
      <c r="D7" s="584" t="s">
        <v>23</v>
      </c>
      <c r="E7" s="585">
        <v>0</v>
      </c>
      <c r="F7" s="585">
        <v>0</v>
      </c>
      <c r="G7" s="585">
        <v>0</v>
      </c>
      <c r="H7" s="585">
        <v>0</v>
      </c>
      <c r="I7" s="585">
        <v>0</v>
      </c>
      <c r="J7" s="585">
        <v>0</v>
      </c>
      <c r="K7" s="585">
        <v>17</v>
      </c>
      <c r="L7" s="710" t="s">
        <v>14</v>
      </c>
      <c r="M7" s="710" t="s">
        <v>29</v>
      </c>
      <c r="N7" s="710" t="s">
        <v>31</v>
      </c>
      <c r="O7" s="586" t="s">
        <v>850</v>
      </c>
      <c r="P7" s="710" t="s">
        <v>31</v>
      </c>
      <c r="Q7" s="710" t="s">
        <v>31</v>
      </c>
      <c r="R7" s="586" t="s">
        <v>31</v>
      </c>
      <c r="S7" s="586" t="s">
        <v>14</v>
      </c>
      <c r="T7" s="586" t="s">
        <v>31</v>
      </c>
      <c r="U7" s="586" t="s">
        <v>31</v>
      </c>
      <c r="V7" s="586" t="s">
        <v>31</v>
      </c>
      <c r="W7" s="710" t="s">
        <v>31</v>
      </c>
      <c r="X7" s="586" t="s">
        <v>19</v>
      </c>
      <c r="Y7" s="586" t="s">
        <v>139</v>
      </c>
      <c r="Z7" s="585">
        <v>0</v>
      </c>
      <c r="AA7" s="450"/>
      <c r="AB7" s="449"/>
    </row>
    <row r="8" spans="1:34" x14ac:dyDescent="0.25">
      <c r="A8" s="575"/>
      <c r="B8" s="582" t="s">
        <v>814</v>
      </c>
      <c r="C8" s="583"/>
      <c r="D8" s="584"/>
      <c r="E8" s="489"/>
      <c r="F8" s="489"/>
      <c r="G8" s="489"/>
      <c r="H8" s="489"/>
      <c r="I8" s="489"/>
      <c r="J8" s="489"/>
      <c r="K8" s="489"/>
      <c r="L8" s="484"/>
      <c r="M8" s="484"/>
      <c r="N8" s="484"/>
      <c r="O8" s="499"/>
      <c r="P8" s="499"/>
      <c r="Q8" s="484"/>
      <c r="R8" s="484"/>
      <c r="S8" s="484"/>
      <c r="T8" s="484"/>
      <c r="U8" s="484"/>
      <c r="V8" s="484"/>
      <c r="W8" s="499"/>
      <c r="X8" s="499"/>
      <c r="Y8" s="499"/>
      <c r="Z8" s="450"/>
      <c r="AA8" s="449"/>
    </row>
    <row r="9" spans="1:34" x14ac:dyDescent="0.25">
      <c r="A9" s="575"/>
      <c r="B9" s="582" t="s">
        <v>818</v>
      </c>
      <c r="C9" s="583"/>
      <c r="D9" s="584"/>
      <c r="E9" s="489"/>
      <c r="F9" s="489"/>
      <c r="G9" s="489"/>
      <c r="H9" s="489"/>
      <c r="I9" s="489"/>
      <c r="J9" s="489"/>
      <c r="K9" s="489"/>
      <c r="L9" s="484"/>
      <c r="M9" s="484"/>
      <c r="N9" s="484"/>
      <c r="O9" s="499"/>
      <c r="P9" s="499"/>
      <c r="Q9" s="484"/>
      <c r="R9" s="484"/>
      <c r="S9" s="484"/>
      <c r="T9" s="484"/>
      <c r="U9" s="484"/>
      <c r="V9" s="484"/>
      <c r="W9" s="499"/>
      <c r="X9" s="499"/>
      <c r="Y9" s="499"/>
      <c r="Z9" s="450"/>
      <c r="AA9" s="449"/>
    </row>
    <row r="10" spans="1:34" ht="15.75" thickBot="1" x14ac:dyDescent="0.3">
      <c r="A10" s="575"/>
      <c r="B10" s="587" t="s">
        <v>821</v>
      </c>
      <c r="C10" s="583"/>
      <c r="D10" s="584"/>
      <c r="E10" s="489"/>
      <c r="F10" s="489"/>
      <c r="G10" s="489"/>
      <c r="H10" s="489"/>
      <c r="I10" s="489"/>
      <c r="J10" s="489"/>
      <c r="K10" s="489"/>
      <c r="L10" s="484"/>
      <c r="M10" s="484"/>
      <c r="N10" s="484"/>
      <c r="O10" s="499"/>
      <c r="P10" s="499"/>
      <c r="Q10" s="484"/>
      <c r="R10" s="484"/>
      <c r="S10" s="484"/>
      <c r="T10" s="484"/>
      <c r="U10" s="484"/>
      <c r="V10" s="484"/>
      <c r="W10" s="499"/>
      <c r="X10" s="499"/>
      <c r="Y10" s="499"/>
      <c r="Z10" s="450"/>
      <c r="AA10" s="449"/>
    </row>
    <row r="11" spans="1:34" s="601" customFormat="1" ht="39" thickBot="1" x14ac:dyDescent="0.3">
      <c r="A11" s="1067" t="s">
        <v>1</v>
      </c>
      <c r="B11" s="588" t="s">
        <v>1023</v>
      </c>
      <c r="C11" s="589" t="s">
        <v>1024</v>
      </c>
      <c r="D11" s="590"/>
      <c r="E11" s="712" t="s">
        <v>628</v>
      </c>
      <c r="F11" s="755" t="s">
        <v>15</v>
      </c>
      <c r="G11" s="592" t="s">
        <v>645</v>
      </c>
      <c r="H11" s="759" t="s">
        <v>1025</v>
      </c>
      <c r="I11" s="760" t="s">
        <v>1133</v>
      </c>
      <c r="J11" s="592" t="s">
        <v>1137</v>
      </c>
      <c r="K11" s="593" t="s">
        <v>294</v>
      </c>
      <c r="L11" s="594" t="s">
        <v>1027</v>
      </c>
      <c r="M11" s="595" t="s">
        <v>4</v>
      </c>
      <c r="N11" s="595" t="s">
        <v>6</v>
      </c>
      <c r="O11" s="596" t="s">
        <v>630</v>
      </c>
      <c r="P11" s="595" t="s">
        <v>1028</v>
      </c>
      <c r="Q11" s="597" t="s">
        <v>639</v>
      </c>
      <c r="R11" s="1084" t="s">
        <v>640</v>
      </c>
      <c r="S11" s="1085"/>
      <c r="T11" s="598" t="s">
        <v>46</v>
      </c>
      <c r="U11" s="596" t="s">
        <v>645</v>
      </c>
      <c r="V11" s="598" t="s">
        <v>646</v>
      </c>
      <c r="W11" s="756" t="s">
        <v>647</v>
      </c>
      <c r="X11" s="757" t="s">
        <v>648</v>
      </c>
      <c r="Y11" s="598" t="s">
        <v>649</v>
      </c>
    </row>
    <row r="12" spans="1:34" s="601" customFormat="1" ht="15.75" thickBot="1" x14ac:dyDescent="0.3">
      <c r="A12" s="1068"/>
      <c r="B12" s="602" t="s">
        <v>804</v>
      </c>
      <c r="C12" s="583" t="s">
        <v>1024</v>
      </c>
      <c r="D12" s="603"/>
      <c r="E12" s="475"/>
      <c r="F12" s="604"/>
      <c r="G12" s="228"/>
      <c r="H12" s="228"/>
      <c r="I12" s="228"/>
      <c r="J12" s="605"/>
      <c r="K12" s="606"/>
      <c r="L12" s="607">
        <f>HYPERLINK("https://eu1.salesforce.com/"&amp;E12,F12)</f>
        <v>0</v>
      </c>
      <c r="M12" s="476"/>
      <c r="N12" s="476"/>
      <c r="O12" s="608"/>
      <c r="P12" s="609">
        <v>1234567.8899999999</v>
      </c>
      <c r="Q12" s="609">
        <v>1234567.8899999999</v>
      </c>
      <c r="R12" s="1086"/>
      <c r="S12" s="1087"/>
      <c r="T12" s="610"/>
      <c r="U12" s="607">
        <f>HYPERLINK("https://eu1.salesforce.com/"&amp;H12,G12)</f>
        <v>0</v>
      </c>
      <c r="V12" s="611"/>
      <c r="W12" s="609"/>
      <c r="X12" s="611"/>
      <c r="Y12" s="611"/>
    </row>
    <row r="13" spans="1:34" x14ac:dyDescent="0.25">
      <c r="A13" s="1068"/>
      <c r="B13" s="582" t="s">
        <v>810</v>
      </c>
      <c r="C13" s="583"/>
      <c r="D13" s="584"/>
      <c r="E13" s="489">
        <v>0.5</v>
      </c>
      <c r="F13" s="489"/>
      <c r="G13" s="687" t="s">
        <v>1100</v>
      </c>
      <c r="J13" s="489">
        <v>0.5</v>
      </c>
      <c r="K13" s="489">
        <v>17</v>
      </c>
      <c r="L13" s="484" t="s">
        <v>816</v>
      </c>
      <c r="M13" s="484" t="s">
        <v>33</v>
      </c>
      <c r="N13" s="484" t="s">
        <v>31</v>
      </c>
      <c r="O13" s="484" t="s">
        <v>815</v>
      </c>
      <c r="P13" s="484" t="s">
        <v>1029</v>
      </c>
      <c r="Q13" s="484" t="s">
        <v>1029</v>
      </c>
      <c r="R13" s="484" t="s">
        <v>1030</v>
      </c>
      <c r="S13" s="484"/>
      <c r="T13" s="687" t="s">
        <v>1100</v>
      </c>
      <c r="U13" s="484" t="s">
        <v>91</v>
      </c>
      <c r="V13" s="484" t="s">
        <v>91</v>
      </c>
      <c r="W13" s="484" t="s">
        <v>1029</v>
      </c>
      <c r="X13" s="484" t="s">
        <v>19</v>
      </c>
      <c r="Y13" s="484" t="s">
        <v>139</v>
      </c>
      <c r="AA13" s="450"/>
      <c r="AB13" s="449"/>
    </row>
    <row r="14" spans="1:34" x14ac:dyDescent="0.25">
      <c r="A14" s="1068"/>
      <c r="B14" s="582" t="s">
        <v>814</v>
      </c>
      <c r="C14" s="583"/>
      <c r="D14" s="584"/>
      <c r="E14" s="489">
        <v>1</v>
      </c>
      <c r="F14" s="489">
        <v>30</v>
      </c>
      <c r="G14" s="489">
        <v>25</v>
      </c>
      <c r="H14" s="758" t="s">
        <v>973</v>
      </c>
      <c r="I14" s="758" t="s">
        <v>973</v>
      </c>
      <c r="J14" s="489" t="s">
        <v>973</v>
      </c>
      <c r="K14" s="489">
        <v>19</v>
      </c>
      <c r="L14" s="484"/>
      <c r="M14" s="484" t="s">
        <v>51</v>
      </c>
      <c r="N14" s="484" t="s">
        <v>3</v>
      </c>
      <c r="O14" s="484" t="s">
        <v>91</v>
      </c>
      <c r="P14" s="484" t="s">
        <v>31</v>
      </c>
      <c r="Q14" s="484" t="s">
        <v>815</v>
      </c>
      <c r="R14" s="484" t="s">
        <v>140</v>
      </c>
      <c r="S14" s="484"/>
      <c r="T14" s="484" t="s">
        <v>816</v>
      </c>
      <c r="U14" s="484"/>
      <c r="V14" s="484" t="s">
        <v>1031</v>
      </c>
      <c r="W14" s="484" t="s">
        <v>892</v>
      </c>
      <c r="X14" s="484" t="s">
        <v>893</v>
      </c>
      <c r="Y14" s="484" t="s">
        <v>1032</v>
      </c>
      <c r="AD14" s="454"/>
      <c r="AE14" s="454"/>
      <c r="AF14" s="454"/>
      <c r="AG14" s="454"/>
      <c r="AH14" s="454"/>
    </row>
    <row r="15" spans="1:34" x14ac:dyDescent="0.25">
      <c r="A15" s="1068"/>
      <c r="B15" s="582" t="s">
        <v>818</v>
      </c>
      <c r="C15" s="583"/>
      <c r="D15" s="584"/>
      <c r="E15" s="489"/>
      <c r="F15" s="489"/>
      <c r="G15" s="489" t="s">
        <v>820</v>
      </c>
      <c r="J15" s="489"/>
      <c r="K15" s="612" t="s">
        <v>662</v>
      </c>
      <c r="L15" s="499"/>
      <c r="M15" s="499"/>
      <c r="N15" s="499"/>
      <c r="O15" s="499"/>
      <c r="P15" s="499"/>
      <c r="Q15" s="499"/>
      <c r="R15" s="499"/>
      <c r="S15" s="499"/>
      <c r="T15" s="499"/>
      <c r="U15" s="499"/>
      <c r="V15" s="499"/>
      <c r="W15" s="499"/>
      <c r="X15" s="499"/>
      <c r="Y15" s="499"/>
      <c r="AD15" s="454"/>
      <c r="AE15" s="454"/>
      <c r="AF15" s="454"/>
      <c r="AG15" s="454"/>
      <c r="AH15" s="454"/>
    </row>
    <row r="16" spans="1:34" ht="15.75" thickBot="1" x14ac:dyDescent="0.3">
      <c r="A16" s="1069"/>
      <c r="B16" s="587" t="s">
        <v>821</v>
      </c>
      <c r="C16" s="613"/>
      <c r="D16" s="614"/>
      <c r="E16" s="615"/>
      <c r="F16" s="615"/>
      <c r="H16" s="615" t="s">
        <v>1034</v>
      </c>
      <c r="I16" s="615" t="s">
        <v>1136</v>
      </c>
      <c r="J16" s="615" t="s">
        <v>1035</v>
      </c>
      <c r="K16" s="615"/>
      <c r="L16" s="499"/>
      <c r="M16" s="499"/>
      <c r="N16" s="499"/>
      <c r="O16" s="499"/>
      <c r="P16" s="499"/>
      <c r="Q16" s="499"/>
      <c r="R16" s="499"/>
      <c r="S16" s="499"/>
      <c r="T16" s="499"/>
      <c r="U16" s="499"/>
      <c r="V16" s="499"/>
      <c r="W16" s="499"/>
      <c r="AB16" s="454"/>
      <c r="AC16" s="454"/>
      <c r="AD16" s="454"/>
      <c r="AE16" s="454"/>
      <c r="AF16" s="454"/>
    </row>
    <row r="17" spans="1:38" s="601" customFormat="1" ht="16.5" thickBot="1" x14ac:dyDescent="0.3">
      <c r="A17" s="1067" t="s">
        <v>25</v>
      </c>
      <c r="B17" s="422" t="s">
        <v>781</v>
      </c>
      <c r="C17" s="589" t="s">
        <v>1024</v>
      </c>
      <c r="D17" s="590"/>
      <c r="E17" s="616" t="s">
        <v>629</v>
      </c>
      <c r="F17" s="616"/>
      <c r="G17" s="616"/>
      <c r="H17" s="617" t="s">
        <v>1036</v>
      </c>
      <c r="I17" s="617"/>
      <c r="J17" s="618" t="s">
        <v>49</v>
      </c>
      <c r="K17" s="619"/>
      <c r="L17" s="620" t="s">
        <v>1037</v>
      </c>
      <c r="M17" s="623" t="s">
        <v>1038</v>
      </c>
      <c r="N17" s="622" t="s">
        <v>1039</v>
      </c>
      <c r="O17" s="622" t="s">
        <v>1040</v>
      </c>
      <c r="P17" s="623" t="s">
        <v>1041</v>
      </c>
      <c r="Q17" s="623" t="s">
        <v>1042</v>
      </c>
      <c r="R17" s="1074" t="s">
        <v>1043</v>
      </c>
      <c r="S17" s="1075"/>
      <c r="T17" s="1088" t="s">
        <v>1044</v>
      </c>
      <c r="U17" s="1089"/>
      <c r="V17" s="1089"/>
      <c r="W17" s="768" t="s">
        <v>1045</v>
      </c>
      <c r="X17" s="624"/>
    </row>
    <row r="18" spans="1:38" s="601" customFormat="1" ht="15.75" thickBot="1" x14ac:dyDescent="0.3">
      <c r="A18" s="1068"/>
      <c r="B18" s="602" t="s">
        <v>804</v>
      </c>
      <c r="C18" s="583" t="s">
        <v>1046</v>
      </c>
      <c r="D18" s="625">
        <f>E12</f>
        <v>0</v>
      </c>
      <c r="H18" s="626"/>
      <c r="I18" s="626"/>
      <c r="J18" s="627"/>
      <c r="K18" s="628"/>
      <c r="L18" s="738"/>
      <c r="M18" s="630"/>
      <c r="N18" s="631"/>
      <c r="O18" s="631"/>
      <c r="P18" s="739"/>
      <c r="Q18" s="630"/>
      <c r="R18" s="1076"/>
      <c r="S18" s="1077"/>
      <c r="T18" s="1090"/>
      <c r="U18" s="1091"/>
      <c r="V18" s="1092"/>
      <c r="W18" s="767"/>
      <c r="X18" s="624"/>
    </row>
    <row r="19" spans="1:38" x14ac:dyDescent="0.25">
      <c r="A19" s="1068"/>
      <c r="B19" s="582" t="s">
        <v>810</v>
      </c>
      <c r="C19" s="583"/>
      <c r="D19" s="584"/>
      <c r="E19" s="264">
        <v>0.5</v>
      </c>
      <c r="F19" s="264"/>
      <c r="G19" s="264"/>
      <c r="H19" s="264">
        <v>0.5</v>
      </c>
      <c r="I19" s="264"/>
      <c r="J19" s="264">
        <v>0.5</v>
      </c>
      <c r="K19" s="489"/>
      <c r="L19" s="634">
        <v>14</v>
      </c>
      <c r="M19" s="634">
        <v>10</v>
      </c>
      <c r="N19" s="634">
        <v>10</v>
      </c>
      <c r="O19" s="634">
        <v>10</v>
      </c>
      <c r="P19" s="634">
        <v>30</v>
      </c>
      <c r="Q19" s="634">
        <v>10</v>
      </c>
      <c r="R19" s="634">
        <v>40</v>
      </c>
      <c r="S19" s="634"/>
      <c r="T19" s="634">
        <v>26</v>
      </c>
      <c r="W19" s="484" t="s">
        <v>1029</v>
      </c>
      <c r="X19" s="605"/>
    </row>
    <row r="20" spans="1:38" x14ac:dyDescent="0.25">
      <c r="A20" s="1068"/>
      <c r="B20" s="582" t="s">
        <v>814</v>
      </c>
      <c r="C20" s="583"/>
      <c r="D20" s="584"/>
      <c r="E20" s="698" t="s">
        <v>1102</v>
      </c>
      <c r="J20" s="499"/>
      <c r="K20" s="228"/>
      <c r="L20" s="698" t="s">
        <v>1102</v>
      </c>
      <c r="M20" s="605" t="s">
        <v>1102</v>
      </c>
      <c r="N20" s="634" t="s">
        <v>1102</v>
      </c>
      <c r="O20" s="634" t="s">
        <v>1102</v>
      </c>
      <c r="P20" s="634" t="s">
        <v>1102</v>
      </c>
      <c r="Q20" s="634" t="s">
        <v>1102</v>
      </c>
      <c r="R20" s="634" t="s">
        <v>1102</v>
      </c>
      <c r="S20" s="634"/>
      <c r="T20" s="634" t="s">
        <v>1102</v>
      </c>
      <c r="W20" s="634" t="s">
        <v>1102</v>
      </c>
      <c r="X20" s="605"/>
    </row>
    <row r="21" spans="1:38" x14ac:dyDescent="0.25">
      <c r="A21" s="1068"/>
      <c r="B21" s="582" t="s">
        <v>818</v>
      </c>
      <c r="C21" s="583"/>
      <c r="D21" s="584"/>
      <c r="E21" s="605"/>
      <c r="K21" s="228"/>
      <c r="L21" s="605"/>
      <c r="M21" s="605"/>
      <c r="N21" s="605"/>
      <c r="O21" s="605"/>
      <c r="P21" s="605"/>
      <c r="Q21" s="605"/>
      <c r="R21" s="605"/>
      <c r="S21" s="605"/>
      <c r="T21" s="605"/>
      <c r="W21" s="605"/>
      <c r="X21" s="605"/>
    </row>
    <row r="22" spans="1:38" s="441" customFormat="1" ht="15.75" thickBot="1" x14ac:dyDescent="0.3">
      <c r="A22" s="1069"/>
      <c r="B22" s="587" t="s">
        <v>821</v>
      </c>
      <c r="C22" s="635"/>
      <c r="D22" s="636"/>
      <c r="E22" s="637" t="s">
        <v>1047</v>
      </c>
      <c r="F22" s="637"/>
      <c r="G22" s="228"/>
      <c r="H22" s="228"/>
      <c r="I22" s="228"/>
      <c r="J22" s="499"/>
      <c r="K22" s="615"/>
      <c r="L22" s="637" t="s">
        <v>1048</v>
      </c>
      <c r="M22" s="637" t="s">
        <v>1049</v>
      </c>
      <c r="N22" s="637" t="s">
        <v>860</v>
      </c>
      <c r="O22" s="637" t="s">
        <v>1051</v>
      </c>
      <c r="P22" s="637" t="s">
        <v>1052</v>
      </c>
      <c r="Q22" s="637" t="s">
        <v>1053</v>
      </c>
      <c r="R22" s="637" t="s">
        <v>1054</v>
      </c>
      <c r="S22" s="634"/>
      <c r="T22" s="637" t="s">
        <v>1055</v>
      </c>
      <c r="U22" s="637"/>
      <c r="W22" s="637" t="s">
        <v>1056</v>
      </c>
      <c r="Y22" s="228"/>
      <c r="Z22" s="228"/>
      <c r="AA22" s="228"/>
      <c r="AB22" s="228"/>
      <c r="AC22" s="228"/>
      <c r="AD22" s="228"/>
      <c r="AE22" s="228"/>
      <c r="AF22" s="228"/>
      <c r="AG22" s="228"/>
      <c r="AH22" s="228"/>
      <c r="AI22" s="228"/>
      <c r="AJ22" s="228"/>
    </row>
    <row r="23" spans="1:38" s="601" customFormat="1" ht="30.75" thickBot="1" x14ac:dyDescent="0.3">
      <c r="A23" s="1067" t="s">
        <v>21</v>
      </c>
      <c r="B23" s="639" t="s">
        <v>1057</v>
      </c>
      <c r="C23" s="589" t="s">
        <v>1024</v>
      </c>
      <c r="D23" s="590"/>
      <c r="E23" s="592"/>
      <c r="F23" s="616"/>
      <c r="G23" s="616"/>
      <c r="H23" s="762"/>
      <c r="I23" s="762"/>
      <c r="J23" s="618"/>
      <c r="K23" s="763"/>
      <c r="L23" s="765" t="s">
        <v>645</v>
      </c>
      <c r="M23" s="761" t="s">
        <v>1138</v>
      </c>
      <c r="N23" s="761" t="s">
        <v>1059</v>
      </c>
      <c r="O23" s="761" t="s">
        <v>1133</v>
      </c>
      <c r="P23" s="761" t="s">
        <v>1143</v>
      </c>
      <c r="Q23" s="761" t="s">
        <v>685</v>
      </c>
      <c r="R23" s="764" t="s">
        <v>1062</v>
      </c>
      <c r="S23" s="774"/>
      <c r="T23" s="1093" t="s">
        <v>1145</v>
      </c>
      <c r="U23" s="1094"/>
      <c r="V23" s="1095"/>
      <c r="W23" s="605"/>
      <c r="X23" s="605"/>
      <c r="Y23" s="228"/>
      <c r="AB23" s="766"/>
      <c r="AC23" s="766"/>
    </row>
    <row r="24" spans="1:38" ht="15.75" thickBot="1" x14ac:dyDescent="0.3">
      <c r="A24" s="1068"/>
      <c r="B24" s="602" t="s">
        <v>804</v>
      </c>
      <c r="C24" s="644" t="str">
        <f>IF(LEN(J6)=0,"",J6)</f>
        <v/>
      </c>
      <c r="D24" s="645">
        <v>1</v>
      </c>
      <c r="E24" s="752"/>
      <c r="F24" s="646"/>
      <c r="G24" s="264"/>
      <c r="H24" s="647"/>
      <c r="I24" s="647"/>
      <c r="J24" s="648"/>
      <c r="K24" s="763"/>
      <c r="L24" s="769">
        <f>HYPERLINK("https://eu1.salesforce.com/"&amp;H12,G12)</f>
        <v>0</v>
      </c>
      <c r="M24" s="601"/>
      <c r="N24" s="772"/>
      <c r="O24" s="770"/>
      <c r="P24" s="773"/>
      <c r="Q24" s="775"/>
      <c r="R24" s="441"/>
      <c r="T24" s="1096"/>
      <c r="U24" s="1097"/>
      <c r="V24" s="1097"/>
      <c r="W24" s="605"/>
      <c r="X24" s="605"/>
      <c r="AB24" s="442"/>
      <c r="AC24" s="442"/>
    </row>
    <row r="25" spans="1:38" x14ac:dyDescent="0.25">
      <c r="A25" s="1068"/>
      <c r="B25" s="582" t="s">
        <v>810</v>
      </c>
      <c r="C25" s="583"/>
      <c r="D25" s="584"/>
      <c r="E25" s="264"/>
      <c r="F25" s="264"/>
      <c r="G25" s="264"/>
      <c r="H25" s="264"/>
      <c r="I25" s="264"/>
      <c r="J25" s="264">
        <v>0.5</v>
      </c>
      <c r="K25" s="228"/>
      <c r="L25" s="484" t="s">
        <v>1139</v>
      </c>
      <c r="M25" s="763"/>
      <c r="N25" s="634" t="s">
        <v>31</v>
      </c>
      <c r="O25" s="634"/>
      <c r="P25" s="484" t="s">
        <v>1067</v>
      </c>
      <c r="Q25" s="687" t="s">
        <v>1148</v>
      </c>
      <c r="R25" s="484" t="s">
        <v>1068</v>
      </c>
      <c r="S25" s="484"/>
      <c r="T25" s="687" t="s">
        <v>1139</v>
      </c>
      <c r="W25" s="605"/>
      <c r="X25" s="605"/>
      <c r="AC25" s="449"/>
      <c r="AE25" s="450"/>
      <c r="AF25" s="449"/>
    </row>
    <row r="26" spans="1:38" x14ac:dyDescent="0.25">
      <c r="A26" s="1068"/>
      <c r="B26" s="582" t="s">
        <v>814</v>
      </c>
      <c r="C26" s="583" t="s">
        <v>80</v>
      </c>
      <c r="D26" s="653" t="s">
        <v>91</v>
      </c>
      <c r="E26" s="605"/>
      <c r="F26" s="605"/>
      <c r="G26" s="605"/>
      <c r="H26" s="742"/>
      <c r="I26" s="742"/>
      <c r="J26" s="634"/>
      <c r="K26" s="763"/>
      <c r="L26" s="763"/>
      <c r="M26" s="770" t="s">
        <v>1144</v>
      </c>
      <c r="N26" s="770" t="s">
        <v>1144</v>
      </c>
      <c r="O26" s="770" t="s">
        <v>1144</v>
      </c>
      <c r="P26" s="770" t="s">
        <v>1144</v>
      </c>
      <c r="Q26" s="605"/>
      <c r="R26" s="605"/>
      <c r="S26" s="605"/>
      <c r="T26" s="742" t="s">
        <v>1144</v>
      </c>
      <c r="W26" s="605"/>
      <c r="X26" s="605"/>
      <c r="AH26" s="454"/>
      <c r="AI26" s="454"/>
      <c r="AJ26" s="454"/>
      <c r="AK26" s="454"/>
      <c r="AL26" s="454"/>
    </row>
    <row r="27" spans="1:38" x14ac:dyDescent="0.25">
      <c r="A27" s="1068"/>
      <c r="B27" s="582" t="s">
        <v>818</v>
      </c>
      <c r="C27" s="583"/>
      <c r="D27" s="584"/>
      <c r="E27" s="249"/>
      <c r="H27" s="754"/>
      <c r="I27" s="754"/>
      <c r="K27" s="763"/>
      <c r="L27" s="763"/>
      <c r="M27" s="763"/>
      <c r="N27" s="763"/>
      <c r="O27" s="763"/>
      <c r="P27" s="763"/>
      <c r="S27" s="445"/>
      <c r="W27" s="605"/>
      <c r="X27" s="605"/>
      <c r="AH27" s="454"/>
      <c r="AI27" s="454"/>
      <c r="AJ27" s="454"/>
      <c r="AK27" s="454"/>
      <c r="AL27" s="454"/>
    </row>
    <row r="28" spans="1:38" ht="15.75" thickBot="1" x14ac:dyDescent="0.3">
      <c r="A28" s="1069"/>
      <c r="B28" s="587" t="s">
        <v>821</v>
      </c>
      <c r="C28" s="613"/>
      <c r="D28" s="636"/>
      <c r="E28" s="249"/>
      <c r="H28" s="615"/>
      <c r="I28" s="615"/>
      <c r="K28" s="228"/>
      <c r="L28" s="499"/>
      <c r="M28" s="771" t="s">
        <v>1140</v>
      </c>
      <c r="N28" s="771" t="s">
        <v>1141</v>
      </c>
      <c r="O28" s="771" t="s">
        <v>1142</v>
      </c>
      <c r="P28" s="771" t="s">
        <v>1146</v>
      </c>
      <c r="Q28" s="771" t="s">
        <v>705</v>
      </c>
      <c r="T28" s="771" t="s">
        <v>1147</v>
      </c>
      <c r="W28" s="605"/>
      <c r="X28" s="605"/>
      <c r="AB28" s="453"/>
      <c r="AF28" s="454"/>
      <c r="AG28" s="454"/>
      <c r="AH28" s="454"/>
      <c r="AI28" s="454"/>
      <c r="AJ28" s="454"/>
    </row>
    <row r="29" spans="1:38" s="601" customFormat="1" ht="30.75" thickBot="1" x14ac:dyDescent="0.3">
      <c r="A29" s="1067" t="s">
        <v>22</v>
      </c>
      <c r="B29" s="639" t="s">
        <v>1057</v>
      </c>
      <c r="C29" s="589" t="s">
        <v>1024</v>
      </c>
      <c r="D29" s="590"/>
      <c r="E29" s="592"/>
      <c r="F29" s="616" t="s">
        <v>1058</v>
      </c>
      <c r="G29" s="616" t="s">
        <v>757</v>
      </c>
      <c r="H29" s="762"/>
      <c r="I29" s="777"/>
      <c r="J29" s="618" t="s">
        <v>49</v>
      </c>
      <c r="K29" s="763"/>
      <c r="L29" s="1078" t="s">
        <v>757</v>
      </c>
      <c r="M29" s="1079"/>
      <c r="N29" s="753" t="s">
        <v>1059</v>
      </c>
      <c r="O29" s="764" t="s">
        <v>1060</v>
      </c>
      <c r="P29" s="764" t="s">
        <v>1061</v>
      </c>
      <c r="Q29" s="764" t="s">
        <v>1062</v>
      </c>
      <c r="R29" s="764" t="s">
        <v>1063</v>
      </c>
      <c r="S29" s="764" t="s">
        <v>1064</v>
      </c>
      <c r="T29" s="764" t="s">
        <v>46</v>
      </c>
      <c r="U29" s="228"/>
      <c r="V29" s="228"/>
      <c r="W29" s="228"/>
      <c r="X29" s="228"/>
      <c r="Y29" s="228"/>
      <c r="AB29" s="766"/>
      <c r="AC29" s="766"/>
    </row>
    <row r="30" spans="1:38" ht="15.75" thickBot="1" x14ac:dyDescent="0.3">
      <c r="A30" s="1068"/>
      <c r="B30" s="602" t="s">
        <v>804</v>
      </c>
      <c r="C30" s="644" t="str">
        <f>IF(LEN(J12)=0,"",J12)</f>
        <v/>
      </c>
      <c r="D30" s="645">
        <v>1</v>
      </c>
      <c r="E30" s="625">
        <f>J12</f>
        <v>0</v>
      </c>
      <c r="F30" s="646"/>
      <c r="G30" s="264"/>
      <c r="H30" s="776"/>
      <c r="I30" s="776"/>
      <c r="J30" s="648"/>
      <c r="K30" s="649" t="s">
        <v>1066</v>
      </c>
      <c r="L30" s="1082">
        <f>HYPERLINK("https://eu1.salesforce.com/"&amp;F30,G30)</f>
        <v>0</v>
      </c>
      <c r="M30" s="1083"/>
      <c r="N30" s="441"/>
      <c r="O30" s="740"/>
      <c r="P30" s="650"/>
      <c r="Q30" s="441"/>
      <c r="R30" s="441"/>
      <c r="T30" s="651"/>
      <c r="AB30" s="442"/>
      <c r="AC30" s="442"/>
    </row>
    <row r="31" spans="1:38" x14ac:dyDescent="0.25">
      <c r="A31" s="1068"/>
      <c r="B31" s="582" t="s">
        <v>810</v>
      </c>
      <c r="C31" s="583"/>
      <c r="D31" s="584"/>
      <c r="E31" s="264"/>
      <c r="F31" s="264"/>
      <c r="G31" s="264"/>
      <c r="H31" s="264"/>
      <c r="I31" s="264"/>
      <c r="J31" s="264">
        <v>0.5</v>
      </c>
      <c r="K31" s="489"/>
      <c r="L31" s="652" t="s">
        <v>816</v>
      </c>
      <c r="M31" s="652"/>
      <c r="N31" s="652" t="s">
        <v>31</v>
      </c>
      <c r="O31" s="652"/>
      <c r="P31" s="484" t="s">
        <v>1067</v>
      </c>
      <c r="Q31" s="484" t="s">
        <v>1068</v>
      </c>
      <c r="R31" s="741" t="s">
        <v>811</v>
      </c>
      <c r="T31" s="652" t="s">
        <v>31</v>
      </c>
      <c r="AC31" s="449"/>
      <c r="AE31" s="450"/>
      <c r="AF31" s="449"/>
    </row>
    <row r="32" spans="1:38" x14ac:dyDescent="0.25">
      <c r="A32" s="1068"/>
      <c r="B32" s="582" t="s">
        <v>814</v>
      </c>
      <c r="C32" s="583" t="s">
        <v>80</v>
      </c>
      <c r="D32" s="653" t="s">
        <v>91</v>
      </c>
      <c r="E32" s="605"/>
      <c r="F32" s="605" t="s">
        <v>80</v>
      </c>
      <c r="G32" s="605">
        <v>3</v>
      </c>
      <c r="H32" s="742"/>
      <c r="I32" s="742"/>
      <c r="J32" s="634"/>
      <c r="K32" s="489"/>
      <c r="L32" s="605"/>
      <c r="M32" s="605"/>
      <c r="N32" s="634" t="s">
        <v>825</v>
      </c>
      <c r="O32" s="634">
        <v>26</v>
      </c>
      <c r="P32" s="634" t="s">
        <v>849</v>
      </c>
      <c r="Q32" s="605" t="s">
        <v>1070</v>
      </c>
      <c r="R32" s="605" t="s">
        <v>63</v>
      </c>
      <c r="S32" s="652" t="s">
        <v>815</v>
      </c>
      <c r="T32" s="634" t="s">
        <v>31</v>
      </c>
      <c r="AH32" s="454"/>
      <c r="AI32" s="454"/>
      <c r="AJ32" s="454"/>
      <c r="AK32" s="454"/>
      <c r="AL32" s="454"/>
    </row>
    <row r="33" spans="1:38" x14ac:dyDescent="0.25">
      <c r="A33" s="1068"/>
      <c r="B33" s="582" t="s">
        <v>818</v>
      </c>
      <c r="C33" s="583"/>
      <c r="D33" s="584"/>
      <c r="E33" s="249"/>
      <c r="H33" s="754"/>
      <c r="I33" s="754"/>
      <c r="K33" s="656" t="s">
        <v>1134</v>
      </c>
      <c r="L33" s="656" t="s">
        <v>1149</v>
      </c>
      <c r="M33" s="498"/>
      <c r="N33" s="498"/>
      <c r="O33" s="498"/>
      <c r="S33" s="445"/>
      <c r="AH33" s="454"/>
      <c r="AI33" s="454"/>
      <c r="AJ33" s="454"/>
      <c r="AK33" s="454"/>
      <c r="AL33" s="454"/>
    </row>
    <row r="34" spans="1:38" ht="15.75" thickBot="1" x14ac:dyDescent="0.3">
      <c r="A34" s="1069"/>
      <c r="B34" s="587" t="s">
        <v>821</v>
      </c>
      <c r="C34" s="613"/>
      <c r="D34" s="636"/>
      <c r="E34" s="249"/>
      <c r="H34" s="615"/>
      <c r="I34" s="615"/>
      <c r="K34" s="228"/>
      <c r="L34" s="499"/>
      <c r="AB34" s="453"/>
      <c r="AF34" s="454"/>
      <c r="AG34" s="454"/>
      <c r="AH34" s="454"/>
      <c r="AI34" s="454"/>
      <c r="AJ34" s="454"/>
    </row>
    <row r="35" spans="1:38" x14ac:dyDescent="0.25">
      <c r="K35" s="228"/>
    </row>
    <row r="36" spans="1:38" ht="15.75" thickBot="1" x14ac:dyDescent="0.3">
      <c r="A36" s="432" t="s">
        <v>1072</v>
      </c>
    </row>
    <row r="37" spans="1:38" s="441" customFormat="1" ht="15.75" thickBot="1" x14ac:dyDescent="0.3">
      <c r="A37" s="228"/>
      <c r="B37" s="569" t="s">
        <v>1020</v>
      </c>
      <c r="C37" s="577" t="s">
        <v>851</v>
      </c>
      <c r="D37" s="577" t="s">
        <v>849</v>
      </c>
      <c r="K37" s="571"/>
      <c r="L37" s="572" t="s">
        <v>61</v>
      </c>
      <c r="M37" s="573" t="s">
        <v>1021</v>
      </c>
      <c r="N37" s="574" t="s">
        <v>1022</v>
      </c>
      <c r="P37" s="442"/>
      <c r="Q37" s="443"/>
      <c r="R37" s="444"/>
      <c r="S37" s="445"/>
      <c r="T37" s="228"/>
      <c r="U37" s="228"/>
      <c r="V37" s="228"/>
      <c r="W37" s="228"/>
      <c r="X37" s="228"/>
      <c r="Y37" s="228"/>
      <c r="Z37" s="228"/>
      <c r="AA37" s="228"/>
      <c r="AB37" s="228"/>
      <c r="AC37" s="228"/>
    </row>
    <row r="38" spans="1:38" s="571" customFormat="1" x14ac:dyDescent="0.25">
      <c r="A38" s="575"/>
      <c r="B38" s="576"/>
      <c r="C38" s="577"/>
      <c r="D38" s="578"/>
      <c r="L38" s="579"/>
      <c r="M38" s="579"/>
      <c r="N38" s="580"/>
      <c r="Q38" s="484"/>
      <c r="R38" s="443"/>
      <c r="S38" s="444"/>
      <c r="T38" s="445"/>
      <c r="U38" s="499"/>
      <c r="V38" s="499"/>
      <c r="W38" s="499"/>
      <c r="X38" s="499"/>
      <c r="Y38" s="499"/>
      <c r="Z38" s="499"/>
      <c r="AA38" s="499"/>
      <c r="AB38" s="499"/>
      <c r="AC38" s="499"/>
      <c r="AD38" s="499"/>
    </row>
    <row r="39" spans="1:38" x14ac:dyDescent="0.25">
      <c r="A39" s="581">
        <v>0</v>
      </c>
      <c r="B39" s="582" t="s">
        <v>23</v>
      </c>
      <c r="C39" s="583" t="s">
        <v>23</v>
      </c>
      <c r="D39" s="584" t="s">
        <v>23</v>
      </c>
      <c r="E39" s="585">
        <v>0</v>
      </c>
      <c r="F39" s="585">
        <v>0</v>
      </c>
      <c r="G39" s="585">
        <v>0</v>
      </c>
      <c r="H39" s="585">
        <v>0</v>
      </c>
      <c r="I39" s="585"/>
      <c r="J39" s="585">
        <v>0</v>
      </c>
      <c r="K39" s="585">
        <v>17</v>
      </c>
      <c r="L39" s="586" t="s">
        <v>816</v>
      </c>
      <c r="M39" s="586" t="s">
        <v>33</v>
      </c>
      <c r="N39" s="586" t="s">
        <v>33</v>
      </c>
      <c r="O39" s="586" t="s">
        <v>850</v>
      </c>
      <c r="P39" s="586" t="s">
        <v>816</v>
      </c>
      <c r="Q39" s="586" t="s">
        <v>849</v>
      </c>
      <c r="R39" s="586" t="s">
        <v>31</v>
      </c>
      <c r="S39" s="586" t="s">
        <v>14</v>
      </c>
      <c r="T39" s="586" t="s">
        <v>31</v>
      </c>
      <c r="U39" s="586" t="s">
        <v>31</v>
      </c>
      <c r="V39" s="586" t="s">
        <v>31</v>
      </c>
      <c r="W39" s="586" t="s">
        <v>139</v>
      </c>
      <c r="X39" s="586" t="s">
        <v>19</v>
      </c>
      <c r="Y39" s="586" t="s">
        <v>139</v>
      </c>
      <c r="AA39" s="450"/>
      <c r="AB39" s="449"/>
    </row>
    <row r="40" spans="1:38" x14ac:dyDescent="0.25">
      <c r="A40" s="575"/>
      <c r="B40" s="582" t="s">
        <v>814</v>
      </c>
      <c r="C40" s="583"/>
      <c r="D40" s="584"/>
      <c r="E40" s="489"/>
      <c r="F40" s="489"/>
      <c r="G40" s="489"/>
      <c r="H40" s="489"/>
      <c r="I40" s="489"/>
      <c r="J40" s="489"/>
      <c r="K40" s="489"/>
      <c r="L40" s="484"/>
      <c r="M40" s="484"/>
      <c r="N40" s="484"/>
      <c r="O40" s="499"/>
      <c r="P40" s="499"/>
      <c r="Q40" s="484"/>
      <c r="R40" s="484"/>
      <c r="S40" s="484"/>
      <c r="T40" s="484"/>
      <c r="U40" s="484"/>
      <c r="V40" s="484"/>
      <c r="W40" s="499"/>
      <c r="X40" s="499"/>
      <c r="Y40" s="499"/>
      <c r="Z40" s="450"/>
      <c r="AA40" s="449"/>
    </row>
    <row r="41" spans="1:38" x14ac:dyDescent="0.25">
      <c r="A41" s="575"/>
      <c r="B41" s="582" t="s">
        <v>818</v>
      </c>
      <c r="C41" s="583"/>
      <c r="D41" s="584"/>
      <c r="E41" s="489"/>
      <c r="F41" s="489"/>
      <c r="G41" s="489"/>
      <c r="H41" s="489"/>
      <c r="I41" s="489"/>
      <c r="J41" s="489"/>
      <c r="K41" s="489"/>
      <c r="L41" s="484"/>
      <c r="M41" s="484"/>
      <c r="N41" s="484"/>
      <c r="O41" s="499"/>
      <c r="P41" s="499"/>
      <c r="Q41" s="484"/>
      <c r="R41" s="484"/>
      <c r="S41" s="484"/>
      <c r="T41" s="484"/>
      <c r="U41" s="484"/>
      <c r="V41" s="484"/>
      <c r="W41" s="499"/>
      <c r="X41" s="499"/>
      <c r="Y41" s="499"/>
      <c r="Z41" s="450"/>
      <c r="AA41" s="449"/>
    </row>
    <row r="42" spans="1:38" ht="15.75" thickBot="1" x14ac:dyDescent="0.3">
      <c r="A42" s="575"/>
      <c r="B42" s="587" t="s">
        <v>821</v>
      </c>
      <c r="C42" s="583"/>
      <c r="D42" s="584"/>
      <c r="E42" s="489"/>
      <c r="F42" s="489"/>
      <c r="G42" s="489"/>
      <c r="H42" s="489"/>
      <c r="I42" s="489"/>
      <c r="J42" s="489"/>
      <c r="K42" s="489"/>
      <c r="L42" s="484"/>
      <c r="M42" s="484"/>
      <c r="N42" s="484"/>
      <c r="O42" s="499"/>
      <c r="P42" s="499"/>
      <c r="Q42" s="484"/>
      <c r="R42" s="484"/>
      <c r="S42" s="484"/>
      <c r="T42" s="484"/>
      <c r="U42" s="484"/>
      <c r="V42" s="484"/>
      <c r="W42" s="499"/>
      <c r="X42" s="499"/>
      <c r="Y42" s="499"/>
      <c r="Z42" s="450"/>
      <c r="AA42" s="449"/>
    </row>
    <row r="43" spans="1:38" s="601" customFormat="1" ht="23.25" thickBot="1" x14ac:dyDescent="0.3">
      <c r="A43" s="1067" t="s">
        <v>1</v>
      </c>
      <c r="B43" s="588" t="s">
        <v>1023</v>
      </c>
      <c r="C43" s="589" t="s">
        <v>1024</v>
      </c>
      <c r="D43" s="590"/>
      <c r="E43" s="254" t="s">
        <v>628</v>
      </c>
      <c r="F43" s="591" t="s">
        <v>15</v>
      </c>
      <c r="G43" s="591" t="s">
        <v>1025</v>
      </c>
      <c r="H43" s="592" t="s">
        <v>645</v>
      </c>
      <c r="I43" s="592"/>
      <c r="J43" s="255" t="s">
        <v>1026</v>
      </c>
      <c r="K43" s="593" t="s">
        <v>294</v>
      </c>
      <c r="L43" s="594" t="s">
        <v>1027</v>
      </c>
      <c r="M43" s="595" t="s">
        <v>4</v>
      </c>
      <c r="N43" s="595" t="s">
        <v>6</v>
      </c>
      <c r="O43" s="596" t="s">
        <v>630</v>
      </c>
      <c r="P43" s="595" t="s">
        <v>1028</v>
      </c>
      <c r="Q43" s="597" t="s">
        <v>639</v>
      </c>
      <c r="R43" s="1084" t="s">
        <v>640</v>
      </c>
      <c r="S43" s="1085"/>
      <c r="T43" s="598" t="s">
        <v>46</v>
      </c>
      <c r="U43" s="596" t="s">
        <v>645</v>
      </c>
      <c r="V43" s="598" t="s">
        <v>646</v>
      </c>
      <c r="W43" s="599" t="s">
        <v>647</v>
      </c>
      <c r="X43" s="600" t="s">
        <v>648</v>
      </c>
      <c r="Y43" s="598" t="s">
        <v>649</v>
      </c>
      <c r="Z43" s="228"/>
    </row>
    <row r="44" spans="1:38" s="601" customFormat="1" ht="15.75" thickBot="1" x14ac:dyDescent="0.3">
      <c r="A44" s="1068"/>
      <c r="B44" s="602" t="s">
        <v>804</v>
      </c>
      <c r="C44" s="583" t="s">
        <v>1024</v>
      </c>
      <c r="D44" s="603"/>
      <c r="E44" s="475"/>
      <c r="F44" s="604"/>
      <c r="G44" s="228"/>
      <c r="H44" s="228"/>
      <c r="I44" s="228"/>
      <c r="J44" s="605"/>
      <c r="K44" s="606"/>
      <c r="L44" s="607">
        <f>HYPERLINK("https://eu1.salesforce.com/"&amp;E44,F44)</f>
        <v>0</v>
      </c>
      <c r="M44" s="476"/>
      <c r="N44" s="476"/>
      <c r="O44" s="608"/>
      <c r="P44" s="609">
        <v>1234567.8899999999</v>
      </c>
      <c r="Q44" s="609">
        <v>1234567.8899999999</v>
      </c>
      <c r="R44" s="1086"/>
      <c r="S44" s="1087"/>
      <c r="T44" s="610"/>
      <c r="U44" s="607">
        <f>HYPERLINK("https://eu1.salesforce.com/"&amp;G44,H44)</f>
        <v>0</v>
      </c>
      <c r="V44" s="611"/>
      <c r="W44" s="611"/>
      <c r="X44" s="611"/>
      <c r="Y44" s="611"/>
    </row>
    <row r="45" spans="1:38" x14ac:dyDescent="0.25">
      <c r="A45" s="1068"/>
      <c r="B45" s="582" t="s">
        <v>810</v>
      </c>
      <c r="C45" s="583"/>
      <c r="D45" s="584"/>
      <c r="E45" s="489">
        <v>0.5</v>
      </c>
      <c r="F45" s="489"/>
      <c r="J45" s="489">
        <v>0.5</v>
      </c>
      <c r="K45" s="489">
        <v>17</v>
      </c>
      <c r="L45" s="484" t="s">
        <v>816</v>
      </c>
      <c r="M45" s="484" t="s">
        <v>33</v>
      </c>
      <c r="N45" s="484" t="s">
        <v>31</v>
      </c>
      <c r="O45" s="484" t="s">
        <v>815</v>
      </c>
      <c r="P45" s="484" t="s">
        <v>1029</v>
      </c>
      <c r="Q45" s="484" t="s">
        <v>1029</v>
      </c>
      <c r="R45" s="484" t="s">
        <v>1030</v>
      </c>
      <c r="S45" s="484"/>
      <c r="T45" s="484" t="s">
        <v>31</v>
      </c>
      <c r="U45" s="484" t="s">
        <v>91</v>
      </c>
      <c r="V45" s="484" t="s">
        <v>91</v>
      </c>
      <c r="W45" s="484" t="s">
        <v>1029</v>
      </c>
      <c r="X45" s="484" t="s">
        <v>19</v>
      </c>
      <c r="Y45" s="484" t="s">
        <v>139</v>
      </c>
      <c r="AA45" s="450"/>
      <c r="AB45" s="449"/>
    </row>
    <row r="46" spans="1:38" x14ac:dyDescent="0.25">
      <c r="A46" s="1068"/>
      <c r="B46" s="582" t="s">
        <v>814</v>
      </c>
      <c r="C46" s="583"/>
      <c r="D46" s="584"/>
      <c r="E46" s="489">
        <v>1</v>
      </c>
      <c r="F46" s="489">
        <v>9</v>
      </c>
      <c r="G46" s="489">
        <v>25</v>
      </c>
      <c r="H46" s="605">
        <v>25</v>
      </c>
      <c r="I46" s="605"/>
      <c r="J46" s="489" t="s">
        <v>973</v>
      </c>
      <c r="K46" s="489">
        <v>19</v>
      </c>
      <c r="L46" s="484"/>
      <c r="M46" s="484" t="s">
        <v>51</v>
      </c>
      <c r="N46" s="484" t="s">
        <v>3</v>
      </c>
      <c r="O46" s="484" t="s">
        <v>91</v>
      </c>
      <c r="P46" s="484" t="s">
        <v>31</v>
      </c>
      <c r="Q46" s="484" t="s">
        <v>815</v>
      </c>
      <c r="R46" s="484" t="s">
        <v>140</v>
      </c>
      <c r="S46" s="484"/>
      <c r="T46" s="484" t="s">
        <v>816</v>
      </c>
      <c r="U46" s="484"/>
      <c r="V46" s="484" t="s">
        <v>1031</v>
      </c>
      <c r="W46" s="484" t="s">
        <v>892</v>
      </c>
      <c r="X46" s="484" t="s">
        <v>893</v>
      </c>
      <c r="Y46" s="484" t="s">
        <v>1032</v>
      </c>
      <c r="AD46" s="454"/>
      <c r="AE46" s="454"/>
      <c r="AF46" s="454"/>
      <c r="AG46" s="454"/>
      <c r="AH46" s="454"/>
    </row>
    <row r="47" spans="1:38" x14ac:dyDescent="0.25">
      <c r="A47" s="1068"/>
      <c r="B47" s="582" t="s">
        <v>818</v>
      </c>
      <c r="C47" s="583"/>
      <c r="D47" s="584"/>
      <c r="E47" s="489"/>
      <c r="F47" s="489"/>
      <c r="G47" s="489" t="s">
        <v>820</v>
      </c>
      <c r="H47" s="228" t="s">
        <v>1033</v>
      </c>
      <c r="J47" s="489"/>
      <c r="K47" s="612" t="s">
        <v>662</v>
      </c>
      <c r="L47" s="499"/>
      <c r="M47" s="499"/>
      <c r="N47" s="499"/>
      <c r="O47" s="499"/>
      <c r="P47" s="499"/>
      <c r="Q47" s="499"/>
      <c r="R47" s="499"/>
      <c r="S47" s="499"/>
      <c r="T47" s="499"/>
      <c r="U47" s="499"/>
      <c r="V47" s="499"/>
      <c r="W47" s="499"/>
      <c r="X47" s="499"/>
      <c r="Y47" s="499"/>
      <c r="AD47" s="454"/>
      <c r="AE47" s="454"/>
      <c r="AF47" s="454"/>
      <c r="AG47" s="454"/>
      <c r="AH47" s="454"/>
    </row>
    <row r="48" spans="1:38" ht="15.75" thickBot="1" x14ac:dyDescent="0.3">
      <c r="A48" s="1069"/>
      <c r="B48" s="587" t="s">
        <v>821</v>
      </c>
      <c r="C48" s="613"/>
      <c r="D48" s="614"/>
      <c r="E48" s="615"/>
      <c r="F48" s="615"/>
      <c r="G48" s="615" t="s">
        <v>1034</v>
      </c>
      <c r="J48" s="615" t="s">
        <v>1035</v>
      </c>
      <c r="K48" s="615"/>
      <c r="L48" s="499"/>
      <c r="M48" s="499"/>
      <c r="N48" s="499"/>
      <c r="O48" s="499"/>
      <c r="P48" s="499"/>
      <c r="Q48" s="499"/>
      <c r="R48" s="499"/>
      <c r="S48" s="499"/>
      <c r="T48" s="499"/>
      <c r="U48" s="499"/>
      <c r="V48" s="499"/>
      <c r="W48" s="499"/>
      <c r="AB48" s="454"/>
      <c r="AC48" s="454"/>
      <c r="AD48" s="454"/>
      <c r="AE48" s="454"/>
      <c r="AF48" s="454"/>
    </row>
    <row r="49" spans="1:36" s="601" customFormat="1" ht="30.75" thickBot="1" x14ac:dyDescent="0.3">
      <c r="A49" s="1067" t="s">
        <v>25</v>
      </c>
      <c r="B49" s="422" t="s">
        <v>781</v>
      </c>
      <c r="C49" s="589" t="s">
        <v>1024</v>
      </c>
      <c r="D49" s="590"/>
      <c r="E49" s="616" t="s">
        <v>629</v>
      </c>
      <c r="F49" s="616"/>
      <c r="G49" s="616"/>
      <c r="H49" s="617" t="s">
        <v>1036</v>
      </c>
      <c r="I49" s="617"/>
      <c r="J49" s="618" t="s">
        <v>49</v>
      </c>
      <c r="K49" s="619"/>
      <c r="L49" s="620" t="s">
        <v>1037</v>
      </c>
      <c r="M49" s="621" t="s">
        <v>1038</v>
      </c>
      <c r="N49" s="622" t="s">
        <v>1039</v>
      </c>
      <c r="O49" s="622" t="s">
        <v>1040</v>
      </c>
      <c r="P49" s="623" t="s">
        <v>1041</v>
      </c>
      <c r="Q49" s="623" t="s">
        <v>1042</v>
      </c>
      <c r="R49" s="1074" t="s">
        <v>1043</v>
      </c>
      <c r="S49" s="1075"/>
      <c r="T49" s="620" t="s">
        <v>1044</v>
      </c>
      <c r="W49" s="620" t="s">
        <v>1045</v>
      </c>
      <c r="X49" s="624"/>
    </row>
    <row r="50" spans="1:36" s="601" customFormat="1" ht="15.75" thickBot="1" x14ac:dyDescent="0.3">
      <c r="A50" s="1068"/>
      <c r="B50" s="602" t="s">
        <v>804</v>
      </c>
      <c r="C50" s="583" t="s">
        <v>1046</v>
      </c>
      <c r="D50" s="625">
        <f>E44</f>
        <v>0</v>
      </c>
      <c r="H50" s="626"/>
      <c r="I50" s="626"/>
      <c r="J50" s="627"/>
      <c r="K50" s="628"/>
      <c r="L50" s="629"/>
      <c r="M50" s="630"/>
      <c r="N50" s="631"/>
      <c r="O50" s="631"/>
      <c r="P50" s="631"/>
      <c r="Q50" s="630"/>
      <c r="R50" s="1076"/>
      <c r="S50" s="1077"/>
      <c r="T50" s="632"/>
      <c r="W50" s="633"/>
      <c r="X50" s="624"/>
    </row>
    <row r="51" spans="1:36" x14ac:dyDescent="0.25">
      <c r="A51" s="1068"/>
      <c r="B51" s="582" t="s">
        <v>810</v>
      </c>
      <c r="C51" s="583"/>
      <c r="D51" s="584"/>
      <c r="E51" s="264">
        <v>0.5</v>
      </c>
      <c r="F51" s="264"/>
      <c r="G51" s="264"/>
      <c r="H51" s="264">
        <v>0.5</v>
      </c>
      <c r="I51" s="264"/>
      <c r="J51" s="264">
        <v>0.5</v>
      </c>
      <c r="K51" s="489"/>
      <c r="L51" s="634">
        <v>14</v>
      </c>
      <c r="M51" s="634">
        <v>10</v>
      </c>
      <c r="N51" s="634">
        <v>10</v>
      </c>
      <c r="O51" s="634">
        <v>10</v>
      </c>
      <c r="P51" s="634">
        <v>30</v>
      </c>
      <c r="Q51" s="634">
        <v>10</v>
      </c>
      <c r="R51" s="634">
        <v>40</v>
      </c>
      <c r="S51" s="634"/>
      <c r="T51" s="634">
        <v>26</v>
      </c>
      <c r="W51" s="484" t="s">
        <v>1029</v>
      </c>
      <c r="X51" s="605"/>
    </row>
    <row r="52" spans="1:36" x14ac:dyDescent="0.25">
      <c r="A52" s="1068"/>
      <c r="B52" s="582" t="s">
        <v>814</v>
      </c>
      <c r="C52" s="583"/>
      <c r="D52" s="584"/>
      <c r="E52" s="605">
        <v>4</v>
      </c>
      <c r="J52" s="499"/>
      <c r="K52" s="228"/>
      <c r="L52" s="605">
        <v>4</v>
      </c>
      <c r="M52" s="605">
        <v>4</v>
      </c>
      <c r="N52" s="634">
        <v>4</v>
      </c>
      <c r="O52" s="634">
        <v>4</v>
      </c>
      <c r="P52" s="634">
        <v>4</v>
      </c>
      <c r="Q52" s="634">
        <v>4</v>
      </c>
      <c r="R52" s="634">
        <v>4</v>
      </c>
      <c r="S52" s="634"/>
      <c r="T52" s="634">
        <v>4</v>
      </c>
      <c r="W52" s="634">
        <v>4</v>
      </c>
      <c r="X52" s="605"/>
    </row>
    <row r="53" spans="1:36" x14ac:dyDescent="0.25">
      <c r="A53" s="1068"/>
      <c r="B53" s="582" t="s">
        <v>818</v>
      </c>
      <c r="C53" s="583"/>
      <c r="D53" s="584"/>
      <c r="E53" s="605"/>
      <c r="K53" s="228"/>
      <c r="L53" s="605"/>
      <c r="M53" s="605"/>
      <c r="N53" s="605"/>
      <c r="O53" s="605"/>
      <c r="P53" s="605"/>
      <c r="Q53" s="605"/>
      <c r="R53" s="605"/>
      <c r="S53" s="605"/>
      <c r="T53" s="605"/>
      <c r="W53" s="605"/>
      <c r="X53" s="605"/>
    </row>
    <row r="54" spans="1:36" s="441" customFormat="1" ht="15.75" thickBot="1" x14ac:dyDescent="0.3">
      <c r="A54" s="1069"/>
      <c r="B54" s="587" t="s">
        <v>821</v>
      </c>
      <c r="C54" s="635"/>
      <c r="D54" s="636"/>
      <c r="E54" s="637" t="s">
        <v>1047</v>
      </c>
      <c r="F54" s="637"/>
      <c r="G54" s="228"/>
      <c r="H54" s="228"/>
      <c r="I54" s="228"/>
      <c r="J54" s="499"/>
      <c r="K54" s="615"/>
      <c r="L54" s="637" t="s">
        <v>1048</v>
      </c>
      <c r="M54" s="637" t="s">
        <v>1049</v>
      </c>
      <c r="N54" s="637" t="s">
        <v>1050</v>
      </c>
      <c r="O54" s="637" t="s">
        <v>1051</v>
      </c>
      <c r="P54" s="637" t="s">
        <v>1052</v>
      </c>
      <c r="Q54" s="637" t="s">
        <v>1053</v>
      </c>
      <c r="R54" s="637" t="s">
        <v>1054</v>
      </c>
      <c r="S54" s="634"/>
      <c r="T54" s="637" t="s">
        <v>1055</v>
      </c>
      <c r="W54" s="637" t="s">
        <v>1056</v>
      </c>
      <c r="X54" s="638"/>
      <c r="Y54" s="445"/>
      <c r="Z54" s="228"/>
      <c r="AA54" s="228"/>
      <c r="AB54" s="228"/>
      <c r="AC54" s="228"/>
      <c r="AD54" s="228"/>
      <c r="AE54" s="228"/>
      <c r="AF54" s="228"/>
      <c r="AG54" s="228"/>
      <c r="AH54" s="228"/>
      <c r="AI54" s="228"/>
    </row>
    <row r="55" spans="1:36" ht="30.75" thickBot="1" x14ac:dyDescent="0.3">
      <c r="A55" s="1067" t="s">
        <v>22</v>
      </c>
      <c r="B55" s="639" t="s">
        <v>1057</v>
      </c>
      <c r="C55" s="589" t="s">
        <v>1024</v>
      </c>
      <c r="D55" s="590"/>
      <c r="E55" s="255" t="s">
        <v>833</v>
      </c>
      <c r="F55" s="255" t="s">
        <v>1058</v>
      </c>
      <c r="G55" s="255" t="s">
        <v>757</v>
      </c>
      <c r="H55" s="657" t="s">
        <v>645</v>
      </c>
      <c r="I55" s="657"/>
      <c r="J55" s="640" t="s">
        <v>49</v>
      </c>
      <c r="K55" s="641"/>
      <c r="L55" s="1078" t="s">
        <v>757</v>
      </c>
      <c r="M55" s="1079"/>
      <c r="N55" s="642" t="s">
        <v>1059</v>
      </c>
      <c r="O55" s="643" t="s">
        <v>1060</v>
      </c>
      <c r="P55" s="643" t="s">
        <v>1061</v>
      </c>
      <c r="Q55" s="643" t="s">
        <v>1062</v>
      </c>
      <c r="R55" s="643" t="s">
        <v>1063</v>
      </c>
      <c r="S55" s="643" t="s">
        <v>1064</v>
      </c>
      <c r="T55" s="643" t="s">
        <v>46</v>
      </c>
      <c r="U55" s="643" t="s">
        <v>43</v>
      </c>
      <c r="V55" s="643" t="s">
        <v>32</v>
      </c>
      <c r="W55" s="643" t="s">
        <v>1065</v>
      </c>
      <c r="X55" s="643" t="s">
        <v>54</v>
      </c>
      <c r="Y55" s="442"/>
      <c r="Z55" s="442"/>
      <c r="AA55" s="442"/>
    </row>
    <row r="56" spans="1:36" ht="15.75" thickBot="1" x14ac:dyDescent="0.3">
      <c r="A56" s="1068"/>
      <c r="B56" s="602" t="s">
        <v>804</v>
      </c>
      <c r="C56" s="644" t="str">
        <f>IF(LEN(J44)=0,"",J44)</f>
        <v/>
      </c>
      <c r="D56" s="645">
        <v>1</v>
      </c>
      <c r="F56" s="646"/>
      <c r="G56" s="264"/>
      <c r="H56" s="647"/>
      <c r="I56" s="647"/>
      <c r="J56" s="648"/>
      <c r="K56" s="649" t="s">
        <v>1066</v>
      </c>
      <c r="L56" s="1080">
        <f>HYPERLINK("https://eu1.salesforce.com/"&amp;F56,G56)</f>
        <v>0</v>
      </c>
      <c r="M56" s="1081"/>
      <c r="N56" s="441"/>
      <c r="O56" s="441"/>
      <c r="P56" s="650"/>
      <c r="Q56" s="441"/>
      <c r="R56" s="441"/>
      <c r="S56" s="441"/>
      <c r="T56" s="441"/>
      <c r="U56" s="441"/>
      <c r="V56" s="441"/>
      <c r="W56" s="442"/>
      <c r="X56" s="442"/>
      <c r="Y56" s="442"/>
      <c r="Z56" s="442"/>
      <c r="AA56" s="442"/>
    </row>
    <row r="57" spans="1:36" x14ac:dyDescent="0.25">
      <c r="A57" s="1068"/>
      <c r="B57" s="582" t="s">
        <v>810</v>
      </c>
      <c r="C57" s="583"/>
      <c r="D57" s="584"/>
      <c r="E57" s="264">
        <v>0.5</v>
      </c>
      <c r="F57" s="264"/>
      <c r="G57" s="264"/>
      <c r="H57" s="264">
        <v>0.5</v>
      </c>
      <c r="I57" s="264"/>
      <c r="J57" s="264">
        <v>0.5</v>
      </c>
      <c r="K57" s="489"/>
      <c r="L57" s="652" t="s">
        <v>816</v>
      </c>
      <c r="M57" s="652"/>
      <c r="N57" s="652" t="s">
        <v>31</v>
      </c>
      <c r="O57" s="652"/>
      <c r="P57" s="484" t="s">
        <v>1067</v>
      </c>
      <c r="Q57" s="484" t="s">
        <v>1068</v>
      </c>
      <c r="R57" s="652"/>
      <c r="S57" s="652"/>
      <c r="T57" s="652" t="s">
        <v>31</v>
      </c>
      <c r="U57" s="652" t="s">
        <v>31</v>
      </c>
      <c r="V57" s="652" t="s">
        <v>91</v>
      </c>
      <c r="W57" s="652" t="s">
        <v>91</v>
      </c>
      <c r="X57" s="652" t="s">
        <v>91</v>
      </c>
      <c r="AA57" s="449"/>
      <c r="AC57" s="450"/>
      <c r="AD57" s="449"/>
    </row>
    <row r="58" spans="1:36" x14ac:dyDescent="0.25">
      <c r="A58" s="1068"/>
      <c r="B58" s="582" t="s">
        <v>814</v>
      </c>
      <c r="C58" s="583" t="s">
        <v>80</v>
      </c>
      <c r="D58" s="653" t="s">
        <v>91</v>
      </c>
      <c r="E58" s="654" t="s">
        <v>1069</v>
      </c>
      <c r="F58" s="605" t="s">
        <v>80</v>
      </c>
      <c r="G58" s="605">
        <v>3</v>
      </c>
      <c r="H58" s="634"/>
      <c r="I58" s="634"/>
      <c r="J58" s="634"/>
      <c r="K58" s="634"/>
      <c r="L58" s="605"/>
      <c r="M58" s="605"/>
      <c r="N58" s="634" t="s">
        <v>825</v>
      </c>
      <c r="O58" s="634">
        <v>26</v>
      </c>
      <c r="P58" s="634" t="s">
        <v>849</v>
      </c>
      <c r="Q58" s="605" t="s">
        <v>1070</v>
      </c>
      <c r="R58" s="605" t="s">
        <v>63</v>
      </c>
      <c r="S58" s="652" t="s">
        <v>815</v>
      </c>
      <c r="T58" s="634" t="s">
        <v>31</v>
      </c>
      <c r="U58" s="483"/>
      <c r="V58" s="483"/>
      <c r="W58" s="483"/>
      <c r="X58" s="483"/>
      <c r="Y58" s="487"/>
      <c r="AF58" s="454"/>
      <c r="AG58" s="454"/>
      <c r="AH58" s="454"/>
      <c r="AI58" s="454"/>
      <c r="AJ58" s="454"/>
    </row>
    <row r="59" spans="1:36" ht="45" x14ac:dyDescent="0.25">
      <c r="A59" s="1068"/>
      <c r="B59" s="582" t="s">
        <v>818</v>
      </c>
      <c r="C59" s="583"/>
      <c r="D59" s="584"/>
      <c r="E59" s="655" t="s">
        <v>1073</v>
      </c>
      <c r="K59" s="656" t="s">
        <v>1071</v>
      </c>
      <c r="L59" s="656" t="s">
        <v>1071</v>
      </c>
      <c r="M59" s="498"/>
      <c r="N59" s="498"/>
      <c r="O59" s="498"/>
      <c r="T59" s="498"/>
      <c r="AF59" s="454"/>
      <c r="AG59" s="454"/>
      <c r="AH59" s="454"/>
      <c r="AI59" s="454"/>
      <c r="AJ59" s="454"/>
    </row>
    <row r="60" spans="1:36" ht="15.75" thickBot="1" x14ac:dyDescent="0.3">
      <c r="A60" s="1069"/>
      <c r="B60" s="587" t="s">
        <v>821</v>
      </c>
      <c r="C60" s="613"/>
      <c r="D60" s="636"/>
      <c r="E60" s="249"/>
      <c r="H60" s="615"/>
      <c r="I60" s="615"/>
      <c r="K60" s="228"/>
      <c r="L60" s="499"/>
      <c r="AB60" s="453"/>
      <c r="AF60" s="454"/>
      <c r="AG60" s="454"/>
      <c r="AH60" s="454"/>
      <c r="AI60" s="454"/>
      <c r="AJ60" s="454"/>
    </row>
  </sheetData>
  <mergeCells count="23">
    <mergeCell ref="T17:V17"/>
    <mergeCell ref="T18:V18"/>
    <mergeCell ref="A23:A28"/>
    <mergeCell ref="T23:V23"/>
    <mergeCell ref="T24:V24"/>
    <mergeCell ref="A11:A16"/>
    <mergeCell ref="R11:S11"/>
    <mergeCell ref="R12:S12"/>
    <mergeCell ref="A17:A22"/>
    <mergeCell ref="R17:S17"/>
    <mergeCell ref="R18:S18"/>
    <mergeCell ref="A29:A34"/>
    <mergeCell ref="L29:M29"/>
    <mergeCell ref="L30:M30"/>
    <mergeCell ref="A43:A48"/>
    <mergeCell ref="R43:S43"/>
    <mergeCell ref="R44:S44"/>
    <mergeCell ref="A49:A54"/>
    <mergeCell ref="R49:S49"/>
    <mergeCell ref="R50:S50"/>
    <mergeCell ref="A55:A60"/>
    <mergeCell ref="L55:M55"/>
    <mergeCell ref="L56:M56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64</vt:i4>
      </vt:variant>
    </vt:vector>
  </HeadingPairs>
  <TitlesOfParts>
    <vt:vector size="7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HDR_1C_Contract_MyCol_Pass0</vt:lpstr>
      <vt:lpstr>HDR_1C_Contract_Summary</vt:lpstr>
      <vt:lpstr>HDR_1C_Payment_MyCol</vt:lpstr>
      <vt:lpstr>HDR_1C_Payment_MyCol_Pass0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HDR_DicAcc</vt:lpstr>
      <vt:lpstr>HDR_DicAccSynonims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2013-12-13T21:04:27Z</dcterms:modified>
</cp:coreProperties>
</file>