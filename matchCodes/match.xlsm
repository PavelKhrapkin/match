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-15" yWindow="-15" windowWidth="11880" windowHeight="5175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Process!$A$4:$O$152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MyCol_Pass0" comment="23.09.13 HDR_1C_Contract_MyCol_Pass0 - Дополнительная информация к Шаблону поДоговорам 1С с указанием предварительно обрабатываемых колонок">Header!$A$30:$B$30</definedName>
    <definedName name="HDR_1C_Contract_Summary" comment="11.9.12 HDR_1C_Contract_Summary">Header!$A$34:$W$39</definedName>
    <definedName name="HDR_1C_Payment_MyCol" comment="11.9.12 HDR_1C_Payment_MyCol">Header!$B$6:$AM$11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Header!$B$225:$C$230</definedName>
    <definedName name="HDR_A_SN_2" comment="Sheet_для_загрузки_output.csv_с_SN_из_License_Inquiry_PartnerCenter.Autodesk">Header!$B$233:$R$239</definedName>
    <definedName name="HDR_A_SN_3" comment="16.08.13 HDR_A_SN_3 - Sheet для Upsert данных по SN Autodesk в SF -- SN_UPDATE">Header!$B$241:$R$247</definedName>
    <definedName name="HDR_AccntUpd" comment="18.6.12 HDR_AccntUpd шапка изменений Организаций SF, включая связь с 1С">Header!$A$187:$N$187</definedName>
    <definedName name="HDR_AdAcc" comment="11.6.12 - Шапка полей новой Организации">Header!$A$184:$V$184</definedName>
    <definedName name="HDR_BTOlog" comment="7.4.13 HDR_BTOlog шапка для журнала писем БТО">Header!$B$217:$N$222</definedName>
    <definedName name="HDR_ContractUpdate" comment="31.10.12 ContractUpdate  -  связывание существующего Договора с Проектом">Header!$C$173:$D$178</definedName>
    <definedName name="HDR_DicAcc" comment="19.6.12 HDR_AccDic - шапка Словаря Организаций">Header!$A$190:$C$191</definedName>
    <definedName name="HDR_DicAccSynonims" comment="15.09.2013 HDR_DicAссSynonims - Шаблон словаря синонимов названий Организаций в 1С">Header!$C$194:$D$199</definedName>
    <definedName name="HDR_NewAcc" comment="HDR_NewAcc для занесения новых Организаций в SF">Header!$A$184:$V$184</definedName>
    <definedName name="HDR_NewContract" comment="25.3.12 HDR_NewContract - шапка &quot;голубого&quot; листа в NewContract">Header!$B$140:$V$144</definedName>
    <definedName name="HDR_NewOpp" comment="28.10.12 HDR_NewOpp - создание Проектов SF. Они записываются в файл OppInsert.csv и загружаются в SF Data Loader'ом">Header!$C$156:$O$161</definedName>
    <definedName name="HDR_NewOppByPaidContr">Header!$C$164:$N$169</definedName>
    <definedName name="HDR_NewOrder" comment="25.4.12 HDR_NewOrder - шапка для новых Заказов">Header!$B$202:$N$207</definedName>
    <definedName name="HDR_NewPayment" comment="26.9.12  занесение Платежей в SF. Они записываются в файл Payment.csv и загружаются в SF Data Loader'ом">Header!$B$124:$J$129</definedName>
    <definedName name="HDR_NewSN" comment="6.6.12 шапки для занесения новыз SN в SF -- 2PASS">Header!$A$214:$C$214</definedName>
    <definedName name="HDR_P_ADSKlink" comment="14/5/12 новые связи Платежей и Контрактов ADSK">Header!$A$211:$C$211</definedName>
    <definedName name="HDR_PaidBalky" comment="23/1/2003">Header!$B$132:$J$137</definedName>
    <definedName name="HDR_PaymentUpd" comment="11.3.12 Update Платежа - связывание существующего Платежа с Договором">Header!$A$181:$B$181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Header!$C$156:$M$156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Process!$A$150:$L$153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3" i="2" l="1"/>
  <c r="AF9" i="6" l="1"/>
  <c r="C83" i="3"/>
  <c r="K82" i="3"/>
  <c r="C82" i="3"/>
  <c r="K81" i="3"/>
  <c r="F58" i="3" l="1"/>
  <c r="F7" i="6" l="1"/>
  <c r="C47" i="3" l="1"/>
  <c r="C40" i="3"/>
  <c r="O17" i="3" l="1"/>
  <c r="F22" i="3" l="1"/>
  <c r="B23" i="2" l="1"/>
  <c r="K57" i="3" s="1"/>
  <c r="H23" i="2"/>
  <c r="I43" i="2"/>
  <c r="K58" i="3" l="1"/>
  <c r="F77" i="3" l="1"/>
  <c r="K77" i="3" s="1"/>
  <c r="C77" i="3"/>
  <c r="C76" i="3"/>
  <c r="F76" i="3" l="1"/>
  <c r="K76" i="3" s="1"/>
  <c r="T34" i="6" l="1"/>
  <c r="J38" i="6"/>
  <c r="J37" i="6"/>
  <c r="J36" i="6"/>
  <c r="J35" i="6"/>
  <c r="J34" i="6"/>
  <c r="C38" i="6"/>
  <c r="C37" i="6"/>
  <c r="C36" i="6"/>
  <c r="C35" i="6"/>
  <c r="C34" i="6"/>
  <c r="F74" i="3" l="1"/>
  <c r="K74" i="3" s="1"/>
  <c r="C74" i="3"/>
  <c r="F75" i="3"/>
  <c r="K75" i="3" s="1"/>
  <c r="L72" i="3"/>
  <c r="N73" i="3" l="1"/>
  <c r="M73" i="3" l="1"/>
  <c r="L73" i="3"/>
  <c r="AI9" i="6" l="1"/>
  <c r="AK9" i="6" s="1"/>
  <c r="AL9" i="6" l="1"/>
  <c r="AJ9" i="6"/>
  <c r="K13" i="3" l="1"/>
  <c r="F13" i="3"/>
  <c r="C75" i="3"/>
  <c r="K72" i="3"/>
  <c r="F72" i="3"/>
  <c r="K52" i="3" l="1"/>
  <c r="F52" i="3"/>
  <c r="F12" i="3" l="1"/>
  <c r="K11" i="3"/>
  <c r="K12" i="3"/>
  <c r="K10" i="3"/>
  <c r="F11" i="3"/>
  <c r="F10" i="3"/>
  <c r="F9" i="3"/>
  <c r="F8" i="3"/>
  <c r="F7" i="3"/>
  <c r="K9" i="3"/>
  <c r="K8" i="3"/>
  <c r="K7" i="3"/>
  <c r="L53" i="3"/>
  <c r="L54" i="3"/>
  <c r="L55" i="3"/>
  <c r="I51" i="6" l="1"/>
  <c r="K55" i="3" l="1"/>
  <c r="K54" i="3"/>
  <c r="K53" i="3"/>
  <c r="C41" i="3" l="1"/>
  <c r="L41" i="3" l="1"/>
  <c r="K40" i="3"/>
  <c r="K38" i="3"/>
  <c r="N36" i="3"/>
  <c r="N35" i="3"/>
  <c r="N29" i="3"/>
  <c r="L28" i="3"/>
  <c r="M26" i="3"/>
  <c r="L26" i="3"/>
  <c r="N20" i="3"/>
  <c r="N17" i="3"/>
  <c r="M17" i="3"/>
  <c r="L17" i="3"/>
  <c r="K24" i="3"/>
  <c r="K27" i="3" s="1"/>
  <c r="K15" i="3"/>
  <c r="K44" i="3" l="1"/>
  <c r="L40" i="3"/>
  <c r="K28" i="3"/>
  <c r="K39" i="3"/>
  <c r="K43" i="3"/>
  <c r="K41" i="3"/>
  <c r="K25" i="3"/>
  <c r="K42" i="3"/>
  <c r="Y17" i="6"/>
  <c r="R17" i="6"/>
  <c r="AA17" i="6" s="1"/>
  <c r="C30" i="3" l="1"/>
  <c r="C21" i="3" l="1"/>
  <c r="K21" i="3" l="1"/>
  <c r="K22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7" i="6"/>
  <c r="C1227" i="6"/>
  <c r="J1226" i="6"/>
  <c r="C1226" i="6"/>
  <c r="J1225" i="6"/>
  <c r="C1225" i="6"/>
  <c r="J1224" i="6"/>
  <c r="C1224" i="6"/>
  <c r="V1223" i="6"/>
  <c r="U1223" i="6"/>
  <c r="C122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G283" i="6"/>
  <c r="AF283" i="6"/>
  <c r="AD283" i="6"/>
  <c r="AC283" i="6"/>
  <c r="AB283" i="6"/>
  <c r="AA283" i="6"/>
  <c r="Z283" i="6"/>
  <c r="Y283" i="6"/>
  <c r="X283" i="6"/>
  <c r="W283" i="6"/>
  <c r="V283" i="6"/>
  <c r="U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F283" i="6"/>
  <c r="E283" i="6"/>
  <c r="D283" i="6"/>
  <c r="C283" i="6"/>
  <c r="AU282" i="6"/>
  <c r="AH282" i="6"/>
  <c r="T282" i="6"/>
  <c r="G282" i="6"/>
  <c r="AU281" i="6"/>
  <c r="AH281" i="6"/>
  <c r="T281" i="6"/>
  <c r="G281" i="6"/>
  <c r="AU280" i="6"/>
  <c r="AH280" i="6"/>
  <c r="T280" i="6"/>
  <c r="G280" i="6"/>
  <c r="AU279" i="6"/>
  <c r="AH279" i="6"/>
  <c r="T279" i="6"/>
  <c r="G279" i="6"/>
  <c r="AU278" i="6"/>
  <c r="AH278" i="6"/>
  <c r="T278" i="6"/>
  <c r="G278" i="6"/>
  <c r="AU277" i="6"/>
  <c r="AH277" i="6"/>
  <c r="T277" i="6"/>
  <c r="G277" i="6"/>
  <c r="AU276" i="6"/>
  <c r="AH276" i="6"/>
  <c r="T276" i="6"/>
  <c r="G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L218" i="6"/>
  <c r="G210" i="6"/>
  <c r="C210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V34" i="6"/>
  <c r="U34" i="6"/>
  <c r="J1223" i="6"/>
  <c r="I23" i="6"/>
  <c r="G23" i="6"/>
  <c r="F23" i="6"/>
  <c r="AB17" i="6"/>
  <c r="AC17" i="6" s="1"/>
  <c r="C7" i="6"/>
  <c r="M66" i="4"/>
  <c r="M67" i="4" s="1"/>
  <c r="M62" i="4"/>
  <c r="M63" i="4" s="1"/>
  <c r="P61" i="4"/>
  <c r="P65" i="4" s="1"/>
  <c r="M60" i="4"/>
  <c r="C162" i="3"/>
  <c r="F144" i="3"/>
  <c r="K144" i="3" s="1"/>
  <c r="C144" i="3"/>
  <c r="C143" i="3"/>
  <c r="C141" i="3"/>
  <c r="K140" i="3"/>
  <c r="K143" i="3"/>
  <c r="K137" i="3"/>
  <c r="C137" i="3"/>
  <c r="K136" i="3"/>
  <c r="C136" i="3"/>
  <c r="C135" i="3"/>
  <c r="K134" i="3"/>
  <c r="K133" i="3"/>
  <c r="F132" i="3"/>
  <c r="C132" i="3"/>
  <c r="F131" i="3"/>
  <c r="F130" i="3"/>
  <c r="C130" i="3"/>
  <c r="H129" i="3"/>
  <c r="G129" i="3"/>
  <c r="F129" i="3"/>
  <c r="K128" i="3"/>
  <c r="K135" i="3" s="1"/>
  <c r="F126" i="3"/>
  <c r="K126" i="3" s="1"/>
  <c r="C126" i="3"/>
  <c r="C124" i="3"/>
  <c r="L123" i="3"/>
  <c r="K124" i="3" s="1"/>
  <c r="K123" i="3"/>
  <c r="G123" i="3"/>
  <c r="C120" i="3"/>
  <c r="F120" i="3"/>
  <c r="K120" i="3" s="1"/>
  <c r="C116" i="3"/>
  <c r="K116" i="3"/>
  <c r="C109" i="3"/>
  <c r="F109" i="3"/>
  <c r="H108" i="3" s="1"/>
  <c r="C108" i="3"/>
  <c r="C105" i="3"/>
  <c r="F105" i="3"/>
  <c r="K105" i="3" s="1"/>
  <c r="C104" i="3"/>
  <c r="K104" i="3"/>
  <c r="F101" i="3"/>
  <c r="K101" i="3" s="1"/>
  <c r="C101" i="3"/>
  <c r="C100" i="3"/>
  <c r="F97" i="3"/>
  <c r="K97" i="3" s="1"/>
  <c r="C97" i="3"/>
  <c r="C96" i="3"/>
  <c r="K96" i="3"/>
  <c r="K93" i="3"/>
  <c r="C93" i="3"/>
  <c r="H92" i="3"/>
  <c r="C92" i="3"/>
  <c r="K92" i="3"/>
  <c r="G92" i="3" s="1"/>
  <c r="C89" i="3"/>
  <c r="C88" i="3"/>
  <c r="K87" i="3"/>
  <c r="K88" i="3"/>
  <c r="L69" i="3"/>
  <c r="F69" i="3"/>
  <c r="C69" i="3"/>
  <c r="C67" i="3"/>
  <c r="K162" i="3"/>
  <c r="C63" i="3"/>
  <c r="C62" i="3"/>
  <c r="K62" i="3"/>
  <c r="F55" i="3"/>
  <c r="F54" i="3"/>
  <c r="F53" i="3"/>
  <c r="F49" i="3"/>
  <c r="C49" i="3"/>
  <c r="C48" i="3"/>
  <c r="F40" i="3"/>
  <c r="C36" i="3"/>
  <c r="C35" i="3"/>
  <c r="C34" i="3"/>
  <c r="K34" i="3"/>
  <c r="C29" i="3"/>
  <c r="C28" i="3"/>
  <c r="C27" i="3"/>
  <c r="C26" i="3"/>
  <c r="K20" i="3"/>
  <c r="C20" i="3"/>
  <c r="K19" i="3"/>
  <c r="C19" i="3"/>
  <c r="K18" i="3"/>
  <c r="C18" i="3"/>
  <c r="K17" i="3"/>
  <c r="C17" i="3"/>
  <c r="K16" i="3"/>
  <c r="I42" i="2"/>
  <c r="I30" i="2"/>
  <c r="I24" i="2"/>
  <c r="H22" i="2"/>
  <c r="H21" i="2"/>
  <c r="H20" i="2"/>
  <c r="H19" i="2"/>
  <c r="H18" i="2"/>
  <c r="H17" i="2"/>
  <c r="H16" i="2"/>
  <c r="H15" i="2"/>
  <c r="H14" i="2"/>
  <c r="AV267" i="6" l="1"/>
  <c r="AV269" i="6"/>
  <c r="AV264" i="6"/>
  <c r="AV266" i="6"/>
  <c r="AV268" i="6"/>
  <c r="AV270" i="6"/>
  <c r="AV272" i="6"/>
  <c r="AV274" i="6"/>
  <c r="AV276" i="6"/>
  <c r="AV278" i="6"/>
  <c r="AV280" i="6"/>
  <c r="AV282" i="6"/>
  <c r="AV256" i="6"/>
  <c r="AV265" i="6"/>
  <c r="AV281" i="6"/>
  <c r="AV252" i="6"/>
  <c r="AV254" i="6"/>
  <c r="AV251" i="6"/>
  <c r="AV253" i="6"/>
  <c r="AV255" i="6"/>
  <c r="AV258" i="6"/>
  <c r="C1228" i="6"/>
  <c r="D1227" i="6" s="1"/>
  <c r="T283" i="6"/>
  <c r="AV257" i="6"/>
  <c r="AV259" i="6"/>
  <c r="AV261" i="6"/>
  <c r="AV263" i="6"/>
  <c r="G283" i="6"/>
  <c r="AU283" i="6"/>
  <c r="AV271" i="6"/>
  <c r="AH283" i="6"/>
  <c r="AV260" i="6"/>
  <c r="AV262" i="6"/>
  <c r="AV273" i="6"/>
  <c r="AV275" i="6"/>
  <c r="AV277" i="6"/>
  <c r="AV279" i="6"/>
  <c r="AV250" i="6"/>
  <c r="K99" i="3"/>
  <c r="K100" i="3" s="1"/>
  <c r="K30" i="3"/>
  <c r="K29" i="3"/>
  <c r="K69" i="3"/>
  <c r="K26" i="3"/>
  <c r="J1228" i="6"/>
  <c r="L1224" i="6" s="1"/>
  <c r="C39" i="6"/>
  <c r="D34" i="6" s="1"/>
  <c r="J39" i="6"/>
  <c r="L34" i="6" s="1"/>
  <c r="K35" i="3"/>
  <c r="K61" i="3"/>
  <c r="K63" i="3" s="1"/>
  <c r="K66" i="3"/>
  <c r="K33" i="3"/>
  <c r="K67" i="3"/>
  <c r="K36" i="3"/>
  <c r="K109" i="3"/>
  <c r="D1223" i="6" l="1"/>
  <c r="AV283" i="6"/>
  <c r="D1224" i="6"/>
  <c r="D1226" i="6"/>
  <c r="D1225" i="6"/>
  <c r="L1223" i="6"/>
  <c r="L1226" i="6"/>
  <c r="L1227" i="6"/>
  <c r="L1225" i="6"/>
  <c r="L35" i="6"/>
  <c r="L37" i="6"/>
  <c r="L38" i="6"/>
  <c r="L36" i="6"/>
  <c r="D36" i="6"/>
  <c r="D38" i="6"/>
  <c r="D37" i="6"/>
  <c r="D35" i="6"/>
  <c r="F50" i="6" l="1"/>
  <c r="F51" i="6" l="1"/>
  <c r="H51" i="6" s="1"/>
  <c r="A65" i="6" l="1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<sst xmlns="http://schemas.openxmlformats.org/spreadsheetml/2006/main" count="4780" uniqueCount="1526">
  <si>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</si>
  <si>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</si>
  <si>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</si>
  <si>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</si>
  <si>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</si>
  <si>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</si>
  <si>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</si>
  <si>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</si>
  <si>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</si>
  <si>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</si>
  <si>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</si>
  <si>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</si>
  <si>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</si>
  <si>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</si>
  <si>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</si>
  <si>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</si>
  <si>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</si>
  <si>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</si>
  <si>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</si>
  <si>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</si>
  <si>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</si>
  <si>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</si>
  <si>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</si>
  <si>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</si>
  <si>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</si>
  <si>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</si>
  <si>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</si>
  <si>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</si>
  <si>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</si>
  <si>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</si>
  <si>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</si>
  <si>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</si>
  <si>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</si>
  <si>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</si>
  <si>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</si>
  <si>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</si>
  <si>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</si>
  <si>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</si>
  <si>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</si>
  <si>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</si>
  <si>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</si>
  <si>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</si>
  <si>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</si>
  <si>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</si>
  <si>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</si>
  <si>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</si>
  <si>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</si>
  <si>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</si>
  <si>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</si>
  <si>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</si>
  <si>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</si>
  <si>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</si>
  <si>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</si>
  <si>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</si>
  <si>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</si>
  <si>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</si>
  <si>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</si>
  <si>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</si>
  <si>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</si>
  <si>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</si>
  <si>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</si>
  <si>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</si>
  <si>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</si>
  <si>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</si>
  <si>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</si>
  <si>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</si>
  <si>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</si>
  <si>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</si>
  <si>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</si>
  <si>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</si>
  <si>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</si>
  <si>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</si>
  <si>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</si>
  <si>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</si>
  <si>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</si>
  <si>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</si>
  <si>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</si>
  <si>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</si>
  <si>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</si>
  <si>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</si>
  <si>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</si>
  <si>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</si>
  <si>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</si>
  <si>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</si>
  <si>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</si>
  <si>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</si>
  <si>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</si>
  <si>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</si>
  <si>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</si>
  <si>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</si>
  <si>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</si>
  <si>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</si>
  <si>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</si>
  <si>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</si>
  <si>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</si>
  <si>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</si>
  <si>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</si>
  <si>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</si>
  <si>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</si>
  <si>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</si>
  <si>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</si>
  <si>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</si>
  <si>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</si>
  <si>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</si>
  <si>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</si>
  <si>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</si>
  <si>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</si>
  <si>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</si>
  <si>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</si>
  <si>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</si>
  <si>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</si>
  <si>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</si>
  <si>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</si>
  <si>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</si>
  <si>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</si>
  <si>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</si>
  <si>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</si>
  <si>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</si>
  <si>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</si>
  <si>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</si>
  <si>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</si>
  <si>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</si>
  <si>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</si>
  <si>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</si>
  <si>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</si>
  <si>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</si>
  <si>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</si>
  <si>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</si>
  <si>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</si>
  <si>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</si>
  <si>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</si>
  <si>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</si>
  <si>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</si>
  <si>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</si>
  <si>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</si>
  <si>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</si>
  <si>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</si>
  <si>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</si>
  <si>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</si>
  <si>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</si>
  <si>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</si>
  <si>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</si>
  <si>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</si>
  <si>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</si>
  <si>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</si>
  <si>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</si>
  <si>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</si>
  <si>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</si>
  <si>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</si>
  <si>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</si>
  <si>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</si>
  <si>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</si>
  <si>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</si>
  <si>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</si>
  <si>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</si>
  <si>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</si>
  <si>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</si>
  <si>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</si>
  <si>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</si>
  <si>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</si>
  <si>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</si>
  <si>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</si>
  <si>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</si>
  <si>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</si>
  <si>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</si>
  <si>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</si>
  <si>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</si>
  <si>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</si>
  <si>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</si>
  <si>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</si>
  <si>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</si>
  <si>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</si>
  <si>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</si>
  <si>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</si>
  <si>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</si>
  <si>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</si>
  <si>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</si>
  <si>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</si>
  <si>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</si>
  <si>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</si>
  <si>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</si>
  <si>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</si>
  <si>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</si>
  <si>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</si>
  <si>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</si>
  <si>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</si>
  <si>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</si>
  <si>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</si>
  <si>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</si>
  <si>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</si>
  <si>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</si>
  <si>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</si>
  <si>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</si>
  <si>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</si>
  <si>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</si>
  <si>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</si>
  <si>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</si>
  <si>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</si>
  <si>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</si>
  <si>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</si>
  <si>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</si>
  <si>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</si>
  <si>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</si>
  <si>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</si>
  <si>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</si>
  <si>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</si>
  <si>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</si>
  <si>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</si>
  <si>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</si>
  <si>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</si>
  <si>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</si>
  <si>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</si>
  <si>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</si>
  <si>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</si>
  <si>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</si>
  <si>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</si>
  <si>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</si>
  <si>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</si>
  <si>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</si>
  <si>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</si>
  <si>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</si>
  <si>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</si>
  <si>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</si>
  <si>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</si>
  <si>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</si>
  <si>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</si>
  <si>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</si>
  <si>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</si>
  <si>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</si>
  <si>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</si>
  <si>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</si>
  <si>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</si>
  <si>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</si>
  <si>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</si>
  <si>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</si>
  <si>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</si>
  <si>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</si>
  <si>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</si>
  <si>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</si>
  <si>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</si>
  <si>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</si>
  <si>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</si>
  <si>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</si>
  <si>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</si>
  <si>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</si>
  <si>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</si>
  <si>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</si>
  <si>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</si>
  <si>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</si>
  <si>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</si>
  <si>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</si>
  <si>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</si>
  <si>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</si>
  <si>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</si>
  <si>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</si>
  <si>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</si>
  <si>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</si>
  <si>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</si>
  <si>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</si>
  <si>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</si>
  <si>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</si>
  <si>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</si>
  <si>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</si>
  <si>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</si>
  <si>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</si>
  <si>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</si>
  <si>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</si>
  <si>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</si>
  <si>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</si>
  <si>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</si>
  <si>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</si>
  <si>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</si>
  <si>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</si>
  <si>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</si>
  <si>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</si>
  <si>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</si>
  <si>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</si>
  <si>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</si>
  <si>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</si>
  <si>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</si>
  <si>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</si>
  <si>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</si>
  <si>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</si>
  <si>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</si>
  <si>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</si>
  <si>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</si>
  <si>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</si>
  <si>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</si>
  <si>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</si>
  <si>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</si>
  <si>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</si>
  <si>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</si>
  <si>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</si>
  <si>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</si>
  <si>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</si>
  <si>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</si>
  <si>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</si>
  <si>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</si>
  <si>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</si>
  <si>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</si>
  <si>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</si>
  <si>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</si>
  <si>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</si>
  <si>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</si>
  <si>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</si>
  <si>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</si>
  <si>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</si>
  <si>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</si>
  <si>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</si>
  <si>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</si>
  <si>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</si>
  <si>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</si>
  <si>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</si>
  <si>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</si>
  <si>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</si>
  <si>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</si>
  <si>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</si>
  <si>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</si>
  <si>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</si>
  <si>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</si>
  <si>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</si>
  <si>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</si>
  <si>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</si>
  <si>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</si>
  <si>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</si>
  <si>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</si>
  <si>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</si>
  <si>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</si>
  <si>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</si>
  <si>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</si>
  <si>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</si>
  <si>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</si>
  <si>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</si>
  <si>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</si>
  <si>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</si>
  <si>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</si>
  <si>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</si>
  <si>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</si>
  <si>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</si>
  <si>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</si>
  <si>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</si>
  <si>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</si>
  <si>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</si>
  <si>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</si>
  <si>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</si>
  <si>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</si>
  <si>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</si>
  <si>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</si>
  <si>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</si>
  <si>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</si>
  <si>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</si>
  <si>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</si>
  <si>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</si>
  <si>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</si>
  <si>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</si>
  <si>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</si>
  <si>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</si>
  <si>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</si>
  <si>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</si>
  <si>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</si>
  <si>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</si>
  <si>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</si>
  <si>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</si>
  <si>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</si>
  <si>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</si>
  <si>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</si>
  <si>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</si>
  <si>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</si>
  <si>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</si>
  <si>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</si>
  <si>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</si>
  <si>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</si>
  <si>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</si>
  <si>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</si>
  <si>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</si>
  <si>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</si>
  <si>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</si>
  <si>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</si>
  <si>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</si>
  <si>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</si>
  <si>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</si>
  <si>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</si>
  <si>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</si>
  <si>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</si>
  <si>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</si>
  <si>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</si>
  <si>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</si>
  <si>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</si>
  <si>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</si>
  <si>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</si>
  <si>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</si>
  <si>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</si>
  <si>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</si>
  <si>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</si>
  <si>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</si>
  <si>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</si>
  <si>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</si>
  <si>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</si>
  <si>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</si>
  <si>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</si>
  <si>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</si>
  <si>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</si>
  <si>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</si>
  <si>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</si>
  <si>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</si>
  <si>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</si>
  <si>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</si>
  <si>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</si>
  <si>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</si>
  <si>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</si>
  <si>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</si>
  <si>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</si>
  <si>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</si>
  <si>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</si>
  <si>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</si>
  <si>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</si>
  <si>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</si>
  <si>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</si>
  <si>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</si>
  <si>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</si>
  <si>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</si>
  <si>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</si>
  <si>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</si>
  <si>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</si>
  <si>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</si>
  <si>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</si>
  <si>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</si>
  <si>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</si>
  <si>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</si>
  <si>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</si>
  <si>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</si>
  <si>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</si>
  <si>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</si>
  <si>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</si>
  <si>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</si>
  <si>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</si>
  <si>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</si>
  <si>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</si>
  <si>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</si>
  <si>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</si>
  <si>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</si>
  <si>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</si>
  <si>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</si>
  <si>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</si>
  <si>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</si>
  <si>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</si>
  <si>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</si>
  <si>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</si>
  <si>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</si>
  <si>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</si>
  <si>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</si>
  <si>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</si>
  <si>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</si>
  <si>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</si>
  <si>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</si>
  <si>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</si>
  <si>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</si>
  <si>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</si>
  <si>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</si>
  <si>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</si>
  <si>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</si>
  <si>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</si>
  <si>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</si>
  <si>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</si>
  <si>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</si>
  <si>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</si>
  <si>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</si>
  <si>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</si>
  <si>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</si>
  <si>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</si>
  <si>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</si>
  <si>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</si>
  <si>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</si>
  <si>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</si>
  <si>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</si>
  <si>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</si>
  <si>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</si>
  <si>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</si>
  <si>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</si>
  <si>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</si>
  <si>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</si>
  <si>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</si>
  <si>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</si>
  <si>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</si>
  <si>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</si>
  <si>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</si>
  <si>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</si>
  <si>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</si>
  <si>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</si>
  <si>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</si>
  <si>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</si>
  <si>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</si>
  <si>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</si>
  <si>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</si>
  <si>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</si>
  <si>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</si>
  <si>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</si>
  <si>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</si>
  <si>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</si>
  <si>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</si>
  <si>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</si>
  <si>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</si>
  <si>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</si>
  <si>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</si>
  <si>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</si>
  <si>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</si>
  <si>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</si>
  <si>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</si>
  <si>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</si>
  <si>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</si>
  <si>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</si>
  <si>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</si>
  <si>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</si>
  <si>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</si>
  <si>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</si>
  <si>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</si>
  <si>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</si>
  <si>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</si>
  <si>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</si>
  <si>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</si>
  <si>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</si>
  <si>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</si>
  <si>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</si>
  <si>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</si>
  <si>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</si>
  <si>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</si>
  <si>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</si>
  <si>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</si>
  <si>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</si>
  <si>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</si>
  <si>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</si>
  <si>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</si>
  <si>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</si>
  <si>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</si>
  <si>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</si>
  <si>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</si>
  <si>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</si>
  <si>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</si>
  <si>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</si>
  <si>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</si>
  <si>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</si>
  <si>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</si>
  <si>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</si>
  <si>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</si>
  <si>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</si>
  <si>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</si>
  <si>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</si>
  <si>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</si>
  <si>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</si>
  <si>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</si>
  <si>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</si>
  <si>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</si>
  <si>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</si>
  <si>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</si>
  <si>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</si>
  <si>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</si>
  <si>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</si>
  <si>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</si>
  <si>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</si>
  <si>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</si>
  <si>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</si>
  <si>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</si>
  <si>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</si>
  <si>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</si>
  <si>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</si>
  <si>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</si>
  <si>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</si>
  <si>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</si>
  <si>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</si>
  <si>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</si>
  <si>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</si>
  <si>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</si>
  <si>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</si>
  <si>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</si>
  <si>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</si>
  <si>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</si>
  <si>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</si>
  <si>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</si>
  <si>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</si>
  <si>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</si>
  <si>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</si>
  <si>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</si>
  <si>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</si>
  <si>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</si>
  <si>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</si>
  <si>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</si>
  <si>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</si>
  <si>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</si>
  <si>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</si>
  <si>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</si>
  <si>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</si>
  <si>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</si>
  <si>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</si>
  <si>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</si>
  <si>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</si>
  <si>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</si>
  <si>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</si>
  <si>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</si>
  <si>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</si>
  <si>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</si>
  <si>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</si>
  <si>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</si>
  <si>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</si>
  <si>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</si>
  <si>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</si>
  <si>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</si>
  <si>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</si>
  <si>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</si>
  <si>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</si>
  <si>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</si>
  <si>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</si>
  <si>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</si>
  <si>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</si>
  <si>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</si>
  <si>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</si>
  <si>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</si>
  <si>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</si>
  <si>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</si>
  <si>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</si>
  <si>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</si>
  <si>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</si>
  <si>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</si>
  <si>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</si>
  <si>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</si>
  <si>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</si>
  <si>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</si>
  <si>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</si>
  <si>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</si>
  <si>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</si>
  <si>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</si>
  <si>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</si>
  <si>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</si>
  <si>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</si>
  <si>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</si>
  <si>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</si>
  <si>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</si>
  <si>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</si>
  <si>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</si>
  <si>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</si>
  <si>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</si>
  <si>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</si>
  <si>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</si>
  <si>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</si>
  <si>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</si>
  <si>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</si>
  <si>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</si>
  <si>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</si>
  <si>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</si>
  <si>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</si>
  <si>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</si>
  <si>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</si>
  <si>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</si>
  <si>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</si>
  <si>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</si>
  <si>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</si>
  <si>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</si>
  <si>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</si>
  <si>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</si>
  <si>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</si>
  <si>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</si>
  <si>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</si>
  <si>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</si>
  <si>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</si>
  <si>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</si>
  <si>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</si>
  <si>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</si>
  <si>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</si>
  <si>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</si>
  <si>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</si>
  <si>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</si>
  <si>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</si>
  <si>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</si>
  <si>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</si>
  <si>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</si>
  <si>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</si>
  <si>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</si>
  <si>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</si>
  <si>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</si>
  <si>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</si>
  <si>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</si>
  <si>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</si>
  <si>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</si>
  <si>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</si>
  <si>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</si>
  <si>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</si>
  <si>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</si>
  <si>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</si>
  <si>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</si>
  <si>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</si>
  <si>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</si>
  <si>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</si>
  <si>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</si>
  <si>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</si>
  <si>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</si>
  <si>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</si>
  <si>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</si>
  <si>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</si>
  <si>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</si>
  <si>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</si>
  <si>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</si>
  <si>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</si>
  <si>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</si>
  <si>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</si>
  <si>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</si>
  <si>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</si>
  <si>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</si>
  <si>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</si>
  <si>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</si>
  <si>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</si>
  <si>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</si>
  <si>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</si>
  <si>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</si>
  <si>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</si>
  <si>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</si>
  <si>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</si>
  <si>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</si>
  <si>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</si>
  <si>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</si>
  <si>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</si>
  <si>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</si>
  <si>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</si>
  <si>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</si>
  <si>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</si>
  <si>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</si>
  <si>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</si>
  <si>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</si>
  <si>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</si>
  <si>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</si>
  <si>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</si>
  <si>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</si>
  <si>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</si>
  <si>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</si>
  <si>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</si>
  <si>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</si>
  <si>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</si>
  <si>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</si>
  <si>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</si>
  <si>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</si>
  <si>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</si>
  <si>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</si>
  <si>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</si>
  <si>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</si>
  <si>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</si>
  <si>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</si>
  <si>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</si>
  <si>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</si>
  <si>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</si>
  <si>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</si>
  <si>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</si>
  <si>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</si>
  <si>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</si>
  <si>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</si>
  <si>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</si>
  <si>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</si>
  <si>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</si>
  <si>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</si>
  <si>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</si>
  <si>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</si>
  <si>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</si>
  <si>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</si>
  <si>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</si>
  <si>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</si>
  <si>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</si>
  <si>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</si>
  <si>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</si>
  <si>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</si>
  <si>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</si>
  <si>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</si>
  <si>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</si>
  <si>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</si>
  <si>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</si>
  <si>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</si>
  <si>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</si>
  <si>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</si>
  <si>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</si>
  <si>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</si>
  <si>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</si>
  <si>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</si>
  <si>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</si>
  <si>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</si>
  <si>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</si>
  <si>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</si>
  <si>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</si>
  <si>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</si>
  <si>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</si>
  <si>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</si>
  <si>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</si>
  <si>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</si>
  <si>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</si>
  <si>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</si>
  <si>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</si>
  <si>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</si>
  <si>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</si>
  <si>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</si>
  <si>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</si>
  <si>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</si>
  <si>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</si>
  <si>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</si>
  <si>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</si>
  <si>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</si>
  <si>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</si>
  <si>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</si>
  <si>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</si>
  <si>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</si>
  <si>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</si>
  <si>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</si>
  <si>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</si>
  <si>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</si>
  <si>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</si>
  <si>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</si>
  <si>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</si>
  <si>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</si>
  <si>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</si>
  <si>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</si>
  <si>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</si>
  <si>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</si>
  <si>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</si>
  <si>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</si>
  <si>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</si>
  <si>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</si>
  <si>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</si>
  <si>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</si>
  <si>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</si>
  <si>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</si>
  <si>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</si>
  <si>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</si>
  <si>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</si>
  <si>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</si>
  <si>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</si>
  <si>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</si>
  <si>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</si>
  <si>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</si>
  <si>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</si>
  <si>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</si>
  <si>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</si>
  <si>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</si>
  <si>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</si>
  <si>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</si>
  <si>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</si>
  <si>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</si>
  <si>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</si>
  <si>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</si>
  <si>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</si>
  <si>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</si>
  <si>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</si>
  <si>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</si>
  <si>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</si>
  <si>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</si>
  <si>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</si>
  <si>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</si>
  <si>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</si>
  <si>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</si>
  <si>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</si>
  <si>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</si>
  <si>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</si>
  <si>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</si>
  <si>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</si>
  <si>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</si>
  <si>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</si>
  <si>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</si>
  <si>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</si>
  <si>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</si>
  <si>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</si>
  <si>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</si>
  <si>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</si>
  <si>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</si>
  <si>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</si>
  <si>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</si>
  <si>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</si>
  <si>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</si>
  <si>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</si>
  <si>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</si>
  <si>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</si>
  <si>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</si>
  <si>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</si>
  <si>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</si>
  <si>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</si>
  <si>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</si>
  <si>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</si>
  <si>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</si>
  <si>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</si>
  <si>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</si>
  <si>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</si>
  <si>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</si>
  <si>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</si>
  <si>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</si>
  <si>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</si>
  <si>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</si>
  <si>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</si>
  <si>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</si>
  <si>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</si>
  <si>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</si>
  <si>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</si>
  <si>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</si>
  <si>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</si>
  <si>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</si>
  <si>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</si>
  <si>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</si>
  <si>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</si>
  <si>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</si>
  <si>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</si>
  <si>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</si>
  <si>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</si>
  <si>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</si>
  <si>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</si>
  <si>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</si>
  <si>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</si>
  <si>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</si>
  <si>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</si>
  <si>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</si>
  <si>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</si>
  <si>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</si>
  <si>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</si>
  <si>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</si>
  <si>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</si>
  <si>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</si>
  <si>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</si>
  <si>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</si>
  <si>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</si>
  <si>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</si>
  <si>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</si>
  <si>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</si>
  <si>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</si>
  <si>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</si>
  <si>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</si>
  <si>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</si>
  <si>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</si>
  <si>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</si>
  <si>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</si>
  <si>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</si>
  <si>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</si>
  <si>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</si>
  <si>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</si>
  <si>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</si>
  <si>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</si>
  <si>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</si>
  <si>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</si>
  <si>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</si>
  <si>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</si>
  <si>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</si>
  <si>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</si>
  <si>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</si>
  <si>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</si>
  <si>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</si>
  <si>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</si>
  <si>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</si>
  <si>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</si>
  <si>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</si>
  <si>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</si>
  <si>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</si>
  <si>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</si>
  <si>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</si>
  <si>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</si>
  <si>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</si>
  <si>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</si>
  <si>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</si>
  <si>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</si>
  <si>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</si>
  <si>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</si>
  <si>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</si>
  <si>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</si>
  <si>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</si>
  <si>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</si>
  <si>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</si>
  <si>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</si>
  <si>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</si>
  <si>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</si>
  <si>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</si>
  <si>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</si>
  <si>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</si>
  <si>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</si>
  <si>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</si>
  <si>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</si>
  <si>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</si>
  <si>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</si>
  <si>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</si>
  <si>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</si>
  <si>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</si>
  <si>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</si>
  <si>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</si>
  <si>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</si>
  <si>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</si>
  <si>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</si>
  <si>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</si>
  <si>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</si>
  <si>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</si>
  <si>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</si>
  <si>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</si>
  <si>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</si>
  <si>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</si>
  <si>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</si>
  <si>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</si>
  <si>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</si>
  <si>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</si>
  <si>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</si>
  <si>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</si>
  <si>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</si>
  <si>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</si>
  <si>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</si>
  <si>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</si>
  <si>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</si>
  <si>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</si>
  <si>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</si>
  <si>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</si>
  <si>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</si>
  <si>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</si>
  <si>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</si>
  <si>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</si>
  <si>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</si>
  <si>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</si>
  <si>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</si>
  <si>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</si>
  <si>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</si>
  <si>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</si>
  <si>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</si>
  <si>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</si>
  <si>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</si>
  <si>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</si>
  <si>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</si>
  <si>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</si>
  <si>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</si>
  <si>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</si>
  <si>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</si>
  <si>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</si>
  <si>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</si>
  <si>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</si>
  <si>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</si>
  <si>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</si>
  <si>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</si>
  <si>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</si>
  <si>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</si>
  <si>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</si>
  <si>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</si>
  <si>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</si>
  <si>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</si>
  <si>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</si>
  <si>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</si>
  <si>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</si>
  <si>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</si>
  <si>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</si>
  <si>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</si>
  <si>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</si>
  <si>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</si>
  <si>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</si>
  <si>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</si>
  <si>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</si>
  <si>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</si>
  <si>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</si>
  <si>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</si>
  <si>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</si>
  <si>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</si>
  <si>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</si>
  <si>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</si>
  <si>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</si>
  <si>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</si>
  <si>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</si>
  <si>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</si>
  <si>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</si>
  <si>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</si>
  <si>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</si>
  <si>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</si>
  <si>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</si>
  <si>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</si>
  <si>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</si>
  <si>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</si>
  <si>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</si>
  <si>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</si>
  <si>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</si>
  <si>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</si>
  <si>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</si>
  <si>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</si>
  <si>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</si>
  <si>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</si>
  <si>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</si>
  <si>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</si>
  <si>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</si>
  <si>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</si>
  <si>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</si>
  <si>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</si>
  <si>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</si>
  <si>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</si>
  <si>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</si>
  <si>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</si>
  <si>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</si>
  <si>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</si>
  <si>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</si>
  <si>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</si>
  <si>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</si>
  <si>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</si>
  <si>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</si>
  <si>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</si>
  <si>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</si>
  <si>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</si>
  <si>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</si>
  <si>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</si>
  <si>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</si>
  <si>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</si>
  <si>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</si>
  <si>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</si>
  <si>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</si>
  <si>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</si>
  <si>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</si>
  <si>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</si>
  <si>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</si>
  <si>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</si>
  <si>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</si>
  <si>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</si>
  <si>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</si>
  <si>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</si>
  <si>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</si>
  <si>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</si>
  <si>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</si>
  <si>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</si>
  <si>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</si>
  <si>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</si>
  <si>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</si>
  <si>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</si>
  <si>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</si>
  <si>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</si>
  <si>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</si>
  <si>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</si>
  <si>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</si>
  <si>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</si>
  <si>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</si>
  <si>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</si>
  <si>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</si>
  <si>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</si>
  <si>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</si>
  <si>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</si>
  <si>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</si>
  <si>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</si>
  <si>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</si>
  <si>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</si>
  <si>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</si>
  <si>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</si>
  <si>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</si>
  <si>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</si>
  <si>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</si>
  <si>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</si>
  <si>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</si>
  <si>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</si>
  <si>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</si>
  <si>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</si>
  <si>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</si>
  <si>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</si>
  <si>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</si>
  <si>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</si>
  <si>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</si>
  <si>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</si>
  <si>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</si>
  <si>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</si>
  <si>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</si>
  <si>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</si>
  <si>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</si>
  <si>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</si>
  <si>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</si>
  <si>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</si>
  <si>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</si>
  <si>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</si>
  <si>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</si>
  <si>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</si>
  <si>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</si>
  <si>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</si>
  <si>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</si>
  <si>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</si>
  <si>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</si>
  <si>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</si>
  <si>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</si>
  <si>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</si>
  <si>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</si>
  <si>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</si>
  <si>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</si>
  <si>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</si>
  <si>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</si>
  <si>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</si>
  <si>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</si>
  <si>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</si>
  <si>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</si>
  <si>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</si>
  <si>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</si>
  <si>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</si>
  <si>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</si>
  <si>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</si>
  <si>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</si>
  <si>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</si>
  <si>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</si>
  <si>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</si>
  <si>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</si>
  <si>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</si>
  <si>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</si>
  <si>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</si>
  <si>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</si>
  <si>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</si>
  <si>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</si>
  <si>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</si>
  <si>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</si>
  <si>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</si>
  <si>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</si>
  <si>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</si>
  <si>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</si>
  <si>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</si>
  <si>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</si>
  <si>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</si>
  <si>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</si>
  <si>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</si>
  <si>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</si>
  <si>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</si>
  <si>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</si>
  <si>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</si>
  <si>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</si>
  <si>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</si>
  <si>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</si>
  <si>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</si>
  <si>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</si>
  <si>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</si>
  <si>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</si>
  <si>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</si>
  <si>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</si>
  <si>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</si>
  <si>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</si>
  <si>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</si>
  <si>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</si>
  <si>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</si>
  <si>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</si>
  <si>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</si>
  <si>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</si>
  <si>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</si>
  <si>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</si>
  <si>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</si>
  <si>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</si>
  <si>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</si>
  <si>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</si>
  <si>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</si>
  <si>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</si>
  <si>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</si>
  <si>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</si>
  <si>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</si>
  <si>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</si>
  <si>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</si>
  <si>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</si>
  <si>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</si>
  <si>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</si>
  <si>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</si>
  <si>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</si>
  <si>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</si>
  <si>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</si>
  <si>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</si>
  <si>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</si>
  <si>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</si>
  <si>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</si>
  <si>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</si>
  <si>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</si>
  <si>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</si>
  <si>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</si>
  <si>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</si>
  <si>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</si>
  <si>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</si>
  <si>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</si>
  <si>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</si>
  <si>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#6</t>
  </si>
  <si>
    <t>&lt; WARNING &gt; Адаптер&gt; ссылка SFD/18:2(0062000000CTPKi) не работает, результат &lt;пусто&gt;</t>
  </si>
  <si>
    <t>&lt; WARNING &gt; Адаптер&gt; ссылка SFD/18:15(0062000000CTPKi) не работает, результат &lt;пусто&gt;</t>
  </si>
  <si>
    <t>MoveToMatch: В файл '1C.xlsx' загружен новый отчет 'Список клиентов 1C'; EOL=2025 строк, в прежнем 2020_x000D_
Это ПОЛНЫЙ документ.</t>
  </si>
  <si>
    <t>Список клиентов 1С на 18.09.13</t>
  </si>
  <si>
    <t>Рассматриваются документы с даты 01.01.07 по дату 18.09.13</t>
  </si>
  <si>
    <t>MoveToMatch: В файл 'SFDC.xlsx' загружен новый отчет 'ADSKfrSF'; EOL=2242 строк, в прежнем 2200_x000D_
Это ПОЛНЫЙ документ.</t>
  </si>
  <si>
    <t>MoveToMatch: В файл 'SFDC.xlsx' загружен новый отчет 'ADSKfrSF'; EOL=2243 строк, в прежнем 2242_x000D_
Это ПОЛНЫЙ документ.</t>
  </si>
  <si>
    <t>ВНИМАНИЕ:Это файл базы данных match! Его не надо загружать.</t>
  </si>
  <si>
    <t>adapt profile: total = 7,91_x000D_
By steps =  5,65</t>
  </si>
  <si>
    <t>MoveToMatch: В файл 'SFDC.xlsx' загружен новый отчет 'SFacc'; EOL=4749 строк, в прежнем 4712_x000D_
Это ПОЛНЫЙ документ.</t>
  </si>
  <si>
    <t>adapt profile: total = 85,95_x000D_
By steps =  22,83 0,12 35,47 5,47 0,04 0,02 0,03 0,02 0,03 0,02 0,04 0,04 0,01 0,03 0,03 0,01 0,03 0,02 0,02 0,01 0,02 0,02 0,02 0,02 0,02 0,03 0,01 0,01 0,02 14,30 0,00 0,00 0,00 0,00 0,00 0,00 0,00 0,00</t>
  </si>
  <si>
    <t>adapt profile: total = 11,56_x000D_
By steps =  2,16 5,64 1,04 0,00 0,01 0,01 0,81 0,02 0,00 0,00 0,00 0,00 0,00 0,01 0,00 0,00 0,00 0,00 0,01 0,00 0,01 0,01 0,00 0,00 0,00 0,01</t>
  </si>
  <si>
    <t>adapt profile: total = 9,77_x000D_
By steps =  7,52</t>
  </si>
  <si>
    <t>C:\Users\Pavel_Khrapkin\Documents\Pavel\match\matchDBs\</t>
  </si>
  <si>
    <t>&lt; WARNING &gt; Адаптер&gt; ссылка SFD/4:15(2010-1-060) не работает, результат &lt;пусто&gt;</t>
  </si>
  <si>
    <t>ВНИМАНИЕ:WrNewSheet: Ошибка при записи в лист 'NewContract'_x000D_
 из листа 'Договоры' строки=847_x000D_
 в колонке=10 =18 X=Договор 2010-1-060_x000D_
 Адаптер=MainContract Fetch =SFD/4:15</t>
  </si>
  <si>
    <t>MoveToMatch: В файл 'SFDC.xlsx' загружен новый отчет 'SFD'; EOL=1165 строк, в прежнем 1164_x000D_
Это ПОЛНЫЙ документ.</t>
  </si>
  <si>
    <t>&lt;! ERROR !&gt; Необходимо загрузить заново 'SFopp' за 15.09.2013 15:24:00_x000D_
Он устарел относительно 'SFD' за 21.09.2013 0:46:00</t>
  </si>
  <si>
    <t>MoveToMatch: В файл 'SFDC.xlsx' загружен новый отчет 'SFopp'; EOL=3594 строк, в прежнем 3591_x000D_
Это ПОЛНЫЙ документ.</t>
  </si>
  <si>
    <t>MoveToMatch: В файл 'SFDC.xlsx' загружен новый отчет 'SFD'; EOL=1165 строк, в прежнем 1165_x000D_
Это ПОЛНЫЙ документ.</t>
  </si>
  <si>
    <t>adapt profile: total = 4,43_x000D_
By steps =  4,06 0,01</t>
  </si>
  <si>
    <t>adapt profile: total = 6,58_x000D_
By steps =  0,88 3,73 0,75 0,01 0,00 0,00 0,58 0,00 0,00 0,00 0,00 0,00 0,00 0,00 0,00 0,00 0,00 0,00 0,00 0,00 0,00 0,00 0,00 0,01 0,00 0,00</t>
  </si>
  <si>
    <t>&lt; WARNING &gt; Адаптер&gt; ссылка SFD/4:15(2012-2-74) не работает, результат &lt;пусто&gt;</t>
  </si>
  <si>
    <t>ВНИМАНИЕ:WrNewSheet: Ошибка при записи в лист 'NewContract'_x000D_
 из листа 'Договоры' строки=983_x000D_
 в колонке=10 =18 X=Договор 2012-2-74_x000D_
 Адаптер=MainContract Fetch =SFD/4:15</t>
  </si>
  <si>
    <t>&lt; WARNING &gt; Адаптер&gt; ссылка SFacc/3:4/W(001D000001BqQDk) не работает, результат &lt;пусто&gt;</t>
  </si>
  <si>
    <t>ВНИМАНИЕ:WrNewSheet: Ошибка при записи в лист 'NewContract'_x000D_
 из листа 'Договоры' строки=1208_x000D_
 в колонке=17 =1 X=001D000001BqQDk_x000D_
 Адаптер= Fetch =SFacc/3:4/W</t>
  </si>
  <si>
    <t>&lt; WARNING &gt; Адаптер&gt; ссылка SFD/4:15(2008-2-050) не работает, результат &lt;пусто&gt;</t>
  </si>
  <si>
    <t>ВНИМАНИЕ:WrNewSheet: Ошибка при записи в лист 'NewContract'_x000D_
 из листа 'Договоры' строки=1228_x000D_
 в колонке=10 =18 X=Договор 2008-2-050_x000D_
 Адаптер=MainContract Fetch =SFD/4:15</t>
  </si>
  <si>
    <t>&lt; WARNING &gt; Адаптер&gt; ссылка SFD/4:15(2008-2-008) не работает, результат &lt;пусто&gt;</t>
  </si>
  <si>
    <t>ВНИМАНИЕ:WrNewSheet: Ошибка при записи в лист 'NewContract'_x000D_
 из листа 'Договоры' строки=1242_x000D_
 в колонке=10 =18 X=Договор 2008-2-008_x000D_
 Адаптер=MainContract Fetch =SFD/4:15</t>
  </si>
  <si>
    <t>&lt; WARNING &gt; Адаптер&gt; ссылка SFacc/3:4/W(001D000000jhYqa) не работает, результат &lt;пусто&gt;</t>
  </si>
  <si>
    <t>ВНИМАНИЕ:WrNewSheet: Ошибка при записи в лист 'NewContract'_x000D_
 из листа 'Договоры' строки=1276_x000D_
 в колонке=17 =1 X=001D000000jhYqa_x000D_
 Адаптер= Fetch =SFacc/3:4/W</t>
  </si>
  <si>
    <t>&lt; WARNING &gt; Адаптер&gt; ссылка SFacc/3:4/W(001D000000viXYI) не работает, результат &lt;пусто&gt;</t>
  </si>
  <si>
    <t>ВНИМАНИЕ:WrNewSheet: Ошибка при записи в лист 'NewContract'_x000D_
 из листа 'Договоры' строки=1299_x000D_
 в колонке=17 =1 X=001D000000viXYI_x000D_
 Адаптер= Fetch =SFacc/3:4/W</t>
  </si>
  <si>
    <t>ВНИМАНИЕ:WrNewSheet: Ошибка при записи в лист 'NewContract'_x000D_
 из листа 'Договоры' строки=1301_x000D_
 в колонке=17 =1 X=001D000000viXYI_x000D_
 Адаптер= Fetch =SFacc/3:4/W</t>
  </si>
  <si>
    <t>&lt; WARNING &gt; Адаптер&gt; ссылка SFD/4:15(2013-2-26) не работает, результат &lt;пусто&gt;</t>
  </si>
  <si>
    <t>ВНИМАНИЕ:WrNewSheet: Ошибка при записи в лист 'NewContract'_x000D_
 из листа 'Договоры' строки=1317_x000D_
 в колонке=10 =18 X=Договор 2013-2-26_x000D_
 Адаптер=MainContract Fetch =SFD/4:15</t>
  </si>
  <si>
    <t>&lt; WARNING &gt; Адаптер&gt; ссылка SFacc/3:4/W(0012000000X1sph) не работает, результат &lt;пусто&gt;</t>
  </si>
  <si>
    <t>ВНИМАНИЕ:WrNewSheet: Ошибка при записи в лист 'NewContract'_x000D_
 из листа 'Договоры' строки=1329_x000D_
 в колонке=17 =1 X=0012000000X1sph_x000D_
 Адаптер= Fetch =SFacc/3:4/W</t>
  </si>
  <si>
    <t>&lt; WARNING &gt; Адаптер&gt; ссылка SFacc/3:5/W(001D000001Cj7sa) не работает, результат &lt;пусто&gt;</t>
  </si>
  <si>
    <t>ВНИМАНИЕ:WrNewSheet: Ошибка при записи в лист 'NewContract'_x000D_
 из листа 'Договоры' строки=1335_x000D_
 в колонке=18 =1 X=001D000001Cj7sa_x000D_
 Адаптер= Fetch =SFacc/3:5/W</t>
  </si>
  <si>
    <t>WrCSV&gt; в 'Dogovor.txt' записано 42 строк.</t>
  </si>
  <si>
    <t>MoveToMatch: В файл 'SFDC.xlsx' загружен новый отчет 'SFD'; EOL=1206 строк, в прежнем 1165_x000D_
Это ПОЛНЫЙ документ.</t>
  </si>
  <si>
    <t>&lt;! ERROR !&gt; Необходимо загрузить заново 'SFopp' за 21.09.2013 0:48:00_x000D_
Он устарел относительно 'SFD' за 21.09.2013 1:28:00</t>
  </si>
  <si>
    <t>MoveToMatch: В файл 'SFDC.xlsx' загружен новый отчет 'SFD'; EOL=1206 строк, в прежнем 1206_x000D_
Это ПОЛНЫЙ документ.</t>
  </si>
  <si>
    <t>adapt profile: total = 5,39_x000D_
By steps =  4,99 0,01</t>
  </si>
  <si>
    <t>adapt profile: total = 6,81_x000D_
By steps =  0,88 3,86 0,79 0,01 0,00 0,00 0,61 0,01 0,00 0,00 0,00 0,00 0,00 0,00 0,00 0,00 0,00 0,00 0,00 0,00 0,00 0,00 0,01 0,00 0,00 0,00</t>
  </si>
  <si>
    <t>MoveToMatch: В файл 'SFDC.xlsx' загружен новый отчет 'SFD'; EOL=1203 строк, в прежнем 1206_x000D_
Это ПОЛНЫЙ документ.</t>
  </si>
  <si>
    <t>adapt profile: total = 6,80_x000D_
By steps =  6,37 0,02</t>
  </si>
  <si>
    <t>adapt profile: total = 6,83_x000D_
By steps =  0,89 3,89 0,76 0,00 0,00 0,00 0,62 0,01 0,00 0,00 0,00 0,00 0,00 0,00 0,00 0,00 0,00 0,00 0,00 0,00 0,00 0,00 0,00 0,00 0,00 0,00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</si>
  <si>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</si>
  <si>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</si>
  <si>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SFopp/4:№(ООО "ИКСПИ-групп") не работает, результат &lt;пусто&gt;</t>
  </si>
  <si>
    <t>&lt; WARNING &gt; Адаптер&gt; ссылка SFopp/4:№(ОАО "ЦКБ МТ "Рубин") не работает, результат &lt;пусто&gt;</t>
  </si>
  <si>
    <t>&lt; WARNING &gt; Адаптер&gt; ссылка SFopp/4:№(ОАО "СПбАЭП" &lt;ИЛИ&gt; Филиал ОАО "Головной институт "ВНИПИЭТ" "СПбАЭП") не работает, результат &lt;пусто&gt;</t>
  </si>
  <si>
    <t>&lt; WARNING &gt; Адаптер&gt; ссылка SFopp/4:№(ОАО "Омскнефтехимпроект") не работает, результат &lt;пусто&gt;</t>
  </si>
  <si>
    <t>&lt; WARNING &gt; Адаптер&gt; ссылка SFopp/4:№(ЗАО "АЭМ-технологии") не работает, результат &lt;пусто&gt;</t>
  </si>
  <si>
    <t>&lt; WARNING &gt; Адаптер&gt; ссылка SFopp/4:№(ЗАО "ПитерГОРпроект") не работает, результат &lt;пусто&gt;</t>
  </si>
  <si>
    <t>&lt; WARNING &gt; Адаптер&gt; ссылка SFopp/4:№(ОАО "НИАЭП") не работает, результат &lt;пусто&gt;</t>
  </si>
  <si>
    <t>&lt; WARNING &gt; Адаптер&gt; ссылка SFopp/4:№(ООО "Дисплей Балтика") не работает, результат &lt;пусто&gt;</t>
  </si>
  <si>
    <t>&lt; WARNING &gt; Адаптер&gt; ссылка SFopp/4:№(ООО "ОНИКС") не работает, результат &lt;пусто&gt;</t>
  </si>
  <si>
    <t>&lt; WARNING &gt; Адаптер&gt; ссылка SFopp/4:№(ООО "ГорноХимический инжиниринг") не работает, результат &lt;пусто&gt;</t>
  </si>
  <si>
    <t>&lt; WARNING &gt; Адаптер&gt; ссылка SFopp/4:№(ЗАО "РОСПРОЕКТ") не работает, результат &lt;пусто&gt;</t>
  </si>
  <si>
    <t>&lt; WARNING &gt; Адаптер&gt; ссылка SFopp/4:№(ЗАО "ДСК Блок") не работает, результат &lt;пусто&gt;</t>
  </si>
  <si>
    <t>&lt; WARNING &gt; Адаптер&gt; ссылка SFopp/4:№(ОАО "СЭМ") не работает, результат &lt;пусто&gt;</t>
  </si>
  <si>
    <t>&lt; WARNING &gt; Адаптер&gt; ссылка SFopp/4:№(Филиал "35 СРЗ" ОАО "ЦС "Звездочка") не работает, результат &lt;пусто&gt;</t>
  </si>
  <si>
    <t>&lt; WARNING &gt; Адаптер&gt; ссылка SFopp/4:№(ОАО "ЦТСС") не работает, результат &lt;пусто&gt;</t>
  </si>
  <si>
    <t>&lt; WARNING &gt; Адаптер&gt; ссылка SFopp/4:№(ООО "Севзапгазпроект") не работает, результат &lt;пусто&gt;</t>
  </si>
  <si>
    <t>&lt; WARNING &gt; Адаптер&gt; ссылка SFopp/4:№(ЗАО "Архгипробум") не работает, результат &lt;пусто&gt;</t>
  </si>
  <si>
    <t>&lt; WARNING &gt; Адаптер&gt; ссылка SFopp/4:№(ОАО "Ленгипромез") не работает, результат &lt;пусто&gt;</t>
  </si>
  <si>
    <t>&lt; WARNING &gt; Адаптер&gt; ссылка SFopp/4:№(ОАО "Тулагипрохим") не работает, результат &lt;пусто&gt;</t>
  </si>
  <si>
    <t>&lt; WARNING &gt; Адаптер&gt; ссылка SFD/2:15(4) не работает, результат &lt;пусто&gt;</t>
  </si>
  <si>
    <t>ВНИМАНИЕ:WrNewSheet: Ошибка при записи в лист 'ContractUpdate'_x000D_
 из листа 'Платежи' строки=59_x000D_
 в колонке=1 =25 X=4                   _x000D_
 Адаптер=ContrK/26 Fetch =SFD/2:15</t>
  </si>
  <si>
    <t>&lt;! ERROR !&gt; PaidAnalitics|NonDialogPass&gt; FetchDoc Список клиентов 1C/5:№/0вернул нечисловое значение номера строки</t>
  </si>
  <si>
    <t>&lt; WARNING &gt; Адаптер&gt; ссылка SFacc/3:1(ООО "Инженерный Центр") не работает, результат &lt;пусто&gt;</t>
  </si>
  <si>
    <t>ВНИМАНИЕ:NonDialogPass: не могу автоматически создать новый Проект ООО "Инженерный Центр"-Расходники_x000D_
Пожалуйста, создай его в SF со всеми атрибутами сам!</t>
  </si>
  <si>
    <t>ВНИМАНИЕ:NonDialogPass: не могу автоматически создать новый Проект _x000D_
_x000D_
	ООО "Инженерный Центр"-Расходники_x000D_
_x000D_
Пожалуйста, создай его в SF со всеми атрибутами сам!</t>
  </si>
  <si>
    <t>MoveToMatch: В файл 'SFDC.xlsx' загружен новый отчет 'SFD'; EOL=1203 строк, в прежнем 1203_x000D_
Это ПОЛНЫЙ документ.</t>
  </si>
  <si>
    <t>adapt profile: total = 5,62_x000D_
By steps =  5,29 0,02</t>
  </si>
  <si>
    <t>adapt profile: total = 7,04_x000D_
By steps =  0,96 4,05 0,79 0,00 0,00 0,00 0,64 0,00 0,01 0,00 0,00 0,00 0,00 0,00 0,00 0,00 0,00 0,00 0,00 0,00 0,01 0,00 0,00 0,00 0,00 0,00</t>
  </si>
  <si>
    <t>MoveToMatch: В файл 'SFDC.xlsx' загружен новый отчет 'SF'; EOL=4910 строк, в прежнем 4909_x000D_
Это ПОЛНЫЙ документ.</t>
  </si>
  <si>
    <t>adapt profile: total = 51,89_x000D_
By steps =  15,59 0,05 14,73 4,70 0,02 0,01 0,01 0,01 0,02 0,03 0,02 0,01 0,01 0,02 0,00 0,00 0,01 0,02 0,02 0,02 0,02 0,02 0,01 0,03 0,01 0,01 0,01 0,02 0,01 14,43 0,00 0,00 0,00 0,00 0,00 0,00 0,00 0,00</t>
  </si>
  <si>
    <t>adapt profile: total = 17,52_x000D_
By steps =  15,88 0,07</t>
  </si>
  <si>
    <t>ВНИМАНИЕ:NonDialogPass: не могу автоматически создать новый Проект _x000D_
_x000D_
	ООО "АВТ"-Расходники_x000D_
_x000D_
Пожалуйста, создай его в SF со всеми атрибутами сам!</t>
  </si>
  <si>
    <t>ВНИМАНИЕ:WrNewSheet: Ошибка при записи в лист 'ContractUpdate'_x000D_
 из листа 'Платежи' строки=66_x000D_
 в колонке=1 =25 X=4                   _x000D_
 Адаптер=ContrK/26 Fetch =SFD/2:15</t>
  </si>
  <si>
    <t>&lt; WARNING &gt; Адаптер&gt; ссылка SFopp/4:№("ВМЗ" - филиал ФГУП "ГКНПЦ им. М.В. Хруничева") не работает, результат &lt;пусто&gt;</t>
  </si>
  <si>
    <t>&lt; WARNING &gt; Адаптер&gt; ссылка SFopp/4:№(Общество с ограниченной ответственностью "ТрансПроект СПБ") не работает, результат &lt;пусто&gt;</t>
  </si>
  <si>
    <t>&lt; WARNING &gt; Адаптер&gt; ссылка SFopp/4:№(ООО "Кэнокс") не работает, результат &lt;пусто&gt;</t>
  </si>
  <si>
    <t>&lt; WARNING &gt; Адаптер&gt; ссылка SFopp/4:№(ОАО "Невинномысский Азот") не работает, результат &lt;пусто&gt;</t>
  </si>
  <si>
    <t>&lt; WARNING &gt; Адаптер&gt; ссылка SFopp/4:№(ОАО "Региональное управление геодезии и кадастра") не работает, результат &lt;пусто&gt;</t>
  </si>
  <si>
    <t>&lt; WARNING &gt; Адаптер&gt; ссылка SFopp/4:№(ЗАО "ПОЛИКОМ ПРО") не работает, результат &lt;пусто&gt;</t>
  </si>
  <si>
    <t>&lt; WARNING &gt; Адаптер&gt; ссылка SFopp/4:№(Кольский филиал ООО "Институт Гипроникель") не работает, результат &lt;пусто&gt;</t>
  </si>
  <si>
    <t>&lt; WARNING &gt; Адаптер&gt; ссылка SFopp/4:№(ОАО "ЦС "Звездочка") не работает, результат &lt;пусто&gt;</t>
  </si>
  <si>
    <t>&lt; WARNING &gt; Адаптер&gt; ссылка SFopp/4:№(ООО "Инжтехнология") не работает, результат &lt;пусто&gt;</t>
  </si>
  <si>
    <t>&lt; WARNING &gt; Адаптер&gt; ссылка SFopp/4:№(ЗАО "СПб Институт Теплоэнергетики") не работает, результат &lt;пусто&gt;</t>
  </si>
  <si>
    <t>&lt; WARNING &gt; Адаптер&gt; ссылка SFopp/4:№(ООО "Институт Гипроникель")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</si>
  <si>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</si>
  <si>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&lt; WARNING &gt; Адаптер&gt; ссылка SFopp/4:№(ФГУП "Росморпорт" Северо-Западный бассейновый филиал) не работает, результат &lt;пусто&gt;</t>
  </si>
  <si>
    <t>&lt; WARNING &gt; Адаптер&gt; ссылка SFopp/4:№(МБУ "ЦМИРИТ") не работает, результат &lt;пусто&gt;</t>
  </si>
  <si>
    <t>ВНИМАНИЕ:NonDialogPass: не могу автоматически создать новый Проект _x000D_
_x000D_
	НПО "Карат"-Расходники_x000D_
_x000D_
Пожалуйста, создай его в SF со всеми атрибутами сам!</t>
  </si>
  <si>
    <t>&lt; WARNING &gt; Адаптер&gt; ссылка SFopp/4:№(ОАО "КБСМ") не работает, результат &lt;пусто&gt;</t>
  </si>
  <si>
    <t>&lt; WARNING &gt; Адаптер&gt; ссылка SFopp/4:№(ООО "Т-ГиК") не работает, результат &lt;пусто&gt;</t>
  </si>
  <si>
    <t>&lt; WARNING &gt; Адаптер&gt; ссылка SFopp/4:№(ООО "Рик-ком") не работает, результат &lt;пусто&gt;</t>
  </si>
  <si>
    <t>&lt; WARNING &gt; Адаптер&gt; ссылка SFopp/4:№(ЗАО "Управление начальника работ №18") не работает, результат &lt;пусто&gt;</t>
  </si>
  <si>
    <t>&lt; WARNING &gt; Адаптер&gt; ссылка SFopp/4:№(ООО "ЭдвансСтрой") не работает, результат &lt;пусто&gt;</t>
  </si>
  <si>
    <t>&lt; WARNING &gt; Адаптер&gt; ссылка SFopp/4:№(ОАО "СевЗап НТЦ") не работает, результат &lt;пусто&gt;</t>
  </si>
  <si>
    <t>&lt; WARNING &gt; Адаптер&gt; ссылка SFopp/4:№(ОАО "ЦКБ Монолит") не работает, результат &lt;пусто&gt;</t>
  </si>
  <si>
    <t>&lt; WARNING &gt; Адаптер&gt; ссылка SFopp/4:№(ОАО "НИПТБ "Онега" &lt;ИЛИ&gt; ФГУП НИПТБ "Онега") не работает, результат &lt;пусто&gt;</t>
  </si>
  <si>
    <t>&lt; WARNING &gt; Адаптер&gt; ссылка SFopp/4:№(ООО "Балтийский завод- Судостроение") не работает, результат &lt;пусто&gt;</t>
  </si>
  <si>
    <t>&lt; WARNING &gt; Адаптер&gt; ссылка SFopp/4:№(Муниципальное бюджетное учреждение "Городской информационный центр") не работает, результат &lt;пусто&gt;</t>
  </si>
  <si>
    <t>&lt; WARNING &gt; Адаптер&gt; ссылка SFopp/4:№(ЗАО "Торговый дом "Спецодежда") не работает, результат &lt;пусто&gt;</t>
  </si>
  <si>
    <t>&lt; WARNING &gt; Адаптер&gt; ссылка SFopp/4:№(ОАО "ЦМКБ "Алмаз" &lt;ИЛИ&gt; ОАО ЦМКБ "Алмаз") не работает, результат &lt;пусто&gt;</t>
  </si>
  <si>
    <t>&lt; WARNING &gt; Адаптер&gt; ссылка SFopp/4:№(ЗАО "ЛСР-Базовые материалы Северо-Запад") не работает, результат &lt;пусто&gt;</t>
  </si>
  <si>
    <t>&lt; WARNING &gt; Адаптер&gt; ссылка SFopp/4:№(ОАО "НПО "САТУРН") не работает, результат &lt;пусто&gt;</t>
  </si>
  <si>
    <t>&lt; WARNING &gt; Адаптер&gt; ссылка SFopp/4:№(Представительство ФГУП "Ростехинвентаризация-Федеральное БТИ"в Северо-Западном федеральном округе) не работает, результат &lt;пусто&gt;</t>
  </si>
  <si>
    <t>&lt; WARNING &gt; Адаптер&gt; ссылка SFopp/4:№(23 ГМПИ филиал ОАО "31 ГПИСС") не работает, результат &lt;пусто&gt;</t>
  </si>
  <si>
    <t>&lt; WARNING &gt; Адаптер&gt; ссылка SFopp/4:№(ОАО "Гипроспецгаз") не работает, результат &lt;пусто&gt;</t>
  </si>
  <si>
    <t>&lt; WARNING &gt; Адаптер&gt; ссылка SFopp/4:№(СЗФ ФГУП "ПИ" ФСБ России) не работает, результат &lt;пусто&gt;</t>
  </si>
  <si>
    <t>&lt; WARNING &gt; Адаптер&gt; ссылка SFopp/4:№(ООО "ИПЭиГ") не работает, результат &lt;пусто&gt;</t>
  </si>
  <si>
    <t>&lt; WARNING &gt; Адаптер&gt; ссылка SFopp/4:№(ЗАО "Ренейссанс Констракшн") не работает, результат &lt;пусто&gt;</t>
  </si>
  <si>
    <t>&lt; WARNING &gt; Адаптер&gt; ссылка SFopp/4:№(ОАО "ЛЕННИИХИММАШ") не работает, результат &lt;пусто&gt;</t>
  </si>
  <si>
    <t>&lt; WARNING &gt; Адаптер&gt; ссылка SFD/2:15(1) не работает, результат &lt;пусто&gt;</t>
  </si>
  <si>
    <t>ВНИМАНИЕ:WrNewSheet: Ошибка при записи в лист 'ContractUpdate'_x000D_
 из листа 'Платежи' строки=212_x000D_
 в колонке=1 =25 X=1                   _x000D_
 Адаптер=ContrK/26 Fetch =SFD/2:15</t>
  </si>
  <si>
    <t>&lt; WARNING &gt; Адаптер&gt; ссылка SFopp/4:№(ЗАО "ПРОМЫШЛЕННЫЕ ТЕХНОЛОГИИ") не работает, результат &lt;пусто&gt;</t>
  </si>
  <si>
    <t>&lt; WARNING &gt; Адаптер&gt; ссылка SFopp/4:№(ООО "ВИНДОМ") не работает, результат &lt;пусто&gt;</t>
  </si>
  <si>
    <t>&lt; WARNING &gt; Адаптер&gt; ссылка SFopp/4:№(Комитет по агропромышленному и рыбохозяйственному комплексу Ленинградской области) не работает, результат &lt;пусто&gt;</t>
  </si>
  <si>
    <t>&lt; WARNING &gt; Адаптер&gt; ссылка SFopp/4:№(ОАО "Гатчинский ДСК") не работает, результат &lt;пусто&gt;</t>
  </si>
  <si>
    <t>&lt; WARNING &gt; Адаптер&gt; ссылка SFopp/4:№(ОАО "Морской порт Санкт-Петербург") не работает, результат &lt;пусто&gt;</t>
  </si>
  <si>
    <t>&lt; WARNING &gt; Адаптер&gt; ссылка SFopp/4:№(ОАО "МСУ-90") не работает, результат &lt;пусто&gt;</t>
  </si>
  <si>
    <t>&lt; WARNING &gt; Адаптер&gt; ссылка SFopp/4:№(ОАО "НТЦ ЕЭС") не работает, результат &lt;пусто&gt;</t>
  </si>
  <si>
    <t>&lt; WARNING &gt; Адаптер&gt; ссылка SFopp/4:№(ФГУП "НИИ Командных Приборов") не работает, результат &lt;пусто&gt;</t>
  </si>
  <si>
    <t>&lt; WARNING &gt; Адаптер&gt; ссылка SFopp/4:№(ООО "Система безопасности") не работает, результат &lt;пусто&gt;</t>
  </si>
  <si>
    <t>&lt; WARNING &gt; Адаптер&gt; ссылка SFopp/4:№(ООО "ТАМ Реппо") не работает, результат &lt;пусто&gt;</t>
  </si>
  <si>
    <t>&lt; WARNING &gt; Адаптер&gt; ссылка SFopp/4:№(ЗАО Трест "Камдорстрой") не работает, результат &lt;пусто&gt;</t>
  </si>
  <si>
    <t>&lt; WARNING &gt; Адаптер&gt; ссылка SFopp/4:№(ООО "КАД-КОПИ Сервис") не работает, результат &lt;пусто&gt;</t>
  </si>
  <si>
    <t>&lt; WARNING &gt; Адаптер&gt; ссылка SFopp/4:№(Норильский филиал "Институт "Норильскпроект" ООО "Институт Гипроникель") не работает, результат &lt;пусто&gt;</t>
  </si>
  <si>
    <t>&lt; WARNING &gt; Адаптер&gt; ссылка SFopp/4:№(ООО "Гидро-Си") не работает, результат &lt;пусто&gt;</t>
  </si>
  <si>
    <t>&lt; WARNING &gt; Адаптер&gt; ссылка SFopp/4:№(ОАО "Управление автомобильного транспорта") не работает, результат &lt;пусто&gt;</t>
  </si>
  <si>
    <t>&lt; WARNING &gt; Адаптер&gt; ссылка SFopp/4:№(ООО "ААЭМ") не работает, результат &lt;пусто&gt;</t>
  </si>
  <si>
    <t>&lt; WARNING &gt; Адаптер&gt; ссылка SFopp/4:№(ООО "Си Эн Жи Эс Инжениринг") не работает, результат &lt;пусто&gt;</t>
  </si>
  <si>
    <t>&lt; WARNING &gt; Адаптер&gt; ссылка SFopp/4:№(ЗАО "ЦНИИМФ") не работает, результат &lt;пусто&gt;</t>
  </si>
  <si>
    <t>&lt; WARNING &gt; Адаптер&gt; ссылка SFopp/4:№(ООО "БУСТЕР")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</si>
  <si>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</si>
  <si>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 WARNING &gt; Адаптер&gt; ссылка SFopp/4:№(СП ЗАО "ИВС" &lt;ИЛИ&gt; ЗАО "РИВС-проект") не работает, результат &lt;пусто&gt;</t>
  </si>
  <si>
    <t>&lt; WARNING &gt; Адаптер&gt; ссылка SFopp/4:№(ООО "Аутодеск (Си-Ай-Эс)") не работает, результат &lt;пусто&gt;</t>
  </si>
  <si>
    <t>&lt; WARNING &gt; Адаптер&gt; ссылка SFopp/4:№(ООО "Каскад-Проект") не работает, результат &lt;пусто&gt;</t>
  </si>
  <si>
    <t>&lt; WARNING &gt; Адаптер&gt; ссылка SFopp/4:№(ЗАО "Гипробум-Пеуру") не работает, результат &lt;пусто&gt;</t>
  </si>
  <si>
    <t>&lt; WARNING &gt; В строке 483Платежей 1С ссылка на Договор №105-06/1с, которого нет в листе Договоров 1С</t>
  </si>
  <si>
    <t>&lt; WARNING &gt; Адаптер&gt; ссылка SFopp/4:№(ООО "Новая Инжиниринговая Компания") не работает, результат &lt;пусто&gt;</t>
  </si>
  <si>
    <t>&lt; WARNING &gt; Адаптер&gt; ссылка SFopp/4:№(ООО "Кингисепп - Ремстройсервис") не работает, результат &lt;пусто&gt;</t>
  </si>
  <si>
    <t>&lt; WARNING &gt; Адаптер&gt; ссылка SFopp/4:№(ЗАО "ЭталонПроект") не работает, результат &lt;пусто&gt;</t>
  </si>
  <si>
    <t>&lt; WARNING &gt; В строке 537Платежей 1С ссылка на Договор №105-06/1с, которого нет в листе Договоров 1С</t>
  </si>
  <si>
    <t>&lt; WARNING &gt; Адаптер&gt; ссылка SFopp/4:№(ФБУ "УФО МО РФ по г. Санкт-Петербургу, Ленинградской области и республике Карелия") не работает, результат &lt;пусто&gt;</t>
  </si>
  <si>
    <t>&lt; WARNING &gt; Адаптер&gt; ссылка SFopp/4:№(ОАО "Мостоотряд-19") не работает, результат &lt;пусто&gt;</t>
  </si>
  <si>
    <t>&lt; WARNING &gt; Адаптер&gt; ссылка SFopp/4:№(ИП Махортов И.Н.) не работает, результат &lt;пусто&gt;</t>
  </si>
  <si>
    <t>&lt; WARNING &gt; В строке 622Платежей 1С ссылка на Договор №105-06/1с, которого нет в листе Договоров 1С</t>
  </si>
  <si>
    <t>&lt; WARNING &gt; Адаптер&gt; ссылка SFopp/4:№(ООО "ПСО "ТИМРУС") не работает, результат &lt;пусто&gt;</t>
  </si>
  <si>
    <t>&lt; WARNING &gt; Адаптер&gt; ссылка SFopp/4:№(федеральное государственное бюджетное учреждение культуры "Государственный Эрмитаж") не работает, результат &lt;пусто&gt;</t>
  </si>
  <si>
    <t>&lt; WARNING &gt; В строке 661Платежей 1С ссылка на Договор №105-06/1с, которого нет в листе Договоров 1С</t>
  </si>
  <si>
    <t>&lt; WARNING &gt; Адаптер&gt; ссылка SFopp/4:№(ОАО "КО ВНИИМЕТМАШ") не работает, результат &lt;пусто&gt;</t>
  </si>
  <si>
    <t>&lt; WARNING &gt; Адаптер&gt; ссылка SFopp/4:№(ОАО "Пролетарский завод") не работает, результат &lt;пусто&gt;</t>
  </si>
  <si>
    <t>&lt; WARNING &gt; В строке 724Платежей 1С ссылка на Договор №105-06/1с, которого нет в листе Договоров 1С</t>
  </si>
  <si>
    <t>&lt; WARNING &gt; Адаптер&gt; ссылка SFopp/4:№(ООО "ФинансГруп") не работает, результат &lt;пусто&gt;</t>
  </si>
  <si>
    <t>&lt; WARNING &gt; Адаптер&gt; ссылка SFopp/4:№(ОАО "ПО "Севмаш") не работает, результат &lt;пусто&gt;</t>
  </si>
  <si>
    <t>&lt; WARNING &gt; В строке 751Платежей 1С ссылка на Договор 2008-2-008, которого нет в листе Договоров 1С</t>
  </si>
  <si>
    <t>&lt; WARNING &gt; В строке 752Платежей 1С ссылка на Договор 2008-2-008, которого нет в листе Договоров 1С</t>
  </si>
  <si>
    <t>&lt; WARNING &gt; В строке 753Платежей 1С ссылка на Договор 2008-2-008, которого нет в листе Договоров 1С</t>
  </si>
  <si>
    <t>&lt; WARNING &gt; В строке 757Платежей 1С ссылка на Договор №105-06/1с, которого нет в листе Договоров 1С</t>
  </si>
  <si>
    <t>&lt; WARNING &gt; В строке 763Платежей 1С ссылка на Договор №105-06/1с, которого нет в листе Договоров 1С</t>
  </si>
  <si>
    <t>&lt; WARNING &gt; В строке 768Платежей 1С ссылка на Договор 2008-2-050, которого нет в листе Договоров 1С</t>
  </si>
  <si>
    <t>&lt; WARNING &gt; В строке 769Платежей 1С ссылка на Договор 1311-07, которого нет в листе Договоров 1С</t>
  </si>
  <si>
    <t>&lt; WARNING &gt; В строке 770Платежей 1С ссылка на Договор 1311-07, которого нет в листе Договоров 1С</t>
  </si>
  <si>
    <t>&lt; WARNING &gt; Адаптер&gt; ссылка SFopp/4:№(ЗАО "Титанвентех") не работает, результат &lt;пусто&gt;</t>
  </si>
  <si>
    <t>&lt; WARNING &gt; Адаптер&gt; ссылка SFopp/4:№("Тебодин Истерн Юроп Б.В." (Частное ООО) (Нидерланды), Филиал в г.Санкт-Петербурге) не работает, результат &lt;пусто&gt;</t>
  </si>
  <si>
    <t>&lt; WARNING &gt; В строке 794Платежей 1С ссылка на Договор №105-06/1с, которого нет в листе Договоров 1С</t>
  </si>
  <si>
    <t>&lt; WARNING &gt; Адаптер&gt; ссылка SFopp/4:№(ООО "Управление проектированием и строительством 91") не работает, результат &lt;пусто&gt;</t>
  </si>
  <si>
    <t>&lt; WARNING &gt; В строке 866Платежей 1С ссылка на Договор №105-06/1с, которого нет в листе Договоров 1С</t>
  </si>
  <si>
    <t>&lt; WARNING &gt; В строке 869Платежей 1С ссылка на Договор 2008-1-048, которого нет в листе Договоров 1С</t>
  </si>
  <si>
    <t>&lt; WARNING &gt; В строке 870Платежей 1С ссылка на Договор 2008-1-048, которого нет в листе Договоров 1С</t>
  </si>
  <si>
    <t>&lt; WARNING &gt; В строке 871Платежей 1С ссылка на Договор 2008-1-048, которого нет в листе Договоров 1С</t>
  </si>
  <si>
    <t>&lt; WARNING &gt; В строке 872Платежей 1С ссылка на Договор 2008-1-048, которого нет в листе Договоров 1С</t>
  </si>
  <si>
    <t>&lt; WARNING &gt; В строке 874Платежей 1С ссылка на Договор №105-06/1с, которого нет в листе Договоров 1С</t>
  </si>
  <si>
    <t>&lt; WARNING &gt; В строке 884Платежей 1С ссылка на Договор №105-06/1с, которого нет в листе Договоров 1С</t>
  </si>
  <si>
    <t>&lt; WARNING &gt; В строке 908Платежей 1С ссылка на Договор №105-06/1с, которого нет в листе Договоров 1С</t>
  </si>
  <si>
    <t>&lt; WARNING &gt; В строке 948Платежей 1С ссылка на Договор №105-06/1с, которого нет в листе Договоров 1С</t>
  </si>
  <si>
    <t>&lt; WARNING &gt; В строке 1016Платежей 1С ссылка на Договор 0107-07/2с, которого нет в листе Договоров 1С</t>
  </si>
  <si>
    <t>&lt; WARNING &gt; В строке 1017Платежей 1С ссылка на Договор 0107-07/2с, которого нет в листе Договоров 1С</t>
  </si>
  <si>
    <t>&lt; WARNING &gt; В строке 1018Платежей 1С ссылка на Договор 0107-07/2с, которого нет в листе Договоров 1С</t>
  </si>
  <si>
    <t>&lt; WARNING &gt; В строке 1019Платежей 1С ссылка на Договор 0107-07/2с, которого нет в листе Договоров 1С</t>
  </si>
  <si>
    <t>&lt; WARNING &gt; Адаптер&gt; ссылка SFopp/4:№(ОАО "Воткинский завод") не работает, результат &lt;пусто&gt;</t>
  </si>
  <si>
    <t>&lt; WARNING &gt; В строке 1109Платежей 1С ссылка на Договор №105-06/1с, которого нет в листе Договоров 1С</t>
  </si>
  <si>
    <t>&lt; WARNING &gt; Адаптер&gt; ссылка SFopp/4:№(ЗАО "СИГНИ ГРУП") не работает, результат &lt;пусто&gt;</t>
  </si>
  <si>
    <t>&lt; WARNING &gt; Адаптер&gt; ссылка SFopp/4:№(Санкт-Петербургский Государственный Университет Технологии и Дизайна &lt;ИЛИ&gt; Санкт - Петербурский университет техлогии и дизайна) не работает, результат &lt;пусто&gt;</t>
  </si>
  <si>
    <t>&lt; WARNING &gt; Адаптер&gt; ссылка SFopp/4:№(Филиал ООО "Спектрум-Холдинг" в г.Санкт-Петербург) не работает, результат &lt;пусто&gt;</t>
  </si>
  <si>
    <t>&lt; WARNING &gt; Адаптер&gt; ссылка SFacc/3:6(0012000000NaPDG) не работает, результат &lt;пусто&gt;</t>
  </si>
  <si>
    <t>&lt; WARNING &gt; Адаптер&gt; ссылка SFacc/3:7(0012000000NaPDG) не работает, результат &lt;пусто&gt;</t>
  </si>
  <si>
    <t>&lt; WARNING &gt; Адаптер&gt; ссылка SFopp/4:№(ЗАО "НИПИ Территориального развития и транспортной инфраструктуры") не работает, результат &lt;пусто&gt;</t>
  </si>
  <si>
    <t>WrCSV&gt; в 'Dogovor.txt' записано 5 строк.</t>
  </si>
  <si>
    <t>WrCSV&gt; в 'ContrUpd.txt' записано 12 строк.</t>
  </si>
  <si>
    <t>MoveToMatch: В файл 'SFDC.xlsx' загружен новый отчет 'SFD'; EOL=1207 строк, в прежнем 1203_x000D_
Это ПОЛНЫЙ документ.</t>
  </si>
  <si>
    <t>adapt profile: total = 6,06_x000D_
By steps =  5,77 0,02</t>
  </si>
  <si>
    <t>adapt profile: total = 6,26_x000D_
By steps =  0,79 3,48 0,77 0,00 0,00 0,00 0,54 0,02 0,01 0,00 0,01 0,00 0,00 0,00 0,00 0,00 0,01 0,01 0,01 0,01 0,00 0,00 0,01 0,00 0,01 0,00</t>
  </si>
  <si>
    <t>MoveToMatch: В файл 'SFDC.xlsx' загружен новый отчет 'SFopp'; EOL=3595 строк, в прежнем 3594_x000D_
Это ПОЛНЫЙ документ.</t>
  </si>
  <si>
    <t>&lt; WARNING &gt; Адаптер&gt; ссылка SFopp/4:№(Филиал ООО "Интерграф ППэндМ Россия ГмбХ" (Германия)) не работает, результат &lt;пусто&gt;</t>
  </si>
  <si>
    <t>&lt; WARNING &gt; Адаптер&gt; ссылка SFopp/4:№(Московское Представительство фирмы "ИНТЕРГРАФ ШВЕЦИЯ") не работает, результат &lt;пусто&gt;</t>
  </si>
  <si>
    <t>&lt; WARNING &gt; Адаптер&gt; ссылка SFopp/4:№(ООО &lt;ЛСР-Строй&gt; &lt;ИЛИ&gt; ООО "ЛСР") не работает, результат &lt;пусто&gt;</t>
  </si>
  <si>
    <t>&lt; WARNING &gt; Адаптер&gt; ссылка SFopp/4:№(ООО "Кристалл Сервис") не работает, результат &lt;пусто&gt;</t>
  </si>
  <si>
    <t>ВНИМАНИЕ:WrNewSheet: Ошибка при записи в лист 'ContractUpdate'_x000D_
 из листа 'Платежи' строки=187_x000D_
 в колонке=1 =25 X=1                   _x000D_
 Адаптер=ContrK/26 Fetch =SFD/2:15</t>
  </si>
  <si>
    <t>MoveToMatch: В файл 'SFDC.xlsx' загружен новый отчет 'SF_DicAccSyn'; EOL=45 строк, в прежнем 24_x000D_
Это ПОЛНЫЙ документ.</t>
  </si>
  <si>
    <t>MoveToMatch: В файл 'SFDC.xlsx' загружен новый отчет 'SFacc'; EOL=4767 строк, в прежнем 4749_x000D_
Это ПОЛНЫЙ документ.</t>
  </si>
  <si>
    <t>adapt profile: total = 80,53_x000D_
By steps =  19,58 0,05 26,30 3,55 0,02 0,01 0,02 0,05 0,00 0,01 0,01 0,02 0,00 0,01 0,02 0,02 0,02 0,01 0,02 0,02 0,00 0,02 0,01 0,00 0,02 0,03 0,03 0,02 0,02 12,80 0,00 0,00 0,00 0,00 0,00 0,00 0,00 0,00</t>
  </si>
  <si>
    <t>adapt profile: total = 8,30_x000D_
By steps =  1,38 4,64 0,92 0,00 0,00 0,01 0,71 0,01 0,01 0,01 0,00 0,00 0,00 0,01 0,02 0,01 0,00 0,00 0,00 0,01 0,01 0,00 0,00 0,00 0,01 0,00</t>
  </si>
  <si>
    <t>adapt profile: total = 6,88_x000D_
By steps =  6,28</t>
  </si>
  <si>
    <t>adapt profile: total = 503,79_x000D_
By steps =  304,16 0,07 26,75 3,38 0,02 0,03 0,03 0,03 0,01 0,02 0,02 0,01 0,00 0,02 0,02 0,01 0,00 0,02 0,01 0,02 0,01 0,02 0,00 0,02 0,01 0,01 0,00 0,00 0,02 13,19 0,00 0,00 0,00 0,00 0,00 0,00 0,00 0,00</t>
  </si>
  <si>
    <t>adapt profile: total = 372,41_x000D_
By steps =  357,22 0,04</t>
  </si>
  <si>
    <t>MoveToMatch: В файл 'SFDC.xlsx' загружен новый отчет 'SFcont'; EOL=8938 строк, в прежнем 8630_x000D_
Это ПОЛНЫЙ документ.</t>
  </si>
  <si>
    <t>MoveToMatch: В файл 'SFDC.xlsx' загружен новый отчет 'SForders'; EOL=775 строк, в прежнем 777_x000D_
Это ПОЛНЫЙ документ.</t>
  </si>
  <si>
    <t>MoveToMatch: В файл 'SFDC.xlsx' загружен новый отчет 'SF_PA'; EOL=191 строк, в прежнем 191_x000D_
Это ПОЛНЫЙ документ.</t>
  </si>
  <si>
    <t>MoveToMatch: В файл 'SFDC.xlsx' загружен новый отчет 'BTO'; EOL=156 строк, в прежнем 106_x000D_
Это ПОЛНЫЙ документ.</t>
  </si>
  <si>
    <t>adapt profile: total = 89,59_x000D_
By steps =  20,54 0,06 27,02 4,99 0,02 0,02 0,01 0,01 0,02 0,01 0,02 0,01 0,02 0,03 0,01 0,01 0,01 0,01 0,01 0,00 0,01 0,01 0,01 0,01 0,00 0,01 0,02 0,02 0,00 15,85 0,00 0,00 0,00 0,00 0,00 0,00 0,00 0,00</t>
  </si>
  <si>
    <t>adapt profile: total = 6,32_x000D_
By steps =  5,78 0,02</t>
  </si>
  <si>
    <t>ВНИМАНИЕ:WrNewSheet: Ошибка при записи в лист 'ContractUpdate'_x000D_
 из листа 'Платежи' строки=58_x000D_
 в колонке=1 =25 X=4                   _x000D_
 Адаптер=ContrK/26 Fetch =SFD/2:15</t>
  </si>
  <si>
    <t>ВНИМАНИЕ:WrNewSheet: Ошибка при записи в лист 'ContractUpdate'_x000D_
 из листа 'Платежи' строки=162_x000D_
 в колонке=1 =25 X=1                   _x000D_
 Адаптер=ContrK/26 Fetch =SFD/2:15</t>
  </si>
  <si>
    <t>&lt; WARNING &gt; Адаптер&gt; ссылка SFopp/4:№(СПб ОАО "Красный Октябрь" &lt;ИЛИ&gt; ЗАО "Красный Октябрь - Сервис") не работает, результат &lt;пусто&gt;</t>
  </si>
  <si>
    <t>&lt; WARNING &gt; В строке 446Платежей 1С ссылка на Договор №105-06/1с, которого нет в листе Договоров 1С</t>
  </si>
  <si>
    <t>&lt; WARNING &gt; В строке 490Платежей 1С ссылка на Договор №105-06/1с, которого нет в листе Договоров 1С</t>
  </si>
  <si>
    <t>&lt; WARNING &gt; В строке 572Платежей 1С ссылка на Договор №105-06/1с, которого нет в листе Договоров 1С</t>
  </si>
  <si>
    <t>&lt; WARNING &gt; В строке 610Платежей 1С ссылка на Договор №105-06/1с, которого нет в листе Договоров 1С</t>
  </si>
  <si>
    <t>&lt; WARNING &gt; В строке 688Платежей 1С ссылка на Договор 2008-2-008, которого нет в листе Договоров 1С</t>
  </si>
  <si>
    <t>&lt; WARNING &gt; В строке 689Платежей 1С ссылка на Договор 2008-2-008, которого нет в листе Договоров 1С</t>
  </si>
  <si>
    <t>&lt; WARNING &gt; В строке 690Платежей 1С ссылка на Договор 2008-2-008, которого нет в листе Договоров 1С</t>
  </si>
  <si>
    <t>&lt; WARNING &gt; В строке 694Платежей 1С ссылка на Договор №105-06/1с, которого нет в листе Договоров 1С</t>
  </si>
  <si>
    <t>&lt; WARNING &gt; В строке 700Платежей 1С ссылка на Договор №105-06/1с, которого нет в листе Договоров 1С</t>
  </si>
  <si>
    <t>&lt; WARNING &gt; В строке 705Платежей 1С ссылка на Договор 2008-2-050, которого нет в листе Договоров 1С</t>
  </si>
  <si>
    <t>&lt; WARNING &gt; В строке 706Платежей 1С ссылка на Договор 1311-07, которого нет в листе Договоров 1С</t>
  </si>
  <si>
    <t>&lt; WARNING &gt; В строке 707Платежей 1С ссылка на Договор 1311-07, которого нет в листе Договоров 1С</t>
  </si>
  <si>
    <t>&lt; WARNING &gt; В строке 731Платежей 1С ссылка на Договор №105-06/1с, которого нет в листе Договоров 1С</t>
  </si>
  <si>
    <t>&lt; WARNING &gt; В строке 803Платежей 1С ссылка на Договор №105-06/1с, которого нет в листе Договоров 1С</t>
  </si>
  <si>
    <t>&lt; WARNING &gt; В строке 806Платежей 1С ссылка на Договор 2008-1-048, которого нет в листе Договоров 1С</t>
  </si>
  <si>
    <t>&lt; WARNING &gt; В строке 807Платежей 1С ссылка на Договор 2008-1-048, которого нет в листе Договоров 1С</t>
  </si>
  <si>
    <t>&lt; WARNING &gt; В строке 808Платежей 1С ссылка на Договор 2008-1-048, которого нет в листе Договоров 1С</t>
  </si>
  <si>
    <t>&lt; WARNING &gt; В строке 809Платежей 1С ссылка на Договор 2008-1-048, которого нет в листе Договоров 1С</t>
  </si>
  <si>
    <t>&lt; WARNING &gt; В строке 811Платежей 1С ссылка на Договор №105-06/1с, которого нет в листе Договоров 1С</t>
  </si>
  <si>
    <t>&lt; WARNING &gt; В строке 821Платежей 1С ссылка на Договор №105-06/1с, которого нет в листе Договоров 1С</t>
  </si>
  <si>
    <t>&lt; WARNING &gt; В строке 845Платежей 1С ссылка на Договор №105-06/1с, которого нет в листе Договоров 1С</t>
  </si>
  <si>
    <t>&lt; WARNING &gt; В строке 951Платежей 1С ссылка на Договор 0107-07/2с, которого нет в листе Договоров 1С</t>
  </si>
  <si>
    <t>&lt; WARNING &gt; В строке 952Платежей 1С ссылка на Договор 0107-07/2с, которого нет в листе Договоров 1С</t>
  </si>
  <si>
    <t>&lt; WARNING &gt; В строке 953Платежей 1С ссылка на Договор 0107-07/2с, которого нет в листе Договоров 1С</t>
  </si>
  <si>
    <t>&lt; WARNING &gt; В строке 954Платежей 1С ссылка на Договор 0107-07/2с, которого нет в листе Договоров 1С</t>
  </si>
  <si>
    <t>&lt; WARNING &gt; В строке 1043Платежей 1С ссылка на Договор №105-06/1с, которого нет в листе Договоров 1С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</si>
  <si>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</si>
  <si>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</si>
  <si>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</si>
  <si>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</si>
  <si>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t>adapt profile: total = 392,99_x000D_
By steps =  37,43 0,07 27,86 3,76 0,03 0,01 0,02 0,01 0,01 0,02 0,01 0,01 0,02 0,02 0,01 0,02 0,02 0,01 0,01 0,01 0,02 0,02 0,01 0,01 0,01 0,02 0,01 0,02 0,01 266,05 0,00 0,00 0,00 0,00 0,00 0,00 0,00 0,00</t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</si>
  <si>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</si>
  <si>
    <t>MoveToMatch: В файл '1C.xlsx' загружен новый отчет 'Договоры'; EOL=37 строк, в прежнем 1407_x000D_
Это изменяемая ЧАСТЬ данных.</t>
  </si>
  <si>
    <t>adapt profile: total = 0,33_x000D_
By steps =  0,00 0,17 0,08 0,00 0,00 0,00 0,05 0,00 0,00 0,00 0,00 0,00 0,00 0,00 0,00 0,00 0,00 0,00 0,00 0,00 0,00 0,00 0,00 0,00 0,00 0,00</t>
  </si>
  <si>
    <t>MoveToMatch: В файл '1C.xlsx' загружен новый отчет 'Договоры'; EOL=37 строк, в прежнем 37_x000D_
Это изменяемая ЧАСТЬ данных.</t>
  </si>
  <si>
    <t>adapt profile: total = 0,16_x000D_
By steps =  0,00 0,09 0,00 0,00 0,00 0,00 0,05 0,00 0,00 0,00 0,00 0,00 0,00 0,00 0,00 0,00 0,00 0,00 0,00 0,00 0,00 0,00 0,00 0,00 0,00 0,00</t>
  </si>
  <si>
    <t>adapt profile: total = 0,14_x000D_
By steps =  0,00 0,05 0,06 0,00 0,00 0,00 0,03 0,00 0,00 0,00 0,00 0,00 0,00 0,00 0,00 0,00 0,00 0,00 0,00 0,00 0,00 0,00 0,00 0,00 0,00 0,00</t>
  </si>
  <si>
    <t>adapt profile: total = 61,33_x000D_
By steps =  0,05 0,09 0,00 0,00 0,00 0,00 0,05 0,00 61,11 0,00 0,00 0,00 0,00 0,00 0,00 0,00 0,00 0,00 0,00 0,00 0,00 0,00 0,00 0,00 0,00 0,00</t>
  </si>
  <si>
    <t>MoveToMatch: В файл '1C.xlsx' загружен новый отчет 'Договоры'; EOL=1407 строк, в прежнем 1407_x000D_
Это ПОЛНЫЙ документ.</t>
  </si>
  <si>
    <t>adapt profile: total = 8,37_x000D_
By steps =  0,89 3,72 0,83 0,00 0,00 0,00 0,51 0,01 1,79 0,01 0,00 0,00 0,01 0,01 0,00 0,00 0,00 0,00 0,00 0,00 0,00 0,00 0,01 0,00 0,00 0,00</t>
  </si>
  <si>
    <t>adapt profile: total = 458,10_x000D_
By steps =  105,37 8,34 0,77 0,00 0,01 0,00 0,64 0,01 105,40 11,38 0,00 86,57 0,01 0,00 0,00 0,01 0,01 0,01 0,00 0,00 0,01 0,01 0,02 0,01 0,00 0,01</t>
  </si>
  <si>
    <t>adapt profile: total = 43,28_x000D_
By steps =  0,92 3,56 0,78 0,00 0,00 0,00 0,44 0,01 1,91 0,00 0,00 0,00 0,00 0,00 0,00 0,00 0,00 0,00 0,00 0,00 0,00 0,00 0,00 0,00 0,00 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</si>
</sst>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р.&quot;* #,##0.00_);_(&quot;р.&quot;* \(#,##0.00\);_(&quot;р.&quot;* &quot;-&quot;??_);_(@_)"/>
    <numFmt numFmtId="165" formatCode="_(* #,##0.00_);_(* \(#,##0.00\);_(* &quot;-&quot;??_);_(@_)"/>
    <numFmt numFmtId="166" formatCode="[$-F400]h:mm:ss\ AM/PM"/>
    <numFmt numFmtId="167" formatCode="dd/mm/yy\ h:mm;@"/>
    <numFmt numFmtId="168" formatCode="dd/mm/yy;@"/>
    <numFmt numFmtId="169" formatCode="_(* #,##0_);_(* \(#,##0\);_(* &quot;-&quot;??_);_(@_)"/>
    <numFmt numFmtId="170" formatCode="#,##0_ ;\-#,##0\ "/>
    <numFmt numFmtId="171" formatCode="d/m/yy;@"/>
    <numFmt numFmtId="172" formatCode="dd\-mm\-yyyy"/>
    <numFmt numFmtId="173" formatCode="0.0%"/>
    <numFmt numFmtId="174" formatCode="_-* #,##0_р_._-;\-* #,##0_р_._-;_-* &quot;-&quot;??_р_._-;_-@_-"/>
    <numFmt numFmtId="175" formatCode="[$-419]mmmm\ yyyy;@"/>
    <numFmt numFmtId="176" formatCode="_-* #,##0[$р.-419]_-;\-* #,##0[$р.-419]_-;_-* &quot;-&quot;??[$р.-419]_-;_-@_-"/>
  </numFmts>
  <fonts count="7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9">
    <xf numFmtId="0" fontId="0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1" fillId="0" borderId="0" applyNumberFormat="0" applyFill="0" applyBorder="0" applyAlignment="0" applyProtection="0"/>
    <xf numFmtId="166" fontId="1" fillId="0" borderId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0" fontId="9" fillId="0" borderId="0"/>
    <xf numFmtId="166" fontId="1" fillId="0" borderId="0"/>
    <xf numFmtId="165" fontId="9" fillId="0" borderId="0" applyFont="0" applyFill="0" applyBorder="0" applyAlignment="0" applyProtection="0"/>
    <xf numFmtId="166" fontId="1" fillId="0" borderId="0"/>
    <xf numFmtId="0" fontId="1" fillId="0" borderId="0"/>
    <xf numFmtId="166" fontId="29" fillId="0" borderId="0"/>
    <xf numFmtId="166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/>
    <xf numFmtId="0" fontId="9" fillId="0" borderId="0"/>
    <xf numFmtId="166" fontId="37" fillId="0" borderId="0"/>
    <xf numFmtId="166" fontId="1" fillId="0" borderId="0"/>
    <xf numFmtId="166" fontId="1" fillId="0" borderId="0"/>
    <xf numFmtId="165" fontId="1" fillId="0" borderId="0" applyFont="0" applyFill="0" applyBorder="0" applyAlignment="0" applyProtection="0"/>
    <xf numFmtId="0" fontId="9" fillId="0" borderId="0"/>
    <xf numFmtId="175" fontId="1" fillId="0" borderId="0"/>
    <xf numFmtId="175" fontId="1" fillId="0" borderId="0"/>
    <xf numFmtId="164" fontId="9" fillId="0" borderId="0" applyFont="0" applyFill="0" applyBorder="0" applyAlignment="0" applyProtection="0"/>
    <xf numFmtId="166" fontId="43" fillId="0" borderId="0"/>
    <xf numFmtId="0" fontId="9" fillId="0" borderId="0"/>
    <xf numFmtId="0" fontId="1" fillId="0" borderId="0"/>
    <xf numFmtId="166" fontId="29" fillId="0" borderId="0"/>
    <xf numFmtId="166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97">
    <xf numFmtId="0" fontId="0" fillId="0" borderId="0" xfId="0"/>
    <xf numFmtId="167" fontId="2" fillId="2" borderId="1" xfId="1" applyNumberFormat="1" applyFont="1" applyFill="1" applyBorder="1" applyAlignment="1">
      <alignment horizontal="center" vertical="center"/>
    </xf>
    <xf numFmtId="166" fontId="1" fillId="0" borderId="0" xfId="1"/>
    <xf numFmtId="166" fontId="4" fillId="0" borderId="0" xfId="1" applyFont="1"/>
    <xf numFmtId="166" fontId="6" fillId="2" borderId="0" xfId="1" applyFont="1" applyFill="1" applyAlignment="1">
      <alignment horizontal="left"/>
    </xf>
    <xf numFmtId="166" fontId="1" fillId="2" borderId="0" xfId="1" applyFill="1" applyAlignment="1">
      <alignment horizontal="center"/>
    </xf>
    <xf numFmtId="166" fontId="1" fillId="2" borderId="0" xfId="1" applyFill="1"/>
    <xf numFmtId="166" fontId="1" fillId="0" borderId="0" xfId="1" applyAlignment="1">
      <alignment horizontal="center"/>
    </xf>
    <xf numFmtId="166" fontId="8" fillId="0" borderId="0" xfId="1" applyFont="1"/>
    <xf numFmtId="166" fontId="8" fillId="0" borderId="0" xfId="1" applyFont="1" applyAlignment="1">
      <alignment horizontal="center"/>
    </xf>
    <xf numFmtId="166" fontId="8" fillId="3" borderId="0" xfId="1" applyFont="1" applyFill="1"/>
    <xf numFmtId="166" fontId="8" fillId="3" borderId="0" xfId="1" applyFont="1" applyFill="1" applyAlignment="1">
      <alignment horizontal="center"/>
    </xf>
    <xf numFmtId="167" fontId="1" fillId="4" borderId="0" xfId="1" applyNumberFormat="1" applyFill="1" applyAlignment="1">
      <alignment horizontal="center"/>
    </xf>
    <xf numFmtId="166" fontId="0" fillId="5" borderId="0" xfId="1" applyFont="1" applyFill="1"/>
    <xf numFmtId="49" fontId="1" fillId="5" borderId="0" xfId="1" applyNumberFormat="1" applyFill="1" applyAlignment="1">
      <alignment horizontal="center"/>
    </xf>
    <xf numFmtId="166" fontId="8" fillId="5" borderId="0" xfId="1" applyFont="1" applyFill="1"/>
    <xf numFmtId="166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6" fontId="8" fillId="5" borderId="2" xfId="1" applyFont="1" applyFill="1" applyBorder="1"/>
    <xf numFmtId="167" fontId="1" fillId="4" borderId="3" xfId="1" applyNumberFormat="1" applyFill="1" applyBorder="1" applyAlignment="1">
      <alignment horizontal="center"/>
    </xf>
    <xf numFmtId="166" fontId="1" fillId="0" borderId="3" xfId="1" applyBorder="1"/>
    <xf numFmtId="49" fontId="1" fillId="0" borderId="3" xfId="1" applyNumberFormat="1" applyBorder="1" applyAlignment="1">
      <alignment horizontal="center"/>
    </xf>
    <xf numFmtId="166" fontId="1" fillId="6" borderId="3" xfId="1" applyFill="1" applyBorder="1"/>
    <xf numFmtId="166" fontId="1" fillId="5" borderId="3" xfId="1" applyFill="1" applyBorder="1"/>
    <xf numFmtId="166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8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8" fontId="1" fillId="0" borderId="3" xfId="1" quotePrefix="1" applyNumberFormat="1" applyBorder="1"/>
    <xf numFmtId="166" fontId="1" fillId="4" borderId="0" xfId="1" applyFill="1"/>
    <xf numFmtId="166" fontId="1" fillId="0" borderId="0" xfId="1" applyBorder="1"/>
    <xf numFmtId="49" fontId="1" fillId="0" borderId="0" xfId="1" applyNumberFormat="1" applyBorder="1" applyAlignment="1">
      <alignment horizontal="center"/>
    </xf>
    <xf numFmtId="166" fontId="1" fillId="5" borderId="0" xfId="1" applyFill="1" applyBorder="1"/>
    <xf numFmtId="166" fontId="1" fillId="5" borderId="0" xfId="1" applyFill="1" applyBorder="1" applyAlignment="1">
      <alignment horizontal="center"/>
    </xf>
    <xf numFmtId="168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8" fontId="1" fillId="0" borderId="0" xfId="1" quotePrefix="1" applyNumberFormat="1" applyBorder="1"/>
    <xf numFmtId="166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6" fontId="1" fillId="7" borderId="0" xfId="1" applyFill="1" applyBorder="1"/>
    <xf numFmtId="166" fontId="1" fillId="5" borderId="0" xfId="1" applyFill="1"/>
    <xf numFmtId="166" fontId="1" fillId="5" borderId="0" xfId="1" applyFill="1" applyAlignment="1">
      <alignment horizontal="center"/>
    </xf>
    <xf numFmtId="168" fontId="1" fillId="0" borderId="0" xfId="1" applyNumberFormat="1" applyAlignment="1">
      <alignment horizontal="center"/>
    </xf>
    <xf numFmtId="1" fontId="1" fillId="0" borderId="0" xfId="1" quotePrefix="1" applyNumberFormat="1"/>
    <xf numFmtId="168" fontId="1" fillId="0" borderId="0" xfId="1" quotePrefix="1" applyNumberFormat="1"/>
    <xf numFmtId="1" fontId="1" fillId="0" borderId="0" xfId="1" quotePrefix="1" applyNumberFormat="1" applyFill="1"/>
    <xf numFmtId="168" fontId="1" fillId="0" borderId="0" xfId="1" quotePrefix="1" applyNumberFormat="1" applyFill="1"/>
    <xf numFmtId="166" fontId="1" fillId="2" borderId="0" xfId="1" applyFill="1" applyBorder="1"/>
    <xf numFmtId="166" fontId="1" fillId="0" borderId="0" xfId="1" applyFill="1"/>
    <xf numFmtId="168" fontId="1" fillId="0" borderId="0" xfId="1" applyNumberFormat="1" applyFill="1" applyAlignment="1">
      <alignment horizontal="center"/>
    </xf>
    <xf numFmtId="166" fontId="1" fillId="8" borderId="3" xfId="1" applyFill="1" applyBorder="1"/>
    <xf numFmtId="14" fontId="1" fillId="0" borderId="3" xfId="1" applyNumberFormat="1" applyBorder="1"/>
    <xf numFmtId="166" fontId="1" fillId="8" borderId="0" xfId="1" applyFill="1" applyBorder="1"/>
    <xf numFmtId="167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6" fontId="10" fillId="5" borderId="0" xfId="2" applyFont="1" applyFill="1"/>
    <xf numFmtId="166" fontId="10" fillId="5" borderId="0" xfId="3" applyFont="1" applyFill="1"/>
    <xf numFmtId="166" fontId="10" fillId="5" borderId="0" xfId="4" applyFont="1" applyFill="1"/>
    <xf numFmtId="166" fontId="10" fillId="5" borderId="0" xfId="5" applyFont="1" applyFill="1"/>
    <xf numFmtId="166" fontId="10" fillId="5" borderId="0" xfId="6" applyFont="1" applyFill="1"/>
    <xf numFmtId="166" fontId="1" fillId="5" borderId="2" xfId="1" applyFill="1" applyBorder="1" applyAlignment="1">
      <alignment horizontal="center"/>
    </xf>
    <xf numFmtId="167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6" fontId="1" fillId="0" borderId="2" xfId="1" applyBorder="1"/>
    <xf numFmtId="167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7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7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7" fontId="1" fillId="0" borderId="0" xfId="1" applyNumberFormat="1" applyBorder="1" applyAlignment="1">
      <alignment horizontal="center"/>
    </xf>
    <xf numFmtId="167" fontId="1" fillId="4" borderId="4" xfId="1" applyNumberFormat="1" applyFill="1" applyBorder="1" applyAlignment="1">
      <alignment horizontal="center"/>
    </xf>
    <xf numFmtId="166" fontId="1" fillId="0" borderId="4" xfId="1" applyBorder="1"/>
    <xf numFmtId="49" fontId="1" fillId="0" borderId="4" xfId="1" applyNumberFormat="1" applyFill="1" applyBorder="1" applyAlignment="1">
      <alignment horizontal="center"/>
    </xf>
    <xf numFmtId="166" fontId="1" fillId="5" borderId="4" xfId="1" applyFill="1" applyBorder="1"/>
    <xf numFmtId="166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7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6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6" fontId="1" fillId="10" borderId="0" xfId="1" applyFill="1" applyBorder="1"/>
    <xf numFmtId="166" fontId="1" fillId="5" borderId="5" xfId="1" applyFill="1" applyBorder="1"/>
    <xf numFmtId="166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1" fillId="0" borderId="5" xfId="1" applyNumberFormat="1" applyBorder="1"/>
    <xf numFmtId="166" fontId="11" fillId="10" borderId="0" xfId="7" applyFill="1" applyBorder="1"/>
    <xf numFmtId="167" fontId="1" fillId="4" borderId="0" xfId="1" applyNumberFormat="1" applyFill="1" applyBorder="1"/>
    <xf numFmtId="0" fontId="1" fillId="0" borderId="0" xfId="1" applyNumberFormat="1" applyBorder="1"/>
    <xf numFmtId="167" fontId="1" fillId="4" borderId="0" xfId="1" applyNumberFormat="1" applyFill="1"/>
    <xf numFmtId="49" fontId="1" fillId="0" borderId="0" xfId="1" applyNumberFormat="1" applyFill="1" applyAlignment="1">
      <alignment horizontal="center"/>
    </xf>
    <xf numFmtId="167" fontId="1" fillId="6" borderId="5" xfId="1" applyNumberFormat="1" applyFill="1" applyBorder="1"/>
    <xf numFmtId="166" fontId="1" fillId="11" borderId="5" xfId="1" applyFill="1" applyBorder="1"/>
    <xf numFmtId="166" fontId="1" fillId="0" borderId="3" xfId="1" applyBorder="1" applyAlignment="1">
      <alignment horizontal="center"/>
    </xf>
    <xf numFmtId="166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6" fontId="1" fillId="4" borderId="2" xfId="1" applyFill="1" applyBorder="1"/>
    <xf numFmtId="166" fontId="1" fillId="0" borderId="2" xfId="1" applyBorder="1" applyAlignment="1">
      <alignment horizontal="center"/>
    </xf>
    <xf numFmtId="166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7" fontId="1" fillId="4" borderId="6" xfId="1" applyNumberFormat="1" applyFill="1" applyBorder="1" applyAlignment="1">
      <alignment horizontal="center"/>
    </xf>
    <xf numFmtId="166" fontId="1" fillId="0" borderId="6" xfId="1" applyBorder="1"/>
    <xf numFmtId="49" fontId="1" fillId="0" borderId="6" xfId="1" applyNumberFormat="1" applyFill="1" applyBorder="1" applyAlignment="1">
      <alignment horizontal="center"/>
    </xf>
    <xf numFmtId="166" fontId="1" fillId="13" borderId="6" xfId="1" applyFill="1" applyBorder="1"/>
    <xf numFmtId="166" fontId="1" fillId="5" borderId="6" xfId="1" applyFill="1" applyBorder="1"/>
    <xf numFmtId="166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7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7" fontId="1" fillId="4" borderId="7" xfId="1" applyNumberFormat="1" applyFill="1" applyBorder="1" applyAlignment="1">
      <alignment horizontal="center"/>
    </xf>
    <xf numFmtId="166" fontId="1" fillId="0" borderId="7" xfId="1" applyBorder="1"/>
    <xf numFmtId="49" fontId="1" fillId="0" borderId="7" xfId="1" applyNumberFormat="1" applyFill="1" applyBorder="1" applyAlignment="1">
      <alignment horizontal="center"/>
    </xf>
    <xf numFmtId="166" fontId="1" fillId="14" borderId="7" xfId="1" applyFill="1" applyBorder="1"/>
    <xf numFmtId="166" fontId="1" fillId="5" borderId="7" xfId="1" applyFill="1" applyBorder="1"/>
    <xf numFmtId="166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7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7" fontId="1" fillId="6" borderId="0" xfId="1" applyNumberFormat="1" applyFill="1" applyBorder="1" applyAlignment="1">
      <alignment horizontal="center"/>
    </xf>
    <xf numFmtId="166" fontId="1" fillId="15" borderId="0" xfId="1" applyFill="1" applyBorder="1"/>
    <xf numFmtId="166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6" fontId="1" fillId="0" borderId="8" xfId="1" applyBorder="1"/>
    <xf numFmtId="49" fontId="1" fillId="0" borderId="8" xfId="1" applyNumberFormat="1" applyFill="1" applyBorder="1" applyAlignment="1">
      <alignment horizontal="center"/>
    </xf>
    <xf numFmtId="166" fontId="1" fillId="5" borderId="8" xfId="1" applyFill="1" applyBorder="1"/>
    <xf numFmtId="166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7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6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7" fontId="1" fillId="6" borderId="9" xfId="1" applyNumberFormat="1" applyFill="1" applyBorder="1" applyAlignment="1">
      <alignment horizontal="center"/>
    </xf>
    <xf numFmtId="166" fontId="1" fillId="0" borderId="9" xfId="1" applyBorder="1"/>
    <xf numFmtId="49" fontId="1" fillId="0" borderId="9" xfId="1" applyNumberFormat="1" applyFill="1" applyBorder="1" applyAlignment="1">
      <alignment horizontal="center"/>
    </xf>
    <xf numFmtId="166" fontId="1" fillId="16" borderId="9" xfId="1" applyFill="1" applyBorder="1"/>
    <xf numFmtId="166" fontId="1" fillId="5" borderId="9" xfId="1" applyFill="1" applyBorder="1"/>
    <xf numFmtId="166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7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6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6" fontId="1" fillId="16" borderId="0" xfId="1" applyFill="1" applyBorder="1"/>
    <xf numFmtId="167" fontId="1" fillId="6" borderId="8" xfId="1" applyNumberFormat="1" applyFill="1" applyBorder="1" applyAlignment="1">
      <alignment horizontal="center"/>
    </xf>
    <xf numFmtId="166" fontId="1" fillId="16" borderId="8" xfId="1" applyFill="1" applyBorder="1"/>
    <xf numFmtId="167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6" fontId="3" fillId="17" borderId="2" xfId="1" applyFont="1" applyFill="1" applyBorder="1"/>
    <xf numFmtId="167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6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6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6" fontId="8" fillId="19" borderId="16" xfId="1" applyFont="1" applyFill="1" applyBorder="1"/>
    <xf numFmtId="166" fontId="8" fillId="19" borderId="0" xfId="1" applyFont="1" applyFill="1" applyBorder="1"/>
    <xf numFmtId="166" fontId="8" fillId="19" borderId="17" xfId="1" applyFont="1" applyFill="1" applyBorder="1"/>
    <xf numFmtId="166" fontId="8" fillId="20" borderId="0" xfId="1" applyFont="1" applyFill="1"/>
    <xf numFmtId="49" fontId="1" fillId="20" borderId="0" xfId="1" applyNumberFormat="1" applyFill="1" applyAlignment="1">
      <alignment horizontal="center"/>
    </xf>
    <xf numFmtId="166" fontId="8" fillId="0" borderId="0" xfId="1" applyFont="1" applyFill="1"/>
    <xf numFmtId="49" fontId="0" fillId="2" borderId="0" xfId="1" applyNumberFormat="1" applyFont="1" applyFill="1"/>
    <xf numFmtId="166" fontId="0" fillId="0" borderId="16" xfId="1" applyFont="1" applyFill="1" applyBorder="1" applyAlignment="1">
      <alignment horizontal="left"/>
    </xf>
    <xf numFmtId="166" fontId="8" fillId="0" borderId="0" xfId="1" applyFont="1" applyFill="1" applyBorder="1"/>
    <xf numFmtId="166" fontId="8" fillId="0" borderId="17" xfId="1" applyFont="1" applyFill="1" applyBorder="1"/>
    <xf numFmtId="166" fontId="0" fillId="0" borderId="16" xfId="1" applyFont="1" applyFill="1" applyBorder="1"/>
    <xf numFmtId="167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6" fontId="6" fillId="0" borderId="16" xfId="1" applyFont="1" applyFill="1" applyBorder="1" applyAlignment="1">
      <alignment vertical="center"/>
    </xf>
    <xf numFmtId="166" fontId="14" fillId="0" borderId="0" xfId="1" applyFont="1" applyFill="1" applyBorder="1" applyAlignment="1">
      <alignment vertical="center"/>
    </xf>
    <xf numFmtId="166" fontId="8" fillId="0" borderId="0" xfId="1" applyFont="1" applyFill="1" applyBorder="1" applyAlignment="1">
      <alignment vertical="center"/>
    </xf>
    <xf numFmtId="166" fontId="8" fillId="0" borderId="17" xfId="1" applyFont="1" applyFill="1" applyBorder="1" applyAlignment="1">
      <alignment vertical="center"/>
    </xf>
    <xf numFmtId="166" fontId="0" fillId="0" borderId="16" xfId="1" applyFont="1" applyFill="1" applyBorder="1" applyAlignment="1">
      <alignment vertical="center"/>
    </xf>
    <xf numFmtId="166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6" fontId="0" fillId="0" borderId="0" xfId="1" applyFont="1" applyFill="1" applyBorder="1" applyAlignment="1">
      <alignment vertical="center"/>
    </xf>
    <xf numFmtId="167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6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6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6" fontId="1" fillId="0" borderId="0" xfId="1" applyBorder="1" applyAlignment="1">
      <alignment vertical="center"/>
    </xf>
    <xf numFmtId="166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6" fontId="8" fillId="0" borderId="18" xfId="1" applyFont="1" applyFill="1" applyBorder="1" applyAlignment="1">
      <alignment vertical="center"/>
    </xf>
    <xf numFmtId="166" fontId="8" fillId="0" borderId="2" xfId="1" applyFont="1" applyFill="1" applyBorder="1" applyAlignment="1">
      <alignment vertical="center"/>
    </xf>
    <xf numFmtId="166" fontId="8" fillId="0" borderId="19" xfId="1" applyFont="1" applyFill="1" applyBorder="1" applyAlignment="1">
      <alignment vertical="center"/>
    </xf>
    <xf numFmtId="166" fontId="0" fillId="0" borderId="18" xfId="1" applyFont="1" applyFill="1" applyBorder="1" applyAlignment="1">
      <alignment vertical="center"/>
    </xf>
    <xf numFmtId="166" fontId="0" fillId="0" borderId="2" xfId="1" applyFont="1" applyFill="1" applyBorder="1" applyAlignment="1">
      <alignment vertical="center"/>
    </xf>
    <xf numFmtId="166" fontId="8" fillId="0" borderId="2" xfId="1" applyFont="1" applyFill="1" applyBorder="1"/>
    <xf numFmtId="167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6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6" fontId="1" fillId="0" borderId="20" xfId="1" applyBorder="1" applyAlignment="1">
      <alignment horizontal="left" vertical="center"/>
    </xf>
    <xf numFmtId="166" fontId="8" fillId="0" borderId="21" xfId="1" applyFont="1" applyFill="1" applyBorder="1" applyAlignment="1">
      <alignment vertical="center"/>
    </xf>
    <xf numFmtId="166" fontId="0" fillId="0" borderId="20" xfId="1" applyFont="1" applyFill="1" applyBorder="1" applyAlignment="1">
      <alignment vertical="center"/>
    </xf>
    <xf numFmtId="166" fontId="0" fillId="0" borderId="3" xfId="1" applyFont="1" applyFill="1" applyBorder="1" applyAlignment="1">
      <alignment vertical="center"/>
    </xf>
    <xf numFmtId="166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6" fontId="1" fillId="0" borderId="20" xfId="1" applyBorder="1" applyAlignment="1">
      <alignment vertical="center"/>
    </xf>
    <xf numFmtId="166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6" fontId="8" fillId="0" borderId="23" xfId="1" applyFont="1" applyFill="1" applyBorder="1" applyAlignment="1">
      <alignment vertical="center"/>
    </xf>
    <xf numFmtId="166" fontId="8" fillId="0" borderId="22" xfId="1" applyFont="1" applyFill="1" applyBorder="1" applyAlignment="1">
      <alignment vertical="center"/>
    </xf>
    <xf numFmtId="166" fontId="8" fillId="0" borderId="24" xfId="1" applyFont="1" applyFill="1" applyBorder="1" applyAlignment="1">
      <alignment vertical="center"/>
    </xf>
    <xf numFmtId="166" fontId="0" fillId="0" borderId="23" xfId="1" applyFont="1" applyFill="1" applyBorder="1" applyAlignment="1">
      <alignment vertical="center"/>
    </xf>
    <xf numFmtId="166" fontId="0" fillId="0" borderId="22" xfId="1" applyFont="1" applyFill="1" applyBorder="1" applyAlignment="1">
      <alignment vertical="center"/>
    </xf>
    <xf numFmtId="166" fontId="8" fillId="0" borderId="22" xfId="1" applyFont="1" applyFill="1" applyBorder="1"/>
    <xf numFmtId="167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6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6" fontId="1" fillId="0" borderId="26" xfId="1" applyBorder="1" applyAlignment="1">
      <alignment horizontal="left" vertical="center"/>
    </xf>
    <xf numFmtId="166" fontId="8" fillId="0" borderId="27" xfId="1" applyFont="1" applyFill="1" applyBorder="1" applyAlignment="1">
      <alignment vertical="center"/>
    </xf>
    <xf numFmtId="166" fontId="0" fillId="0" borderId="26" xfId="1" applyFont="1" applyFill="1" applyBorder="1" applyAlignment="1">
      <alignment vertical="center"/>
    </xf>
    <xf numFmtId="166" fontId="0" fillId="0" borderId="25" xfId="1" applyFont="1" applyFill="1" applyBorder="1" applyAlignment="1">
      <alignment vertical="center"/>
    </xf>
    <xf numFmtId="166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7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6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7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7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6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6" fontId="8" fillId="0" borderId="0" xfId="1" applyFont="1" applyFill="1" applyAlignment="1">
      <alignment horizontal="left"/>
    </xf>
    <xf numFmtId="166" fontId="0" fillId="0" borderId="26" xfId="1" applyFont="1" applyFill="1" applyBorder="1"/>
    <xf numFmtId="167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6" fontId="8" fillId="0" borderId="0" xfId="1" applyFont="1" applyFill="1" applyAlignment="1">
      <alignment vertical="center"/>
    </xf>
    <xf numFmtId="166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6" fontId="1" fillId="15" borderId="16" xfId="1" applyFill="1" applyBorder="1" applyAlignment="1">
      <alignment horizontal="left" vertical="center"/>
    </xf>
    <xf numFmtId="166" fontId="1" fillId="0" borderId="0" xfId="1" applyFill="1" applyBorder="1" applyAlignment="1">
      <alignment horizontal="left" vertical="center"/>
    </xf>
    <xf numFmtId="166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6" fontId="0" fillId="0" borderId="0" xfId="1" applyFont="1" applyFill="1"/>
    <xf numFmtId="166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6" fontId="8" fillId="11" borderId="2" xfId="1" applyFont="1" applyFill="1" applyBorder="1"/>
    <xf numFmtId="166" fontId="0" fillId="15" borderId="16" xfId="1" applyFont="1" applyFill="1" applyBorder="1" applyAlignment="1">
      <alignment vertical="center"/>
    </xf>
    <xf numFmtId="166" fontId="1" fillId="0" borderId="0" xfId="1" applyBorder="1" applyAlignment="1">
      <alignment horizontal="left" vertical="center"/>
    </xf>
    <xf numFmtId="166" fontId="1" fillId="20" borderId="0" xfId="1" applyFill="1" applyBorder="1" applyAlignment="1">
      <alignment horizontal="left" vertical="center"/>
    </xf>
    <xf numFmtId="166" fontId="8" fillId="10" borderId="0" xfId="1" applyFont="1" applyFill="1"/>
    <xf numFmtId="166" fontId="8" fillId="10" borderId="2" xfId="1" applyFont="1" applyFill="1" applyBorder="1"/>
    <xf numFmtId="166" fontId="8" fillId="2" borderId="0" xfId="1" applyFont="1" applyFill="1"/>
    <xf numFmtId="166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6" fontId="2" fillId="15" borderId="0" xfId="1" applyFont="1" applyFill="1"/>
    <xf numFmtId="166" fontId="8" fillId="2" borderId="2" xfId="1" applyFont="1" applyFill="1" applyBorder="1"/>
    <xf numFmtId="167" fontId="1" fillId="0" borderId="22" xfId="1" applyNumberFormat="1" applyFill="1" applyBorder="1" applyAlignment="1">
      <alignment horizontal="center" vertical="center"/>
    </xf>
    <xf numFmtId="166" fontId="8" fillId="14" borderId="0" xfId="1" applyFont="1" applyFill="1"/>
    <xf numFmtId="166" fontId="1" fillId="14" borderId="29" xfId="1" applyFill="1" applyBorder="1"/>
    <xf numFmtId="166" fontId="1" fillId="11" borderId="0" xfId="1" applyFill="1" applyBorder="1"/>
    <xf numFmtId="166" fontId="1" fillId="14" borderId="0" xfId="1" applyFill="1"/>
    <xf numFmtId="166" fontId="8" fillId="14" borderId="2" xfId="1" applyFont="1" applyFill="1" applyBorder="1"/>
    <xf numFmtId="166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6" fontId="1" fillId="8" borderId="4" xfId="1" applyFill="1" applyBorder="1"/>
    <xf numFmtId="166" fontId="0" fillId="16" borderId="0" xfId="1" applyFont="1" applyFill="1" applyBorder="1" applyAlignment="1">
      <alignment vertical="center"/>
    </xf>
    <xf numFmtId="166" fontId="1" fillId="16" borderId="0" xfId="1" applyFill="1"/>
    <xf numFmtId="166" fontId="1" fillId="16" borderId="29" xfId="1" applyFill="1" applyBorder="1"/>
    <xf numFmtId="166" fontId="1" fillId="6" borderId="0" xfId="1" applyFill="1" applyBorder="1" applyAlignment="1">
      <alignment vertical="center"/>
    </xf>
    <xf numFmtId="166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6" fontId="1" fillId="0" borderId="25" xfId="1" applyBorder="1" applyAlignment="1">
      <alignment horizontal="left" vertical="center"/>
    </xf>
    <xf numFmtId="166" fontId="8" fillId="0" borderId="25" xfId="1" applyFont="1" applyFill="1" applyBorder="1"/>
    <xf numFmtId="166" fontId="8" fillId="20" borderId="0" xfId="1" applyFont="1" applyFill="1" applyAlignment="1">
      <alignment horizontal="left"/>
    </xf>
    <xf numFmtId="166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7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6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6" fontId="8" fillId="0" borderId="33" xfId="1" applyFont="1" applyFill="1" applyBorder="1" applyAlignment="1">
      <alignment vertical="center"/>
    </xf>
    <xf numFmtId="166" fontId="8" fillId="0" borderId="36" xfId="1" applyFont="1" applyFill="1" applyBorder="1" applyAlignment="1">
      <alignment vertical="center"/>
    </xf>
    <xf numFmtId="166" fontId="0" fillId="0" borderId="34" xfId="1" applyFont="1" applyFill="1" applyBorder="1" applyAlignment="1">
      <alignment vertical="center"/>
    </xf>
    <xf numFmtId="166" fontId="0" fillId="8" borderId="33" xfId="1" applyFont="1" applyFill="1" applyBorder="1" applyAlignment="1">
      <alignment vertical="center"/>
    </xf>
    <xf numFmtId="167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6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6" fontId="1" fillId="0" borderId="3" xfId="1" applyBorder="1" applyAlignment="1">
      <alignment horizontal="left" vertical="center"/>
    </xf>
    <xf numFmtId="166" fontId="0" fillId="0" borderId="20" xfId="1" applyFont="1" applyFill="1" applyBorder="1"/>
    <xf numFmtId="166" fontId="8" fillId="0" borderId="3" xfId="1" applyFont="1" applyFill="1" applyBorder="1"/>
    <xf numFmtId="166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7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6" fontId="1" fillId="0" borderId="3" xfId="1" applyBorder="1" applyAlignment="1">
      <alignment vertical="center"/>
    </xf>
    <xf numFmtId="166" fontId="1" fillId="0" borderId="21" xfId="1" applyBorder="1" applyAlignment="1">
      <alignment vertical="center"/>
    </xf>
    <xf numFmtId="167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6" fontId="1" fillId="0" borderId="39" xfId="1" applyBorder="1"/>
    <xf numFmtId="166" fontId="1" fillId="0" borderId="40" xfId="1" applyBorder="1"/>
    <xf numFmtId="166" fontId="16" fillId="0" borderId="41" xfId="8" applyFont="1" applyBorder="1"/>
    <xf numFmtId="49" fontId="16" fillId="0" borderId="0" xfId="8" applyNumberFormat="1" applyFont="1"/>
    <xf numFmtId="166" fontId="1" fillId="0" borderId="0" xfId="8"/>
    <xf numFmtId="49" fontId="1" fillId="0" borderId="0" xfId="8" applyNumberFormat="1" applyAlignment="1">
      <alignment horizontal="right"/>
    </xf>
    <xf numFmtId="169" fontId="1" fillId="0" borderId="0" xfId="9" applyNumberFormat="1"/>
    <xf numFmtId="166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6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6" fontId="16" fillId="0" borderId="0" xfId="8" applyFont="1"/>
    <xf numFmtId="49" fontId="16" fillId="0" borderId="0" xfId="8" applyNumberFormat="1" applyFont="1" applyAlignment="1">
      <alignment horizontal="right"/>
    </xf>
    <xf numFmtId="169" fontId="16" fillId="0" borderId="0" xfId="9" applyNumberFormat="1" applyFont="1"/>
    <xf numFmtId="166" fontId="0" fillId="2" borderId="0" xfId="8" applyFont="1" applyFill="1"/>
    <xf numFmtId="49" fontId="0" fillId="2" borderId="0" xfId="8" applyNumberFormat="1" applyFont="1" applyFill="1"/>
    <xf numFmtId="166" fontId="0" fillId="0" borderId="0" xfId="10" applyFont="1" applyAlignment="1">
      <alignment vertical="top"/>
    </xf>
    <xf numFmtId="166" fontId="1" fillId="0" borderId="0" xfId="8" applyAlignment="1">
      <alignment vertical="center"/>
    </xf>
    <xf numFmtId="166" fontId="0" fillId="0" borderId="0" xfId="8" applyFont="1"/>
    <xf numFmtId="49" fontId="0" fillId="0" borderId="0" xfId="8" applyNumberFormat="1" applyFont="1" applyAlignment="1">
      <alignment horizontal="right"/>
    </xf>
    <xf numFmtId="166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6" fontId="0" fillId="0" borderId="0" xfId="10" applyFont="1" applyAlignment="1">
      <alignment vertical="center"/>
    </xf>
    <xf numFmtId="166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9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6" fontId="11" fillId="0" borderId="0" xfId="7"/>
    <xf numFmtId="49" fontId="1" fillId="2" borderId="0" xfId="8" applyNumberFormat="1" applyFill="1"/>
    <xf numFmtId="166" fontId="0" fillId="0" borderId="0" xfId="8" applyFont="1" applyFill="1"/>
    <xf numFmtId="166" fontId="1" fillId="0" borderId="0" xfId="11" applyAlignment="1">
      <alignment vertical="top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9" fillId="0" borderId="0" xfId="12" applyFont="1" applyAlignment="1">
      <alignment horizontal="center" vertical="center" wrapText="1"/>
    </xf>
    <xf numFmtId="166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9" fontId="0" fillId="0" borderId="0" xfId="9" applyNumberFormat="1" applyFont="1"/>
    <xf numFmtId="166" fontId="0" fillId="7" borderId="0" xfId="8" applyFont="1" applyFill="1"/>
    <xf numFmtId="166" fontId="0" fillId="21" borderId="0" xfId="8" applyFont="1" applyFill="1" applyAlignment="1">
      <alignment horizontal="center" wrapText="1"/>
    </xf>
    <xf numFmtId="166" fontId="2" fillId="7" borderId="0" xfId="8" applyFont="1" applyFill="1" applyAlignment="1">
      <alignment horizontal="center" vertical="center" wrapText="1"/>
    </xf>
    <xf numFmtId="166" fontId="2" fillId="7" borderId="0" xfId="8" applyFont="1" applyFill="1" applyAlignment="1">
      <alignment horizontal="center"/>
    </xf>
    <xf numFmtId="166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6" fontId="20" fillId="2" borderId="0" xfId="13" applyFont="1" applyFill="1" applyAlignment="1">
      <alignment vertical="top"/>
    </xf>
    <xf numFmtId="166" fontId="0" fillId="0" borderId="0" xfId="8" applyFont="1" applyAlignment="1">
      <alignment vertical="center" wrapText="1"/>
    </xf>
    <xf numFmtId="166" fontId="1" fillId="0" borderId="0" xfId="8" applyAlignment="1">
      <alignment vertical="center" wrapText="1"/>
    </xf>
    <xf numFmtId="166" fontId="1" fillId="0" borderId="0" xfId="8" applyFill="1"/>
    <xf numFmtId="49" fontId="20" fillId="2" borderId="0" xfId="13" applyNumberFormat="1" applyFont="1" applyFill="1" applyAlignment="1">
      <alignment vertical="top" wrapText="1"/>
    </xf>
    <xf numFmtId="166" fontId="14" fillId="0" borderId="0" xfId="8" applyFont="1" applyAlignment="1">
      <alignment vertical="center" wrapText="1"/>
    </xf>
    <xf numFmtId="166" fontId="0" fillId="15" borderId="0" xfId="8" applyFont="1" applyFill="1"/>
    <xf numFmtId="166" fontId="0" fillId="22" borderId="0" xfId="8" applyFont="1" applyFill="1"/>
    <xf numFmtId="166" fontId="8" fillId="0" borderId="0" xfId="8" applyFont="1"/>
    <xf numFmtId="166" fontId="2" fillId="0" borderId="0" xfId="8" applyFont="1"/>
    <xf numFmtId="166" fontId="21" fillId="0" borderId="0" xfId="11" applyFont="1" applyAlignment="1">
      <alignment vertical="center"/>
    </xf>
    <xf numFmtId="166" fontId="1" fillId="0" borderId="0" xfId="11"/>
    <xf numFmtId="166" fontId="2" fillId="0" borderId="42" xfId="8" applyFont="1" applyBorder="1"/>
    <xf numFmtId="49" fontId="1" fillId="0" borderId="43" xfId="8" applyNumberFormat="1" applyBorder="1"/>
    <xf numFmtId="166" fontId="2" fillId="2" borderId="42" xfId="8" applyFont="1" applyFill="1" applyBorder="1"/>
    <xf numFmtId="166" fontId="2" fillId="0" borderId="43" xfId="8" applyFont="1" applyBorder="1"/>
    <xf numFmtId="166" fontId="1" fillId="0" borderId="43" xfId="8" applyBorder="1"/>
    <xf numFmtId="166" fontId="1" fillId="0" borderId="44" xfId="8" applyBorder="1"/>
    <xf numFmtId="166" fontId="0" fillId="2" borderId="16" xfId="8" applyFont="1" applyFill="1" applyBorder="1"/>
    <xf numFmtId="49" fontId="0" fillId="0" borderId="0" xfId="8" applyNumberFormat="1" applyFont="1" applyBorder="1"/>
    <xf numFmtId="166" fontId="1" fillId="2" borderId="16" xfId="8" applyFill="1" applyBorder="1"/>
    <xf numFmtId="166" fontId="1" fillId="0" borderId="0" xfId="8" applyBorder="1"/>
    <xf numFmtId="166" fontId="1" fillId="0" borderId="17" xfId="8" applyBorder="1"/>
    <xf numFmtId="166" fontId="0" fillId="0" borderId="0" xfId="8" applyFont="1" applyBorder="1"/>
    <xf numFmtId="166" fontId="0" fillId="2" borderId="13" xfId="8" applyFont="1" applyFill="1" applyBorder="1"/>
    <xf numFmtId="49" fontId="0" fillId="0" borderId="15" xfId="8" applyNumberFormat="1" applyFont="1" applyBorder="1"/>
    <xf numFmtId="166" fontId="1" fillId="2" borderId="13" xfId="8" applyFill="1" applyBorder="1"/>
    <xf numFmtId="166" fontId="0" fillId="0" borderId="14" xfId="8" applyFont="1" applyBorder="1"/>
    <xf numFmtId="166" fontId="1" fillId="0" borderId="14" xfId="8" applyBorder="1"/>
    <xf numFmtId="166" fontId="1" fillId="0" borderId="15" xfId="8" applyBorder="1"/>
    <xf numFmtId="14" fontId="1" fillId="0" borderId="0" xfId="11" applyNumberFormat="1"/>
    <xf numFmtId="166" fontId="1" fillId="0" borderId="0" xfId="11" applyNumberFormat="1"/>
    <xf numFmtId="49" fontId="22" fillId="0" borderId="0" xfId="11" applyNumberFormat="1" applyFont="1"/>
    <xf numFmtId="170" fontId="1" fillId="10" borderId="0" xfId="11" applyNumberFormat="1" applyFill="1" applyAlignment="1">
      <alignment horizontal="left"/>
    </xf>
    <xf numFmtId="49" fontId="1" fillId="0" borderId="0" xfId="11" applyNumberFormat="1"/>
    <xf numFmtId="171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70" fontId="20" fillId="4" borderId="0" xfId="16" applyNumberFormat="1" applyFont="1" applyFill="1" applyAlignment="1">
      <alignment horizontal="center"/>
    </xf>
    <xf numFmtId="170" fontId="9" fillId="4" borderId="0" xfId="16" applyNumberFormat="1" applyFont="1" applyFill="1" applyAlignment="1">
      <alignment horizontal="center"/>
    </xf>
    <xf numFmtId="170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2" fontId="1" fillId="0" borderId="0" xfId="18" applyNumberFormat="1"/>
    <xf numFmtId="166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3" fontId="34" fillId="0" borderId="1" xfId="22" applyNumberFormat="1" applyFont="1" applyFill="1" applyBorder="1" applyAlignment="1">
      <alignment horizontal="center" vertical="top"/>
    </xf>
    <xf numFmtId="173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6" fontId="35" fillId="26" borderId="0" xfId="15" applyFont="1" applyFill="1" applyAlignment="1">
      <alignment horizontal="center" vertical="center" textRotation="90" wrapText="1"/>
    </xf>
    <xf numFmtId="166" fontId="20" fillId="21" borderId="0" xfId="15" applyFont="1" applyFill="1" applyAlignment="1">
      <alignment horizontal="center" vertical="center" textRotation="90" wrapText="1"/>
    </xf>
    <xf numFmtId="166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6" fontId="36" fillId="26" borderId="1" xfId="23" applyFont="1" applyFill="1" applyBorder="1" applyAlignment="1">
      <alignment horizontal="center" vertical="center" textRotation="90"/>
    </xf>
    <xf numFmtId="166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2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6" fontId="38" fillId="28" borderId="0" xfId="25" applyFont="1" applyFill="1"/>
    <xf numFmtId="166" fontId="38" fillId="28" borderId="0" xfId="25" applyFont="1" applyFill="1" applyAlignment="1">
      <alignment horizontal="center"/>
    </xf>
    <xf numFmtId="174" fontId="38" fillId="28" borderId="0" xfId="16" applyNumberFormat="1" applyFont="1" applyFill="1" applyAlignment="1">
      <alignment horizontal="center"/>
    </xf>
    <xf numFmtId="166" fontId="20" fillId="28" borderId="0" xfId="23" applyFont="1" applyFill="1" applyAlignment="1">
      <alignment horizontal="center" vertical="top"/>
    </xf>
    <xf numFmtId="166" fontId="20" fillId="28" borderId="0" xfId="23" applyFont="1" applyFill="1"/>
    <xf numFmtId="1" fontId="20" fillId="28" borderId="0" xfId="10" applyNumberFormat="1" applyFont="1" applyFill="1"/>
    <xf numFmtId="166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2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6" fontId="38" fillId="10" borderId="42" xfId="25" applyFont="1" applyFill="1" applyBorder="1" applyAlignment="1">
      <alignment horizontal="left"/>
    </xf>
    <xf numFmtId="174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6" fontId="20" fillId="0" borderId="0" xfId="23" applyFont="1"/>
    <xf numFmtId="166" fontId="20" fillId="0" borderId="0" xfId="23" applyFont="1" applyFill="1" applyAlignment="1">
      <alignment horizontal="center"/>
    </xf>
    <xf numFmtId="166" fontId="20" fillId="0" borderId="0" xfId="10" applyFont="1" applyFill="1"/>
    <xf numFmtId="166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3" fontId="20" fillId="10" borderId="44" xfId="22" applyNumberFormat="1" applyFont="1" applyFill="1" applyBorder="1" applyAlignment="1">
      <alignment horizontal="center"/>
    </xf>
    <xf numFmtId="166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6" fontId="38" fillId="18" borderId="16" xfId="25" applyFont="1" applyFill="1" applyBorder="1" applyAlignment="1">
      <alignment horizontal="left"/>
    </xf>
    <xf numFmtId="174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3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6" fontId="38" fillId="15" borderId="16" xfId="25" applyFont="1" applyFill="1" applyBorder="1" applyAlignment="1">
      <alignment horizontal="left"/>
    </xf>
    <xf numFmtId="174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3" fontId="20" fillId="15" borderId="17" xfId="22" applyNumberFormat="1" applyFont="1" applyFill="1" applyBorder="1" applyAlignment="1">
      <alignment horizontal="center"/>
    </xf>
    <xf numFmtId="166" fontId="20" fillId="0" borderId="0" xfId="17" applyFont="1" applyFill="1"/>
    <xf numFmtId="166" fontId="38" fillId="29" borderId="16" xfId="25" applyFont="1" applyFill="1" applyBorder="1"/>
    <xf numFmtId="174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3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6" fontId="40" fillId="2" borderId="47" xfId="25" applyFont="1" applyFill="1" applyBorder="1" applyAlignment="1">
      <alignment horizontal="left" vertical="center"/>
    </xf>
    <xf numFmtId="174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6" fontId="20" fillId="0" borderId="0" xfId="23" applyFont="1" applyAlignment="1">
      <alignment vertical="center"/>
    </xf>
    <xf numFmtId="166" fontId="20" fillId="0" borderId="0" xfId="23" applyFont="1" applyFill="1" applyAlignment="1">
      <alignment horizontal="center" vertical="center"/>
    </xf>
    <xf numFmtId="166" fontId="20" fillId="0" borderId="0" xfId="10" applyFont="1" applyFill="1" applyAlignment="1">
      <alignment vertical="center"/>
    </xf>
    <xf numFmtId="166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3" fontId="40" fillId="2" borderId="54" xfId="22" applyNumberFormat="1" applyFont="1" applyFill="1" applyBorder="1" applyAlignment="1">
      <alignment horizontal="center" vertical="center"/>
    </xf>
    <xf numFmtId="166" fontId="20" fillId="0" borderId="0" xfId="17" applyFont="1" applyFill="1" applyAlignment="1">
      <alignment vertical="center"/>
    </xf>
    <xf numFmtId="166" fontId="38" fillId="0" borderId="0" xfId="25" applyFont="1"/>
    <xf numFmtId="174" fontId="38" fillId="0" borderId="0" xfId="16" applyNumberFormat="1" applyFont="1" applyBorder="1" applyAlignment="1">
      <alignment horizontal="center"/>
    </xf>
    <xf numFmtId="166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2" fontId="20" fillId="0" borderId="0" xfId="27" applyNumberFormat="1" applyFont="1"/>
    <xf numFmtId="0" fontId="9" fillId="0" borderId="0" xfId="14" applyFont="1"/>
    <xf numFmtId="165" fontId="9" fillId="0" borderId="0" xfId="16" applyFont="1" applyFill="1"/>
    <xf numFmtId="165" fontId="42" fillId="0" borderId="0" xfId="16" applyFont="1" applyFill="1"/>
    <xf numFmtId="174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5" fontId="42" fillId="0" borderId="0" xfId="30" applyFont="1" applyFill="1"/>
    <xf numFmtId="174" fontId="9" fillId="3" borderId="0" xfId="16" applyNumberFormat="1" applyFill="1"/>
    <xf numFmtId="175" fontId="1" fillId="7" borderId="0" xfId="30" applyFill="1"/>
    <xf numFmtId="0" fontId="9" fillId="0" borderId="0" xfId="29" applyAlignment="1">
      <alignment horizontal="center"/>
    </xf>
    <xf numFmtId="165" fontId="2" fillId="6" borderId="49" xfId="16" applyNumberFormat="1" applyFont="1" applyFill="1" applyBorder="1" applyAlignment="1">
      <alignment horizontal="center"/>
    </xf>
    <xf numFmtId="175" fontId="1" fillId="0" borderId="0" xfId="30" applyFill="1" applyAlignment="1">
      <alignment horizontal="left" indent="2"/>
    </xf>
    <xf numFmtId="166" fontId="14" fillId="0" borderId="0" xfId="11" applyFont="1"/>
    <xf numFmtId="175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4" fontId="2" fillId="6" borderId="58" xfId="16" applyNumberFormat="1" applyFont="1" applyFill="1" applyBorder="1" applyAlignment="1">
      <alignment horizontal="center"/>
    </xf>
    <xf numFmtId="175" fontId="1" fillId="15" borderId="13" xfId="31" applyFill="1" applyBorder="1"/>
    <xf numFmtId="174" fontId="9" fillId="15" borderId="15" xfId="16" applyNumberFormat="1" applyFill="1" applyBorder="1" applyAlignment="1">
      <alignment horizontal="left" indent="1"/>
    </xf>
    <xf numFmtId="175" fontId="1" fillId="7" borderId="0" xfId="31" applyFill="1"/>
    <xf numFmtId="0" fontId="9" fillId="30" borderId="0" xfId="29" applyFill="1"/>
    <xf numFmtId="0" fontId="9" fillId="15" borderId="0" xfId="29" applyFill="1"/>
    <xf numFmtId="174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6" fontId="44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6" fontId="43" fillId="0" borderId="59" xfId="33" applyFont="1" applyBorder="1" applyAlignment="1">
      <alignment vertical="center" wrapText="1"/>
    </xf>
    <xf numFmtId="166" fontId="46" fillId="0" borderId="59" xfId="33" applyFont="1" applyBorder="1" applyAlignment="1">
      <alignment horizontal="center" vertical="center" wrapText="1"/>
    </xf>
    <xf numFmtId="166" fontId="47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6" fontId="43" fillId="32" borderId="59" xfId="33" applyFill="1" applyBorder="1" applyAlignment="1">
      <alignment horizontal="center" vertical="center" wrapText="1"/>
    </xf>
    <xf numFmtId="166" fontId="43" fillId="0" borderId="59" xfId="33" applyBorder="1" applyAlignment="1">
      <alignment horizontal="left" vertical="center" wrapText="1"/>
    </xf>
    <xf numFmtId="168" fontId="46" fillId="0" borderId="59" xfId="33" applyNumberFormat="1" applyFont="1" applyBorder="1" applyAlignment="1">
      <alignment horizontal="center" vertical="center" wrapText="1"/>
    </xf>
    <xf numFmtId="166" fontId="49" fillId="0" borderId="59" xfId="33" applyFont="1" applyBorder="1" applyAlignment="1">
      <alignment horizontal="center" vertical="center" wrapText="1"/>
    </xf>
    <xf numFmtId="167" fontId="43" fillId="0" borderId="59" xfId="33" applyNumberFormat="1" applyBorder="1" applyAlignment="1">
      <alignment horizontal="center" vertical="center" wrapText="1"/>
    </xf>
    <xf numFmtId="166" fontId="43" fillId="0" borderId="0" xfId="33" applyAlignment="1">
      <alignment horizontal="left" vertical="center" wrapText="1"/>
    </xf>
    <xf numFmtId="168" fontId="43" fillId="0" borderId="59" xfId="33" applyNumberFormat="1" applyBorder="1" applyAlignment="1">
      <alignment horizontal="center" vertical="center" wrapText="1"/>
    </xf>
    <xf numFmtId="166" fontId="50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70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5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6" fontId="44" fillId="8" borderId="59" xfId="33" applyFont="1" applyFill="1" applyBorder="1" applyAlignment="1">
      <alignment vertical="center" wrapText="1"/>
    </xf>
    <xf numFmtId="166" fontId="44" fillId="33" borderId="59" xfId="33" applyFont="1" applyFill="1" applyBorder="1" applyAlignment="1">
      <alignment horizontal="center" vertical="center" wrapText="1"/>
    </xf>
    <xf numFmtId="166" fontId="52" fillId="33" borderId="59" xfId="33" applyFont="1" applyFill="1" applyBorder="1" applyAlignment="1">
      <alignment horizontal="center" vertical="center" wrapText="1"/>
    </xf>
    <xf numFmtId="166" fontId="53" fillId="33" borderId="59" xfId="33" applyFont="1" applyFill="1" applyBorder="1" applyAlignment="1">
      <alignment horizontal="center" vertical="center" wrapText="1"/>
    </xf>
    <xf numFmtId="165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6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6" fontId="22" fillId="0" borderId="0" xfId="11" applyFont="1"/>
    <xf numFmtId="170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6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6" fontId="1" fillId="0" borderId="0" xfId="17"/>
    <xf numFmtId="49" fontId="1" fillId="0" borderId="0" xfId="11" applyNumberFormat="1" applyAlignment="1">
      <alignment horizontal="center"/>
    </xf>
    <xf numFmtId="166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6" fontId="1" fillId="2" borderId="0" xfId="11" applyFill="1"/>
    <xf numFmtId="166" fontId="1" fillId="0" borderId="0" xfId="11" applyAlignment="1">
      <alignment horizontal="center"/>
    </xf>
    <xf numFmtId="166" fontId="0" fillId="0" borderId="0" xfId="17" applyFont="1" applyFill="1" applyAlignment="1">
      <alignment horizontal="center" vertical="top"/>
    </xf>
    <xf numFmtId="166" fontId="20" fillId="0" borderId="0" xfId="36" applyFont="1" applyFill="1" applyAlignment="1">
      <alignment horizontal="center" vertical="top"/>
    </xf>
    <xf numFmtId="166" fontId="20" fillId="2" borderId="0" xfId="36" applyFont="1" applyFill="1" applyAlignment="1">
      <alignment horizontal="center" vertical="top"/>
    </xf>
    <xf numFmtId="166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6" fontId="1" fillId="34" borderId="0" xfId="11" applyFill="1"/>
    <xf numFmtId="166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6" fontId="55" fillId="6" borderId="1" xfId="37" applyFont="1" applyFill="1" applyBorder="1" applyAlignment="1">
      <alignment vertical="top"/>
    </xf>
    <xf numFmtId="166" fontId="55" fillId="10" borderId="1" xfId="37" applyFont="1" applyFill="1" applyBorder="1" applyAlignment="1">
      <alignment vertical="top"/>
    </xf>
    <xf numFmtId="166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2" fontId="20" fillId="0" borderId="0" xfId="36" applyNumberFormat="1" applyFont="1" applyFill="1" applyAlignment="1">
      <alignment vertical="top"/>
    </xf>
    <xf numFmtId="166" fontId="1" fillId="7" borderId="0" xfId="17" applyFill="1" applyAlignment="1">
      <alignment vertical="top"/>
    </xf>
    <xf numFmtId="166" fontId="1" fillId="2" borderId="0" xfId="17" applyFill="1" applyAlignment="1">
      <alignment vertical="top"/>
    </xf>
    <xf numFmtId="166" fontId="2" fillId="26" borderId="0" xfId="17" applyFont="1" applyFill="1" applyAlignment="1">
      <alignment vertical="top"/>
    </xf>
    <xf numFmtId="166" fontId="1" fillId="0" borderId="0" xfId="17" applyAlignment="1">
      <alignment vertical="top"/>
    </xf>
    <xf numFmtId="166" fontId="0" fillId="30" borderId="0" xfId="17" applyFont="1" applyFill="1"/>
    <xf numFmtId="166" fontId="1" fillId="15" borderId="0" xfId="17" applyFill="1"/>
    <xf numFmtId="172" fontId="1" fillId="15" borderId="0" xfId="17" applyNumberFormat="1" applyFill="1"/>
    <xf numFmtId="166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6" fontId="1" fillId="37" borderId="0" xfId="17" applyFill="1" applyAlignment="1">
      <alignment horizontal="center" vertical="center"/>
    </xf>
    <xf numFmtId="165" fontId="0" fillId="37" borderId="0" xfId="9" applyFont="1" applyFill="1" applyAlignment="1">
      <alignment horizontal="center" vertical="center"/>
    </xf>
    <xf numFmtId="166" fontId="20" fillId="6" borderId="0" xfId="36" applyFont="1" applyFill="1" applyAlignment="1">
      <alignment vertical="top"/>
    </xf>
    <xf numFmtId="166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6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6" fontId="20" fillId="15" borderId="0" xfId="36" applyFont="1" applyFill="1" applyAlignment="1">
      <alignment horizontal="center" vertical="top"/>
    </xf>
    <xf numFmtId="166" fontId="20" fillId="6" borderId="0" xfId="36" applyFont="1" applyFill="1" applyAlignment="1">
      <alignment horizontal="center" vertical="top"/>
    </xf>
    <xf numFmtId="166" fontId="1" fillId="6" borderId="0" xfId="11" applyFill="1"/>
    <xf numFmtId="166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6" fontId="9" fillId="38" borderId="0" xfId="36" applyFont="1" applyFill="1" applyAlignment="1">
      <alignment vertical="top"/>
    </xf>
    <xf numFmtId="166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6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6" fontId="9" fillId="0" borderId="0" xfId="36" quotePrefix="1" applyFont="1" applyFill="1" applyAlignment="1">
      <alignment horizontal="center" vertical="top" wrapText="1"/>
    </xf>
    <xf numFmtId="166" fontId="9" fillId="0" borderId="0" xfId="36" applyFont="1" applyFill="1" applyAlignment="1">
      <alignment horizontal="center" vertical="top"/>
    </xf>
    <xf numFmtId="166" fontId="28" fillId="38" borderId="0" xfId="36" applyFont="1" applyFill="1" applyAlignment="1">
      <alignment horizontal="center" vertical="top"/>
    </xf>
    <xf numFmtId="166" fontId="1" fillId="38" borderId="0" xfId="11" applyFill="1"/>
    <xf numFmtId="166" fontId="1" fillId="0" borderId="0" xfId="11" applyFill="1"/>
    <xf numFmtId="166" fontId="0" fillId="0" borderId="0" xfId="11" applyFont="1"/>
    <xf numFmtId="166" fontId="58" fillId="0" borderId="0" xfId="11" applyFont="1"/>
    <xf numFmtId="166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6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center" vertical="center" wrapText="1"/>
    </xf>
    <xf numFmtId="166" fontId="43" fillId="32" borderId="61" xfId="33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left" vertical="center" wrapText="1"/>
    </xf>
    <xf numFmtId="168" fontId="46" fillId="10" borderId="59" xfId="33" applyNumberFormat="1" applyFont="1" applyFill="1" applyBorder="1" applyAlignment="1">
      <alignment horizontal="center" vertical="center" wrapText="1"/>
    </xf>
    <xf numFmtId="168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6" fontId="0" fillId="10" borderId="1" xfId="11" applyFont="1" applyFill="1" applyBorder="1" applyAlignment="1">
      <alignment horizontal="center" vertical="center" wrapText="1"/>
    </xf>
    <xf numFmtId="166" fontId="0" fillId="3" borderId="1" xfId="11" applyFont="1" applyFill="1" applyBorder="1" applyAlignment="1">
      <alignment horizontal="center" vertical="center" wrapText="1"/>
    </xf>
    <xf numFmtId="166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6" fontId="6" fillId="0" borderId="0" xfId="11" applyFont="1"/>
    <xf numFmtId="49" fontId="1" fillId="3" borderId="0" xfId="11" applyNumberFormat="1" applyFill="1"/>
    <xf numFmtId="166" fontId="44" fillId="16" borderId="59" xfId="33" applyFont="1" applyFill="1" applyBorder="1" applyAlignment="1">
      <alignment horizontal="center" vertical="center"/>
    </xf>
    <xf numFmtId="166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6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6" fontId="2" fillId="0" borderId="47" xfId="11" applyFont="1" applyBorder="1" applyAlignment="1">
      <alignment horizontal="center" vertical="center" textRotation="90"/>
    </xf>
    <xf numFmtId="166" fontId="2" fillId="0" borderId="1" xfId="11" applyFont="1" applyBorder="1" applyAlignment="1">
      <alignment horizontal="center" vertical="center"/>
    </xf>
    <xf numFmtId="166" fontId="2" fillId="0" borderId="44" xfId="11" applyNumberFormat="1" applyFont="1" applyBorder="1" applyAlignment="1">
      <alignment textRotation="90"/>
    </xf>
    <xf numFmtId="166" fontId="2" fillId="36" borderId="44" xfId="11" quotePrefix="1" applyNumberFormat="1" applyFont="1" applyFill="1" applyBorder="1" applyAlignment="1">
      <alignment vertical="center" textRotation="90"/>
    </xf>
    <xf numFmtId="166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6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6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6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6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6" fontId="38" fillId="0" borderId="0" xfId="25" applyFont="1" applyFill="1"/>
    <xf numFmtId="166" fontId="20" fillId="0" borderId="0" xfId="23" applyFont="1" applyFill="1"/>
    <xf numFmtId="49" fontId="20" fillId="0" borderId="0" xfId="17" applyNumberFormat="1" applyFont="1" applyFill="1"/>
    <xf numFmtId="172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6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6" fontId="1" fillId="0" borderId="0" xfId="17" applyFill="1"/>
    <xf numFmtId="166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6" fontId="2" fillId="6" borderId="68" xfId="17" applyFont="1" applyFill="1" applyBorder="1" applyAlignment="1">
      <alignment horizontal="center"/>
    </xf>
    <xf numFmtId="166" fontId="1" fillId="0" borderId="0" xfId="11" applyFill="1" applyAlignment="1">
      <alignment horizontal="left" vertical="center"/>
    </xf>
    <xf numFmtId="166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6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70" fontId="60" fillId="23" borderId="45" xfId="16" applyNumberFormat="1" applyFont="1" applyFill="1" applyBorder="1" applyAlignment="1">
      <alignment horizontal="center" vertical="center" wrapText="1"/>
    </xf>
    <xf numFmtId="172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2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6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6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6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70" fontId="25" fillId="23" borderId="45" xfId="16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vertical="center"/>
    </xf>
    <xf numFmtId="170" fontId="25" fillId="6" borderId="45" xfId="16" applyNumberFormat="1" applyFont="1" applyFill="1" applyBorder="1" applyAlignment="1">
      <alignment horizontal="center" vertical="center"/>
    </xf>
    <xf numFmtId="170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70" fontId="9" fillId="41" borderId="0" xfId="16" applyNumberFormat="1" applyFont="1" applyFill="1" applyAlignment="1">
      <alignment horizontal="center" vertical="center"/>
    </xf>
    <xf numFmtId="170" fontId="9" fillId="42" borderId="0" xfId="16" applyNumberFormat="1" applyFont="1" applyFill="1" applyAlignment="1">
      <alignment horizontal="center" vertical="center"/>
    </xf>
    <xf numFmtId="170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wrapText="1"/>
    </xf>
    <xf numFmtId="170" fontId="25" fillId="6" borderId="45" xfId="16" applyNumberFormat="1" applyFont="1" applyFill="1" applyBorder="1" applyAlignment="1">
      <alignment horizontal="center"/>
    </xf>
    <xf numFmtId="170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70" fontId="9" fillId="26" borderId="0" xfId="16" applyNumberFormat="1" applyFont="1" applyFill="1" applyAlignment="1">
      <alignment horizontal="center"/>
    </xf>
    <xf numFmtId="170" fontId="9" fillId="41" borderId="0" xfId="16" applyNumberFormat="1" applyFont="1" applyFill="1" applyAlignment="1">
      <alignment horizontal="center"/>
    </xf>
    <xf numFmtId="170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6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6" fontId="6" fillId="0" borderId="0" xfId="1" applyFont="1" applyFill="1" applyBorder="1" applyAlignment="1">
      <alignment vertical="center"/>
    </xf>
    <xf numFmtId="168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4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7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6" fontId="0" fillId="0" borderId="20" xfId="1" applyFont="1" applyBorder="1" applyAlignment="1">
      <alignment horizontal="left" vertical="center"/>
    </xf>
    <xf numFmtId="166" fontId="0" fillId="8" borderId="16" xfId="1" applyFont="1" applyFill="1" applyBorder="1" applyAlignment="1">
      <alignment vertical="center"/>
    </xf>
    <xf numFmtId="166" fontId="1" fillId="6" borderId="16" xfId="1" applyFill="1" applyBorder="1" applyAlignment="1">
      <alignment horizontal="left" vertical="center"/>
    </xf>
    <xf numFmtId="166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8" fontId="9" fillId="0" borderId="0" xfId="14" applyNumberFormat="1"/>
    <xf numFmtId="166" fontId="8" fillId="7" borderId="0" xfId="1" applyFont="1" applyFill="1"/>
    <xf numFmtId="166" fontId="1" fillId="7" borderId="0" xfId="1" applyFill="1"/>
    <xf numFmtId="166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6" fontId="1" fillId="15" borderId="0" xfId="1" applyFill="1"/>
    <xf numFmtId="166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5" fontId="8" fillId="15" borderId="55" xfId="11" applyNumberFormat="1" applyFont="1" applyFill="1" applyBorder="1" applyAlignment="1">
      <alignment horizontal="center" vertical="center"/>
    </xf>
    <xf numFmtId="165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2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6" fontId="0" fillId="6" borderId="0" xfId="17" applyFont="1" applyFill="1" applyAlignment="1">
      <alignment horizontal="center" vertical="center"/>
    </xf>
    <xf numFmtId="166" fontId="0" fillId="7" borderId="0" xfId="17" applyFont="1" applyFill="1" applyAlignment="1">
      <alignment vertical="top"/>
    </xf>
    <xf numFmtId="0" fontId="0" fillId="0" borderId="0" xfId="11" applyNumberFormat="1" applyFont="1"/>
    <xf numFmtId="166" fontId="20" fillId="2" borderId="0" xfId="36" applyFont="1" applyFill="1" applyAlignment="1">
      <alignment horizontal="center" vertical="center"/>
    </xf>
    <xf numFmtId="166" fontId="20" fillId="0" borderId="0" xfId="36" applyFont="1" applyFill="1" applyAlignment="1">
      <alignment horizontal="center" vertical="center"/>
    </xf>
    <xf numFmtId="166" fontId="20" fillId="15" borderId="0" xfId="36" applyFont="1" applyFill="1" applyAlignment="1">
      <alignment horizontal="center" vertical="center"/>
    </xf>
    <xf numFmtId="166" fontId="9" fillId="0" borderId="0" xfId="36" quotePrefix="1" applyFont="1" applyFill="1" applyAlignment="1">
      <alignment horizontal="center" vertical="center" wrapText="1"/>
    </xf>
    <xf numFmtId="166" fontId="20" fillId="6" borderId="0" xfId="36" applyFont="1" applyFill="1" applyAlignment="1">
      <alignment horizontal="center" vertical="center"/>
    </xf>
    <xf numFmtId="166" fontId="1" fillId="6" borderId="0" xfId="11" applyFill="1" applyAlignment="1">
      <alignment horizontal="center" vertical="center"/>
    </xf>
    <xf numFmtId="166" fontId="1" fillId="6" borderId="0" xfId="11" applyFill="1" applyAlignment="1">
      <alignment vertical="center"/>
    </xf>
    <xf numFmtId="166" fontId="0" fillId="0" borderId="0" xfId="11" applyFont="1" applyAlignment="1">
      <alignment vertical="center"/>
    </xf>
    <xf numFmtId="0" fontId="67" fillId="0" borderId="0" xfId="0" applyFont="1"/>
    <xf numFmtId="166" fontId="28" fillId="38" borderId="0" xfId="36" applyFont="1" applyFill="1" applyAlignment="1">
      <alignment horizontal="center" vertical="center"/>
    </xf>
    <xf numFmtId="166" fontId="0" fillId="0" borderId="0" xfId="1" applyFont="1" applyBorder="1" applyAlignment="1">
      <alignment vertical="center"/>
    </xf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6" fontId="0" fillId="15" borderId="8" xfId="1" applyFont="1" applyFill="1" applyBorder="1"/>
    <xf numFmtId="166" fontId="1" fillId="0" borderId="0" xfId="11" applyFont="1"/>
    <xf numFmtId="49" fontId="0" fillId="0" borderId="0" xfId="1" applyNumberFormat="1" applyFont="1" applyFill="1" applyBorder="1" applyAlignment="1">
      <alignment horizontal="center" vertical="center"/>
    </xf>
    <xf numFmtId="49" fontId="9" fillId="23" borderId="31" xfId="15" applyNumberFormat="1" applyFont="1" applyFill="1" applyBorder="1" applyAlignment="1">
      <alignment horizontal="center" vertical="center"/>
    </xf>
    <xf numFmtId="170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2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6" fontId="1" fillId="13" borderId="4" xfId="1" applyFill="1" applyBorder="1"/>
    <xf numFmtId="166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6" fontId="0" fillId="5" borderId="4" xfId="1" applyFont="1" applyFill="1" applyBorder="1" applyAlignment="1">
      <alignment horizontal="center"/>
    </xf>
    <xf numFmtId="166" fontId="1" fillId="9" borderId="3" xfId="1" applyFill="1" applyBorder="1"/>
    <xf numFmtId="166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6" fontId="10" fillId="5" borderId="2" xfId="4" applyFont="1" applyFill="1" applyBorder="1"/>
    <xf numFmtId="14" fontId="1" fillId="0" borderId="2" xfId="1" applyNumberFormat="1" applyBorder="1"/>
    <xf numFmtId="166" fontId="0" fillId="8" borderId="2" xfId="1" applyFont="1" applyFill="1" applyBorder="1"/>
    <xf numFmtId="166" fontId="0" fillId="0" borderId="2" xfId="1" applyFont="1" applyBorder="1"/>
    <xf numFmtId="166" fontId="0" fillId="0" borderId="20" xfId="1" applyFont="1" applyBorder="1" applyAlignment="1">
      <alignment vertical="center"/>
    </xf>
    <xf numFmtId="166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167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6" fontId="1" fillId="20" borderId="0" xfId="1" applyFill="1" applyAlignment="1">
      <alignment wrapText="1"/>
    </xf>
    <xf numFmtId="166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6" fontId="0" fillId="0" borderId="0" xfId="17" applyFont="1" applyAlignment="1">
      <alignment horizontal="center"/>
    </xf>
    <xf numFmtId="166" fontId="1" fillId="0" borderId="0" xfId="17" applyAlignment="1">
      <alignment horizontal="center"/>
    </xf>
    <xf numFmtId="0" fontId="17" fillId="45" borderId="0" xfId="0" applyFont="1" applyFill="1"/>
    <xf numFmtId="0" fontId="69" fillId="45" borderId="0" xfId="47" applyFont="1" applyFill="1" applyAlignment="1">
      <alignment horizontal="left" vertical="center"/>
    </xf>
    <xf numFmtId="166" fontId="0" fillId="20" borderId="0" xfId="1" applyFont="1" applyFill="1" applyBorder="1"/>
    <xf numFmtId="167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6" fontId="0" fillId="0" borderId="16" xfId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6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49" fontId="1" fillId="0" borderId="0" xfId="11" applyNumberFormat="1" applyAlignment="1">
      <alignment wrapText="1"/>
    </xf>
    <xf numFmtId="0" fontId="63" fillId="0" borderId="0" xfId="48" applyFont="1"/>
    <xf numFmtId="0" fontId="66" fillId="0" borderId="0" xfId="48" applyFont="1"/>
    <xf numFmtId="166" fontId="0" fillId="0" borderId="0" xfId="11" applyFont="1" applyAlignment="1">
      <alignment horizontal="center" vertical="center"/>
    </xf>
    <xf numFmtId="0" fontId="26" fillId="44" borderId="1" xfId="24" applyFont="1" applyFill="1" applyBorder="1" applyAlignment="1">
      <alignment horizontal="center" vertical="center" wrapText="1"/>
    </xf>
    <xf numFmtId="0" fontId="9" fillId="19" borderId="0" xfId="14" applyFill="1" applyAlignment="1">
      <alignment horizontal="center" vertical="center"/>
    </xf>
    <xf numFmtId="49" fontId="0" fillId="0" borderId="3" xfId="1" applyNumberFormat="1" applyFont="1" applyFill="1" applyBorder="1" applyAlignment="1">
      <alignment horizontal="center" vertical="center"/>
    </xf>
    <xf numFmtId="166" fontId="7" fillId="0" borderId="0" xfId="1" applyFont="1" applyAlignment="1">
      <alignment textRotation="90"/>
    </xf>
    <xf numFmtId="166" fontId="1" fillId="0" borderId="0" xfId="1" applyAlignment="1"/>
    <xf numFmtId="166" fontId="7" fillId="0" borderId="0" xfId="1" applyFont="1" applyAlignment="1">
      <alignment horizontal="center" textRotation="90" wrapText="1"/>
    </xf>
    <xf numFmtId="166" fontId="1" fillId="0" borderId="0" xfId="1" applyAlignment="1">
      <alignment horizontal="center"/>
    </xf>
    <xf numFmtId="166" fontId="7" fillId="0" borderId="0" xfId="1" applyFont="1" applyAlignment="1">
      <alignment horizontal="center" textRotation="90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6" fontId="15" fillId="0" borderId="10" xfId="1" applyFont="1" applyBorder="1" applyAlignment="1">
      <alignment horizontal="center"/>
    </xf>
    <xf numFmtId="166" fontId="15" fillId="0" borderId="11" xfId="1" applyFont="1" applyBorder="1" applyAlignment="1">
      <alignment horizontal="center"/>
    </xf>
    <xf numFmtId="166" fontId="15" fillId="0" borderId="12" xfId="1" applyFont="1" applyBorder="1" applyAlignment="1">
      <alignment horizontal="center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8" fillId="10" borderId="2" xfId="8" applyFont="1" applyFill="1" applyBorder="1" applyAlignment="1">
      <alignment horizontal="center"/>
    </xf>
    <xf numFmtId="166" fontId="18" fillId="10" borderId="2" xfId="11" applyFont="1" applyFill="1" applyBorder="1" applyAlignment="1">
      <alignment horizontal="center"/>
    </xf>
    <xf numFmtId="166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6" fontId="1" fillId="0" borderId="57" xfId="11" applyBorder="1" applyAlignment="1">
      <alignment horizontal="center" vertical="center"/>
    </xf>
    <xf numFmtId="165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5" fontId="68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6" fillId="18" borderId="47" xfId="14" applyFont="1" applyFill="1" applyBorder="1" applyAlignment="1">
      <alignment horizontal="center" vertical="center" wrapText="1"/>
    </xf>
    <xf numFmtId="166" fontId="1" fillId="18" borderId="51" xfId="11" applyFill="1" applyBorder="1" applyAlignment="1">
      <alignment horizontal="center" vertical="center" wrapText="1"/>
    </xf>
    <xf numFmtId="166" fontId="1" fillId="37" borderId="72" xfId="17" applyFill="1" applyBorder="1" applyAlignment="1">
      <alignment vertical="center" wrapText="1"/>
    </xf>
    <xf numFmtId="166" fontId="1" fillId="37" borderId="43" xfId="11" applyFill="1" applyBorder="1" applyAlignment="1">
      <alignment vertical="center" wrapText="1"/>
    </xf>
    <xf numFmtId="0" fontId="2" fillId="30" borderId="59" xfId="11" applyNumberFormat="1" applyFont="1" applyFill="1" applyBorder="1" applyAlignment="1">
      <alignment horizontal="center" vertical="center" wrapText="1"/>
    </xf>
    <xf numFmtId="166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6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6" fontId="1" fillId="0" borderId="75" xfId="11" applyBorder="1" applyAlignment="1">
      <alignment horizontal="center" vertical="center"/>
    </xf>
    <xf numFmtId="0" fontId="70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49" fontId="0" fillId="20" borderId="3" xfId="1" applyNumberFormat="1" applyFont="1" applyFill="1" applyBorder="1" applyAlignment="1">
      <alignment horizontal="center" vertical="center"/>
    </xf>
  </cellXfs>
  <cellStyles count="49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4" xfId="1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154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22" sqref="D22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41540.494606481479</v>
      </c>
      <c r="C1" s="3" t="s">
        <v>0</v>
      </c>
      <c r="J1" s="4" t="s">
        <v>1273</v>
      </c>
      <c r="K1" s="5"/>
      <c r="L1" s="6"/>
      <c r="M1" s="6"/>
      <c r="N1" s="6"/>
      <c r="O1" s="959" t="s">
        <v>1</v>
      </c>
      <c r="P1" s="961" t="s">
        <v>1197</v>
      </c>
      <c r="Q1" s="961" t="s">
        <v>1196</v>
      </c>
      <c r="R1" s="963" t="s">
        <v>2</v>
      </c>
      <c r="S1" s="963" t="s">
        <v>3</v>
      </c>
      <c r="V1" s="963" t="s">
        <v>1191</v>
      </c>
      <c r="W1" s="963" t="s">
        <v>1192</v>
      </c>
      <c r="X1" s="963" t="s">
        <v>1193</v>
      </c>
      <c r="Y1" s="963" t="s">
        <v>1194</v>
      </c>
      <c r="Z1" s="963" t="s">
        <v>1195</v>
      </c>
    </row>
    <row r="2" spans="1:27" ht="29.25" customHeight="1" x14ac:dyDescent="0.25">
      <c r="O2" s="960"/>
      <c r="P2" s="962"/>
      <c r="Q2" s="962"/>
      <c r="R2" s="962"/>
      <c r="S2" s="962"/>
      <c r="V2" s="962"/>
      <c r="W2" s="962"/>
      <c r="X2" s="962"/>
      <c r="Y2" s="962"/>
      <c r="Z2" s="962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60"/>
      <c r="W3" s="960"/>
      <c r="X3" s="960"/>
      <c r="Y3" s="960"/>
      <c r="Z3" s="960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3" t="s">
        <v>1208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41540.494513888887</v>
      </c>
      <c r="B8" s="22" t="s">
        <v>31</v>
      </c>
      <c r="C8" s="23">
        <v>5839</v>
      </c>
      <c r="D8" s="23">
        <v>5</v>
      </c>
      <c r="E8" s="23">
        <v>2</v>
      </c>
      <c r="F8" s="2" t="s">
        <v>181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41530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41529</v>
      </c>
      <c r="T8" s="22" t="s">
        <v>37</v>
      </c>
      <c r="V8" s="27">
        <v>2</v>
      </c>
      <c r="W8" s="27" t="s">
        <v>6</v>
      </c>
      <c r="X8" s="27">
        <v>2</v>
      </c>
      <c r="Y8" s="30">
        <v>41379</v>
      </c>
      <c r="Z8" s="30">
        <v>41529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41540.298807870371</v>
      </c>
      <c r="B10" s="2" t="s">
        <v>40</v>
      </c>
      <c r="C10" s="41">
        <v>1407</v>
      </c>
      <c r="D10" s="42">
        <v>8</v>
      </c>
      <c r="E10" s="41" t="s">
        <v>41</v>
      </c>
      <c r="F10" s="2" t="s">
        <v>181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41540</v>
      </c>
      <c r="O10" s="47" t="s">
        <v>28</v>
      </c>
      <c r="P10" s="835" t="s">
        <v>173</v>
      </c>
      <c r="Q10" s="190" t="s">
        <v>174</v>
      </c>
      <c r="R10" s="48">
        <v>40058</v>
      </c>
      <c r="S10" s="48">
        <v>41537</v>
      </c>
      <c r="T10" s="2" t="s">
        <v>45</v>
      </c>
      <c r="V10" s="17">
        <v>2</v>
      </c>
      <c r="W10" s="17" t="s">
        <v>6</v>
      </c>
      <c r="X10" s="17">
        <v>4</v>
      </c>
      <c r="Y10" s="38">
        <v>40058</v>
      </c>
      <c r="Z10" s="38">
        <v>41537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41540.209351851852</v>
      </c>
      <c r="B12" s="2" t="s">
        <v>48</v>
      </c>
      <c r="C12" s="41">
        <v>2022</v>
      </c>
      <c r="D12" s="41">
        <v>1</v>
      </c>
      <c r="E12" s="850" t="s">
        <v>1207</v>
      </c>
      <c r="F12" s="2" t="s">
        <v>181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41535</v>
      </c>
      <c r="O12" s="47" t="s">
        <v>28</v>
      </c>
      <c r="P12" s="835" t="s">
        <v>1206</v>
      </c>
      <c r="Q12" s="836" t="s">
        <v>1205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41540.209386574075</v>
      </c>
      <c r="B14" s="22" t="s">
        <v>57</v>
      </c>
      <c r="C14" s="23">
        <v>4910</v>
      </c>
      <c r="D14" s="23">
        <v>2</v>
      </c>
      <c r="E14" s="23">
        <v>6</v>
      </c>
      <c r="F14" s="22" t="s">
        <v>181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2">
        <v>41538.755555555559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41540.209386574075</v>
      </c>
      <c r="B15" s="2" t="s">
        <v>62</v>
      </c>
      <c r="C15" s="41">
        <v>1207</v>
      </c>
      <c r="D15" s="42">
        <v>2</v>
      </c>
      <c r="E15" s="42">
        <v>6</v>
      </c>
      <c r="F15" s="2" t="s">
        <v>181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41538.78402777778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41538.786886574075</v>
      </c>
      <c r="B16" s="2" t="s">
        <v>64</v>
      </c>
      <c r="C16" s="41">
        <v>3595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41538.786111111112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41540.209398148145</v>
      </c>
      <c r="B17" s="2" t="s">
        <v>68</v>
      </c>
      <c r="C17" s="41">
        <v>4767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41538.809027777781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41539.726666666669</v>
      </c>
      <c r="B18" s="2" t="s">
        <v>69</v>
      </c>
      <c r="C18" s="41">
        <v>8938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41539.725694444445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41535.704675925925</v>
      </c>
      <c r="B19" s="2" t="s">
        <v>71</v>
      </c>
      <c r="C19" s="41">
        <v>2243</v>
      </c>
      <c r="D19" s="42" t="s">
        <v>65</v>
      </c>
      <c r="E19" s="42">
        <v>6</v>
      </c>
      <c r="F19" s="2" t="s">
        <v>66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41535.702777777777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12">
        <v>41539.729409722226</v>
      </c>
      <c r="B20" s="2" t="s">
        <v>74</v>
      </c>
      <c r="C20" s="41">
        <v>156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41539.728472222225</v>
      </c>
      <c r="O20" s="47"/>
      <c r="Q20" s="47"/>
      <c r="Y20" s="59"/>
      <c r="Z20" s="59"/>
      <c r="AA20" s="59"/>
    </row>
    <row r="21" spans="1:27" ht="15.75" x14ac:dyDescent="0.3">
      <c r="A21" s="12">
        <v>41539.728541666664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3" t="s">
        <v>78</v>
      </c>
      <c r="K21" s="45" t="s">
        <v>30</v>
      </c>
      <c r="L21" s="40">
        <v>2</v>
      </c>
      <c r="M21" s="40">
        <v>1</v>
      </c>
      <c r="N21" s="57">
        <v>41539.727777777778</v>
      </c>
      <c r="O21" s="47"/>
      <c r="Q21" s="47"/>
      <c r="Y21" s="59"/>
      <c r="Z21" s="59"/>
      <c r="AA21" s="59"/>
    </row>
    <row r="22" spans="1:27" ht="15.75" x14ac:dyDescent="0.3">
      <c r="A22" s="12">
        <v>41539.727627314816</v>
      </c>
      <c r="B22" s="2" t="s">
        <v>79</v>
      </c>
      <c r="C22" s="41">
        <v>775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4" t="s">
        <v>81</v>
      </c>
      <c r="K22" s="35" t="s">
        <v>30</v>
      </c>
      <c r="L22" s="40">
        <v>2</v>
      </c>
      <c r="M22" s="40">
        <v>1</v>
      </c>
      <c r="N22" s="66">
        <v>41539.727083333331</v>
      </c>
      <c r="O22" s="37"/>
      <c r="P22" s="32"/>
      <c r="Q22" s="37"/>
      <c r="R22" s="32"/>
      <c r="S22" s="32"/>
      <c r="Y22" s="59"/>
      <c r="Z22" s="59"/>
      <c r="AA22" s="59"/>
    </row>
    <row r="23" spans="1:27" s="68" customFormat="1" ht="15.75" x14ac:dyDescent="0.3">
      <c r="A23" s="160">
        <v>41538.807997685188</v>
      </c>
      <c r="B23" s="68" t="str">
        <f>I23</f>
        <v>SF_DicAccSyn</v>
      </c>
      <c r="C23" s="924">
        <v>45</v>
      </c>
      <c r="D23" s="925" t="s">
        <v>65</v>
      </c>
      <c r="E23" s="925">
        <v>6</v>
      </c>
      <c r="F23" s="68" t="s">
        <v>32</v>
      </c>
      <c r="G23" s="924" t="s">
        <v>50</v>
      </c>
      <c r="H23" s="68" t="str">
        <f t="shared" si="0"/>
        <v>SFDC.xlsx</v>
      </c>
      <c r="I23" s="928" t="s">
        <v>1250</v>
      </c>
      <c r="J23" s="926" t="s">
        <v>1249</v>
      </c>
      <c r="K23" s="65" t="s">
        <v>30</v>
      </c>
      <c r="L23" s="108">
        <v>2</v>
      </c>
      <c r="M23" s="108">
        <v>1</v>
      </c>
      <c r="N23" s="163">
        <v>41538.806944444441</v>
      </c>
      <c r="O23" s="67"/>
      <c r="P23" s="929"/>
      <c r="Q23" s="67"/>
      <c r="T23" s="929" t="str">
        <f>Process!F57</f>
        <v>LOAD_SF_DicAccSyn</v>
      </c>
      <c r="Y23" s="927"/>
      <c r="Z23" s="927"/>
      <c r="AA23" s="927"/>
    </row>
    <row r="24" spans="1:27" s="22" customFormat="1" x14ac:dyDescent="0.25">
      <c r="A24" s="69">
        <v>41369.796909722223</v>
      </c>
      <c r="B24" s="22" t="s">
        <v>82</v>
      </c>
      <c r="C24" s="70">
        <v>9955</v>
      </c>
      <c r="D24" s="70" t="s">
        <v>83</v>
      </c>
      <c r="E24" s="70" t="s">
        <v>65</v>
      </c>
      <c r="F24" s="22" t="s">
        <v>84</v>
      </c>
      <c r="G24" s="71">
        <v>10</v>
      </c>
      <c r="H24" s="22" t="s">
        <v>85</v>
      </c>
      <c r="I24" s="921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2">
        <v>41349.908078703702</v>
      </c>
      <c r="O24" s="29" t="s">
        <v>28</v>
      </c>
      <c r="P24" s="922"/>
      <c r="Q24" s="923" t="s">
        <v>87</v>
      </c>
      <c r="R24" s="104"/>
      <c r="S24" s="922"/>
      <c r="T24" s="22" t="s">
        <v>88</v>
      </c>
      <c r="Y24" s="55"/>
      <c r="Z24" s="55"/>
      <c r="AA24" s="55"/>
    </row>
    <row r="25" spans="1:27" s="32" customFormat="1" x14ac:dyDescent="0.25">
      <c r="A25" s="74"/>
      <c r="C25" s="75"/>
      <c r="D25" s="75"/>
      <c r="E25" s="75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6"/>
      <c r="O25" s="37" t="s">
        <v>28</v>
      </c>
      <c r="Q25" s="37"/>
      <c r="R25" s="73"/>
    </row>
    <row r="26" spans="1:27" s="32" customFormat="1" x14ac:dyDescent="0.25">
      <c r="A26" s="74"/>
      <c r="C26" s="75"/>
      <c r="D26" s="75"/>
      <c r="E26" s="75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6"/>
      <c r="O26" s="37" t="s">
        <v>28</v>
      </c>
      <c r="Q26" s="37"/>
      <c r="R26" s="73"/>
    </row>
    <row r="27" spans="1:27" s="32" customFormat="1" x14ac:dyDescent="0.25">
      <c r="A27" s="74"/>
      <c r="C27" s="75"/>
      <c r="D27" s="75"/>
      <c r="E27" s="75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6"/>
      <c r="O27" s="37" t="s">
        <v>28</v>
      </c>
      <c r="Q27" s="37"/>
      <c r="R27" s="73"/>
    </row>
    <row r="28" spans="1:27" s="32" customFormat="1" x14ac:dyDescent="0.25">
      <c r="A28" s="74"/>
      <c r="C28" s="75"/>
      <c r="D28" s="75"/>
      <c r="E28" s="75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6"/>
      <c r="O28" s="37" t="s">
        <v>28</v>
      </c>
      <c r="Q28" s="37"/>
      <c r="R28" s="73"/>
    </row>
    <row r="29" spans="1:27" s="78" customFormat="1" x14ac:dyDescent="0.25">
      <c r="A29" s="77"/>
      <c r="C29" s="79"/>
      <c r="D29" s="79"/>
      <c r="E29" s="79"/>
      <c r="I29" s="39"/>
      <c r="J29" s="80" t="s">
        <v>97</v>
      </c>
      <c r="K29" s="81" t="s">
        <v>30</v>
      </c>
      <c r="L29" s="82" t="s">
        <v>61</v>
      </c>
      <c r="M29" s="82" t="s">
        <v>98</v>
      </c>
      <c r="N29" s="83"/>
      <c r="O29" s="84"/>
      <c r="Q29" s="84"/>
      <c r="R29" s="85"/>
    </row>
    <row r="30" spans="1:27" s="86" customFormat="1" x14ac:dyDescent="0.25">
      <c r="A30" s="100">
        <v>41506.983391203707</v>
      </c>
      <c r="B30" s="86" t="s">
        <v>99</v>
      </c>
      <c r="C30" s="87">
        <v>339</v>
      </c>
      <c r="D30" s="88">
        <v>8</v>
      </c>
      <c r="E30" s="88">
        <v>19</v>
      </c>
      <c r="F30" s="86" t="s">
        <v>100</v>
      </c>
      <c r="G30" s="88">
        <v>10</v>
      </c>
      <c r="H30" s="86" t="s">
        <v>85</v>
      </c>
      <c r="I30" s="89" t="str">
        <f>B30</f>
        <v>Заказы</v>
      </c>
      <c r="J30" s="90" t="s">
        <v>101</v>
      </c>
      <c r="K30" s="91" t="s">
        <v>30</v>
      </c>
      <c r="L30" s="92" t="s">
        <v>61</v>
      </c>
      <c r="M30" s="92" t="s">
        <v>102</v>
      </c>
      <c r="N30" s="93">
        <v>41463.504687499997</v>
      </c>
      <c r="O30" s="86" t="s">
        <v>28</v>
      </c>
      <c r="P30" s="94"/>
      <c r="Q30" s="95" t="s">
        <v>103</v>
      </c>
      <c r="R30" s="32"/>
      <c r="S30" s="32"/>
      <c r="T30" s="86" t="s">
        <v>104</v>
      </c>
    </row>
    <row r="31" spans="1:27" s="32" customFormat="1" x14ac:dyDescent="0.25">
      <c r="A31" s="96"/>
      <c r="C31" s="75"/>
      <c r="J31" s="34" t="s">
        <v>105</v>
      </c>
      <c r="K31" s="35" t="s">
        <v>30</v>
      </c>
      <c r="L31" s="17" t="s">
        <v>61</v>
      </c>
      <c r="M31" s="17" t="s">
        <v>106</v>
      </c>
      <c r="N31" s="76"/>
      <c r="O31" s="32" t="s">
        <v>28</v>
      </c>
      <c r="P31" s="97"/>
    </row>
    <row r="32" spans="1:27" x14ac:dyDescent="0.25">
      <c r="A32" s="98"/>
      <c r="C32" s="99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6"/>
      <c r="O32" s="2" t="s">
        <v>28</v>
      </c>
      <c r="P32" s="97"/>
    </row>
    <row r="33" spans="1:20" x14ac:dyDescent="0.25">
      <c r="A33" s="98"/>
      <c r="C33" s="99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6"/>
      <c r="O33" s="2" t="s">
        <v>28</v>
      </c>
      <c r="P33" s="97"/>
    </row>
    <row r="34" spans="1:20" x14ac:dyDescent="0.25">
      <c r="A34" s="98"/>
      <c r="C34" s="99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6"/>
      <c r="P34" s="97"/>
    </row>
    <row r="35" spans="1:20" s="86" customFormat="1" x14ac:dyDescent="0.25">
      <c r="A35" s="100">
        <v>41370.590057870373</v>
      </c>
      <c r="B35" s="86" t="s">
        <v>112</v>
      </c>
      <c r="C35" s="87" t="s">
        <v>113</v>
      </c>
      <c r="F35" s="86" t="s">
        <v>66</v>
      </c>
      <c r="G35" s="88">
        <v>10</v>
      </c>
      <c r="H35" s="86" t="s">
        <v>85</v>
      </c>
      <c r="I35" s="101" t="s">
        <v>112</v>
      </c>
      <c r="J35" s="90" t="s">
        <v>114</v>
      </c>
      <c r="K35" s="91" t="s">
        <v>22</v>
      </c>
      <c r="L35" s="92">
        <v>2</v>
      </c>
      <c r="M35" s="92">
        <v>1</v>
      </c>
      <c r="N35" s="93">
        <v>41370.585509259261</v>
      </c>
      <c r="O35" s="29" t="s">
        <v>28</v>
      </c>
      <c r="P35" s="94"/>
      <c r="T35" s="86" t="s">
        <v>224</v>
      </c>
    </row>
    <row r="36" spans="1:20" s="32" customFormat="1" x14ac:dyDescent="0.25">
      <c r="A36" s="96"/>
      <c r="C36" s="75"/>
      <c r="J36" s="34" t="s">
        <v>115</v>
      </c>
      <c r="K36" s="35" t="s">
        <v>22</v>
      </c>
      <c r="L36" s="17">
        <v>3</v>
      </c>
      <c r="M36" s="17">
        <v>1</v>
      </c>
      <c r="N36" s="76"/>
      <c r="O36" s="2" t="s">
        <v>28</v>
      </c>
      <c r="P36" s="97"/>
    </row>
    <row r="37" spans="1:20" s="32" customFormat="1" x14ac:dyDescent="0.25">
      <c r="A37" s="96"/>
      <c r="C37" s="75"/>
      <c r="J37" s="34" t="s">
        <v>116</v>
      </c>
      <c r="K37" s="35" t="s">
        <v>22</v>
      </c>
      <c r="L37" s="17">
        <v>4</v>
      </c>
      <c r="M37" s="17">
        <v>1</v>
      </c>
      <c r="N37" s="76"/>
      <c r="P37" s="97"/>
    </row>
    <row r="38" spans="1:20" s="22" customFormat="1" x14ac:dyDescent="0.25">
      <c r="A38" s="21"/>
      <c r="B38" s="22" t="s">
        <v>117</v>
      </c>
      <c r="C38" s="70" t="s">
        <v>118</v>
      </c>
      <c r="D38" s="70" t="s">
        <v>119</v>
      </c>
      <c r="E38" s="70"/>
      <c r="F38" s="102"/>
      <c r="H38" s="22" t="s">
        <v>120</v>
      </c>
      <c r="I38" s="103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2"/>
      <c r="O38" s="29" t="s">
        <v>28</v>
      </c>
      <c r="Q38" s="29"/>
      <c r="R38" s="104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8" customFormat="1" x14ac:dyDescent="0.25">
      <c r="A41" s="105"/>
      <c r="C41" s="106"/>
      <c r="J41" s="107" t="s">
        <v>126</v>
      </c>
      <c r="K41" s="65" t="s">
        <v>30</v>
      </c>
      <c r="L41" s="108">
        <v>3</v>
      </c>
      <c r="M41" s="108">
        <v>21</v>
      </c>
    </row>
    <row r="42" spans="1:20" s="110" customFormat="1" x14ac:dyDescent="0.25">
      <c r="A42" s="109">
        <v>0</v>
      </c>
      <c r="B42" s="110" t="s">
        <v>127</v>
      </c>
      <c r="C42" s="111">
        <v>1</v>
      </c>
      <c r="D42" s="111"/>
      <c r="E42" s="111"/>
      <c r="H42" s="110" t="s">
        <v>128</v>
      </c>
      <c r="I42" s="112" t="str">
        <f>B42</f>
        <v>DicAcc</v>
      </c>
      <c r="J42" s="113"/>
      <c r="K42" s="114" t="s">
        <v>129</v>
      </c>
      <c r="L42" s="115"/>
      <c r="M42" s="115"/>
      <c r="N42" s="116">
        <v>41237.062407407408</v>
      </c>
      <c r="O42" s="117"/>
      <c r="P42" s="110" t="s">
        <v>130</v>
      </c>
      <c r="Q42" s="117"/>
      <c r="R42" s="118"/>
    </row>
    <row r="43" spans="1:20" s="78" customFormat="1" x14ac:dyDescent="0.25">
      <c r="A43" s="77">
        <v>0</v>
      </c>
      <c r="B43" s="918" t="s">
        <v>1246</v>
      </c>
      <c r="C43" s="919">
        <v>89</v>
      </c>
      <c r="D43" s="79"/>
      <c r="E43" s="79"/>
      <c r="H43" s="120" t="s">
        <v>128</v>
      </c>
      <c r="I43" s="917" t="str">
        <f>B43</f>
        <v>DicAccSynonims</v>
      </c>
      <c r="J43" s="80" t="s">
        <v>1248</v>
      </c>
      <c r="K43" s="920" t="s">
        <v>30</v>
      </c>
      <c r="L43" s="82">
        <v>1</v>
      </c>
      <c r="M43" s="82">
        <v>2</v>
      </c>
      <c r="N43" s="83"/>
      <c r="O43" s="84"/>
      <c r="P43" s="918" t="s">
        <v>1247</v>
      </c>
      <c r="Q43" s="84"/>
      <c r="R43" s="85"/>
    </row>
    <row r="44" spans="1:20" s="120" customFormat="1" x14ac:dyDescent="0.25">
      <c r="A44" s="119">
        <v>0</v>
      </c>
      <c r="B44" s="120" t="s">
        <v>131</v>
      </c>
      <c r="C44" s="121">
        <v>76</v>
      </c>
      <c r="D44" s="121"/>
      <c r="E44" s="121"/>
      <c r="F44" s="120" t="s">
        <v>132</v>
      </c>
      <c r="H44" s="120" t="s">
        <v>128</v>
      </c>
      <c r="I44" s="122" t="s">
        <v>131</v>
      </c>
      <c r="J44" s="123"/>
      <c r="K44" s="124" t="s">
        <v>129</v>
      </c>
      <c r="L44" s="125"/>
      <c r="M44" s="125"/>
      <c r="N44" s="126">
        <v>41410.834999999999</v>
      </c>
      <c r="O44" s="127"/>
      <c r="P44" s="120" t="s">
        <v>133</v>
      </c>
      <c r="Q44" s="127"/>
      <c r="R44" s="128"/>
    </row>
    <row r="45" spans="1:20" s="32" customFormat="1" x14ac:dyDescent="0.25">
      <c r="A45" s="129">
        <v>41538.774027777778</v>
      </c>
      <c r="B45" s="32" t="s">
        <v>134</v>
      </c>
      <c r="C45" s="75">
        <v>1</v>
      </c>
      <c r="D45" s="75"/>
      <c r="E45" s="75"/>
      <c r="F45" s="32" t="s">
        <v>135</v>
      </c>
      <c r="H45" s="32" t="s">
        <v>128</v>
      </c>
      <c r="I45" s="130" t="s">
        <v>134</v>
      </c>
      <c r="J45" s="34"/>
      <c r="K45" s="35" t="s">
        <v>129</v>
      </c>
      <c r="L45" s="17"/>
      <c r="M45" s="17"/>
      <c r="N45" s="76">
        <v>41515.959502314814</v>
      </c>
      <c r="O45" s="37"/>
      <c r="P45" s="32" t="s">
        <v>136</v>
      </c>
      <c r="Q45" s="37"/>
      <c r="R45" s="73"/>
    </row>
    <row r="46" spans="1:20" s="32" customFormat="1" x14ac:dyDescent="0.25">
      <c r="A46" s="129">
        <v>41538.774016203701</v>
      </c>
      <c r="B46" s="32" t="s">
        <v>137</v>
      </c>
      <c r="C46" s="75">
        <v>1</v>
      </c>
      <c r="D46" s="75"/>
      <c r="E46" s="75"/>
      <c r="F46" s="32" t="s">
        <v>135</v>
      </c>
      <c r="H46" s="32" t="s">
        <v>128</v>
      </c>
      <c r="I46" s="130" t="s">
        <v>137</v>
      </c>
      <c r="J46" s="34"/>
      <c r="K46" s="35" t="s">
        <v>129</v>
      </c>
      <c r="L46" s="17"/>
      <c r="M46" s="17"/>
      <c r="N46" s="76">
        <v>41507.017245370371</v>
      </c>
      <c r="O46" s="37"/>
      <c r="P46" s="32" t="s">
        <v>138</v>
      </c>
      <c r="Q46" s="37"/>
      <c r="R46" s="73"/>
    </row>
    <row r="47" spans="1:20" s="32" customFormat="1" x14ac:dyDescent="0.25">
      <c r="A47" s="129">
        <v>41538.774027777778</v>
      </c>
      <c r="B47" s="32" t="s">
        <v>139</v>
      </c>
      <c r="C47" s="75">
        <v>1</v>
      </c>
      <c r="D47" s="75"/>
      <c r="E47" s="75"/>
      <c r="F47" s="32" t="s">
        <v>135</v>
      </c>
      <c r="H47" s="32" t="s">
        <v>128</v>
      </c>
      <c r="I47" s="130" t="s">
        <v>139</v>
      </c>
      <c r="J47" s="34"/>
      <c r="K47" s="35" t="s">
        <v>129</v>
      </c>
      <c r="L47" s="17"/>
      <c r="M47" s="17"/>
      <c r="N47" s="76">
        <v>41344.97896990741</v>
      </c>
      <c r="O47" s="37"/>
      <c r="P47" s="32" t="s">
        <v>140</v>
      </c>
      <c r="Q47" s="37"/>
      <c r="R47" s="73"/>
    </row>
    <row r="48" spans="1:20" s="32" customFormat="1" x14ac:dyDescent="0.25">
      <c r="A48" s="74">
        <v>0</v>
      </c>
      <c r="B48" s="32" t="s">
        <v>141</v>
      </c>
      <c r="C48" s="75">
        <v>1</v>
      </c>
      <c r="D48" s="75"/>
      <c r="E48" s="75"/>
      <c r="H48" s="32" t="s">
        <v>128</v>
      </c>
      <c r="I48" s="130" t="s">
        <v>141</v>
      </c>
      <c r="J48" s="34"/>
      <c r="K48" s="35" t="s">
        <v>129</v>
      </c>
      <c r="L48" s="17"/>
      <c r="M48" s="17"/>
      <c r="N48" s="76">
        <v>41520.529861111114</v>
      </c>
      <c r="O48" s="37"/>
      <c r="P48" s="875" t="s">
        <v>1216</v>
      </c>
      <c r="Q48" s="37"/>
      <c r="R48" s="73"/>
    </row>
    <row r="49" spans="1:20" s="32" customFormat="1" x14ac:dyDescent="0.25">
      <c r="A49" s="129">
        <v>41430.738321759258</v>
      </c>
      <c r="B49" s="32" t="s">
        <v>142</v>
      </c>
      <c r="C49" s="75">
        <v>1</v>
      </c>
      <c r="D49" s="75"/>
      <c r="E49" s="75"/>
      <c r="F49" s="32" t="s">
        <v>135</v>
      </c>
      <c r="H49" s="32" t="s">
        <v>128</v>
      </c>
      <c r="I49" s="130" t="s">
        <v>142</v>
      </c>
      <c r="J49" s="34"/>
      <c r="K49" s="35" t="s">
        <v>129</v>
      </c>
      <c r="L49" s="17"/>
      <c r="M49" s="17"/>
      <c r="N49" s="76">
        <v>41430.73814814815</v>
      </c>
      <c r="O49" s="134"/>
      <c r="P49" s="39" t="s">
        <v>143</v>
      </c>
      <c r="Q49" s="37"/>
      <c r="R49" s="73"/>
    </row>
    <row r="50" spans="1:20" s="135" customFormat="1" x14ac:dyDescent="0.25">
      <c r="A50" s="158">
        <v>41538.774027777778</v>
      </c>
      <c r="B50" s="135" t="s">
        <v>144</v>
      </c>
      <c r="C50" s="136">
        <v>1</v>
      </c>
      <c r="D50" s="136"/>
      <c r="E50" s="136"/>
      <c r="F50" s="135" t="s">
        <v>135</v>
      </c>
      <c r="H50" s="135" t="s">
        <v>128</v>
      </c>
      <c r="I50" s="900" t="s">
        <v>144</v>
      </c>
      <c r="J50" s="137"/>
      <c r="K50" s="138" t="s">
        <v>129</v>
      </c>
      <c r="L50" s="139"/>
      <c r="M50" s="139"/>
      <c r="N50" s="140"/>
      <c r="O50" s="141"/>
      <c r="P50" s="142" t="s">
        <v>146</v>
      </c>
      <c r="Q50" s="143"/>
      <c r="R50" s="144"/>
      <c r="S50" s="142"/>
      <c r="T50" s="142"/>
    </row>
    <row r="51" spans="1:20" s="146" customFormat="1" x14ac:dyDescent="0.25">
      <c r="A51" s="145">
        <v>41499.705324074072</v>
      </c>
      <c r="B51" s="146" t="s">
        <v>147</v>
      </c>
      <c r="C51" s="147">
        <v>804</v>
      </c>
      <c r="D51" s="147"/>
      <c r="E51" s="147"/>
      <c r="F51" s="146" t="s">
        <v>100</v>
      </c>
      <c r="H51" s="146" t="s">
        <v>128</v>
      </c>
      <c r="I51" s="148" t="s">
        <v>147</v>
      </c>
      <c r="J51" s="149"/>
      <c r="K51" s="150" t="s">
        <v>129</v>
      </c>
      <c r="L51" s="151"/>
      <c r="M51" s="151"/>
      <c r="N51" s="152">
        <v>41499.704513888886</v>
      </c>
      <c r="O51" s="153"/>
      <c r="P51" s="154" t="s">
        <v>148</v>
      </c>
      <c r="Q51" s="155"/>
      <c r="R51" s="156"/>
      <c r="S51" s="154"/>
      <c r="T51" s="154"/>
    </row>
    <row r="52" spans="1:20" s="32" customFormat="1" x14ac:dyDescent="0.25">
      <c r="A52" s="129">
        <v>41502.225682870368</v>
      </c>
      <c r="B52" s="32" t="s">
        <v>149</v>
      </c>
      <c r="C52" s="75">
        <v>2</v>
      </c>
      <c r="D52" s="75"/>
      <c r="E52" s="75"/>
      <c r="F52" s="32" t="s">
        <v>150</v>
      </c>
      <c r="H52" s="32" t="s">
        <v>128</v>
      </c>
      <c r="I52" s="157" t="s">
        <v>149</v>
      </c>
      <c r="J52" s="34"/>
      <c r="K52" s="35" t="s">
        <v>129</v>
      </c>
      <c r="L52" s="17"/>
      <c r="M52" s="17"/>
      <c r="N52" s="76">
        <v>41502.225682870368</v>
      </c>
      <c r="O52" s="37"/>
      <c r="P52" s="154" t="s">
        <v>151</v>
      </c>
      <c r="Q52" s="155"/>
      <c r="R52" s="133"/>
      <c r="S52" s="131"/>
      <c r="T52" s="131"/>
    </row>
    <row r="53" spans="1:20" s="135" customFormat="1" x14ac:dyDescent="0.25">
      <c r="A53" s="158">
        <v>41502.225682870368</v>
      </c>
      <c r="B53" s="135" t="s">
        <v>152</v>
      </c>
      <c r="C53" s="136">
        <v>794</v>
      </c>
      <c r="D53" s="136"/>
      <c r="E53" s="136"/>
      <c r="F53" s="135" t="s">
        <v>153</v>
      </c>
      <c r="H53" s="135" t="s">
        <v>128</v>
      </c>
      <c r="I53" s="159" t="s">
        <v>152</v>
      </c>
      <c r="J53" s="137"/>
      <c r="K53" s="138" t="s">
        <v>129</v>
      </c>
      <c r="L53" s="139"/>
      <c r="M53" s="139"/>
      <c r="N53" s="140">
        <v>41502.225682870368</v>
      </c>
      <c r="O53" s="141"/>
      <c r="P53" s="131" t="s">
        <v>154</v>
      </c>
      <c r="Q53" s="132"/>
      <c r="R53" s="144"/>
      <c r="S53" s="142"/>
      <c r="T53" s="142"/>
    </row>
    <row r="54" spans="1:20" s="68" customFormat="1" x14ac:dyDescent="0.25">
      <c r="A54" s="160"/>
      <c r="B54" s="68" t="s">
        <v>155</v>
      </c>
      <c r="C54" s="161" t="s">
        <v>156</v>
      </c>
      <c r="D54" s="161"/>
      <c r="E54" s="161"/>
      <c r="H54" s="68" t="s">
        <v>128</v>
      </c>
      <c r="I54" s="162" t="s">
        <v>155</v>
      </c>
      <c r="J54" s="107"/>
      <c r="K54" s="65" t="s">
        <v>129</v>
      </c>
      <c r="L54" s="108"/>
      <c r="M54" s="108"/>
      <c r="N54" s="163"/>
      <c r="O54" s="67"/>
      <c r="P54" s="68" t="s">
        <v>157</v>
      </c>
      <c r="Q54" s="67"/>
      <c r="R54" s="164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W1:W3"/>
    <mergeCell ref="X1:X3"/>
    <mergeCell ref="Y1:Y3"/>
    <mergeCell ref="Z1:Z3"/>
    <mergeCell ref="V1:V3"/>
    <mergeCell ref="O1:O2"/>
    <mergeCell ref="P1:P2"/>
    <mergeCell ref="Q1:Q2"/>
    <mergeCell ref="R1:R2"/>
    <mergeCell ref="S1:S2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2"/>
  <sheetViews>
    <sheetView tabSelected="1" zoomScale="85" zoomScaleNormal="85" workbookViewId="0">
      <pane ySplit="1" topLeftCell="A2" activePane="bottomLeft" state="frozen"/>
      <selection pane="bottomLeft" activeCell="B6" sqref="B6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5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41540.494525462964</v>
      </c>
      <c r="C1" s="3" t="s">
        <v>158</v>
      </c>
      <c r="D1" s="3"/>
      <c r="G1" s="166" t="s">
        <v>194</v>
      </c>
      <c r="H1" s="166"/>
      <c r="I1" s="166" t="s">
        <v>1214</v>
      </c>
    </row>
    <row r="2" spans="1:15" ht="15" customHeight="1" thickBot="1" x14ac:dyDescent="0.35">
      <c r="B2" s="3"/>
    </row>
    <row r="3" spans="1:15" ht="15.75" customHeight="1" x14ac:dyDescent="0.25">
      <c r="E3" s="964" t="s">
        <v>159</v>
      </c>
      <c r="F3" s="966" t="s">
        <v>160</v>
      </c>
      <c r="G3" s="967"/>
      <c r="H3" s="967"/>
      <c r="I3" s="967"/>
      <c r="J3" s="968"/>
      <c r="K3" s="966" t="s">
        <v>161</v>
      </c>
      <c r="L3" s="967"/>
      <c r="M3" s="967"/>
      <c r="N3" s="967"/>
      <c r="O3" s="968"/>
    </row>
    <row r="4" spans="1:15" s="8" customFormat="1" ht="15.75" thickBot="1" x14ac:dyDescent="0.3">
      <c r="B4" s="9" t="s">
        <v>162</v>
      </c>
      <c r="C4" s="8" t="s">
        <v>163</v>
      </c>
      <c r="E4" s="965"/>
      <c r="F4" s="167">
        <v>1</v>
      </c>
      <c r="G4" s="168" t="s">
        <v>164</v>
      </c>
      <c r="H4" s="168" t="s">
        <v>165</v>
      </c>
      <c r="I4" s="168" t="s">
        <v>166</v>
      </c>
      <c r="J4" s="169" t="s">
        <v>59</v>
      </c>
      <c r="K4" s="167">
        <v>1</v>
      </c>
      <c r="L4" s="168" t="s">
        <v>164</v>
      </c>
      <c r="M4" s="168" t="s">
        <v>165</v>
      </c>
      <c r="N4" s="168" t="s">
        <v>166</v>
      </c>
      <c r="O4" s="169" t="s">
        <v>59</v>
      </c>
    </row>
    <row r="5" spans="1:15" s="8" customFormat="1" ht="6" customHeight="1" thickBot="1" x14ac:dyDescent="0.3">
      <c r="A5" s="170"/>
      <c r="B5" s="171" t="s">
        <v>66</v>
      </c>
      <c r="C5" s="170"/>
      <c r="D5" s="170"/>
      <c r="E5" s="172"/>
      <c r="F5" s="173"/>
      <c r="G5" s="174"/>
      <c r="H5" s="174"/>
      <c r="I5" s="174"/>
      <c r="J5" s="175"/>
      <c r="K5" s="173"/>
      <c r="L5" s="174"/>
      <c r="M5" s="174"/>
      <c r="N5" s="174"/>
      <c r="O5" s="175"/>
    </row>
    <row r="6" spans="1:15" s="178" customFormat="1" ht="16.5" thickTop="1" thickBot="1" x14ac:dyDescent="0.3">
      <c r="A6" s="213"/>
      <c r="B6" s="996" t="s">
        <v>167</v>
      </c>
      <c r="C6" s="214"/>
      <c r="D6" s="215"/>
      <c r="E6" s="258" t="s">
        <v>65</v>
      </c>
      <c r="F6" s="861" t="s">
        <v>1209</v>
      </c>
      <c r="G6" s="215"/>
      <c r="H6" s="215"/>
      <c r="I6" s="215"/>
      <c r="J6" s="218"/>
      <c r="K6" s="219"/>
      <c r="L6" s="220"/>
      <c r="M6" s="215"/>
      <c r="N6" s="220"/>
      <c r="O6" s="218"/>
    </row>
    <row r="7" spans="1:15" ht="15.75" outlineLevel="1" thickTop="1" x14ac:dyDescent="0.25">
      <c r="A7" s="184">
        <v>41540.209340277775</v>
      </c>
      <c r="B7" s="185" t="s">
        <v>181</v>
      </c>
      <c r="C7" s="186"/>
      <c r="D7" s="199"/>
      <c r="E7" s="859" t="s">
        <v>168</v>
      </c>
      <c r="F7" s="193" t="str">
        <f>F15</f>
        <v>LOAD_1C_P</v>
      </c>
      <c r="G7" s="196"/>
      <c r="H7" s="203"/>
      <c r="I7" s="203"/>
      <c r="J7" s="204"/>
      <c r="K7" s="193" t="str">
        <f>TOCmatch!B8</f>
        <v>Платежи</v>
      </c>
      <c r="L7" s="196"/>
      <c r="M7" s="196"/>
      <c r="N7" s="203"/>
      <c r="O7" s="204"/>
    </row>
    <row r="8" spans="1:15" outlineLevel="1" x14ac:dyDescent="0.25">
      <c r="A8" s="184">
        <v>41540.298807870371</v>
      </c>
      <c r="B8" s="185" t="s">
        <v>181</v>
      </c>
      <c r="C8" s="186"/>
      <c r="D8" s="199"/>
      <c r="E8" s="859" t="s">
        <v>168</v>
      </c>
      <c r="F8" s="193" t="str">
        <f>F24</f>
        <v>LOAD_1C_DOG</v>
      </c>
      <c r="G8" s="196"/>
      <c r="H8" s="203"/>
      <c r="I8" s="203"/>
      <c r="J8" s="204"/>
      <c r="K8" s="193" t="str">
        <f>TOCmatch!B10</f>
        <v>Договоры</v>
      </c>
      <c r="L8" s="196"/>
      <c r="M8" s="196"/>
      <c r="N8" s="203"/>
      <c r="O8" s="204"/>
    </row>
    <row r="9" spans="1:15" outlineLevel="1" x14ac:dyDescent="0.25">
      <c r="A9" s="184">
        <v>41540.209351851852</v>
      </c>
      <c r="B9" s="185" t="s">
        <v>181</v>
      </c>
      <c r="C9" s="186"/>
      <c r="D9" s="199"/>
      <c r="E9" s="859" t="s">
        <v>168</v>
      </c>
      <c r="F9" s="193" t="str">
        <f>F32</f>
        <v>LOAD_1C_ACC</v>
      </c>
      <c r="G9" s="196"/>
      <c r="H9" s="203"/>
      <c r="I9" s="203"/>
      <c r="J9" s="204"/>
      <c r="K9" s="193" t="str">
        <f>TOCmatch!B12</f>
        <v>Список клиентов 1C</v>
      </c>
      <c r="L9" s="196"/>
      <c r="M9" s="196"/>
      <c r="N9" s="203"/>
      <c r="O9" s="204"/>
    </row>
    <row r="10" spans="1:15" outlineLevel="1" x14ac:dyDescent="0.25">
      <c r="A10" s="184">
        <v>41540.209386574075</v>
      </c>
      <c r="B10" s="185" t="s">
        <v>181</v>
      </c>
      <c r="C10" s="186"/>
      <c r="D10" s="199"/>
      <c r="E10" s="859" t="s">
        <v>168</v>
      </c>
      <c r="F10" s="193" t="str">
        <f>F38</f>
        <v>LOAD_SF</v>
      </c>
      <c r="G10" s="196"/>
      <c r="H10" s="203"/>
      <c r="I10" s="203"/>
      <c r="J10" s="204"/>
      <c r="K10" s="193" t="str">
        <f>TOCmatch!B14</f>
        <v>SF</v>
      </c>
      <c r="L10" s="196"/>
      <c r="M10" s="196"/>
      <c r="N10" s="203"/>
      <c r="O10" s="204"/>
    </row>
    <row r="11" spans="1:15" outlineLevel="1" x14ac:dyDescent="0.25">
      <c r="A11" s="184">
        <v>41540.209398148145</v>
      </c>
      <c r="B11" s="185" t="s">
        <v>181</v>
      </c>
      <c r="C11" s="186"/>
      <c r="D11" s="199"/>
      <c r="E11" s="859" t="s">
        <v>168</v>
      </c>
      <c r="F11" s="193" t="str">
        <f>F45</f>
        <v>LOAD_SFD</v>
      </c>
      <c r="G11" s="196"/>
      <c r="H11" s="203"/>
      <c r="I11" s="203"/>
      <c r="J11" s="204"/>
      <c r="K11" s="193" t="str">
        <f>TOCmatch!B15</f>
        <v>SFD</v>
      </c>
      <c r="L11" s="196"/>
      <c r="M11" s="196"/>
      <c r="N11" s="203"/>
      <c r="O11" s="204"/>
    </row>
    <row r="12" spans="1:15" outlineLevel="1" x14ac:dyDescent="0.25">
      <c r="A12" s="184">
        <v>41540.209398148145</v>
      </c>
      <c r="B12" s="185" t="s">
        <v>181</v>
      </c>
      <c r="C12" s="186"/>
      <c r="D12" s="199"/>
      <c r="E12" s="859" t="s">
        <v>168</v>
      </c>
      <c r="F12" s="193" t="str">
        <f>F51</f>
        <v>LOAD_SFacc</v>
      </c>
      <c r="G12" s="196"/>
      <c r="H12" s="203"/>
      <c r="I12" s="203"/>
      <c r="J12" s="204"/>
      <c r="K12" s="193" t="str">
        <f>TOCmatch!B17</f>
        <v>SFacc</v>
      </c>
      <c r="L12" s="196"/>
      <c r="M12" s="196"/>
      <c r="N12" s="203"/>
      <c r="O12" s="204"/>
    </row>
    <row r="13" spans="1:15" outlineLevel="1" x14ac:dyDescent="0.25">
      <c r="A13" s="246"/>
      <c r="B13" s="876" t="s">
        <v>230</v>
      </c>
      <c r="C13" s="247"/>
      <c r="D13" s="199"/>
      <c r="E13" s="859" t="s">
        <v>172</v>
      </c>
      <c r="F13" s="193" t="str">
        <f>F71</f>
        <v>HANDL_Payment</v>
      </c>
      <c r="G13" s="196"/>
      <c r="H13" s="203"/>
      <c r="I13" s="203"/>
      <c r="J13" s="204"/>
      <c r="K13" s="193" t="str">
        <f>TOCmatch!B8</f>
        <v>Платежи</v>
      </c>
      <c r="L13" s="196"/>
      <c r="M13" s="196"/>
      <c r="N13" s="203"/>
      <c r="O13" s="204"/>
    </row>
    <row r="14" spans="1:15" s="234" customFormat="1" ht="15.75" outlineLevel="1" thickBot="1" x14ac:dyDescent="0.3">
      <c r="A14" s="286"/>
      <c r="B14" s="227" t="s">
        <v>32</v>
      </c>
      <c r="C14" s="849"/>
      <c r="D14" s="227"/>
      <c r="E14" s="860" t="s">
        <v>172</v>
      </c>
      <c r="F14" s="229"/>
      <c r="G14" s="230"/>
      <c r="H14" s="230"/>
      <c r="I14" s="230"/>
      <c r="J14" s="231"/>
      <c r="K14" s="232"/>
      <c r="L14" s="233"/>
      <c r="M14" s="230"/>
      <c r="N14" s="233"/>
      <c r="O14" s="231"/>
    </row>
    <row r="15" spans="1:15" s="178" customFormat="1" ht="15.75" thickTop="1" x14ac:dyDescent="0.25">
      <c r="A15" s="176"/>
      <c r="B15" s="854" t="s">
        <v>167</v>
      </c>
      <c r="C15" s="176"/>
      <c r="E15" s="179"/>
      <c r="F15" s="180" t="s">
        <v>37</v>
      </c>
      <c r="G15" s="181"/>
      <c r="H15" s="181"/>
      <c r="I15" s="181"/>
      <c r="J15" s="182"/>
      <c r="K15" s="183" t="str">
        <f>TOCmatch!B8</f>
        <v>Платежи</v>
      </c>
      <c r="L15" s="181"/>
      <c r="M15" s="181"/>
      <c r="N15" s="181"/>
      <c r="O15" s="182"/>
    </row>
    <row r="16" spans="1:15" s="178" customFormat="1" outlineLevel="1" x14ac:dyDescent="0.25">
      <c r="A16" s="184">
        <v>41532.095405092594</v>
      </c>
      <c r="B16" s="185" t="s">
        <v>84</v>
      </c>
      <c r="C16" s="186" t="s">
        <v>66</v>
      </c>
      <c r="D16" s="187"/>
      <c r="E16" s="188" t="s">
        <v>168</v>
      </c>
      <c r="F16" s="189"/>
      <c r="G16" s="190"/>
      <c r="H16" s="191"/>
      <c r="I16" s="191"/>
      <c r="J16" s="192"/>
      <c r="K16" s="193" t="str">
        <f>K15</f>
        <v>Платежи</v>
      </c>
      <c r="O16" s="192"/>
    </row>
    <row r="17" spans="1:15" s="178" customFormat="1" outlineLevel="1" x14ac:dyDescent="0.25">
      <c r="A17" s="184">
        <v>41540.085439814815</v>
      </c>
      <c r="B17" s="185" t="s">
        <v>100</v>
      </c>
      <c r="C17" s="186" t="str">
        <f>B16</f>
        <v>InsMyCol</v>
      </c>
      <c r="D17" s="187"/>
      <c r="E17" s="188" t="s">
        <v>168</v>
      </c>
      <c r="F17" s="189"/>
      <c r="G17" s="190"/>
      <c r="H17" s="191"/>
      <c r="I17" s="191"/>
      <c r="J17" s="192"/>
      <c r="K17" s="193" t="str">
        <f>K15</f>
        <v>Платежи</v>
      </c>
      <c r="L17" s="194" t="str">
        <f>TOCmatch!B17</f>
        <v>SFacc</v>
      </c>
      <c r="M17" s="194" t="str">
        <f>TOCmatch!B14</f>
        <v>SF</v>
      </c>
      <c r="N17" s="194" t="str">
        <f>TOCmatch!B21</f>
        <v>SF_PA</v>
      </c>
      <c r="O17" s="931" t="str">
        <f>TOCmatch!B43</f>
        <v>DicAccSynonims</v>
      </c>
    </row>
    <row r="18" spans="1:15" s="178" customFormat="1" outlineLevel="1" x14ac:dyDescent="0.25">
      <c r="A18" s="184">
        <v>41540.085462962961</v>
      </c>
      <c r="B18" s="185" t="s">
        <v>58</v>
      </c>
      <c r="C18" s="186" t="str">
        <f>B17</f>
        <v>Adapt</v>
      </c>
      <c r="D18" s="187"/>
      <c r="E18" s="188" t="s">
        <v>168</v>
      </c>
      <c r="F18" s="837">
        <v>7</v>
      </c>
      <c r="G18" s="195"/>
      <c r="H18" s="191"/>
      <c r="I18" s="191"/>
      <c r="J18" s="192"/>
      <c r="K18" s="193" t="str">
        <f>K15</f>
        <v>Платежи</v>
      </c>
      <c r="L18" s="196"/>
      <c r="M18" s="191"/>
      <c r="N18" s="196"/>
      <c r="O18" s="192"/>
    </row>
    <row r="19" spans="1:15" s="181" customFormat="1" outlineLevel="1" x14ac:dyDescent="0.25">
      <c r="A19" s="197">
        <v>41540.085543981484</v>
      </c>
      <c r="B19" s="198" t="s">
        <v>171</v>
      </c>
      <c r="C19" s="186" t="str">
        <f>B18</f>
        <v>DateSort</v>
      </c>
      <c r="D19" s="199"/>
      <c r="E19" s="200" t="s">
        <v>168</v>
      </c>
      <c r="F19" s="193"/>
      <c r="G19" s="191"/>
      <c r="H19" s="191"/>
      <c r="I19" s="191"/>
      <c r="J19" s="192"/>
      <c r="K19" s="193" t="str">
        <f>K15</f>
        <v>Платежи</v>
      </c>
      <c r="L19" s="196"/>
      <c r="M19" s="191"/>
      <c r="N19" s="196"/>
      <c r="O19" s="192"/>
    </row>
    <row r="20" spans="1:15" outlineLevel="1" x14ac:dyDescent="0.25">
      <c r="A20" s="184">
        <v>41540.08556712963</v>
      </c>
      <c r="B20" s="185" t="s">
        <v>49</v>
      </c>
      <c r="C20" s="201" t="str">
        <f>B19</f>
        <v>PaymentPaint</v>
      </c>
      <c r="D20" s="199"/>
      <c r="E20" s="202" t="s">
        <v>168</v>
      </c>
      <c r="G20" s="196"/>
      <c r="H20" s="203"/>
      <c r="I20" s="203"/>
      <c r="J20" s="204"/>
      <c r="K20" s="193" t="str">
        <f>K15</f>
        <v>Платежи</v>
      </c>
      <c r="L20" s="196"/>
      <c r="M20" s="196"/>
      <c r="N20" s="194" t="str">
        <f>TOCmatch!B17</f>
        <v>SFacc</v>
      </c>
      <c r="O20" s="204"/>
    </row>
    <row r="21" spans="1:15" outlineLevel="1" x14ac:dyDescent="0.25">
      <c r="A21" s="184">
        <v>41540.085578703707</v>
      </c>
      <c r="B21" s="855" t="s">
        <v>1190</v>
      </c>
      <c r="C21" s="201" t="str">
        <f>B20</f>
        <v>AccPaint</v>
      </c>
      <c r="D21" s="199"/>
      <c r="E21" s="202" t="s">
        <v>168</v>
      </c>
      <c r="G21" s="196"/>
      <c r="H21" s="203"/>
      <c r="I21" s="203"/>
      <c r="J21" s="204"/>
      <c r="K21" s="193" t="str">
        <f>K15</f>
        <v>Платежи</v>
      </c>
      <c r="L21" s="196"/>
      <c r="M21" s="196"/>
      <c r="N21" s="196"/>
      <c r="O21" s="204"/>
    </row>
    <row r="22" spans="1:15" s="178" customFormat="1" outlineLevel="1" x14ac:dyDescent="0.25">
      <c r="A22" s="197">
        <v>41540.085590277777</v>
      </c>
      <c r="B22" s="847" t="s">
        <v>1210</v>
      </c>
      <c r="C22" s="846"/>
      <c r="D22" s="191"/>
      <c r="E22" s="202" t="s">
        <v>168</v>
      </c>
      <c r="F22" s="194" t="str">
        <f>TOCmatch!B14</f>
        <v>SF</v>
      </c>
      <c r="G22" s="191"/>
      <c r="H22" s="191"/>
      <c r="I22" s="191"/>
      <c r="J22" s="192"/>
      <c r="K22" s="193" t="str">
        <f>K21</f>
        <v>Платежи</v>
      </c>
      <c r="L22" s="196"/>
      <c r="M22" s="191"/>
      <c r="N22" s="196"/>
      <c r="O22" s="192"/>
    </row>
    <row r="23" spans="1:15" s="212" customFormat="1" outlineLevel="1" x14ac:dyDescent="0.25">
      <c r="A23" s="856">
        <v>41509.164409722223</v>
      </c>
      <c r="B23" s="857" t="s">
        <v>32</v>
      </c>
      <c r="C23" s="251"/>
      <c r="D23" s="205"/>
      <c r="E23" s="206"/>
      <c r="F23" s="207"/>
      <c r="G23" s="208"/>
      <c r="H23" s="208"/>
      <c r="I23" s="208"/>
      <c r="J23" s="209"/>
      <c r="K23" s="210"/>
      <c r="L23" s="211"/>
      <c r="M23" s="208"/>
      <c r="N23" s="211"/>
      <c r="O23" s="209"/>
    </row>
    <row r="24" spans="1:15" s="178" customFormat="1" x14ac:dyDescent="0.25">
      <c r="A24" s="213"/>
      <c r="B24" s="858" t="s">
        <v>167</v>
      </c>
      <c r="C24" s="214"/>
      <c r="D24" s="215"/>
      <c r="E24" s="216" t="s">
        <v>172</v>
      </c>
      <c r="F24" s="217" t="s">
        <v>45</v>
      </c>
      <c r="G24" s="215"/>
      <c r="H24" s="215"/>
      <c r="I24" s="215"/>
      <c r="J24" s="218"/>
      <c r="K24" s="219" t="str">
        <f>TOCmatch!B10</f>
        <v>Договоры</v>
      </c>
      <c r="L24" s="220"/>
      <c r="M24" s="215"/>
      <c r="N24" s="220"/>
      <c r="O24" s="218"/>
    </row>
    <row r="25" spans="1:15" s="32" customFormat="1" outlineLevel="1" x14ac:dyDescent="0.25">
      <c r="A25" s="184">
        <v>41540.231307870374</v>
      </c>
      <c r="B25" s="185" t="s">
        <v>84</v>
      </c>
      <c r="C25" s="186" t="s">
        <v>66</v>
      </c>
      <c r="D25" s="187"/>
      <c r="E25" s="188" t="s">
        <v>168</v>
      </c>
      <c r="F25" s="189"/>
      <c r="G25" s="190"/>
      <c r="H25" s="191"/>
      <c r="I25" s="191"/>
      <c r="J25" s="204"/>
      <c r="K25" s="193" t="str">
        <f>K24</f>
        <v>Договоры</v>
      </c>
      <c r="N25" s="203"/>
      <c r="O25" s="204"/>
    </row>
    <row r="26" spans="1:15" s="32" customFormat="1" outlineLevel="1" x14ac:dyDescent="0.25">
      <c r="A26" s="184">
        <v>41540.266805555555</v>
      </c>
      <c r="B26" s="185" t="s">
        <v>100</v>
      </c>
      <c r="C26" s="186" t="str">
        <f>B25</f>
        <v>InsMyCol</v>
      </c>
      <c r="D26" s="187"/>
      <c r="E26" s="188" t="s">
        <v>168</v>
      </c>
      <c r="F26" s="189"/>
      <c r="J26" s="204"/>
      <c r="K26" s="193" t="str">
        <f>K24</f>
        <v>Договоры</v>
      </c>
      <c r="L26" s="194" t="str">
        <f>TOCmatch!B17</f>
        <v>SFacc</v>
      </c>
      <c r="M26" s="194" t="str">
        <f>TOCmatch!B15</f>
        <v>SFD</v>
      </c>
      <c r="N26" s="203"/>
      <c r="O26" s="204"/>
    </row>
    <row r="27" spans="1:15" s="32" customFormat="1" outlineLevel="1" x14ac:dyDescent="0.25">
      <c r="A27" s="197">
        <v>41540.266863425924</v>
      </c>
      <c r="B27" s="185" t="s">
        <v>58</v>
      </c>
      <c r="C27" s="186" t="str">
        <f>B26</f>
        <v>Adapt</v>
      </c>
      <c r="D27" s="187"/>
      <c r="E27" s="188" t="s">
        <v>168</v>
      </c>
      <c r="F27" s="837">
        <v>12</v>
      </c>
      <c r="G27" s="195"/>
      <c r="H27" s="203"/>
      <c r="I27" s="203"/>
      <c r="J27" s="204"/>
      <c r="K27" s="193" t="str">
        <f>K24</f>
        <v>Договоры</v>
      </c>
      <c r="L27" s="203"/>
      <c r="M27" s="203"/>
      <c r="N27" s="203"/>
      <c r="O27" s="204"/>
    </row>
    <row r="28" spans="1:15" s="32" customFormat="1" outlineLevel="1" x14ac:dyDescent="0.25">
      <c r="A28" s="197">
        <v>41540.266886574071</v>
      </c>
      <c r="B28" s="198" t="s">
        <v>176</v>
      </c>
      <c r="C28" s="186" t="str">
        <f>B27</f>
        <v>DateSort</v>
      </c>
      <c r="D28" s="199"/>
      <c r="E28" s="222" t="s">
        <v>168</v>
      </c>
      <c r="F28" s="223"/>
      <c r="G28" s="203"/>
      <c r="H28" s="203"/>
      <c r="I28" s="203"/>
      <c r="J28" s="204"/>
      <c r="K28" s="193" t="str">
        <f>K24</f>
        <v>Договоры</v>
      </c>
      <c r="L28" s="194" t="str">
        <f>TOCmatch!B15</f>
        <v>SFD</v>
      </c>
      <c r="N28" s="203"/>
      <c r="O28" s="204"/>
    </row>
    <row r="29" spans="1:15" outlineLevel="1" x14ac:dyDescent="0.25">
      <c r="A29" s="184">
        <v>41540.266898148147</v>
      </c>
      <c r="B29" s="185" t="s">
        <v>49</v>
      </c>
      <c r="C29" s="186" t="str">
        <f>B28</f>
        <v>ContractPaint</v>
      </c>
      <c r="D29" s="199"/>
      <c r="E29" s="224" t="s">
        <v>168</v>
      </c>
      <c r="F29" s="221"/>
      <c r="G29" s="196"/>
      <c r="H29" s="203"/>
      <c r="I29" s="203"/>
      <c r="J29" s="204"/>
      <c r="K29" s="193" t="str">
        <f>K24</f>
        <v>Договоры</v>
      </c>
      <c r="L29" s="196"/>
      <c r="M29" s="196"/>
      <c r="N29" s="194" t="str">
        <f>TOCmatch!B17</f>
        <v>SFacc</v>
      </c>
      <c r="O29" s="204"/>
    </row>
    <row r="30" spans="1:15" outlineLevel="1" x14ac:dyDescent="0.25">
      <c r="A30" s="184">
        <v>41540.266898148147</v>
      </c>
      <c r="B30" s="855" t="s">
        <v>1190</v>
      </c>
      <c r="C30" s="201" t="str">
        <f>B29</f>
        <v>AccPaint</v>
      </c>
      <c r="D30" s="199"/>
      <c r="E30" s="202" t="s">
        <v>168</v>
      </c>
      <c r="G30" s="196"/>
      <c r="H30" s="203"/>
      <c r="I30" s="203"/>
      <c r="J30" s="204"/>
      <c r="K30" s="193" t="str">
        <f>K24</f>
        <v>Договоры</v>
      </c>
      <c r="L30" s="196"/>
      <c r="M30" s="196"/>
      <c r="N30" s="196"/>
      <c r="O30" s="204"/>
    </row>
    <row r="31" spans="1:15" s="212" customFormat="1" outlineLevel="1" x14ac:dyDescent="0.25">
      <c r="A31" s="856">
        <v>41509.162106481483</v>
      </c>
      <c r="B31" s="857" t="s">
        <v>32</v>
      </c>
      <c r="C31" s="251"/>
      <c r="D31" s="205"/>
      <c r="E31" s="206" t="s">
        <v>172</v>
      </c>
      <c r="F31" s="207"/>
      <c r="G31" s="208"/>
      <c r="H31" s="208"/>
      <c r="I31" s="208"/>
      <c r="J31" s="209"/>
      <c r="K31" s="210"/>
      <c r="L31" s="211"/>
      <c r="M31" s="208"/>
      <c r="N31" s="211"/>
      <c r="O31" s="209"/>
    </row>
    <row r="32" spans="1:15" s="178" customFormat="1" x14ac:dyDescent="0.25">
      <c r="A32" s="213"/>
      <c r="B32" s="858" t="s">
        <v>167</v>
      </c>
      <c r="C32" s="214"/>
      <c r="D32" s="215"/>
      <c r="E32" s="216"/>
      <c r="F32" s="225" t="s">
        <v>54</v>
      </c>
      <c r="G32" s="215"/>
      <c r="H32" s="215"/>
      <c r="I32" s="215"/>
      <c r="J32" s="218"/>
      <c r="K32" s="219" t="s">
        <v>48</v>
      </c>
      <c r="L32" s="220"/>
      <c r="M32" s="215"/>
      <c r="N32" s="220"/>
      <c r="O32" s="218"/>
    </row>
    <row r="33" spans="1:15" s="178" customFormat="1" outlineLevel="1" x14ac:dyDescent="0.25">
      <c r="A33" s="184">
        <v>41535.667870370373</v>
      </c>
      <c r="B33" s="185" t="s">
        <v>177</v>
      </c>
      <c r="C33" s="186" t="s">
        <v>66</v>
      </c>
      <c r="D33" s="199"/>
      <c r="E33" s="188" t="s">
        <v>168</v>
      </c>
      <c r="F33" s="221"/>
      <c r="G33" s="195"/>
      <c r="H33" s="191"/>
      <c r="I33" s="191"/>
      <c r="J33" s="192"/>
      <c r="K33" s="193" t="str">
        <f>K32</f>
        <v>Список клиентов 1C</v>
      </c>
      <c r="L33" s="196"/>
      <c r="M33" s="191"/>
      <c r="N33" s="196"/>
      <c r="O33" s="192"/>
    </row>
    <row r="34" spans="1:15" s="32" customFormat="1" outlineLevel="1" x14ac:dyDescent="0.25">
      <c r="A34" s="184">
        <v>41536.375625000001</v>
      </c>
      <c r="B34" s="185" t="s">
        <v>84</v>
      </c>
      <c r="C34" s="226" t="str">
        <f>B33</f>
        <v>Acc1C_Bottom</v>
      </c>
      <c r="D34" s="187"/>
      <c r="E34" s="188" t="s">
        <v>168</v>
      </c>
      <c r="F34" s="193"/>
      <c r="G34" s="196"/>
      <c r="H34" s="191"/>
      <c r="I34" s="191"/>
      <c r="J34" s="204"/>
      <c r="K34" s="193" t="str">
        <f>K32</f>
        <v>Список клиентов 1C</v>
      </c>
      <c r="L34" s="203"/>
      <c r="M34" s="203"/>
      <c r="O34" s="204"/>
    </row>
    <row r="35" spans="1:15" s="32" customFormat="1" outlineLevel="1" x14ac:dyDescent="0.25">
      <c r="A35" s="184">
        <v>41538.811516203707</v>
      </c>
      <c r="B35" s="185" t="s">
        <v>100</v>
      </c>
      <c r="C35" s="226" t="str">
        <f>B34</f>
        <v>InsMyCol</v>
      </c>
      <c r="D35" s="187"/>
      <c r="E35" s="188" t="s">
        <v>168</v>
      </c>
      <c r="F35" s="193"/>
      <c r="G35" s="196"/>
      <c r="H35" s="191"/>
      <c r="I35" s="191"/>
      <c r="J35" s="204"/>
      <c r="K35" s="193" t="str">
        <f>K32</f>
        <v>Список клиентов 1C</v>
      </c>
      <c r="L35" s="203"/>
      <c r="M35" s="203"/>
      <c r="N35" s="194" t="str">
        <f>TOCmatch!B17</f>
        <v>SFacc</v>
      </c>
      <c r="O35" s="204"/>
    </row>
    <row r="36" spans="1:15" outlineLevel="1" x14ac:dyDescent="0.25">
      <c r="A36" s="184">
        <v>41538.811527777776</v>
      </c>
      <c r="B36" s="185" t="s">
        <v>49</v>
      </c>
      <c r="C36" s="226" t="str">
        <f>B35</f>
        <v>Adapt</v>
      </c>
      <c r="D36" s="199"/>
      <c r="E36" s="224" t="s">
        <v>168</v>
      </c>
      <c r="F36" s="193"/>
      <c r="G36" s="196"/>
      <c r="H36" s="203"/>
      <c r="I36" s="203"/>
      <c r="J36" s="204"/>
      <c r="K36" s="193" t="str">
        <f>K32</f>
        <v>Список клиентов 1C</v>
      </c>
      <c r="L36" s="196"/>
      <c r="M36" s="196"/>
      <c r="N36" s="194" t="str">
        <f>TOCmatch!B17</f>
        <v>SFacc</v>
      </c>
      <c r="O36" s="204"/>
    </row>
    <row r="37" spans="1:15" s="181" customFormat="1" ht="15.75" outlineLevel="1" thickBot="1" x14ac:dyDescent="0.3">
      <c r="A37" s="197">
        <v>41507.01185185185</v>
      </c>
      <c r="B37" s="198" t="s">
        <v>32</v>
      </c>
      <c r="C37" s="319"/>
      <c r="D37" s="249"/>
      <c r="E37" s="200" t="s">
        <v>168</v>
      </c>
      <c r="F37" s="320"/>
      <c r="G37" s="191"/>
      <c r="H37" s="191"/>
      <c r="I37" s="191"/>
      <c r="J37" s="192"/>
      <c r="K37" s="193"/>
      <c r="L37" s="196"/>
      <c r="M37" s="191"/>
      <c r="N37" s="196"/>
      <c r="O37" s="192"/>
    </row>
    <row r="38" spans="1:15" s="178" customFormat="1" ht="15.75" thickTop="1" x14ac:dyDescent="0.25">
      <c r="A38" s="933"/>
      <c r="B38" s="934" t="s">
        <v>167</v>
      </c>
      <c r="C38" s="935"/>
      <c r="D38" s="238"/>
      <c r="E38" s="239" t="s">
        <v>172</v>
      </c>
      <c r="F38" s="240" t="s">
        <v>178</v>
      </c>
      <c r="G38" s="238"/>
      <c r="H38" s="238"/>
      <c r="I38" s="238"/>
      <c r="J38" s="241"/>
      <c r="K38" s="242" t="str">
        <f>TOCmatch!B14</f>
        <v>SF</v>
      </c>
      <c r="L38" s="243"/>
      <c r="M38" s="238"/>
      <c r="N38" s="243"/>
      <c r="O38" s="241"/>
    </row>
    <row r="39" spans="1:15" outlineLevel="1" x14ac:dyDescent="0.25">
      <c r="A39" s="184">
        <v>41538.756296296298</v>
      </c>
      <c r="B39" s="185" t="s">
        <v>84</v>
      </c>
      <c r="C39" s="932" t="s">
        <v>66</v>
      </c>
      <c r="D39" s="187"/>
      <c r="E39" s="188" t="s">
        <v>168</v>
      </c>
      <c r="F39" s="193"/>
      <c r="G39" s="196"/>
      <c r="H39" s="203"/>
      <c r="I39" s="203"/>
      <c r="J39" s="244"/>
      <c r="K39" s="193" t="str">
        <f>K38</f>
        <v>SF</v>
      </c>
      <c r="L39" s="203"/>
      <c r="M39" s="203"/>
      <c r="N39" s="203"/>
      <c r="O39" s="244"/>
    </row>
    <row r="40" spans="1:15" outlineLevel="1" x14ac:dyDescent="0.25">
      <c r="A40" s="184">
        <v>41538.756990740738</v>
      </c>
      <c r="B40" s="198" t="s">
        <v>181</v>
      </c>
      <c r="C40" s="186" t="str">
        <f>B39</f>
        <v>InsMyCol</v>
      </c>
      <c r="D40" s="199"/>
      <c r="E40" s="224" t="s">
        <v>168</v>
      </c>
      <c r="F40" s="193" t="str">
        <f>F15</f>
        <v>LOAD_1C_P</v>
      </c>
      <c r="G40" s="196"/>
      <c r="H40" s="203"/>
      <c r="I40" s="203"/>
      <c r="J40" s="244"/>
      <c r="K40" s="193" t="str">
        <f>TOCmatch!B8</f>
        <v>Платежи</v>
      </c>
      <c r="L40" s="203" t="str">
        <f>K38</f>
        <v>SF</v>
      </c>
      <c r="M40" s="203"/>
      <c r="N40" s="203"/>
      <c r="O40" s="244"/>
    </row>
    <row r="41" spans="1:15" outlineLevel="1" x14ac:dyDescent="0.25">
      <c r="A41" s="184">
        <v>41539.694988425923</v>
      </c>
      <c r="B41" s="185" t="s">
        <v>100</v>
      </c>
      <c r="C41" s="936" t="str">
        <f>B40</f>
        <v>ProcStart</v>
      </c>
      <c r="D41" s="203"/>
      <c r="E41" s="224" t="s">
        <v>168</v>
      </c>
      <c r="F41" s="193"/>
      <c r="G41" s="196"/>
      <c r="H41" s="203"/>
      <c r="I41" s="203"/>
      <c r="J41" s="244"/>
      <c r="K41" s="193" t="str">
        <f>K38</f>
        <v>SF</v>
      </c>
      <c r="L41" s="203" t="str">
        <f>TOCmatch!B8</f>
        <v>Платежи</v>
      </c>
      <c r="M41" s="203"/>
      <c r="N41" s="203"/>
      <c r="O41" s="244"/>
    </row>
    <row r="42" spans="1:15" outlineLevel="1" x14ac:dyDescent="0.25">
      <c r="A42" s="184">
        <v>41539.695150462961</v>
      </c>
      <c r="B42" s="185" t="s">
        <v>58</v>
      </c>
      <c r="C42" s="186"/>
      <c r="D42" s="187"/>
      <c r="E42" s="188" t="s">
        <v>168</v>
      </c>
      <c r="F42" s="838">
        <v>5</v>
      </c>
      <c r="G42" s="196"/>
      <c r="H42" s="203"/>
      <c r="I42" s="203"/>
      <c r="J42" s="204"/>
      <c r="K42" s="193" t="str">
        <f>K38</f>
        <v>SF</v>
      </c>
      <c r="L42" s="203"/>
      <c r="M42" s="203"/>
      <c r="N42" s="203"/>
      <c r="O42" s="204"/>
    </row>
    <row r="43" spans="1:15" outlineLevel="1" x14ac:dyDescent="0.25">
      <c r="A43" s="184">
        <v>41539.695173611108</v>
      </c>
      <c r="B43" s="855" t="s">
        <v>1199</v>
      </c>
      <c r="C43" s="186"/>
      <c r="D43" s="187"/>
      <c r="E43" s="188" t="s">
        <v>168</v>
      </c>
      <c r="F43" s="248"/>
      <c r="G43" s="196"/>
      <c r="H43" s="203"/>
      <c r="I43" s="203"/>
      <c r="J43" s="204"/>
      <c r="K43" s="193" t="str">
        <f>K38</f>
        <v>SF</v>
      </c>
      <c r="L43" s="203"/>
      <c r="M43" s="203"/>
      <c r="N43" s="203"/>
      <c r="O43" s="204"/>
    </row>
    <row r="44" spans="1:15" s="212" customFormat="1" outlineLevel="1" x14ac:dyDescent="0.25">
      <c r="A44" s="856">
        <v>41509.160416666666</v>
      </c>
      <c r="B44" s="857" t="s">
        <v>32</v>
      </c>
      <c r="C44" s="251"/>
      <c r="D44" s="205"/>
      <c r="E44" s="206" t="s">
        <v>172</v>
      </c>
      <c r="F44" s="207"/>
      <c r="G44" s="208"/>
      <c r="H44" s="208"/>
      <c r="I44" s="208"/>
      <c r="J44" s="209"/>
      <c r="K44" s="210" t="str">
        <f>K38</f>
        <v>SF</v>
      </c>
      <c r="L44" s="211"/>
      <c r="M44" s="208"/>
      <c r="N44" s="211"/>
      <c r="O44" s="209"/>
    </row>
    <row r="45" spans="1:15" s="178" customFormat="1" x14ac:dyDescent="0.25">
      <c r="A45" s="252"/>
      <c r="B45" s="253" t="s">
        <v>167</v>
      </c>
      <c r="C45" s="254"/>
      <c r="D45" s="215"/>
      <c r="E45" s="216" t="s">
        <v>172</v>
      </c>
      <c r="F45" s="217" t="s">
        <v>182</v>
      </c>
      <c r="G45" s="215"/>
      <c r="H45" s="215"/>
      <c r="I45" s="215"/>
      <c r="J45" s="218"/>
      <c r="K45" s="219" t="s">
        <v>62</v>
      </c>
      <c r="L45" s="220"/>
      <c r="M45" s="215"/>
      <c r="N45" s="220"/>
      <c r="O45" s="218"/>
    </row>
    <row r="46" spans="1:15" outlineLevel="1" x14ac:dyDescent="0.25">
      <c r="A46" s="184">
        <v>41538.785590277781</v>
      </c>
      <c r="B46" s="185" t="s">
        <v>84</v>
      </c>
      <c r="C46" s="932" t="s">
        <v>66</v>
      </c>
      <c r="D46" s="187"/>
      <c r="E46" s="188" t="s">
        <v>168</v>
      </c>
      <c r="F46" s="193"/>
      <c r="G46" s="191"/>
      <c r="H46" s="203"/>
      <c r="I46" s="203"/>
      <c r="J46" s="244"/>
      <c r="K46" s="245" t="s">
        <v>62</v>
      </c>
      <c r="M46" s="203"/>
      <c r="N46" s="203"/>
      <c r="O46" s="244"/>
    </row>
    <row r="47" spans="1:15" outlineLevel="1" x14ac:dyDescent="0.25">
      <c r="A47" s="246">
        <v>41539.922222222223</v>
      </c>
      <c r="B47" s="187" t="s">
        <v>100</v>
      </c>
      <c r="C47" s="247" t="str">
        <f>B46</f>
        <v>InsMyCol</v>
      </c>
      <c r="D47" s="187"/>
      <c r="E47" s="188" t="s">
        <v>172</v>
      </c>
      <c r="F47" s="193"/>
      <c r="G47" s="196"/>
      <c r="H47" s="203"/>
      <c r="I47" s="203"/>
      <c r="J47" s="244"/>
      <c r="K47" s="245" t="s">
        <v>62</v>
      </c>
      <c r="L47" s="199" t="s">
        <v>40</v>
      </c>
      <c r="M47" s="203"/>
      <c r="N47" s="194" t="s">
        <v>68</v>
      </c>
      <c r="O47" s="244"/>
    </row>
    <row r="48" spans="1:15" outlineLevel="1" x14ac:dyDescent="0.25">
      <c r="A48" s="246">
        <v>41539.922233796293</v>
      </c>
      <c r="B48" s="187" t="s">
        <v>58</v>
      </c>
      <c r="C48" s="247" t="str">
        <f>B47</f>
        <v>Adapt</v>
      </c>
      <c r="D48" s="187"/>
      <c r="E48" s="188" t="s">
        <v>172</v>
      </c>
      <c r="F48" s="848">
        <v>8</v>
      </c>
      <c r="G48" s="196"/>
      <c r="H48" s="203"/>
      <c r="I48" s="203"/>
      <c r="J48" s="204"/>
      <c r="K48" s="245" t="s">
        <v>62</v>
      </c>
      <c r="L48" s="203"/>
      <c r="M48" s="203"/>
      <c r="N48" s="203"/>
      <c r="O48" s="204"/>
    </row>
    <row r="49" spans="1:15" outlineLevel="1" x14ac:dyDescent="0.25">
      <c r="A49" s="246">
        <v>41539.92224537037</v>
      </c>
      <c r="B49" s="249" t="s">
        <v>181</v>
      </c>
      <c r="C49" s="39" t="str">
        <f>B48</f>
        <v>DateSort</v>
      </c>
      <c r="D49" s="199"/>
      <c r="E49" s="224" t="s">
        <v>172</v>
      </c>
      <c r="F49" s="193" t="str">
        <f>F24</f>
        <v>LOAD_1C_DOG</v>
      </c>
      <c r="G49" s="196"/>
      <c r="H49" s="203"/>
      <c r="I49" s="203"/>
      <c r="J49" s="244"/>
      <c r="K49" s="245" t="s">
        <v>40</v>
      </c>
      <c r="L49" s="203"/>
      <c r="M49" s="203"/>
      <c r="N49" s="203"/>
      <c r="O49" s="244"/>
    </row>
    <row r="50" spans="1:15" s="212" customFormat="1" outlineLevel="1" x14ac:dyDescent="0.25">
      <c r="A50" s="250">
        <v>41507.005196759259</v>
      </c>
      <c r="B50" s="205" t="s">
        <v>32</v>
      </c>
      <c r="C50" s="251"/>
      <c r="D50" s="205"/>
      <c r="E50" s="206" t="s">
        <v>168</v>
      </c>
      <c r="F50" s="207"/>
      <c r="G50" s="208"/>
      <c r="H50" s="208"/>
      <c r="I50" s="208"/>
      <c r="J50" s="209"/>
      <c r="K50" s="210"/>
      <c r="L50" s="211"/>
      <c r="M50" s="208"/>
      <c r="N50" s="211"/>
      <c r="O50" s="209"/>
    </row>
    <row r="51" spans="1:15" s="178" customFormat="1" x14ac:dyDescent="0.25">
      <c r="A51" s="252"/>
      <c r="B51" s="958" t="s">
        <v>167</v>
      </c>
      <c r="C51" s="254"/>
      <c r="D51" s="215"/>
      <c r="E51" s="216" t="s">
        <v>172</v>
      </c>
      <c r="F51" s="217" t="s">
        <v>186</v>
      </c>
      <c r="G51" s="215"/>
      <c r="H51" s="215"/>
      <c r="I51" s="215"/>
      <c r="J51" s="218"/>
      <c r="K51" s="219" t="s">
        <v>68</v>
      </c>
      <c r="L51" s="220"/>
      <c r="M51" s="215"/>
      <c r="N51" s="220"/>
      <c r="O51" s="218"/>
    </row>
    <row r="52" spans="1:15" s="178" customFormat="1" outlineLevel="1" x14ac:dyDescent="0.25">
      <c r="A52" s="197">
        <v>41536.382557870369</v>
      </c>
      <c r="B52" s="847" t="s">
        <v>1210</v>
      </c>
      <c r="C52" s="846"/>
      <c r="D52" s="191"/>
      <c r="E52" s="200" t="s">
        <v>168</v>
      </c>
      <c r="F52" s="862" t="str">
        <f>TOCmatch!B17</f>
        <v>SFacc</v>
      </c>
      <c r="G52" s="191"/>
      <c r="H52" s="191"/>
      <c r="I52" s="191"/>
      <c r="J52" s="192"/>
      <c r="K52" s="193" t="str">
        <f>TOCmatch!B12</f>
        <v>Список клиентов 1C</v>
      </c>
      <c r="L52" s="196"/>
      <c r="M52" s="191"/>
      <c r="N52" s="196"/>
      <c r="O52" s="192"/>
    </row>
    <row r="53" spans="1:15" outlineLevel="1" x14ac:dyDescent="0.25">
      <c r="A53" s="184">
        <v>41538.811238425929</v>
      </c>
      <c r="B53" s="185" t="s">
        <v>181</v>
      </c>
      <c r="C53" s="186"/>
      <c r="D53" s="199"/>
      <c r="E53" s="224" t="s">
        <v>168</v>
      </c>
      <c r="F53" s="193" t="str">
        <f>F15</f>
        <v>LOAD_1C_P</v>
      </c>
      <c r="G53" s="196"/>
      <c r="H53" s="203"/>
      <c r="I53" s="203"/>
      <c r="J53" s="204"/>
      <c r="K53" s="193" t="str">
        <f>K51</f>
        <v>SFacc</v>
      </c>
      <c r="L53" s="196" t="str">
        <f>TOCmatch!B8</f>
        <v>Платежи</v>
      </c>
      <c r="M53" s="196"/>
      <c r="N53" s="203"/>
      <c r="O53" s="204"/>
    </row>
    <row r="54" spans="1:15" outlineLevel="1" x14ac:dyDescent="0.25">
      <c r="A54" s="246">
        <v>41538.811423611114</v>
      </c>
      <c r="B54" s="187" t="s">
        <v>181</v>
      </c>
      <c r="C54" s="247"/>
      <c r="D54" s="199"/>
      <c r="E54" s="224" t="s">
        <v>172</v>
      </c>
      <c r="F54" s="193" t="str">
        <f>F24</f>
        <v>LOAD_1C_DOG</v>
      </c>
      <c r="G54" s="196"/>
      <c r="H54" s="203"/>
      <c r="I54" s="203"/>
      <c r="J54" s="204"/>
      <c r="K54" s="193" t="str">
        <f>K51</f>
        <v>SFacc</v>
      </c>
      <c r="L54" s="196" t="str">
        <f>TOCmatch!B10</f>
        <v>Договоры</v>
      </c>
      <c r="M54" s="196"/>
      <c r="N54" s="203"/>
      <c r="O54" s="204"/>
    </row>
    <row r="55" spans="1:15" outlineLevel="1" x14ac:dyDescent="0.25">
      <c r="A55" s="184">
        <v>41538.811539351853</v>
      </c>
      <c r="B55" s="185" t="s">
        <v>181</v>
      </c>
      <c r="C55" s="186"/>
      <c r="D55" s="199"/>
      <c r="E55" s="224" t="s">
        <v>168</v>
      </c>
      <c r="F55" s="193" t="str">
        <f>F32</f>
        <v>LOAD_1C_ACC</v>
      </c>
      <c r="G55" s="196"/>
      <c r="H55" s="203"/>
      <c r="I55" s="203"/>
      <c r="J55" s="204"/>
      <c r="K55" s="193" t="str">
        <f>K51</f>
        <v>SFacc</v>
      </c>
      <c r="L55" s="196" t="str">
        <f>TOCmatch!B12</f>
        <v>Список клиентов 1C</v>
      </c>
      <c r="M55" s="196"/>
      <c r="N55" s="203"/>
      <c r="O55" s="204"/>
    </row>
    <row r="56" spans="1:15" s="181" customFormat="1" outlineLevel="1" x14ac:dyDescent="0.25">
      <c r="A56" s="318">
        <v>41507.01185185185</v>
      </c>
      <c r="B56" s="249" t="s">
        <v>32</v>
      </c>
      <c r="C56" s="319"/>
      <c r="D56" s="249"/>
      <c r="E56" s="200" t="s">
        <v>168</v>
      </c>
      <c r="F56" s="320"/>
      <c r="G56" s="191"/>
      <c r="H56" s="191"/>
      <c r="I56" s="191"/>
      <c r="J56" s="192"/>
      <c r="K56" s="193"/>
      <c r="L56" s="196"/>
      <c r="M56" s="191"/>
      <c r="N56" s="196"/>
      <c r="O56" s="192"/>
    </row>
    <row r="57" spans="1:15" s="324" customFormat="1" x14ac:dyDescent="0.25">
      <c r="A57" s="213"/>
      <c r="B57" s="858" t="s">
        <v>167</v>
      </c>
      <c r="C57" s="214"/>
      <c r="D57" s="215"/>
      <c r="E57" s="216"/>
      <c r="F57" s="930" t="s">
        <v>1258</v>
      </c>
      <c r="G57" s="215"/>
      <c r="H57" s="215"/>
      <c r="I57" s="215"/>
      <c r="J57" s="218"/>
      <c r="K57" s="219" t="str">
        <f>TOCmatch!B23</f>
        <v>SF_DicAccSyn</v>
      </c>
      <c r="L57" s="220"/>
      <c r="M57" s="215"/>
      <c r="N57" s="220"/>
      <c r="O57" s="218"/>
    </row>
    <row r="58" spans="1:15" outlineLevel="1" x14ac:dyDescent="0.25">
      <c r="A58" s="184">
        <v>41538.807997685188</v>
      </c>
      <c r="B58" s="855" t="s">
        <v>1252</v>
      </c>
      <c r="C58" s="943" t="s">
        <v>66</v>
      </c>
      <c r="D58" s="199"/>
      <c r="E58" s="224" t="s">
        <v>168</v>
      </c>
      <c r="F58" s="937" t="str">
        <f>TOCmatch!B43</f>
        <v>DicAccSynonims</v>
      </c>
      <c r="G58" s="196"/>
      <c r="H58" s="203"/>
      <c r="I58" s="203"/>
      <c r="J58" s="204"/>
      <c r="K58" s="193" t="str">
        <f>K57</f>
        <v>SF_DicAccSyn</v>
      </c>
      <c r="L58" s="196"/>
      <c r="M58" s="196"/>
      <c r="N58" s="32"/>
      <c r="O58" s="204"/>
    </row>
    <row r="59" spans="1:15" s="234" customFormat="1" ht="15.75" outlineLevel="1" thickBot="1" x14ac:dyDescent="0.3">
      <c r="A59" s="944">
        <v>41507.01185185185</v>
      </c>
      <c r="B59" s="945" t="s">
        <v>32</v>
      </c>
      <c r="C59" s="849"/>
      <c r="D59" s="227"/>
      <c r="E59" s="228" t="s">
        <v>168</v>
      </c>
      <c r="F59" s="229"/>
      <c r="G59" s="230"/>
      <c r="H59" s="230"/>
      <c r="I59" s="230"/>
      <c r="J59" s="231"/>
      <c r="K59" s="232"/>
      <c r="L59" s="233"/>
      <c r="M59" s="230"/>
      <c r="N59" s="233"/>
      <c r="O59" s="231"/>
    </row>
    <row r="60" spans="1:15" s="178" customFormat="1" ht="15.75" thickTop="1" x14ac:dyDescent="0.25">
      <c r="A60" s="176"/>
      <c r="B60" s="177" t="s">
        <v>167</v>
      </c>
      <c r="C60" s="176"/>
      <c r="E60" s="179"/>
      <c r="F60" s="180" t="s">
        <v>104</v>
      </c>
      <c r="G60" s="181"/>
      <c r="H60" s="181"/>
      <c r="I60" s="181"/>
      <c r="J60" s="182"/>
      <c r="K60" s="183" t="s">
        <v>99</v>
      </c>
      <c r="L60" s="181"/>
      <c r="M60" s="181"/>
      <c r="N60" s="181"/>
      <c r="O60" s="182"/>
    </row>
    <row r="61" spans="1:15" s="178" customFormat="1" outlineLevel="1" x14ac:dyDescent="0.25">
      <c r="A61" s="184">
        <v>41473.017916666664</v>
      </c>
      <c r="B61" s="185" t="s">
        <v>187</v>
      </c>
      <c r="C61" s="186" t="s">
        <v>66</v>
      </c>
      <c r="D61" s="187"/>
      <c r="E61" s="188" t="s">
        <v>168</v>
      </c>
      <c r="F61" s="255" t="s">
        <v>188</v>
      </c>
      <c r="G61" s="195"/>
      <c r="H61" s="191"/>
      <c r="I61" s="191"/>
      <c r="J61" s="192"/>
      <c r="K61" s="193" t="str">
        <f>K60</f>
        <v>Заказы</v>
      </c>
      <c r="L61" s="196"/>
      <c r="M61" s="191"/>
      <c r="N61" s="196"/>
      <c r="O61" s="192"/>
    </row>
    <row r="62" spans="1:15" s="178" customFormat="1" outlineLevel="1" x14ac:dyDescent="0.25">
      <c r="A62" s="184">
        <v>41473.017928240741</v>
      </c>
      <c r="B62" s="185" t="s">
        <v>84</v>
      </c>
      <c r="C62" s="201" t="str">
        <f>B61</f>
        <v>RowDel</v>
      </c>
      <c r="D62" s="187"/>
      <c r="E62" s="188" t="s">
        <v>168</v>
      </c>
      <c r="F62" s="193" t="s">
        <v>189</v>
      </c>
      <c r="G62" s="190"/>
      <c r="H62" s="191"/>
      <c r="I62" s="191"/>
      <c r="J62" s="192"/>
      <c r="K62" s="193" t="str">
        <f>K60</f>
        <v>Заказы</v>
      </c>
      <c r="L62" s="196"/>
      <c r="M62" s="191"/>
      <c r="N62" s="196"/>
      <c r="O62" s="192"/>
    </row>
    <row r="63" spans="1:15" s="178" customFormat="1" outlineLevel="1" x14ac:dyDescent="0.25">
      <c r="A63" s="246">
        <v>41506.983391203707</v>
      </c>
      <c r="B63" s="187" t="s">
        <v>100</v>
      </c>
      <c r="C63" s="256" t="str">
        <f>B62</f>
        <v>InsMyCol</v>
      </c>
      <c r="D63" s="187"/>
      <c r="E63" s="188" t="s">
        <v>172</v>
      </c>
      <c r="F63" s="180" t="s">
        <v>189</v>
      </c>
      <c r="G63" s="195"/>
      <c r="H63" s="195"/>
      <c r="I63" s="195"/>
      <c r="J63" s="257"/>
      <c r="K63" s="193" t="str">
        <f>K61</f>
        <v>Заказы</v>
      </c>
      <c r="L63" s="196" t="s">
        <v>31</v>
      </c>
      <c r="M63" s="191"/>
      <c r="N63" s="194" t="s">
        <v>79</v>
      </c>
      <c r="O63" s="192"/>
    </row>
    <row r="64" spans="1:15" s="212" customFormat="1" ht="15.75" outlineLevel="1" thickBot="1" x14ac:dyDescent="0.3">
      <c r="A64" s="250">
        <v>41506.983391203707</v>
      </c>
      <c r="B64" s="205" t="s">
        <v>32</v>
      </c>
      <c r="C64" s="251"/>
      <c r="D64" s="205"/>
      <c r="E64" s="206" t="s">
        <v>168</v>
      </c>
      <c r="F64" s="207"/>
      <c r="G64" s="208"/>
      <c r="H64" s="208"/>
      <c r="I64" s="208"/>
      <c r="J64" s="209"/>
      <c r="K64" s="210"/>
      <c r="L64" s="211"/>
      <c r="M64" s="208"/>
      <c r="N64" s="211"/>
      <c r="O64" s="209"/>
    </row>
    <row r="65" spans="1:16" s="178" customFormat="1" ht="16.5" thickTop="1" thickBot="1" x14ac:dyDescent="0.3">
      <c r="A65" s="176"/>
      <c r="B65" s="177" t="s">
        <v>167</v>
      </c>
      <c r="C65" s="176"/>
      <c r="E65" s="258" t="s">
        <v>65</v>
      </c>
      <c r="F65" s="180" t="s">
        <v>88</v>
      </c>
      <c r="G65" s="181"/>
      <c r="H65" s="181"/>
      <c r="I65" s="181"/>
      <c r="J65" s="182"/>
      <c r="K65" s="183" t="s">
        <v>82</v>
      </c>
      <c r="L65" s="181"/>
      <c r="M65" s="181"/>
      <c r="N65" s="181"/>
      <c r="O65" s="182"/>
    </row>
    <row r="66" spans="1:16" s="178" customFormat="1" ht="15.75" outlineLevel="1" thickTop="1" x14ac:dyDescent="0.25">
      <c r="A66" s="246"/>
      <c r="B66" s="187" t="s">
        <v>187</v>
      </c>
      <c r="C66" s="247" t="s">
        <v>66</v>
      </c>
      <c r="D66" s="187"/>
      <c r="E66" s="188" t="s">
        <v>172</v>
      </c>
      <c r="F66" s="255" t="s">
        <v>190</v>
      </c>
      <c r="G66" s="195"/>
      <c r="H66" s="191"/>
      <c r="I66" s="191"/>
      <c r="J66" s="192"/>
      <c r="K66" s="259" t="str">
        <f>K65</f>
        <v>Склад</v>
      </c>
      <c r="L66" s="196"/>
      <c r="M66" s="191"/>
      <c r="N66" s="196"/>
      <c r="O66" s="192"/>
    </row>
    <row r="67" spans="1:16" s="178" customFormat="1" outlineLevel="1" x14ac:dyDescent="0.25">
      <c r="A67" s="246"/>
      <c r="B67" s="187" t="s">
        <v>84</v>
      </c>
      <c r="C67" s="256" t="str">
        <f>B66</f>
        <v>RowDel</v>
      </c>
      <c r="D67" s="187"/>
      <c r="E67" s="188" t="s">
        <v>172</v>
      </c>
      <c r="F67" s="193" t="s">
        <v>191</v>
      </c>
      <c r="G67" s="195"/>
      <c r="H67" s="191"/>
      <c r="I67" s="191"/>
      <c r="J67" s="192"/>
      <c r="K67" s="193" t="str">
        <f>K65</f>
        <v>Склад</v>
      </c>
      <c r="L67" s="196"/>
      <c r="M67" s="191"/>
      <c r="N67" s="196"/>
      <c r="O67" s="192"/>
    </row>
    <row r="68" spans="1:16" s="178" customFormat="1" outlineLevel="1" x14ac:dyDescent="0.25">
      <c r="A68" s="246"/>
      <c r="B68" s="187" t="s">
        <v>192</v>
      </c>
      <c r="C68" s="260"/>
      <c r="D68" s="187"/>
      <c r="E68" s="188" t="s">
        <v>172</v>
      </c>
      <c r="F68" s="255" t="s">
        <v>168</v>
      </c>
      <c r="G68" s="195" t="s">
        <v>193</v>
      </c>
      <c r="H68" s="191"/>
      <c r="I68" s="191"/>
      <c r="J68" s="192"/>
      <c r="K68" s="193"/>
      <c r="L68" s="196"/>
      <c r="M68" s="191"/>
      <c r="N68" s="196"/>
      <c r="O68" s="192"/>
    </row>
    <row r="69" spans="1:16" s="178" customFormat="1" outlineLevel="1" x14ac:dyDescent="0.25">
      <c r="A69" s="246"/>
      <c r="B69" s="187" t="s">
        <v>100</v>
      </c>
      <c r="C69" s="256" t="str">
        <f>B67</f>
        <v>InsMyCol</v>
      </c>
      <c r="D69" s="187"/>
      <c r="E69" s="188" t="s">
        <v>172</v>
      </c>
      <c r="F69" s="180" t="str">
        <f>F67</f>
        <v>Stock_MyCol</v>
      </c>
      <c r="G69" s="195"/>
      <c r="H69" s="191"/>
      <c r="I69" s="191"/>
      <c r="J69" s="192"/>
      <c r="K69" s="193" t="str">
        <f>K65</f>
        <v>Склад</v>
      </c>
      <c r="L69" s="196" t="str">
        <f>L162</f>
        <v>Платежи</v>
      </c>
      <c r="M69" s="191"/>
      <c r="N69" s="194" t="s">
        <v>57</v>
      </c>
      <c r="O69" s="192"/>
    </row>
    <row r="70" spans="1:16" s="212" customFormat="1" ht="15.75" outlineLevel="1" thickBot="1" x14ac:dyDescent="0.3">
      <c r="A70" s="250"/>
      <c r="B70" s="205" t="s">
        <v>32</v>
      </c>
      <c r="C70" s="251"/>
      <c r="D70" s="205"/>
      <c r="E70" s="206" t="s">
        <v>172</v>
      </c>
      <c r="F70" s="207"/>
      <c r="G70" s="208"/>
      <c r="H70" s="208"/>
      <c r="I70" s="208"/>
      <c r="J70" s="209"/>
      <c r="K70" s="210"/>
      <c r="L70" s="211"/>
      <c r="M70" s="208"/>
      <c r="N70" s="211"/>
      <c r="O70" s="209"/>
    </row>
    <row r="71" spans="1:16" s="178" customFormat="1" ht="16.5" thickTop="1" thickBot="1" x14ac:dyDescent="0.3">
      <c r="A71" s="933"/>
      <c r="B71" s="934" t="s">
        <v>167</v>
      </c>
      <c r="C71" s="935"/>
      <c r="D71" s="238"/>
      <c r="E71" s="258" t="s">
        <v>65</v>
      </c>
      <c r="F71" s="240" t="s">
        <v>194</v>
      </c>
      <c r="G71" s="238"/>
      <c r="H71" s="238"/>
      <c r="I71" s="238"/>
      <c r="J71" s="241"/>
      <c r="K71" s="261" t="s">
        <v>31</v>
      </c>
      <c r="L71" s="243"/>
      <c r="M71" s="238"/>
      <c r="N71" s="243"/>
      <c r="O71" s="241"/>
      <c r="P71" s="869"/>
    </row>
    <row r="72" spans="1:16" ht="15.75" thickTop="1" x14ac:dyDescent="0.25">
      <c r="A72" s="184">
        <v>41540.494525462964</v>
      </c>
      <c r="B72" s="185" t="s">
        <v>181</v>
      </c>
      <c r="C72" s="186"/>
      <c r="D72" s="199"/>
      <c r="E72" s="188" t="s">
        <v>168</v>
      </c>
      <c r="F72" s="193" t="str">
        <f>F15</f>
        <v>LOAD_1C_P</v>
      </c>
      <c r="G72" s="196"/>
      <c r="H72" s="203"/>
      <c r="I72" s="203"/>
      <c r="J72" s="204"/>
      <c r="K72" s="193" t="str">
        <f>K71</f>
        <v>Платежи</v>
      </c>
      <c r="L72" s="194" t="str">
        <f>TOCmatch!B14</f>
        <v>SF</v>
      </c>
      <c r="O72" s="204"/>
      <c r="P72" s="870"/>
    </row>
    <row r="73" spans="1:16" x14ac:dyDescent="0.25">
      <c r="A73" s="246"/>
      <c r="B73" s="902" t="s">
        <v>1214</v>
      </c>
      <c r="C73" s="256"/>
      <c r="D73" s="199"/>
      <c r="E73" s="188" t="s">
        <v>172</v>
      </c>
      <c r="F73" s="193"/>
      <c r="G73" s="196"/>
      <c r="H73" s="203"/>
      <c r="I73" s="203"/>
      <c r="J73" s="244"/>
      <c r="K73" s="245" t="s">
        <v>31</v>
      </c>
      <c r="L73" s="194" t="str">
        <f>TOCmatch!B15</f>
        <v>SFD</v>
      </c>
      <c r="M73" s="194" t="str">
        <f>TOCmatch!B16</f>
        <v>SFopp</v>
      </c>
      <c r="N73" s="203" t="str">
        <f>TOCmatch!B10</f>
        <v>Договоры</v>
      </c>
      <c r="O73" s="244"/>
      <c r="P73" s="874"/>
    </row>
    <row r="74" spans="1:16" s="178" customFormat="1" x14ac:dyDescent="0.25">
      <c r="A74" s="246"/>
      <c r="B74" s="249" t="s">
        <v>135</v>
      </c>
      <c r="C74" s="269" t="str">
        <f>B73</f>
        <v>Paid1C</v>
      </c>
      <c r="D74" s="187"/>
      <c r="E74" s="188" t="s">
        <v>172</v>
      </c>
      <c r="F74" s="276" t="str">
        <f>TOCmatch!B46</f>
        <v>NewContract</v>
      </c>
      <c r="G74" s="196" t="s">
        <v>202</v>
      </c>
      <c r="H74" s="203" t="s">
        <v>210</v>
      </c>
      <c r="I74" s="203" t="s">
        <v>211</v>
      </c>
      <c r="J74" s="192"/>
      <c r="K74" s="268" t="str">
        <f>F74</f>
        <v>NewContract</v>
      </c>
      <c r="M74" s="191"/>
      <c r="N74" s="196"/>
      <c r="O74" s="192"/>
      <c r="P74" s="870"/>
    </row>
    <row r="75" spans="1:16" x14ac:dyDescent="0.25">
      <c r="A75" s="246"/>
      <c r="B75" s="249" t="s">
        <v>135</v>
      </c>
      <c r="C75" s="256" t="str">
        <f>B73</f>
        <v>Paid1C</v>
      </c>
      <c r="D75" s="199"/>
      <c r="E75" s="224" t="s">
        <v>172</v>
      </c>
      <c r="F75" s="276" t="str">
        <f>TOCmatch!B45</f>
        <v>NewPayment</v>
      </c>
      <c r="G75" s="196" t="s">
        <v>202</v>
      </c>
      <c r="H75" s="203" t="s">
        <v>203</v>
      </c>
      <c r="I75" s="203" t="s">
        <v>204</v>
      </c>
      <c r="J75" s="192"/>
      <c r="K75" s="268" t="str">
        <f>F75</f>
        <v>NewPayment</v>
      </c>
      <c r="L75" s="203"/>
      <c r="M75" s="203"/>
      <c r="N75" s="203"/>
      <c r="O75" s="244"/>
      <c r="P75" s="870"/>
    </row>
    <row r="76" spans="1:16" x14ac:dyDescent="0.25">
      <c r="A76" s="246"/>
      <c r="B76" s="249" t="s">
        <v>135</v>
      </c>
      <c r="C76" s="256" t="str">
        <f>B73</f>
        <v>Paid1C</v>
      </c>
      <c r="D76" s="199"/>
      <c r="E76" s="224" t="s">
        <v>172</v>
      </c>
      <c r="F76" s="276" t="str">
        <f>TOCmatch!B47</f>
        <v>NewOpp</v>
      </c>
      <c r="G76" s="196" t="s">
        <v>202</v>
      </c>
      <c r="H76" s="896" t="s">
        <v>217</v>
      </c>
      <c r="I76" s="896" t="s">
        <v>218</v>
      </c>
      <c r="J76" s="192"/>
      <c r="K76" s="268" t="str">
        <f>F76</f>
        <v>NewOpp</v>
      </c>
      <c r="L76" s="203"/>
      <c r="M76" s="203"/>
      <c r="N76" s="203"/>
      <c r="O76" s="244"/>
      <c r="P76" s="870"/>
    </row>
    <row r="77" spans="1:16" x14ac:dyDescent="0.25">
      <c r="A77" s="246"/>
      <c r="B77" s="249" t="s">
        <v>135</v>
      </c>
      <c r="C77" s="256" t="str">
        <f>B73</f>
        <v>Paid1C</v>
      </c>
      <c r="D77" s="199"/>
      <c r="E77" s="224" t="s">
        <v>172</v>
      </c>
      <c r="F77" s="276" t="str">
        <f>TOCmatch!B50</f>
        <v>ContractUpdate</v>
      </c>
      <c r="G77" s="196" t="s">
        <v>202</v>
      </c>
      <c r="H77" s="896" t="s">
        <v>1241</v>
      </c>
      <c r="I77" s="896" t="s">
        <v>1242</v>
      </c>
      <c r="J77" s="192"/>
      <c r="K77" s="268" t="str">
        <f>F77</f>
        <v>ContractUpdate</v>
      </c>
      <c r="L77" s="203"/>
      <c r="M77" s="203"/>
      <c r="N77" s="203"/>
      <c r="O77" s="244"/>
      <c r="P77" s="870"/>
    </row>
    <row r="78" spans="1:16" s="212" customFormat="1" ht="15.75" thickBot="1" x14ac:dyDescent="0.3">
      <c r="A78" s="250"/>
      <c r="B78" s="205" t="s">
        <v>32</v>
      </c>
      <c r="C78" s="251">
        <v>11</v>
      </c>
      <c r="D78" s="205"/>
      <c r="E78" s="206" t="s">
        <v>172</v>
      </c>
      <c r="F78" s="207"/>
      <c r="G78" s="208"/>
      <c r="H78" s="208"/>
      <c r="I78" s="208"/>
      <c r="J78" s="209"/>
      <c r="K78" s="210"/>
      <c r="L78" s="211"/>
      <c r="M78" s="208"/>
      <c r="N78" s="211"/>
      <c r="O78" s="209"/>
      <c r="P78" s="871"/>
    </row>
    <row r="79" spans="1:16" s="178" customFormat="1" ht="16.5" thickTop="1" thickBot="1" x14ac:dyDescent="0.3">
      <c r="A79" s="246"/>
      <c r="B79" s="187" t="s">
        <v>167</v>
      </c>
      <c r="C79" s="264"/>
      <c r="D79" s="265"/>
      <c r="E79" s="258" t="s">
        <v>65</v>
      </c>
      <c r="F79" s="946" t="s">
        <v>1257</v>
      </c>
      <c r="G79" s="191"/>
      <c r="H79" s="191"/>
      <c r="I79" s="191"/>
      <c r="J79" s="192"/>
      <c r="K79" s="183" t="s">
        <v>31</v>
      </c>
      <c r="L79" s="196"/>
      <c r="M79" s="191"/>
      <c r="N79" s="196"/>
      <c r="O79" s="192"/>
    </row>
    <row r="80" spans="1:16" s="178" customFormat="1" ht="15.75" thickTop="1" x14ac:dyDescent="0.25">
      <c r="A80" s="246"/>
      <c r="B80" s="187" t="s">
        <v>192</v>
      </c>
      <c r="C80" s="260"/>
      <c r="D80" s="187"/>
      <c r="E80" s="188" t="s">
        <v>172</v>
      </c>
      <c r="F80" s="255" t="s">
        <v>168</v>
      </c>
      <c r="G80" s="195"/>
      <c r="H80" s="191"/>
      <c r="I80" s="191"/>
      <c r="J80" s="192"/>
      <c r="K80" s="193"/>
      <c r="L80" s="196"/>
      <c r="M80" s="191"/>
      <c r="N80" s="196"/>
      <c r="O80" s="192"/>
    </row>
    <row r="81" spans="1:16" s="178" customFormat="1" x14ac:dyDescent="0.25">
      <c r="A81" s="246"/>
      <c r="B81" s="187" t="s">
        <v>200</v>
      </c>
      <c r="C81" s="264"/>
      <c r="D81" s="265"/>
      <c r="E81" s="188" t="s">
        <v>172</v>
      </c>
      <c r="F81" s="268" t="s">
        <v>134</v>
      </c>
      <c r="G81" s="191"/>
      <c r="H81" s="191"/>
      <c r="I81" s="191"/>
      <c r="J81" s="192"/>
      <c r="K81" s="268" t="str">
        <f>F81</f>
        <v>NewPayment</v>
      </c>
      <c r="L81" s="196"/>
      <c r="M81" s="191"/>
      <c r="N81" s="196"/>
      <c r="O81" s="192"/>
    </row>
    <row r="82" spans="1:16" s="178" customFormat="1" x14ac:dyDescent="0.25">
      <c r="A82" s="246"/>
      <c r="B82" s="187" t="s">
        <v>201</v>
      </c>
      <c r="C82" s="269" t="str">
        <f>B81</f>
        <v>NewSheet</v>
      </c>
      <c r="D82" s="187"/>
      <c r="E82" s="188" t="s">
        <v>172</v>
      </c>
      <c r="F82" s="255"/>
      <c r="G82" s="195"/>
      <c r="H82" s="191"/>
      <c r="I82" s="191"/>
      <c r="J82" s="192"/>
      <c r="K82" s="193" t="str">
        <f>K79</f>
        <v>Платежи</v>
      </c>
      <c r="L82" s="194" t="s">
        <v>64</v>
      </c>
      <c r="M82" s="191"/>
      <c r="N82" s="196"/>
      <c r="O82" s="192"/>
    </row>
    <row r="83" spans="1:16" s="178" customFormat="1" x14ac:dyDescent="0.25">
      <c r="A83" s="246"/>
      <c r="B83" s="249" t="s">
        <v>135</v>
      </c>
      <c r="C83" s="269" t="str">
        <f>B82</f>
        <v>NewPaidOpp</v>
      </c>
      <c r="D83" s="187"/>
      <c r="E83" s="188" t="s">
        <v>172</v>
      </c>
      <c r="F83" s="268" t="s">
        <v>134</v>
      </c>
      <c r="G83" s="196" t="s">
        <v>202</v>
      </c>
      <c r="H83" s="203" t="s">
        <v>203</v>
      </c>
      <c r="I83" s="203" t="s">
        <v>204</v>
      </c>
      <c r="J83" s="192"/>
      <c r="K83" s="193"/>
      <c r="L83" s="196"/>
      <c r="M83" s="191"/>
      <c r="N83" s="196"/>
      <c r="O83" s="192"/>
    </row>
    <row r="84" spans="1:16" s="212" customFormat="1" ht="15.75" thickBot="1" x14ac:dyDescent="0.3">
      <c r="A84" s="250"/>
      <c r="B84" s="205" t="s">
        <v>32</v>
      </c>
      <c r="C84" s="251">
        <v>224</v>
      </c>
      <c r="D84" s="205"/>
      <c r="E84" s="206" t="s">
        <v>172</v>
      </c>
      <c r="F84" s="207"/>
      <c r="G84" s="208"/>
      <c r="H84" s="208"/>
      <c r="I84" s="208"/>
      <c r="J84" s="209"/>
      <c r="K84" s="210"/>
      <c r="L84" s="211"/>
      <c r="M84" s="208"/>
      <c r="N84" s="211"/>
      <c r="O84" s="209"/>
    </row>
    <row r="85" spans="1:16" s="178" customFormat="1" ht="16.5" thickTop="1" thickBot="1" x14ac:dyDescent="0.3">
      <c r="A85" s="246"/>
      <c r="B85" s="187" t="s">
        <v>167</v>
      </c>
      <c r="C85" s="264"/>
      <c r="D85" s="265"/>
      <c r="E85" s="258" t="s">
        <v>65</v>
      </c>
      <c r="F85" s="266" t="s">
        <v>199</v>
      </c>
      <c r="G85" s="191"/>
      <c r="H85" s="191"/>
      <c r="I85" s="191"/>
      <c r="J85" s="192"/>
      <c r="K85" s="183" t="s">
        <v>31</v>
      </c>
      <c r="L85" s="196"/>
      <c r="M85" s="191"/>
      <c r="N85" s="196"/>
      <c r="O85" s="192"/>
    </row>
    <row r="86" spans="1:16" s="178" customFormat="1" ht="15.75" thickTop="1" x14ac:dyDescent="0.25">
      <c r="A86" s="246"/>
      <c r="B86" s="187" t="s">
        <v>192</v>
      </c>
      <c r="C86" s="260"/>
      <c r="D86" s="187"/>
      <c r="E86" s="188" t="s">
        <v>172</v>
      </c>
      <c r="F86" s="255" t="s">
        <v>168</v>
      </c>
      <c r="G86" s="195"/>
      <c r="H86" s="191"/>
      <c r="I86" s="191"/>
      <c r="J86" s="192"/>
      <c r="K86" s="193"/>
      <c r="L86" s="196"/>
      <c r="M86" s="191"/>
      <c r="N86" s="196"/>
      <c r="O86" s="192"/>
    </row>
    <row r="87" spans="1:16" s="178" customFormat="1" x14ac:dyDescent="0.25">
      <c r="A87" s="246"/>
      <c r="B87" s="187" t="s">
        <v>200</v>
      </c>
      <c r="C87" s="264"/>
      <c r="D87" s="265"/>
      <c r="E87" s="188" t="s">
        <v>172</v>
      </c>
      <c r="F87" s="268" t="s">
        <v>134</v>
      </c>
      <c r="G87" s="191"/>
      <c r="H87" s="191"/>
      <c r="I87" s="191"/>
      <c r="J87" s="192"/>
      <c r="K87" s="268" t="str">
        <f>F87</f>
        <v>NewPayment</v>
      </c>
      <c r="L87" s="196"/>
      <c r="M87" s="191"/>
      <c r="N87" s="196"/>
      <c r="O87" s="192"/>
    </row>
    <row r="88" spans="1:16" s="178" customFormat="1" x14ac:dyDescent="0.25">
      <c r="A88" s="246"/>
      <c r="B88" s="187" t="s">
        <v>201</v>
      </c>
      <c r="C88" s="269" t="str">
        <f>B87</f>
        <v>NewSheet</v>
      </c>
      <c r="D88" s="187"/>
      <c r="E88" s="188" t="s">
        <v>172</v>
      </c>
      <c r="F88" s="255"/>
      <c r="G88" s="195"/>
      <c r="H88" s="191"/>
      <c r="I88" s="191"/>
      <c r="J88" s="192"/>
      <c r="K88" s="193" t="str">
        <f>K85</f>
        <v>Платежи</v>
      </c>
      <c r="L88" s="194" t="s">
        <v>64</v>
      </c>
      <c r="M88" s="191"/>
      <c r="N88" s="196"/>
      <c r="O88" s="192"/>
    </row>
    <row r="89" spans="1:16" s="178" customFormat="1" x14ac:dyDescent="0.25">
      <c r="A89" s="246"/>
      <c r="B89" s="249" t="s">
        <v>135</v>
      </c>
      <c r="C89" s="269" t="str">
        <f>B88</f>
        <v>NewPaidOpp</v>
      </c>
      <c r="D89" s="187"/>
      <c r="E89" s="188" t="s">
        <v>172</v>
      </c>
      <c r="F89" s="268" t="s">
        <v>134</v>
      </c>
      <c r="G89" s="196" t="s">
        <v>202</v>
      </c>
      <c r="H89" s="203" t="s">
        <v>203</v>
      </c>
      <c r="I89" s="203" t="s">
        <v>204</v>
      </c>
      <c r="J89" s="192"/>
      <c r="K89" s="193"/>
      <c r="L89" s="196"/>
      <c r="M89" s="191"/>
      <c r="N89" s="196"/>
      <c r="O89" s="192"/>
    </row>
    <row r="90" spans="1:16" s="212" customFormat="1" ht="15.75" thickBot="1" x14ac:dyDescent="0.3">
      <c r="A90" s="250"/>
      <c r="B90" s="205" t="s">
        <v>32</v>
      </c>
      <c r="C90" s="251">
        <v>224</v>
      </c>
      <c r="D90" s="205"/>
      <c r="E90" s="206" t="s">
        <v>172</v>
      </c>
      <c r="F90" s="207"/>
      <c r="G90" s="208"/>
      <c r="H90" s="208"/>
      <c r="I90" s="208"/>
      <c r="J90" s="209"/>
      <c r="K90" s="210"/>
      <c r="L90" s="211"/>
      <c r="M90" s="208"/>
      <c r="N90" s="211"/>
      <c r="O90" s="209"/>
    </row>
    <row r="91" spans="1:16" s="178" customFormat="1" ht="16.5" thickTop="1" thickBot="1" x14ac:dyDescent="0.3">
      <c r="A91" s="184"/>
      <c r="B91" s="185" t="s">
        <v>167</v>
      </c>
      <c r="C91" s="267"/>
      <c r="D91" s="265"/>
      <c r="E91" s="258" t="s">
        <v>65</v>
      </c>
      <c r="F91" s="266" t="s">
        <v>205</v>
      </c>
      <c r="G91" s="191"/>
      <c r="H91" s="191"/>
      <c r="I91" s="191"/>
      <c r="J91" s="192"/>
      <c r="K91" s="183" t="s">
        <v>31</v>
      </c>
      <c r="L91" s="196"/>
      <c r="M91" s="191"/>
      <c r="N91" s="196"/>
      <c r="O91" s="192"/>
      <c r="P91" s="270"/>
    </row>
    <row r="92" spans="1:16" s="178" customFormat="1" ht="15.75" thickTop="1" x14ac:dyDescent="0.25">
      <c r="A92" s="246">
        <v>41506.038622685184</v>
      </c>
      <c r="B92" s="187" t="s">
        <v>100</v>
      </c>
      <c r="C92" s="271" t="str">
        <f>F15&amp;"/"&amp;B19</f>
        <v>LOAD_1C_P/PaymentPaint</v>
      </c>
      <c r="D92" s="187"/>
      <c r="E92" s="188" t="s">
        <v>172</v>
      </c>
      <c r="F92" s="863" t="s">
        <v>206</v>
      </c>
      <c r="G92" s="272" t="str">
        <f>K92</f>
        <v>Платежи</v>
      </c>
      <c r="H92" s="273" t="str">
        <f>F93</f>
        <v>NewPayment</v>
      </c>
      <c r="I92" s="191"/>
      <c r="J92" s="192"/>
      <c r="K92" s="193" t="str">
        <f>K91</f>
        <v>Платежи</v>
      </c>
      <c r="L92" s="194" t="s">
        <v>64</v>
      </c>
      <c r="N92" s="196"/>
      <c r="O92" s="192"/>
      <c r="P92" s="270"/>
    </row>
    <row r="93" spans="1:16" s="178" customFormat="1" x14ac:dyDescent="0.25">
      <c r="A93" s="246">
        <v>41506.038622685184</v>
      </c>
      <c r="B93" s="249" t="s">
        <v>135</v>
      </c>
      <c r="C93" s="269" t="str">
        <f>B92</f>
        <v>Adapt</v>
      </c>
      <c r="D93" s="187"/>
      <c r="E93" s="188" t="s">
        <v>172</v>
      </c>
      <c r="F93" s="268" t="s">
        <v>134</v>
      </c>
      <c r="G93" s="196" t="s">
        <v>202</v>
      </c>
      <c r="H93" s="203" t="s">
        <v>203</v>
      </c>
      <c r="I93" s="203" t="s">
        <v>204</v>
      </c>
      <c r="J93" s="192"/>
      <c r="K93" s="268" t="str">
        <f>F93</f>
        <v>NewPayment</v>
      </c>
      <c r="M93" s="191"/>
      <c r="N93" s="196"/>
      <c r="O93" s="192"/>
      <c r="P93" s="270"/>
    </row>
    <row r="94" spans="1:16" s="212" customFormat="1" ht="15.75" thickBot="1" x14ac:dyDescent="0.3">
      <c r="A94" s="250">
        <v>41506.038634259261</v>
      </c>
      <c r="B94" s="205" t="s">
        <v>32</v>
      </c>
      <c r="C94" s="274">
        <v>67</v>
      </c>
      <c r="D94" s="205"/>
      <c r="E94" s="200" t="s">
        <v>168</v>
      </c>
      <c r="F94" s="207"/>
      <c r="G94" s="208"/>
      <c r="H94" s="208"/>
      <c r="I94" s="208"/>
      <c r="J94" s="209"/>
      <c r="K94" s="210"/>
      <c r="L94" s="211"/>
      <c r="M94" s="208"/>
      <c r="N94" s="211"/>
      <c r="O94" s="209"/>
      <c r="P94" s="275"/>
    </row>
    <row r="95" spans="1:16" s="178" customFormat="1" ht="16.5" thickTop="1" thickBot="1" x14ac:dyDescent="0.3">
      <c r="A95" s="246"/>
      <c r="B95" s="187" t="s">
        <v>167</v>
      </c>
      <c r="C95" s="264"/>
      <c r="D95" s="265"/>
      <c r="E95" s="258" t="s">
        <v>65</v>
      </c>
      <c r="F95" s="266" t="s">
        <v>207</v>
      </c>
      <c r="G95" s="191"/>
      <c r="H95" s="191"/>
      <c r="I95" s="191"/>
      <c r="J95" s="192"/>
      <c r="K95" s="183" t="s">
        <v>31</v>
      </c>
      <c r="L95" s="196"/>
      <c r="M95" s="191"/>
      <c r="N95" s="196"/>
      <c r="O95" s="192"/>
    </row>
    <row r="96" spans="1:16" s="178" customFormat="1" ht="15.75" thickTop="1" x14ac:dyDescent="0.25">
      <c r="A96" s="246">
        <v>41522.105624999997</v>
      </c>
      <c r="B96" s="876" t="s">
        <v>208</v>
      </c>
      <c r="C96" s="271" t="str">
        <f>F15&amp;"/"&amp;B19</f>
        <v>LOAD_1C_P/PaymentPaint</v>
      </c>
      <c r="D96" s="187"/>
      <c r="E96" s="188" t="s">
        <v>172</v>
      </c>
      <c r="F96" s="268" t="s">
        <v>134</v>
      </c>
      <c r="G96" s="195"/>
      <c r="H96" s="191"/>
      <c r="I96" s="191"/>
      <c r="J96" s="192"/>
      <c r="K96" s="193" t="str">
        <f>K95</f>
        <v>Платежи</v>
      </c>
      <c r="L96" s="194" t="s">
        <v>62</v>
      </c>
      <c r="M96" s="194" t="s">
        <v>64</v>
      </c>
      <c r="N96" s="196"/>
      <c r="O96" s="192"/>
    </row>
    <row r="97" spans="1:16" s="178" customFormat="1" x14ac:dyDescent="0.25">
      <c r="A97" s="246">
        <v>41522.105636574073</v>
      </c>
      <c r="B97" s="249" t="s">
        <v>135</v>
      </c>
      <c r="C97" s="269" t="str">
        <f>B96</f>
        <v>PaidContr</v>
      </c>
      <c r="D97" s="187"/>
      <c r="E97" s="188" t="s">
        <v>172</v>
      </c>
      <c r="F97" s="276" t="str">
        <f>F96</f>
        <v>NewPayment</v>
      </c>
      <c r="G97" s="196" t="s">
        <v>202</v>
      </c>
      <c r="H97" s="203" t="s">
        <v>203</v>
      </c>
      <c r="I97" s="203" t="s">
        <v>204</v>
      </c>
      <c r="J97" s="192"/>
      <c r="K97" s="268" t="str">
        <f>F97</f>
        <v>NewPayment</v>
      </c>
      <c r="M97" s="191"/>
      <c r="N97" s="196"/>
      <c r="O97" s="192"/>
    </row>
    <row r="98" spans="1:16" s="212" customFormat="1" ht="15.75" thickBot="1" x14ac:dyDescent="0.3">
      <c r="A98" s="250"/>
      <c r="B98" s="205" t="s">
        <v>32</v>
      </c>
      <c r="C98" s="274">
        <v>0</v>
      </c>
      <c r="D98" s="205"/>
      <c r="E98" s="200" t="s">
        <v>172</v>
      </c>
      <c r="F98" s="207"/>
      <c r="G98" s="208"/>
      <c r="H98" s="208"/>
      <c r="I98" s="208"/>
      <c r="J98" s="209"/>
      <c r="K98" s="210"/>
      <c r="L98" s="211"/>
      <c r="M98" s="208"/>
      <c r="N98" s="211"/>
      <c r="O98" s="209"/>
    </row>
    <row r="99" spans="1:16" s="178" customFormat="1" ht="16.5" thickTop="1" thickBot="1" x14ac:dyDescent="0.3">
      <c r="A99" s="246"/>
      <c r="B99" s="187" t="s">
        <v>167</v>
      </c>
      <c r="C99" s="264"/>
      <c r="D99" s="265"/>
      <c r="E99" s="258" t="s">
        <v>65</v>
      </c>
      <c r="F99" s="277" t="s">
        <v>209</v>
      </c>
      <c r="G99" s="191"/>
      <c r="H99" s="191"/>
      <c r="I99" s="191"/>
      <c r="J99" s="192"/>
      <c r="K99" s="183" t="str">
        <f>K24</f>
        <v>Договоры</v>
      </c>
      <c r="L99" s="196"/>
      <c r="M99" s="191"/>
      <c r="N99" s="196"/>
      <c r="O99" s="192"/>
    </row>
    <row r="100" spans="1:16" s="178" customFormat="1" ht="15.75" thickTop="1" x14ac:dyDescent="0.25">
      <c r="A100" s="246">
        <v>41538.042337962965</v>
      </c>
      <c r="B100" s="187" t="s">
        <v>42</v>
      </c>
      <c r="C100" s="271" t="str">
        <f>F24&amp;"/"&amp;B25</f>
        <v>LOAD_1C_DOG/InsMyCol</v>
      </c>
      <c r="D100" s="187"/>
      <c r="E100" s="188" t="s">
        <v>172</v>
      </c>
      <c r="F100" s="268" t="s">
        <v>137</v>
      </c>
      <c r="G100" s="195"/>
      <c r="H100" s="191"/>
      <c r="I100" s="191"/>
      <c r="J100" s="192"/>
      <c r="K100" s="193" t="str">
        <f>K99</f>
        <v>Договоры</v>
      </c>
      <c r="L100" s="194" t="s">
        <v>62</v>
      </c>
      <c r="M100" s="194" t="s">
        <v>68</v>
      </c>
      <c r="N100" s="196"/>
      <c r="O100" s="192"/>
    </row>
    <row r="101" spans="1:16" s="178" customFormat="1" x14ac:dyDescent="0.25">
      <c r="A101" s="246">
        <v>41538.042349537034</v>
      </c>
      <c r="B101" s="249" t="s">
        <v>135</v>
      </c>
      <c r="C101" s="269" t="str">
        <f>B100</f>
        <v>NewContr</v>
      </c>
      <c r="D101" s="187"/>
      <c r="E101" s="188" t="s">
        <v>172</v>
      </c>
      <c r="F101" s="276" t="str">
        <f>F100</f>
        <v>NewContract</v>
      </c>
      <c r="G101" s="196" t="s">
        <v>202</v>
      </c>
      <c r="H101" s="203" t="s">
        <v>210</v>
      </c>
      <c r="I101" s="203" t="s">
        <v>211</v>
      </c>
      <c r="J101" s="192"/>
      <c r="K101" s="268" t="str">
        <f>F101</f>
        <v>NewContract</v>
      </c>
      <c r="M101" s="191"/>
      <c r="N101" s="196"/>
      <c r="O101" s="192"/>
    </row>
    <row r="102" spans="1:16" s="212" customFormat="1" ht="15.75" thickBot="1" x14ac:dyDescent="0.3">
      <c r="A102" s="250"/>
      <c r="B102" s="205" t="s">
        <v>32</v>
      </c>
      <c r="C102" s="274">
        <v>41</v>
      </c>
      <c r="D102" s="205"/>
      <c r="E102" s="206" t="s">
        <v>172</v>
      </c>
      <c r="F102" s="207"/>
      <c r="G102" s="208"/>
      <c r="H102" s="208"/>
      <c r="I102" s="208"/>
      <c r="J102" s="209"/>
      <c r="K102" s="210"/>
      <c r="L102" s="211"/>
      <c r="M102" s="208"/>
      <c r="N102" s="211"/>
      <c r="O102" s="209"/>
    </row>
    <row r="103" spans="1:16" s="178" customFormat="1" ht="16.5" thickTop="1" thickBot="1" x14ac:dyDescent="0.3">
      <c r="A103" s="246"/>
      <c r="B103" s="187" t="s">
        <v>167</v>
      </c>
      <c r="C103" s="264"/>
      <c r="D103" s="265"/>
      <c r="E103" s="258" t="s">
        <v>65</v>
      </c>
      <c r="F103" s="277" t="s">
        <v>212</v>
      </c>
      <c r="G103" s="191"/>
      <c r="H103" s="191"/>
      <c r="I103" s="191"/>
      <c r="J103" s="192"/>
      <c r="K103" s="183" t="s">
        <v>99</v>
      </c>
      <c r="L103" s="196"/>
      <c r="M103" s="191"/>
      <c r="N103" s="196"/>
      <c r="O103" s="192"/>
      <c r="P103" s="279"/>
    </row>
    <row r="104" spans="1:16" s="178" customFormat="1" ht="15.75" thickTop="1" x14ac:dyDescent="0.25">
      <c r="A104" s="246">
        <v>41430.738321759258</v>
      </c>
      <c r="B104" s="187" t="s">
        <v>142</v>
      </c>
      <c r="C104" s="271" t="str">
        <f>F60&amp;"/"&amp;B63</f>
        <v>LOAD_Order/Adapt</v>
      </c>
      <c r="D104" s="187"/>
      <c r="E104" s="188" t="s">
        <v>172</v>
      </c>
      <c r="F104" s="268" t="s">
        <v>142</v>
      </c>
      <c r="G104" s="195"/>
      <c r="H104" s="191"/>
      <c r="I104" s="191"/>
      <c r="J104" s="192"/>
      <c r="K104" s="193" t="str">
        <f>K103</f>
        <v>Заказы</v>
      </c>
      <c r="L104" s="24" t="s">
        <v>31</v>
      </c>
      <c r="M104" s="194" t="s">
        <v>79</v>
      </c>
      <c r="N104" s="194" t="s">
        <v>57</v>
      </c>
      <c r="O104" s="192"/>
      <c r="P104" s="279"/>
    </row>
    <row r="105" spans="1:16" s="178" customFormat="1" x14ac:dyDescent="0.25">
      <c r="A105" s="246">
        <v>41430.738321759258</v>
      </c>
      <c r="B105" s="249" t="s">
        <v>135</v>
      </c>
      <c r="C105" s="269" t="str">
        <f>B104</f>
        <v>NewOrder</v>
      </c>
      <c r="D105" s="187"/>
      <c r="E105" s="188" t="s">
        <v>172</v>
      </c>
      <c r="F105" s="276" t="str">
        <f>F104</f>
        <v>NewOrder</v>
      </c>
      <c r="G105" s="196" t="s">
        <v>202</v>
      </c>
      <c r="H105" s="203" t="s">
        <v>213</v>
      </c>
      <c r="I105" s="203" t="s">
        <v>214</v>
      </c>
      <c r="J105" s="192"/>
      <c r="K105" s="268" t="str">
        <f>F105</f>
        <v>NewOrder</v>
      </c>
      <c r="M105" s="191"/>
      <c r="N105" s="196"/>
      <c r="O105" s="192"/>
      <c r="P105" s="279"/>
    </row>
    <row r="106" spans="1:16" s="212" customFormat="1" ht="15.75" thickBot="1" x14ac:dyDescent="0.3">
      <c r="A106" s="250"/>
      <c r="B106" s="205" t="s">
        <v>32</v>
      </c>
      <c r="C106" s="274">
        <v>0</v>
      </c>
      <c r="D106" s="205"/>
      <c r="E106" s="206" t="s">
        <v>172</v>
      </c>
      <c r="F106" s="207"/>
      <c r="G106" s="208"/>
      <c r="H106" s="208"/>
      <c r="I106" s="208"/>
      <c r="J106" s="209"/>
      <c r="K106" s="210"/>
      <c r="L106" s="211"/>
      <c r="M106" s="208"/>
      <c r="N106" s="211"/>
      <c r="O106" s="209"/>
      <c r="P106" s="280"/>
    </row>
    <row r="107" spans="1:16" s="178" customFormat="1" ht="16.5" thickTop="1" thickBot="1" x14ac:dyDescent="0.3">
      <c r="A107" s="246"/>
      <c r="B107" s="187" t="s">
        <v>167</v>
      </c>
      <c r="C107" s="264"/>
      <c r="D107" s="265"/>
      <c r="E107" s="258" t="s">
        <v>65</v>
      </c>
      <c r="F107" s="277" t="s">
        <v>215</v>
      </c>
      <c r="G107" s="191"/>
      <c r="H107" s="191"/>
      <c r="I107" s="191"/>
      <c r="J107" s="192"/>
      <c r="K107" s="183" t="s">
        <v>31</v>
      </c>
      <c r="L107" s="196"/>
      <c r="M107" s="191"/>
      <c r="N107" s="196"/>
      <c r="O107" s="192"/>
      <c r="P107" s="281"/>
    </row>
    <row r="108" spans="1:16" s="178" customFormat="1" ht="30.75" thickTop="1" x14ac:dyDescent="0.25">
      <c r="A108" s="246">
        <v>41344.979027777779</v>
      </c>
      <c r="B108" s="187" t="s">
        <v>100</v>
      </c>
      <c r="C108" s="282" t="str">
        <f>F99&amp;"/"&amp;B101</f>
        <v>HANDL_NewContract/WrCSV</v>
      </c>
      <c r="D108" s="187"/>
      <c r="E108" s="188" t="s">
        <v>172</v>
      </c>
      <c r="F108" s="283" t="s">
        <v>216</v>
      </c>
      <c r="G108" s="269" t="s">
        <v>31</v>
      </c>
      <c r="H108" s="284" t="str">
        <f>F109</f>
        <v>NewOpp</v>
      </c>
      <c r="I108" s="191"/>
      <c r="J108" s="192"/>
      <c r="K108" s="268" t="s">
        <v>139</v>
      </c>
      <c r="L108" s="196" t="s">
        <v>31</v>
      </c>
      <c r="M108" s="194" t="s">
        <v>62</v>
      </c>
      <c r="N108" s="194" t="s">
        <v>64</v>
      </c>
      <c r="O108" s="192"/>
      <c r="P108" s="281"/>
    </row>
    <row r="109" spans="1:16" s="178" customFormat="1" x14ac:dyDescent="0.25">
      <c r="A109" s="246">
        <v>41344.938113425924</v>
      </c>
      <c r="B109" s="249" t="s">
        <v>135</v>
      </c>
      <c r="C109" s="269" t="str">
        <f>B108</f>
        <v>Adapt</v>
      </c>
      <c r="D109" s="187"/>
      <c r="E109" s="188" t="s">
        <v>172</v>
      </c>
      <c r="F109" s="276" t="str">
        <f>K108</f>
        <v>NewOpp</v>
      </c>
      <c r="G109" s="196" t="s">
        <v>202</v>
      </c>
      <c r="H109" s="203" t="s">
        <v>217</v>
      </c>
      <c r="I109" s="203" t="s">
        <v>218</v>
      </c>
      <c r="J109" s="192"/>
      <c r="K109" s="268" t="str">
        <f>F109</f>
        <v>NewOpp</v>
      </c>
      <c r="M109" s="191"/>
      <c r="N109" s="196"/>
      <c r="O109" s="192"/>
      <c r="P109" s="281"/>
    </row>
    <row r="110" spans="1:16" s="212" customFormat="1" x14ac:dyDescent="0.25">
      <c r="A110" s="250"/>
      <c r="B110" s="205" t="s">
        <v>32</v>
      </c>
      <c r="C110" s="274">
        <v>217</v>
      </c>
      <c r="D110" s="205"/>
      <c r="E110" s="206" t="s">
        <v>172</v>
      </c>
      <c r="F110" s="207"/>
      <c r="G110" s="208"/>
      <c r="H110" s="208"/>
      <c r="I110" s="208"/>
      <c r="J110" s="209"/>
      <c r="K110" s="210"/>
      <c r="L110" s="211"/>
      <c r="M110" s="208"/>
      <c r="N110" s="211"/>
      <c r="O110" s="209"/>
      <c r="P110" s="285"/>
    </row>
    <row r="111" spans="1:16" s="178" customFormat="1" x14ac:dyDescent="0.25">
      <c r="A111" s="184"/>
      <c r="B111" s="185" t="s">
        <v>167</v>
      </c>
      <c r="C111" s="267"/>
      <c r="D111" s="265"/>
      <c r="E111" s="188" t="s">
        <v>172</v>
      </c>
      <c r="F111" s="266" t="s">
        <v>219</v>
      </c>
      <c r="G111" s="191"/>
      <c r="H111" s="191"/>
      <c r="I111" s="191"/>
      <c r="J111" s="192"/>
      <c r="K111" s="183" t="s">
        <v>40</v>
      </c>
      <c r="L111" s="196"/>
      <c r="M111" s="191"/>
      <c r="N111" s="196"/>
      <c r="O111" s="192"/>
    </row>
    <row r="112" spans="1:16" x14ac:dyDescent="0.25">
      <c r="A112" s="262"/>
      <c r="B112" s="249" t="s">
        <v>220</v>
      </c>
      <c r="C112" s="247" t="s">
        <v>42</v>
      </c>
      <c r="D112" s="199"/>
      <c r="E112" s="224" t="s">
        <v>172</v>
      </c>
      <c r="F112" s="193"/>
      <c r="G112" s="196"/>
      <c r="H112" s="203"/>
      <c r="I112" s="203"/>
      <c r="J112" s="244"/>
      <c r="K112" s="245" t="s">
        <v>40</v>
      </c>
      <c r="L112" s="203"/>
      <c r="M112" s="203"/>
      <c r="N112" s="203"/>
      <c r="O112" s="244"/>
    </row>
    <row r="113" spans="1:16" x14ac:dyDescent="0.25">
      <c r="A113" s="262"/>
      <c r="B113" s="249" t="s">
        <v>135</v>
      </c>
      <c r="C113" s="263" t="s">
        <v>220</v>
      </c>
      <c r="D113" s="199"/>
      <c r="E113" s="224"/>
      <c r="F113" s="193" t="s">
        <v>221</v>
      </c>
      <c r="G113" s="196" t="s">
        <v>196</v>
      </c>
      <c r="H113" s="203" t="s">
        <v>197</v>
      </c>
      <c r="I113" s="203" t="s">
        <v>198</v>
      </c>
      <c r="J113" s="244"/>
      <c r="K113" s="245"/>
      <c r="L113" s="203"/>
      <c r="M113" s="203"/>
      <c r="N113" s="203"/>
      <c r="O113" s="244"/>
    </row>
    <row r="114" spans="1:16" s="234" customFormat="1" ht="15.75" thickBot="1" x14ac:dyDescent="0.3">
      <c r="A114" s="286"/>
      <c r="B114" s="227" t="s">
        <v>32</v>
      </c>
      <c r="C114" s="286"/>
      <c r="D114" s="227"/>
      <c r="E114" s="228" t="s">
        <v>172</v>
      </c>
      <c r="F114" s="229"/>
      <c r="G114" s="230"/>
      <c r="H114" s="230"/>
      <c r="I114" s="230"/>
      <c r="J114" s="231"/>
      <c r="K114" s="232"/>
      <c r="L114" s="233"/>
      <c r="M114" s="230"/>
      <c r="N114" s="233"/>
      <c r="O114" s="231"/>
    </row>
    <row r="115" spans="1:16" s="178" customFormat="1" ht="16.5" thickTop="1" thickBot="1" x14ac:dyDescent="0.3">
      <c r="A115" s="246"/>
      <c r="B115" s="187" t="s">
        <v>167</v>
      </c>
      <c r="C115" s="264"/>
      <c r="D115" s="265"/>
      <c r="E115" s="258" t="s">
        <v>65</v>
      </c>
      <c r="F115" s="266" t="s">
        <v>222</v>
      </c>
      <c r="G115" s="191"/>
      <c r="H115" s="191"/>
      <c r="I115" s="191"/>
      <c r="J115" s="192"/>
      <c r="K115" s="183" t="s">
        <v>48</v>
      </c>
      <c r="L115" s="196"/>
      <c r="M115" s="191"/>
      <c r="N115" s="196"/>
      <c r="O115" s="192"/>
    </row>
    <row r="116" spans="1:16" ht="15.75" thickTop="1" x14ac:dyDescent="0.25">
      <c r="A116" s="246">
        <v>41237.062696759262</v>
      </c>
      <c r="B116" s="249" t="s">
        <v>223</v>
      </c>
      <c r="C116" s="39" t="str">
        <f>F32&amp;"/"&amp;B34</f>
        <v>LOAD_1C_ACC/InsMyCol</v>
      </c>
      <c r="D116" s="199"/>
      <c r="E116" s="224" t="s">
        <v>172</v>
      </c>
      <c r="F116" s="193" t="s">
        <v>127</v>
      </c>
      <c r="G116" s="196"/>
      <c r="H116" s="203"/>
      <c r="I116" s="203"/>
      <c r="J116" s="244"/>
      <c r="K116" s="2" t="str">
        <f>K115</f>
        <v>Список клиентов 1C</v>
      </c>
      <c r="L116" s="203"/>
      <c r="M116" s="203"/>
      <c r="N116" s="194" t="s">
        <v>68</v>
      </c>
      <c r="O116" s="244"/>
    </row>
    <row r="117" spans="1:16" s="212" customFormat="1" ht="15.75" thickBot="1" x14ac:dyDescent="0.3">
      <c r="A117" s="250"/>
      <c r="B117" s="205" t="s">
        <v>32</v>
      </c>
      <c r="C117" s="251"/>
      <c r="D117" s="205"/>
      <c r="E117" s="206" t="s">
        <v>172</v>
      </c>
      <c r="F117" s="207"/>
      <c r="G117" s="208"/>
      <c r="H117" s="208"/>
      <c r="I117" s="208"/>
      <c r="J117" s="209"/>
      <c r="K117" s="210"/>
      <c r="L117" s="211"/>
      <c r="M117" s="208"/>
      <c r="N117" s="211"/>
      <c r="O117" s="209"/>
    </row>
    <row r="118" spans="1:16" s="178" customFormat="1" ht="16.5" thickTop="1" thickBot="1" x14ac:dyDescent="0.3">
      <c r="A118" s="246"/>
      <c r="B118" s="187" t="s">
        <v>167</v>
      </c>
      <c r="C118" s="264"/>
      <c r="D118" s="265"/>
      <c r="E118" s="258" t="s">
        <v>65</v>
      </c>
      <c r="F118" s="266" t="s">
        <v>224</v>
      </c>
      <c r="G118" s="191"/>
      <c r="H118" s="191"/>
      <c r="I118" s="191"/>
      <c r="J118" s="192"/>
      <c r="K118" s="183" t="s">
        <v>112</v>
      </c>
      <c r="L118" s="196"/>
      <c r="M118" s="191"/>
      <c r="N118" s="196"/>
      <c r="O118" s="192"/>
      <c r="P118" s="287"/>
    </row>
    <row r="119" spans="1:16" ht="15.75" thickTop="1" x14ac:dyDescent="0.25">
      <c r="A119" s="246">
        <v>41410.835046296299</v>
      </c>
      <c r="B119" s="249" t="s">
        <v>225</v>
      </c>
      <c r="C119" s="39" t="s">
        <v>66</v>
      </c>
      <c r="D119" s="199"/>
      <c r="E119" s="224" t="s">
        <v>172</v>
      </c>
      <c r="F119" s="288" t="s">
        <v>131</v>
      </c>
      <c r="G119" s="196"/>
      <c r="H119" s="203"/>
      <c r="I119" s="203"/>
      <c r="J119" s="244"/>
      <c r="K119" s="89" t="s">
        <v>99</v>
      </c>
      <c r="L119" s="289" t="s">
        <v>112</v>
      </c>
      <c r="M119" s="194" t="s">
        <v>79</v>
      </c>
      <c r="N119" s="194" t="s">
        <v>71</v>
      </c>
      <c r="O119" s="244"/>
      <c r="P119" s="290"/>
    </row>
    <row r="120" spans="1:16" s="178" customFormat="1" x14ac:dyDescent="0.25">
      <c r="A120" s="246"/>
      <c r="B120" s="249" t="s">
        <v>135</v>
      </c>
      <c r="C120" s="269" t="str">
        <f>B119</f>
        <v>BTO_Mail_track</v>
      </c>
      <c r="D120" s="187"/>
      <c r="E120" s="188" t="s">
        <v>172</v>
      </c>
      <c r="F120" s="288" t="str">
        <f>F119</f>
        <v>BTOlog</v>
      </c>
      <c r="G120" s="196" t="s">
        <v>202</v>
      </c>
      <c r="H120" s="203" t="s">
        <v>226</v>
      </c>
      <c r="I120" s="203" t="s">
        <v>227</v>
      </c>
      <c r="J120" s="192"/>
      <c r="K120" s="288" t="str">
        <f>F120</f>
        <v>BTOlog</v>
      </c>
      <c r="M120" s="191"/>
      <c r="N120" s="196"/>
      <c r="O120" s="192"/>
      <c r="P120" s="290"/>
    </row>
    <row r="121" spans="1:16" s="212" customFormat="1" ht="15.75" thickBot="1" x14ac:dyDescent="0.3">
      <c r="A121" s="250"/>
      <c r="B121" s="205" t="s">
        <v>32</v>
      </c>
      <c r="C121" s="251"/>
      <c r="D121" s="205"/>
      <c r="E121" s="206" t="s">
        <v>172</v>
      </c>
      <c r="F121" s="207"/>
      <c r="G121" s="208"/>
      <c r="H121" s="208"/>
      <c r="I121" s="208"/>
      <c r="J121" s="209"/>
      <c r="K121" s="210"/>
      <c r="L121" s="211"/>
      <c r="M121" s="208"/>
      <c r="N121" s="211"/>
      <c r="O121" s="209"/>
      <c r="P121" s="291"/>
    </row>
    <row r="122" spans="1:16" s="178" customFormat="1" ht="16.5" thickTop="1" thickBot="1" x14ac:dyDescent="0.3">
      <c r="A122" s="246"/>
      <c r="B122" s="187" t="s">
        <v>167</v>
      </c>
      <c r="C122" s="264"/>
      <c r="D122" s="265"/>
      <c r="E122" s="258" t="s">
        <v>65</v>
      </c>
      <c r="F122" s="266" t="s">
        <v>228</v>
      </c>
      <c r="G122" s="191"/>
      <c r="H122" s="191"/>
      <c r="I122" s="191"/>
      <c r="J122" s="192"/>
      <c r="K122" s="183" t="s">
        <v>71</v>
      </c>
      <c r="L122" s="196"/>
      <c r="M122" s="191"/>
      <c r="N122" s="196"/>
      <c r="O122" s="192"/>
      <c r="P122" s="292"/>
    </row>
    <row r="123" spans="1:16" ht="15.75" thickTop="1" x14ac:dyDescent="0.25">
      <c r="A123" s="246">
        <v>41499.705324074072</v>
      </c>
      <c r="B123" s="249" t="s">
        <v>100</v>
      </c>
      <c r="C123" s="39"/>
      <c r="D123" s="199"/>
      <c r="E123" s="224" t="s">
        <v>172</v>
      </c>
      <c r="F123" s="293" t="s">
        <v>148</v>
      </c>
      <c r="G123" s="294" t="str">
        <f>K122</f>
        <v>ADSKfrSF</v>
      </c>
      <c r="H123" s="295" t="s">
        <v>147</v>
      </c>
      <c r="J123" s="244"/>
      <c r="K123" s="295" t="str">
        <f>H123</f>
        <v>A_SN_1</v>
      </c>
      <c r="L123" s="56" t="str">
        <f>K122</f>
        <v>ADSKfrSF</v>
      </c>
      <c r="N123" s="196"/>
      <c r="O123" s="244"/>
      <c r="P123" s="296"/>
    </row>
    <row r="124" spans="1:16" x14ac:dyDescent="0.25">
      <c r="A124" s="246">
        <v>41502.225694444445</v>
      </c>
      <c r="B124" s="249" t="s">
        <v>72</v>
      </c>
      <c r="C124" s="39" t="str">
        <f>B123</f>
        <v>Adapt</v>
      </c>
      <c r="D124" s="199"/>
      <c r="E124" s="224" t="s">
        <v>172</v>
      </c>
      <c r="F124" s="297"/>
      <c r="G124" s="196"/>
      <c r="H124" s="203"/>
      <c r="I124" s="203"/>
      <c r="J124" s="244"/>
      <c r="K124" s="56" t="str">
        <f>L123</f>
        <v>ADSKfrSF</v>
      </c>
      <c r="L124" s="295" t="s">
        <v>149</v>
      </c>
      <c r="M124" s="295" t="s">
        <v>152</v>
      </c>
      <c r="N124" s="196"/>
      <c r="O124" s="244"/>
      <c r="P124" s="296"/>
    </row>
    <row r="125" spans="1:16" s="178" customFormat="1" x14ac:dyDescent="0.25">
      <c r="A125" s="246"/>
      <c r="B125" s="187" t="s">
        <v>192</v>
      </c>
      <c r="C125" s="260"/>
      <c r="D125" s="187"/>
      <c r="E125" s="188" t="s">
        <v>172</v>
      </c>
      <c r="F125" s="255" t="s">
        <v>168</v>
      </c>
      <c r="G125" s="195"/>
      <c r="H125" s="191"/>
      <c r="I125" s="191"/>
      <c r="J125" s="192"/>
      <c r="K125" s="193"/>
      <c r="L125" s="196"/>
      <c r="M125" s="191"/>
      <c r="N125" s="196"/>
      <c r="O125" s="192"/>
      <c r="P125" s="292"/>
    </row>
    <row r="126" spans="1:16" s="178" customFormat="1" x14ac:dyDescent="0.25">
      <c r="A126" s="246"/>
      <c r="B126" s="249" t="s">
        <v>135</v>
      </c>
      <c r="C126" s="269" t="str">
        <f>B123</f>
        <v>Adapt</v>
      </c>
      <c r="D126" s="187"/>
      <c r="E126" s="188" t="s">
        <v>172</v>
      </c>
      <c r="F126" s="297" t="str">
        <f>M124</f>
        <v>A_SN_3</v>
      </c>
      <c r="G126" s="196" t="s">
        <v>202</v>
      </c>
      <c r="H126" s="298" t="s">
        <v>226</v>
      </c>
      <c r="I126" s="298" t="s">
        <v>227</v>
      </c>
      <c r="J126" s="192"/>
      <c r="K126" s="297" t="str">
        <f>F126</f>
        <v>A_SN_3</v>
      </c>
      <c r="M126" s="191"/>
      <c r="N126" s="196"/>
      <c r="O126" s="192"/>
      <c r="P126" s="296"/>
    </row>
    <row r="127" spans="1:16" s="212" customFormat="1" ht="15.75" thickBot="1" x14ac:dyDescent="0.3">
      <c r="A127" s="250"/>
      <c r="B127" s="205" t="s">
        <v>32</v>
      </c>
      <c r="C127" s="251"/>
      <c r="D127" s="205"/>
      <c r="E127" s="206" t="s">
        <v>172</v>
      </c>
      <c r="F127" s="207"/>
      <c r="G127" s="208"/>
      <c r="H127" s="208"/>
      <c r="I127" s="208"/>
      <c r="J127" s="209"/>
      <c r="K127" s="210"/>
      <c r="L127" s="211"/>
      <c r="M127" s="208"/>
      <c r="N127" s="211"/>
      <c r="O127" s="209"/>
      <c r="P127" s="299"/>
    </row>
    <row r="128" spans="1:16" s="302" customFormat="1" ht="16.5" thickTop="1" thickBot="1" x14ac:dyDescent="0.3">
      <c r="A128" s="235">
        <v>41201.045671296299</v>
      </c>
      <c r="B128" s="236" t="s">
        <v>167</v>
      </c>
      <c r="C128" s="237"/>
      <c r="D128" s="238"/>
      <c r="E128" s="300" t="s">
        <v>65</v>
      </c>
      <c r="F128" s="301" t="s">
        <v>229</v>
      </c>
      <c r="G128" s="238"/>
      <c r="H128" s="238"/>
      <c r="I128" s="238"/>
      <c r="J128" s="241"/>
      <c r="K128" s="261" t="str">
        <f>K15</f>
        <v>Платежи</v>
      </c>
      <c r="L128" s="243"/>
      <c r="M128" s="238"/>
      <c r="N128" s="243"/>
      <c r="O128" s="241"/>
    </row>
    <row r="129" spans="1:15" s="178" customFormat="1" ht="16.5" thickTop="1" thickBot="1" x14ac:dyDescent="0.3">
      <c r="A129" s="184">
        <v>41289.96565972222</v>
      </c>
      <c r="B129" s="198" t="s">
        <v>230</v>
      </c>
      <c r="C129" s="303"/>
      <c r="D129" s="187"/>
      <c r="E129" s="202" t="s">
        <v>168</v>
      </c>
      <c r="F129" s="193" t="str">
        <f>F99</f>
        <v>HANDL_NewContract</v>
      </c>
      <c r="G129" s="304" t="str">
        <f>F128</f>
        <v>WP_PaidOpp</v>
      </c>
      <c r="H129" s="304" t="str">
        <f>B135</f>
        <v>WP_Paid</v>
      </c>
      <c r="I129" s="305">
        <v>7</v>
      </c>
      <c r="J129" s="192"/>
      <c r="K129" s="193"/>
      <c r="L129" s="196"/>
      <c r="M129" s="191"/>
      <c r="N129" s="196"/>
      <c r="O129" s="192"/>
    </row>
    <row r="130" spans="1:15" s="178" customFormat="1" x14ac:dyDescent="0.25">
      <c r="A130" s="184">
        <v>41289.96565972222</v>
      </c>
      <c r="B130" s="185" t="s">
        <v>231</v>
      </c>
      <c r="C130" s="278" t="str">
        <f>B129</f>
        <v>ProcReset</v>
      </c>
      <c r="D130" s="187"/>
      <c r="E130" s="188" t="s">
        <v>168</v>
      </c>
      <c r="F130" s="306">
        <f>C102</f>
        <v>41</v>
      </c>
      <c r="G130" s="195"/>
      <c r="H130" s="191"/>
      <c r="I130" s="191"/>
      <c r="J130" s="192"/>
      <c r="K130" s="193"/>
      <c r="L130" s="196"/>
      <c r="M130" s="191"/>
      <c r="N130" s="196"/>
      <c r="O130" s="192"/>
    </row>
    <row r="131" spans="1:15" s="178" customFormat="1" x14ac:dyDescent="0.25">
      <c r="A131" s="184">
        <v>41289.965682870374</v>
      </c>
      <c r="B131" s="198" t="s">
        <v>230</v>
      </c>
      <c r="C131" s="303"/>
      <c r="D131" s="187"/>
      <c r="E131" s="202" t="s">
        <v>168</v>
      </c>
      <c r="F131" s="193" t="str">
        <f>F95</f>
        <v>HANDL_PaidContr</v>
      </c>
      <c r="G131" s="195"/>
      <c r="H131" s="191"/>
      <c r="I131" s="191"/>
      <c r="J131" s="192"/>
      <c r="K131" s="193"/>
      <c r="L131" s="196"/>
      <c r="M131" s="191"/>
      <c r="N131" s="196"/>
      <c r="O131" s="192"/>
    </row>
    <row r="132" spans="1:15" s="178" customFormat="1" x14ac:dyDescent="0.25">
      <c r="A132" s="246"/>
      <c r="B132" s="187" t="s">
        <v>231</v>
      </c>
      <c r="C132" s="269" t="str">
        <f>B130</f>
        <v>CheckProc0</v>
      </c>
      <c r="D132" s="187"/>
      <c r="E132" s="188" t="s">
        <v>172</v>
      </c>
      <c r="F132" s="307">
        <f>C98</f>
        <v>0</v>
      </c>
      <c r="G132" s="195"/>
      <c r="H132" s="191"/>
      <c r="I132" s="191"/>
      <c r="J132" s="192"/>
      <c r="K132" s="193"/>
      <c r="L132" s="196"/>
      <c r="M132" s="191"/>
      <c r="N132" s="196"/>
      <c r="O132" s="192"/>
    </row>
    <row r="133" spans="1:15" s="178" customFormat="1" x14ac:dyDescent="0.25">
      <c r="A133" s="246"/>
      <c r="B133" s="187" t="s">
        <v>200</v>
      </c>
      <c r="C133" s="264"/>
      <c r="D133" s="265"/>
      <c r="E133" s="188" t="s">
        <v>172</v>
      </c>
      <c r="F133" s="268" t="s">
        <v>139</v>
      </c>
      <c r="G133" s="191"/>
      <c r="H133" s="191"/>
      <c r="I133" s="191"/>
      <c r="J133" s="192"/>
      <c r="K133" s="268" t="str">
        <f>F133</f>
        <v>NewOpp</v>
      </c>
      <c r="L133" s="196"/>
      <c r="M133" s="191"/>
      <c r="N133" s="196"/>
      <c r="O133" s="192"/>
    </row>
    <row r="134" spans="1:15" s="178" customFormat="1" x14ac:dyDescent="0.25">
      <c r="A134" s="246"/>
      <c r="B134" s="187" t="s">
        <v>200</v>
      </c>
      <c r="C134" s="264"/>
      <c r="D134" s="265"/>
      <c r="E134" s="188" t="s">
        <v>172</v>
      </c>
      <c r="F134" s="268" t="s">
        <v>134</v>
      </c>
      <c r="G134" s="191"/>
      <c r="H134" s="191"/>
      <c r="I134" s="191"/>
      <c r="J134" s="192"/>
      <c r="K134" s="268" t="str">
        <f>F134</f>
        <v>NewPayment</v>
      </c>
      <c r="L134" s="196"/>
      <c r="M134" s="191"/>
      <c r="N134" s="196"/>
      <c r="O134" s="192"/>
    </row>
    <row r="135" spans="1:15" s="178" customFormat="1" ht="15.75" thickBot="1" x14ac:dyDescent="0.3">
      <c r="A135" s="308"/>
      <c r="B135" s="309" t="s">
        <v>232</v>
      </c>
      <c r="C135" s="310" t="str">
        <f>B130</f>
        <v>CheckProc0</v>
      </c>
      <c r="D135" s="309"/>
      <c r="E135" s="311" t="s">
        <v>172</v>
      </c>
      <c r="F135" s="312" t="s">
        <v>233</v>
      </c>
      <c r="G135" s="313" t="s">
        <v>172</v>
      </c>
      <c r="H135" s="314"/>
      <c r="I135" s="314"/>
      <c r="J135" s="315"/>
      <c r="K135" s="316" t="str">
        <f>K128</f>
        <v>Платежи</v>
      </c>
      <c r="L135" s="317" t="s">
        <v>68</v>
      </c>
      <c r="M135" s="317" t="s">
        <v>64</v>
      </c>
      <c r="N135" s="317" t="s">
        <v>62</v>
      </c>
      <c r="O135" s="315"/>
    </row>
    <row r="136" spans="1:15" s="178" customFormat="1" ht="15.75" thickTop="1" x14ac:dyDescent="0.25">
      <c r="A136" s="246"/>
      <c r="B136" s="249" t="s">
        <v>135</v>
      </c>
      <c r="C136" s="269" t="str">
        <f>B135</f>
        <v>WP_Paid</v>
      </c>
      <c r="D136" s="187"/>
      <c r="E136" s="188" t="s">
        <v>172</v>
      </c>
      <c r="F136" s="268" t="s">
        <v>139</v>
      </c>
      <c r="G136" s="196" t="s">
        <v>202</v>
      </c>
      <c r="H136" s="203" t="s">
        <v>217</v>
      </c>
      <c r="I136" s="203" t="s">
        <v>218</v>
      </c>
      <c r="J136" s="192"/>
      <c r="K136" s="268" t="str">
        <f>F136</f>
        <v>NewOpp</v>
      </c>
      <c r="L136" s="196"/>
      <c r="M136" s="191"/>
      <c r="N136" s="196"/>
      <c r="O136" s="192"/>
    </row>
    <row r="137" spans="1:15" s="178" customFormat="1" x14ac:dyDescent="0.25">
      <c r="A137" s="246"/>
      <c r="B137" s="249" t="s">
        <v>135</v>
      </c>
      <c r="C137" s="269" t="str">
        <f>B135</f>
        <v>WP_Paid</v>
      </c>
      <c r="D137" s="187"/>
      <c r="E137" s="188" t="s">
        <v>172</v>
      </c>
      <c r="F137" s="268" t="s">
        <v>134</v>
      </c>
      <c r="G137" s="196" t="s">
        <v>202</v>
      </c>
      <c r="H137" s="203" t="s">
        <v>203</v>
      </c>
      <c r="I137" s="203" t="s">
        <v>204</v>
      </c>
      <c r="J137" s="192"/>
      <c r="K137" s="268" t="str">
        <f>F137</f>
        <v>NewPayment</v>
      </c>
      <c r="L137" s="196"/>
      <c r="M137" s="191"/>
      <c r="N137" s="196"/>
      <c r="O137" s="192"/>
    </row>
    <row r="138" spans="1:15" s="181" customFormat="1" x14ac:dyDescent="0.25">
      <c r="A138" s="318"/>
      <c r="B138" s="249" t="s">
        <v>32</v>
      </c>
      <c r="C138" s="319">
        <v>0</v>
      </c>
      <c r="D138" s="249"/>
      <c r="E138" s="200" t="s">
        <v>172</v>
      </c>
      <c r="F138" s="320"/>
      <c r="G138" s="191"/>
      <c r="H138" s="191"/>
      <c r="I138" s="191"/>
      <c r="J138" s="192"/>
      <c r="K138" s="193"/>
      <c r="L138" s="196"/>
      <c r="M138" s="191"/>
      <c r="N138" s="196"/>
      <c r="O138" s="192"/>
    </row>
    <row r="139" spans="1:15" s="324" customFormat="1" ht="15.75" thickBot="1" x14ac:dyDescent="0.3">
      <c r="A139" s="252">
        <v>41201.045671296299</v>
      </c>
      <c r="B139" s="253" t="s">
        <v>167</v>
      </c>
      <c r="C139" s="254"/>
      <c r="D139" s="215"/>
      <c r="E139" s="321" t="s">
        <v>65</v>
      </c>
      <c r="F139" s="322" t="s">
        <v>234</v>
      </c>
      <c r="G139" s="215"/>
      <c r="H139" s="215"/>
      <c r="I139" s="215"/>
      <c r="J139" s="218"/>
      <c r="K139" s="323" t="s">
        <v>31</v>
      </c>
      <c r="L139" s="220"/>
      <c r="M139" s="215"/>
      <c r="N139" s="220"/>
      <c r="O139" s="218"/>
    </row>
    <row r="140" spans="1:15" s="178" customFormat="1" ht="15.75" thickTop="1" x14ac:dyDescent="0.25">
      <c r="A140" s="184">
        <v>41218.822870370372</v>
      </c>
      <c r="B140" s="185" t="s">
        <v>200</v>
      </c>
      <c r="C140" s="267"/>
      <c r="D140" s="265"/>
      <c r="E140" s="188"/>
      <c r="F140" s="268" t="s">
        <v>141</v>
      </c>
      <c r="G140" s="191"/>
      <c r="H140" s="191"/>
      <c r="I140" s="191"/>
      <c r="J140" s="192"/>
      <c r="K140" s="268" t="str">
        <f>F140</f>
        <v>NewAcc</v>
      </c>
      <c r="L140" s="196"/>
      <c r="M140" s="191"/>
      <c r="N140" s="196"/>
      <c r="O140" s="192"/>
    </row>
    <row r="141" spans="1:15" s="178" customFormat="1" x14ac:dyDescent="0.25">
      <c r="A141" s="184"/>
      <c r="B141" s="185" t="s">
        <v>235</v>
      </c>
      <c r="C141" s="269" t="str">
        <f>B140</f>
        <v>NewSheet</v>
      </c>
      <c r="D141" s="265"/>
      <c r="E141" s="188"/>
      <c r="F141" s="325"/>
      <c r="G141" s="191"/>
      <c r="H141" s="191"/>
      <c r="I141" s="191"/>
      <c r="J141" s="192"/>
      <c r="K141" s="268"/>
      <c r="L141" s="196"/>
      <c r="M141" s="191"/>
      <c r="N141" s="196"/>
      <c r="O141" s="192"/>
    </row>
    <row r="142" spans="1:15" s="178" customFormat="1" x14ac:dyDescent="0.25">
      <c r="A142" s="246"/>
      <c r="B142" s="187" t="s">
        <v>192</v>
      </c>
      <c r="C142" s="260"/>
      <c r="D142" s="187"/>
      <c r="E142" s="188" t="s">
        <v>172</v>
      </c>
      <c r="F142" s="255" t="s">
        <v>65</v>
      </c>
      <c r="G142" s="195" t="s">
        <v>193</v>
      </c>
      <c r="H142" s="191"/>
      <c r="I142" s="191"/>
      <c r="J142" s="192"/>
      <c r="K142" s="193"/>
      <c r="L142" s="196"/>
      <c r="M142" s="191"/>
      <c r="N142" s="196"/>
      <c r="O142" s="192"/>
    </row>
    <row r="143" spans="1:15" s="178" customFormat="1" ht="15.75" thickBot="1" x14ac:dyDescent="0.3">
      <c r="A143" s="308">
        <v>41218.824293981481</v>
      </c>
      <c r="B143" s="309" t="s">
        <v>232</v>
      </c>
      <c r="C143" s="310" t="str">
        <f>B141</f>
        <v>SFaccDicBuild</v>
      </c>
      <c r="D143" s="309"/>
      <c r="E143" s="311" t="s">
        <v>172</v>
      </c>
      <c r="F143" s="312" t="s">
        <v>236</v>
      </c>
      <c r="G143" s="326"/>
      <c r="H143" s="314"/>
      <c r="I143" s="314"/>
      <c r="J143" s="315"/>
      <c r="K143" s="316" t="str">
        <f>K139</f>
        <v>Платежи</v>
      </c>
      <c r="L143" s="317">
        <v>0</v>
      </c>
      <c r="M143" s="317">
        <v>0</v>
      </c>
      <c r="N143" s="317">
        <v>0</v>
      </c>
      <c r="O143" s="315"/>
    </row>
    <row r="144" spans="1:15" s="178" customFormat="1" ht="15.75" thickTop="1" x14ac:dyDescent="0.25">
      <c r="A144" s="246">
        <v>41218.824293981481</v>
      </c>
      <c r="B144" s="249" t="s">
        <v>135</v>
      </c>
      <c r="C144" s="269" t="str">
        <f>B143</f>
        <v>WP_Paid</v>
      </c>
      <c r="D144" s="187"/>
      <c r="E144" s="188" t="s">
        <v>172</v>
      </c>
      <c r="F144" s="268" t="str">
        <f>F140</f>
        <v>NewAcc</v>
      </c>
      <c r="G144" s="196" t="s">
        <v>202</v>
      </c>
      <c r="H144" s="203" t="s">
        <v>217</v>
      </c>
      <c r="I144" s="203" t="s">
        <v>218</v>
      </c>
      <c r="J144" s="192"/>
      <c r="K144" s="268" t="str">
        <f>F144</f>
        <v>NewAcc</v>
      </c>
      <c r="L144" s="196"/>
      <c r="M144" s="191"/>
      <c r="N144" s="196"/>
      <c r="O144" s="192"/>
    </row>
    <row r="145" spans="1:15" s="212" customFormat="1" x14ac:dyDescent="0.25">
      <c r="A145" s="250"/>
      <c r="B145" s="205" t="s">
        <v>32</v>
      </c>
      <c r="C145" s="251">
        <v>5</v>
      </c>
      <c r="D145" s="205"/>
      <c r="E145" s="206" t="s">
        <v>172</v>
      </c>
      <c r="F145" s="207"/>
      <c r="G145" s="208"/>
      <c r="H145" s="208"/>
      <c r="I145" s="208"/>
      <c r="J145" s="209"/>
      <c r="K145" s="210"/>
      <c r="L145" s="211"/>
      <c r="M145" s="208"/>
      <c r="N145" s="211"/>
      <c r="O145" s="209"/>
    </row>
    <row r="146" spans="1:15" s="178" customFormat="1" x14ac:dyDescent="0.25">
      <c r="A146" s="246"/>
      <c r="B146" s="187" t="s">
        <v>167</v>
      </c>
      <c r="C146" s="264"/>
      <c r="D146" s="265"/>
      <c r="E146" s="188" t="s">
        <v>172</v>
      </c>
      <c r="F146" s="266" t="s">
        <v>237</v>
      </c>
      <c r="G146" s="191"/>
      <c r="H146" s="191"/>
      <c r="I146" s="191"/>
      <c r="J146" s="192"/>
      <c r="K146" s="183" t="s">
        <v>31</v>
      </c>
      <c r="L146" s="196"/>
      <c r="M146" s="191"/>
      <c r="N146" s="196"/>
      <c r="O146" s="192"/>
    </row>
    <row r="147" spans="1:15" s="178" customFormat="1" x14ac:dyDescent="0.25">
      <c r="A147" s="262"/>
      <c r="B147" s="187" t="s">
        <v>192</v>
      </c>
      <c r="C147" s="260"/>
      <c r="D147" s="187"/>
      <c r="E147" s="188"/>
      <c r="F147" s="255" t="s">
        <v>168</v>
      </c>
      <c r="G147" s="195"/>
      <c r="H147" s="191"/>
      <c r="I147" s="191"/>
      <c r="J147" s="192"/>
      <c r="K147" s="193"/>
      <c r="L147" s="196"/>
      <c r="M147" s="191"/>
      <c r="N147" s="196"/>
      <c r="O147" s="192"/>
    </row>
    <row r="148" spans="1:15" ht="30" x14ac:dyDescent="0.25">
      <c r="A148" s="262"/>
      <c r="B148" s="249" t="s">
        <v>238</v>
      </c>
      <c r="C148" s="247" t="s">
        <v>195</v>
      </c>
      <c r="D148" s="199"/>
      <c r="E148" s="224" t="s">
        <v>172</v>
      </c>
      <c r="F148" s="193"/>
      <c r="G148" s="196"/>
      <c r="H148" s="203"/>
      <c r="I148" s="203"/>
      <c r="J148" s="244"/>
      <c r="K148" s="245" t="s">
        <v>31</v>
      </c>
      <c r="L148" s="203" t="s">
        <v>64</v>
      </c>
      <c r="M148" s="203"/>
      <c r="N148" s="203"/>
      <c r="O148" s="244"/>
    </row>
    <row r="149" spans="1:15" s="212" customFormat="1" x14ac:dyDescent="0.25">
      <c r="A149" s="250"/>
      <c r="B149" s="205" t="s">
        <v>32</v>
      </c>
      <c r="C149" s="251"/>
      <c r="D149" s="205"/>
      <c r="E149" s="206" t="s">
        <v>172</v>
      </c>
      <c r="F149" s="207"/>
      <c r="G149" s="208"/>
      <c r="H149" s="208"/>
      <c r="I149" s="208"/>
      <c r="J149" s="209"/>
      <c r="K149" s="210"/>
      <c r="L149" s="211"/>
      <c r="M149" s="208"/>
      <c r="N149" s="211"/>
      <c r="O149" s="209"/>
    </row>
    <row r="150" spans="1:15" s="22" customFormat="1" x14ac:dyDescent="0.25">
      <c r="A150" s="327"/>
      <c r="B150" s="328" t="s">
        <v>118</v>
      </c>
      <c r="C150" s="329" t="s">
        <v>119</v>
      </c>
      <c r="D150" s="253"/>
      <c r="E150" s="330"/>
      <c r="F150" s="331"/>
      <c r="G150" s="332"/>
      <c r="H150" s="332"/>
      <c r="I150" s="332"/>
      <c r="J150" s="333"/>
      <c r="K150" s="331" t="s">
        <v>239</v>
      </c>
      <c r="L150" s="332"/>
      <c r="M150" s="332"/>
      <c r="N150" s="332"/>
      <c r="O150" s="333"/>
    </row>
    <row r="151" spans="1:15" x14ac:dyDescent="0.25">
      <c r="A151" s="334"/>
      <c r="B151" s="335">
        <v>1043</v>
      </c>
      <c r="C151" s="336"/>
      <c r="D151" s="199"/>
      <c r="E151" s="188"/>
      <c r="F151" s="248"/>
      <c r="G151" s="203"/>
      <c r="H151" s="203"/>
      <c r="I151" s="203"/>
      <c r="J151" s="204"/>
      <c r="K151" s="248" t="s">
        <v>239</v>
      </c>
      <c r="L151" s="203"/>
      <c r="M151" s="203"/>
      <c r="N151" s="203"/>
      <c r="O151" s="204"/>
    </row>
    <row r="152" spans="1:15" s="22" customFormat="1" ht="15.75" thickBot="1" x14ac:dyDescent="0.3">
      <c r="A152" s="72"/>
      <c r="B152" s="337" t="s">
        <v>118</v>
      </c>
      <c r="C152" s="338" t="s">
        <v>119</v>
      </c>
      <c r="D152" s="70"/>
      <c r="E152" s="339"/>
      <c r="F152" s="340"/>
      <c r="G152" s="341"/>
      <c r="H152" s="341"/>
      <c r="I152" s="341"/>
      <c r="J152" s="342"/>
      <c r="K152" s="340" t="s">
        <v>120</v>
      </c>
      <c r="L152" s="341"/>
      <c r="M152" s="341"/>
      <c r="N152" s="341"/>
      <c r="O152" s="342"/>
    </row>
    <row r="153" spans="1:15" x14ac:dyDescent="0.25">
      <c r="A153" s="41"/>
    </row>
    <row r="154" spans="1:15" s="178" customFormat="1" x14ac:dyDescent="0.25">
      <c r="A154" s="246"/>
      <c r="B154" s="187" t="s">
        <v>192</v>
      </c>
      <c r="C154" s="260"/>
      <c r="D154" s="187"/>
      <c r="E154" s="188" t="s">
        <v>172</v>
      </c>
      <c r="F154" s="255" t="s">
        <v>65</v>
      </c>
      <c r="G154" s="195" t="s">
        <v>193</v>
      </c>
      <c r="H154" s="191"/>
      <c r="I154" s="191"/>
      <c r="J154" s="192"/>
      <c r="K154" s="193"/>
      <c r="L154" s="196"/>
      <c r="M154" s="191"/>
      <c r="N154" s="196"/>
      <c r="O154" s="192"/>
    </row>
    <row r="156" spans="1:15" ht="45" outlineLevel="1" x14ac:dyDescent="0.25">
      <c r="A156" s="246">
        <v>41217.705717592595</v>
      </c>
      <c r="B156" s="187" t="s">
        <v>240</v>
      </c>
      <c r="C156" s="247" t="s">
        <v>241</v>
      </c>
      <c r="D156" s="203"/>
      <c r="E156" s="224" t="s">
        <v>172</v>
      </c>
      <c r="F156" s="255" t="s">
        <v>62</v>
      </c>
      <c r="G156" s="196" t="s">
        <v>40</v>
      </c>
      <c r="H156" s="195" t="s">
        <v>164</v>
      </c>
      <c r="I156" s="195" t="s">
        <v>185</v>
      </c>
      <c r="J156" s="244"/>
      <c r="L156" s="194" t="s">
        <v>62</v>
      </c>
      <c r="M156" s="203"/>
      <c r="N156" s="203"/>
      <c r="O156" s="244"/>
    </row>
    <row r="159" spans="1:15" s="32" customFormat="1" outlineLevel="1" x14ac:dyDescent="0.25">
      <c r="A159" s="246">
        <v>41217.684374999997</v>
      </c>
      <c r="B159" s="187" t="s">
        <v>84</v>
      </c>
      <c r="C159" s="247" t="s">
        <v>66</v>
      </c>
      <c r="D159" s="187"/>
      <c r="E159" s="188" t="s">
        <v>172</v>
      </c>
      <c r="F159" s="189" t="s">
        <v>173</v>
      </c>
      <c r="G159" s="190" t="s">
        <v>174</v>
      </c>
      <c r="H159" s="191"/>
      <c r="I159" s="191"/>
      <c r="J159" s="204"/>
      <c r="K159" s="193">
        <v>0</v>
      </c>
      <c r="L159" s="194" t="s">
        <v>68</v>
      </c>
      <c r="M159" s="194" t="s">
        <v>62</v>
      </c>
      <c r="N159" s="203"/>
      <c r="O159" s="204"/>
    </row>
    <row r="162" spans="1:15" s="32" customFormat="1" outlineLevel="1" x14ac:dyDescent="0.25">
      <c r="A162" s="246">
        <v>41227.065937500003</v>
      </c>
      <c r="B162" s="187" t="s">
        <v>242</v>
      </c>
      <c r="C162" s="256" t="str">
        <f>B67</f>
        <v>InsMyCol</v>
      </c>
      <c r="D162" s="187"/>
      <c r="E162" s="188" t="s">
        <v>172</v>
      </c>
      <c r="F162" s="255" t="s">
        <v>185</v>
      </c>
      <c r="G162" s="195" t="s">
        <v>59</v>
      </c>
      <c r="H162" s="195" t="s">
        <v>243</v>
      </c>
      <c r="I162" s="195" t="s">
        <v>244</v>
      </c>
      <c r="J162" s="257"/>
      <c r="K162" s="259" t="str">
        <f>K65</f>
        <v>Склад</v>
      </c>
      <c r="L162" s="196" t="s">
        <v>31</v>
      </c>
      <c r="M162" s="203"/>
      <c r="N162" s="178"/>
      <c r="O162" s="192"/>
    </row>
  </sheetData>
  <autoFilter ref="A4:O152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2" workbookViewId="0">
      <selection activeCell="B64" sqref="B64"/>
    </sheetView>
  </sheetViews>
  <sheetFormatPr defaultColWidth="9.140625" defaultRowHeight="15" x14ac:dyDescent="0.25"/>
  <cols>
    <col min="1" max="1" width="19.28515625" style="345" customWidth="1"/>
    <col min="2" max="2" width="20.85546875" style="349" customWidth="1"/>
    <col min="3" max="3" width="30.28515625" style="345" customWidth="1"/>
    <col min="4" max="4" width="17.5703125" style="345" customWidth="1"/>
    <col min="5" max="5" width="32.7109375" style="345" customWidth="1"/>
    <col min="6" max="6" width="22.85546875" style="346" customWidth="1"/>
    <col min="7" max="7" width="16.28515625" style="347" customWidth="1"/>
    <col min="8" max="10" width="9.140625" style="345" customWidth="1"/>
    <col min="11" max="11" width="13" style="345" customWidth="1"/>
    <col min="12" max="12" width="9.140625" style="345" customWidth="1"/>
    <col min="13" max="13" width="19.42578125" style="345" customWidth="1"/>
    <col min="14" max="15" width="18.42578125" style="345" customWidth="1"/>
    <col min="16" max="16" width="19.140625" style="345" customWidth="1"/>
    <col min="17" max="16384" width="9.140625" style="345"/>
  </cols>
  <sheetData>
    <row r="1" spans="1:3" x14ac:dyDescent="0.25">
      <c r="A1" s="343" t="s">
        <v>245</v>
      </c>
      <c r="B1" s="344" t="s">
        <v>246</v>
      </c>
    </row>
    <row r="2" spans="1:3" x14ac:dyDescent="0.25">
      <c r="A2" s="348" t="s">
        <v>247</v>
      </c>
      <c r="B2" s="349" t="s">
        <v>248</v>
      </c>
    </row>
    <row r="3" spans="1:3" x14ac:dyDescent="0.25">
      <c r="A3" s="348" t="s">
        <v>249</v>
      </c>
      <c r="B3" s="350" t="s">
        <v>250</v>
      </c>
      <c r="C3" s="351" t="s">
        <v>251</v>
      </c>
    </row>
    <row r="4" spans="1:3" x14ac:dyDescent="0.25">
      <c r="A4" s="348" t="s">
        <v>252</v>
      </c>
      <c r="B4" s="349" t="s">
        <v>253</v>
      </c>
    </row>
    <row r="5" spans="1:3" x14ac:dyDescent="0.25">
      <c r="A5" s="351" t="s">
        <v>254</v>
      </c>
      <c r="B5" s="350" t="s">
        <v>255</v>
      </c>
    </row>
    <row r="6" spans="1:3" x14ac:dyDescent="0.25">
      <c r="A6" s="351" t="s">
        <v>1223</v>
      </c>
      <c r="B6" s="350" t="s">
        <v>1222</v>
      </c>
    </row>
    <row r="7" spans="1:3" x14ac:dyDescent="0.25">
      <c r="A7" s="351" t="s">
        <v>256</v>
      </c>
      <c r="B7" s="350" t="s">
        <v>257</v>
      </c>
    </row>
    <row r="8" spans="1:3" x14ac:dyDescent="0.25">
      <c r="A8" s="351"/>
      <c r="B8" s="352"/>
    </row>
    <row r="9" spans="1:3" x14ac:dyDescent="0.25">
      <c r="A9" s="351" t="s">
        <v>258</v>
      </c>
      <c r="B9" s="352"/>
    </row>
    <row r="10" spans="1:3" x14ac:dyDescent="0.25">
      <c r="A10" s="343" t="s">
        <v>259</v>
      </c>
      <c r="B10" s="344" t="s">
        <v>260</v>
      </c>
    </row>
    <row r="11" spans="1:3" x14ac:dyDescent="0.25">
      <c r="A11" s="348" t="s">
        <v>261</v>
      </c>
      <c r="B11" s="349" t="s">
        <v>262</v>
      </c>
    </row>
    <row r="12" spans="1:3" x14ac:dyDescent="0.25">
      <c r="A12" s="348" t="s">
        <v>263</v>
      </c>
      <c r="B12" s="349" t="s">
        <v>264</v>
      </c>
    </row>
    <row r="13" spans="1:3" x14ac:dyDescent="0.25">
      <c r="A13" s="348" t="s">
        <v>265</v>
      </c>
      <c r="B13" s="349" t="s">
        <v>262</v>
      </c>
    </row>
    <row r="14" spans="1:3" x14ac:dyDescent="0.25">
      <c r="A14" s="351" t="s">
        <v>266</v>
      </c>
      <c r="B14" s="350" t="s">
        <v>267</v>
      </c>
    </row>
    <row r="15" spans="1:3" x14ac:dyDescent="0.25">
      <c r="A15" s="351" t="s">
        <v>268</v>
      </c>
      <c r="B15" s="350" t="s">
        <v>269</v>
      </c>
    </row>
    <row r="16" spans="1:3" x14ac:dyDescent="0.25">
      <c r="A16" s="351"/>
      <c r="B16" s="352"/>
    </row>
    <row r="17" spans="1:7" x14ac:dyDescent="0.25">
      <c r="A17" s="353" t="s">
        <v>270</v>
      </c>
      <c r="B17" s="344" t="s">
        <v>271</v>
      </c>
      <c r="C17" s="353" t="s">
        <v>272</v>
      </c>
      <c r="D17" s="353" t="s">
        <v>273</v>
      </c>
      <c r="E17" s="353" t="s">
        <v>274</v>
      </c>
      <c r="F17" s="354" t="s">
        <v>275</v>
      </c>
      <c r="G17" s="355" t="s">
        <v>276</v>
      </c>
    </row>
    <row r="18" spans="1:7" x14ac:dyDescent="0.25">
      <c r="A18" s="356" t="s">
        <v>277</v>
      </c>
      <c r="B18" s="357" t="s">
        <v>278</v>
      </c>
      <c r="C18" s="358" t="s">
        <v>279</v>
      </c>
      <c r="D18" s="359" t="s">
        <v>280</v>
      </c>
      <c r="E18" s="360" t="s">
        <v>281</v>
      </c>
      <c r="F18" s="361" t="s">
        <v>282</v>
      </c>
      <c r="G18" s="347">
        <v>0</v>
      </c>
    </row>
    <row r="19" spans="1:7" x14ac:dyDescent="0.25">
      <c r="A19" s="356"/>
      <c r="B19" s="357" t="s">
        <v>1217</v>
      </c>
      <c r="C19" s="358"/>
      <c r="D19" s="359"/>
      <c r="E19" s="360"/>
      <c r="F19" s="361"/>
    </row>
    <row r="20" spans="1:7" ht="50.25" customHeight="1" x14ac:dyDescent="0.25">
      <c r="A20" s="362" t="s">
        <v>283</v>
      </c>
      <c r="B20" s="363" t="s">
        <v>284</v>
      </c>
      <c r="C20" s="364" t="s">
        <v>285</v>
      </c>
      <c r="D20" s="359" t="s">
        <v>286</v>
      </c>
      <c r="E20" s="365" t="s">
        <v>287</v>
      </c>
      <c r="F20" s="366" t="s">
        <v>288</v>
      </c>
      <c r="G20" s="367">
        <v>0</v>
      </c>
    </row>
    <row r="21" spans="1:7" x14ac:dyDescent="0.25">
      <c r="A21" s="356" t="s">
        <v>289</v>
      </c>
      <c r="B21" s="357"/>
      <c r="C21" s="358" t="s">
        <v>279</v>
      </c>
      <c r="D21" s="359" t="s">
        <v>280</v>
      </c>
      <c r="E21" s="365"/>
      <c r="F21" s="368" t="s">
        <v>290</v>
      </c>
      <c r="G21" s="367">
        <v>1</v>
      </c>
    </row>
    <row r="22" spans="1:7" x14ac:dyDescent="0.25">
      <c r="A22" s="356" t="s">
        <v>291</v>
      </c>
      <c r="B22" s="357" t="s">
        <v>292</v>
      </c>
      <c r="C22" s="358" t="s">
        <v>293</v>
      </c>
      <c r="D22" s="345" t="s">
        <v>294</v>
      </c>
      <c r="E22" s="358"/>
      <c r="F22" s="361" t="s">
        <v>295</v>
      </c>
      <c r="G22" s="347">
        <v>0</v>
      </c>
    </row>
    <row r="23" spans="1:7" x14ac:dyDescent="0.25">
      <c r="A23" s="356" t="s">
        <v>296</v>
      </c>
      <c r="B23" s="357" t="s">
        <v>297</v>
      </c>
      <c r="C23" s="358" t="s">
        <v>298</v>
      </c>
      <c r="D23" s="345" t="s">
        <v>299</v>
      </c>
      <c r="E23" s="358"/>
      <c r="F23" s="369" t="s">
        <v>300</v>
      </c>
      <c r="G23" s="347">
        <v>0</v>
      </c>
    </row>
    <row r="24" spans="1:7" x14ac:dyDescent="0.25">
      <c r="A24" s="356" t="s">
        <v>1219</v>
      </c>
      <c r="B24" s="357" t="s">
        <v>1218</v>
      </c>
      <c r="C24" s="358"/>
      <c r="E24" s="358"/>
      <c r="F24" s="369" t="s">
        <v>1220</v>
      </c>
    </row>
    <row r="25" spans="1:7" x14ac:dyDescent="0.25">
      <c r="A25" s="356" t="s">
        <v>301</v>
      </c>
      <c r="B25" s="357" t="s">
        <v>302</v>
      </c>
      <c r="C25" s="358" t="s">
        <v>303</v>
      </c>
      <c r="D25" s="345" t="s">
        <v>304</v>
      </c>
      <c r="E25" s="358" t="s">
        <v>305</v>
      </c>
      <c r="F25" s="369" t="s">
        <v>306</v>
      </c>
      <c r="G25" s="347">
        <v>0</v>
      </c>
    </row>
    <row r="26" spans="1:7" x14ac:dyDescent="0.25">
      <c r="A26" s="356" t="s">
        <v>307</v>
      </c>
      <c r="B26" s="357" t="s">
        <v>308</v>
      </c>
      <c r="C26" s="358" t="s">
        <v>309</v>
      </c>
      <c r="D26" s="345" t="s">
        <v>310</v>
      </c>
      <c r="E26" s="358" t="s">
        <v>311</v>
      </c>
      <c r="F26" s="369" t="s">
        <v>312</v>
      </c>
      <c r="G26" s="347">
        <v>0</v>
      </c>
    </row>
    <row r="27" spans="1:7" x14ac:dyDescent="0.25">
      <c r="A27" s="356" t="s">
        <v>313</v>
      </c>
      <c r="B27" s="363" t="s">
        <v>314</v>
      </c>
      <c r="C27" s="370" t="s">
        <v>315</v>
      </c>
      <c r="D27" s="360" t="s">
        <v>316</v>
      </c>
      <c r="E27" s="360"/>
      <c r="F27" s="369" t="s">
        <v>317</v>
      </c>
      <c r="G27" s="347">
        <v>0</v>
      </c>
    </row>
    <row r="28" spans="1:7" x14ac:dyDescent="0.25">
      <c r="A28" s="356" t="s">
        <v>318</v>
      </c>
      <c r="B28" s="357" t="s">
        <v>319</v>
      </c>
      <c r="C28" s="358" t="s">
        <v>320</v>
      </c>
      <c r="D28" s="345" t="s">
        <v>321</v>
      </c>
      <c r="E28" s="358" t="s">
        <v>311</v>
      </c>
      <c r="F28" s="369" t="s">
        <v>322</v>
      </c>
      <c r="G28" s="347">
        <v>0</v>
      </c>
    </row>
    <row r="29" spans="1:7" x14ac:dyDescent="0.25">
      <c r="A29" s="356" t="s">
        <v>323</v>
      </c>
      <c r="B29" s="371"/>
      <c r="C29" s="358" t="s">
        <v>324</v>
      </c>
      <c r="D29" s="345" t="s">
        <v>325</v>
      </c>
      <c r="E29" s="358"/>
      <c r="F29" s="369" t="s">
        <v>326</v>
      </c>
      <c r="G29" s="347">
        <v>0</v>
      </c>
    </row>
    <row r="30" spans="1:7" x14ac:dyDescent="0.25">
      <c r="A30" s="356" t="s">
        <v>327</v>
      </c>
      <c r="B30" s="357" t="s">
        <v>328</v>
      </c>
      <c r="C30" s="358" t="s">
        <v>329</v>
      </c>
      <c r="D30" s="345" t="s">
        <v>330</v>
      </c>
      <c r="E30" s="358" t="s">
        <v>331</v>
      </c>
      <c r="F30" s="369" t="s">
        <v>332</v>
      </c>
      <c r="G30" s="347">
        <v>0</v>
      </c>
    </row>
    <row r="31" spans="1:7" x14ac:dyDescent="0.25">
      <c r="A31" s="356" t="s">
        <v>333</v>
      </c>
      <c r="B31" s="371"/>
      <c r="C31" s="358" t="s">
        <v>334</v>
      </c>
      <c r="D31" s="345" t="s">
        <v>335</v>
      </c>
      <c r="E31" s="372" t="s">
        <v>331</v>
      </c>
      <c r="F31" s="369" t="s">
        <v>336</v>
      </c>
      <c r="G31" s="347">
        <v>0</v>
      </c>
    </row>
    <row r="32" spans="1:7" x14ac:dyDescent="0.25">
      <c r="A32" s="356" t="s">
        <v>337</v>
      </c>
      <c r="B32" s="357" t="s">
        <v>338</v>
      </c>
      <c r="C32" s="358" t="s">
        <v>339</v>
      </c>
      <c r="D32" s="360" t="s">
        <v>340</v>
      </c>
      <c r="E32" s="360" t="s">
        <v>341</v>
      </c>
      <c r="F32" s="369" t="s">
        <v>342</v>
      </c>
      <c r="G32" s="347">
        <v>0</v>
      </c>
    </row>
    <row r="33" spans="1:7" x14ac:dyDescent="0.25">
      <c r="A33" s="356" t="s">
        <v>343</v>
      </c>
      <c r="B33" s="357" t="s">
        <v>344</v>
      </c>
      <c r="C33" s="358" t="s">
        <v>311</v>
      </c>
      <c r="D33" s="345" t="s">
        <v>345</v>
      </c>
      <c r="E33" s="358" t="s">
        <v>311</v>
      </c>
      <c r="F33" s="369" t="s">
        <v>346</v>
      </c>
      <c r="G33" s="347">
        <v>0</v>
      </c>
    </row>
    <row r="34" spans="1:7" ht="30" x14ac:dyDescent="0.25">
      <c r="A34" s="362" t="s">
        <v>347</v>
      </c>
      <c r="B34" s="363" t="s">
        <v>348</v>
      </c>
      <c r="C34" s="364" t="s">
        <v>349</v>
      </c>
      <c r="D34" s="359" t="s">
        <v>350</v>
      </c>
      <c r="E34" s="365" t="s">
        <v>351</v>
      </c>
      <c r="F34" s="366" t="s">
        <v>352</v>
      </c>
      <c r="G34" s="347">
        <v>0</v>
      </c>
    </row>
    <row r="35" spans="1:7" x14ac:dyDescent="0.25">
      <c r="A35" s="356" t="s">
        <v>305</v>
      </c>
      <c r="B35" s="357" t="s">
        <v>353</v>
      </c>
      <c r="C35" s="358" t="s">
        <v>285</v>
      </c>
      <c r="D35" s="345" t="s">
        <v>286</v>
      </c>
      <c r="E35" s="358" t="s">
        <v>354</v>
      </c>
      <c r="F35" s="369" t="s">
        <v>355</v>
      </c>
      <c r="G35" s="347">
        <v>0</v>
      </c>
    </row>
    <row r="36" spans="1:7" x14ac:dyDescent="0.25">
      <c r="A36" s="356" t="s">
        <v>356</v>
      </c>
      <c r="B36" s="357" t="s">
        <v>353</v>
      </c>
      <c r="C36" s="358" t="s">
        <v>285</v>
      </c>
      <c r="D36" s="345" t="s">
        <v>286</v>
      </c>
      <c r="E36" s="360"/>
      <c r="F36" s="369" t="s">
        <v>357</v>
      </c>
      <c r="G36" s="347">
        <v>0</v>
      </c>
    </row>
    <row r="37" spans="1:7" x14ac:dyDescent="0.25">
      <c r="A37" s="356" t="s">
        <v>358</v>
      </c>
      <c r="B37" s="363" t="s">
        <v>359</v>
      </c>
      <c r="C37" s="358" t="s">
        <v>360</v>
      </c>
      <c r="D37" s="345" t="s">
        <v>361</v>
      </c>
      <c r="E37" s="360"/>
      <c r="F37" s="369" t="s">
        <v>317</v>
      </c>
      <c r="G37" s="347">
        <v>0</v>
      </c>
    </row>
    <row r="38" spans="1:7" x14ac:dyDescent="0.25">
      <c r="A38" s="356" t="s">
        <v>362</v>
      </c>
      <c r="B38" s="363" t="s">
        <v>363</v>
      </c>
      <c r="C38" s="370" t="s">
        <v>315</v>
      </c>
      <c r="D38" s="360" t="s">
        <v>316</v>
      </c>
      <c r="E38" s="360"/>
      <c r="F38" s="369" t="s">
        <v>317</v>
      </c>
      <c r="G38" s="347">
        <v>0</v>
      </c>
    </row>
    <row r="39" spans="1:7" x14ac:dyDescent="0.25">
      <c r="A39" s="356" t="s">
        <v>364</v>
      </c>
      <c r="B39" s="357" t="s">
        <v>365</v>
      </c>
      <c r="C39" s="358" t="s">
        <v>366</v>
      </c>
      <c r="D39" s="360" t="s">
        <v>367</v>
      </c>
      <c r="E39" s="360"/>
      <c r="F39" s="369" t="s">
        <v>368</v>
      </c>
      <c r="G39" s="347">
        <v>0</v>
      </c>
    </row>
    <row r="40" spans="1:7" x14ac:dyDescent="0.25">
      <c r="A40" s="356" t="s">
        <v>369</v>
      </c>
      <c r="B40" s="357" t="s">
        <v>370</v>
      </c>
      <c r="C40" s="358" t="s">
        <v>279</v>
      </c>
      <c r="D40" s="345" t="s">
        <v>280</v>
      </c>
      <c r="E40" s="360"/>
      <c r="F40" s="369" t="s">
        <v>371</v>
      </c>
      <c r="G40" s="347">
        <v>1</v>
      </c>
    </row>
    <row r="41" spans="1:7" x14ac:dyDescent="0.25">
      <c r="A41" s="356" t="s">
        <v>372</v>
      </c>
      <c r="B41" s="357" t="s">
        <v>373</v>
      </c>
      <c r="C41" s="358" t="s">
        <v>279</v>
      </c>
      <c r="D41" s="359" t="s">
        <v>280</v>
      </c>
      <c r="E41" s="360"/>
      <c r="F41" s="369" t="s">
        <v>357</v>
      </c>
      <c r="G41" s="347">
        <v>0</v>
      </c>
    </row>
    <row r="42" spans="1:7" x14ac:dyDescent="0.25">
      <c r="A42" s="356" t="s">
        <v>331</v>
      </c>
      <c r="B42" s="357" t="s">
        <v>374</v>
      </c>
      <c r="C42" s="358" t="s">
        <v>334</v>
      </c>
      <c r="D42" s="345" t="s">
        <v>335</v>
      </c>
      <c r="E42" s="360"/>
      <c r="F42" s="369" t="s">
        <v>375</v>
      </c>
      <c r="G42" s="347">
        <v>0</v>
      </c>
    </row>
    <row r="43" spans="1:7" x14ac:dyDescent="0.25">
      <c r="A43" s="356" t="s">
        <v>1225</v>
      </c>
      <c r="B43" s="357" t="s">
        <v>1224</v>
      </c>
      <c r="C43" s="358"/>
      <c r="E43" s="360"/>
      <c r="F43" s="369"/>
    </row>
    <row r="44" spans="1:7" x14ac:dyDescent="0.25">
      <c r="A44" s="356" t="s">
        <v>376</v>
      </c>
      <c r="B44" s="357" t="s">
        <v>377</v>
      </c>
      <c r="C44" s="358" t="s">
        <v>378</v>
      </c>
      <c r="D44" s="345" t="s">
        <v>379</v>
      </c>
      <c r="E44" s="358"/>
      <c r="F44" s="369" t="s">
        <v>380</v>
      </c>
      <c r="G44" s="347">
        <v>0</v>
      </c>
    </row>
    <row r="45" spans="1:7" x14ac:dyDescent="0.25">
      <c r="A45" s="356" t="s">
        <v>381</v>
      </c>
      <c r="B45" s="357" t="s">
        <v>382</v>
      </c>
      <c r="C45" s="358" t="s">
        <v>311</v>
      </c>
      <c r="D45" s="345" t="s">
        <v>345</v>
      </c>
      <c r="E45" s="360"/>
      <c r="F45" s="369" t="s">
        <v>383</v>
      </c>
      <c r="G45" s="347">
        <v>0</v>
      </c>
    </row>
    <row r="46" spans="1:7" x14ac:dyDescent="0.25">
      <c r="A46" s="356" t="s">
        <v>384</v>
      </c>
      <c r="B46" s="357" t="s">
        <v>385</v>
      </c>
      <c r="C46" s="358" t="s">
        <v>386</v>
      </c>
      <c r="D46" s="345" t="s">
        <v>387</v>
      </c>
      <c r="E46" s="360"/>
      <c r="F46" s="369" t="s">
        <v>388</v>
      </c>
      <c r="G46" s="347">
        <v>0</v>
      </c>
    </row>
    <row r="47" spans="1:7" x14ac:dyDescent="0.25">
      <c r="A47" s="356" t="s">
        <v>339</v>
      </c>
      <c r="B47" s="357"/>
      <c r="C47" s="358" t="s">
        <v>339</v>
      </c>
      <c r="D47" s="360" t="s">
        <v>340</v>
      </c>
      <c r="E47" s="360"/>
      <c r="F47" s="361"/>
      <c r="G47" s="347">
        <v>0</v>
      </c>
    </row>
    <row r="49" spans="1:17" x14ac:dyDescent="0.25">
      <c r="A49" s="353" t="s">
        <v>389</v>
      </c>
      <c r="B49" s="344" t="s">
        <v>390</v>
      </c>
      <c r="C49" s="353" t="s">
        <v>391</v>
      </c>
    </row>
    <row r="50" spans="1:17" ht="15" customHeight="1" x14ac:dyDescent="0.25">
      <c r="A50" s="373" t="s">
        <v>392</v>
      </c>
      <c r="B50" s="349" t="s">
        <v>393</v>
      </c>
      <c r="C50" s="349">
        <v>1</v>
      </c>
      <c r="Q50" s="360"/>
    </row>
    <row r="51" spans="1:17" x14ac:dyDescent="0.25">
      <c r="A51" s="373" t="s">
        <v>394</v>
      </c>
      <c r="B51" s="349" t="s">
        <v>395</v>
      </c>
      <c r="C51" s="350" t="s">
        <v>396</v>
      </c>
      <c r="M51" s="349"/>
      <c r="N51" s="350"/>
      <c r="O51" s="349"/>
      <c r="P51" s="349"/>
      <c r="Q51" s="350"/>
    </row>
    <row r="52" spans="1:17" x14ac:dyDescent="0.25">
      <c r="A52" s="373" t="s">
        <v>397</v>
      </c>
      <c r="B52" s="349" t="s">
        <v>398</v>
      </c>
      <c r="C52" s="350" t="s">
        <v>399</v>
      </c>
    </row>
    <row r="53" spans="1:17" x14ac:dyDescent="0.25">
      <c r="H53" s="969" t="s">
        <v>400</v>
      </c>
      <c r="I53" s="970"/>
      <c r="J53" s="970"/>
      <c r="K53" s="971"/>
      <c r="L53" s="360"/>
    </row>
    <row r="54" spans="1:17" ht="15.75" x14ac:dyDescent="0.25">
      <c r="A54" s="360" t="s">
        <v>401</v>
      </c>
      <c r="H54" s="374"/>
      <c r="I54" s="375"/>
      <c r="J54" s="375"/>
      <c r="K54" s="376"/>
      <c r="L54" s="360"/>
      <c r="M54" s="972" t="s">
        <v>400</v>
      </c>
      <c r="N54" s="973"/>
      <c r="O54" s="973"/>
      <c r="P54" s="973"/>
      <c r="Q54" s="974"/>
    </row>
    <row r="55" spans="1:17" ht="30" x14ac:dyDescent="0.25">
      <c r="A55" s="360" t="s">
        <v>402</v>
      </c>
      <c r="B55" s="350" t="s">
        <v>403</v>
      </c>
      <c r="C55" s="377" t="s">
        <v>404</v>
      </c>
      <c r="D55" s="377" t="s">
        <v>405</v>
      </c>
      <c r="E55" s="378" t="s">
        <v>406</v>
      </c>
      <c r="F55" s="379" t="s">
        <v>407</v>
      </c>
      <c r="G55" s="380" t="s">
        <v>408</v>
      </c>
      <c r="H55" s="381" t="s">
        <v>409</v>
      </c>
      <c r="I55" s="381" t="s">
        <v>410</v>
      </c>
      <c r="J55" s="381" t="s">
        <v>411</v>
      </c>
      <c r="K55" s="382" t="s">
        <v>412</v>
      </c>
      <c r="M55" s="383" t="s">
        <v>413</v>
      </c>
      <c r="N55" s="384" t="s">
        <v>408</v>
      </c>
      <c r="O55" s="384" t="s">
        <v>414</v>
      </c>
      <c r="P55" s="384" t="s">
        <v>411</v>
      </c>
      <c r="Q55" s="385" t="s">
        <v>412</v>
      </c>
    </row>
    <row r="56" spans="1:17" ht="15.75" x14ac:dyDescent="0.3">
      <c r="A56" s="360" t="s">
        <v>415</v>
      </c>
      <c r="B56" s="386" t="s">
        <v>416</v>
      </c>
      <c r="C56" s="372" t="s">
        <v>417</v>
      </c>
      <c r="D56" s="387" t="s">
        <v>415</v>
      </c>
      <c r="E56" s="388" t="s">
        <v>415</v>
      </c>
      <c r="F56" s="361" t="s">
        <v>418</v>
      </c>
      <c r="G56" s="380" t="s">
        <v>419</v>
      </c>
      <c r="H56" s="360" t="s">
        <v>408</v>
      </c>
      <c r="I56" s="360" t="s">
        <v>420</v>
      </c>
      <c r="J56" s="360"/>
      <c r="M56" s="360" t="s">
        <v>421</v>
      </c>
      <c r="N56" s="360" t="s">
        <v>419</v>
      </c>
      <c r="O56" s="360" t="s">
        <v>414</v>
      </c>
      <c r="P56" s="360" t="s">
        <v>422</v>
      </c>
    </row>
    <row r="57" spans="1:17" ht="45" x14ac:dyDescent="0.3">
      <c r="A57" s="360" t="s">
        <v>357</v>
      </c>
      <c r="B57" s="386" t="s">
        <v>423</v>
      </c>
      <c r="C57" s="372" t="s">
        <v>417</v>
      </c>
      <c r="D57" s="387" t="s">
        <v>357</v>
      </c>
      <c r="E57" s="388" t="s">
        <v>424</v>
      </c>
      <c r="F57" s="361" t="s">
        <v>425</v>
      </c>
      <c r="G57" s="380" t="s">
        <v>426</v>
      </c>
      <c r="H57" s="360" t="s">
        <v>408</v>
      </c>
      <c r="I57" s="360" t="s">
        <v>420</v>
      </c>
      <c r="J57" s="360"/>
      <c r="M57" s="389" t="s">
        <v>427</v>
      </c>
      <c r="N57" s="389" t="s">
        <v>428</v>
      </c>
      <c r="O57" s="389"/>
      <c r="P57" s="389" t="s">
        <v>429</v>
      </c>
    </row>
    <row r="58" spans="1:17" ht="15.75" x14ac:dyDescent="0.3">
      <c r="A58" s="360" t="s">
        <v>430</v>
      </c>
      <c r="B58" s="386" t="s">
        <v>431</v>
      </c>
      <c r="C58" s="372" t="s">
        <v>417</v>
      </c>
      <c r="D58" s="387" t="s">
        <v>430</v>
      </c>
      <c r="E58" s="388" t="s">
        <v>432</v>
      </c>
      <c r="F58" s="361" t="s">
        <v>418</v>
      </c>
      <c r="G58" s="347" t="b">
        <v>1</v>
      </c>
      <c r="M58" s="390"/>
      <c r="N58" s="389" t="s">
        <v>433</v>
      </c>
      <c r="O58" s="390"/>
      <c r="P58" s="390"/>
    </row>
    <row r="59" spans="1:17" ht="15.75" x14ac:dyDescent="0.3">
      <c r="A59" s="360" t="s">
        <v>434</v>
      </c>
      <c r="B59" s="386" t="s">
        <v>435</v>
      </c>
      <c r="C59" s="372" t="s">
        <v>417</v>
      </c>
      <c r="D59" s="387" t="s">
        <v>434</v>
      </c>
      <c r="E59" s="388" t="s">
        <v>436</v>
      </c>
      <c r="F59" s="361" t="s">
        <v>437</v>
      </c>
      <c r="H59" s="360" t="s">
        <v>408</v>
      </c>
      <c r="I59" s="360" t="s">
        <v>420</v>
      </c>
      <c r="J59" s="360"/>
      <c r="M59" s="390"/>
      <c r="N59" s="390"/>
      <c r="O59" s="390"/>
      <c r="P59" s="389" t="s">
        <v>438</v>
      </c>
    </row>
    <row r="60" spans="1:17" ht="15.75" x14ac:dyDescent="0.3">
      <c r="A60" s="360" t="s">
        <v>439</v>
      </c>
      <c r="B60" s="386" t="s">
        <v>440</v>
      </c>
      <c r="C60" s="372" t="s">
        <v>417</v>
      </c>
      <c r="D60" s="387" t="s">
        <v>439</v>
      </c>
      <c r="E60" s="388" t="s">
        <v>436</v>
      </c>
      <c r="F60" s="361" t="s">
        <v>437</v>
      </c>
      <c r="G60" s="380" t="s">
        <v>441</v>
      </c>
      <c r="H60" s="360" t="s">
        <v>408</v>
      </c>
      <c r="I60" s="360" t="s">
        <v>420</v>
      </c>
      <c r="J60" s="360"/>
      <c r="M60" s="390" t="str">
        <f>N58</f>
        <v>$.*</v>
      </c>
      <c r="N60" s="390"/>
      <c r="O60" s="390"/>
      <c r="P60" s="389" t="s">
        <v>1232</v>
      </c>
    </row>
    <row r="61" spans="1:17" ht="15.75" x14ac:dyDescent="0.3">
      <c r="A61" s="360" t="s">
        <v>442</v>
      </c>
      <c r="B61" s="386" t="s">
        <v>443</v>
      </c>
      <c r="C61" s="387" t="s">
        <v>442</v>
      </c>
      <c r="D61" s="387" t="s">
        <v>444</v>
      </c>
      <c r="E61" s="388" t="s">
        <v>445</v>
      </c>
      <c r="F61" s="361" t="s">
        <v>437</v>
      </c>
      <c r="K61" s="360" t="s">
        <v>446</v>
      </c>
      <c r="M61" s="390"/>
      <c r="N61" s="390"/>
      <c r="O61" s="390"/>
      <c r="P61" s="389" t="str">
        <f>N58</f>
        <v>$.*</v>
      </c>
    </row>
    <row r="62" spans="1:17" x14ac:dyDescent="0.25">
      <c r="A62" s="360" t="s">
        <v>447</v>
      </c>
      <c r="B62" s="386" t="s">
        <v>448</v>
      </c>
      <c r="C62" s="372" t="s">
        <v>417</v>
      </c>
      <c r="D62" s="391" t="s">
        <v>449</v>
      </c>
      <c r="E62" s="388" t="s">
        <v>450</v>
      </c>
      <c r="F62" s="361" t="s">
        <v>425</v>
      </c>
      <c r="G62" s="380" t="s">
        <v>441</v>
      </c>
      <c r="H62" s="360" t="s">
        <v>408</v>
      </c>
      <c r="I62" s="360" t="s">
        <v>420</v>
      </c>
      <c r="J62" s="360"/>
      <c r="M62" s="390" t="str">
        <f>N58</f>
        <v>$.*</v>
      </c>
      <c r="N62" s="390"/>
      <c r="O62" s="390"/>
      <c r="P62" s="390"/>
    </row>
    <row r="63" spans="1:17" ht="15.75" x14ac:dyDescent="0.3">
      <c r="A63" s="360" t="s">
        <v>326</v>
      </c>
      <c r="B63" s="386" t="s">
        <v>451</v>
      </c>
      <c r="C63" s="372" t="s">
        <v>417</v>
      </c>
      <c r="D63" s="387" t="s">
        <v>326</v>
      </c>
      <c r="E63" s="388" t="s">
        <v>445</v>
      </c>
      <c r="F63" s="361" t="s">
        <v>437</v>
      </c>
      <c r="G63" s="380" t="s">
        <v>441</v>
      </c>
      <c r="H63" s="360" t="s">
        <v>408</v>
      </c>
      <c r="I63" s="360" t="s">
        <v>420</v>
      </c>
      <c r="J63" s="360"/>
      <c r="M63" s="390" t="str">
        <f>M62</f>
        <v>$.*</v>
      </c>
      <c r="N63" s="390"/>
      <c r="O63" s="390"/>
      <c r="P63" s="390"/>
    </row>
    <row r="64" spans="1:17" ht="191.25" x14ac:dyDescent="0.3">
      <c r="A64" s="360" t="s">
        <v>452</v>
      </c>
      <c r="B64" s="392" t="s">
        <v>453</v>
      </c>
      <c r="C64" s="387" t="s">
        <v>452</v>
      </c>
      <c r="D64" s="387" t="s">
        <v>454</v>
      </c>
      <c r="E64" s="388" t="s">
        <v>445</v>
      </c>
      <c r="F64" s="361" t="s">
        <v>437</v>
      </c>
      <c r="K64" s="360" t="s">
        <v>455</v>
      </c>
      <c r="M64" s="389" t="s">
        <v>456</v>
      </c>
      <c r="N64" s="390"/>
      <c r="O64" s="390"/>
      <c r="P64" s="389" t="s">
        <v>457</v>
      </c>
    </row>
    <row r="65" spans="1:17" x14ac:dyDescent="0.25">
      <c r="A65" s="360" t="s">
        <v>411</v>
      </c>
      <c r="B65" s="386" t="s">
        <v>458</v>
      </c>
      <c r="C65" s="372" t="s">
        <v>459</v>
      </c>
      <c r="D65" s="894" t="s">
        <v>473</v>
      </c>
      <c r="E65" s="388"/>
      <c r="F65" s="361"/>
      <c r="G65" s="380"/>
      <c r="H65" s="360"/>
      <c r="I65" s="360"/>
      <c r="J65" s="360"/>
      <c r="K65" s="360" t="s">
        <v>446</v>
      </c>
      <c r="M65" s="390"/>
      <c r="N65" s="390"/>
      <c r="O65" s="390"/>
      <c r="P65" s="390" t="str">
        <f>P61</f>
        <v>$.*</v>
      </c>
    </row>
    <row r="66" spans="1:17" ht="15.75" x14ac:dyDescent="0.3">
      <c r="A66" s="360" t="s">
        <v>336</v>
      </c>
      <c r="B66" s="386" t="s">
        <v>460</v>
      </c>
      <c r="C66" s="387" t="s">
        <v>461</v>
      </c>
      <c r="D66" s="372" t="s">
        <v>462</v>
      </c>
      <c r="E66" s="388" t="s">
        <v>445</v>
      </c>
      <c r="F66" s="361" t="s">
        <v>437</v>
      </c>
      <c r="I66" s="360"/>
      <c r="J66" s="360"/>
      <c r="K66" s="345" t="s">
        <v>336</v>
      </c>
      <c r="L66" s="360"/>
      <c r="M66" s="393" t="str">
        <f>N58</f>
        <v>$.*</v>
      </c>
      <c r="N66" s="389" t="s">
        <v>463</v>
      </c>
      <c r="O66" s="390"/>
      <c r="P66" s="390"/>
    </row>
    <row r="67" spans="1:17" ht="15.75" x14ac:dyDescent="0.3">
      <c r="A67" s="360" t="s">
        <v>295</v>
      </c>
      <c r="B67" s="386" t="s">
        <v>464</v>
      </c>
      <c r="C67" s="372" t="s">
        <v>417</v>
      </c>
      <c r="D67" s="387" t="s">
        <v>295</v>
      </c>
      <c r="E67" s="388" t="s">
        <v>295</v>
      </c>
      <c r="F67" s="361" t="s">
        <v>418</v>
      </c>
      <c r="G67" s="380" t="s">
        <v>441</v>
      </c>
      <c r="H67" s="360" t="s">
        <v>408</v>
      </c>
      <c r="I67" s="360" t="s">
        <v>420</v>
      </c>
      <c r="J67" s="360"/>
      <c r="M67" s="390" t="str">
        <f>M66</f>
        <v>$.*</v>
      </c>
      <c r="N67" s="390"/>
      <c r="O67" s="390"/>
      <c r="P67" s="390"/>
    </row>
    <row r="68" spans="1:17" ht="15.75" x14ac:dyDescent="0.3">
      <c r="A68" s="360" t="s">
        <v>380</v>
      </c>
      <c r="B68" s="386" t="s">
        <v>380</v>
      </c>
      <c r="C68" s="372" t="s">
        <v>417</v>
      </c>
      <c r="D68" s="387" t="s">
        <v>380</v>
      </c>
      <c r="E68" s="388" t="s">
        <v>445</v>
      </c>
      <c r="F68" s="361" t="s">
        <v>437</v>
      </c>
      <c r="G68" s="380" t="s">
        <v>441</v>
      </c>
      <c r="H68" s="360" t="s">
        <v>408</v>
      </c>
      <c r="I68" s="360" t="s">
        <v>420</v>
      </c>
      <c r="J68" s="360"/>
      <c r="M68" s="389" t="s">
        <v>465</v>
      </c>
      <c r="N68" s="389" t="s">
        <v>466</v>
      </c>
      <c r="O68" s="390"/>
      <c r="P68" s="390"/>
    </row>
    <row r="69" spans="1:17" ht="15.75" x14ac:dyDescent="0.3">
      <c r="A69" s="360" t="s">
        <v>1221</v>
      </c>
      <c r="B69" s="386" t="s">
        <v>1221</v>
      </c>
      <c r="C69" s="372" t="s">
        <v>417</v>
      </c>
      <c r="D69" s="387" t="s">
        <v>1221</v>
      </c>
      <c r="E69" s="388" t="s">
        <v>445</v>
      </c>
      <c r="F69" s="361" t="s">
        <v>437</v>
      </c>
      <c r="G69" s="380"/>
      <c r="H69" s="360"/>
      <c r="I69" s="360"/>
      <c r="J69" s="360"/>
      <c r="M69" s="389" t="s">
        <v>465</v>
      </c>
      <c r="N69" s="389"/>
      <c r="O69" s="390"/>
      <c r="P69" s="390"/>
    </row>
    <row r="70" spans="1:17" x14ac:dyDescent="0.25">
      <c r="A70" s="394" t="s">
        <v>282</v>
      </c>
      <c r="B70" s="386" t="s">
        <v>467</v>
      </c>
      <c r="C70" s="372"/>
      <c r="D70" s="391"/>
      <c r="E70" s="388"/>
      <c r="F70" s="361"/>
      <c r="M70" s="389" t="s">
        <v>468</v>
      </c>
      <c r="N70" s="389" t="s">
        <v>468</v>
      </c>
      <c r="O70" s="390"/>
      <c r="P70" s="389" t="s">
        <v>468</v>
      </c>
    </row>
    <row r="71" spans="1:17" x14ac:dyDescent="0.25">
      <c r="C71" s="372"/>
      <c r="D71" s="372" t="s">
        <v>469</v>
      </c>
      <c r="E71" s="388" t="s">
        <v>445</v>
      </c>
      <c r="F71" s="361" t="s">
        <v>437</v>
      </c>
      <c r="M71" s="390"/>
      <c r="N71" s="390"/>
      <c r="O71" s="390"/>
      <c r="P71" s="390"/>
    </row>
    <row r="72" spans="1:17" x14ac:dyDescent="0.25">
      <c r="C72" s="372"/>
      <c r="D72" s="372" t="s">
        <v>470</v>
      </c>
      <c r="E72" s="388" t="s">
        <v>445</v>
      </c>
      <c r="F72" s="361" t="s">
        <v>437</v>
      </c>
      <c r="M72" s="390"/>
      <c r="N72" s="390"/>
      <c r="O72" s="390"/>
      <c r="P72" s="390"/>
    </row>
    <row r="73" spans="1:17" x14ac:dyDescent="0.25">
      <c r="C73" s="372"/>
      <c r="D73" s="372" t="s">
        <v>471</v>
      </c>
      <c r="E73" s="388"/>
      <c r="F73" s="361"/>
      <c r="M73" s="390"/>
      <c r="N73" s="390"/>
      <c r="O73" s="390"/>
      <c r="P73" s="390"/>
    </row>
    <row r="74" spans="1:17" x14ac:dyDescent="0.25">
      <c r="A74" s="360"/>
      <c r="C74" s="372"/>
      <c r="D74" s="372" t="s">
        <v>472</v>
      </c>
      <c r="E74" s="388" t="s">
        <v>445</v>
      </c>
      <c r="F74" s="361" t="s">
        <v>437</v>
      </c>
      <c r="M74" s="390"/>
      <c r="N74" s="390"/>
      <c r="O74" s="390"/>
      <c r="P74" s="390"/>
    </row>
    <row r="75" spans="1:17" x14ac:dyDescent="0.25">
      <c r="C75" s="391"/>
      <c r="D75" s="372" t="s">
        <v>473</v>
      </c>
      <c r="E75" s="388" t="s">
        <v>445</v>
      </c>
      <c r="F75" s="361" t="s">
        <v>437</v>
      </c>
      <c r="M75" s="390"/>
      <c r="N75" s="390"/>
      <c r="O75" s="390"/>
      <c r="P75" s="390"/>
    </row>
    <row r="76" spans="1:17" x14ac:dyDescent="0.25">
      <c r="A76" s="360" t="s">
        <v>474</v>
      </c>
      <c r="C76" s="391"/>
      <c r="D76" s="372"/>
      <c r="F76" s="361"/>
      <c r="Q76" s="360" t="s">
        <v>475</v>
      </c>
    </row>
    <row r="77" spans="1:17" x14ac:dyDescent="0.25">
      <c r="A77" s="360" t="s">
        <v>446</v>
      </c>
      <c r="B77" s="357" t="s">
        <v>476</v>
      </c>
      <c r="C77" s="391"/>
      <c r="D77" s="372"/>
      <c r="F77" s="361"/>
      <c r="Q77" s="395" t="s">
        <v>420</v>
      </c>
    </row>
    <row r="78" spans="1:17" x14ac:dyDescent="0.25">
      <c r="A78" s="360" t="s">
        <v>408</v>
      </c>
      <c r="B78" s="357" t="s">
        <v>477</v>
      </c>
      <c r="C78" s="391"/>
      <c r="D78" s="372"/>
      <c r="F78" s="361"/>
      <c r="Q78" s="395" t="s">
        <v>408</v>
      </c>
    </row>
    <row r="79" spans="1:17" x14ac:dyDescent="0.25">
      <c r="A79" s="360"/>
      <c r="B79" s="357"/>
      <c r="C79" s="391"/>
      <c r="D79" s="372"/>
      <c r="F79" s="361"/>
      <c r="Q79" s="395" t="s">
        <v>411</v>
      </c>
    </row>
    <row r="80" spans="1:17" x14ac:dyDescent="0.25">
      <c r="A80" s="360"/>
      <c r="B80" s="391"/>
      <c r="C80" s="391"/>
      <c r="D80" s="372"/>
      <c r="F80" s="361"/>
      <c r="Q80" s="395" t="s">
        <v>336</v>
      </c>
    </row>
    <row r="81" spans="1:17" x14ac:dyDescent="0.25">
      <c r="A81" s="360"/>
      <c r="B81" s="391"/>
      <c r="C81" s="391"/>
      <c r="D81" s="372"/>
      <c r="F81" s="361"/>
      <c r="Q81" s="395" t="s">
        <v>455</v>
      </c>
    </row>
    <row r="82" spans="1:17" x14ac:dyDescent="0.25">
      <c r="A82" s="360"/>
      <c r="B82" s="391"/>
      <c r="C82" s="391"/>
      <c r="D82" s="372"/>
      <c r="F82" s="361"/>
    </row>
    <row r="83" spans="1:17" x14ac:dyDescent="0.25">
      <c r="C83" s="391"/>
      <c r="D83" s="372"/>
      <c r="F83" s="361"/>
    </row>
    <row r="84" spans="1:17" x14ac:dyDescent="0.25">
      <c r="A84" s="396" t="s">
        <v>478</v>
      </c>
    </row>
    <row r="85" spans="1:17" x14ac:dyDescent="0.25">
      <c r="A85" s="360" t="s">
        <v>479</v>
      </c>
    </row>
    <row r="86" spans="1:17" x14ac:dyDescent="0.25">
      <c r="A86" s="360" t="s">
        <v>480</v>
      </c>
    </row>
    <row r="87" spans="1:17" x14ac:dyDescent="0.25">
      <c r="A87" s="360" t="s">
        <v>481</v>
      </c>
      <c r="B87" s="350" t="s">
        <v>168</v>
      </c>
    </row>
    <row r="88" spans="1:17" x14ac:dyDescent="0.25">
      <c r="A88" s="360" t="s">
        <v>482</v>
      </c>
      <c r="B88" s="349">
        <v>1</v>
      </c>
    </row>
    <row r="89" spans="1:17" x14ac:dyDescent="0.25">
      <c r="A89" s="360" t="s">
        <v>483</v>
      </c>
      <c r="B89" s="349">
        <v>1</v>
      </c>
    </row>
    <row r="90" spans="1:17" x14ac:dyDescent="0.25">
      <c r="A90" s="360" t="s">
        <v>484</v>
      </c>
      <c r="B90" s="349">
        <v>1</v>
      </c>
    </row>
    <row r="91" spans="1:17" x14ac:dyDescent="0.25">
      <c r="A91" s="360" t="s">
        <v>485</v>
      </c>
    </row>
    <row r="92" spans="1:17" x14ac:dyDescent="0.25">
      <c r="A92" s="360" t="s">
        <v>486</v>
      </c>
    </row>
    <row r="93" spans="1:17" x14ac:dyDescent="0.25">
      <c r="A93" s="360" t="s">
        <v>487</v>
      </c>
      <c r="B93" s="350" t="s">
        <v>168</v>
      </c>
    </row>
    <row r="94" spans="1:17" x14ac:dyDescent="0.25">
      <c r="A94" s="360" t="s">
        <v>488</v>
      </c>
      <c r="F94" s="345"/>
      <c r="G94" s="345"/>
    </row>
    <row r="95" spans="1:17" x14ac:dyDescent="0.25">
      <c r="A95" s="360" t="s">
        <v>489</v>
      </c>
      <c r="F95" s="345"/>
      <c r="G95" s="345"/>
    </row>
    <row r="96" spans="1:17" x14ac:dyDescent="0.25">
      <c r="A96" s="360" t="s">
        <v>490</v>
      </c>
      <c r="F96" s="345"/>
      <c r="G96" s="345"/>
    </row>
    <row r="97" spans="1:7" x14ac:dyDescent="0.25">
      <c r="A97" s="360" t="s">
        <v>491</v>
      </c>
      <c r="F97" s="345"/>
      <c r="G97" s="345"/>
    </row>
    <row r="98" spans="1:7" x14ac:dyDescent="0.25">
      <c r="A98" s="360" t="s">
        <v>492</v>
      </c>
      <c r="B98" s="349">
        <v>1</v>
      </c>
      <c r="F98" s="345"/>
      <c r="G98" s="345"/>
    </row>
    <row r="99" spans="1:7" x14ac:dyDescent="0.25">
      <c r="A99" s="360" t="s">
        <v>493</v>
      </c>
      <c r="B99" s="349">
        <v>1</v>
      </c>
      <c r="F99" s="345"/>
      <c r="G99" s="345"/>
    </row>
    <row r="100" spans="1:7" x14ac:dyDescent="0.25">
      <c r="A100" s="360" t="s">
        <v>494</v>
      </c>
      <c r="F100" s="345"/>
      <c r="G100" s="345"/>
    </row>
    <row r="101" spans="1:7" x14ac:dyDescent="0.25">
      <c r="A101" s="360" t="s">
        <v>495</v>
      </c>
      <c r="F101" s="345"/>
      <c r="G101" s="345"/>
    </row>
    <row r="102" spans="1:7" x14ac:dyDescent="0.25">
      <c r="A102" s="360" t="s">
        <v>496</v>
      </c>
      <c r="F102" s="345"/>
      <c r="G102" s="345"/>
    </row>
    <row r="103" spans="1:7" x14ac:dyDescent="0.25">
      <c r="A103" s="360" t="s">
        <v>497</v>
      </c>
      <c r="F103" s="345"/>
      <c r="G103" s="345"/>
    </row>
    <row r="104" spans="1:7" x14ac:dyDescent="0.25">
      <c r="A104" s="360" t="s">
        <v>498</v>
      </c>
      <c r="B104" s="349">
        <v>1</v>
      </c>
      <c r="F104" s="345"/>
      <c r="G104" s="345"/>
    </row>
    <row r="105" spans="1:7" x14ac:dyDescent="0.25">
      <c r="A105" s="360" t="s">
        <v>499</v>
      </c>
      <c r="B105" s="349">
        <v>1</v>
      </c>
      <c r="F105" s="345"/>
      <c r="G105" s="345"/>
    </row>
    <row r="106" spans="1:7" x14ac:dyDescent="0.25">
      <c r="A106" s="360" t="s">
        <v>500</v>
      </c>
      <c r="F106" s="345"/>
      <c r="G106" s="345"/>
    </row>
    <row r="107" spans="1:7" x14ac:dyDescent="0.25">
      <c r="A107" s="360" t="s">
        <v>501</v>
      </c>
      <c r="B107" s="349">
        <v>1</v>
      </c>
      <c r="F107" s="345"/>
      <c r="G107" s="345"/>
    </row>
    <row r="108" spans="1:7" x14ac:dyDescent="0.25">
      <c r="A108" s="360" t="s">
        <v>502</v>
      </c>
      <c r="F108" s="345"/>
      <c r="G108" s="345"/>
    </row>
    <row r="109" spans="1:7" x14ac:dyDescent="0.25">
      <c r="A109" s="360" t="s">
        <v>503</v>
      </c>
      <c r="B109" s="349">
        <v>1</v>
      </c>
      <c r="F109" s="345"/>
      <c r="G109" s="345"/>
    </row>
    <row r="110" spans="1:7" x14ac:dyDescent="0.25">
      <c r="A110" s="360" t="s">
        <v>504</v>
      </c>
      <c r="B110" s="349">
        <v>1</v>
      </c>
      <c r="F110" s="345"/>
      <c r="G110" s="345"/>
    </row>
    <row r="111" spans="1:7" x14ac:dyDescent="0.25">
      <c r="A111" s="360" t="s">
        <v>505</v>
      </c>
      <c r="F111" s="345"/>
      <c r="G111" s="345"/>
    </row>
    <row r="112" spans="1:7" x14ac:dyDescent="0.25">
      <c r="A112" s="360" t="s">
        <v>506</v>
      </c>
      <c r="F112" s="345"/>
      <c r="G112" s="345"/>
    </row>
    <row r="113" spans="1:7" x14ac:dyDescent="0.25">
      <c r="A113" s="360" t="s">
        <v>507</v>
      </c>
      <c r="F113" s="345"/>
      <c r="G113" s="345"/>
    </row>
    <row r="114" spans="1:7" x14ac:dyDescent="0.25">
      <c r="A114" s="360" t="s">
        <v>508</v>
      </c>
      <c r="F114" s="345"/>
      <c r="G114" s="345"/>
    </row>
    <row r="115" spans="1:7" x14ac:dyDescent="0.25">
      <c r="A115" s="360" t="s">
        <v>509</v>
      </c>
      <c r="F115" s="345"/>
      <c r="G115" s="345"/>
    </row>
    <row r="116" spans="1:7" x14ac:dyDescent="0.25">
      <c r="A116" s="360" t="s">
        <v>510</v>
      </c>
      <c r="F116" s="345"/>
      <c r="G116" s="345"/>
    </row>
    <row r="117" spans="1:7" x14ac:dyDescent="0.25">
      <c r="A117" s="360" t="s">
        <v>511</v>
      </c>
      <c r="B117" s="349">
        <v>1</v>
      </c>
      <c r="F117" s="345"/>
      <c r="G117" s="345"/>
    </row>
    <row r="118" spans="1:7" x14ac:dyDescent="0.25">
      <c r="A118" s="360" t="s">
        <v>512</v>
      </c>
      <c r="F118" s="345"/>
      <c r="G118" s="345"/>
    </row>
    <row r="119" spans="1:7" x14ac:dyDescent="0.25">
      <c r="A119" s="360" t="s">
        <v>513</v>
      </c>
      <c r="F119" s="345"/>
      <c r="G119" s="345"/>
    </row>
    <row r="120" spans="1:7" x14ac:dyDescent="0.25">
      <c r="A120" s="360" t="s">
        <v>514</v>
      </c>
      <c r="F120" s="345"/>
      <c r="G120" s="345"/>
    </row>
    <row r="121" spans="1:7" x14ac:dyDescent="0.25">
      <c r="A121" s="360" t="s">
        <v>515</v>
      </c>
      <c r="B121" s="349">
        <v>1</v>
      </c>
      <c r="F121" s="345"/>
      <c r="G121" s="345"/>
    </row>
    <row r="122" spans="1:7" x14ac:dyDescent="0.25">
      <c r="A122" s="360" t="s">
        <v>516</v>
      </c>
      <c r="F122" s="345"/>
      <c r="G122" s="345"/>
    </row>
    <row r="123" spans="1:7" x14ac:dyDescent="0.25">
      <c r="A123" s="360" t="s">
        <v>517</v>
      </c>
      <c r="F123" s="345"/>
      <c r="G123" s="345"/>
    </row>
    <row r="124" spans="1:7" x14ac:dyDescent="0.25">
      <c r="A124" s="360" t="s">
        <v>518</v>
      </c>
      <c r="F124" s="345"/>
      <c r="G124" s="345"/>
    </row>
    <row r="125" spans="1:7" x14ac:dyDescent="0.25">
      <c r="A125" s="360" t="s">
        <v>519</v>
      </c>
      <c r="F125" s="345"/>
      <c r="G125" s="345"/>
    </row>
    <row r="126" spans="1:7" x14ac:dyDescent="0.25">
      <c r="A126" s="360" t="s">
        <v>520</v>
      </c>
      <c r="B126" s="349">
        <v>1</v>
      </c>
      <c r="F126" s="345"/>
      <c r="G126" s="345"/>
    </row>
    <row r="127" spans="1:7" x14ac:dyDescent="0.25">
      <c r="A127" s="360" t="s">
        <v>521</v>
      </c>
      <c r="B127" s="349">
        <v>1</v>
      </c>
      <c r="F127" s="345"/>
      <c r="G127" s="345"/>
    </row>
    <row r="128" spans="1:7" x14ac:dyDescent="0.25">
      <c r="A128" s="360" t="s">
        <v>522</v>
      </c>
      <c r="F128" s="345"/>
      <c r="G128" s="345"/>
    </row>
    <row r="129" spans="1:7" x14ac:dyDescent="0.25">
      <c r="A129" s="360" t="s">
        <v>523</v>
      </c>
      <c r="F129" s="345"/>
      <c r="G129" s="345"/>
    </row>
    <row r="130" spans="1:7" x14ac:dyDescent="0.25">
      <c r="A130" s="360" t="s">
        <v>524</v>
      </c>
      <c r="F130" s="345"/>
      <c r="G130" s="345"/>
    </row>
    <row r="131" spans="1:7" x14ac:dyDescent="0.25">
      <c r="A131" s="360" t="s">
        <v>525</v>
      </c>
      <c r="B131" s="349">
        <v>1</v>
      </c>
      <c r="F131" s="345"/>
      <c r="G131" s="345"/>
    </row>
    <row r="132" spans="1:7" x14ac:dyDescent="0.25">
      <c r="A132" s="360" t="s">
        <v>526</v>
      </c>
      <c r="F132" s="345"/>
      <c r="G132" s="345"/>
    </row>
    <row r="133" spans="1:7" x14ac:dyDescent="0.25">
      <c r="A133" s="360" t="s">
        <v>527</v>
      </c>
      <c r="F133" s="345"/>
      <c r="G133" s="345"/>
    </row>
    <row r="134" spans="1:7" x14ac:dyDescent="0.25">
      <c r="A134" s="360" t="s">
        <v>528</v>
      </c>
      <c r="B134" s="349">
        <v>1</v>
      </c>
      <c r="F134" s="345"/>
      <c r="G134" s="345"/>
    </row>
    <row r="135" spans="1:7" x14ac:dyDescent="0.25">
      <c r="A135" s="360" t="s">
        <v>529</v>
      </c>
      <c r="F135" s="345"/>
      <c r="G135" s="345"/>
    </row>
    <row r="136" spans="1:7" x14ac:dyDescent="0.25">
      <c r="A136" s="360" t="s">
        <v>530</v>
      </c>
      <c r="F136" s="345"/>
      <c r="G136" s="345"/>
    </row>
    <row r="137" spans="1:7" x14ac:dyDescent="0.25">
      <c r="A137" s="360" t="s">
        <v>531</v>
      </c>
      <c r="F137" s="345"/>
      <c r="G137" s="345"/>
    </row>
    <row r="138" spans="1:7" x14ac:dyDescent="0.25">
      <c r="A138" s="360" t="s">
        <v>532</v>
      </c>
      <c r="F138" s="345"/>
      <c r="G138" s="345"/>
    </row>
    <row r="139" spans="1:7" x14ac:dyDescent="0.25">
      <c r="A139" s="360" t="s">
        <v>533</v>
      </c>
      <c r="B139" s="349">
        <v>1</v>
      </c>
      <c r="F139" s="345"/>
      <c r="G139" s="345"/>
    </row>
    <row r="140" spans="1:7" x14ac:dyDescent="0.25">
      <c r="A140" s="360" t="s">
        <v>534</v>
      </c>
      <c r="B140" s="349">
        <v>1</v>
      </c>
      <c r="F140" s="345"/>
      <c r="G140" s="345"/>
    </row>
    <row r="141" spans="1:7" x14ac:dyDescent="0.25">
      <c r="A141" s="360" t="s">
        <v>535</v>
      </c>
      <c r="F141" s="345"/>
      <c r="G141" s="345"/>
    </row>
    <row r="142" spans="1:7" x14ac:dyDescent="0.25">
      <c r="A142" s="360" t="s">
        <v>536</v>
      </c>
      <c r="B142" s="349">
        <v>1</v>
      </c>
      <c r="F142" s="345"/>
      <c r="G142" s="345"/>
    </row>
    <row r="143" spans="1:7" x14ac:dyDescent="0.25">
      <c r="A143" s="360" t="s">
        <v>537</v>
      </c>
      <c r="F143" s="345"/>
      <c r="G143" s="345"/>
    </row>
    <row r="144" spans="1:7" x14ac:dyDescent="0.25">
      <c r="A144" s="360" t="s">
        <v>538</v>
      </c>
      <c r="B144" s="349">
        <v>1</v>
      </c>
      <c r="F144" s="345"/>
      <c r="G144" s="345"/>
    </row>
    <row r="145" spans="1:7" x14ac:dyDescent="0.25">
      <c r="A145" s="360" t="s">
        <v>539</v>
      </c>
      <c r="F145" s="345"/>
      <c r="G145" s="345"/>
    </row>
    <row r="146" spans="1:7" x14ac:dyDescent="0.25">
      <c r="A146" s="360" t="s">
        <v>540</v>
      </c>
      <c r="F146" s="345"/>
      <c r="G146" s="345"/>
    </row>
    <row r="147" spans="1:7" x14ac:dyDescent="0.25">
      <c r="A147" s="360" t="s">
        <v>541</v>
      </c>
      <c r="F147" s="345"/>
      <c r="G147" s="345"/>
    </row>
    <row r="148" spans="1:7" x14ac:dyDescent="0.25">
      <c r="A148" s="360" t="s">
        <v>542</v>
      </c>
      <c r="F148" s="345"/>
      <c r="G148" s="345"/>
    </row>
    <row r="149" spans="1:7" x14ac:dyDescent="0.25">
      <c r="A149" s="360" t="s">
        <v>543</v>
      </c>
      <c r="F149" s="345"/>
      <c r="G149" s="345"/>
    </row>
    <row r="150" spans="1:7" x14ac:dyDescent="0.25">
      <c r="A150" s="360" t="s">
        <v>544</v>
      </c>
      <c r="F150" s="345"/>
      <c r="G150" s="345"/>
    </row>
    <row r="151" spans="1:7" x14ac:dyDescent="0.25">
      <c r="A151" s="360" t="s">
        <v>545</v>
      </c>
      <c r="B151" s="349">
        <v>1</v>
      </c>
      <c r="F151" s="345"/>
      <c r="G151" s="345"/>
    </row>
    <row r="152" spans="1:7" x14ac:dyDescent="0.25">
      <c r="A152" s="360" t="s">
        <v>546</v>
      </c>
      <c r="B152" s="349">
        <v>1</v>
      </c>
      <c r="F152" s="345"/>
      <c r="G152" s="345"/>
    </row>
    <row r="153" spans="1:7" x14ac:dyDescent="0.25">
      <c r="A153" s="360" t="s">
        <v>547</v>
      </c>
      <c r="F153" s="345"/>
      <c r="G153" s="345"/>
    </row>
    <row r="154" spans="1:7" x14ac:dyDescent="0.25">
      <c r="A154" s="360" t="s">
        <v>548</v>
      </c>
      <c r="B154" s="349">
        <v>1</v>
      </c>
      <c r="F154" s="345"/>
      <c r="G154" s="345"/>
    </row>
    <row r="155" spans="1:7" x14ac:dyDescent="0.25">
      <c r="A155" s="360" t="s">
        <v>549</v>
      </c>
      <c r="B155" s="350" t="s">
        <v>168</v>
      </c>
      <c r="F155" s="345"/>
      <c r="G155" s="345"/>
    </row>
    <row r="156" spans="1:7" x14ac:dyDescent="0.25">
      <c r="A156" s="360" t="s">
        <v>550</v>
      </c>
      <c r="F156" s="345"/>
      <c r="G156" s="345"/>
    </row>
    <row r="157" spans="1:7" x14ac:dyDescent="0.25">
      <c r="A157" s="360" t="s">
        <v>551</v>
      </c>
      <c r="B157" s="349">
        <v>1</v>
      </c>
      <c r="F157" s="345"/>
      <c r="G157" s="345"/>
    </row>
    <row r="158" spans="1:7" x14ac:dyDescent="0.25">
      <c r="A158" s="360" t="s">
        <v>552</v>
      </c>
      <c r="F158" s="345"/>
      <c r="G158" s="345"/>
    </row>
    <row r="159" spans="1:7" x14ac:dyDescent="0.25">
      <c r="A159" s="360" t="s">
        <v>553</v>
      </c>
      <c r="F159" s="345"/>
      <c r="G159" s="345"/>
    </row>
    <row r="160" spans="1:7" x14ac:dyDescent="0.25">
      <c r="A160" s="360" t="s">
        <v>554</v>
      </c>
      <c r="F160" s="345"/>
      <c r="G160" s="345"/>
    </row>
    <row r="161" spans="1:7" x14ac:dyDescent="0.25">
      <c r="A161" s="360" t="s">
        <v>555</v>
      </c>
      <c r="F161" s="345"/>
      <c r="G161" s="345"/>
    </row>
    <row r="162" spans="1:7" x14ac:dyDescent="0.25">
      <c r="A162" s="360" t="s">
        <v>556</v>
      </c>
      <c r="F162" s="345"/>
      <c r="G162" s="345"/>
    </row>
    <row r="163" spans="1:7" x14ac:dyDescent="0.25">
      <c r="A163" s="360" t="s">
        <v>557</v>
      </c>
      <c r="B163" s="350" t="s">
        <v>168</v>
      </c>
      <c r="F163" s="345"/>
      <c r="G163" s="345"/>
    </row>
    <row r="164" spans="1:7" x14ac:dyDescent="0.25">
      <c r="A164" s="360" t="s">
        <v>558</v>
      </c>
      <c r="F164" s="345"/>
      <c r="G164" s="345"/>
    </row>
    <row r="165" spans="1:7" x14ac:dyDescent="0.25">
      <c r="A165" s="360" t="s">
        <v>559</v>
      </c>
      <c r="F165" s="345"/>
      <c r="G165" s="345"/>
    </row>
    <row r="166" spans="1:7" x14ac:dyDescent="0.25">
      <c r="A166" s="360" t="s">
        <v>560</v>
      </c>
      <c r="F166" s="345"/>
      <c r="G166" s="345"/>
    </row>
    <row r="167" spans="1:7" x14ac:dyDescent="0.25">
      <c r="A167" s="360" t="s">
        <v>561</v>
      </c>
      <c r="B167" s="349">
        <v>1</v>
      </c>
      <c r="F167" s="345"/>
      <c r="G167" s="345"/>
    </row>
    <row r="168" spans="1:7" x14ac:dyDescent="0.25">
      <c r="A168" s="360" t="s">
        <v>562</v>
      </c>
      <c r="B168" s="349">
        <v>1</v>
      </c>
      <c r="F168" s="345"/>
      <c r="G168" s="345"/>
    </row>
    <row r="169" spans="1:7" x14ac:dyDescent="0.25">
      <c r="A169" s="360" t="s">
        <v>563</v>
      </c>
      <c r="F169" s="345"/>
      <c r="G169" s="345"/>
    </row>
    <row r="170" spans="1:7" x14ac:dyDescent="0.25">
      <c r="A170" s="360" t="s">
        <v>564</v>
      </c>
      <c r="F170" s="345"/>
      <c r="G170" s="345"/>
    </row>
    <row r="171" spans="1:7" x14ac:dyDescent="0.25">
      <c r="A171" s="360" t="s">
        <v>565</v>
      </c>
      <c r="F171" s="345"/>
      <c r="G171" s="345"/>
    </row>
    <row r="172" spans="1:7" x14ac:dyDescent="0.25">
      <c r="A172" s="360" t="s">
        <v>566</v>
      </c>
      <c r="B172" s="350" t="s">
        <v>168</v>
      </c>
      <c r="F172" s="345"/>
      <c r="G172" s="345"/>
    </row>
    <row r="173" spans="1:7" x14ac:dyDescent="0.25">
      <c r="F173" s="345"/>
      <c r="G173" s="345"/>
    </row>
    <row r="174" spans="1:7" x14ac:dyDescent="0.25">
      <c r="A174" s="397" t="s">
        <v>567</v>
      </c>
      <c r="F174" s="345"/>
      <c r="G174" s="345"/>
    </row>
    <row r="175" spans="1:7" x14ac:dyDescent="0.25">
      <c r="A175" s="345" t="s">
        <v>568</v>
      </c>
      <c r="F175" s="345"/>
      <c r="G175" s="345"/>
    </row>
    <row r="176" spans="1:7" x14ac:dyDescent="0.25">
      <c r="A176" s="360" t="s">
        <v>569</v>
      </c>
      <c r="B176" s="350" t="s">
        <v>570</v>
      </c>
      <c r="F176" s="345"/>
      <c r="G176" s="345"/>
    </row>
    <row r="177" spans="1:7" x14ac:dyDescent="0.25">
      <c r="A177" s="345" t="s">
        <v>571</v>
      </c>
      <c r="F177" s="345"/>
      <c r="G177" s="345"/>
    </row>
    <row r="178" spans="1:7" x14ac:dyDescent="0.25">
      <c r="A178" s="360" t="s">
        <v>572</v>
      </c>
      <c r="F178" s="345"/>
      <c r="G178" s="345"/>
    </row>
    <row r="179" spans="1:7" x14ac:dyDescent="0.25">
      <c r="A179" s="345" t="s">
        <v>573</v>
      </c>
      <c r="B179" s="345"/>
      <c r="F179" s="345"/>
      <c r="G179" s="345"/>
    </row>
    <row r="180" spans="1:7" x14ac:dyDescent="0.25">
      <c r="A180" s="345" t="s">
        <v>574</v>
      </c>
      <c r="F180" s="345"/>
      <c r="G180" s="345"/>
    </row>
    <row r="181" spans="1:7" x14ac:dyDescent="0.25">
      <c r="A181" s="345" t="s">
        <v>575</v>
      </c>
      <c r="B181" s="398" t="s">
        <v>576</v>
      </c>
      <c r="F181" s="345"/>
      <c r="G181" s="345"/>
    </row>
    <row r="182" spans="1:7" x14ac:dyDescent="0.25">
      <c r="A182" s="360" t="s">
        <v>577</v>
      </c>
      <c r="B182" s="398" t="s">
        <v>578</v>
      </c>
      <c r="F182" s="345"/>
      <c r="G182" s="345"/>
    </row>
    <row r="183" spans="1:7" x14ac:dyDescent="0.25">
      <c r="A183" s="345" t="s">
        <v>579</v>
      </c>
      <c r="B183" s="360"/>
      <c r="F183" s="345"/>
      <c r="G183" s="345"/>
    </row>
    <row r="184" spans="1:7" x14ac:dyDescent="0.25">
      <c r="A184" s="345" t="s">
        <v>580</v>
      </c>
      <c r="F184" s="345"/>
      <c r="G184" s="345"/>
    </row>
    <row r="185" spans="1:7" x14ac:dyDescent="0.25">
      <c r="A185" s="345" t="s">
        <v>581</v>
      </c>
    </row>
    <row r="186" spans="1:7" x14ac:dyDescent="0.25">
      <c r="A186" s="345" t="s">
        <v>582</v>
      </c>
      <c r="F186" s="345"/>
      <c r="G186" s="345"/>
    </row>
    <row r="187" spans="1:7" x14ac:dyDescent="0.25">
      <c r="A187" s="345" t="s">
        <v>583</v>
      </c>
      <c r="F187" s="345"/>
      <c r="G187" s="345"/>
    </row>
    <row r="188" spans="1:7" x14ac:dyDescent="0.25">
      <c r="A188" s="345" t="s">
        <v>584</v>
      </c>
      <c r="F188" s="345"/>
      <c r="G188" s="345"/>
    </row>
    <row r="189" spans="1:7" x14ac:dyDescent="0.25">
      <c r="A189" s="345" t="s">
        <v>585</v>
      </c>
      <c r="F189" s="345"/>
      <c r="G189" s="345"/>
    </row>
    <row r="190" spans="1:7" x14ac:dyDescent="0.25">
      <c r="A190" s="345" t="s">
        <v>586</v>
      </c>
      <c r="B190" s="360"/>
    </row>
    <row r="191" spans="1:7" x14ac:dyDescent="0.25">
      <c r="A191" s="345" t="s">
        <v>587</v>
      </c>
      <c r="F191" s="345"/>
      <c r="G191" s="345"/>
    </row>
    <row r="192" spans="1:7" x14ac:dyDescent="0.25">
      <c r="A192" s="345" t="s">
        <v>588</v>
      </c>
      <c r="C192" s="360" t="s">
        <v>589</v>
      </c>
      <c r="F192" s="345"/>
      <c r="G192" s="345"/>
    </row>
    <row r="193" spans="1:7" x14ac:dyDescent="0.25">
      <c r="A193" s="345" t="s">
        <v>590</v>
      </c>
      <c r="C193" s="360"/>
      <c r="F193" s="345"/>
      <c r="G193" s="345"/>
    </row>
    <row r="194" spans="1:7" x14ac:dyDescent="0.25">
      <c r="A194" s="345" t="s">
        <v>591</v>
      </c>
      <c r="B194" s="345" t="s">
        <v>592</v>
      </c>
      <c r="F194" s="345"/>
      <c r="G194" s="345"/>
    </row>
    <row r="195" spans="1:7" x14ac:dyDescent="0.25">
      <c r="A195" s="345" t="s">
        <v>593</v>
      </c>
      <c r="F195" s="345"/>
      <c r="G195" s="345"/>
    </row>
    <row r="196" spans="1:7" x14ac:dyDescent="0.25">
      <c r="A196" s="345" t="s">
        <v>594</v>
      </c>
      <c r="F196" s="345"/>
      <c r="G196" s="345"/>
    </row>
    <row r="197" spans="1:7" x14ac:dyDescent="0.25">
      <c r="A197" s="345" t="s">
        <v>595</v>
      </c>
    </row>
    <row r="198" spans="1:7" x14ac:dyDescent="0.25">
      <c r="A198" s="345" t="s">
        <v>596</v>
      </c>
      <c r="B198" s="360"/>
      <c r="F198" s="345"/>
      <c r="G198" s="345"/>
    </row>
    <row r="199" spans="1:7" x14ac:dyDescent="0.25">
      <c r="A199" s="345" t="s">
        <v>597</v>
      </c>
      <c r="B199" s="360"/>
      <c r="F199" s="345"/>
      <c r="G199" s="345"/>
    </row>
    <row r="200" spans="1:7" x14ac:dyDescent="0.25">
      <c r="A200" s="345" t="s">
        <v>598</v>
      </c>
      <c r="B200" s="360"/>
      <c r="F200" s="345"/>
      <c r="G200" s="345"/>
    </row>
    <row r="201" spans="1:7" x14ac:dyDescent="0.25">
      <c r="A201" s="345" t="s">
        <v>599</v>
      </c>
      <c r="F201" s="345"/>
      <c r="G201" s="345"/>
    </row>
    <row r="202" spans="1:7" x14ac:dyDescent="0.25">
      <c r="F202" s="345"/>
      <c r="G202" s="345"/>
    </row>
    <row r="203" spans="1:7" x14ac:dyDescent="0.25">
      <c r="A203" s="397" t="s">
        <v>600</v>
      </c>
      <c r="E203" s="398"/>
      <c r="F203" s="345"/>
      <c r="G203" s="345"/>
    </row>
    <row r="204" spans="1:7" x14ac:dyDescent="0.25">
      <c r="A204" s="360" t="s">
        <v>601</v>
      </c>
      <c r="E204" s="399"/>
      <c r="F204" s="345"/>
      <c r="G204" s="345"/>
    </row>
    <row r="205" spans="1:7" x14ac:dyDescent="0.25">
      <c r="A205" s="360" t="s">
        <v>602</v>
      </c>
      <c r="E205" s="399"/>
      <c r="F205" s="345"/>
      <c r="G205" s="345"/>
    </row>
    <row r="206" spans="1:7" x14ac:dyDescent="0.25">
      <c r="A206" s="360" t="s">
        <v>603</v>
      </c>
      <c r="E206" s="399"/>
      <c r="F206" s="345"/>
      <c r="G206" s="345"/>
    </row>
    <row r="207" spans="1:7" x14ac:dyDescent="0.25">
      <c r="A207" s="360" t="s">
        <v>604</v>
      </c>
      <c r="E207" s="399"/>
      <c r="F207" s="345"/>
      <c r="G207" s="345"/>
    </row>
    <row r="208" spans="1:7" x14ac:dyDescent="0.25">
      <c r="A208" s="345" t="s">
        <v>605</v>
      </c>
      <c r="E208" s="399"/>
      <c r="F208" s="345"/>
      <c r="G208" s="345"/>
    </row>
    <row r="209" spans="1:7" x14ac:dyDescent="0.25">
      <c r="D209" s="398"/>
      <c r="E209" s="399"/>
      <c r="F209" s="345"/>
      <c r="G209" s="345"/>
    </row>
    <row r="210" spans="1:7" x14ac:dyDescent="0.25">
      <c r="A210" s="396" t="s">
        <v>606</v>
      </c>
      <c r="D210" s="398"/>
      <c r="E210" s="398"/>
      <c r="F210" s="345"/>
      <c r="G210" s="345"/>
    </row>
    <row r="211" spans="1:7" x14ac:dyDescent="0.25">
      <c r="A211" s="360" t="s">
        <v>607</v>
      </c>
      <c r="D211" s="398"/>
      <c r="E211" s="399"/>
    </row>
    <row r="212" spans="1:7" x14ac:dyDescent="0.25">
      <c r="A212" s="360" t="s">
        <v>608</v>
      </c>
      <c r="D212" s="398"/>
      <c r="E212" s="399"/>
      <c r="F212" s="345"/>
      <c r="G212" s="345"/>
    </row>
    <row r="213" spans="1:7" x14ac:dyDescent="0.25">
      <c r="A213" s="360" t="s">
        <v>609</v>
      </c>
      <c r="D213" s="398"/>
      <c r="E213" s="399"/>
      <c r="F213" s="345"/>
      <c r="G213" s="345"/>
    </row>
    <row r="214" spans="1:7" x14ac:dyDescent="0.25">
      <c r="F214" s="345"/>
      <c r="G214" s="345"/>
    </row>
    <row r="215" spans="1:7" x14ac:dyDescent="0.25">
      <c r="A215" s="397" t="s">
        <v>610</v>
      </c>
      <c r="F215" s="345"/>
      <c r="G215" s="345"/>
    </row>
    <row r="216" spans="1:7" x14ac:dyDescent="0.25">
      <c r="A216" s="360" t="s">
        <v>611</v>
      </c>
      <c r="F216" s="345"/>
      <c r="G216" s="345"/>
    </row>
    <row r="217" spans="1:7" x14ac:dyDescent="0.25">
      <c r="A217" s="360" t="s">
        <v>612</v>
      </c>
      <c r="F217" s="345"/>
      <c r="G217" s="345"/>
    </row>
    <row r="218" spans="1:7" x14ac:dyDescent="0.25">
      <c r="A218" s="360" t="s">
        <v>613</v>
      </c>
    </row>
    <row r="219" spans="1:7" x14ac:dyDescent="0.25">
      <c r="A219" s="360" t="s">
        <v>614</v>
      </c>
    </row>
    <row r="220" spans="1:7" x14ac:dyDescent="0.25">
      <c r="A220" s="360" t="s">
        <v>615</v>
      </c>
    </row>
    <row r="221" spans="1:7" x14ac:dyDescent="0.25">
      <c r="A221" s="360" t="s">
        <v>616</v>
      </c>
    </row>
    <row r="222" spans="1:7" x14ac:dyDescent="0.25">
      <c r="A222" s="360" t="s">
        <v>617</v>
      </c>
    </row>
    <row r="223" spans="1:7" x14ac:dyDescent="0.25">
      <c r="A223" s="360" t="s">
        <v>618</v>
      </c>
    </row>
    <row r="224" spans="1:7" x14ac:dyDescent="0.25">
      <c r="A224" s="360" t="s">
        <v>619</v>
      </c>
    </row>
    <row r="225" spans="1:7" ht="15.75" thickBot="1" x14ac:dyDescent="0.3"/>
    <row r="226" spans="1:7" x14ac:dyDescent="0.25">
      <c r="A226" s="400" t="s">
        <v>620</v>
      </c>
      <c r="B226" s="401"/>
      <c r="C226" s="402" t="s">
        <v>621</v>
      </c>
      <c r="D226" s="403" t="s">
        <v>622</v>
      </c>
      <c r="E226" s="404"/>
      <c r="F226" s="405"/>
      <c r="G226" s="345"/>
    </row>
    <row r="227" spans="1:7" x14ac:dyDescent="0.25">
      <c r="A227" s="406" t="s">
        <v>623</v>
      </c>
      <c r="B227" s="407" t="s">
        <v>624</v>
      </c>
      <c r="C227" s="408" t="s">
        <v>625</v>
      </c>
      <c r="D227" s="409" t="s">
        <v>626</v>
      </c>
      <c r="E227" s="409"/>
      <c r="F227" s="410"/>
      <c r="G227" s="345"/>
    </row>
    <row r="228" spans="1:7" x14ac:dyDescent="0.25">
      <c r="A228" s="406" t="s">
        <v>627</v>
      </c>
      <c r="B228" s="407" t="s">
        <v>624</v>
      </c>
      <c r="C228" s="408" t="s">
        <v>628</v>
      </c>
      <c r="D228" s="409" t="s">
        <v>629</v>
      </c>
      <c r="E228" s="409"/>
      <c r="F228" s="410"/>
      <c r="G228" s="345"/>
    </row>
    <row r="229" spans="1:7" x14ac:dyDescent="0.25">
      <c r="A229" s="406" t="s">
        <v>630</v>
      </c>
      <c r="B229" s="407" t="s">
        <v>624</v>
      </c>
      <c r="C229" s="408" t="s">
        <v>628</v>
      </c>
      <c r="D229" s="409" t="s">
        <v>631</v>
      </c>
      <c r="E229" s="409"/>
      <c r="F229" s="410"/>
      <c r="G229" s="345"/>
    </row>
    <row r="230" spans="1:7" x14ac:dyDescent="0.25">
      <c r="A230" s="406" t="s">
        <v>632</v>
      </c>
      <c r="B230" s="411" t="s">
        <v>624</v>
      </c>
      <c r="C230" s="408" t="s">
        <v>628</v>
      </c>
      <c r="D230" s="409" t="s">
        <v>633</v>
      </c>
      <c r="E230" s="409"/>
      <c r="F230" s="410"/>
      <c r="G230" s="345"/>
    </row>
    <row r="231" spans="1:7" x14ac:dyDescent="0.25">
      <c r="A231" s="406" t="s">
        <v>634</v>
      </c>
      <c r="B231" s="407" t="s">
        <v>624</v>
      </c>
      <c r="C231" s="408" t="s">
        <v>635</v>
      </c>
      <c r="D231" s="409" t="s">
        <v>636</v>
      </c>
      <c r="E231" s="409"/>
      <c r="F231" s="410"/>
      <c r="G231" s="345"/>
    </row>
    <row r="232" spans="1:7" x14ac:dyDescent="0.25">
      <c r="A232" s="406" t="s">
        <v>637</v>
      </c>
      <c r="B232" s="407" t="s">
        <v>624</v>
      </c>
      <c r="C232" s="408" t="s">
        <v>638</v>
      </c>
      <c r="D232" s="409" t="s">
        <v>639</v>
      </c>
      <c r="E232" s="409"/>
      <c r="F232" s="410"/>
      <c r="G232" s="345"/>
    </row>
    <row r="233" spans="1:7" x14ac:dyDescent="0.25">
      <c r="A233" s="406" t="s">
        <v>640</v>
      </c>
      <c r="B233" s="407" t="s">
        <v>624</v>
      </c>
      <c r="C233" s="408" t="s">
        <v>641</v>
      </c>
      <c r="D233" s="409" t="s">
        <v>642</v>
      </c>
      <c r="E233" s="409"/>
      <c r="F233" s="410"/>
      <c r="G233" s="345"/>
    </row>
    <row r="234" spans="1:7" x14ac:dyDescent="0.25">
      <c r="A234" s="406" t="s">
        <v>635</v>
      </c>
      <c r="B234" s="407" t="s">
        <v>624</v>
      </c>
      <c r="C234" s="408" t="s">
        <v>643</v>
      </c>
      <c r="D234" s="409" t="s">
        <v>644</v>
      </c>
      <c r="E234" s="409"/>
      <c r="F234" s="410"/>
      <c r="G234" s="345"/>
    </row>
    <row r="235" spans="1:7" x14ac:dyDescent="0.25">
      <c r="A235" s="406" t="s">
        <v>645</v>
      </c>
      <c r="B235" s="407" t="s">
        <v>624</v>
      </c>
      <c r="C235" s="408" t="s">
        <v>643</v>
      </c>
      <c r="D235" s="409" t="s">
        <v>646</v>
      </c>
      <c r="E235" s="409"/>
      <c r="F235" s="410"/>
      <c r="G235" s="345"/>
    </row>
    <row r="236" spans="1:7" x14ac:dyDescent="0.25">
      <c r="A236" s="406" t="s">
        <v>647</v>
      </c>
      <c r="B236" s="407" t="s">
        <v>624</v>
      </c>
      <c r="C236" s="408" t="s">
        <v>643</v>
      </c>
      <c r="D236" s="409" t="s">
        <v>648</v>
      </c>
      <c r="E236" s="409"/>
      <c r="F236" s="410"/>
      <c r="G236" s="345"/>
    </row>
    <row r="237" spans="1:7" x14ac:dyDescent="0.25">
      <c r="A237" s="406" t="s">
        <v>649</v>
      </c>
      <c r="B237" s="407" t="s">
        <v>624</v>
      </c>
      <c r="C237" s="408" t="s">
        <v>630</v>
      </c>
      <c r="D237" s="411" t="s">
        <v>650</v>
      </c>
      <c r="E237" s="409"/>
      <c r="F237" s="410"/>
      <c r="G237" s="345"/>
    </row>
    <row r="238" spans="1:7" x14ac:dyDescent="0.25">
      <c r="A238" s="406" t="s">
        <v>651</v>
      </c>
      <c r="B238" s="407" t="s">
        <v>624</v>
      </c>
      <c r="C238" s="408" t="s">
        <v>630</v>
      </c>
      <c r="D238" s="409" t="s">
        <v>652</v>
      </c>
      <c r="E238" s="409"/>
      <c r="F238" s="410"/>
      <c r="G238" s="345"/>
    </row>
    <row r="239" spans="1:7" x14ac:dyDescent="0.25">
      <c r="A239" s="406" t="s">
        <v>653</v>
      </c>
      <c r="B239" s="407" t="s">
        <v>654</v>
      </c>
      <c r="C239" s="408" t="s">
        <v>655</v>
      </c>
      <c r="D239" s="409" t="s">
        <v>656</v>
      </c>
      <c r="E239" s="409"/>
      <c r="F239" s="410"/>
      <c r="G239" s="345"/>
    </row>
    <row r="240" spans="1:7" x14ac:dyDescent="0.25">
      <c r="A240" s="406" t="s">
        <v>657</v>
      </c>
      <c r="B240" s="407" t="s">
        <v>654</v>
      </c>
      <c r="C240" s="408" t="s">
        <v>632</v>
      </c>
      <c r="D240" s="409" t="s">
        <v>658</v>
      </c>
      <c r="E240" s="409"/>
      <c r="F240" s="410"/>
      <c r="G240" s="345"/>
    </row>
    <row r="241" spans="1:7" x14ac:dyDescent="0.25">
      <c r="A241" s="406" t="s">
        <v>659</v>
      </c>
      <c r="B241" s="407" t="s">
        <v>660</v>
      </c>
      <c r="C241" s="408" t="s">
        <v>640</v>
      </c>
      <c r="D241" s="409" t="s">
        <v>661</v>
      </c>
      <c r="E241" s="409"/>
      <c r="F241" s="410"/>
      <c r="G241" s="345"/>
    </row>
    <row r="242" spans="1:7" x14ac:dyDescent="0.25">
      <c r="A242" s="406" t="s">
        <v>655</v>
      </c>
      <c r="B242" s="411" t="s">
        <v>660</v>
      </c>
      <c r="C242" s="408" t="s">
        <v>657</v>
      </c>
      <c r="D242" s="409" t="s">
        <v>662</v>
      </c>
      <c r="E242" s="409"/>
      <c r="F242" s="410"/>
      <c r="G242" s="345"/>
    </row>
    <row r="243" spans="1:7" x14ac:dyDescent="0.25">
      <c r="A243" s="406" t="s">
        <v>641</v>
      </c>
      <c r="B243" s="411" t="s">
        <v>660</v>
      </c>
      <c r="C243" s="408" t="s">
        <v>657</v>
      </c>
      <c r="D243" s="409" t="s">
        <v>663</v>
      </c>
      <c r="E243" s="409"/>
      <c r="F243" s="410"/>
      <c r="G243" s="345"/>
    </row>
    <row r="244" spans="1:7" x14ac:dyDescent="0.25">
      <c r="A244" s="406" t="s">
        <v>664</v>
      </c>
      <c r="B244" s="411" t="s">
        <v>660</v>
      </c>
      <c r="C244" s="408" t="s">
        <v>637</v>
      </c>
      <c r="D244" s="409" t="s">
        <v>665</v>
      </c>
      <c r="E244" s="409"/>
      <c r="F244" s="410"/>
      <c r="G244" s="345"/>
    </row>
    <row r="245" spans="1:7" x14ac:dyDescent="0.25">
      <c r="A245" s="406" t="s">
        <v>666</v>
      </c>
      <c r="B245" s="407" t="s">
        <v>660</v>
      </c>
      <c r="C245" s="408" t="s">
        <v>666</v>
      </c>
      <c r="D245" s="409" t="s">
        <v>667</v>
      </c>
      <c r="E245" s="409"/>
      <c r="F245" s="410"/>
      <c r="G245" s="345"/>
    </row>
    <row r="246" spans="1:7" x14ac:dyDescent="0.25">
      <c r="A246" s="406" t="s">
        <v>668</v>
      </c>
      <c r="B246" s="407" t="s">
        <v>660</v>
      </c>
      <c r="C246" s="408" t="s">
        <v>627</v>
      </c>
      <c r="D246" s="409" t="s">
        <v>669</v>
      </c>
      <c r="E246" s="409"/>
      <c r="F246" s="410"/>
      <c r="G246" s="345"/>
    </row>
    <row r="247" spans="1:7" x14ac:dyDescent="0.25">
      <c r="A247" s="406" t="s">
        <v>670</v>
      </c>
      <c r="B247" s="407" t="s">
        <v>660</v>
      </c>
      <c r="C247" s="408" t="s">
        <v>632</v>
      </c>
      <c r="D247" s="409" t="s">
        <v>671</v>
      </c>
      <c r="E247" s="409"/>
      <c r="F247" s="410"/>
      <c r="G247" s="345"/>
    </row>
    <row r="248" spans="1:7" x14ac:dyDescent="0.25">
      <c r="A248" s="406" t="s">
        <v>672</v>
      </c>
      <c r="B248" s="411" t="s">
        <v>660</v>
      </c>
      <c r="C248" s="408" t="s">
        <v>634</v>
      </c>
      <c r="D248" s="409" t="s">
        <v>673</v>
      </c>
      <c r="E248" s="409"/>
      <c r="F248" s="410"/>
      <c r="G248" s="345"/>
    </row>
    <row r="249" spans="1:7" x14ac:dyDescent="0.25">
      <c r="A249" s="406" t="s">
        <v>674</v>
      </c>
      <c r="B249" s="407" t="s">
        <v>660</v>
      </c>
      <c r="C249" s="408" t="s">
        <v>634</v>
      </c>
      <c r="D249" s="409" t="s">
        <v>675</v>
      </c>
      <c r="E249" s="409"/>
      <c r="F249" s="410"/>
      <c r="G249" s="345"/>
    </row>
    <row r="250" spans="1:7" x14ac:dyDescent="0.25">
      <c r="A250" s="406" t="s">
        <v>676</v>
      </c>
      <c r="B250" s="407" t="s">
        <v>677</v>
      </c>
      <c r="C250" s="408" t="s">
        <v>623</v>
      </c>
      <c r="D250" s="409" t="s">
        <v>678</v>
      </c>
      <c r="E250" s="409"/>
      <c r="F250" s="410"/>
      <c r="G250" s="345"/>
    </row>
    <row r="251" spans="1:7" x14ac:dyDescent="0.25">
      <c r="A251" s="406" t="s">
        <v>625</v>
      </c>
      <c r="B251" s="407" t="s">
        <v>677</v>
      </c>
      <c r="C251" s="408" t="s">
        <v>623</v>
      </c>
      <c r="D251" s="409" t="s">
        <v>679</v>
      </c>
      <c r="E251" s="409"/>
      <c r="F251" s="410"/>
      <c r="G251" s="345"/>
    </row>
    <row r="252" spans="1:7" x14ac:dyDescent="0.25">
      <c r="A252" s="406" t="s">
        <v>680</v>
      </c>
      <c r="B252" s="407" t="s">
        <v>677</v>
      </c>
      <c r="C252" s="408" t="s">
        <v>623</v>
      </c>
      <c r="D252" s="409" t="s">
        <v>681</v>
      </c>
      <c r="E252" s="409"/>
      <c r="F252" s="410"/>
      <c r="G252" s="345"/>
    </row>
    <row r="253" spans="1:7" x14ac:dyDescent="0.25">
      <c r="A253" s="406" t="s">
        <v>682</v>
      </c>
      <c r="B253" s="407" t="s">
        <v>677</v>
      </c>
      <c r="C253" s="408" t="s">
        <v>645</v>
      </c>
      <c r="D253" s="409" t="s">
        <v>683</v>
      </c>
      <c r="E253" s="409"/>
      <c r="F253" s="410"/>
      <c r="G253" s="345"/>
    </row>
    <row r="254" spans="1:7" x14ac:dyDescent="0.25">
      <c r="A254" s="406" t="s">
        <v>638</v>
      </c>
      <c r="B254" s="407" t="s">
        <v>677</v>
      </c>
      <c r="C254" s="408" t="s">
        <v>649</v>
      </c>
      <c r="D254" s="409" t="s">
        <v>684</v>
      </c>
      <c r="E254" s="409"/>
      <c r="F254" s="410"/>
      <c r="G254" s="345"/>
    </row>
    <row r="255" spans="1:7" x14ac:dyDescent="0.25">
      <c r="A255" s="406" t="s">
        <v>685</v>
      </c>
      <c r="B255" s="407" t="s">
        <v>677</v>
      </c>
      <c r="C255" s="408" t="s">
        <v>649</v>
      </c>
      <c r="D255" s="409" t="s">
        <v>686</v>
      </c>
      <c r="E255" s="409"/>
      <c r="F255" s="410"/>
      <c r="G255" s="345"/>
    </row>
    <row r="256" spans="1:7" x14ac:dyDescent="0.25">
      <c r="A256" s="406" t="s">
        <v>687</v>
      </c>
      <c r="B256" s="407" t="s">
        <v>677</v>
      </c>
      <c r="C256" s="408" t="s">
        <v>649</v>
      </c>
      <c r="D256" s="409" t="s">
        <v>688</v>
      </c>
      <c r="E256" s="409"/>
      <c r="F256" s="410"/>
      <c r="G256" s="345"/>
    </row>
    <row r="257" spans="1:7" x14ac:dyDescent="0.25">
      <c r="A257" s="406" t="s">
        <v>689</v>
      </c>
      <c r="B257" s="407" t="s">
        <v>689</v>
      </c>
      <c r="C257" s="408" t="s">
        <v>653</v>
      </c>
      <c r="D257" s="409" t="s">
        <v>690</v>
      </c>
      <c r="E257" s="409"/>
      <c r="F257" s="410"/>
      <c r="G257" s="345"/>
    </row>
    <row r="258" spans="1:7" x14ac:dyDescent="0.25">
      <c r="A258" s="406" t="s">
        <v>628</v>
      </c>
      <c r="B258" s="407" t="s">
        <v>628</v>
      </c>
      <c r="C258" s="408" t="s">
        <v>653</v>
      </c>
      <c r="D258" s="409" t="s">
        <v>691</v>
      </c>
      <c r="E258" s="409"/>
      <c r="F258" s="410"/>
      <c r="G258" s="345"/>
    </row>
    <row r="259" spans="1:7" ht="15.75" thickBot="1" x14ac:dyDescent="0.3">
      <c r="A259" s="412" t="s">
        <v>643</v>
      </c>
      <c r="B259" s="413" t="s">
        <v>643</v>
      </c>
      <c r="C259" s="408" t="s">
        <v>653</v>
      </c>
      <c r="D259" s="409" t="s">
        <v>692</v>
      </c>
      <c r="E259" s="409"/>
      <c r="F259" s="410"/>
      <c r="G259" s="345"/>
    </row>
    <row r="260" spans="1:7" x14ac:dyDescent="0.25">
      <c r="C260" s="408" t="s">
        <v>627</v>
      </c>
      <c r="D260" s="409" t="s">
        <v>693</v>
      </c>
      <c r="E260" s="409"/>
      <c r="F260" s="410"/>
      <c r="G260" s="345"/>
    </row>
    <row r="261" spans="1:7" x14ac:dyDescent="0.25">
      <c r="C261" s="408" t="s">
        <v>627</v>
      </c>
      <c r="D261" s="409" t="s">
        <v>694</v>
      </c>
      <c r="E261" s="409"/>
      <c r="F261" s="410"/>
      <c r="G261" s="345"/>
    </row>
    <row r="262" spans="1:7" x14ac:dyDescent="0.25">
      <c r="C262" s="408" t="s">
        <v>627</v>
      </c>
      <c r="D262" s="409" t="s">
        <v>695</v>
      </c>
      <c r="E262" s="409"/>
      <c r="F262" s="410"/>
      <c r="G262" s="345"/>
    </row>
    <row r="263" spans="1:7" x14ac:dyDescent="0.25">
      <c r="C263" s="408" t="s">
        <v>651</v>
      </c>
      <c r="D263" s="409" t="s">
        <v>696</v>
      </c>
      <c r="E263" s="409"/>
      <c r="F263" s="410"/>
      <c r="G263" s="345"/>
    </row>
    <row r="264" spans="1:7" x14ac:dyDescent="0.25">
      <c r="C264" s="408" t="s">
        <v>632</v>
      </c>
      <c r="D264" s="409" t="s">
        <v>697</v>
      </c>
      <c r="E264" s="409"/>
      <c r="F264" s="410"/>
      <c r="G264" s="345"/>
    </row>
    <row r="265" spans="1:7" x14ac:dyDescent="0.25">
      <c r="C265" s="408" t="s">
        <v>647</v>
      </c>
      <c r="D265" s="409" t="s">
        <v>698</v>
      </c>
      <c r="E265" s="409"/>
      <c r="F265" s="410"/>
      <c r="G265" s="345"/>
    </row>
    <row r="266" spans="1:7" x14ac:dyDescent="0.25">
      <c r="C266" s="408" t="s">
        <v>655</v>
      </c>
      <c r="D266" s="409" t="s">
        <v>699</v>
      </c>
      <c r="E266" s="409"/>
      <c r="F266" s="410"/>
      <c r="G266" s="345"/>
    </row>
    <row r="267" spans="1:7" x14ac:dyDescent="0.25">
      <c r="C267" s="408" t="s">
        <v>628</v>
      </c>
      <c r="D267" s="409" t="s">
        <v>700</v>
      </c>
      <c r="E267" s="409"/>
      <c r="F267" s="410"/>
      <c r="G267" s="345"/>
    </row>
    <row r="268" spans="1:7" x14ac:dyDescent="0.25">
      <c r="C268" s="408" t="s">
        <v>628</v>
      </c>
      <c r="D268" s="409" t="s">
        <v>701</v>
      </c>
      <c r="E268" s="409"/>
      <c r="F268" s="410"/>
      <c r="G268" s="345"/>
    </row>
    <row r="269" spans="1:7" x14ac:dyDescent="0.25">
      <c r="B269" s="345"/>
      <c r="C269" s="408" t="s">
        <v>641</v>
      </c>
      <c r="D269" s="409" t="s">
        <v>702</v>
      </c>
      <c r="E269" s="409"/>
      <c r="F269" s="410"/>
      <c r="G269" s="345"/>
    </row>
    <row r="270" spans="1:7" x14ac:dyDescent="0.25">
      <c r="B270" s="345"/>
      <c r="C270" s="408" t="s">
        <v>641</v>
      </c>
      <c r="D270" s="409" t="s">
        <v>703</v>
      </c>
      <c r="E270" s="409"/>
      <c r="F270" s="410"/>
      <c r="G270" s="345"/>
    </row>
    <row r="271" spans="1:7" x14ac:dyDescent="0.25">
      <c r="B271" s="345"/>
      <c r="C271" s="408" t="s">
        <v>672</v>
      </c>
      <c r="D271" s="409" t="s">
        <v>704</v>
      </c>
      <c r="E271" s="409"/>
      <c r="F271" s="410"/>
      <c r="G271" s="345"/>
    </row>
    <row r="272" spans="1:7" x14ac:dyDescent="0.25">
      <c r="B272" s="345"/>
      <c r="C272" s="408" t="s">
        <v>670</v>
      </c>
      <c r="D272" s="409" t="s">
        <v>705</v>
      </c>
      <c r="E272" s="409"/>
      <c r="F272" s="410"/>
      <c r="G272" s="345"/>
    </row>
    <row r="273" spans="2:7" x14ac:dyDescent="0.25">
      <c r="B273" s="345"/>
      <c r="C273" s="408" t="s">
        <v>670</v>
      </c>
      <c r="D273" s="409" t="s">
        <v>706</v>
      </c>
      <c r="E273" s="409"/>
      <c r="F273" s="410"/>
      <c r="G273" s="345"/>
    </row>
    <row r="274" spans="2:7" x14ac:dyDescent="0.25">
      <c r="B274" s="345"/>
      <c r="C274" s="408" t="s">
        <v>670</v>
      </c>
      <c r="D274" s="409" t="s">
        <v>707</v>
      </c>
      <c r="E274" s="409"/>
      <c r="F274" s="410"/>
      <c r="G274" s="345"/>
    </row>
    <row r="275" spans="2:7" x14ac:dyDescent="0.25">
      <c r="B275" s="345"/>
      <c r="C275" s="408" t="s">
        <v>659</v>
      </c>
      <c r="D275" s="409" t="s">
        <v>708</v>
      </c>
      <c r="E275" s="409"/>
      <c r="F275" s="410"/>
      <c r="G275" s="345"/>
    </row>
    <row r="276" spans="2:7" x14ac:dyDescent="0.25">
      <c r="B276" s="345"/>
      <c r="C276" s="408" t="s">
        <v>659</v>
      </c>
      <c r="D276" s="409" t="s">
        <v>709</v>
      </c>
      <c r="E276" s="409"/>
      <c r="F276" s="410"/>
      <c r="G276" s="345"/>
    </row>
    <row r="277" spans="2:7" x14ac:dyDescent="0.25">
      <c r="B277" s="345"/>
      <c r="C277" s="408" t="s">
        <v>659</v>
      </c>
      <c r="D277" s="409" t="s">
        <v>710</v>
      </c>
      <c r="E277" s="409"/>
      <c r="F277" s="410"/>
      <c r="G277" s="345"/>
    </row>
    <row r="278" spans="2:7" x14ac:dyDescent="0.25">
      <c r="B278" s="345"/>
      <c r="C278" s="408" t="s">
        <v>664</v>
      </c>
      <c r="D278" s="409" t="s">
        <v>711</v>
      </c>
      <c r="E278" s="409"/>
      <c r="F278" s="410"/>
      <c r="G278" s="345"/>
    </row>
    <row r="279" spans="2:7" x14ac:dyDescent="0.25">
      <c r="B279" s="345"/>
      <c r="C279" s="408" t="s">
        <v>664</v>
      </c>
      <c r="D279" s="409" t="s">
        <v>712</v>
      </c>
      <c r="E279" s="409"/>
      <c r="F279" s="410"/>
      <c r="G279" s="345"/>
    </row>
    <row r="280" spans="2:7" x14ac:dyDescent="0.25">
      <c r="B280" s="345"/>
      <c r="C280" s="408" t="s">
        <v>664</v>
      </c>
      <c r="D280" s="409" t="s">
        <v>713</v>
      </c>
      <c r="E280" s="409"/>
      <c r="F280" s="410"/>
      <c r="G280" s="345"/>
    </row>
    <row r="281" spans="2:7" x14ac:dyDescent="0.25">
      <c r="B281" s="345"/>
      <c r="C281" s="408" t="s">
        <v>668</v>
      </c>
      <c r="D281" s="409" t="s">
        <v>714</v>
      </c>
      <c r="E281" s="409"/>
      <c r="F281" s="410"/>
      <c r="G281" s="345"/>
    </row>
    <row r="282" spans="2:7" x14ac:dyDescent="0.25">
      <c r="B282" s="345"/>
      <c r="C282" s="408" t="s">
        <v>668</v>
      </c>
      <c r="D282" s="409" t="s">
        <v>715</v>
      </c>
      <c r="E282" s="409"/>
      <c r="F282" s="410"/>
      <c r="G282" s="345"/>
    </row>
    <row r="283" spans="2:7" x14ac:dyDescent="0.25">
      <c r="B283" s="345"/>
      <c r="C283" s="408" t="s">
        <v>668</v>
      </c>
      <c r="D283" s="409" t="s">
        <v>716</v>
      </c>
      <c r="E283" s="409"/>
      <c r="F283" s="410"/>
      <c r="G283" s="345"/>
    </row>
    <row r="284" spans="2:7" x14ac:dyDescent="0.25">
      <c r="B284" s="345"/>
      <c r="C284" s="408" t="s">
        <v>685</v>
      </c>
      <c r="D284" s="409" t="s">
        <v>717</v>
      </c>
      <c r="E284" s="409"/>
      <c r="F284" s="410"/>
      <c r="G284" s="345"/>
    </row>
    <row r="285" spans="2:7" x14ac:dyDescent="0.25">
      <c r="B285" s="345"/>
      <c r="C285" s="408" t="s">
        <v>674</v>
      </c>
      <c r="D285" s="409" t="s">
        <v>718</v>
      </c>
      <c r="E285" s="409"/>
      <c r="F285" s="410"/>
      <c r="G285" s="345"/>
    </row>
    <row r="286" spans="2:7" x14ac:dyDescent="0.25">
      <c r="B286" s="345"/>
      <c r="C286" s="408" t="s">
        <v>674</v>
      </c>
      <c r="D286" s="409" t="s">
        <v>719</v>
      </c>
      <c r="E286" s="409"/>
      <c r="F286" s="410"/>
      <c r="G286" s="345"/>
    </row>
    <row r="287" spans="2:7" x14ac:dyDescent="0.25">
      <c r="B287" s="345"/>
      <c r="C287" s="408" t="s">
        <v>674</v>
      </c>
      <c r="D287" s="409" t="s">
        <v>720</v>
      </c>
      <c r="E287" s="409"/>
      <c r="F287" s="410"/>
      <c r="G287" s="345"/>
    </row>
    <row r="288" spans="2:7" x14ac:dyDescent="0.25">
      <c r="B288" s="345"/>
      <c r="C288" s="408" t="s">
        <v>674</v>
      </c>
      <c r="D288" s="409" t="s">
        <v>721</v>
      </c>
      <c r="E288" s="409"/>
      <c r="F288" s="410"/>
      <c r="G288" s="345"/>
    </row>
    <row r="289" spans="2:7" x14ac:dyDescent="0.25">
      <c r="B289" s="345"/>
      <c r="C289" s="408" t="s">
        <v>674</v>
      </c>
      <c r="D289" s="409" t="s">
        <v>722</v>
      </c>
      <c r="E289" s="409"/>
      <c r="F289" s="410"/>
      <c r="G289" s="345"/>
    </row>
    <row r="290" spans="2:7" x14ac:dyDescent="0.25">
      <c r="B290" s="345"/>
      <c r="C290" s="408" t="s">
        <v>674</v>
      </c>
      <c r="D290" s="409" t="s">
        <v>723</v>
      </c>
      <c r="E290" s="409"/>
      <c r="F290" s="410"/>
      <c r="G290" s="345"/>
    </row>
    <row r="291" spans="2:7" x14ac:dyDescent="0.25">
      <c r="B291" s="345"/>
      <c r="C291" s="408" t="s">
        <v>655</v>
      </c>
      <c r="D291" s="409" t="s">
        <v>724</v>
      </c>
      <c r="E291" s="409"/>
      <c r="F291" s="410"/>
      <c r="G291" s="345"/>
    </row>
    <row r="292" spans="2:7" x14ac:dyDescent="0.25">
      <c r="B292" s="345"/>
      <c r="C292" s="408" t="s">
        <v>655</v>
      </c>
      <c r="D292" s="409" t="s">
        <v>725</v>
      </c>
      <c r="E292" s="409"/>
      <c r="F292" s="410"/>
      <c r="G292" s="345"/>
    </row>
    <row r="293" spans="2:7" x14ac:dyDescent="0.25">
      <c r="B293" s="345"/>
      <c r="C293" s="408" t="s">
        <v>655</v>
      </c>
      <c r="D293" s="409" t="s">
        <v>726</v>
      </c>
      <c r="E293" s="409"/>
      <c r="F293" s="410"/>
      <c r="G293" s="345"/>
    </row>
    <row r="294" spans="2:7" x14ac:dyDescent="0.25">
      <c r="B294" s="345"/>
      <c r="C294" s="408" t="s">
        <v>638</v>
      </c>
      <c r="D294" s="409" t="s">
        <v>727</v>
      </c>
      <c r="E294" s="409"/>
      <c r="F294" s="410"/>
      <c r="G294" s="345"/>
    </row>
    <row r="295" spans="2:7" x14ac:dyDescent="0.25">
      <c r="B295" s="345"/>
      <c r="C295" s="408" t="s">
        <v>638</v>
      </c>
      <c r="D295" s="409" t="s">
        <v>728</v>
      </c>
      <c r="E295" s="409"/>
      <c r="F295" s="410"/>
      <c r="G295" s="345"/>
    </row>
    <row r="296" spans="2:7" x14ac:dyDescent="0.25">
      <c r="B296" s="345"/>
      <c r="C296" s="408" t="s">
        <v>638</v>
      </c>
      <c r="D296" s="409" t="s">
        <v>729</v>
      </c>
      <c r="E296" s="409"/>
      <c r="F296" s="410"/>
      <c r="G296" s="345"/>
    </row>
    <row r="297" spans="2:7" x14ac:dyDescent="0.25">
      <c r="B297" s="345"/>
      <c r="C297" s="408" t="s">
        <v>682</v>
      </c>
      <c r="D297" s="409" t="s">
        <v>730</v>
      </c>
      <c r="E297" s="409"/>
      <c r="F297" s="410"/>
      <c r="G297" s="345"/>
    </row>
    <row r="298" spans="2:7" x14ac:dyDescent="0.25">
      <c r="B298" s="345"/>
      <c r="C298" s="408" t="s">
        <v>682</v>
      </c>
      <c r="D298" s="409" t="s">
        <v>731</v>
      </c>
      <c r="E298" s="409"/>
      <c r="F298" s="410"/>
      <c r="G298" s="345"/>
    </row>
    <row r="299" spans="2:7" x14ac:dyDescent="0.25">
      <c r="B299" s="345"/>
      <c r="C299" s="408" t="s">
        <v>682</v>
      </c>
      <c r="D299" s="409" t="s">
        <v>732</v>
      </c>
      <c r="E299" s="409"/>
      <c r="F299" s="410"/>
      <c r="G299" s="345"/>
    </row>
    <row r="300" spans="2:7" x14ac:dyDescent="0.25">
      <c r="B300" s="345"/>
      <c r="C300" s="408" t="s">
        <v>676</v>
      </c>
      <c r="D300" s="411" t="s">
        <v>733</v>
      </c>
      <c r="E300" s="409"/>
      <c r="F300" s="410"/>
      <c r="G300" s="345"/>
    </row>
    <row r="301" spans="2:7" x14ac:dyDescent="0.25">
      <c r="B301" s="345"/>
      <c r="C301" s="408" t="s">
        <v>680</v>
      </c>
      <c r="D301" s="411" t="s">
        <v>734</v>
      </c>
      <c r="E301" s="409"/>
      <c r="F301" s="410"/>
      <c r="G301" s="345"/>
    </row>
    <row r="302" spans="2:7" ht="15.75" thickBot="1" x14ac:dyDescent="0.3">
      <c r="B302" s="345"/>
      <c r="C302" s="414" t="s">
        <v>687</v>
      </c>
      <c r="D302" s="415" t="s">
        <v>735</v>
      </c>
      <c r="E302" s="416"/>
      <c r="F302" s="417"/>
      <c r="G302" s="345"/>
    </row>
    <row r="303" spans="2:7" x14ac:dyDescent="0.25">
      <c r="B303" s="345"/>
      <c r="F303" s="345"/>
      <c r="G303" s="345"/>
    </row>
    <row r="304" spans="2:7" x14ac:dyDescent="0.25">
      <c r="B304" s="345"/>
      <c r="G304" s="345"/>
    </row>
    <row r="305" spans="1:7" x14ac:dyDescent="0.25">
      <c r="A305" s="360"/>
      <c r="B305" s="345"/>
      <c r="F305" s="345"/>
      <c r="G305" s="345"/>
    </row>
    <row r="306" spans="1:7" x14ac:dyDescent="0.25">
      <c r="B306" s="345"/>
      <c r="F306" s="345"/>
      <c r="G306" s="345"/>
    </row>
    <row r="307" spans="1:7" x14ac:dyDescent="0.25">
      <c r="A307" s="360"/>
      <c r="B307" s="345"/>
    </row>
    <row r="308" spans="1:7" x14ac:dyDescent="0.25">
      <c r="B308" s="345"/>
    </row>
    <row r="309" spans="1:7" x14ac:dyDescent="0.25">
      <c r="A309" s="360"/>
      <c r="B309" s="345"/>
    </row>
    <row r="310" spans="1:7" x14ac:dyDescent="0.25">
      <c r="A310" s="360"/>
      <c r="B310" s="345"/>
    </row>
    <row r="311" spans="1:7" x14ac:dyDescent="0.25">
      <c r="A311" s="360"/>
      <c r="B311" s="345"/>
    </row>
    <row r="312" spans="1:7" x14ac:dyDescent="0.25">
      <c r="A312" s="360"/>
      <c r="B312" s="345"/>
    </row>
    <row r="313" spans="1:7" x14ac:dyDescent="0.25">
      <c r="A313" s="360"/>
      <c r="B313" s="345"/>
    </row>
    <row r="314" spans="1:7" x14ac:dyDescent="0.25">
      <c r="A314" s="360"/>
      <c r="B314" s="345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1686"/>
  <sheetViews>
    <sheetView topLeftCell="A155" workbookViewId="0">
      <selection activeCell="C134" sqref="C134"/>
    </sheetView>
  </sheetViews>
  <sheetFormatPr defaultRowHeight="15" x14ac:dyDescent="0.25"/>
  <cols>
    <col min="1" max="1" width="10.140625" style="418" bestFit="1" customWidth="1"/>
    <col min="2" max="2" width="8.42578125" style="419" customWidth="1"/>
    <col min="3" max="3" width="87.85546875" style="422" customWidth="1"/>
    <col min="4" max="4" width="6.5703125" style="399" customWidth="1"/>
    <col min="5" max="6" width="9.140625" style="399"/>
    <col min="7" max="7" width="10.5703125" style="399" bestFit="1" customWidth="1"/>
    <col min="8" max="16384" width="9.140625" style="399"/>
  </cols>
  <sheetData>
    <row r="1" spans="1:4" ht="15.75" x14ac:dyDescent="0.25">
      <c r="A1" s="834">
        <v>41523</v>
      </c>
      <c r="C1" s="420" t="s">
        <v>736</v>
      </c>
      <c r="D1" s="421">
        <v>1686</v>
      </c>
    </row>
    <row r="2" spans="1:4" x14ac:dyDescent="0.25">
      <c r="A2" s="418">
        <v>41533</v>
      </c>
      <c r="B2" s="419">
        <v>0.95878472222222222</v>
      </c>
      <c r="C2" s="422" t="s">
        <v>737</v>
      </c>
    </row>
    <row r="3" spans="1:4" x14ac:dyDescent="0.25">
      <c r="A3" s="418">
        <v>41533</v>
      </c>
      <c r="B3" s="419">
        <v>0.9590277777777777</v>
      </c>
      <c r="C3" s="422" t="s">
        <v>1238</v>
      </c>
    </row>
    <row r="4" spans="1:4" x14ac:dyDescent="0.25">
      <c r="A4" s="418">
        <v>41533</v>
      </c>
      <c r="B4" s="419">
        <v>0.95903935185185185</v>
      </c>
      <c r="C4" s="422" t="s">
        <v>1236</v>
      </c>
    </row>
    <row r="5" spans="1:4" x14ac:dyDescent="0.25">
      <c r="A5" s="418">
        <v>41533</v>
      </c>
      <c r="B5" s="419">
        <v>0.95903935185185185</v>
      </c>
      <c r="C5" s="422" t="s">
        <v>1237</v>
      </c>
    </row>
    <row r="6" spans="1:4" x14ac:dyDescent="0.25">
      <c r="A6" s="418">
        <v>41533</v>
      </c>
      <c r="B6" s="419">
        <v>0.95903935185185185</v>
      </c>
      <c r="C6" s="422" t="s">
        <v>1238</v>
      </c>
    </row>
    <row r="7" spans="1:4" x14ac:dyDescent="0.25">
      <c r="A7" s="418">
        <v>41533</v>
      </c>
      <c r="B7" s="419">
        <v>0.95906249999999993</v>
      </c>
      <c r="C7" s="422" t="s">
        <v>1238</v>
      </c>
    </row>
    <row r="8" spans="1:4" x14ac:dyDescent="0.25">
      <c r="A8" s="418">
        <v>41533</v>
      </c>
      <c r="B8" s="419">
        <v>0.95908564814814812</v>
      </c>
      <c r="C8" s="422" t="s">
        <v>1238</v>
      </c>
    </row>
    <row r="9" spans="1:4" x14ac:dyDescent="0.25">
      <c r="A9" s="418">
        <v>41533</v>
      </c>
      <c r="B9" s="419">
        <v>0.95909722222222227</v>
      </c>
      <c r="C9" s="422" t="s">
        <v>1238</v>
      </c>
    </row>
    <row r="10" spans="1:4" x14ac:dyDescent="0.25">
      <c r="A10" s="418">
        <v>41533</v>
      </c>
      <c r="B10" s="419">
        <v>0.95912037037037035</v>
      </c>
      <c r="C10" s="422" t="s">
        <v>1238</v>
      </c>
    </row>
    <row r="11" spans="1:4" x14ac:dyDescent="0.25">
      <c r="A11" s="418">
        <v>41533</v>
      </c>
      <c r="B11" s="419">
        <v>0.95914351851851853</v>
      </c>
      <c r="C11" s="422" t="s">
        <v>1238</v>
      </c>
    </row>
    <row r="12" spans="1:4" x14ac:dyDescent="0.25">
      <c r="A12" s="418">
        <v>41533</v>
      </c>
      <c r="B12" s="419">
        <v>0.97017361111111111</v>
      </c>
      <c r="C12" s="422" t="s">
        <v>1238</v>
      </c>
    </row>
    <row r="13" spans="1:4" x14ac:dyDescent="0.25">
      <c r="A13" s="418">
        <v>41533</v>
      </c>
      <c r="B13" s="419">
        <v>0.97018518518518515</v>
      </c>
      <c r="C13" s="422" t="s">
        <v>1236</v>
      </c>
    </row>
    <row r="14" spans="1:4" x14ac:dyDescent="0.25">
      <c r="A14" s="418">
        <v>41533</v>
      </c>
      <c r="B14" s="419">
        <v>0.97018518518518515</v>
      </c>
      <c r="C14" s="422" t="s">
        <v>1237</v>
      </c>
    </row>
    <row r="15" spans="1:4" x14ac:dyDescent="0.25">
      <c r="A15" s="418">
        <v>41533</v>
      </c>
      <c r="B15" s="419">
        <v>0.97018518518518515</v>
      </c>
      <c r="C15" s="422" t="s">
        <v>1238</v>
      </c>
    </row>
    <row r="16" spans="1:4" x14ac:dyDescent="0.25">
      <c r="A16" s="418">
        <v>41533</v>
      </c>
      <c r="B16" s="419">
        <v>0.97687500000000005</v>
      </c>
      <c r="C16" s="422" t="s">
        <v>1238</v>
      </c>
    </row>
    <row r="17" spans="1:3" x14ac:dyDescent="0.25">
      <c r="A17" s="418">
        <v>41533</v>
      </c>
      <c r="B17" s="419">
        <v>0.98959490740740741</v>
      </c>
      <c r="C17" s="422" t="s">
        <v>1238</v>
      </c>
    </row>
    <row r="18" spans="1:3" x14ac:dyDescent="0.25">
      <c r="A18" s="418">
        <v>41533</v>
      </c>
      <c r="B18" s="419">
        <v>0.99079861111111101</v>
      </c>
      <c r="C18" s="422" t="s">
        <v>1236</v>
      </c>
    </row>
    <row r="19" spans="1:3" x14ac:dyDescent="0.25">
      <c r="A19" s="418">
        <v>41533</v>
      </c>
      <c r="B19" s="419">
        <v>0.99081018518518515</v>
      </c>
      <c r="C19" s="422" t="s">
        <v>1237</v>
      </c>
    </row>
    <row r="20" spans="1:3" x14ac:dyDescent="0.25">
      <c r="A20" s="418">
        <v>41533</v>
      </c>
      <c r="B20" s="419">
        <v>0.99092592592592599</v>
      </c>
      <c r="C20" s="422" t="s">
        <v>1238</v>
      </c>
    </row>
    <row r="21" spans="1:3" x14ac:dyDescent="0.25">
      <c r="A21" s="418">
        <v>41533</v>
      </c>
      <c r="B21" s="419">
        <v>0.99290509259259263</v>
      </c>
      <c r="C21" s="422" t="s">
        <v>1238</v>
      </c>
    </row>
    <row r="22" spans="1:3" x14ac:dyDescent="0.25">
      <c r="A22" s="418">
        <v>41533</v>
      </c>
      <c r="B22" s="419">
        <v>0.99315972222222226</v>
      </c>
      <c r="C22" s="422" t="s">
        <v>1236</v>
      </c>
    </row>
    <row r="23" spans="1:3" x14ac:dyDescent="0.25">
      <c r="A23" s="418">
        <v>41533</v>
      </c>
      <c r="B23" s="419">
        <v>0.99315972222222226</v>
      </c>
      <c r="C23" s="422" t="s">
        <v>1237</v>
      </c>
    </row>
    <row r="24" spans="1:3" x14ac:dyDescent="0.25">
      <c r="A24" s="418">
        <v>41533</v>
      </c>
      <c r="B24" s="419">
        <v>0.99315972222222226</v>
      </c>
      <c r="C24" s="422" t="s">
        <v>1238</v>
      </c>
    </row>
    <row r="25" spans="1:3" x14ac:dyDescent="0.25">
      <c r="A25" s="418">
        <v>41533</v>
      </c>
      <c r="B25" s="419">
        <v>0.99328703703703702</v>
      </c>
      <c r="C25" s="422" t="s">
        <v>1238</v>
      </c>
    </row>
    <row r="26" spans="1:3" x14ac:dyDescent="0.25">
      <c r="A26" s="418">
        <v>41533</v>
      </c>
      <c r="B26" s="419">
        <v>0.99818287037037035</v>
      </c>
      <c r="C26" s="422" t="s">
        <v>1238</v>
      </c>
    </row>
    <row r="27" spans="1:3" x14ac:dyDescent="0.25">
      <c r="A27" s="418">
        <v>41533</v>
      </c>
      <c r="B27" s="419">
        <v>0.99829861111111118</v>
      </c>
      <c r="C27" s="422" t="s">
        <v>1236</v>
      </c>
    </row>
    <row r="28" spans="1:3" x14ac:dyDescent="0.25">
      <c r="A28" s="418">
        <v>41533</v>
      </c>
      <c r="B28" s="419">
        <v>0.99829861111111118</v>
      </c>
      <c r="C28" s="422" t="s">
        <v>1237</v>
      </c>
    </row>
    <row r="29" spans="1:3" x14ac:dyDescent="0.25">
      <c r="A29" s="418">
        <v>41533</v>
      </c>
      <c r="B29" s="419">
        <v>0.99829861111111118</v>
      </c>
      <c r="C29" s="422" t="s">
        <v>1238</v>
      </c>
    </row>
    <row r="30" spans="1:3" x14ac:dyDescent="0.25">
      <c r="A30" s="418">
        <v>41534</v>
      </c>
      <c r="B30" s="419">
        <v>1.2037037037037038E-3</v>
      </c>
      <c r="C30" s="422" t="s">
        <v>1238</v>
      </c>
    </row>
    <row r="31" spans="1:3" x14ac:dyDescent="0.25">
      <c r="A31" s="418">
        <v>41534</v>
      </c>
      <c r="B31" s="419">
        <v>7.8472222222222224E-3</v>
      </c>
      <c r="C31" s="422" t="s">
        <v>1238</v>
      </c>
    </row>
    <row r="32" spans="1:3" x14ac:dyDescent="0.25">
      <c r="A32" s="418">
        <v>41534</v>
      </c>
      <c r="B32" s="419">
        <v>7.858796296296296E-3</v>
      </c>
      <c r="C32" s="422" t="s">
        <v>1236</v>
      </c>
    </row>
    <row r="33" spans="1:3" x14ac:dyDescent="0.25">
      <c r="A33" s="418">
        <v>41534</v>
      </c>
      <c r="B33" s="419">
        <v>7.858796296296296E-3</v>
      </c>
      <c r="C33" s="422" t="s">
        <v>1237</v>
      </c>
    </row>
    <row r="34" spans="1:3" x14ac:dyDescent="0.25">
      <c r="A34" s="418">
        <v>41534</v>
      </c>
      <c r="B34" s="419">
        <v>7.858796296296296E-3</v>
      </c>
      <c r="C34" s="422" t="s">
        <v>1238</v>
      </c>
    </row>
    <row r="35" spans="1:3" x14ac:dyDescent="0.25">
      <c r="A35" s="418">
        <v>41534</v>
      </c>
      <c r="B35" s="419">
        <v>7.858796296296296E-3</v>
      </c>
      <c r="C35" s="422" t="s">
        <v>1238</v>
      </c>
    </row>
    <row r="36" spans="1:3" x14ac:dyDescent="0.25">
      <c r="A36" s="418">
        <v>41534</v>
      </c>
      <c r="B36" s="419">
        <v>7.858796296296296E-3</v>
      </c>
      <c r="C36" s="422" t="s">
        <v>1238</v>
      </c>
    </row>
    <row r="37" spans="1:3" x14ac:dyDescent="0.25">
      <c r="A37" s="418">
        <v>41534</v>
      </c>
      <c r="B37" s="419">
        <v>7.858796296296296E-3</v>
      </c>
      <c r="C37" s="422" t="s">
        <v>1238</v>
      </c>
    </row>
    <row r="38" spans="1:3" x14ac:dyDescent="0.25">
      <c r="A38" s="418">
        <v>41534</v>
      </c>
      <c r="B38" s="419">
        <v>7.858796296296296E-3</v>
      </c>
      <c r="C38" s="422" t="s">
        <v>1238</v>
      </c>
    </row>
    <row r="39" spans="1:3" x14ac:dyDescent="0.25">
      <c r="A39" s="418">
        <v>41534</v>
      </c>
      <c r="B39" s="419">
        <v>7.858796296296296E-3</v>
      </c>
      <c r="C39" s="422" t="s">
        <v>1238</v>
      </c>
    </row>
    <row r="40" spans="1:3" x14ac:dyDescent="0.25">
      <c r="A40" s="418">
        <v>41534</v>
      </c>
      <c r="B40" s="419">
        <v>1.4363425925925925E-2</v>
      </c>
      <c r="C40" s="422" t="s">
        <v>1238</v>
      </c>
    </row>
    <row r="41" spans="1:3" x14ac:dyDescent="0.25">
      <c r="A41" s="418">
        <v>41534</v>
      </c>
      <c r="B41" s="419">
        <v>1.5960648148148151E-2</v>
      </c>
      <c r="C41" s="422" t="s">
        <v>1238</v>
      </c>
    </row>
    <row r="42" spans="1:3" x14ac:dyDescent="0.25">
      <c r="A42" s="418">
        <v>41534</v>
      </c>
      <c r="B42" s="419">
        <v>1.8483796296296297E-2</v>
      </c>
      <c r="C42" s="422" t="s">
        <v>1236</v>
      </c>
    </row>
    <row r="43" spans="1:3" x14ac:dyDescent="0.25">
      <c r="A43" s="418">
        <v>41534</v>
      </c>
      <c r="B43" s="419">
        <v>1.8483796296296297E-2</v>
      </c>
      <c r="C43" s="422" t="s">
        <v>1237</v>
      </c>
    </row>
    <row r="44" spans="1:3" x14ac:dyDescent="0.25">
      <c r="A44" s="418">
        <v>41534</v>
      </c>
      <c r="B44" s="419">
        <v>1.8483796296296297E-2</v>
      </c>
      <c r="C44" s="422" t="s">
        <v>1238</v>
      </c>
    </row>
    <row r="45" spans="1:3" x14ac:dyDescent="0.25">
      <c r="A45" s="418">
        <v>41534</v>
      </c>
      <c r="B45" s="419">
        <v>1.8483796296296297E-2</v>
      </c>
      <c r="C45" s="422" t="s">
        <v>1238</v>
      </c>
    </row>
    <row r="46" spans="1:3" x14ac:dyDescent="0.25">
      <c r="A46" s="418">
        <v>41534</v>
      </c>
      <c r="B46" s="419">
        <v>1.8483796296296297E-2</v>
      </c>
      <c r="C46" s="422" t="s">
        <v>1238</v>
      </c>
    </row>
    <row r="47" spans="1:3" x14ac:dyDescent="0.25">
      <c r="A47" s="418">
        <v>41534</v>
      </c>
      <c r="B47" s="419">
        <v>1.8483796296296297E-2</v>
      </c>
      <c r="C47" s="422" t="s">
        <v>1238</v>
      </c>
    </row>
    <row r="48" spans="1:3" x14ac:dyDescent="0.25">
      <c r="A48" s="418">
        <v>41534</v>
      </c>
      <c r="B48" s="419">
        <v>1.8483796296296297E-2</v>
      </c>
      <c r="C48" s="422" t="s">
        <v>1238</v>
      </c>
    </row>
    <row r="49" spans="1:3" x14ac:dyDescent="0.25">
      <c r="A49" s="418">
        <v>41534</v>
      </c>
      <c r="B49" s="419">
        <v>1.8483796296296297E-2</v>
      </c>
      <c r="C49" s="422" t="s">
        <v>1238</v>
      </c>
    </row>
    <row r="50" spans="1:3" x14ac:dyDescent="0.25">
      <c r="A50" s="418">
        <v>41534</v>
      </c>
      <c r="B50" s="419">
        <v>2.3194444444444445E-2</v>
      </c>
      <c r="C50" s="422" t="s">
        <v>1238</v>
      </c>
    </row>
    <row r="51" spans="1:3" x14ac:dyDescent="0.25">
      <c r="A51" s="418">
        <v>41534</v>
      </c>
      <c r="B51" s="419">
        <v>2.4548611111111115E-2</v>
      </c>
      <c r="C51" s="422" t="s">
        <v>1236</v>
      </c>
    </row>
    <row r="52" spans="1:3" x14ac:dyDescent="0.25">
      <c r="A52" s="418">
        <v>41534</v>
      </c>
      <c r="B52" s="419">
        <v>2.4548611111111115E-2</v>
      </c>
      <c r="C52" s="422" t="s">
        <v>1237</v>
      </c>
    </row>
    <row r="53" spans="1:3" x14ac:dyDescent="0.25">
      <c r="A53" s="418">
        <v>41534</v>
      </c>
      <c r="B53" s="419">
        <v>2.4548611111111115E-2</v>
      </c>
      <c r="C53" s="422" t="s">
        <v>1260</v>
      </c>
    </row>
    <row r="54" spans="1:3" x14ac:dyDescent="0.25">
      <c r="A54" s="418">
        <v>41534</v>
      </c>
      <c r="B54" s="419">
        <v>2.4548611111111115E-2</v>
      </c>
      <c r="C54" s="422" t="s">
        <v>1261</v>
      </c>
    </row>
    <row r="55" spans="1:3" x14ac:dyDescent="0.25">
      <c r="A55" s="418">
        <v>41534</v>
      </c>
      <c r="B55" s="419">
        <v>2.5104166666666664E-2</v>
      </c>
      <c r="C55" s="422" t="s">
        <v>1238</v>
      </c>
    </row>
    <row r="56" spans="1:3" x14ac:dyDescent="0.25">
      <c r="A56" s="418">
        <v>41534</v>
      </c>
      <c r="B56" s="419">
        <v>2.7465277777777772E-2</v>
      </c>
      <c r="C56" s="422" t="s">
        <v>1236</v>
      </c>
    </row>
    <row r="57" spans="1:3" x14ac:dyDescent="0.25">
      <c r="A57" s="418">
        <v>41534</v>
      </c>
      <c r="B57" s="419">
        <v>2.7465277777777772E-2</v>
      </c>
      <c r="C57" s="422" t="s">
        <v>1237</v>
      </c>
    </row>
    <row r="58" spans="1:3" x14ac:dyDescent="0.25">
      <c r="A58" s="418">
        <v>41534</v>
      </c>
      <c r="B58" s="419">
        <v>2.8692129629629633E-2</v>
      </c>
      <c r="C58" s="422" t="s">
        <v>1238</v>
      </c>
    </row>
    <row r="59" spans="1:3" x14ac:dyDescent="0.25">
      <c r="A59" s="418">
        <v>41534</v>
      </c>
      <c r="B59" s="419">
        <v>2.9409722222222223E-2</v>
      </c>
      <c r="C59" s="422" t="s">
        <v>1238</v>
      </c>
    </row>
    <row r="60" spans="1:3" x14ac:dyDescent="0.25">
      <c r="A60" s="418">
        <v>41534</v>
      </c>
      <c r="B60" s="419">
        <v>2.9548611111111109E-2</v>
      </c>
      <c r="C60" s="422" t="s">
        <v>1236</v>
      </c>
    </row>
    <row r="61" spans="1:3" x14ac:dyDescent="0.25">
      <c r="A61" s="418">
        <v>41534</v>
      </c>
      <c r="B61" s="419">
        <v>2.9548611111111109E-2</v>
      </c>
      <c r="C61" s="422" t="s">
        <v>1237</v>
      </c>
    </row>
    <row r="62" spans="1:3" x14ac:dyDescent="0.25">
      <c r="A62" s="418">
        <v>41534</v>
      </c>
      <c r="B62" s="419">
        <v>2.9560185185185189E-2</v>
      </c>
      <c r="C62" s="422" t="s">
        <v>1260</v>
      </c>
    </row>
    <row r="63" spans="1:3" x14ac:dyDescent="0.25">
      <c r="A63" s="418">
        <v>41534</v>
      </c>
      <c r="B63" s="419">
        <v>2.9560185185185189E-2</v>
      </c>
      <c r="C63" s="422" t="s">
        <v>1261</v>
      </c>
    </row>
    <row r="64" spans="1:3" x14ac:dyDescent="0.25">
      <c r="A64" s="418">
        <v>41534</v>
      </c>
      <c r="B64" s="419">
        <v>3.2546296296296295E-2</v>
      </c>
      <c r="C64" s="422" t="s">
        <v>1238</v>
      </c>
    </row>
    <row r="65" spans="1:3" x14ac:dyDescent="0.25">
      <c r="A65" s="418">
        <v>41534</v>
      </c>
      <c r="B65" s="419">
        <v>3.2731481481481479E-2</v>
      </c>
      <c r="C65" s="422" t="s">
        <v>1236</v>
      </c>
    </row>
    <row r="66" spans="1:3" x14ac:dyDescent="0.25">
      <c r="A66" s="418">
        <v>41534</v>
      </c>
      <c r="B66" s="419">
        <v>3.2731481481481479E-2</v>
      </c>
      <c r="C66" s="422" t="s">
        <v>1237</v>
      </c>
    </row>
    <row r="67" spans="1:3" x14ac:dyDescent="0.25">
      <c r="A67" s="418">
        <v>41534</v>
      </c>
      <c r="B67" s="419">
        <v>3.7210648148148152E-2</v>
      </c>
      <c r="C67" s="422" t="s">
        <v>1238</v>
      </c>
    </row>
    <row r="68" spans="1:3" x14ac:dyDescent="0.25">
      <c r="A68" s="418">
        <v>41534</v>
      </c>
      <c r="B68" s="419">
        <v>3.7291666666666667E-2</v>
      </c>
      <c r="C68" s="422" t="s">
        <v>1236</v>
      </c>
    </row>
    <row r="69" spans="1:3" x14ac:dyDescent="0.25">
      <c r="A69" s="418">
        <v>41534</v>
      </c>
      <c r="B69" s="419">
        <v>3.7291666666666667E-2</v>
      </c>
      <c r="C69" s="422" t="s">
        <v>1237</v>
      </c>
    </row>
    <row r="70" spans="1:3" x14ac:dyDescent="0.25">
      <c r="A70" s="418">
        <v>41534</v>
      </c>
      <c r="B70" s="419">
        <v>3.7291666666666667E-2</v>
      </c>
      <c r="C70" s="422" t="s">
        <v>1238</v>
      </c>
    </row>
    <row r="71" spans="1:3" x14ac:dyDescent="0.25">
      <c r="A71" s="418">
        <v>41534</v>
      </c>
      <c r="B71" s="419">
        <v>4.7928240740740737E-2</v>
      </c>
      <c r="C71" s="422" t="s">
        <v>1238</v>
      </c>
    </row>
    <row r="72" spans="1:3" x14ac:dyDescent="0.25">
      <c r="A72" s="418">
        <v>41534</v>
      </c>
      <c r="B72" s="419">
        <v>4.7928240740740737E-2</v>
      </c>
      <c r="C72" s="422" t="s">
        <v>1236</v>
      </c>
    </row>
    <row r="73" spans="1:3" x14ac:dyDescent="0.25">
      <c r="A73" s="418">
        <v>41534</v>
      </c>
      <c r="B73" s="419">
        <v>4.7928240740740737E-2</v>
      </c>
      <c r="C73" s="422" t="s">
        <v>1237</v>
      </c>
    </row>
    <row r="74" spans="1:3" x14ac:dyDescent="0.25">
      <c r="A74" s="418">
        <v>41534</v>
      </c>
      <c r="B74" s="419">
        <v>4.7928240740740737E-2</v>
      </c>
      <c r="C74" s="422" t="s">
        <v>1238</v>
      </c>
    </row>
    <row r="75" spans="1:3" x14ac:dyDescent="0.25">
      <c r="A75" s="418">
        <v>41534</v>
      </c>
      <c r="B75" s="419">
        <v>4.8993055555555554E-2</v>
      </c>
      <c r="C75" s="422" t="s">
        <v>1238</v>
      </c>
    </row>
    <row r="76" spans="1:3" x14ac:dyDescent="0.25">
      <c r="A76" s="418">
        <v>41534</v>
      </c>
      <c r="B76" s="419">
        <v>4.9004629629629627E-2</v>
      </c>
      <c r="C76" s="422" t="s">
        <v>1236</v>
      </c>
    </row>
    <row r="77" spans="1:3" x14ac:dyDescent="0.25">
      <c r="A77" s="418">
        <v>41534</v>
      </c>
      <c r="B77" s="419">
        <v>4.9004629629629627E-2</v>
      </c>
      <c r="C77" s="422" t="s">
        <v>1237</v>
      </c>
    </row>
    <row r="78" spans="1:3" x14ac:dyDescent="0.25">
      <c r="A78" s="418">
        <v>41534</v>
      </c>
      <c r="B78" s="419">
        <v>4.9004629629629627E-2</v>
      </c>
      <c r="C78" s="422" t="s">
        <v>1238</v>
      </c>
    </row>
    <row r="79" spans="1:3" x14ac:dyDescent="0.25">
      <c r="A79" s="418">
        <v>41534</v>
      </c>
      <c r="B79" s="419">
        <v>4.9907407407407407E-2</v>
      </c>
      <c r="C79" s="422" t="s">
        <v>1238</v>
      </c>
    </row>
    <row r="80" spans="1:3" x14ac:dyDescent="0.25">
      <c r="A80" s="418">
        <v>41534</v>
      </c>
      <c r="B80" s="419">
        <v>4.9907407407407407E-2</v>
      </c>
      <c r="C80" s="422" t="s">
        <v>1236</v>
      </c>
    </row>
    <row r="81" spans="1:3" x14ac:dyDescent="0.25">
      <c r="A81" s="418">
        <v>41534</v>
      </c>
      <c r="B81" s="419">
        <v>4.9907407407407407E-2</v>
      </c>
      <c r="C81" s="422" t="s">
        <v>1237</v>
      </c>
    </row>
    <row r="82" spans="1:3" x14ac:dyDescent="0.25">
      <c r="A82" s="418">
        <v>41534</v>
      </c>
      <c r="B82" s="419">
        <v>4.9907407407407407E-2</v>
      </c>
      <c r="C82" s="422" t="s">
        <v>1238</v>
      </c>
    </row>
    <row r="83" spans="1:3" x14ac:dyDescent="0.25">
      <c r="A83" s="418">
        <v>41534</v>
      </c>
      <c r="B83" s="419">
        <v>5.1249999999999997E-2</v>
      </c>
      <c r="C83" s="422" t="s">
        <v>1238</v>
      </c>
    </row>
    <row r="84" spans="1:3" x14ac:dyDescent="0.25">
      <c r="A84" s="418">
        <v>41534</v>
      </c>
      <c r="B84" s="419">
        <v>5.5185185185185191E-2</v>
      </c>
      <c r="C84" s="422" t="s">
        <v>1238</v>
      </c>
    </row>
    <row r="85" spans="1:3" x14ac:dyDescent="0.25">
      <c r="A85" s="418">
        <v>41534</v>
      </c>
      <c r="B85" s="419">
        <v>5.5185185185185191E-2</v>
      </c>
      <c r="C85" s="422" t="s">
        <v>1236</v>
      </c>
    </row>
    <row r="86" spans="1:3" x14ac:dyDescent="0.25">
      <c r="A86" s="418">
        <v>41534</v>
      </c>
      <c r="B86" s="419">
        <v>5.5185185185185191E-2</v>
      </c>
      <c r="C86" s="422" t="s">
        <v>1237</v>
      </c>
    </row>
    <row r="87" spans="1:3" x14ac:dyDescent="0.25">
      <c r="A87" s="418">
        <v>41534</v>
      </c>
      <c r="B87" s="419">
        <v>5.5185185185185191E-2</v>
      </c>
      <c r="C87" s="422" t="s">
        <v>1238</v>
      </c>
    </row>
    <row r="88" spans="1:3" x14ac:dyDescent="0.25">
      <c r="A88" s="418">
        <v>41534</v>
      </c>
      <c r="B88" s="419">
        <v>5.559027777777778E-2</v>
      </c>
      <c r="C88" s="422" t="s">
        <v>1238</v>
      </c>
    </row>
    <row r="89" spans="1:3" x14ac:dyDescent="0.25">
      <c r="A89" s="418">
        <v>41534</v>
      </c>
      <c r="B89" s="419">
        <v>5.559027777777778E-2</v>
      </c>
      <c r="C89" s="422" t="s">
        <v>1236</v>
      </c>
    </row>
    <row r="90" spans="1:3" x14ac:dyDescent="0.25">
      <c r="A90" s="418">
        <v>41534</v>
      </c>
      <c r="B90" s="419">
        <v>5.559027777777778E-2</v>
      </c>
      <c r="C90" s="422" t="s">
        <v>1237</v>
      </c>
    </row>
    <row r="91" spans="1:3" x14ac:dyDescent="0.25">
      <c r="A91" s="418">
        <v>41534</v>
      </c>
      <c r="B91" s="419">
        <v>5.559027777777778E-2</v>
      </c>
      <c r="C91" s="422" t="s">
        <v>1238</v>
      </c>
    </row>
    <row r="92" spans="1:3" x14ac:dyDescent="0.25">
      <c r="A92" s="418">
        <v>41534</v>
      </c>
      <c r="B92" s="419">
        <v>6.1840277777777779E-2</v>
      </c>
      <c r="C92" s="422" t="s">
        <v>1238</v>
      </c>
    </row>
    <row r="93" spans="1:3" x14ac:dyDescent="0.25">
      <c r="A93" s="418">
        <v>41534</v>
      </c>
      <c r="B93" s="419">
        <v>6.1851851851851852E-2</v>
      </c>
      <c r="C93" s="422" t="s">
        <v>1236</v>
      </c>
    </row>
    <row r="94" spans="1:3" x14ac:dyDescent="0.25">
      <c r="A94" s="418">
        <v>41534</v>
      </c>
      <c r="B94" s="419">
        <v>6.1851851851851852E-2</v>
      </c>
      <c r="C94" s="422" t="s">
        <v>1237</v>
      </c>
    </row>
    <row r="95" spans="1:3" x14ac:dyDescent="0.25">
      <c r="A95" s="418">
        <v>41534</v>
      </c>
      <c r="B95" s="419">
        <v>6.1851851851851852E-2</v>
      </c>
      <c r="C95" s="422" t="s">
        <v>1238</v>
      </c>
    </row>
    <row r="96" spans="1:3" x14ac:dyDescent="0.25">
      <c r="A96" s="418">
        <v>41534</v>
      </c>
      <c r="B96" s="419">
        <v>6.2685185185185191E-2</v>
      </c>
      <c r="C96" s="422" t="s">
        <v>1238</v>
      </c>
    </row>
    <row r="97" spans="1:3" x14ac:dyDescent="0.25">
      <c r="A97" s="418">
        <v>41534</v>
      </c>
      <c r="B97" s="419">
        <v>6.2685185185185191E-2</v>
      </c>
      <c r="C97" s="422" t="s">
        <v>1236</v>
      </c>
    </row>
    <row r="98" spans="1:3" x14ac:dyDescent="0.25">
      <c r="A98" s="418">
        <v>41534</v>
      </c>
      <c r="B98" s="419">
        <v>6.2685185185185191E-2</v>
      </c>
      <c r="C98" s="422" t="s">
        <v>1237</v>
      </c>
    </row>
    <row r="99" spans="1:3" x14ac:dyDescent="0.25">
      <c r="A99" s="418">
        <v>41534</v>
      </c>
      <c r="B99" s="419">
        <v>6.2685185185185191E-2</v>
      </c>
      <c r="C99" s="422" t="s">
        <v>1238</v>
      </c>
    </row>
    <row r="100" spans="1:3" x14ac:dyDescent="0.25">
      <c r="A100" s="418">
        <v>41534</v>
      </c>
      <c r="B100" s="419">
        <v>6.8032407407407403E-2</v>
      </c>
      <c r="C100" s="422" t="s">
        <v>1238</v>
      </c>
    </row>
    <row r="101" spans="1:3" x14ac:dyDescent="0.25">
      <c r="A101" s="418">
        <v>41534</v>
      </c>
      <c r="B101" s="419">
        <v>6.8414351851851851E-2</v>
      </c>
      <c r="C101" s="422" t="s">
        <v>1236</v>
      </c>
    </row>
    <row r="102" spans="1:3" x14ac:dyDescent="0.25">
      <c r="A102" s="418">
        <v>41534</v>
      </c>
      <c r="B102" s="419">
        <v>6.8414351851851851E-2</v>
      </c>
      <c r="C102" s="422" t="s">
        <v>1237</v>
      </c>
    </row>
    <row r="103" spans="1:3" x14ac:dyDescent="0.25">
      <c r="A103" s="418">
        <v>41534</v>
      </c>
      <c r="B103" s="419">
        <v>6.8414351851851851E-2</v>
      </c>
      <c r="C103" s="422" t="s">
        <v>1238</v>
      </c>
    </row>
    <row r="104" spans="1:3" x14ac:dyDescent="0.25">
      <c r="A104" s="418">
        <v>41534</v>
      </c>
      <c r="B104" s="419">
        <v>6.9930555555555551E-2</v>
      </c>
      <c r="C104" s="422" t="s">
        <v>1238</v>
      </c>
    </row>
    <row r="105" spans="1:3" x14ac:dyDescent="0.25">
      <c r="A105" s="418">
        <v>41534</v>
      </c>
      <c r="B105" s="419">
        <v>6.9942129629629632E-2</v>
      </c>
      <c r="C105" s="422" t="s">
        <v>1236</v>
      </c>
    </row>
    <row r="106" spans="1:3" x14ac:dyDescent="0.25">
      <c r="A106" s="418">
        <v>41534</v>
      </c>
      <c r="B106" s="419">
        <v>6.9942129629629632E-2</v>
      </c>
      <c r="C106" s="422" t="s">
        <v>1237</v>
      </c>
    </row>
    <row r="107" spans="1:3" x14ac:dyDescent="0.25">
      <c r="A107" s="418">
        <v>41534</v>
      </c>
      <c r="B107" s="419">
        <v>6.9942129629629632E-2</v>
      </c>
      <c r="C107" s="422" t="s">
        <v>1238</v>
      </c>
    </row>
    <row r="108" spans="1:3" x14ac:dyDescent="0.25">
      <c r="A108" s="418">
        <v>41534</v>
      </c>
      <c r="B108" s="419">
        <v>7.2615740740740745E-2</v>
      </c>
      <c r="C108" s="422" t="s">
        <v>1238</v>
      </c>
    </row>
    <row r="109" spans="1:3" x14ac:dyDescent="0.25">
      <c r="A109" s="418">
        <v>41534</v>
      </c>
      <c r="B109" s="419">
        <v>7.2627314814814811E-2</v>
      </c>
      <c r="C109" s="422" t="s">
        <v>1236</v>
      </c>
    </row>
    <row r="110" spans="1:3" x14ac:dyDescent="0.25">
      <c r="A110" s="418">
        <v>41534</v>
      </c>
      <c r="B110" s="419">
        <v>7.2627314814814811E-2</v>
      </c>
      <c r="C110" s="422" t="s">
        <v>1237</v>
      </c>
    </row>
    <row r="111" spans="1:3" x14ac:dyDescent="0.25">
      <c r="A111" s="418">
        <v>41534</v>
      </c>
      <c r="B111" s="419">
        <v>7.2627314814814811E-2</v>
      </c>
      <c r="C111" s="422" t="s">
        <v>1238</v>
      </c>
    </row>
    <row r="112" spans="1:3" x14ac:dyDescent="0.25">
      <c r="A112" s="418">
        <v>41534</v>
      </c>
      <c r="B112" s="419">
        <v>7.9236111111111118E-2</v>
      </c>
      <c r="C112" s="422" t="s">
        <v>1238</v>
      </c>
    </row>
    <row r="113" spans="1:3" x14ac:dyDescent="0.25">
      <c r="A113" s="418">
        <v>41534</v>
      </c>
      <c r="B113" s="419">
        <v>7.9374999999999987E-2</v>
      </c>
      <c r="C113" s="422" t="s">
        <v>1236</v>
      </c>
    </row>
    <row r="114" spans="1:3" x14ac:dyDescent="0.25">
      <c r="A114" s="418">
        <v>41534</v>
      </c>
      <c r="B114" s="419">
        <v>7.9374999999999987E-2</v>
      </c>
      <c r="C114" s="422" t="s">
        <v>1237</v>
      </c>
    </row>
    <row r="115" spans="1:3" x14ac:dyDescent="0.25">
      <c r="A115" s="418">
        <v>41534</v>
      </c>
      <c r="B115" s="419">
        <v>7.9398148148148148E-2</v>
      </c>
      <c r="C115" s="422" t="s">
        <v>1238</v>
      </c>
    </row>
    <row r="116" spans="1:3" x14ac:dyDescent="0.25">
      <c r="A116" s="418">
        <v>41534</v>
      </c>
      <c r="B116" s="419">
        <v>8.0914351851851848E-2</v>
      </c>
      <c r="C116" s="422" t="s">
        <v>1238</v>
      </c>
    </row>
    <row r="117" spans="1:3" x14ac:dyDescent="0.25">
      <c r="A117" s="418">
        <v>41534</v>
      </c>
      <c r="B117" s="419">
        <v>8.1018518518518517E-2</v>
      </c>
      <c r="C117" s="422" t="s">
        <v>1236</v>
      </c>
    </row>
    <row r="118" spans="1:3" x14ac:dyDescent="0.25">
      <c r="A118" s="418">
        <v>41534</v>
      </c>
      <c r="B118" s="419">
        <v>8.1018518518518517E-2</v>
      </c>
      <c r="C118" s="422" t="s">
        <v>1237</v>
      </c>
    </row>
    <row r="119" spans="1:3" x14ac:dyDescent="0.25">
      <c r="A119" s="418">
        <v>41534</v>
      </c>
      <c r="B119" s="419">
        <v>8.1041666666666665E-2</v>
      </c>
      <c r="C119" s="422" t="s">
        <v>1238</v>
      </c>
    </row>
    <row r="120" spans="1:3" x14ac:dyDescent="0.25">
      <c r="A120" s="418">
        <v>41534</v>
      </c>
      <c r="B120" s="419">
        <v>8.143518518518518E-2</v>
      </c>
      <c r="C120" s="422" t="s">
        <v>1238</v>
      </c>
    </row>
    <row r="121" spans="1:3" x14ac:dyDescent="0.25">
      <c r="A121" s="418">
        <v>41534</v>
      </c>
      <c r="B121" s="419">
        <v>8.1504629629629635E-2</v>
      </c>
      <c r="C121" s="422" t="s">
        <v>1236</v>
      </c>
    </row>
    <row r="122" spans="1:3" x14ac:dyDescent="0.25">
      <c r="A122" s="418">
        <v>41534</v>
      </c>
      <c r="B122" s="419">
        <v>8.1504629629629635E-2</v>
      </c>
      <c r="C122" s="422" t="s">
        <v>1237</v>
      </c>
    </row>
    <row r="123" spans="1:3" x14ac:dyDescent="0.25">
      <c r="A123" s="418">
        <v>41534</v>
      </c>
      <c r="B123" s="419">
        <v>8.1527777777777768E-2</v>
      </c>
      <c r="C123" s="422" t="s">
        <v>1238</v>
      </c>
    </row>
    <row r="124" spans="1:3" ht="45" x14ac:dyDescent="0.25">
      <c r="A124" s="418">
        <v>41535</v>
      </c>
      <c r="B124" s="419">
        <v>0.66784722222222215</v>
      </c>
      <c r="C124" s="952" t="s">
        <v>1262</v>
      </c>
    </row>
    <row r="125" spans="1:3" ht="45" x14ac:dyDescent="0.25">
      <c r="A125" s="418">
        <v>41535</v>
      </c>
      <c r="B125" s="419">
        <v>0.67802083333333341</v>
      </c>
      <c r="C125" s="952" t="s">
        <v>1265</v>
      </c>
    </row>
    <row r="126" spans="1:3" ht="45" x14ac:dyDescent="0.25">
      <c r="A126" s="418">
        <v>41535</v>
      </c>
      <c r="B126" s="419">
        <v>0.70467592592592598</v>
      </c>
      <c r="C126" s="952" t="s">
        <v>1266</v>
      </c>
    </row>
    <row r="127" spans="1:3" x14ac:dyDescent="0.25">
      <c r="A127" s="418">
        <v>41536</v>
      </c>
      <c r="B127" s="419">
        <v>0.37297453703703703</v>
      </c>
      <c r="C127" s="422" t="s">
        <v>1267</v>
      </c>
    </row>
    <row r="128" spans="1:3" ht="30" x14ac:dyDescent="0.25">
      <c r="A128" s="418">
        <v>41536</v>
      </c>
      <c r="B128" s="419">
        <v>0.3758333333333333</v>
      </c>
      <c r="C128" s="952" t="s">
        <v>1268</v>
      </c>
    </row>
    <row r="129" spans="1:3" ht="45" x14ac:dyDescent="0.25">
      <c r="A129" s="418">
        <v>41536</v>
      </c>
      <c r="B129" s="419">
        <v>0.38254629629629627</v>
      </c>
      <c r="C129" s="952" t="s">
        <v>1269</v>
      </c>
    </row>
    <row r="130" spans="1:3" ht="45" x14ac:dyDescent="0.25">
      <c r="A130" s="418">
        <v>41536</v>
      </c>
      <c r="B130" s="419">
        <v>0.3835648148148148</v>
      </c>
      <c r="C130" s="952" t="s">
        <v>1270</v>
      </c>
    </row>
    <row r="131" spans="1:3" ht="45" x14ac:dyDescent="0.25">
      <c r="A131" s="418">
        <v>41536</v>
      </c>
      <c r="B131" s="419">
        <v>0.38391203703703702</v>
      </c>
      <c r="C131" s="952" t="s">
        <v>1271</v>
      </c>
    </row>
    <row r="132" spans="1:3" ht="30" x14ac:dyDescent="0.25">
      <c r="A132" s="418">
        <v>41536</v>
      </c>
      <c r="B132" s="419">
        <v>0.38409722222222226</v>
      </c>
      <c r="C132" s="952" t="s">
        <v>1272</v>
      </c>
    </row>
    <row r="133" spans="1:3" x14ac:dyDescent="0.25">
      <c r="A133" s="418">
        <v>41537</v>
      </c>
      <c r="B133" s="419">
        <v>0.97690972222222217</v>
      </c>
      <c r="C133" s="422" t="s">
        <v>1274</v>
      </c>
    </row>
    <row r="134" spans="1:3" ht="60" x14ac:dyDescent="0.25">
      <c r="A134" s="418">
        <v>41537</v>
      </c>
      <c r="B134" s="419">
        <v>0.97690972222222217</v>
      </c>
      <c r="C134" s="952" t="s">
        <v>1275</v>
      </c>
    </row>
    <row r="135" spans="1:3" x14ac:dyDescent="0.25">
      <c r="A135" s="418">
        <v>41538</v>
      </c>
      <c r="B135" s="419">
        <v>1.7824074074074072E-3</v>
      </c>
      <c r="C135" s="422" t="s">
        <v>1274</v>
      </c>
    </row>
    <row r="136" spans="1:3" ht="45" x14ac:dyDescent="0.25">
      <c r="A136" s="418">
        <v>41538</v>
      </c>
      <c r="B136" s="419">
        <v>3.2870370370370376E-2</v>
      </c>
      <c r="C136" s="952" t="s">
        <v>1276</v>
      </c>
    </row>
    <row r="137" spans="1:3" ht="30" x14ac:dyDescent="0.25">
      <c r="A137" s="418">
        <v>41538</v>
      </c>
      <c r="B137" s="419">
        <v>3.3032407407407406E-2</v>
      </c>
      <c r="C137" s="952" t="s">
        <v>1277</v>
      </c>
    </row>
    <row r="138" spans="1:3" ht="45" x14ac:dyDescent="0.25">
      <c r="A138" s="418">
        <v>41538</v>
      </c>
      <c r="B138" s="419">
        <v>3.4131944444444444E-2</v>
      </c>
      <c r="C138" s="952" t="s">
        <v>1278</v>
      </c>
    </row>
    <row r="139" spans="1:3" ht="45" x14ac:dyDescent="0.25">
      <c r="A139" s="418">
        <v>41538</v>
      </c>
      <c r="B139" s="419">
        <v>3.4490740740740738E-2</v>
      </c>
      <c r="C139" s="952" t="s">
        <v>1279</v>
      </c>
    </row>
    <row r="140" spans="1:3" ht="30" x14ac:dyDescent="0.25">
      <c r="A140" s="418">
        <v>41538</v>
      </c>
      <c r="B140" s="419">
        <v>3.4606481481481481E-2</v>
      </c>
      <c r="C140" s="952" t="s">
        <v>1280</v>
      </c>
    </row>
    <row r="141" spans="1:3" ht="45" x14ac:dyDescent="0.25">
      <c r="A141" s="418">
        <v>41538</v>
      </c>
      <c r="B141" s="419">
        <v>3.4699074074074077E-2</v>
      </c>
      <c r="C141" s="952" t="s">
        <v>1281</v>
      </c>
    </row>
    <row r="142" spans="1:3" x14ac:dyDescent="0.25">
      <c r="A142" s="418">
        <v>41538</v>
      </c>
      <c r="B142" s="419">
        <v>3.5231481481481482E-2</v>
      </c>
      <c r="C142" s="422" t="s">
        <v>1282</v>
      </c>
    </row>
    <row r="143" spans="1:3" ht="60" x14ac:dyDescent="0.25">
      <c r="A143" s="418">
        <v>41538</v>
      </c>
      <c r="B143" s="419">
        <v>3.5231481481481482E-2</v>
      </c>
      <c r="C143" s="952" t="s">
        <v>1283</v>
      </c>
    </row>
    <row r="144" spans="1:3" x14ac:dyDescent="0.25">
      <c r="A144" s="418">
        <v>41538</v>
      </c>
      <c r="B144" s="419">
        <v>4.1435185185185179E-2</v>
      </c>
      <c r="C144" s="422" t="s">
        <v>1282</v>
      </c>
    </row>
    <row r="145" spans="1:3" ht="60" x14ac:dyDescent="0.25">
      <c r="A145" s="418">
        <v>41538</v>
      </c>
      <c r="B145" s="419">
        <v>4.1435185185185179E-2</v>
      </c>
      <c r="C145" s="952" t="s">
        <v>1283</v>
      </c>
    </row>
    <row r="146" spans="1:3" x14ac:dyDescent="0.25">
      <c r="A146" s="418">
        <v>41538</v>
      </c>
      <c r="B146" s="419">
        <v>4.1851851851851855E-2</v>
      </c>
      <c r="C146" s="422" t="s">
        <v>1284</v>
      </c>
    </row>
    <row r="147" spans="1:3" ht="60" x14ac:dyDescent="0.25">
      <c r="A147" s="418">
        <v>41538</v>
      </c>
      <c r="B147" s="419">
        <v>4.1851851851851855E-2</v>
      </c>
      <c r="C147" s="952" t="s">
        <v>1285</v>
      </c>
    </row>
    <row r="148" spans="1:3" x14ac:dyDescent="0.25">
      <c r="A148" s="418">
        <v>41538</v>
      </c>
      <c r="B148" s="419">
        <v>4.1967592592592591E-2</v>
      </c>
      <c r="C148" s="422" t="s">
        <v>1286</v>
      </c>
    </row>
    <row r="149" spans="1:3" ht="60" x14ac:dyDescent="0.25">
      <c r="A149" s="418">
        <v>41538</v>
      </c>
      <c r="B149" s="419">
        <v>4.1967592592592591E-2</v>
      </c>
      <c r="C149" s="952" t="s">
        <v>1287</v>
      </c>
    </row>
    <row r="150" spans="1:3" x14ac:dyDescent="0.25">
      <c r="A150" s="418">
        <v>41538</v>
      </c>
      <c r="B150" s="419">
        <v>4.2037037037037039E-2</v>
      </c>
      <c r="C150" s="422" t="s">
        <v>1288</v>
      </c>
    </row>
    <row r="151" spans="1:3" ht="60" x14ac:dyDescent="0.25">
      <c r="A151" s="418">
        <v>41538</v>
      </c>
      <c r="B151" s="419">
        <v>4.2037037037037039E-2</v>
      </c>
      <c r="C151" s="952" t="s">
        <v>1289</v>
      </c>
    </row>
    <row r="152" spans="1:3" x14ac:dyDescent="0.25">
      <c r="A152" s="418">
        <v>41538</v>
      </c>
      <c r="B152" s="419">
        <v>4.206018518518518E-2</v>
      </c>
      <c r="C152" s="422" t="s">
        <v>1290</v>
      </c>
    </row>
    <row r="153" spans="1:3" ht="60" x14ac:dyDescent="0.25">
      <c r="A153" s="418">
        <v>41538</v>
      </c>
      <c r="B153" s="419">
        <v>4.206018518518518E-2</v>
      </c>
      <c r="C153" s="952" t="s">
        <v>1291</v>
      </c>
    </row>
    <row r="154" spans="1:3" x14ac:dyDescent="0.25">
      <c r="A154" s="418">
        <v>41538</v>
      </c>
      <c r="B154" s="419">
        <v>4.2164351851851856E-2</v>
      </c>
      <c r="C154" s="422" t="s">
        <v>1292</v>
      </c>
    </row>
    <row r="155" spans="1:3" ht="60" x14ac:dyDescent="0.25">
      <c r="A155" s="418">
        <v>41538</v>
      </c>
      <c r="B155" s="419">
        <v>4.2164351851851856E-2</v>
      </c>
      <c r="C155" s="952" t="s">
        <v>1293</v>
      </c>
    </row>
    <row r="156" spans="1:3" x14ac:dyDescent="0.25">
      <c r="A156" s="418">
        <v>41538</v>
      </c>
      <c r="B156" s="419">
        <v>4.2199074074074076E-2</v>
      </c>
      <c r="C156" s="422" t="s">
        <v>1292</v>
      </c>
    </row>
    <row r="157" spans="1:3" ht="60" x14ac:dyDescent="0.25">
      <c r="A157" s="418">
        <v>41538</v>
      </c>
      <c r="B157" s="419">
        <v>4.2199074074074076E-2</v>
      </c>
      <c r="C157" s="952" t="s">
        <v>1294</v>
      </c>
    </row>
    <row r="158" spans="1:3" x14ac:dyDescent="0.25">
      <c r="A158" s="418">
        <v>41538</v>
      </c>
      <c r="B158" s="419">
        <v>4.2222222222222223E-2</v>
      </c>
      <c r="C158" s="422" t="s">
        <v>1295</v>
      </c>
    </row>
    <row r="159" spans="1:3" ht="60" x14ac:dyDescent="0.25">
      <c r="A159" s="418">
        <v>41538</v>
      </c>
      <c r="B159" s="419">
        <v>4.2222222222222223E-2</v>
      </c>
      <c r="C159" s="952" t="s">
        <v>1296</v>
      </c>
    </row>
    <row r="160" spans="1:3" x14ac:dyDescent="0.25">
      <c r="A160" s="418">
        <v>41538</v>
      </c>
      <c r="B160" s="419">
        <v>4.223379629629629E-2</v>
      </c>
      <c r="C160" s="422" t="s">
        <v>1297</v>
      </c>
    </row>
    <row r="161" spans="1:3" ht="60" x14ac:dyDescent="0.25">
      <c r="A161" s="418">
        <v>41538</v>
      </c>
      <c r="B161" s="419">
        <v>4.223379629629629E-2</v>
      </c>
      <c r="C161" s="952" t="s">
        <v>1298</v>
      </c>
    </row>
    <row r="162" spans="1:3" x14ac:dyDescent="0.25">
      <c r="A162" s="418">
        <v>41538</v>
      </c>
      <c r="B162" s="419">
        <v>4.2245370370370371E-2</v>
      </c>
      <c r="C162" s="422" t="s">
        <v>1299</v>
      </c>
    </row>
    <row r="163" spans="1:3" ht="60" x14ac:dyDescent="0.25">
      <c r="A163" s="418">
        <v>41538</v>
      </c>
      <c r="B163" s="419">
        <v>4.2245370370370371E-2</v>
      </c>
      <c r="C163" s="952" t="s">
        <v>1300</v>
      </c>
    </row>
    <row r="164" spans="1:3" x14ac:dyDescent="0.25">
      <c r="A164" s="418">
        <v>41538</v>
      </c>
      <c r="B164" s="419">
        <v>4.2337962962962966E-2</v>
      </c>
      <c r="C164" s="422" t="s">
        <v>1301</v>
      </c>
    </row>
    <row r="165" spans="1:3" ht="45" x14ac:dyDescent="0.25">
      <c r="A165" s="418">
        <v>41538</v>
      </c>
      <c r="B165" s="419">
        <v>6.2291666666666669E-2</v>
      </c>
      <c r="C165" s="952" t="s">
        <v>1302</v>
      </c>
    </row>
    <row r="166" spans="1:3" ht="30" x14ac:dyDescent="0.25">
      <c r="A166" s="418">
        <v>41538</v>
      </c>
      <c r="B166" s="419">
        <v>6.2291666666666669E-2</v>
      </c>
      <c r="C166" s="952" t="s">
        <v>1303</v>
      </c>
    </row>
    <row r="167" spans="1:3" ht="45" x14ac:dyDescent="0.25">
      <c r="A167" s="418">
        <v>41538</v>
      </c>
      <c r="B167" s="419">
        <v>6.3715277777777787E-2</v>
      </c>
      <c r="C167" s="952" t="s">
        <v>1304</v>
      </c>
    </row>
    <row r="168" spans="1:3" ht="30" x14ac:dyDescent="0.25">
      <c r="A168" s="418">
        <v>41538</v>
      </c>
      <c r="B168" s="419">
        <v>6.3819444444444443E-2</v>
      </c>
      <c r="C168" s="952" t="s">
        <v>1305</v>
      </c>
    </row>
    <row r="169" spans="1:3" ht="45" x14ac:dyDescent="0.25">
      <c r="A169" s="418">
        <v>41538</v>
      </c>
      <c r="B169" s="419">
        <v>6.3912037037037031E-2</v>
      </c>
      <c r="C169" s="952" t="s">
        <v>1306</v>
      </c>
    </row>
    <row r="170" spans="1:3" ht="45" x14ac:dyDescent="0.25">
      <c r="A170" s="418">
        <v>41538</v>
      </c>
      <c r="B170" s="419">
        <v>7.5902777777777777E-2</v>
      </c>
      <c r="C170" s="952" t="s">
        <v>1307</v>
      </c>
    </row>
    <row r="171" spans="1:3" ht="30" x14ac:dyDescent="0.25">
      <c r="A171" s="418">
        <v>41538</v>
      </c>
      <c r="B171" s="419">
        <v>7.604166666666666E-2</v>
      </c>
      <c r="C171" s="952" t="s">
        <v>1308</v>
      </c>
    </row>
    <row r="172" spans="1:3" ht="45" x14ac:dyDescent="0.25">
      <c r="A172" s="418">
        <v>41538</v>
      </c>
      <c r="B172" s="419">
        <v>7.6145833333333343E-2</v>
      </c>
      <c r="C172" s="952" t="s">
        <v>1309</v>
      </c>
    </row>
    <row r="173" spans="1:3" x14ac:dyDescent="0.25">
      <c r="A173" s="418">
        <v>41538</v>
      </c>
      <c r="B173" s="419">
        <v>0.59356481481481482</v>
      </c>
      <c r="C173" s="422" t="s">
        <v>1238</v>
      </c>
    </row>
    <row r="174" spans="1:3" x14ac:dyDescent="0.25">
      <c r="A174" s="418">
        <v>41538</v>
      </c>
      <c r="B174" s="419">
        <v>0.59515046296296303</v>
      </c>
      <c r="C174" s="422" t="s">
        <v>1310</v>
      </c>
    </row>
    <row r="175" spans="1:3" x14ac:dyDescent="0.25">
      <c r="A175" s="418">
        <v>41538</v>
      </c>
      <c r="B175" s="419">
        <v>0.5978472222222222</v>
      </c>
      <c r="C175" s="422" t="s">
        <v>1311</v>
      </c>
    </row>
    <row r="176" spans="1:3" x14ac:dyDescent="0.25">
      <c r="A176" s="418">
        <v>41538</v>
      </c>
      <c r="B176" s="419">
        <v>0.5978472222222222</v>
      </c>
      <c r="C176" s="422" t="s">
        <v>1312</v>
      </c>
    </row>
    <row r="177" spans="1:3" x14ac:dyDescent="0.25">
      <c r="A177" s="418">
        <v>41538</v>
      </c>
      <c r="B177" s="419">
        <v>0.5978472222222222</v>
      </c>
      <c r="C177" s="422" t="s">
        <v>1313</v>
      </c>
    </row>
    <row r="178" spans="1:3" x14ac:dyDescent="0.25">
      <c r="A178" s="418">
        <v>41538</v>
      </c>
      <c r="B178" s="419">
        <v>0.5978472222222222</v>
      </c>
      <c r="C178" s="422" t="s">
        <v>1314</v>
      </c>
    </row>
    <row r="179" spans="1:3" x14ac:dyDescent="0.25">
      <c r="A179" s="418">
        <v>41538</v>
      </c>
      <c r="B179" s="419">
        <v>0.5978472222222222</v>
      </c>
      <c r="C179" s="422" t="s">
        <v>1315</v>
      </c>
    </row>
    <row r="180" spans="1:3" x14ac:dyDescent="0.25">
      <c r="A180" s="418">
        <v>41538</v>
      </c>
      <c r="B180" s="419">
        <v>0.5978472222222222</v>
      </c>
      <c r="C180" s="422" t="s">
        <v>1316</v>
      </c>
    </row>
    <row r="181" spans="1:3" x14ac:dyDescent="0.25">
      <c r="A181" s="418">
        <v>41538</v>
      </c>
      <c r="B181" s="419">
        <v>0.5978472222222222</v>
      </c>
      <c r="C181" s="422" t="s">
        <v>1313</v>
      </c>
    </row>
    <row r="182" spans="1:3" x14ac:dyDescent="0.25">
      <c r="A182" s="418">
        <v>41538</v>
      </c>
      <c r="B182" s="419">
        <v>0.5978472222222222</v>
      </c>
      <c r="C182" s="422" t="s">
        <v>1317</v>
      </c>
    </row>
    <row r="183" spans="1:3" x14ac:dyDescent="0.25">
      <c r="A183" s="418">
        <v>41538</v>
      </c>
      <c r="B183" s="419">
        <v>0.5978472222222222</v>
      </c>
      <c r="C183" s="422" t="s">
        <v>1318</v>
      </c>
    </row>
    <row r="184" spans="1:3" x14ac:dyDescent="0.25">
      <c r="A184" s="418">
        <v>41538</v>
      </c>
      <c r="B184" s="419">
        <v>0.60270833333333329</v>
      </c>
      <c r="C184" s="422" t="s">
        <v>1313</v>
      </c>
    </row>
    <row r="185" spans="1:3" x14ac:dyDescent="0.25">
      <c r="A185" s="418">
        <v>41538</v>
      </c>
      <c r="B185" s="419">
        <v>0.60270833333333329</v>
      </c>
      <c r="C185" s="422" t="s">
        <v>1238</v>
      </c>
    </row>
    <row r="186" spans="1:3" x14ac:dyDescent="0.25">
      <c r="A186" s="418">
        <v>41538</v>
      </c>
      <c r="B186" s="419">
        <v>0.60366898148148151</v>
      </c>
      <c r="C186" s="422" t="s">
        <v>1319</v>
      </c>
    </row>
    <row r="187" spans="1:3" x14ac:dyDescent="0.25">
      <c r="A187" s="418">
        <v>41538</v>
      </c>
      <c r="B187" s="419">
        <v>0.60366898148148151</v>
      </c>
      <c r="C187" s="422" t="s">
        <v>1319</v>
      </c>
    </row>
    <row r="188" spans="1:3" x14ac:dyDescent="0.25">
      <c r="A188" s="418">
        <v>41538</v>
      </c>
      <c r="B188" s="419">
        <v>0.60960648148148155</v>
      </c>
      <c r="C188" s="422" t="s">
        <v>1238</v>
      </c>
    </row>
    <row r="189" spans="1:3" x14ac:dyDescent="0.25">
      <c r="A189" s="418">
        <v>41538</v>
      </c>
      <c r="B189" s="419">
        <v>0.60960648148148155</v>
      </c>
      <c r="C189" s="422" t="s">
        <v>1310</v>
      </c>
    </row>
    <row r="190" spans="1:3" x14ac:dyDescent="0.25">
      <c r="A190" s="418">
        <v>41538</v>
      </c>
      <c r="B190" s="419">
        <v>0.60960648148148155</v>
      </c>
      <c r="C190" s="422" t="s">
        <v>1311</v>
      </c>
    </row>
    <row r="191" spans="1:3" x14ac:dyDescent="0.25">
      <c r="A191" s="418">
        <v>41538</v>
      </c>
      <c r="B191" s="419">
        <v>0.60960648148148155</v>
      </c>
      <c r="C191" s="422" t="s">
        <v>1312</v>
      </c>
    </row>
    <row r="192" spans="1:3" x14ac:dyDescent="0.25">
      <c r="A192" s="418">
        <v>41538</v>
      </c>
      <c r="B192" s="419">
        <v>0.60960648148148155</v>
      </c>
      <c r="C192" s="422" t="s">
        <v>1313</v>
      </c>
    </row>
    <row r="193" spans="1:3" x14ac:dyDescent="0.25">
      <c r="A193" s="418">
        <v>41538</v>
      </c>
      <c r="B193" s="419">
        <v>0.60960648148148155</v>
      </c>
      <c r="C193" s="422" t="s">
        <v>1314</v>
      </c>
    </row>
    <row r="194" spans="1:3" x14ac:dyDescent="0.25">
      <c r="A194" s="418">
        <v>41538</v>
      </c>
      <c r="B194" s="419">
        <v>0.60960648148148155</v>
      </c>
      <c r="C194" s="422" t="s">
        <v>1315</v>
      </c>
    </row>
    <row r="195" spans="1:3" x14ac:dyDescent="0.25">
      <c r="A195" s="418">
        <v>41538</v>
      </c>
      <c r="B195" s="419">
        <v>0.60960648148148155</v>
      </c>
      <c r="C195" s="422" t="s">
        <v>1316</v>
      </c>
    </row>
    <row r="196" spans="1:3" x14ac:dyDescent="0.25">
      <c r="A196" s="418">
        <v>41538</v>
      </c>
      <c r="B196" s="419">
        <v>0.60960648148148155</v>
      </c>
      <c r="C196" s="422" t="s">
        <v>1313</v>
      </c>
    </row>
    <row r="197" spans="1:3" x14ac:dyDescent="0.25">
      <c r="A197" s="418">
        <v>41538</v>
      </c>
      <c r="B197" s="419">
        <v>0.60960648148148155</v>
      </c>
      <c r="C197" s="422" t="s">
        <v>1317</v>
      </c>
    </row>
    <row r="198" spans="1:3" x14ac:dyDescent="0.25">
      <c r="A198" s="418">
        <v>41538</v>
      </c>
      <c r="B198" s="419">
        <v>0.60960648148148155</v>
      </c>
      <c r="C198" s="422" t="s">
        <v>1318</v>
      </c>
    </row>
    <row r="199" spans="1:3" x14ac:dyDescent="0.25">
      <c r="A199" s="418">
        <v>41538</v>
      </c>
      <c r="B199" s="419">
        <v>0.60982638888888896</v>
      </c>
      <c r="C199" s="422" t="s">
        <v>1313</v>
      </c>
    </row>
    <row r="200" spans="1:3" x14ac:dyDescent="0.25">
      <c r="A200" s="418">
        <v>41538</v>
      </c>
      <c r="B200" s="419">
        <v>0.60982638888888896</v>
      </c>
      <c r="C200" s="422" t="s">
        <v>1238</v>
      </c>
    </row>
    <row r="201" spans="1:3" x14ac:dyDescent="0.25">
      <c r="A201" s="418">
        <v>41538</v>
      </c>
      <c r="B201" s="419">
        <v>0.6098958333333333</v>
      </c>
      <c r="C201" s="422" t="s">
        <v>1319</v>
      </c>
    </row>
    <row r="202" spans="1:3" x14ac:dyDescent="0.25">
      <c r="A202" s="418">
        <v>41538</v>
      </c>
      <c r="B202" s="419">
        <v>0.6098958333333333</v>
      </c>
      <c r="C202" s="422" t="s">
        <v>1319</v>
      </c>
    </row>
    <row r="203" spans="1:3" x14ac:dyDescent="0.25">
      <c r="A203" s="418">
        <v>41538</v>
      </c>
      <c r="B203" s="419">
        <v>0.61</v>
      </c>
      <c r="C203" s="422" t="s">
        <v>1320</v>
      </c>
    </row>
    <row r="204" spans="1:3" x14ac:dyDescent="0.25">
      <c r="A204" s="418">
        <v>41538</v>
      </c>
      <c r="B204" s="419">
        <v>0.61</v>
      </c>
      <c r="C204" s="422" t="s">
        <v>1312</v>
      </c>
    </row>
    <row r="205" spans="1:3" x14ac:dyDescent="0.25">
      <c r="A205" s="418">
        <v>41538</v>
      </c>
      <c r="B205" s="419">
        <v>0.61</v>
      </c>
      <c r="C205" s="422" t="s">
        <v>1321</v>
      </c>
    </row>
    <row r="206" spans="1:3" x14ac:dyDescent="0.25">
      <c r="A206" s="418">
        <v>41538</v>
      </c>
      <c r="B206" s="419">
        <v>0.62510416666666668</v>
      </c>
      <c r="C206" s="422" t="s">
        <v>1238</v>
      </c>
    </row>
    <row r="207" spans="1:3" x14ac:dyDescent="0.25">
      <c r="A207" s="418">
        <v>41538</v>
      </c>
      <c r="B207" s="419">
        <v>0.62510416666666668</v>
      </c>
      <c r="C207" s="422" t="s">
        <v>1310</v>
      </c>
    </row>
    <row r="208" spans="1:3" x14ac:dyDescent="0.25">
      <c r="A208" s="418">
        <v>41538</v>
      </c>
      <c r="B208" s="419">
        <v>0.62510416666666668</v>
      </c>
      <c r="C208" s="422" t="s">
        <v>1311</v>
      </c>
    </row>
    <row r="209" spans="1:3" x14ac:dyDescent="0.25">
      <c r="A209" s="418">
        <v>41538</v>
      </c>
      <c r="B209" s="419">
        <v>0.62510416666666668</v>
      </c>
      <c r="C209" s="422" t="s">
        <v>1312</v>
      </c>
    </row>
    <row r="210" spans="1:3" x14ac:dyDescent="0.25">
      <c r="A210" s="418">
        <v>41538</v>
      </c>
      <c r="B210" s="419">
        <v>0.62510416666666668</v>
      </c>
      <c r="C210" s="422" t="s">
        <v>1313</v>
      </c>
    </row>
    <row r="211" spans="1:3" x14ac:dyDescent="0.25">
      <c r="A211" s="418">
        <v>41538</v>
      </c>
      <c r="B211" s="419">
        <v>0.62510416666666668</v>
      </c>
      <c r="C211" s="422" t="s">
        <v>1314</v>
      </c>
    </row>
    <row r="212" spans="1:3" x14ac:dyDescent="0.25">
      <c r="A212" s="418">
        <v>41538</v>
      </c>
      <c r="B212" s="419">
        <v>0.62510416666666668</v>
      </c>
      <c r="C212" s="422" t="s">
        <v>1315</v>
      </c>
    </row>
    <row r="213" spans="1:3" x14ac:dyDescent="0.25">
      <c r="A213" s="418">
        <v>41538</v>
      </c>
      <c r="B213" s="419">
        <v>0.62510416666666668</v>
      </c>
      <c r="C213" s="422" t="s">
        <v>1316</v>
      </c>
    </row>
    <row r="214" spans="1:3" x14ac:dyDescent="0.25">
      <c r="A214" s="418">
        <v>41538</v>
      </c>
      <c r="B214" s="419">
        <v>0.62510416666666668</v>
      </c>
      <c r="C214" s="422" t="s">
        <v>1313</v>
      </c>
    </row>
    <row r="215" spans="1:3" x14ac:dyDescent="0.25">
      <c r="A215" s="418">
        <v>41538</v>
      </c>
      <c r="B215" s="419">
        <v>0.62510416666666668</v>
      </c>
      <c r="C215" s="422" t="s">
        <v>1317</v>
      </c>
    </row>
    <row r="216" spans="1:3" x14ac:dyDescent="0.25">
      <c r="A216" s="418">
        <v>41538</v>
      </c>
      <c r="B216" s="419">
        <v>0.62510416666666668</v>
      </c>
      <c r="C216" s="422" t="s">
        <v>1318</v>
      </c>
    </row>
    <row r="217" spans="1:3" x14ac:dyDescent="0.25">
      <c r="A217" s="418">
        <v>41538</v>
      </c>
      <c r="B217" s="419">
        <v>0.62511574074074072</v>
      </c>
      <c r="C217" s="422" t="s">
        <v>1313</v>
      </c>
    </row>
    <row r="218" spans="1:3" x14ac:dyDescent="0.25">
      <c r="A218" s="418">
        <v>41538</v>
      </c>
      <c r="B218" s="419">
        <v>0.62511574074074072</v>
      </c>
      <c r="C218" s="422" t="s">
        <v>1238</v>
      </c>
    </row>
    <row r="219" spans="1:3" x14ac:dyDescent="0.25">
      <c r="A219" s="418">
        <v>41538</v>
      </c>
      <c r="B219" s="419">
        <v>0.62511574074074072</v>
      </c>
      <c r="C219" s="422" t="s">
        <v>1319</v>
      </c>
    </row>
    <row r="220" spans="1:3" x14ac:dyDescent="0.25">
      <c r="A220" s="418">
        <v>41538</v>
      </c>
      <c r="B220" s="419">
        <v>0.62511574074074072</v>
      </c>
      <c r="C220" s="422" t="s">
        <v>1319</v>
      </c>
    </row>
    <row r="221" spans="1:3" x14ac:dyDescent="0.25">
      <c r="A221" s="418">
        <v>41538</v>
      </c>
      <c r="B221" s="419">
        <v>0.62511574074074072</v>
      </c>
      <c r="C221" s="422" t="s">
        <v>1320</v>
      </c>
    </row>
    <row r="222" spans="1:3" x14ac:dyDescent="0.25">
      <c r="A222" s="418">
        <v>41538</v>
      </c>
      <c r="B222" s="419">
        <v>0.62511574074074072</v>
      </c>
      <c r="C222" s="422" t="s">
        <v>1312</v>
      </c>
    </row>
    <row r="223" spans="1:3" x14ac:dyDescent="0.25">
      <c r="A223" s="418">
        <v>41538</v>
      </c>
      <c r="B223" s="419">
        <v>0.62511574074074072</v>
      </c>
      <c r="C223" s="422" t="s">
        <v>1321</v>
      </c>
    </row>
    <row r="224" spans="1:3" x14ac:dyDescent="0.25">
      <c r="A224" s="418">
        <v>41538</v>
      </c>
      <c r="B224" s="419">
        <v>0.62511574074074072</v>
      </c>
      <c r="C224" s="422" t="s">
        <v>1322</v>
      </c>
    </row>
    <row r="225" spans="1:3" x14ac:dyDescent="0.25">
      <c r="A225" s="418">
        <v>41538</v>
      </c>
      <c r="B225" s="419">
        <v>0.62511574074074072</v>
      </c>
      <c r="C225" s="422" t="s">
        <v>1323</v>
      </c>
    </row>
    <row r="226" spans="1:3" x14ac:dyDescent="0.25">
      <c r="A226" s="418">
        <v>41538</v>
      </c>
      <c r="B226" s="419">
        <v>0.62511574074074072</v>
      </c>
      <c r="C226" s="422" t="s">
        <v>1321</v>
      </c>
    </row>
    <row r="227" spans="1:3" x14ac:dyDescent="0.25">
      <c r="A227" s="418">
        <v>41538</v>
      </c>
      <c r="B227" s="419">
        <v>0.62511574074074072</v>
      </c>
      <c r="C227" s="422" t="s">
        <v>1310</v>
      </c>
    </row>
    <row r="228" spans="1:3" x14ac:dyDescent="0.25">
      <c r="A228" s="418">
        <v>41538</v>
      </c>
      <c r="B228" s="419">
        <v>0.62511574074074072</v>
      </c>
      <c r="C228" s="422" t="s">
        <v>1324</v>
      </c>
    </row>
    <row r="229" spans="1:3" x14ac:dyDescent="0.25">
      <c r="A229" s="418">
        <v>41538</v>
      </c>
      <c r="B229" s="419">
        <v>0.62511574074074072</v>
      </c>
      <c r="C229" s="422" t="s">
        <v>1325</v>
      </c>
    </row>
    <row r="230" spans="1:3" x14ac:dyDescent="0.25">
      <c r="A230" s="418">
        <v>41538</v>
      </c>
      <c r="B230" s="419">
        <v>0.62511574074074072</v>
      </c>
      <c r="C230" s="422" t="s">
        <v>1325</v>
      </c>
    </row>
    <row r="231" spans="1:3" x14ac:dyDescent="0.25">
      <c r="A231" s="418">
        <v>41538</v>
      </c>
      <c r="B231" s="419">
        <v>0.62511574074074072</v>
      </c>
      <c r="C231" s="422" t="s">
        <v>1326</v>
      </c>
    </row>
    <row r="232" spans="1:3" x14ac:dyDescent="0.25">
      <c r="A232" s="418">
        <v>41538</v>
      </c>
      <c r="B232" s="419">
        <v>0.62511574074074072</v>
      </c>
      <c r="C232" s="422" t="s">
        <v>1327</v>
      </c>
    </row>
    <row r="233" spans="1:3" x14ac:dyDescent="0.25">
      <c r="A233" s="418">
        <v>41538</v>
      </c>
      <c r="B233" s="419">
        <v>0.62511574074074072</v>
      </c>
      <c r="C233" s="422" t="s">
        <v>1313</v>
      </c>
    </row>
    <row r="234" spans="1:3" x14ac:dyDescent="0.25">
      <c r="A234" s="418">
        <v>41538</v>
      </c>
      <c r="B234" s="419">
        <v>0.62511574074074072</v>
      </c>
      <c r="C234" s="422" t="s">
        <v>1328</v>
      </c>
    </row>
    <row r="235" spans="1:3" x14ac:dyDescent="0.25">
      <c r="A235" s="418">
        <v>41538</v>
      </c>
      <c r="B235" s="419">
        <v>0.62511574074074072</v>
      </c>
      <c r="C235" s="422" t="s">
        <v>1329</v>
      </c>
    </row>
    <row r="236" spans="1:3" x14ac:dyDescent="0.25">
      <c r="A236" s="418">
        <v>41538</v>
      </c>
      <c r="B236" s="419">
        <v>0.62511574074074072</v>
      </c>
      <c r="C236" s="422" t="s">
        <v>1330</v>
      </c>
    </row>
    <row r="237" spans="1:3" x14ac:dyDescent="0.25">
      <c r="A237" s="418">
        <v>41538</v>
      </c>
      <c r="B237" s="419">
        <v>0.62511574074074072</v>
      </c>
      <c r="C237" s="422" t="s">
        <v>1331</v>
      </c>
    </row>
    <row r="238" spans="1:3" ht="60" x14ac:dyDescent="0.25">
      <c r="A238" s="418">
        <v>41538</v>
      </c>
      <c r="B238" s="419">
        <v>0.62511574074074072</v>
      </c>
      <c r="C238" s="952" t="s">
        <v>1332</v>
      </c>
    </row>
    <row r="239" spans="1:3" x14ac:dyDescent="0.25">
      <c r="A239" s="418">
        <v>41538</v>
      </c>
      <c r="B239" s="419">
        <v>0.62762731481481482</v>
      </c>
      <c r="C239" s="422" t="s">
        <v>1238</v>
      </c>
    </row>
    <row r="240" spans="1:3" x14ac:dyDescent="0.25">
      <c r="A240" s="418">
        <v>41538</v>
      </c>
      <c r="B240" s="419">
        <v>0.62762731481481482</v>
      </c>
      <c r="C240" s="422" t="s">
        <v>1310</v>
      </c>
    </row>
    <row r="241" spans="1:3" x14ac:dyDescent="0.25">
      <c r="A241" s="418">
        <v>41538</v>
      </c>
      <c r="B241" s="419">
        <v>0.62762731481481482</v>
      </c>
      <c r="C241" s="422" t="s">
        <v>1311</v>
      </c>
    </row>
    <row r="242" spans="1:3" x14ac:dyDescent="0.25">
      <c r="A242" s="418">
        <v>41538</v>
      </c>
      <c r="B242" s="419">
        <v>0.62762731481481482</v>
      </c>
      <c r="C242" s="422" t="s">
        <v>1312</v>
      </c>
    </row>
    <row r="243" spans="1:3" x14ac:dyDescent="0.25">
      <c r="A243" s="418">
        <v>41538</v>
      </c>
      <c r="B243" s="419">
        <v>0.62762731481481482</v>
      </c>
      <c r="C243" s="422" t="s">
        <v>1313</v>
      </c>
    </row>
    <row r="244" spans="1:3" x14ac:dyDescent="0.25">
      <c r="A244" s="418">
        <v>41538</v>
      </c>
      <c r="B244" s="419">
        <v>0.62762731481481482</v>
      </c>
      <c r="C244" s="422" t="s">
        <v>1314</v>
      </c>
    </row>
    <row r="245" spans="1:3" x14ac:dyDescent="0.25">
      <c r="A245" s="418">
        <v>41538</v>
      </c>
      <c r="B245" s="419">
        <v>0.62762731481481482</v>
      </c>
      <c r="C245" s="422" t="s">
        <v>1315</v>
      </c>
    </row>
    <row r="246" spans="1:3" x14ac:dyDescent="0.25">
      <c r="A246" s="418">
        <v>41538</v>
      </c>
      <c r="B246" s="419">
        <v>0.62762731481481482</v>
      </c>
      <c r="C246" s="422" t="s">
        <v>1316</v>
      </c>
    </row>
    <row r="247" spans="1:3" x14ac:dyDescent="0.25">
      <c r="A247" s="418">
        <v>41538</v>
      </c>
      <c r="B247" s="419">
        <v>0.62762731481481482</v>
      </c>
      <c r="C247" s="422" t="s">
        <v>1313</v>
      </c>
    </row>
    <row r="248" spans="1:3" x14ac:dyDescent="0.25">
      <c r="A248" s="418">
        <v>41538</v>
      </c>
      <c r="B248" s="419">
        <v>0.62762731481481482</v>
      </c>
      <c r="C248" s="422" t="s">
        <v>1317</v>
      </c>
    </row>
    <row r="249" spans="1:3" x14ac:dyDescent="0.25">
      <c r="A249" s="418">
        <v>41538</v>
      </c>
      <c r="B249" s="419">
        <v>0.62762731481481482</v>
      </c>
      <c r="C249" s="422" t="s">
        <v>1318</v>
      </c>
    </row>
    <row r="250" spans="1:3" x14ac:dyDescent="0.25">
      <c r="A250" s="418">
        <v>41538</v>
      </c>
      <c r="B250" s="419">
        <v>0.62806712962962963</v>
      </c>
      <c r="C250" s="422" t="s">
        <v>1313</v>
      </c>
    </row>
    <row r="251" spans="1:3" x14ac:dyDescent="0.25">
      <c r="A251" s="418">
        <v>41538</v>
      </c>
      <c r="B251" s="419">
        <v>0.62806712962962963</v>
      </c>
      <c r="C251" s="422" t="s">
        <v>1238</v>
      </c>
    </row>
    <row r="252" spans="1:3" x14ac:dyDescent="0.25">
      <c r="A252" s="418">
        <v>41538</v>
      </c>
      <c r="B252" s="419">
        <v>0.62817129629629631</v>
      </c>
      <c r="C252" s="422" t="s">
        <v>1319</v>
      </c>
    </row>
    <row r="253" spans="1:3" x14ac:dyDescent="0.25">
      <c r="A253" s="418">
        <v>41538</v>
      </c>
      <c r="B253" s="419">
        <v>0.62817129629629631</v>
      </c>
      <c r="C253" s="422" t="s">
        <v>1319</v>
      </c>
    </row>
    <row r="254" spans="1:3" x14ac:dyDescent="0.25">
      <c r="A254" s="418">
        <v>41538</v>
      </c>
      <c r="B254" s="419">
        <v>0.62900462962962966</v>
      </c>
      <c r="C254" s="422" t="s">
        <v>1320</v>
      </c>
    </row>
    <row r="255" spans="1:3" x14ac:dyDescent="0.25">
      <c r="A255" s="418">
        <v>41538</v>
      </c>
      <c r="B255" s="419">
        <v>0.62900462962962966</v>
      </c>
      <c r="C255" s="422" t="s">
        <v>1312</v>
      </c>
    </row>
    <row r="256" spans="1:3" x14ac:dyDescent="0.25">
      <c r="A256" s="418">
        <v>41538</v>
      </c>
      <c r="B256" s="419">
        <v>0.62900462962962966</v>
      </c>
      <c r="C256" s="422" t="s">
        <v>1321</v>
      </c>
    </row>
    <row r="257" spans="1:3" x14ac:dyDescent="0.25">
      <c r="A257" s="418">
        <v>41538</v>
      </c>
      <c r="B257" s="419">
        <v>0.63837962962962969</v>
      </c>
      <c r="C257" s="422" t="s">
        <v>1238</v>
      </c>
    </row>
    <row r="258" spans="1:3" x14ac:dyDescent="0.25">
      <c r="A258" s="418">
        <v>41538</v>
      </c>
      <c r="B258" s="419">
        <v>0.63837962962962969</v>
      </c>
      <c r="C258" s="422" t="s">
        <v>1310</v>
      </c>
    </row>
    <row r="259" spans="1:3" x14ac:dyDescent="0.25">
      <c r="A259" s="418">
        <v>41538</v>
      </c>
      <c r="B259" s="419">
        <v>0.63837962962962969</v>
      </c>
      <c r="C259" s="422" t="s">
        <v>1311</v>
      </c>
    </row>
    <row r="260" spans="1:3" x14ac:dyDescent="0.25">
      <c r="A260" s="418">
        <v>41538</v>
      </c>
      <c r="B260" s="419">
        <v>0.63837962962962969</v>
      </c>
      <c r="C260" s="422" t="s">
        <v>1312</v>
      </c>
    </row>
    <row r="261" spans="1:3" x14ac:dyDescent="0.25">
      <c r="A261" s="418">
        <v>41538</v>
      </c>
      <c r="B261" s="419">
        <v>0.63837962962962969</v>
      </c>
      <c r="C261" s="422" t="s">
        <v>1313</v>
      </c>
    </row>
    <row r="262" spans="1:3" x14ac:dyDescent="0.25">
      <c r="A262" s="418">
        <v>41538</v>
      </c>
      <c r="B262" s="419">
        <v>0.63837962962962969</v>
      </c>
      <c r="C262" s="422" t="s">
        <v>1314</v>
      </c>
    </row>
    <row r="263" spans="1:3" x14ac:dyDescent="0.25">
      <c r="A263" s="418">
        <v>41538</v>
      </c>
      <c r="B263" s="419">
        <v>0.63837962962962969</v>
      </c>
      <c r="C263" s="422" t="s">
        <v>1315</v>
      </c>
    </row>
    <row r="264" spans="1:3" x14ac:dyDescent="0.25">
      <c r="A264" s="418">
        <v>41538</v>
      </c>
      <c r="B264" s="419">
        <v>0.63837962962962969</v>
      </c>
      <c r="C264" s="422" t="s">
        <v>1316</v>
      </c>
    </row>
    <row r="265" spans="1:3" x14ac:dyDescent="0.25">
      <c r="A265" s="418">
        <v>41538</v>
      </c>
      <c r="B265" s="419">
        <v>0.63837962962962969</v>
      </c>
      <c r="C265" s="422" t="s">
        <v>1313</v>
      </c>
    </row>
    <row r="266" spans="1:3" x14ac:dyDescent="0.25">
      <c r="A266" s="418">
        <v>41538</v>
      </c>
      <c r="B266" s="419">
        <v>0.63837962962962969</v>
      </c>
      <c r="C266" s="422" t="s">
        <v>1317</v>
      </c>
    </row>
    <row r="267" spans="1:3" x14ac:dyDescent="0.25">
      <c r="A267" s="418">
        <v>41538</v>
      </c>
      <c r="B267" s="419">
        <v>0.63837962962962969</v>
      </c>
      <c r="C267" s="422" t="s">
        <v>1318</v>
      </c>
    </row>
    <row r="268" spans="1:3" x14ac:dyDescent="0.25">
      <c r="A268" s="418">
        <v>41538</v>
      </c>
      <c r="B268" s="419">
        <v>0.63847222222222222</v>
      </c>
      <c r="C268" s="422" t="s">
        <v>1313</v>
      </c>
    </row>
    <row r="269" spans="1:3" x14ac:dyDescent="0.25">
      <c r="A269" s="418">
        <v>41538</v>
      </c>
      <c r="B269" s="419">
        <v>0.63847222222222222</v>
      </c>
      <c r="C269" s="422" t="s">
        <v>1238</v>
      </c>
    </row>
    <row r="270" spans="1:3" x14ac:dyDescent="0.25">
      <c r="A270" s="418">
        <v>41538</v>
      </c>
      <c r="B270" s="419">
        <v>0.63848379629629626</v>
      </c>
      <c r="C270" s="422" t="s">
        <v>1319</v>
      </c>
    </row>
    <row r="271" spans="1:3" x14ac:dyDescent="0.25">
      <c r="A271" s="418">
        <v>41538</v>
      </c>
      <c r="B271" s="419">
        <v>0.63848379629629626</v>
      </c>
      <c r="C271" s="422" t="s">
        <v>1319</v>
      </c>
    </row>
    <row r="272" spans="1:3" x14ac:dyDescent="0.25">
      <c r="A272" s="418">
        <v>41538</v>
      </c>
      <c r="B272" s="419">
        <v>0.63850694444444445</v>
      </c>
      <c r="C272" s="422" t="s">
        <v>1320</v>
      </c>
    </row>
    <row r="273" spans="1:3" x14ac:dyDescent="0.25">
      <c r="A273" s="418">
        <v>41538</v>
      </c>
      <c r="B273" s="419">
        <v>0.63850694444444445</v>
      </c>
      <c r="C273" s="422" t="s">
        <v>1312</v>
      </c>
    </row>
    <row r="274" spans="1:3" x14ac:dyDescent="0.25">
      <c r="A274" s="418">
        <v>41538</v>
      </c>
      <c r="B274" s="419">
        <v>0.63850694444444445</v>
      </c>
      <c r="C274" s="422" t="s">
        <v>1321</v>
      </c>
    </row>
    <row r="275" spans="1:3" x14ac:dyDescent="0.25">
      <c r="A275" s="418">
        <v>41538</v>
      </c>
      <c r="B275" s="419">
        <v>0.63914351851851847</v>
      </c>
      <c r="C275" s="422" t="s">
        <v>1322</v>
      </c>
    </row>
    <row r="276" spans="1:3" x14ac:dyDescent="0.25">
      <c r="A276" s="418">
        <v>41538</v>
      </c>
      <c r="B276" s="419">
        <v>0.63914351851851847</v>
      </c>
      <c r="C276" s="422" t="s">
        <v>1323</v>
      </c>
    </row>
    <row r="277" spans="1:3" x14ac:dyDescent="0.25">
      <c r="A277" s="418">
        <v>41538</v>
      </c>
      <c r="B277" s="419">
        <v>0.63914351851851847</v>
      </c>
      <c r="C277" s="422" t="s">
        <v>1321</v>
      </c>
    </row>
    <row r="278" spans="1:3" x14ac:dyDescent="0.25">
      <c r="A278" s="418">
        <v>41538</v>
      </c>
      <c r="B278" s="419">
        <v>0.73487268518518523</v>
      </c>
      <c r="C278" s="422" t="s">
        <v>1238</v>
      </c>
    </row>
    <row r="279" spans="1:3" x14ac:dyDescent="0.25">
      <c r="A279" s="418">
        <v>41538</v>
      </c>
      <c r="B279" s="419">
        <v>0.73488425925925915</v>
      </c>
      <c r="C279" s="422" t="s">
        <v>1310</v>
      </c>
    </row>
    <row r="280" spans="1:3" x14ac:dyDescent="0.25">
      <c r="A280" s="418">
        <v>41538</v>
      </c>
      <c r="B280" s="419">
        <v>0.73488425925925915</v>
      </c>
      <c r="C280" s="422" t="s">
        <v>1311</v>
      </c>
    </row>
    <row r="281" spans="1:3" x14ac:dyDescent="0.25">
      <c r="A281" s="418">
        <v>41538</v>
      </c>
      <c r="B281" s="419">
        <v>0.73488425925925915</v>
      </c>
      <c r="C281" s="422" t="s">
        <v>1312</v>
      </c>
    </row>
    <row r="282" spans="1:3" x14ac:dyDescent="0.25">
      <c r="A282" s="418">
        <v>41538</v>
      </c>
      <c r="B282" s="419">
        <v>0.73488425925925915</v>
      </c>
      <c r="C282" s="422" t="s">
        <v>1313</v>
      </c>
    </row>
    <row r="283" spans="1:3" x14ac:dyDescent="0.25">
      <c r="A283" s="418">
        <v>41538</v>
      </c>
      <c r="B283" s="419">
        <v>0.73488425925925915</v>
      </c>
      <c r="C283" s="422" t="s">
        <v>1314</v>
      </c>
    </row>
    <row r="284" spans="1:3" x14ac:dyDescent="0.25">
      <c r="A284" s="418">
        <v>41538</v>
      </c>
      <c r="B284" s="419">
        <v>0.73488425925925915</v>
      </c>
      <c r="C284" s="422" t="s">
        <v>1315</v>
      </c>
    </row>
    <row r="285" spans="1:3" x14ac:dyDescent="0.25">
      <c r="A285" s="418">
        <v>41538</v>
      </c>
      <c r="B285" s="419">
        <v>0.73488425925925915</v>
      </c>
      <c r="C285" s="422" t="s">
        <v>1316</v>
      </c>
    </row>
    <row r="286" spans="1:3" x14ac:dyDescent="0.25">
      <c r="A286" s="418">
        <v>41538</v>
      </c>
      <c r="B286" s="419">
        <v>0.73488425925925915</v>
      </c>
      <c r="C286" s="422" t="s">
        <v>1313</v>
      </c>
    </row>
    <row r="287" spans="1:3" x14ac:dyDescent="0.25">
      <c r="A287" s="418">
        <v>41538</v>
      </c>
      <c r="B287" s="419">
        <v>0.73488425925925915</v>
      </c>
      <c r="C287" s="422" t="s">
        <v>1317</v>
      </c>
    </row>
    <row r="288" spans="1:3" x14ac:dyDescent="0.25">
      <c r="A288" s="418">
        <v>41538</v>
      </c>
      <c r="B288" s="419">
        <v>0.73488425925925915</v>
      </c>
      <c r="C288" s="422" t="s">
        <v>1318</v>
      </c>
    </row>
    <row r="289" spans="1:3" x14ac:dyDescent="0.25">
      <c r="A289" s="418">
        <v>41538</v>
      </c>
      <c r="B289" s="419">
        <v>0.73499999999999999</v>
      </c>
      <c r="C289" s="422" t="s">
        <v>1313</v>
      </c>
    </row>
    <row r="290" spans="1:3" x14ac:dyDescent="0.25">
      <c r="A290" s="418">
        <v>41538</v>
      </c>
      <c r="B290" s="419">
        <v>0.73499999999999999</v>
      </c>
      <c r="C290" s="422" t="s">
        <v>1238</v>
      </c>
    </row>
    <row r="291" spans="1:3" x14ac:dyDescent="0.25">
      <c r="A291" s="418">
        <v>41538</v>
      </c>
      <c r="B291" s="419">
        <v>0.73511574074074071</v>
      </c>
      <c r="C291" s="422" t="s">
        <v>1319</v>
      </c>
    </row>
    <row r="292" spans="1:3" x14ac:dyDescent="0.25">
      <c r="A292" s="418">
        <v>41538</v>
      </c>
      <c r="B292" s="419">
        <v>0.73511574074074071</v>
      </c>
      <c r="C292" s="422" t="s">
        <v>1319</v>
      </c>
    </row>
    <row r="293" spans="1:3" x14ac:dyDescent="0.25">
      <c r="A293" s="418">
        <v>41538</v>
      </c>
      <c r="B293" s="419">
        <v>0.73516203703703698</v>
      </c>
      <c r="C293" s="422" t="s">
        <v>1333</v>
      </c>
    </row>
    <row r="294" spans="1:3" x14ac:dyDescent="0.25">
      <c r="A294" s="418">
        <v>41538</v>
      </c>
      <c r="B294" s="419">
        <v>0.7415046296296296</v>
      </c>
      <c r="C294" s="422" t="s">
        <v>1238</v>
      </c>
    </row>
    <row r="295" spans="1:3" x14ac:dyDescent="0.25">
      <c r="A295" s="418">
        <v>41538</v>
      </c>
      <c r="B295" s="419">
        <v>0.7415046296296296</v>
      </c>
      <c r="C295" s="422" t="s">
        <v>1310</v>
      </c>
    </row>
    <row r="296" spans="1:3" x14ac:dyDescent="0.25">
      <c r="A296" s="418">
        <v>41538</v>
      </c>
      <c r="B296" s="419">
        <v>0.7415046296296296</v>
      </c>
      <c r="C296" s="422" t="s">
        <v>1311</v>
      </c>
    </row>
    <row r="297" spans="1:3" x14ac:dyDescent="0.25">
      <c r="A297" s="418">
        <v>41538</v>
      </c>
      <c r="B297" s="419">
        <v>0.7415046296296296</v>
      </c>
      <c r="C297" s="422" t="s">
        <v>1312</v>
      </c>
    </row>
    <row r="298" spans="1:3" x14ac:dyDescent="0.25">
      <c r="A298" s="418">
        <v>41538</v>
      </c>
      <c r="B298" s="419">
        <v>0.7415046296296296</v>
      </c>
      <c r="C298" s="422" t="s">
        <v>1313</v>
      </c>
    </row>
    <row r="299" spans="1:3" x14ac:dyDescent="0.25">
      <c r="A299" s="418">
        <v>41538</v>
      </c>
      <c r="B299" s="419">
        <v>0.7415046296296296</v>
      </c>
      <c r="C299" s="422" t="s">
        <v>1314</v>
      </c>
    </row>
    <row r="300" spans="1:3" x14ac:dyDescent="0.25">
      <c r="A300" s="418">
        <v>41538</v>
      </c>
      <c r="B300" s="419">
        <v>0.7415046296296296</v>
      </c>
      <c r="C300" s="422" t="s">
        <v>1315</v>
      </c>
    </row>
    <row r="301" spans="1:3" x14ac:dyDescent="0.25">
      <c r="A301" s="418">
        <v>41538</v>
      </c>
      <c r="B301" s="419">
        <v>0.7415046296296296</v>
      </c>
      <c r="C301" s="422" t="s">
        <v>1316</v>
      </c>
    </row>
    <row r="302" spans="1:3" x14ac:dyDescent="0.25">
      <c r="A302" s="418">
        <v>41538</v>
      </c>
      <c r="B302" s="419">
        <v>0.7415046296296296</v>
      </c>
      <c r="C302" s="422" t="s">
        <v>1313</v>
      </c>
    </row>
    <row r="303" spans="1:3" x14ac:dyDescent="0.25">
      <c r="A303" s="418">
        <v>41538</v>
      </c>
      <c r="B303" s="419">
        <v>0.7415046296296296</v>
      </c>
      <c r="C303" s="422" t="s">
        <v>1317</v>
      </c>
    </row>
    <row r="304" spans="1:3" x14ac:dyDescent="0.25">
      <c r="A304" s="418">
        <v>41538</v>
      </c>
      <c r="B304" s="419">
        <v>0.7415046296296296</v>
      </c>
      <c r="C304" s="422" t="s">
        <v>1318</v>
      </c>
    </row>
    <row r="305" spans="1:3" x14ac:dyDescent="0.25">
      <c r="A305" s="418">
        <v>41538</v>
      </c>
      <c r="B305" s="419">
        <v>0.74155092592592586</v>
      </c>
      <c r="C305" s="422" t="s">
        <v>1313</v>
      </c>
    </row>
    <row r="306" spans="1:3" x14ac:dyDescent="0.25">
      <c r="A306" s="418">
        <v>41538</v>
      </c>
      <c r="B306" s="419">
        <v>0.74155092592592586</v>
      </c>
      <c r="C306" s="422" t="s">
        <v>1238</v>
      </c>
    </row>
    <row r="307" spans="1:3" x14ac:dyDescent="0.25">
      <c r="A307" s="418">
        <v>41538</v>
      </c>
      <c r="B307" s="419">
        <v>0.74157407407407405</v>
      </c>
      <c r="C307" s="422" t="s">
        <v>1319</v>
      </c>
    </row>
    <row r="308" spans="1:3" x14ac:dyDescent="0.25">
      <c r="A308" s="418">
        <v>41538</v>
      </c>
      <c r="B308" s="419">
        <v>0.74157407407407405</v>
      </c>
      <c r="C308" s="422" t="s">
        <v>1319</v>
      </c>
    </row>
    <row r="309" spans="1:3" x14ac:dyDescent="0.25">
      <c r="A309" s="418">
        <v>41538</v>
      </c>
      <c r="B309" s="419">
        <v>0.74207175925925928</v>
      </c>
      <c r="C309" s="422" t="s">
        <v>1334</v>
      </c>
    </row>
    <row r="310" spans="1:3" x14ac:dyDescent="0.25">
      <c r="A310" s="418">
        <v>41538</v>
      </c>
      <c r="B310" s="419">
        <v>0.74416666666666664</v>
      </c>
      <c r="C310" s="422" t="s">
        <v>1334</v>
      </c>
    </row>
    <row r="311" spans="1:3" ht="45" x14ac:dyDescent="0.25">
      <c r="A311" s="418">
        <v>41538</v>
      </c>
      <c r="B311" s="419">
        <v>0.74512731481481476</v>
      </c>
      <c r="C311" s="952" t="s">
        <v>1335</v>
      </c>
    </row>
    <row r="312" spans="1:3" x14ac:dyDescent="0.25">
      <c r="A312" s="418">
        <v>41538</v>
      </c>
      <c r="B312" s="419">
        <v>0.7469675925925926</v>
      </c>
      <c r="C312" s="422" t="s">
        <v>1238</v>
      </c>
    </row>
    <row r="313" spans="1:3" x14ac:dyDescent="0.25">
      <c r="A313" s="418">
        <v>41538</v>
      </c>
      <c r="B313" s="419">
        <v>0.7469675925925926</v>
      </c>
      <c r="C313" s="422" t="s">
        <v>1310</v>
      </c>
    </row>
    <row r="314" spans="1:3" x14ac:dyDescent="0.25">
      <c r="A314" s="418">
        <v>41538</v>
      </c>
      <c r="B314" s="419">
        <v>0.7469675925925926</v>
      </c>
      <c r="C314" s="422" t="s">
        <v>1311</v>
      </c>
    </row>
    <row r="315" spans="1:3" x14ac:dyDescent="0.25">
      <c r="A315" s="418">
        <v>41538</v>
      </c>
      <c r="B315" s="419">
        <v>0.7469675925925926</v>
      </c>
      <c r="C315" s="422" t="s">
        <v>1312</v>
      </c>
    </row>
    <row r="316" spans="1:3" x14ac:dyDescent="0.25">
      <c r="A316" s="418">
        <v>41538</v>
      </c>
      <c r="B316" s="419">
        <v>0.7469675925925926</v>
      </c>
      <c r="C316" s="422" t="s">
        <v>1313</v>
      </c>
    </row>
    <row r="317" spans="1:3" x14ac:dyDescent="0.25">
      <c r="A317" s="418">
        <v>41538</v>
      </c>
      <c r="B317" s="419">
        <v>0.7469675925925926</v>
      </c>
      <c r="C317" s="422" t="s">
        <v>1314</v>
      </c>
    </row>
    <row r="318" spans="1:3" x14ac:dyDescent="0.25">
      <c r="A318" s="418">
        <v>41538</v>
      </c>
      <c r="B318" s="419">
        <v>0.7469675925925926</v>
      </c>
      <c r="C318" s="422" t="s">
        <v>1315</v>
      </c>
    </row>
    <row r="319" spans="1:3" x14ac:dyDescent="0.25">
      <c r="A319" s="418">
        <v>41538</v>
      </c>
      <c r="B319" s="419">
        <v>0.7469675925925926</v>
      </c>
      <c r="C319" s="422" t="s">
        <v>1316</v>
      </c>
    </row>
    <row r="320" spans="1:3" x14ac:dyDescent="0.25">
      <c r="A320" s="418">
        <v>41538</v>
      </c>
      <c r="B320" s="419">
        <v>0.7469675925925926</v>
      </c>
      <c r="C320" s="422" t="s">
        <v>1313</v>
      </c>
    </row>
    <row r="321" spans="1:3" x14ac:dyDescent="0.25">
      <c r="A321" s="418">
        <v>41538</v>
      </c>
      <c r="B321" s="419">
        <v>0.7469675925925926</v>
      </c>
      <c r="C321" s="422" t="s">
        <v>1317</v>
      </c>
    </row>
    <row r="322" spans="1:3" x14ac:dyDescent="0.25">
      <c r="A322" s="418">
        <v>41538</v>
      </c>
      <c r="B322" s="419">
        <v>0.7469675925925926</v>
      </c>
      <c r="C322" s="422" t="s">
        <v>1318</v>
      </c>
    </row>
    <row r="323" spans="1:3" x14ac:dyDescent="0.25">
      <c r="A323" s="418">
        <v>41538</v>
      </c>
      <c r="B323" s="419">
        <v>0.74702546296296291</v>
      </c>
      <c r="C323" s="422" t="s">
        <v>1313</v>
      </c>
    </row>
    <row r="324" spans="1:3" x14ac:dyDescent="0.25">
      <c r="A324" s="418">
        <v>41538</v>
      </c>
      <c r="B324" s="419">
        <v>0.74702546296296291</v>
      </c>
      <c r="C324" s="422" t="s">
        <v>1238</v>
      </c>
    </row>
    <row r="325" spans="1:3" x14ac:dyDescent="0.25">
      <c r="A325" s="418">
        <v>41538</v>
      </c>
      <c r="B325" s="419">
        <v>0.74706018518518524</v>
      </c>
      <c r="C325" s="422" t="s">
        <v>1319</v>
      </c>
    </row>
    <row r="326" spans="1:3" x14ac:dyDescent="0.25">
      <c r="A326" s="418">
        <v>41538</v>
      </c>
      <c r="B326" s="419">
        <v>0.74706018518518524</v>
      </c>
      <c r="C326" s="422" t="s">
        <v>1319</v>
      </c>
    </row>
    <row r="327" spans="1:3" ht="75" x14ac:dyDescent="0.25">
      <c r="A327" s="418">
        <v>41538</v>
      </c>
      <c r="B327" s="419">
        <v>0.74716435185185182</v>
      </c>
      <c r="C327" s="952" t="s">
        <v>1336</v>
      </c>
    </row>
    <row r="328" spans="1:3" ht="75" x14ac:dyDescent="0.25">
      <c r="A328" s="418">
        <v>41538</v>
      </c>
      <c r="B328" s="419">
        <v>0.74744212962962964</v>
      </c>
      <c r="C328" s="952" t="s">
        <v>1336</v>
      </c>
    </row>
    <row r="329" spans="1:3" x14ac:dyDescent="0.25">
      <c r="A329" s="418">
        <v>41538</v>
      </c>
      <c r="B329" s="419">
        <v>0.74927083333333344</v>
      </c>
      <c r="C329" s="422" t="s">
        <v>1320</v>
      </c>
    </row>
    <row r="330" spans="1:3" x14ac:dyDescent="0.25">
      <c r="A330" s="418">
        <v>41538</v>
      </c>
      <c r="B330" s="419">
        <v>0.74927083333333344</v>
      </c>
      <c r="C330" s="422" t="s">
        <v>1312</v>
      </c>
    </row>
    <row r="331" spans="1:3" x14ac:dyDescent="0.25">
      <c r="A331" s="418">
        <v>41538</v>
      </c>
      <c r="B331" s="419">
        <v>0.74927083333333344</v>
      </c>
      <c r="C331" s="422" t="s">
        <v>1321</v>
      </c>
    </row>
    <row r="332" spans="1:3" ht="45" x14ac:dyDescent="0.25">
      <c r="A332" s="418">
        <v>41538</v>
      </c>
      <c r="B332" s="419">
        <v>0.75486111111111109</v>
      </c>
      <c r="C332" s="952" t="s">
        <v>1337</v>
      </c>
    </row>
    <row r="333" spans="1:3" ht="30" x14ac:dyDescent="0.25">
      <c r="A333" s="418">
        <v>41538</v>
      </c>
      <c r="B333" s="419">
        <v>0.75494212962962959</v>
      </c>
      <c r="C333" s="952" t="s">
        <v>1338</v>
      </c>
    </row>
    <row r="334" spans="1:3" ht="45" x14ac:dyDescent="0.25">
      <c r="A334" s="418">
        <v>41538</v>
      </c>
      <c r="B334" s="419">
        <v>0.75503472222222223</v>
      </c>
      <c r="C334" s="952" t="s">
        <v>1339</v>
      </c>
    </row>
    <row r="335" spans="1:3" ht="30" x14ac:dyDescent="0.25">
      <c r="A335" s="418">
        <v>41538</v>
      </c>
      <c r="B335" s="419">
        <v>0.75623842592592594</v>
      </c>
      <c r="C335" s="952" t="s">
        <v>1340</v>
      </c>
    </row>
    <row r="336" spans="1:3" ht="45" x14ac:dyDescent="0.25">
      <c r="A336" s="418">
        <v>41538</v>
      </c>
      <c r="B336" s="419">
        <v>0.75689814814814815</v>
      </c>
      <c r="C336" s="952" t="s">
        <v>1341</v>
      </c>
    </row>
    <row r="337" spans="1:3" ht="30" x14ac:dyDescent="0.25">
      <c r="A337" s="418">
        <v>41538</v>
      </c>
      <c r="B337" s="419">
        <v>0.75719907407407405</v>
      </c>
      <c r="C337" s="952" t="s">
        <v>1342</v>
      </c>
    </row>
    <row r="338" spans="1:3" x14ac:dyDescent="0.25">
      <c r="A338" s="418">
        <v>41538</v>
      </c>
      <c r="B338" s="419">
        <v>0.75844907407407414</v>
      </c>
      <c r="C338" s="422" t="s">
        <v>1238</v>
      </c>
    </row>
    <row r="339" spans="1:3" x14ac:dyDescent="0.25">
      <c r="A339" s="418">
        <v>41538</v>
      </c>
      <c r="B339" s="419">
        <v>0.75844907407407414</v>
      </c>
      <c r="C339" s="422" t="s">
        <v>1310</v>
      </c>
    </row>
    <row r="340" spans="1:3" x14ac:dyDescent="0.25">
      <c r="A340" s="418">
        <v>41538</v>
      </c>
      <c r="B340" s="419">
        <v>0.75844907407407414</v>
      </c>
      <c r="C340" s="422" t="s">
        <v>1311</v>
      </c>
    </row>
    <row r="341" spans="1:3" x14ac:dyDescent="0.25">
      <c r="A341" s="418">
        <v>41538</v>
      </c>
      <c r="B341" s="419">
        <v>0.75844907407407414</v>
      </c>
      <c r="C341" s="422" t="s">
        <v>1312</v>
      </c>
    </row>
    <row r="342" spans="1:3" x14ac:dyDescent="0.25">
      <c r="A342" s="418">
        <v>41538</v>
      </c>
      <c r="B342" s="419">
        <v>0.75844907407407414</v>
      </c>
      <c r="C342" s="422" t="s">
        <v>1313</v>
      </c>
    </row>
    <row r="343" spans="1:3" x14ac:dyDescent="0.25">
      <c r="A343" s="418">
        <v>41538</v>
      </c>
      <c r="B343" s="419">
        <v>0.75844907407407414</v>
      </c>
      <c r="C343" s="422" t="s">
        <v>1314</v>
      </c>
    </row>
    <row r="344" spans="1:3" x14ac:dyDescent="0.25">
      <c r="A344" s="418">
        <v>41538</v>
      </c>
      <c r="B344" s="419">
        <v>0.75844907407407414</v>
      </c>
      <c r="C344" s="422" t="s">
        <v>1315</v>
      </c>
    </row>
    <row r="345" spans="1:3" x14ac:dyDescent="0.25">
      <c r="A345" s="418">
        <v>41538</v>
      </c>
      <c r="B345" s="419">
        <v>0.75844907407407414</v>
      </c>
      <c r="C345" s="422" t="s">
        <v>1316</v>
      </c>
    </row>
    <row r="346" spans="1:3" x14ac:dyDescent="0.25">
      <c r="A346" s="418">
        <v>41538</v>
      </c>
      <c r="B346" s="419">
        <v>0.75844907407407414</v>
      </c>
      <c r="C346" s="422" t="s">
        <v>1313</v>
      </c>
    </row>
    <row r="347" spans="1:3" x14ac:dyDescent="0.25">
      <c r="A347" s="418">
        <v>41538</v>
      </c>
      <c r="B347" s="419">
        <v>0.75844907407407414</v>
      </c>
      <c r="C347" s="422" t="s">
        <v>1317</v>
      </c>
    </row>
    <row r="348" spans="1:3" x14ac:dyDescent="0.25">
      <c r="A348" s="418">
        <v>41538</v>
      </c>
      <c r="B348" s="419">
        <v>0.75844907407407414</v>
      </c>
      <c r="C348" s="422" t="s">
        <v>1318</v>
      </c>
    </row>
    <row r="349" spans="1:3" x14ac:dyDescent="0.25">
      <c r="A349" s="418">
        <v>41538</v>
      </c>
      <c r="B349" s="419">
        <v>0.75865740740740739</v>
      </c>
      <c r="C349" s="422" t="s">
        <v>1313</v>
      </c>
    </row>
    <row r="350" spans="1:3" x14ac:dyDescent="0.25">
      <c r="A350" s="418">
        <v>41538</v>
      </c>
      <c r="B350" s="419">
        <v>0.75865740740740739</v>
      </c>
      <c r="C350" s="422" t="s">
        <v>1238</v>
      </c>
    </row>
    <row r="351" spans="1:3" x14ac:dyDescent="0.25">
      <c r="A351" s="418">
        <v>41538</v>
      </c>
      <c r="B351" s="419">
        <v>0.75870370370370377</v>
      </c>
      <c r="C351" s="422" t="s">
        <v>1319</v>
      </c>
    </row>
    <row r="352" spans="1:3" x14ac:dyDescent="0.25">
      <c r="A352" s="418">
        <v>41538</v>
      </c>
      <c r="B352" s="419">
        <v>0.75870370370370377</v>
      </c>
      <c r="C352" s="422" t="s">
        <v>1319</v>
      </c>
    </row>
    <row r="353" spans="1:3" x14ac:dyDescent="0.25">
      <c r="A353" s="418">
        <v>41538</v>
      </c>
      <c r="B353" s="419">
        <v>0.75870370370370377</v>
      </c>
      <c r="C353" s="422" t="s">
        <v>1320</v>
      </c>
    </row>
    <row r="354" spans="1:3" x14ac:dyDescent="0.25">
      <c r="A354" s="418">
        <v>41538</v>
      </c>
      <c r="B354" s="419">
        <v>0.75870370370370377</v>
      </c>
      <c r="C354" s="422" t="s">
        <v>1312</v>
      </c>
    </row>
    <row r="355" spans="1:3" x14ac:dyDescent="0.25">
      <c r="A355" s="418">
        <v>41538</v>
      </c>
      <c r="B355" s="419">
        <v>0.75870370370370377</v>
      </c>
      <c r="C355" s="422" t="s">
        <v>1321</v>
      </c>
    </row>
    <row r="356" spans="1:3" x14ac:dyDescent="0.25">
      <c r="A356" s="418">
        <v>41538</v>
      </c>
      <c r="B356" s="419">
        <v>0.76473379629629623</v>
      </c>
      <c r="C356" s="422" t="s">
        <v>1238</v>
      </c>
    </row>
    <row r="357" spans="1:3" x14ac:dyDescent="0.25">
      <c r="A357" s="418">
        <v>41538</v>
      </c>
      <c r="B357" s="419">
        <v>0.76473379629629623</v>
      </c>
      <c r="C357" s="422" t="s">
        <v>1310</v>
      </c>
    </row>
    <row r="358" spans="1:3" x14ac:dyDescent="0.25">
      <c r="A358" s="418">
        <v>41538</v>
      </c>
      <c r="B358" s="419">
        <v>0.76473379629629623</v>
      </c>
      <c r="C358" s="422" t="s">
        <v>1311</v>
      </c>
    </row>
    <row r="359" spans="1:3" x14ac:dyDescent="0.25">
      <c r="A359" s="418">
        <v>41538</v>
      </c>
      <c r="B359" s="419">
        <v>0.76473379629629623</v>
      </c>
      <c r="C359" s="422" t="s">
        <v>1312</v>
      </c>
    </row>
    <row r="360" spans="1:3" x14ac:dyDescent="0.25">
      <c r="A360" s="418">
        <v>41538</v>
      </c>
      <c r="B360" s="419">
        <v>0.76473379629629623</v>
      </c>
      <c r="C360" s="422" t="s">
        <v>1313</v>
      </c>
    </row>
    <row r="361" spans="1:3" x14ac:dyDescent="0.25">
      <c r="A361" s="418">
        <v>41538</v>
      </c>
      <c r="B361" s="419">
        <v>0.76473379629629623</v>
      </c>
      <c r="C361" s="422" t="s">
        <v>1314</v>
      </c>
    </row>
    <row r="362" spans="1:3" x14ac:dyDescent="0.25">
      <c r="A362" s="418">
        <v>41538</v>
      </c>
      <c r="B362" s="419">
        <v>0.76473379629629623</v>
      </c>
      <c r="C362" s="422" t="s">
        <v>1315</v>
      </c>
    </row>
    <row r="363" spans="1:3" x14ac:dyDescent="0.25">
      <c r="A363" s="418">
        <v>41538</v>
      </c>
      <c r="B363" s="419">
        <v>0.76473379629629623</v>
      </c>
      <c r="C363" s="422" t="s">
        <v>1316</v>
      </c>
    </row>
    <row r="364" spans="1:3" x14ac:dyDescent="0.25">
      <c r="A364" s="418">
        <v>41538</v>
      </c>
      <c r="B364" s="419">
        <v>0.76473379629629623</v>
      </c>
      <c r="C364" s="422" t="s">
        <v>1313</v>
      </c>
    </row>
    <row r="365" spans="1:3" x14ac:dyDescent="0.25">
      <c r="A365" s="418">
        <v>41538</v>
      </c>
      <c r="B365" s="419">
        <v>0.76473379629629623</v>
      </c>
      <c r="C365" s="422" t="s">
        <v>1317</v>
      </c>
    </row>
    <row r="366" spans="1:3" x14ac:dyDescent="0.25">
      <c r="A366" s="418">
        <v>41538</v>
      </c>
      <c r="B366" s="419">
        <v>0.76473379629629623</v>
      </c>
      <c r="C366" s="422" t="s">
        <v>1318</v>
      </c>
    </row>
    <row r="367" spans="1:3" x14ac:dyDescent="0.25">
      <c r="A367" s="418">
        <v>41538</v>
      </c>
      <c r="B367" s="419">
        <v>0.76478009259259261</v>
      </c>
      <c r="C367" s="422" t="s">
        <v>1313</v>
      </c>
    </row>
    <row r="368" spans="1:3" x14ac:dyDescent="0.25">
      <c r="A368" s="418">
        <v>41538</v>
      </c>
      <c r="B368" s="419">
        <v>0.76478009259259261</v>
      </c>
      <c r="C368" s="422" t="s">
        <v>1238</v>
      </c>
    </row>
    <row r="369" spans="1:3" x14ac:dyDescent="0.25">
      <c r="A369" s="418">
        <v>41538</v>
      </c>
      <c r="B369" s="419">
        <v>0.76483796296296302</v>
      </c>
      <c r="C369" s="422" t="s">
        <v>1319</v>
      </c>
    </row>
    <row r="370" spans="1:3" x14ac:dyDescent="0.25">
      <c r="A370" s="418">
        <v>41538</v>
      </c>
      <c r="B370" s="419">
        <v>0.76483796296296302</v>
      </c>
      <c r="C370" s="422" t="s">
        <v>1319</v>
      </c>
    </row>
    <row r="371" spans="1:3" x14ac:dyDescent="0.25">
      <c r="A371" s="418">
        <v>41538</v>
      </c>
      <c r="B371" s="419">
        <v>0.76483796296296302</v>
      </c>
      <c r="C371" s="422" t="s">
        <v>1320</v>
      </c>
    </row>
    <row r="372" spans="1:3" x14ac:dyDescent="0.25">
      <c r="A372" s="418">
        <v>41538</v>
      </c>
      <c r="B372" s="419">
        <v>0.76483796296296302</v>
      </c>
      <c r="C372" s="422" t="s">
        <v>1312</v>
      </c>
    </row>
    <row r="373" spans="1:3" x14ac:dyDescent="0.25">
      <c r="A373" s="418">
        <v>41538</v>
      </c>
      <c r="B373" s="419">
        <v>0.76483796296296302</v>
      </c>
      <c r="C373" s="422" t="s">
        <v>1321</v>
      </c>
    </row>
    <row r="374" spans="1:3" ht="75" x14ac:dyDescent="0.25">
      <c r="A374" s="418">
        <v>41538</v>
      </c>
      <c r="B374" s="419">
        <v>0.76505787037037043</v>
      </c>
      <c r="C374" s="952" t="s">
        <v>1343</v>
      </c>
    </row>
    <row r="375" spans="1:3" x14ac:dyDescent="0.25">
      <c r="A375" s="418">
        <v>41538</v>
      </c>
      <c r="B375" s="419">
        <v>0.76513888888888892</v>
      </c>
      <c r="C375" s="422" t="s">
        <v>1322</v>
      </c>
    </row>
    <row r="376" spans="1:3" x14ac:dyDescent="0.25">
      <c r="A376" s="418">
        <v>41538</v>
      </c>
      <c r="B376" s="419">
        <v>0.76513888888888892</v>
      </c>
      <c r="C376" s="422" t="s">
        <v>1323</v>
      </c>
    </row>
    <row r="377" spans="1:3" x14ac:dyDescent="0.25">
      <c r="A377" s="418">
        <v>41538</v>
      </c>
      <c r="B377" s="419">
        <v>0.76513888888888892</v>
      </c>
      <c r="C377" s="422" t="s">
        <v>1321</v>
      </c>
    </row>
    <row r="378" spans="1:3" ht="75" x14ac:dyDescent="0.25">
      <c r="A378" s="418">
        <v>41538</v>
      </c>
      <c r="B378" s="419">
        <v>0.76520833333333327</v>
      </c>
      <c r="C378" s="952" t="s">
        <v>1343</v>
      </c>
    </row>
    <row r="379" spans="1:3" x14ac:dyDescent="0.25">
      <c r="A379" s="418">
        <v>41538</v>
      </c>
      <c r="B379" s="419">
        <v>0.76530092592592591</v>
      </c>
      <c r="C379" s="422" t="s">
        <v>1310</v>
      </c>
    </row>
    <row r="380" spans="1:3" x14ac:dyDescent="0.25">
      <c r="A380" s="418">
        <v>41538</v>
      </c>
      <c r="B380" s="419">
        <v>0.76530092592592591</v>
      </c>
      <c r="C380" s="422" t="s">
        <v>1324</v>
      </c>
    </row>
    <row r="381" spans="1:3" x14ac:dyDescent="0.25">
      <c r="A381" s="418">
        <v>41538</v>
      </c>
      <c r="B381" s="419">
        <v>0.76530092592592591</v>
      </c>
      <c r="C381" s="422" t="s">
        <v>1325</v>
      </c>
    </row>
    <row r="382" spans="1:3" x14ac:dyDescent="0.25">
      <c r="A382" s="418">
        <v>41538</v>
      </c>
      <c r="B382" s="419">
        <v>0.76530092592592591</v>
      </c>
      <c r="C382" s="422" t="s">
        <v>1325</v>
      </c>
    </row>
    <row r="383" spans="1:3" x14ac:dyDescent="0.25">
      <c r="A383" s="418">
        <v>41538</v>
      </c>
      <c r="B383" s="419">
        <v>0.76530092592592591</v>
      </c>
      <c r="C383" s="422" t="s">
        <v>1326</v>
      </c>
    </row>
    <row r="384" spans="1:3" x14ac:dyDescent="0.25">
      <c r="A384" s="418">
        <v>41538</v>
      </c>
      <c r="B384" s="419">
        <v>0.76530092592592591</v>
      </c>
      <c r="C384" s="422" t="s">
        <v>1327</v>
      </c>
    </row>
    <row r="385" spans="1:3" x14ac:dyDescent="0.25">
      <c r="A385" s="418">
        <v>41538</v>
      </c>
      <c r="B385" s="419">
        <v>0.76530092592592591</v>
      </c>
      <c r="C385" s="422" t="s">
        <v>1313</v>
      </c>
    </row>
    <row r="386" spans="1:3" x14ac:dyDescent="0.25">
      <c r="A386" s="418">
        <v>41538</v>
      </c>
      <c r="B386" s="419">
        <v>0.76530092592592591</v>
      </c>
      <c r="C386" s="422" t="s">
        <v>1328</v>
      </c>
    </row>
    <row r="387" spans="1:3" x14ac:dyDescent="0.25">
      <c r="A387" s="418">
        <v>41538</v>
      </c>
      <c r="B387" s="419">
        <v>0.76530092592592591</v>
      </c>
      <c r="C387" s="422" t="s">
        <v>1329</v>
      </c>
    </row>
    <row r="388" spans="1:3" x14ac:dyDescent="0.25">
      <c r="A388" s="418">
        <v>41538</v>
      </c>
      <c r="B388" s="419">
        <v>0.76530092592592591</v>
      </c>
      <c r="C388" s="422" t="s">
        <v>1330</v>
      </c>
    </row>
    <row r="389" spans="1:3" x14ac:dyDescent="0.25">
      <c r="A389" s="418">
        <v>41538</v>
      </c>
      <c r="B389" s="419">
        <v>0.7653240740740741</v>
      </c>
      <c r="C389" s="422" t="s">
        <v>1331</v>
      </c>
    </row>
    <row r="390" spans="1:3" ht="60" x14ac:dyDescent="0.25">
      <c r="A390" s="418">
        <v>41538</v>
      </c>
      <c r="B390" s="419">
        <v>0.7653240740740741</v>
      </c>
      <c r="C390" s="952" t="s">
        <v>1344</v>
      </c>
    </row>
    <row r="391" spans="1:3" x14ac:dyDescent="0.25">
      <c r="A391" s="418">
        <v>41538</v>
      </c>
      <c r="B391" s="419">
        <v>0.76576388888888891</v>
      </c>
      <c r="C391" s="422" t="s">
        <v>1326</v>
      </c>
    </row>
    <row r="392" spans="1:3" x14ac:dyDescent="0.25">
      <c r="A392" s="418">
        <v>41538</v>
      </c>
      <c r="B392" s="419">
        <v>0.76576388888888891</v>
      </c>
      <c r="C392" s="422" t="s">
        <v>1345</v>
      </c>
    </row>
    <row r="393" spans="1:3" x14ac:dyDescent="0.25">
      <c r="A393" s="418">
        <v>41538</v>
      </c>
      <c r="B393" s="419">
        <v>0.76576388888888891</v>
      </c>
      <c r="C393" s="422" t="s">
        <v>1346</v>
      </c>
    </row>
    <row r="394" spans="1:3" ht="75" x14ac:dyDescent="0.25">
      <c r="A394" s="418">
        <v>41538</v>
      </c>
      <c r="B394" s="419">
        <v>0.76989583333333333</v>
      </c>
      <c r="C394" s="952" t="s">
        <v>1343</v>
      </c>
    </row>
    <row r="395" spans="1:3" x14ac:dyDescent="0.25">
      <c r="A395" s="418">
        <v>41538</v>
      </c>
      <c r="B395" s="419">
        <v>0.76996527777777779</v>
      </c>
      <c r="C395" s="422" t="s">
        <v>1347</v>
      </c>
    </row>
    <row r="396" spans="1:3" x14ac:dyDescent="0.25">
      <c r="A396" s="418">
        <v>41538</v>
      </c>
      <c r="B396" s="419">
        <v>0.76996527777777779</v>
      </c>
      <c r="C396" s="422" t="s">
        <v>1347</v>
      </c>
    </row>
    <row r="397" spans="1:3" x14ac:dyDescent="0.25">
      <c r="A397" s="418">
        <v>41538</v>
      </c>
      <c r="B397" s="419">
        <v>0.76996527777777779</v>
      </c>
      <c r="C397" s="422" t="s">
        <v>1313</v>
      </c>
    </row>
    <row r="398" spans="1:3" x14ac:dyDescent="0.25">
      <c r="A398" s="418">
        <v>41538</v>
      </c>
      <c r="B398" s="419">
        <v>0.76996527777777779</v>
      </c>
      <c r="C398" s="422" t="s">
        <v>1348</v>
      </c>
    </row>
    <row r="399" spans="1:3" x14ac:dyDescent="0.25">
      <c r="A399" s="418">
        <v>41538</v>
      </c>
      <c r="B399" s="419">
        <v>0.76996527777777779</v>
      </c>
      <c r="C399" s="422" t="s">
        <v>1349</v>
      </c>
    </row>
    <row r="400" spans="1:3" x14ac:dyDescent="0.25">
      <c r="A400" s="418">
        <v>41538</v>
      </c>
      <c r="B400" s="419">
        <v>0.76996527777777779</v>
      </c>
      <c r="C400" s="422" t="s">
        <v>1350</v>
      </c>
    </row>
    <row r="401" spans="1:3" x14ac:dyDescent="0.25">
      <c r="A401" s="418">
        <v>41538</v>
      </c>
      <c r="B401" s="419">
        <v>0.76996527777777779</v>
      </c>
      <c r="C401" s="422" t="s">
        <v>1351</v>
      </c>
    </row>
    <row r="402" spans="1:3" x14ac:dyDescent="0.25">
      <c r="A402" s="418">
        <v>41538</v>
      </c>
      <c r="B402" s="419">
        <v>0.76996527777777779</v>
      </c>
      <c r="C402" s="422" t="s">
        <v>1352</v>
      </c>
    </row>
    <row r="403" spans="1:3" x14ac:dyDescent="0.25">
      <c r="A403" s="418">
        <v>41538</v>
      </c>
      <c r="B403" s="419">
        <v>0.76996527777777779</v>
      </c>
      <c r="C403" s="422" t="s">
        <v>1352</v>
      </c>
    </row>
    <row r="404" spans="1:3" x14ac:dyDescent="0.25">
      <c r="A404" s="418">
        <v>41538</v>
      </c>
      <c r="B404" s="419">
        <v>0.76996527777777779</v>
      </c>
      <c r="C404" s="422" t="s">
        <v>1351</v>
      </c>
    </row>
    <row r="405" spans="1:3" x14ac:dyDescent="0.25">
      <c r="A405" s="418">
        <v>41538</v>
      </c>
      <c r="B405" s="419">
        <v>0.76996527777777779</v>
      </c>
      <c r="C405" s="422" t="s">
        <v>1353</v>
      </c>
    </row>
    <row r="406" spans="1:3" x14ac:dyDescent="0.25">
      <c r="A406" s="418">
        <v>41538</v>
      </c>
      <c r="B406" s="419">
        <v>0.76996527777777779</v>
      </c>
      <c r="C406" s="422" t="s">
        <v>1354</v>
      </c>
    </row>
    <row r="407" spans="1:3" x14ac:dyDescent="0.25">
      <c r="A407" s="418">
        <v>41538</v>
      </c>
      <c r="B407" s="419">
        <v>0.76996527777777779</v>
      </c>
      <c r="C407" s="422" t="s">
        <v>1355</v>
      </c>
    </row>
    <row r="408" spans="1:3" x14ac:dyDescent="0.25">
      <c r="A408" s="418">
        <v>41538</v>
      </c>
      <c r="B408" s="419">
        <v>0.76998842592592587</v>
      </c>
      <c r="C408" s="422" t="s">
        <v>1290</v>
      </c>
    </row>
    <row r="409" spans="1:3" ht="60" x14ac:dyDescent="0.25">
      <c r="A409" s="418">
        <v>41538</v>
      </c>
      <c r="B409" s="419">
        <v>0.76998842592592587</v>
      </c>
      <c r="C409" s="952" t="s">
        <v>1291</v>
      </c>
    </row>
    <row r="410" spans="1:3" ht="75" x14ac:dyDescent="0.25">
      <c r="A410" s="418">
        <v>41538</v>
      </c>
      <c r="B410" s="419">
        <v>0.77016203703703701</v>
      </c>
      <c r="C410" s="952" t="s">
        <v>1343</v>
      </c>
    </row>
    <row r="411" spans="1:3" x14ac:dyDescent="0.25">
      <c r="A411" s="418">
        <v>41538</v>
      </c>
      <c r="B411" s="419">
        <v>0.77021990740740742</v>
      </c>
      <c r="C411" s="422" t="s">
        <v>1356</v>
      </c>
    </row>
    <row r="412" spans="1:3" ht="75" x14ac:dyDescent="0.25">
      <c r="A412" s="418">
        <v>41538</v>
      </c>
      <c r="B412" s="419">
        <v>0.77030092592592592</v>
      </c>
      <c r="C412" s="952" t="s">
        <v>1343</v>
      </c>
    </row>
    <row r="413" spans="1:3" x14ac:dyDescent="0.25">
      <c r="A413" s="418">
        <v>41538</v>
      </c>
      <c r="B413" s="419">
        <v>0.77032407407407411</v>
      </c>
      <c r="C413" s="422" t="s">
        <v>1357</v>
      </c>
    </row>
    <row r="414" spans="1:3" x14ac:dyDescent="0.25">
      <c r="A414" s="418">
        <v>41538</v>
      </c>
      <c r="B414" s="419">
        <v>0.77032407407407411</v>
      </c>
      <c r="C414" s="422" t="s">
        <v>1358</v>
      </c>
    </row>
    <row r="415" spans="1:3" ht="75" x14ac:dyDescent="0.25">
      <c r="A415" s="418">
        <v>41538</v>
      </c>
      <c r="B415" s="419">
        <v>0.77035879629629633</v>
      </c>
      <c r="C415" s="952" t="s">
        <v>1359</v>
      </c>
    </row>
    <row r="416" spans="1:3" x14ac:dyDescent="0.25">
      <c r="A416" s="418">
        <v>41538</v>
      </c>
      <c r="B416" s="419">
        <v>0.77111111111111119</v>
      </c>
      <c r="C416" s="422" t="s">
        <v>1360</v>
      </c>
    </row>
    <row r="417" spans="1:3" x14ac:dyDescent="0.25">
      <c r="A417" s="418">
        <v>41538</v>
      </c>
      <c r="B417" s="419">
        <v>0.77111111111111119</v>
      </c>
      <c r="C417" s="422" t="s">
        <v>1361</v>
      </c>
    </row>
    <row r="418" spans="1:3" ht="75" x14ac:dyDescent="0.25">
      <c r="A418" s="418">
        <v>41538</v>
      </c>
      <c r="B418" s="419">
        <v>0.77119212962962969</v>
      </c>
      <c r="C418" s="952" t="s">
        <v>1343</v>
      </c>
    </row>
    <row r="419" spans="1:3" x14ac:dyDescent="0.25">
      <c r="A419" s="418">
        <v>41538</v>
      </c>
      <c r="B419" s="419">
        <v>0.7712268518518518</v>
      </c>
      <c r="C419" s="422" t="s">
        <v>1362</v>
      </c>
    </row>
    <row r="420" spans="1:3" ht="75" x14ac:dyDescent="0.25">
      <c r="A420" s="418">
        <v>41538</v>
      </c>
      <c r="B420" s="419">
        <v>0.77129629629629637</v>
      </c>
      <c r="C420" s="952" t="s">
        <v>1343</v>
      </c>
    </row>
    <row r="421" spans="1:3" x14ac:dyDescent="0.25">
      <c r="A421" s="418">
        <v>41538</v>
      </c>
      <c r="B421" s="419">
        <v>0.7713310185185186</v>
      </c>
      <c r="C421" s="422" t="s">
        <v>1363</v>
      </c>
    </row>
    <row r="422" spans="1:3" x14ac:dyDescent="0.25">
      <c r="A422" s="418">
        <v>41538</v>
      </c>
      <c r="B422" s="419">
        <v>0.7713310185185186</v>
      </c>
      <c r="C422" s="422" t="s">
        <v>1364</v>
      </c>
    </row>
    <row r="423" spans="1:3" x14ac:dyDescent="0.25">
      <c r="A423" s="418">
        <v>41538</v>
      </c>
      <c r="B423" s="419">
        <v>0.7713310185185186</v>
      </c>
      <c r="C423" s="422" t="s">
        <v>1320</v>
      </c>
    </row>
    <row r="424" spans="1:3" ht="75" x14ac:dyDescent="0.25">
      <c r="A424" s="418">
        <v>41538</v>
      </c>
      <c r="B424" s="419">
        <v>0.77141203703703709</v>
      </c>
      <c r="C424" s="952" t="s">
        <v>1343</v>
      </c>
    </row>
    <row r="425" spans="1:3" x14ac:dyDescent="0.25">
      <c r="A425" s="418">
        <v>41538</v>
      </c>
      <c r="B425" s="419">
        <v>0.77231481481481479</v>
      </c>
      <c r="C425" s="422" t="s">
        <v>1365</v>
      </c>
    </row>
    <row r="426" spans="1:3" x14ac:dyDescent="0.25">
      <c r="A426" s="418">
        <v>41538</v>
      </c>
      <c r="B426" s="419">
        <v>0.77231481481481479</v>
      </c>
      <c r="C426" s="422" t="s">
        <v>1358</v>
      </c>
    </row>
    <row r="427" spans="1:3" x14ac:dyDescent="0.25">
      <c r="A427" s="418">
        <v>41538</v>
      </c>
      <c r="B427" s="419">
        <v>0.77231481481481479</v>
      </c>
      <c r="C427" s="422" t="s">
        <v>1366</v>
      </c>
    </row>
    <row r="428" spans="1:3" x14ac:dyDescent="0.25">
      <c r="A428" s="418">
        <v>41538</v>
      </c>
      <c r="B428" s="419">
        <v>0.77231481481481479</v>
      </c>
      <c r="C428" s="422" t="s">
        <v>1367</v>
      </c>
    </row>
    <row r="429" spans="1:3" x14ac:dyDescent="0.25">
      <c r="A429" s="418">
        <v>41538</v>
      </c>
      <c r="B429" s="419">
        <v>0.77232638888888883</v>
      </c>
      <c r="C429" s="422" t="s">
        <v>1368</v>
      </c>
    </row>
    <row r="430" spans="1:3" x14ac:dyDescent="0.25">
      <c r="A430" s="418">
        <v>41538</v>
      </c>
      <c r="B430" s="419">
        <v>0.77232638888888883</v>
      </c>
      <c r="C430" s="422" t="s">
        <v>1368</v>
      </c>
    </row>
    <row r="431" spans="1:3" x14ac:dyDescent="0.25">
      <c r="A431" s="418">
        <v>41538</v>
      </c>
      <c r="B431" s="419">
        <v>0.77232638888888883</v>
      </c>
      <c r="C431" s="422" t="s">
        <v>1369</v>
      </c>
    </row>
    <row r="432" spans="1:3" x14ac:dyDescent="0.25">
      <c r="A432" s="418">
        <v>41538</v>
      </c>
      <c r="B432" s="419">
        <v>0.77232638888888883</v>
      </c>
      <c r="C432" s="422" t="s">
        <v>1323</v>
      </c>
    </row>
    <row r="433" spans="1:3" x14ac:dyDescent="0.25">
      <c r="A433" s="418">
        <v>41538</v>
      </c>
      <c r="B433" s="419">
        <v>0.77232638888888883</v>
      </c>
      <c r="C433" s="422" t="s">
        <v>1370</v>
      </c>
    </row>
    <row r="434" spans="1:3" x14ac:dyDescent="0.25">
      <c r="A434" s="418">
        <v>41538</v>
      </c>
      <c r="B434" s="419">
        <v>0.77232638888888883</v>
      </c>
      <c r="C434" s="422" t="s">
        <v>1347</v>
      </c>
    </row>
    <row r="435" spans="1:3" x14ac:dyDescent="0.25">
      <c r="A435" s="418">
        <v>41538</v>
      </c>
      <c r="B435" s="419">
        <v>0.77232638888888883</v>
      </c>
      <c r="C435" s="422" t="s">
        <v>1371</v>
      </c>
    </row>
    <row r="436" spans="1:3" x14ac:dyDescent="0.25">
      <c r="A436" s="418">
        <v>41538</v>
      </c>
      <c r="B436" s="419">
        <v>0.77232638888888883</v>
      </c>
      <c r="C436" s="422" t="s">
        <v>1372</v>
      </c>
    </row>
    <row r="437" spans="1:3" x14ac:dyDescent="0.25">
      <c r="A437" s="418">
        <v>41538</v>
      </c>
      <c r="B437" s="419">
        <v>0.77233796296296298</v>
      </c>
      <c r="C437" s="422" t="s">
        <v>1310</v>
      </c>
    </row>
    <row r="438" spans="1:3" x14ac:dyDescent="0.25">
      <c r="A438" s="418">
        <v>41538</v>
      </c>
      <c r="B438" s="419">
        <v>0.77233796296296298</v>
      </c>
      <c r="C438" s="422" t="s">
        <v>1373</v>
      </c>
    </row>
    <row r="439" spans="1:3" x14ac:dyDescent="0.25">
      <c r="A439" s="418">
        <v>41538</v>
      </c>
      <c r="B439" s="419">
        <v>0.77233796296296298</v>
      </c>
      <c r="C439" s="422" t="s">
        <v>1374</v>
      </c>
    </row>
    <row r="440" spans="1:3" x14ac:dyDescent="0.25">
      <c r="A440" s="418">
        <v>41538</v>
      </c>
      <c r="B440" s="419">
        <v>0.77233796296296298</v>
      </c>
      <c r="C440" s="422" t="s">
        <v>1347</v>
      </c>
    </row>
    <row r="441" spans="1:3" x14ac:dyDescent="0.25">
      <c r="A441" s="418">
        <v>41538</v>
      </c>
      <c r="B441" s="419">
        <v>0.77233796296296298</v>
      </c>
      <c r="C441" s="422" t="s">
        <v>1320</v>
      </c>
    </row>
    <row r="442" spans="1:3" x14ac:dyDescent="0.25">
      <c r="A442" s="418">
        <v>41538</v>
      </c>
      <c r="B442" s="419">
        <v>0.77233796296296298</v>
      </c>
      <c r="C442" s="422" t="s">
        <v>1375</v>
      </c>
    </row>
    <row r="443" spans="1:3" x14ac:dyDescent="0.25">
      <c r="A443" s="418">
        <v>41538</v>
      </c>
      <c r="B443" s="419">
        <v>0.77252314814814815</v>
      </c>
      <c r="C443" s="422" t="s">
        <v>1376</v>
      </c>
    </row>
    <row r="444" spans="1:3" x14ac:dyDescent="0.25">
      <c r="A444" s="418">
        <v>41538</v>
      </c>
      <c r="B444" s="419">
        <v>0.77252314814814815</v>
      </c>
      <c r="C444" s="422" t="s">
        <v>1363</v>
      </c>
    </row>
    <row r="445" spans="1:3" x14ac:dyDescent="0.25">
      <c r="A445" s="418">
        <v>41538</v>
      </c>
      <c r="B445" s="419">
        <v>0.77254629629629623</v>
      </c>
      <c r="C445" s="422" t="s">
        <v>1311</v>
      </c>
    </row>
    <row r="446" spans="1:3" x14ac:dyDescent="0.25">
      <c r="A446" s="418">
        <v>41538</v>
      </c>
      <c r="B446" s="419">
        <v>0.77254629629629623</v>
      </c>
      <c r="C446" s="422" t="s">
        <v>1377</v>
      </c>
    </row>
    <row r="447" spans="1:3" x14ac:dyDescent="0.25">
      <c r="A447" s="418">
        <v>41538</v>
      </c>
      <c r="B447" s="419">
        <v>0.77254629629629623</v>
      </c>
      <c r="C447" s="422" t="s">
        <v>1378</v>
      </c>
    </row>
    <row r="448" spans="1:3" x14ac:dyDescent="0.25">
      <c r="A448" s="418">
        <v>41538</v>
      </c>
      <c r="B448" s="419">
        <v>0.77254629629629623</v>
      </c>
      <c r="C448" s="422" t="s">
        <v>1379</v>
      </c>
    </row>
    <row r="449" spans="1:3" x14ac:dyDescent="0.25">
      <c r="A449" s="418">
        <v>41538</v>
      </c>
      <c r="B449" s="419">
        <v>0.77254629629629623</v>
      </c>
      <c r="C449" s="422" t="s">
        <v>1380</v>
      </c>
    </row>
    <row r="450" spans="1:3" x14ac:dyDescent="0.25">
      <c r="A450" s="418">
        <v>41538</v>
      </c>
      <c r="B450" s="419">
        <v>0.77254629629629623</v>
      </c>
      <c r="C450" s="422" t="s">
        <v>1329</v>
      </c>
    </row>
    <row r="451" spans="1:3" x14ac:dyDescent="0.25">
      <c r="A451" s="418">
        <v>41538</v>
      </c>
      <c r="B451" s="419">
        <v>0.77255787037037038</v>
      </c>
      <c r="C451" s="422" t="s">
        <v>1381</v>
      </c>
    </row>
    <row r="452" spans="1:3" ht="60" x14ac:dyDescent="0.25">
      <c r="A452" s="418">
        <v>41538</v>
      </c>
      <c r="B452" s="419">
        <v>0.77255787037037038</v>
      </c>
      <c r="C452" s="952" t="s">
        <v>1382</v>
      </c>
    </row>
    <row r="453" spans="1:3" x14ac:dyDescent="0.25">
      <c r="A453" s="418">
        <v>41538</v>
      </c>
      <c r="B453" s="419">
        <v>0.77258101851851846</v>
      </c>
      <c r="C453" s="422" t="s">
        <v>1383</v>
      </c>
    </row>
    <row r="454" spans="1:3" x14ac:dyDescent="0.25">
      <c r="A454" s="418">
        <v>41538</v>
      </c>
      <c r="B454" s="419">
        <v>0.77258101851851846</v>
      </c>
      <c r="C454" s="422" t="s">
        <v>1384</v>
      </c>
    </row>
    <row r="455" spans="1:3" x14ac:dyDescent="0.25">
      <c r="A455" s="418">
        <v>41538</v>
      </c>
      <c r="B455" s="419">
        <v>0.77258101851851846</v>
      </c>
      <c r="C455" s="422" t="s">
        <v>1385</v>
      </c>
    </row>
    <row r="456" spans="1:3" x14ac:dyDescent="0.25">
      <c r="A456" s="418">
        <v>41538</v>
      </c>
      <c r="B456" s="419">
        <v>0.77258101851851846</v>
      </c>
      <c r="C456" s="422" t="s">
        <v>1386</v>
      </c>
    </row>
    <row r="457" spans="1:3" x14ac:dyDescent="0.25">
      <c r="A457" s="418">
        <v>41538</v>
      </c>
      <c r="B457" s="419">
        <v>0.77258101851851846</v>
      </c>
      <c r="C457" s="422" t="s">
        <v>1355</v>
      </c>
    </row>
    <row r="458" spans="1:3" x14ac:dyDescent="0.25">
      <c r="A458" s="418">
        <v>41538</v>
      </c>
      <c r="B458" s="419">
        <v>0.77258101851851846</v>
      </c>
      <c r="C458" s="422" t="s">
        <v>1387</v>
      </c>
    </row>
    <row r="459" spans="1:3" x14ac:dyDescent="0.25">
      <c r="A459" s="418">
        <v>41538</v>
      </c>
      <c r="B459" s="419">
        <v>0.77258101851851846</v>
      </c>
      <c r="C459" s="422" t="s">
        <v>1388</v>
      </c>
    </row>
    <row r="460" spans="1:3" x14ac:dyDescent="0.25">
      <c r="A460" s="418">
        <v>41538</v>
      </c>
      <c r="B460" s="419">
        <v>0.77258101851851846</v>
      </c>
      <c r="C460" s="422" t="s">
        <v>1388</v>
      </c>
    </row>
    <row r="461" spans="1:3" x14ac:dyDescent="0.25">
      <c r="A461" s="418">
        <v>41538</v>
      </c>
      <c r="B461" s="419">
        <v>0.77258101851851846</v>
      </c>
      <c r="C461" s="422" t="s">
        <v>1389</v>
      </c>
    </row>
    <row r="462" spans="1:3" x14ac:dyDescent="0.25">
      <c r="A462" s="418">
        <v>41538</v>
      </c>
      <c r="B462" s="419">
        <v>0.77258101851851846</v>
      </c>
      <c r="C462" s="422" t="s">
        <v>1390</v>
      </c>
    </row>
    <row r="463" spans="1:3" x14ac:dyDescent="0.25">
      <c r="A463" s="418">
        <v>41538</v>
      </c>
      <c r="B463" s="419">
        <v>0.77258101851851846</v>
      </c>
      <c r="C463" s="422" t="s">
        <v>1390</v>
      </c>
    </row>
    <row r="464" spans="1:3" x14ac:dyDescent="0.25">
      <c r="A464" s="418">
        <v>41538</v>
      </c>
      <c r="B464" s="419">
        <v>0.77258101851851846</v>
      </c>
      <c r="C464" s="422" t="s">
        <v>1321</v>
      </c>
    </row>
    <row r="465" spans="1:3" x14ac:dyDescent="0.25">
      <c r="A465" s="418">
        <v>41538</v>
      </c>
      <c r="B465" s="419">
        <v>0.77258101851851846</v>
      </c>
      <c r="C465" s="422" t="s">
        <v>1391</v>
      </c>
    </row>
    <row r="466" spans="1:3" x14ac:dyDescent="0.25">
      <c r="A466" s="418">
        <v>41538</v>
      </c>
      <c r="B466" s="419">
        <v>0.77258101851851846</v>
      </c>
      <c r="C466" s="422" t="s">
        <v>1392</v>
      </c>
    </row>
    <row r="467" spans="1:3" x14ac:dyDescent="0.25">
      <c r="A467" s="418">
        <v>41538</v>
      </c>
      <c r="B467" s="419">
        <v>0.7726157407407408</v>
      </c>
      <c r="C467" s="422" t="s">
        <v>1393</v>
      </c>
    </row>
    <row r="468" spans="1:3" x14ac:dyDescent="0.25">
      <c r="A468" s="418">
        <v>41538</v>
      </c>
      <c r="B468" s="419">
        <v>0.7726157407407408</v>
      </c>
      <c r="C468" s="422" t="s">
        <v>1394</v>
      </c>
    </row>
    <row r="469" spans="1:3" x14ac:dyDescent="0.25">
      <c r="A469" s="418">
        <v>41538</v>
      </c>
      <c r="B469" s="419">
        <v>0.7726157407407408</v>
      </c>
      <c r="C469" s="422" t="s">
        <v>1395</v>
      </c>
    </row>
    <row r="470" spans="1:3" x14ac:dyDescent="0.25">
      <c r="A470" s="418">
        <v>41538</v>
      </c>
      <c r="B470" s="419">
        <v>0.77262731481481473</v>
      </c>
      <c r="C470" s="422" t="s">
        <v>1297</v>
      </c>
    </row>
    <row r="471" spans="1:3" ht="60" x14ac:dyDescent="0.25">
      <c r="A471" s="418">
        <v>41538</v>
      </c>
      <c r="B471" s="419">
        <v>0.77262731481481473</v>
      </c>
      <c r="C471" s="952" t="s">
        <v>1298</v>
      </c>
    </row>
    <row r="472" spans="1:3" x14ac:dyDescent="0.25">
      <c r="A472" s="418">
        <v>41538</v>
      </c>
      <c r="B472" s="419">
        <v>0.77265046296296302</v>
      </c>
      <c r="C472" s="422" t="s">
        <v>1396</v>
      </c>
    </row>
    <row r="473" spans="1:3" x14ac:dyDescent="0.25">
      <c r="A473" s="418">
        <v>41538</v>
      </c>
      <c r="B473" s="419">
        <v>0.77270833333333344</v>
      </c>
      <c r="C473" s="422" t="s">
        <v>1397</v>
      </c>
    </row>
    <row r="474" spans="1:3" x14ac:dyDescent="0.25">
      <c r="A474" s="418">
        <v>41538</v>
      </c>
      <c r="B474" s="419">
        <v>0.77270833333333344</v>
      </c>
      <c r="C474" s="422" t="s">
        <v>1395</v>
      </c>
    </row>
    <row r="475" spans="1:3" x14ac:dyDescent="0.25">
      <c r="A475" s="418">
        <v>41538</v>
      </c>
      <c r="B475" s="419">
        <v>0.77270833333333344</v>
      </c>
      <c r="C475" s="422" t="s">
        <v>1398</v>
      </c>
    </row>
    <row r="476" spans="1:3" x14ac:dyDescent="0.25">
      <c r="A476" s="418">
        <v>41538</v>
      </c>
      <c r="B476" s="419">
        <v>0.77270833333333344</v>
      </c>
      <c r="C476" s="422" t="s">
        <v>1399</v>
      </c>
    </row>
    <row r="477" spans="1:3" x14ac:dyDescent="0.25">
      <c r="A477" s="418">
        <v>41538</v>
      </c>
      <c r="B477" s="419">
        <v>0.77270833333333344</v>
      </c>
      <c r="C477" s="422" t="s">
        <v>1366</v>
      </c>
    </row>
    <row r="478" spans="1:3" x14ac:dyDescent="0.25">
      <c r="A478" s="418">
        <v>41538</v>
      </c>
      <c r="B478" s="419">
        <v>0.77273148148148152</v>
      </c>
      <c r="C478" s="422" t="s">
        <v>1365</v>
      </c>
    </row>
    <row r="479" spans="1:3" x14ac:dyDescent="0.25">
      <c r="A479" s="418">
        <v>41538</v>
      </c>
      <c r="B479" s="419">
        <v>0.77273148148148152</v>
      </c>
      <c r="C479" s="422" t="s">
        <v>1400</v>
      </c>
    </row>
    <row r="480" spans="1:3" x14ac:dyDescent="0.25">
      <c r="A480" s="418">
        <v>41538</v>
      </c>
      <c r="B480" s="419">
        <v>0.77273148148148152</v>
      </c>
      <c r="C480" s="422" t="s">
        <v>1384</v>
      </c>
    </row>
    <row r="481" spans="1:3" x14ac:dyDescent="0.25">
      <c r="A481" s="418">
        <v>41538</v>
      </c>
      <c r="B481" s="419">
        <v>0.77273148148148152</v>
      </c>
      <c r="C481" s="422" t="s">
        <v>1401</v>
      </c>
    </row>
    <row r="482" spans="1:3" x14ac:dyDescent="0.25">
      <c r="A482" s="418">
        <v>41538</v>
      </c>
      <c r="B482" s="419">
        <v>0.77273148148148152</v>
      </c>
      <c r="C482" s="422" t="s">
        <v>1402</v>
      </c>
    </row>
    <row r="483" spans="1:3" x14ac:dyDescent="0.25">
      <c r="A483" s="418">
        <v>41538</v>
      </c>
      <c r="B483" s="419">
        <v>0.77273148148148152</v>
      </c>
      <c r="C483" s="422" t="s">
        <v>1403</v>
      </c>
    </row>
    <row r="484" spans="1:3" x14ac:dyDescent="0.25">
      <c r="A484" s="418">
        <v>41538</v>
      </c>
      <c r="B484" s="419">
        <v>0.77273148148148152</v>
      </c>
      <c r="C484" s="422" t="s">
        <v>1403</v>
      </c>
    </row>
    <row r="485" spans="1:3" x14ac:dyDescent="0.25">
      <c r="A485" s="418">
        <v>41538</v>
      </c>
      <c r="B485" s="419">
        <v>0.77273148148148152</v>
      </c>
      <c r="C485" s="422" t="s">
        <v>1376</v>
      </c>
    </row>
    <row r="486" spans="1:3" x14ac:dyDescent="0.25">
      <c r="A486" s="418">
        <v>41538</v>
      </c>
      <c r="B486" s="419">
        <v>0.77273148148148152</v>
      </c>
      <c r="C486" s="422" t="s">
        <v>1356</v>
      </c>
    </row>
    <row r="487" spans="1:3" x14ac:dyDescent="0.25">
      <c r="A487" s="418">
        <v>41538</v>
      </c>
      <c r="B487" s="419">
        <v>0.77273148148148152</v>
      </c>
      <c r="C487" s="422" t="s">
        <v>1356</v>
      </c>
    </row>
    <row r="488" spans="1:3" x14ac:dyDescent="0.25">
      <c r="A488" s="418">
        <v>41538</v>
      </c>
      <c r="B488" s="419">
        <v>0.77273148148148152</v>
      </c>
      <c r="C488" s="422" t="s">
        <v>1404</v>
      </c>
    </row>
    <row r="489" spans="1:3" x14ac:dyDescent="0.25">
      <c r="A489" s="418">
        <v>41538</v>
      </c>
      <c r="B489" s="419">
        <v>0.77273148148148152</v>
      </c>
      <c r="C489" s="422" t="s">
        <v>1405</v>
      </c>
    </row>
    <row r="490" spans="1:3" x14ac:dyDescent="0.25">
      <c r="A490" s="418">
        <v>41538</v>
      </c>
      <c r="B490" s="419">
        <v>0.77274305555555556</v>
      </c>
      <c r="C490" s="422" t="s">
        <v>1395</v>
      </c>
    </row>
    <row r="491" spans="1:3" x14ac:dyDescent="0.25">
      <c r="A491" s="418">
        <v>41538</v>
      </c>
      <c r="B491" s="419">
        <v>0.77274305555555556</v>
      </c>
      <c r="C491" s="422" t="s">
        <v>1406</v>
      </c>
    </row>
    <row r="492" spans="1:3" x14ac:dyDescent="0.25">
      <c r="A492" s="418">
        <v>41538</v>
      </c>
      <c r="B492" s="419">
        <v>0.77274305555555556</v>
      </c>
      <c r="C492" s="422" t="s">
        <v>1406</v>
      </c>
    </row>
    <row r="493" spans="1:3" x14ac:dyDescent="0.25">
      <c r="A493" s="418">
        <v>41538</v>
      </c>
      <c r="B493" s="419">
        <v>0.77274305555555556</v>
      </c>
      <c r="C493" s="422" t="s">
        <v>1406</v>
      </c>
    </row>
    <row r="494" spans="1:3" x14ac:dyDescent="0.25">
      <c r="A494" s="418">
        <v>41538</v>
      </c>
      <c r="B494" s="419">
        <v>0.77274305555555556</v>
      </c>
      <c r="C494" s="422" t="s">
        <v>1365</v>
      </c>
    </row>
    <row r="495" spans="1:3" x14ac:dyDescent="0.25">
      <c r="A495" s="418">
        <v>41538</v>
      </c>
      <c r="B495" s="419">
        <v>0.77274305555555556</v>
      </c>
      <c r="C495" s="422" t="s">
        <v>1367</v>
      </c>
    </row>
    <row r="496" spans="1:3" x14ac:dyDescent="0.25">
      <c r="A496" s="418">
        <v>41538</v>
      </c>
      <c r="B496" s="419">
        <v>0.77274305555555556</v>
      </c>
      <c r="C496" s="422" t="s">
        <v>1367</v>
      </c>
    </row>
    <row r="497" spans="1:3" x14ac:dyDescent="0.25">
      <c r="A497" s="418">
        <v>41538</v>
      </c>
      <c r="B497" s="419">
        <v>0.77274305555555556</v>
      </c>
      <c r="C497" s="422" t="s">
        <v>1384</v>
      </c>
    </row>
    <row r="498" spans="1:3" x14ac:dyDescent="0.25">
      <c r="A498" s="418">
        <v>41538</v>
      </c>
      <c r="B498" s="419">
        <v>0.77274305555555556</v>
      </c>
      <c r="C498" s="422" t="s">
        <v>1367</v>
      </c>
    </row>
    <row r="499" spans="1:3" x14ac:dyDescent="0.25">
      <c r="A499" s="418">
        <v>41538</v>
      </c>
      <c r="B499" s="419">
        <v>0.77274305555555556</v>
      </c>
      <c r="C499" s="422" t="s">
        <v>1407</v>
      </c>
    </row>
    <row r="500" spans="1:3" x14ac:dyDescent="0.25">
      <c r="A500" s="418">
        <v>41538</v>
      </c>
      <c r="B500" s="419">
        <v>0.77274305555555556</v>
      </c>
      <c r="C500" s="422" t="s">
        <v>1349</v>
      </c>
    </row>
    <row r="501" spans="1:3" x14ac:dyDescent="0.25">
      <c r="A501" s="418">
        <v>41538</v>
      </c>
      <c r="B501" s="419">
        <v>0.77274305555555556</v>
      </c>
      <c r="C501" s="422" t="s">
        <v>1408</v>
      </c>
    </row>
    <row r="502" spans="1:3" x14ac:dyDescent="0.25">
      <c r="A502" s="418">
        <v>41538</v>
      </c>
      <c r="B502" s="419">
        <v>0.77274305555555556</v>
      </c>
      <c r="C502" s="422" t="s">
        <v>1409</v>
      </c>
    </row>
    <row r="503" spans="1:3" x14ac:dyDescent="0.25">
      <c r="A503" s="418">
        <v>41538</v>
      </c>
      <c r="B503" s="419">
        <v>0.77274305555555556</v>
      </c>
      <c r="C503" s="422" t="s">
        <v>1410</v>
      </c>
    </row>
    <row r="504" spans="1:3" x14ac:dyDescent="0.25">
      <c r="A504" s="418">
        <v>41538</v>
      </c>
      <c r="B504" s="419">
        <v>0.7727546296296296</v>
      </c>
      <c r="C504" s="422" t="s">
        <v>1365</v>
      </c>
    </row>
    <row r="505" spans="1:3" x14ac:dyDescent="0.25">
      <c r="A505" s="418">
        <v>41538</v>
      </c>
      <c r="B505" s="419">
        <v>0.7727546296296296</v>
      </c>
      <c r="C505" s="422" t="s">
        <v>1411</v>
      </c>
    </row>
    <row r="506" spans="1:3" x14ac:dyDescent="0.25">
      <c r="A506" s="418">
        <v>41538</v>
      </c>
      <c r="B506" s="419">
        <v>0.7727546296296296</v>
      </c>
      <c r="C506" s="422" t="s">
        <v>1321</v>
      </c>
    </row>
    <row r="507" spans="1:3" x14ac:dyDescent="0.25">
      <c r="A507" s="418">
        <v>41538</v>
      </c>
      <c r="B507" s="419">
        <v>0.7727546296296296</v>
      </c>
      <c r="C507" s="422" t="s">
        <v>1371</v>
      </c>
    </row>
    <row r="508" spans="1:3" x14ac:dyDescent="0.25">
      <c r="A508" s="418">
        <v>41538</v>
      </c>
      <c r="B508" s="419">
        <v>0.7727546296296296</v>
      </c>
      <c r="C508" s="422" t="s">
        <v>1371</v>
      </c>
    </row>
    <row r="509" spans="1:3" x14ac:dyDescent="0.25">
      <c r="A509" s="418">
        <v>41538</v>
      </c>
      <c r="B509" s="419">
        <v>0.7727546296296296</v>
      </c>
      <c r="C509" s="422" t="s">
        <v>1371</v>
      </c>
    </row>
    <row r="510" spans="1:3" x14ac:dyDescent="0.25">
      <c r="A510" s="418">
        <v>41538</v>
      </c>
      <c r="B510" s="419">
        <v>0.7727546296296296</v>
      </c>
      <c r="C510" s="422" t="s">
        <v>1371</v>
      </c>
    </row>
    <row r="511" spans="1:3" x14ac:dyDescent="0.25">
      <c r="A511" s="418">
        <v>41538</v>
      </c>
      <c r="B511" s="419">
        <v>0.7727546296296296</v>
      </c>
      <c r="C511" s="422" t="s">
        <v>1371</v>
      </c>
    </row>
    <row r="512" spans="1:3" x14ac:dyDescent="0.25">
      <c r="A512" s="418">
        <v>41538</v>
      </c>
      <c r="B512" s="419">
        <v>0.7727546296296296</v>
      </c>
      <c r="C512" s="422" t="s">
        <v>1412</v>
      </c>
    </row>
    <row r="513" spans="1:3" x14ac:dyDescent="0.25">
      <c r="A513" s="418">
        <v>41538</v>
      </c>
      <c r="B513" s="419">
        <v>0.7727546296296296</v>
      </c>
      <c r="C513" s="422" t="s">
        <v>1311</v>
      </c>
    </row>
    <row r="514" spans="1:3" x14ac:dyDescent="0.25">
      <c r="A514" s="418">
        <v>41538</v>
      </c>
      <c r="B514" s="419">
        <v>0.7727546296296296</v>
      </c>
      <c r="C514" s="422" t="s">
        <v>1413</v>
      </c>
    </row>
    <row r="515" spans="1:3" x14ac:dyDescent="0.25">
      <c r="A515" s="418">
        <v>41538</v>
      </c>
      <c r="B515" s="419">
        <v>0.7727546296296296</v>
      </c>
      <c r="C515" s="422" t="s">
        <v>1413</v>
      </c>
    </row>
    <row r="516" spans="1:3" x14ac:dyDescent="0.25">
      <c r="A516" s="418">
        <v>41538</v>
      </c>
      <c r="B516" s="419">
        <v>0.7727546296296296</v>
      </c>
      <c r="C516" s="422" t="s">
        <v>1414</v>
      </c>
    </row>
    <row r="517" spans="1:3" x14ac:dyDescent="0.25">
      <c r="A517" s="418">
        <v>41538</v>
      </c>
      <c r="B517" s="419">
        <v>0.7727546296296296</v>
      </c>
      <c r="C517" s="422" t="s">
        <v>1415</v>
      </c>
    </row>
    <row r="518" spans="1:3" x14ac:dyDescent="0.25">
      <c r="A518" s="418">
        <v>41538</v>
      </c>
      <c r="B518" s="419">
        <v>0.7727546296296296</v>
      </c>
      <c r="C518" s="422" t="s">
        <v>1416</v>
      </c>
    </row>
    <row r="519" spans="1:3" x14ac:dyDescent="0.25">
      <c r="A519" s="418">
        <v>41538</v>
      </c>
      <c r="B519" s="419">
        <v>0.7727546296296296</v>
      </c>
      <c r="C519" s="422" t="s">
        <v>1417</v>
      </c>
    </row>
    <row r="520" spans="1:3" x14ac:dyDescent="0.25">
      <c r="A520" s="418">
        <v>41538</v>
      </c>
      <c r="B520" s="419">
        <v>0.7727546296296296</v>
      </c>
      <c r="C520" s="422" t="s">
        <v>1376</v>
      </c>
    </row>
    <row r="521" spans="1:3" x14ac:dyDescent="0.25">
      <c r="A521" s="418">
        <v>41538</v>
      </c>
      <c r="B521" s="419">
        <v>0.7727546296296296</v>
      </c>
      <c r="C521" s="422" t="s">
        <v>1418</v>
      </c>
    </row>
    <row r="522" spans="1:3" x14ac:dyDescent="0.25">
      <c r="A522" s="418">
        <v>41538</v>
      </c>
      <c r="B522" s="419">
        <v>0.7727546296296296</v>
      </c>
      <c r="C522" s="422" t="s">
        <v>1412</v>
      </c>
    </row>
    <row r="523" spans="1:3" x14ac:dyDescent="0.25">
      <c r="A523" s="418">
        <v>41538</v>
      </c>
      <c r="B523" s="419">
        <v>0.7727546296296296</v>
      </c>
      <c r="C523" s="422" t="s">
        <v>1419</v>
      </c>
    </row>
    <row r="524" spans="1:3" x14ac:dyDescent="0.25">
      <c r="A524" s="418">
        <v>41538</v>
      </c>
      <c r="B524" s="419">
        <v>0.7727546296296296</v>
      </c>
      <c r="C524" s="422" t="s">
        <v>1420</v>
      </c>
    </row>
    <row r="525" spans="1:3" x14ac:dyDescent="0.25">
      <c r="A525" s="418">
        <v>41538</v>
      </c>
      <c r="B525" s="419">
        <v>0.77276620370370364</v>
      </c>
      <c r="C525" s="422" t="s">
        <v>1420</v>
      </c>
    </row>
    <row r="526" spans="1:3" x14ac:dyDescent="0.25">
      <c r="A526" s="418">
        <v>41538</v>
      </c>
      <c r="B526" s="419">
        <v>0.77278935185185194</v>
      </c>
      <c r="C526" s="422" t="s">
        <v>1421</v>
      </c>
    </row>
    <row r="527" spans="1:3" x14ac:dyDescent="0.25">
      <c r="A527" s="418">
        <v>41538</v>
      </c>
      <c r="B527" s="419">
        <v>0.77278935185185194</v>
      </c>
      <c r="C527" s="422" t="s">
        <v>1351</v>
      </c>
    </row>
    <row r="528" spans="1:3" x14ac:dyDescent="0.25">
      <c r="A528" s="418">
        <v>41538</v>
      </c>
      <c r="B528" s="419">
        <v>0.77278935185185194</v>
      </c>
      <c r="C528" s="422" t="s">
        <v>1422</v>
      </c>
    </row>
    <row r="529" spans="1:3" x14ac:dyDescent="0.25">
      <c r="A529" s="418">
        <v>41538</v>
      </c>
      <c r="B529" s="419">
        <v>0.77278935185185194</v>
      </c>
      <c r="C529" s="422" t="s">
        <v>1422</v>
      </c>
    </row>
    <row r="530" spans="1:3" x14ac:dyDescent="0.25">
      <c r="A530" s="418">
        <v>41538</v>
      </c>
      <c r="B530" s="419">
        <v>0.77278935185185194</v>
      </c>
      <c r="C530" s="422" t="s">
        <v>1423</v>
      </c>
    </row>
    <row r="531" spans="1:3" x14ac:dyDescent="0.25">
      <c r="A531" s="418">
        <v>41538</v>
      </c>
      <c r="B531" s="419">
        <v>0.77278935185185194</v>
      </c>
      <c r="C531" s="422" t="s">
        <v>1424</v>
      </c>
    </row>
    <row r="532" spans="1:3" x14ac:dyDescent="0.25">
      <c r="A532" s="418">
        <v>41538</v>
      </c>
      <c r="B532" s="419">
        <v>0.77278935185185194</v>
      </c>
      <c r="C532" s="422" t="s">
        <v>1425</v>
      </c>
    </row>
    <row r="533" spans="1:3" x14ac:dyDescent="0.25">
      <c r="A533" s="418">
        <v>41538</v>
      </c>
      <c r="B533" s="419">
        <v>0.77278935185185194</v>
      </c>
      <c r="C533" s="422" t="s">
        <v>1426</v>
      </c>
    </row>
    <row r="534" spans="1:3" x14ac:dyDescent="0.25">
      <c r="A534" s="418">
        <v>41538</v>
      </c>
      <c r="B534" s="419">
        <v>0.77278935185185194</v>
      </c>
      <c r="C534" s="422" t="s">
        <v>1427</v>
      </c>
    </row>
    <row r="535" spans="1:3" x14ac:dyDescent="0.25">
      <c r="A535" s="418">
        <v>41538</v>
      </c>
      <c r="B535" s="419">
        <v>0.77278935185185194</v>
      </c>
      <c r="C535" s="422" t="s">
        <v>1428</v>
      </c>
    </row>
    <row r="536" spans="1:3" x14ac:dyDescent="0.25">
      <c r="A536" s="418">
        <v>41538</v>
      </c>
      <c r="B536" s="419">
        <v>0.77278935185185194</v>
      </c>
      <c r="C536" s="422" t="s">
        <v>1429</v>
      </c>
    </row>
    <row r="537" spans="1:3" x14ac:dyDescent="0.25">
      <c r="A537" s="418">
        <v>41538</v>
      </c>
      <c r="B537" s="419">
        <v>0.77278935185185194</v>
      </c>
      <c r="C537" s="422" t="s">
        <v>1430</v>
      </c>
    </row>
    <row r="538" spans="1:3" x14ac:dyDescent="0.25">
      <c r="A538" s="418">
        <v>41538</v>
      </c>
      <c r="B538" s="419">
        <v>0.77278935185185194</v>
      </c>
      <c r="C538" s="422" t="s">
        <v>1431</v>
      </c>
    </row>
    <row r="539" spans="1:3" x14ac:dyDescent="0.25">
      <c r="A539" s="418">
        <v>41538</v>
      </c>
      <c r="B539" s="419">
        <v>0.77278935185185194</v>
      </c>
      <c r="C539" s="422" t="s">
        <v>1323</v>
      </c>
    </row>
    <row r="540" spans="1:3" x14ac:dyDescent="0.25">
      <c r="A540" s="418">
        <v>41538</v>
      </c>
      <c r="B540" s="419">
        <v>0.77278935185185194</v>
      </c>
      <c r="C540" s="422" t="s">
        <v>1432</v>
      </c>
    </row>
    <row r="541" spans="1:3" x14ac:dyDescent="0.25">
      <c r="A541" s="418">
        <v>41538</v>
      </c>
      <c r="B541" s="419">
        <v>0.77278935185185194</v>
      </c>
      <c r="C541" s="422" t="s">
        <v>1433</v>
      </c>
    </row>
    <row r="542" spans="1:3" x14ac:dyDescent="0.25">
      <c r="A542" s="418">
        <v>41538</v>
      </c>
      <c r="B542" s="419">
        <v>0.77278935185185194</v>
      </c>
      <c r="C542" s="422" t="s">
        <v>1434</v>
      </c>
    </row>
    <row r="543" spans="1:3" x14ac:dyDescent="0.25">
      <c r="A543" s="418">
        <v>41538</v>
      </c>
      <c r="B543" s="419">
        <v>0.77278935185185194</v>
      </c>
      <c r="C543" s="422" t="s">
        <v>1311</v>
      </c>
    </row>
    <row r="544" spans="1:3" x14ac:dyDescent="0.25">
      <c r="A544" s="418">
        <v>41538</v>
      </c>
      <c r="B544" s="419">
        <v>0.77278935185185194</v>
      </c>
      <c r="C544" s="422" t="s">
        <v>1363</v>
      </c>
    </row>
    <row r="545" spans="1:3" x14ac:dyDescent="0.25">
      <c r="A545" s="418">
        <v>41538</v>
      </c>
      <c r="B545" s="419">
        <v>0.77278935185185194</v>
      </c>
      <c r="C545" s="422" t="s">
        <v>1435</v>
      </c>
    </row>
    <row r="546" spans="1:3" x14ac:dyDescent="0.25">
      <c r="A546" s="418">
        <v>41538</v>
      </c>
      <c r="B546" s="419">
        <v>0.77278935185185194</v>
      </c>
      <c r="C546" s="422" t="s">
        <v>1435</v>
      </c>
    </row>
    <row r="547" spans="1:3" x14ac:dyDescent="0.25">
      <c r="A547" s="418">
        <v>41538</v>
      </c>
      <c r="B547" s="419">
        <v>0.77278935185185194</v>
      </c>
      <c r="C547" s="422" t="s">
        <v>1435</v>
      </c>
    </row>
    <row r="548" spans="1:3" x14ac:dyDescent="0.25">
      <c r="A548" s="418">
        <v>41538</v>
      </c>
      <c r="B548" s="419">
        <v>0.77280092592592586</v>
      </c>
      <c r="C548" s="422" t="s">
        <v>1284</v>
      </c>
    </row>
    <row r="549" spans="1:3" ht="60" x14ac:dyDescent="0.25">
      <c r="A549" s="418">
        <v>41538</v>
      </c>
      <c r="B549" s="419">
        <v>0.77280092592592586</v>
      </c>
      <c r="C549" s="952" t="s">
        <v>1285</v>
      </c>
    </row>
    <row r="550" spans="1:3" x14ac:dyDescent="0.25">
      <c r="A550" s="418">
        <v>41538</v>
      </c>
      <c r="B550" s="419">
        <v>0.77282407407407405</v>
      </c>
      <c r="C550" s="422" t="s">
        <v>1416</v>
      </c>
    </row>
    <row r="551" spans="1:3" x14ac:dyDescent="0.25">
      <c r="A551" s="418">
        <v>41538</v>
      </c>
      <c r="B551" s="419">
        <v>0.77282407407407405</v>
      </c>
      <c r="C551" s="422" t="s">
        <v>1436</v>
      </c>
    </row>
    <row r="552" spans="1:3" x14ac:dyDescent="0.25">
      <c r="A552" s="418">
        <v>41538</v>
      </c>
      <c r="B552" s="419">
        <v>0.77282407407407405</v>
      </c>
      <c r="C552" s="422" t="s">
        <v>1437</v>
      </c>
    </row>
    <row r="553" spans="1:3" x14ac:dyDescent="0.25">
      <c r="A553" s="418">
        <v>41538</v>
      </c>
      <c r="B553" s="419">
        <v>0.77282407407407405</v>
      </c>
      <c r="C553" s="422" t="s">
        <v>1438</v>
      </c>
    </row>
    <row r="554" spans="1:3" x14ac:dyDescent="0.25">
      <c r="A554" s="418">
        <v>41538</v>
      </c>
      <c r="B554" s="419">
        <v>0.77282407407407405</v>
      </c>
      <c r="C554" s="422" t="s">
        <v>1439</v>
      </c>
    </row>
    <row r="555" spans="1:3" x14ac:dyDescent="0.25">
      <c r="A555" s="418">
        <v>41538</v>
      </c>
      <c r="B555" s="419">
        <v>0.77282407407407405</v>
      </c>
      <c r="C555" s="422" t="s">
        <v>1440</v>
      </c>
    </row>
    <row r="556" spans="1:3" x14ac:dyDescent="0.25">
      <c r="A556" s="418">
        <v>41538</v>
      </c>
      <c r="B556" s="419">
        <v>0.77282407407407405</v>
      </c>
      <c r="C556" s="422" t="s">
        <v>1441</v>
      </c>
    </row>
    <row r="557" spans="1:3" x14ac:dyDescent="0.25">
      <c r="A557" s="418">
        <v>41538</v>
      </c>
      <c r="B557" s="419">
        <v>0.77282407407407405</v>
      </c>
      <c r="C557" s="422" t="s">
        <v>1442</v>
      </c>
    </row>
    <row r="558" spans="1:3" x14ac:dyDescent="0.25">
      <c r="A558" s="418">
        <v>41538</v>
      </c>
      <c r="B558" s="419">
        <v>0.77282407407407405</v>
      </c>
      <c r="C558" s="422" t="s">
        <v>1410</v>
      </c>
    </row>
    <row r="559" spans="1:3" x14ac:dyDescent="0.25">
      <c r="A559" s="418">
        <v>41538</v>
      </c>
      <c r="B559" s="419">
        <v>0.77292824074074085</v>
      </c>
      <c r="C559" s="422" t="s">
        <v>1443</v>
      </c>
    </row>
    <row r="560" spans="1:3" x14ac:dyDescent="0.25">
      <c r="A560" s="418">
        <v>41538</v>
      </c>
      <c r="B560" s="419">
        <v>0.77292824074074085</v>
      </c>
      <c r="C560" s="422" t="s">
        <v>1444</v>
      </c>
    </row>
    <row r="561" spans="1:3" x14ac:dyDescent="0.25">
      <c r="A561" s="418">
        <v>41538</v>
      </c>
      <c r="B561" s="419">
        <v>0.77292824074074085</v>
      </c>
      <c r="C561" s="422" t="s">
        <v>1323</v>
      </c>
    </row>
    <row r="562" spans="1:3" x14ac:dyDescent="0.25">
      <c r="A562" s="418">
        <v>41538</v>
      </c>
      <c r="B562" s="419">
        <v>0.77292824074074085</v>
      </c>
      <c r="C562" s="422" t="s">
        <v>1445</v>
      </c>
    </row>
    <row r="563" spans="1:3" x14ac:dyDescent="0.25">
      <c r="A563" s="418">
        <v>41538</v>
      </c>
      <c r="B563" s="419">
        <v>0.77292824074074085</v>
      </c>
      <c r="C563" s="422" t="s">
        <v>1446</v>
      </c>
    </row>
    <row r="564" spans="1:3" x14ac:dyDescent="0.25">
      <c r="A564" s="418">
        <v>41538</v>
      </c>
      <c r="B564" s="419">
        <v>0.77292824074074085</v>
      </c>
      <c r="C564" s="422" t="s">
        <v>1447</v>
      </c>
    </row>
    <row r="565" spans="1:3" x14ac:dyDescent="0.25">
      <c r="A565" s="418">
        <v>41538</v>
      </c>
      <c r="B565" s="419">
        <v>0.77292824074074085</v>
      </c>
      <c r="C565" s="422" t="s">
        <v>1448</v>
      </c>
    </row>
    <row r="566" spans="1:3" x14ac:dyDescent="0.25">
      <c r="A566" s="418">
        <v>41538</v>
      </c>
      <c r="B566" s="419">
        <v>0.77292824074074085</v>
      </c>
      <c r="C566" s="422" t="s">
        <v>1449</v>
      </c>
    </row>
    <row r="567" spans="1:3" x14ac:dyDescent="0.25">
      <c r="A567" s="418">
        <v>41538</v>
      </c>
      <c r="B567" s="419">
        <v>0.77292824074074085</v>
      </c>
      <c r="C567" s="422" t="s">
        <v>1238</v>
      </c>
    </row>
    <row r="568" spans="1:3" x14ac:dyDescent="0.25">
      <c r="A568" s="418">
        <v>41538</v>
      </c>
      <c r="B568" s="419">
        <v>0.77292824074074085</v>
      </c>
      <c r="C568" s="422" t="s">
        <v>1450</v>
      </c>
    </row>
    <row r="569" spans="1:3" x14ac:dyDescent="0.25">
      <c r="A569" s="418">
        <v>41538</v>
      </c>
      <c r="B569" s="419">
        <v>0.77292824074074085</v>
      </c>
      <c r="C569" s="422" t="s">
        <v>1392</v>
      </c>
    </row>
    <row r="570" spans="1:3" x14ac:dyDescent="0.25">
      <c r="A570" s="418">
        <v>41538</v>
      </c>
      <c r="B570" s="419">
        <v>0.77292824074074085</v>
      </c>
      <c r="C570" s="422" t="s">
        <v>1451</v>
      </c>
    </row>
    <row r="571" spans="1:3" x14ac:dyDescent="0.25">
      <c r="A571" s="418">
        <v>41538</v>
      </c>
      <c r="B571" s="419">
        <v>0.77292824074074085</v>
      </c>
      <c r="C571" s="422" t="s">
        <v>1452</v>
      </c>
    </row>
    <row r="572" spans="1:3" x14ac:dyDescent="0.25">
      <c r="A572" s="418">
        <v>41538</v>
      </c>
      <c r="B572" s="419">
        <v>0.77295138888888892</v>
      </c>
      <c r="C572" s="422" t="s">
        <v>1453</v>
      </c>
    </row>
    <row r="573" spans="1:3" x14ac:dyDescent="0.25">
      <c r="A573" s="418">
        <v>41538</v>
      </c>
      <c r="B573" s="419">
        <v>0.77295138888888892</v>
      </c>
      <c r="C573" s="422" t="s">
        <v>1453</v>
      </c>
    </row>
    <row r="574" spans="1:3" x14ac:dyDescent="0.25">
      <c r="A574" s="418">
        <v>41538</v>
      </c>
      <c r="B574" s="419">
        <v>0.77295138888888892</v>
      </c>
      <c r="C574" s="422" t="s">
        <v>1453</v>
      </c>
    </row>
    <row r="575" spans="1:3" x14ac:dyDescent="0.25">
      <c r="A575" s="418">
        <v>41538</v>
      </c>
      <c r="B575" s="419">
        <v>0.77295138888888892</v>
      </c>
      <c r="C575" s="422" t="s">
        <v>1453</v>
      </c>
    </row>
    <row r="576" spans="1:3" x14ac:dyDescent="0.25">
      <c r="A576" s="418">
        <v>41538</v>
      </c>
      <c r="B576" s="419">
        <v>0.77295138888888892</v>
      </c>
      <c r="C576" s="422" t="s">
        <v>1453</v>
      </c>
    </row>
    <row r="577" spans="1:3" x14ac:dyDescent="0.25">
      <c r="A577" s="418">
        <v>41538</v>
      </c>
      <c r="B577" s="419">
        <v>0.77295138888888892</v>
      </c>
      <c r="C577" s="422" t="s">
        <v>1453</v>
      </c>
    </row>
    <row r="578" spans="1:3" x14ac:dyDescent="0.25">
      <c r="A578" s="418">
        <v>41538</v>
      </c>
      <c r="B578" s="419">
        <v>0.77295138888888892</v>
      </c>
      <c r="C578" s="422" t="s">
        <v>1453</v>
      </c>
    </row>
    <row r="579" spans="1:3" x14ac:dyDescent="0.25">
      <c r="A579" s="418">
        <v>41538</v>
      </c>
      <c r="B579" s="419">
        <v>0.77295138888888892</v>
      </c>
      <c r="C579" s="422" t="s">
        <v>1451</v>
      </c>
    </row>
    <row r="580" spans="1:3" x14ac:dyDescent="0.25">
      <c r="A580" s="418">
        <v>41538</v>
      </c>
      <c r="B580" s="419">
        <v>0.77295138888888892</v>
      </c>
      <c r="C580" s="422" t="s">
        <v>1402</v>
      </c>
    </row>
    <row r="581" spans="1:3" x14ac:dyDescent="0.25">
      <c r="A581" s="418">
        <v>41538</v>
      </c>
      <c r="B581" s="419">
        <v>0.77295138888888892</v>
      </c>
      <c r="C581" s="422" t="s">
        <v>1312</v>
      </c>
    </row>
    <row r="582" spans="1:3" x14ac:dyDescent="0.25">
      <c r="A582" s="418">
        <v>41538</v>
      </c>
      <c r="B582" s="419">
        <v>0.77295138888888892</v>
      </c>
      <c r="C582" s="422" t="s">
        <v>1454</v>
      </c>
    </row>
    <row r="583" spans="1:3" x14ac:dyDescent="0.25">
      <c r="A583" s="418">
        <v>41538</v>
      </c>
      <c r="B583" s="419">
        <v>0.77295138888888892</v>
      </c>
      <c r="C583" s="422" t="s">
        <v>1455</v>
      </c>
    </row>
    <row r="584" spans="1:3" x14ac:dyDescent="0.25">
      <c r="A584" s="418">
        <v>41538</v>
      </c>
      <c r="B584" s="419">
        <v>0.77295138888888892</v>
      </c>
      <c r="C584" s="422" t="s">
        <v>1456</v>
      </c>
    </row>
    <row r="585" spans="1:3" x14ac:dyDescent="0.25">
      <c r="A585" s="418">
        <v>41538</v>
      </c>
      <c r="B585" s="419">
        <v>0.77401620370370372</v>
      </c>
      <c r="C585" s="422" t="s">
        <v>1457</v>
      </c>
    </row>
    <row r="586" spans="1:3" x14ac:dyDescent="0.25">
      <c r="A586" s="418">
        <v>41538</v>
      </c>
      <c r="B586" s="419">
        <v>0.77402777777777787</v>
      </c>
      <c r="C586" s="422" t="s">
        <v>1458</v>
      </c>
    </row>
    <row r="587" spans="1:3" ht="45" x14ac:dyDescent="0.25">
      <c r="A587" s="418">
        <v>41538</v>
      </c>
      <c r="B587" s="419">
        <v>0.78557870370370375</v>
      </c>
      <c r="C587" s="952" t="s">
        <v>1459</v>
      </c>
    </row>
    <row r="588" spans="1:3" ht="30" x14ac:dyDescent="0.25">
      <c r="A588" s="418">
        <v>41538</v>
      </c>
      <c r="B588" s="419">
        <v>0.78567129629629628</v>
      </c>
      <c r="C588" s="952" t="s">
        <v>1460</v>
      </c>
    </row>
    <row r="589" spans="1:3" ht="45" x14ac:dyDescent="0.25">
      <c r="A589" s="418">
        <v>41538</v>
      </c>
      <c r="B589" s="419">
        <v>0.78575231481481478</v>
      </c>
      <c r="C589" s="952" t="s">
        <v>1461</v>
      </c>
    </row>
    <row r="590" spans="1:3" ht="45" x14ac:dyDescent="0.25">
      <c r="A590" s="418">
        <v>41538</v>
      </c>
      <c r="B590" s="419">
        <v>0.78688657407407403</v>
      </c>
      <c r="C590" s="952" t="s">
        <v>1462</v>
      </c>
    </row>
    <row r="591" spans="1:3" x14ac:dyDescent="0.25">
      <c r="A591" s="418">
        <v>41538</v>
      </c>
      <c r="B591" s="419">
        <v>0.78763888888888889</v>
      </c>
      <c r="C591" s="422" t="s">
        <v>1238</v>
      </c>
    </row>
    <row r="592" spans="1:3" x14ac:dyDescent="0.25">
      <c r="A592" s="418">
        <v>41538</v>
      </c>
      <c r="B592" s="419">
        <v>0.78763888888888889</v>
      </c>
      <c r="C592" s="422" t="s">
        <v>1310</v>
      </c>
    </row>
    <row r="593" spans="1:3" x14ac:dyDescent="0.25">
      <c r="A593" s="418">
        <v>41538</v>
      </c>
      <c r="B593" s="419">
        <v>0.78763888888888889</v>
      </c>
      <c r="C593" s="422" t="s">
        <v>1311</v>
      </c>
    </row>
    <row r="594" spans="1:3" x14ac:dyDescent="0.25">
      <c r="A594" s="418">
        <v>41538</v>
      </c>
      <c r="B594" s="419">
        <v>0.78763888888888889</v>
      </c>
      <c r="C594" s="422" t="s">
        <v>1312</v>
      </c>
    </row>
    <row r="595" spans="1:3" x14ac:dyDescent="0.25">
      <c r="A595" s="418">
        <v>41538</v>
      </c>
      <c r="B595" s="419">
        <v>0.78763888888888889</v>
      </c>
      <c r="C595" s="422" t="s">
        <v>1313</v>
      </c>
    </row>
    <row r="596" spans="1:3" x14ac:dyDescent="0.25">
      <c r="A596" s="418">
        <v>41538</v>
      </c>
      <c r="B596" s="419">
        <v>0.78763888888888889</v>
      </c>
      <c r="C596" s="422" t="s">
        <v>1314</v>
      </c>
    </row>
    <row r="597" spans="1:3" x14ac:dyDescent="0.25">
      <c r="A597" s="418">
        <v>41538</v>
      </c>
      <c r="B597" s="419">
        <v>0.78763888888888889</v>
      </c>
      <c r="C597" s="422" t="s">
        <v>1315</v>
      </c>
    </row>
    <row r="598" spans="1:3" x14ac:dyDescent="0.25">
      <c r="A598" s="418">
        <v>41538</v>
      </c>
      <c r="B598" s="419">
        <v>0.78763888888888889</v>
      </c>
      <c r="C598" s="422" t="s">
        <v>1316</v>
      </c>
    </row>
    <row r="599" spans="1:3" x14ac:dyDescent="0.25">
      <c r="A599" s="418">
        <v>41538</v>
      </c>
      <c r="B599" s="419">
        <v>0.78763888888888889</v>
      </c>
      <c r="C599" s="422" t="s">
        <v>1313</v>
      </c>
    </row>
    <row r="600" spans="1:3" x14ac:dyDescent="0.25">
      <c r="A600" s="418">
        <v>41538</v>
      </c>
      <c r="B600" s="419">
        <v>0.78763888888888889</v>
      </c>
      <c r="C600" s="422" t="s">
        <v>1317</v>
      </c>
    </row>
    <row r="601" spans="1:3" x14ac:dyDescent="0.25">
      <c r="A601" s="418">
        <v>41538</v>
      </c>
      <c r="B601" s="419">
        <v>0.78763888888888889</v>
      </c>
      <c r="C601" s="422" t="s">
        <v>1318</v>
      </c>
    </row>
    <row r="602" spans="1:3" x14ac:dyDescent="0.25">
      <c r="A602" s="418">
        <v>41538</v>
      </c>
      <c r="B602" s="419">
        <v>0.78765046296296293</v>
      </c>
      <c r="C602" s="422" t="s">
        <v>1463</v>
      </c>
    </row>
    <row r="603" spans="1:3" x14ac:dyDescent="0.25">
      <c r="A603" s="418">
        <v>41538</v>
      </c>
      <c r="B603" s="419">
        <v>0.78765046296296293</v>
      </c>
      <c r="C603" s="422" t="s">
        <v>1464</v>
      </c>
    </row>
    <row r="604" spans="1:3" x14ac:dyDescent="0.25">
      <c r="A604" s="418">
        <v>41538</v>
      </c>
      <c r="B604" s="419">
        <v>0.78765046296296293</v>
      </c>
      <c r="C604" s="422" t="s">
        <v>1313</v>
      </c>
    </row>
    <row r="605" spans="1:3" x14ac:dyDescent="0.25">
      <c r="A605" s="418">
        <v>41538</v>
      </c>
      <c r="B605" s="419">
        <v>0.78765046296296293</v>
      </c>
      <c r="C605" s="422" t="s">
        <v>1238</v>
      </c>
    </row>
    <row r="606" spans="1:3" x14ac:dyDescent="0.25">
      <c r="A606" s="418">
        <v>41538</v>
      </c>
      <c r="B606" s="419">
        <v>0.78765046296296293</v>
      </c>
      <c r="C606" s="422" t="s">
        <v>1465</v>
      </c>
    </row>
    <row r="607" spans="1:3" x14ac:dyDescent="0.25">
      <c r="A607" s="418">
        <v>41538</v>
      </c>
      <c r="B607" s="419">
        <v>0.78765046296296293</v>
      </c>
      <c r="C607" s="422" t="s">
        <v>1319</v>
      </c>
    </row>
    <row r="608" spans="1:3" x14ac:dyDescent="0.25">
      <c r="A608" s="418">
        <v>41538</v>
      </c>
      <c r="B608" s="419">
        <v>0.78765046296296293</v>
      </c>
      <c r="C608" s="422" t="s">
        <v>1319</v>
      </c>
    </row>
    <row r="609" spans="1:3" x14ac:dyDescent="0.25">
      <c r="A609" s="418">
        <v>41538</v>
      </c>
      <c r="B609" s="419">
        <v>0.78765046296296293</v>
      </c>
      <c r="C609" s="422" t="s">
        <v>1320</v>
      </c>
    </row>
    <row r="610" spans="1:3" x14ac:dyDescent="0.25">
      <c r="A610" s="418">
        <v>41538</v>
      </c>
      <c r="B610" s="419">
        <v>0.78765046296296293</v>
      </c>
      <c r="C610" s="422" t="s">
        <v>1312</v>
      </c>
    </row>
    <row r="611" spans="1:3" x14ac:dyDescent="0.25">
      <c r="A611" s="418">
        <v>41538</v>
      </c>
      <c r="B611" s="419">
        <v>0.78765046296296293</v>
      </c>
      <c r="C611" s="422" t="s">
        <v>1321</v>
      </c>
    </row>
    <row r="612" spans="1:3" x14ac:dyDescent="0.25">
      <c r="A612" s="418">
        <v>41538</v>
      </c>
      <c r="B612" s="419">
        <v>0.78765046296296293</v>
      </c>
      <c r="C612" s="422" t="s">
        <v>1322</v>
      </c>
    </row>
    <row r="613" spans="1:3" x14ac:dyDescent="0.25">
      <c r="A613" s="418">
        <v>41538</v>
      </c>
      <c r="B613" s="419">
        <v>0.78765046296296293</v>
      </c>
      <c r="C613" s="422" t="s">
        <v>1323</v>
      </c>
    </row>
    <row r="614" spans="1:3" x14ac:dyDescent="0.25">
      <c r="A614" s="418">
        <v>41538</v>
      </c>
      <c r="B614" s="419">
        <v>0.78765046296296293</v>
      </c>
      <c r="C614" s="422" t="s">
        <v>1321</v>
      </c>
    </row>
    <row r="615" spans="1:3" x14ac:dyDescent="0.25">
      <c r="A615" s="418">
        <v>41538</v>
      </c>
      <c r="B615" s="419">
        <v>0.78765046296296293</v>
      </c>
      <c r="C615" s="422" t="s">
        <v>1310</v>
      </c>
    </row>
    <row r="616" spans="1:3" x14ac:dyDescent="0.25">
      <c r="A616" s="418">
        <v>41538</v>
      </c>
      <c r="B616" s="419">
        <v>0.78765046296296293</v>
      </c>
      <c r="C616" s="422" t="s">
        <v>1324</v>
      </c>
    </row>
    <row r="617" spans="1:3" x14ac:dyDescent="0.25">
      <c r="A617" s="418">
        <v>41538</v>
      </c>
      <c r="B617" s="419">
        <v>0.78765046296296293</v>
      </c>
      <c r="C617" s="422" t="s">
        <v>1325</v>
      </c>
    </row>
    <row r="618" spans="1:3" x14ac:dyDescent="0.25">
      <c r="A618" s="418">
        <v>41538</v>
      </c>
      <c r="B618" s="419">
        <v>0.78765046296296293</v>
      </c>
      <c r="C618" s="422" t="s">
        <v>1325</v>
      </c>
    </row>
    <row r="619" spans="1:3" x14ac:dyDescent="0.25">
      <c r="A619" s="418">
        <v>41538</v>
      </c>
      <c r="B619" s="419">
        <v>0.78765046296296293</v>
      </c>
      <c r="C619" s="422" t="s">
        <v>1326</v>
      </c>
    </row>
    <row r="620" spans="1:3" x14ac:dyDescent="0.25">
      <c r="A620" s="418">
        <v>41538</v>
      </c>
      <c r="B620" s="419">
        <v>0.78765046296296293</v>
      </c>
      <c r="C620" s="422" t="s">
        <v>1327</v>
      </c>
    </row>
    <row r="621" spans="1:3" x14ac:dyDescent="0.25">
      <c r="A621" s="418">
        <v>41538</v>
      </c>
      <c r="B621" s="419">
        <v>0.78765046296296293</v>
      </c>
      <c r="C621" s="422" t="s">
        <v>1313</v>
      </c>
    </row>
    <row r="622" spans="1:3" x14ac:dyDescent="0.25">
      <c r="A622" s="418">
        <v>41538</v>
      </c>
      <c r="B622" s="419">
        <v>0.78765046296296293</v>
      </c>
      <c r="C622" s="422" t="s">
        <v>1328</v>
      </c>
    </row>
    <row r="623" spans="1:3" x14ac:dyDescent="0.25">
      <c r="A623" s="418">
        <v>41538</v>
      </c>
      <c r="B623" s="419">
        <v>0.78765046296296293</v>
      </c>
      <c r="C623" s="422" t="s">
        <v>1329</v>
      </c>
    </row>
    <row r="624" spans="1:3" x14ac:dyDescent="0.25">
      <c r="A624" s="418">
        <v>41538</v>
      </c>
      <c r="B624" s="419">
        <v>0.78765046296296293</v>
      </c>
      <c r="C624" s="422" t="s">
        <v>1330</v>
      </c>
    </row>
    <row r="625" spans="1:3" x14ac:dyDescent="0.25">
      <c r="A625" s="418">
        <v>41538</v>
      </c>
      <c r="B625" s="419">
        <v>0.78773148148148142</v>
      </c>
      <c r="C625" s="422" t="s">
        <v>1331</v>
      </c>
    </row>
    <row r="626" spans="1:3" ht="60" x14ac:dyDescent="0.25">
      <c r="A626" s="418">
        <v>41538</v>
      </c>
      <c r="B626" s="419">
        <v>0.78773148148148142</v>
      </c>
      <c r="C626" s="952" t="s">
        <v>1344</v>
      </c>
    </row>
    <row r="627" spans="1:3" x14ac:dyDescent="0.25">
      <c r="A627" s="418">
        <v>41538</v>
      </c>
      <c r="B627" s="419">
        <v>0.78778935185185184</v>
      </c>
      <c r="C627" s="422" t="s">
        <v>1326</v>
      </c>
    </row>
    <row r="628" spans="1:3" x14ac:dyDescent="0.25">
      <c r="A628" s="418">
        <v>41538</v>
      </c>
      <c r="B628" s="419">
        <v>0.78778935185185184</v>
      </c>
      <c r="C628" s="422" t="s">
        <v>1345</v>
      </c>
    </row>
    <row r="629" spans="1:3" x14ac:dyDescent="0.25">
      <c r="A629" s="418">
        <v>41538</v>
      </c>
      <c r="B629" s="419">
        <v>0.78778935185185184</v>
      </c>
      <c r="C629" s="422" t="s">
        <v>1346</v>
      </c>
    </row>
    <row r="630" spans="1:3" x14ac:dyDescent="0.25">
      <c r="A630" s="418">
        <v>41538</v>
      </c>
      <c r="B630" s="419">
        <v>0.78778935185185184</v>
      </c>
      <c r="C630" s="422" t="s">
        <v>1347</v>
      </c>
    </row>
    <row r="631" spans="1:3" x14ac:dyDescent="0.25">
      <c r="A631" s="418">
        <v>41538</v>
      </c>
      <c r="B631" s="419">
        <v>0.78778935185185184</v>
      </c>
      <c r="C631" s="422" t="s">
        <v>1347</v>
      </c>
    </row>
    <row r="632" spans="1:3" x14ac:dyDescent="0.25">
      <c r="A632" s="418">
        <v>41538</v>
      </c>
      <c r="B632" s="419">
        <v>0.78778935185185184</v>
      </c>
      <c r="C632" s="422" t="s">
        <v>1313</v>
      </c>
    </row>
    <row r="633" spans="1:3" x14ac:dyDescent="0.25">
      <c r="A633" s="418">
        <v>41538</v>
      </c>
      <c r="B633" s="419">
        <v>0.78778935185185184</v>
      </c>
      <c r="C633" s="422" t="s">
        <v>1348</v>
      </c>
    </row>
    <row r="634" spans="1:3" x14ac:dyDescent="0.25">
      <c r="A634" s="418">
        <v>41538</v>
      </c>
      <c r="B634" s="419">
        <v>0.78778935185185184</v>
      </c>
      <c r="C634" s="422" t="s">
        <v>1349</v>
      </c>
    </row>
    <row r="635" spans="1:3" x14ac:dyDescent="0.25">
      <c r="A635" s="418">
        <v>41538</v>
      </c>
      <c r="B635" s="419">
        <v>0.78778935185185184</v>
      </c>
      <c r="C635" s="422" t="s">
        <v>1350</v>
      </c>
    </row>
    <row r="636" spans="1:3" x14ac:dyDescent="0.25">
      <c r="A636" s="418">
        <v>41538</v>
      </c>
      <c r="B636" s="419">
        <v>0.78778935185185184</v>
      </c>
      <c r="C636" s="422" t="s">
        <v>1351</v>
      </c>
    </row>
    <row r="637" spans="1:3" x14ac:dyDescent="0.25">
      <c r="A637" s="418">
        <v>41538</v>
      </c>
      <c r="B637" s="419">
        <v>0.78778935185185184</v>
      </c>
      <c r="C637" s="422" t="s">
        <v>1352</v>
      </c>
    </row>
    <row r="638" spans="1:3" x14ac:dyDescent="0.25">
      <c r="A638" s="418">
        <v>41538</v>
      </c>
      <c r="B638" s="419">
        <v>0.78778935185185184</v>
      </c>
      <c r="C638" s="422" t="s">
        <v>1352</v>
      </c>
    </row>
    <row r="639" spans="1:3" x14ac:dyDescent="0.25">
      <c r="A639" s="418">
        <v>41538</v>
      </c>
      <c r="B639" s="419">
        <v>0.78778935185185184</v>
      </c>
      <c r="C639" s="422" t="s">
        <v>1351</v>
      </c>
    </row>
    <row r="640" spans="1:3" x14ac:dyDescent="0.25">
      <c r="A640" s="418">
        <v>41538</v>
      </c>
      <c r="B640" s="419">
        <v>0.78778935185185184</v>
      </c>
      <c r="C640" s="422" t="s">
        <v>1353</v>
      </c>
    </row>
    <row r="641" spans="1:3" x14ac:dyDescent="0.25">
      <c r="A641" s="418">
        <v>41538</v>
      </c>
      <c r="B641" s="419">
        <v>0.78778935185185184</v>
      </c>
      <c r="C641" s="422" t="s">
        <v>1354</v>
      </c>
    </row>
    <row r="642" spans="1:3" x14ac:dyDescent="0.25">
      <c r="A642" s="418">
        <v>41538</v>
      </c>
      <c r="B642" s="419">
        <v>0.78778935185185184</v>
      </c>
      <c r="C642" s="422" t="s">
        <v>1355</v>
      </c>
    </row>
    <row r="643" spans="1:3" x14ac:dyDescent="0.25">
      <c r="A643" s="418">
        <v>41538</v>
      </c>
      <c r="B643" s="419">
        <v>0.78781249999999992</v>
      </c>
      <c r="C643" s="422" t="s">
        <v>1290</v>
      </c>
    </row>
    <row r="644" spans="1:3" ht="60" x14ac:dyDescent="0.25">
      <c r="A644" s="418">
        <v>41538</v>
      </c>
      <c r="B644" s="419">
        <v>0.78781249999999992</v>
      </c>
      <c r="C644" s="952" t="s">
        <v>1291</v>
      </c>
    </row>
    <row r="645" spans="1:3" x14ac:dyDescent="0.25">
      <c r="A645" s="418">
        <v>41538</v>
      </c>
      <c r="B645" s="419">
        <v>0.78783564814814822</v>
      </c>
      <c r="C645" s="422" t="s">
        <v>1356</v>
      </c>
    </row>
    <row r="646" spans="1:3" x14ac:dyDescent="0.25">
      <c r="A646" s="418">
        <v>41538</v>
      </c>
      <c r="B646" s="419">
        <v>0.78783564814814822</v>
      </c>
      <c r="C646" s="422" t="s">
        <v>1357</v>
      </c>
    </row>
    <row r="647" spans="1:3" x14ac:dyDescent="0.25">
      <c r="A647" s="418">
        <v>41538</v>
      </c>
      <c r="B647" s="419">
        <v>0.78783564814814822</v>
      </c>
      <c r="C647" s="422" t="s">
        <v>1358</v>
      </c>
    </row>
    <row r="648" spans="1:3" x14ac:dyDescent="0.25">
      <c r="A648" s="418">
        <v>41538</v>
      </c>
      <c r="B648" s="419">
        <v>0.78783564814814822</v>
      </c>
      <c r="C648" s="422" t="s">
        <v>1360</v>
      </c>
    </row>
    <row r="649" spans="1:3" x14ac:dyDescent="0.25">
      <c r="A649" s="418">
        <v>41538</v>
      </c>
      <c r="B649" s="419">
        <v>0.78783564814814822</v>
      </c>
      <c r="C649" s="422" t="s">
        <v>1361</v>
      </c>
    </row>
    <row r="650" spans="1:3" x14ac:dyDescent="0.25">
      <c r="A650" s="418">
        <v>41538</v>
      </c>
      <c r="B650" s="419">
        <v>0.78783564814814822</v>
      </c>
      <c r="C650" s="422" t="s">
        <v>1362</v>
      </c>
    </row>
    <row r="651" spans="1:3" x14ac:dyDescent="0.25">
      <c r="A651" s="418">
        <v>41538</v>
      </c>
      <c r="B651" s="419">
        <v>0.78783564814814822</v>
      </c>
      <c r="C651" s="422" t="s">
        <v>1363</v>
      </c>
    </row>
    <row r="652" spans="1:3" x14ac:dyDescent="0.25">
      <c r="A652" s="418">
        <v>41538</v>
      </c>
      <c r="B652" s="419">
        <v>0.78783564814814822</v>
      </c>
      <c r="C652" s="422" t="s">
        <v>1364</v>
      </c>
    </row>
    <row r="653" spans="1:3" x14ac:dyDescent="0.25">
      <c r="A653" s="418">
        <v>41538</v>
      </c>
      <c r="B653" s="419">
        <v>0.78783564814814822</v>
      </c>
      <c r="C653" s="422" t="s">
        <v>1320</v>
      </c>
    </row>
    <row r="654" spans="1:3" x14ac:dyDescent="0.25">
      <c r="A654" s="418">
        <v>41538</v>
      </c>
      <c r="B654" s="419">
        <v>0.78783564814814822</v>
      </c>
      <c r="C654" s="422" t="s">
        <v>1365</v>
      </c>
    </row>
    <row r="655" spans="1:3" x14ac:dyDescent="0.25">
      <c r="A655" s="418">
        <v>41538</v>
      </c>
      <c r="B655" s="419">
        <v>0.78783564814814822</v>
      </c>
      <c r="C655" s="422" t="s">
        <v>1358</v>
      </c>
    </row>
    <row r="656" spans="1:3" x14ac:dyDescent="0.25">
      <c r="A656" s="418">
        <v>41538</v>
      </c>
      <c r="B656" s="419">
        <v>0.78783564814814822</v>
      </c>
      <c r="C656" s="422" t="s">
        <v>1366</v>
      </c>
    </row>
    <row r="657" spans="1:3" x14ac:dyDescent="0.25">
      <c r="A657" s="418">
        <v>41538</v>
      </c>
      <c r="B657" s="419">
        <v>0.78783564814814822</v>
      </c>
      <c r="C657" s="422" t="s">
        <v>1367</v>
      </c>
    </row>
    <row r="658" spans="1:3" x14ac:dyDescent="0.25">
      <c r="A658" s="418">
        <v>41538</v>
      </c>
      <c r="B658" s="419">
        <v>0.78783564814814822</v>
      </c>
      <c r="C658" s="422" t="s">
        <v>1368</v>
      </c>
    </row>
    <row r="659" spans="1:3" x14ac:dyDescent="0.25">
      <c r="A659" s="418">
        <v>41538</v>
      </c>
      <c r="B659" s="419">
        <v>0.78783564814814822</v>
      </c>
      <c r="C659" s="422" t="s">
        <v>1368</v>
      </c>
    </row>
    <row r="660" spans="1:3" x14ac:dyDescent="0.25">
      <c r="A660" s="418">
        <v>41538</v>
      </c>
      <c r="B660" s="419">
        <v>0.78783564814814822</v>
      </c>
      <c r="C660" s="422" t="s">
        <v>1369</v>
      </c>
    </row>
    <row r="661" spans="1:3" x14ac:dyDescent="0.25">
      <c r="A661" s="418">
        <v>41538</v>
      </c>
      <c r="B661" s="419">
        <v>0.78783564814814822</v>
      </c>
      <c r="C661" s="422" t="s">
        <v>1323</v>
      </c>
    </row>
    <row r="662" spans="1:3" x14ac:dyDescent="0.25">
      <c r="A662" s="418">
        <v>41538</v>
      </c>
      <c r="B662" s="419">
        <v>0.78783564814814822</v>
      </c>
      <c r="C662" s="422" t="s">
        <v>1370</v>
      </c>
    </row>
    <row r="663" spans="1:3" x14ac:dyDescent="0.25">
      <c r="A663" s="418">
        <v>41538</v>
      </c>
      <c r="B663" s="419">
        <v>0.78783564814814822</v>
      </c>
      <c r="C663" s="422" t="s">
        <v>1347</v>
      </c>
    </row>
    <row r="664" spans="1:3" x14ac:dyDescent="0.25">
      <c r="A664" s="418">
        <v>41538</v>
      </c>
      <c r="B664" s="419">
        <v>0.78783564814814822</v>
      </c>
      <c r="C664" s="422" t="s">
        <v>1371</v>
      </c>
    </row>
    <row r="665" spans="1:3" x14ac:dyDescent="0.25">
      <c r="A665" s="418">
        <v>41538</v>
      </c>
      <c r="B665" s="419">
        <v>0.78783564814814822</v>
      </c>
      <c r="C665" s="422" t="s">
        <v>1372</v>
      </c>
    </row>
    <row r="666" spans="1:3" x14ac:dyDescent="0.25">
      <c r="A666" s="418">
        <v>41538</v>
      </c>
      <c r="B666" s="419">
        <v>0.78783564814814822</v>
      </c>
      <c r="C666" s="422" t="s">
        <v>1310</v>
      </c>
    </row>
    <row r="667" spans="1:3" x14ac:dyDescent="0.25">
      <c r="A667" s="418">
        <v>41538</v>
      </c>
      <c r="B667" s="419">
        <v>0.78783564814814822</v>
      </c>
      <c r="C667" s="422" t="s">
        <v>1373</v>
      </c>
    </row>
    <row r="668" spans="1:3" x14ac:dyDescent="0.25">
      <c r="A668" s="418">
        <v>41538</v>
      </c>
      <c r="B668" s="419">
        <v>0.78783564814814822</v>
      </c>
      <c r="C668" s="422" t="s">
        <v>1374</v>
      </c>
    </row>
    <row r="669" spans="1:3" x14ac:dyDescent="0.25">
      <c r="A669" s="418">
        <v>41538</v>
      </c>
      <c r="B669" s="419">
        <v>0.78783564814814822</v>
      </c>
      <c r="C669" s="422" t="s">
        <v>1347</v>
      </c>
    </row>
    <row r="670" spans="1:3" x14ac:dyDescent="0.25">
      <c r="A670" s="418">
        <v>41538</v>
      </c>
      <c r="B670" s="419">
        <v>0.78783564814814822</v>
      </c>
      <c r="C670" s="422" t="s">
        <v>1320</v>
      </c>
    </row>
    <row r="671" spans="1:3" x14ac:dyDescent="0.25">
      <c r="A671" s="418">
        <v>41538</v>
      </c>
      <c r="B671" s="419">
        <v>0.78783564814814822</v>
      </c>
      <c r="C671" s="422" t="s">
        <v>1466</v>
      </c>
    </row>
    <row r="672" spans="1:3" x14ac:dyDescent="0.25">
      <c r="A672" s="418">
        <v>41538</v>
      </c>
      <c r="B672" s="419">
        <v>0.78785879629629629</v>
      </c>
      <c r="C672" s="422" t="s">
        <v>1381</v>
      </c>
    </row>
    <row r="673" spans="1:3" ht="60" x14ac:dyDescent="0.25">
      <c r="A673" s="418">
        <v>41538</v>
      </c>
      <c r="B673" s="419">
        <v>0.78785879629629629</v>
      </c>
      <c r="C673" s="952" t="s">
        <v>1467</v>
      </c>
    </row>
    <row r="674" spans="1:3" x14ac:dyDescent="0.25">
      <c r="A674" s="418">
        <v>41538</v>
      </c>
      <c r="B674" s="419">
        <v>0.78787037037037033</v>
      </c>
      <c r="C674" s="422" t="s">
        <v>1376</v>
      </c>
    </row>
    <row r="675" spans="1:3" x14ac:dyDescent="0.25">
      <c r="A675" s="418">
        <v>41538</v>
      </c>
      <c r="B675" s="419">
        <v>0.78787037037037033</v>
      </c>
      <c r="C675" s="422" t="s">
        <v>1311</v>
      </c>
    </row>
    <row r="676" spans="1:3" x14ac:dyDescent="0.25">
      <c r="A676" s="418">
        <v>41538</v>
      </c>
      <c r="B676" s="419">
        <v>0.78787037037037033</v>
      </c>
      <c r="C676" s="422" t="s">
        <v>1377</v>
      </c>
    </row>
    <row r="677" spans="1:3" x14ac:dyDescent="0.25">
      <c r="A677" s="418">
        <v>41538</v>
      </c>
      <c r="B677" s="419">
        <v>0.78787037037037033</v>
      </c>
      <c r="C677" s="422" t="s">
        <v>1378</v>
      </c>
    </row>
    <row r="678" spans="1:3" x14ac:dyDescent="0.25">
      <c r="A678" s="418">
        <v>41538</v>
      </c>
      <c r="B678" s="419">
        <v>0.78787037037037033</v>
      </c>
      <c r="C678" s="422" t="s">
        <v>1379</v>
      </c>
    </row>
    <row r="679" spans="1:3" x14ac:dyDescent="0.25">
      <c r="A679" s="418">
        <v>41538</v>
      </c>
      <c r="B679" s="419">
        <v>0.78787037037037033</v>
      </c>
      <c r="C679" s="422" t="s">
        <v>1380</v>
      </c>
    </row>
    <row r="680" spans="1:3" x14ac:dyDescent="0.25">
      <c r="A680" s="418">
        <v>41538</v>
      </c>
      <c r="B680" s="419">
        <v>0.78787037037037033</v>
      </c>
      <c r="C680" s="422" t="s">
        <v>1329</v>
      </c>
    </row>
    <row r="681" spans="1:3" x14ac:dyDescent="0.25">
      <c r="A681" s="418">
        <v>41538</v>
      </c>
      <c r="B681" s="419">
        <v>0.78788194444444448</v>
      </c>
      <c r="C681" s="422" t="s">
        <v>1381</v>
      </c>
    </row>
    <row r="682" spans="1:3" ht="60" x14ac:dyDescent="0.25">
      <c r="A682" s="418">
        <v>41538</v>
      </c>
      <c r="B682" s="419">
        <v>0.78788194444444448</v>
      </c>
      <c r="C682" s="952" t="s">
        <v>1382</v>
      </c>
    </row>
    <row r="683" spans="1:3" x14ac:dyDescent="0.25">
      <c r="A683" s="418">
        <v>41538</v>
      </c>
      <c r="B683" s="419">
        <v>0.78789351851851863</v>
      </c>
      <c r="C683" s="422" t="s">
        <v>1383</v>
      </c>
    </row>
    <row r="684" spans="1:3" x14ac:dyDescent="0.25">
      <c r="A684" s="418">
        <v>41538</v>
      </c>
      <c r="B684" s="419">
        <v>0.78789351851851863</v>
      </c>
      <c r="C684" s="422" t="s">
        <v>1384</v>
      </c>
    </row>
    <row r="685" spans="1:3" x14ac:dyDescent="0.25">
      <c r="A685" s="418">
        <v>41538</v>
      </c>
      <c r="B685" s="419">
        <v>0.78789351851851863</v>
      </c>
      <c r="C685" s="422" t="s">
        <v>1385</v>
      </c>
    </row>
    <row r="686" spans="1:3" x14ac:dyDescent="0.25">
      <c r="A686" s="418">
        <v>41538</v>
      </c>
      <c r="B686" s="419">
        <v>0.78789351851851863</v>
      </c>
      <c r="C686" s="422" t="s">
        <v>1386</v>
      </c>
    </row>
    <row r="687" spans="1:3" x14ac:dyDescent="0.25">
      <c r="A687" s="418">
        <v>41538</v>
      </c>
      <c r="B687" s="419">
        <v>0.78789351851851863</v>
      </c>
      <c r="C687" s="422" t="s">
        <v>1355</v>
      </c>
    </row>
    <row r="688" spans="1:3" x14ac:dyDescent="0.25">
      <c r="A688" s="418">
        <v>41538</v>
      </c>
      <c r="B688" s="419">
        <v>0.78789351851851863</v>
      </c>
      <c r="C688" s="422" t="s">
        <v>1387</v>
      </c>
    </row>
    <row r="689" spans="1:3" x14ac:dyDescent="0.25">
      <c r="A689" s="418">
        <v>41538</v>
      </c>
      <c r="B689" s="419">
        <v>0.78789351851851863</v>
      </c>
      <c r="C689" s="422" t="s">
        <v>1388</v>
      </c>
    </row>
    <row r="690" spans="1:3" x14ac:dyDescent="0.25">
      <c r="A690" s="418">
        <v>41538</v>
      </c>
      <c r="B690" s="419">
        <v>0.78789351851851863</v>
      </c>
      <c r="C690" s="422" t="s">
        <v>1388</v>
      </c>
    </row>
    <row r="691" spans="1:3" x14ac:dyDescent="0.25">
      <c r="A691" s="418">
        <v>41538</v>
      </c>
      <c r="B691" s="419">
        <v>0.78789351851851863</v>
      </c>
      <c r="C691" s="422" t="s">
        <v>1389</v>
      </c>
    </row>
    <row r="692" spans="1:3" x14ac:dyDescent="0.25">
      <c r="A692" s="418">
        <v>41538</v>
      </c>
      <c r="B692" s="419">
        <v>0.78789351851851863</v>
      </c>
      <c r="C692" s="422" t="s">
        <v>1390</v>
      </c>
    </row>
    <row r="693" spans="1:3" x14ac:dyDescent="0.25">
      <c r="A693" s="418">
        <v>41538</v>
      </c>
      <c r="B693" s="419">
        <v>0.78789351851851863</v>
      </c>
      <c r="C693" s="422" t="s">
        <v>1390</v>
      </c>
    </row>
    <row r="694" spans="1:3" x14ac:dyDescent="0.25">
      <c r="A694" s="418">
        <v>41538</v>
      </c>
      <c r="B694" s="419">
        <v>0.78789351851851863</v>
      </c>
      <c r="C694" s="422" t="s">
        <v>1321</v>
      </c>
    </row>
    <row r="695" spans="1:3" x14ac:dyDescent="0.25">
      <c r="A695" s="418">
        <v>41538</v>
      </c>
      <c r="B695" s="419">
        <v>0.78789351851851863</v>
      </c>
      <c r="C695" s="422" t="s">
        <v>1391</v>
      </c>
    </row>
    <row r="696" spans="1:3" x14ac:dyDescent="0.25">
      <c r="A696" s="418">
        <v>41538</v>
      </c>
      <c r="B696" s="419">
        <v>0.78789351851851863</v>
      </c>
      <c r="C696" s="422" t="s">
        <v>1393</v>
      </c>
    </row>
    <row r="697" spans="1:3" x14ac:dyDescent="0.25">
      <c r="A697" s="418">
        <v>41538</v>
      </c>
      <c r="B697" s="419">
        <v>0.78789351851851863</v>
      </c>
      <c r="C697" s="422" t="s">
        <v>1394</v>
      </c>
    </row>
    <row r="698" spans="1:3" x14ac:dyDescent="0.25">
      <c r="A698" s="418">
        <v>41538</v>
      </c>
      <c r="B698" s="419">
        <v>0.78789351851851863</v>
      </c>
      <c r="C698" s="422" t="s">
        <v>1395</v>
      </c>
    </row>
    <row r="699" spans="1:3" x14ac:dyDescent="0.25">
      <c r="A699" s="418">
        <v>41538</v>
      </c>
      <c r="B699" s="419">
        <v>0.78791666666666671</v>
      </c>
      <c r="C699" s="422" t="s">
        <v>1297</v>
      </c>
    </row>
    <row r="700" spans="1:3" ht="60" x14ac:dyDescent="0.25">
      <c r="A700" s="418">
        <v>41538</v>
      </c>
      <c r="B700" s="419">
        <v>0.78791666666666671</v>
      </c>
      <c r="C700" s="952" t="s">
        <v>1298</v>
      </c>
    </row>
    <row r="701" spans="1:3" x14ac:dyDescent="0.25">
      <c r="A701" s="418">
        <v>41538</v>
      </c>
      <c r="B701" s="419">
        <v>0.78792824074074075</v>
      </c>
      <c r="C701" s="422" t="s">
        <v>1396</v>
      </c>
    </row>
    <row r="702" spans="1:3" x14ac:dyDescent="0.25">
      <c r="A702" s="418">
        <v>41538</v>
      </c>
      <c r="B702" s="419">
        <v>0.78792824074074075</v>
      </c>
      <c r="C702" s="422" t="s">
        <v>1397</v>
      </c>
    </row>
    <row r="703" spans="1:3" x14ac:dyDescent="0.25">
      <c r="A703" s="418">
        <v>41538</v>
      </c>
      <c r="B703" s="419">
        <v>0.78792824074074075</v>
      </c>
      <c r="C703" s="422" t="s">
        <v>1395</v>
      </c>
    </row>
    <row r="704" spans="1:3" x14ac:dyDescent="0.25">
      <c r="A704" s="418">
        <v>41538</v>
      </c>
      <c r="B704" s="419">
        <v>0.78792824074074075</v>
      </c>
      <c r="C704" s="422" t="s">
        <v>1398</v>
      </c>
    </row>
    <row r="705" spans="1:3" x14ac:dyDescent="0.25">
      <c r="A705" s="418">
        <v>41538</v>
      </c>
      <c r="B705" s="419">
        <v>0.78792824074074075</v>
      </c>
      <c r="C705" s="422" t="s">
        <v>1399</v>
      </c>
    </row>
    <row r="706" spans="1:3" x14ac:dyDescent="0.25">
      <c r="A706" s="418">
        <v>41538</v>
      </c>
      <c r="B706" s="419">
        <v>0.78792824074074075</v>
      </c>
      <c r="C706" s="422" t="s">
        <v>1366</v>
      </c>
    </row>
    <row r="707" spans="1:3" x14ac:dyDescent="0.25">
      <c r="A707" s="418">
        <v>41538</v>
      </c>
      <c r="B707" s="419">
        <v>0.78792824074074075</v>
      </c>
      <c r="C707" s="422" t="s">
        <v>1365</v>
      </c>
    </row>
    <row r="708" spans="1:3" x14ac:dyDescent="0.25">
      <c r="A708" s="418">
        <v>41538</v>
      </c>
      <c r="B708" s="419">
        <v>0.78792824074074075</v>
      </c>
      <c r="C708" s="422" t="s">
        <v>1400</v>
      </c>
    </row>
    <row r="709" spans="1:3" x14ac:dyDescent="0.25">
      <c r="A709" s="418">
        <v>41538</v>
      </c>
      <c r="B709" s="419">
        <v>0.78792824074074075</v>
      </c>
      <c r="C709" s="422" t="s">
        <v>1384</v>
      </c>
    </row>
    <row r="710" spans="1:3" x14ac:dyDescent="0.25">
      <c r="A710" s="418">
        <v>41538</v>
      </c>
      <c r="B710" s="419">
        <v>0.78792824074074075</v>
      </c>
      <c r="C710" s="422" t="s">
        <v>1401</v>
      </c>
    </row>
    <row r="711" spans="1:3" x14ac:dyDescent="0.25">
      <c r="A711" s="418">
        <v>41538</v>
      </c>
      <c r="B711" s="419">
        <v>0.78792824074074075</v>
      </c>
      <c r="C711" s="422" t="s">
        <v>1402</v>
      </c>
    </row>
    <row r="712" spans="1:3" x14ac:dyDescent="0.25">
      <c r="A712" s="418">
        <v>41538</v>
      </c>
      <c r="B712" s="419">
        <v>0.78792824074074075</v>
      </c>
      <c r="C712" s="422" t="s">
        <v>1403</v>
      </c>
    </row>
    <row r="713" spans="1:3" x14ac:dyDescent="0.25">
      <c r="A713" s="418">
        <v>41538</v>
      </c>
      <c r="B713" s="419">
        <v>0.78792824074074075</v>
      </c>
      <c r="C713" s="422" t="s">
        <v>1403</v>
      </c>
    </row>
    <row r="714" spans="1:3" x14ac:dyDescent="0.25">
      <c r="A714" s="418">
        <v>41538</v>
      </c>
      <c r="B714" s="419">
        <v>0.78792824074074075</v>
      </c>
      <c r="C714" s="422" t="s">
        <v>1376</v>
      </c>
    </row>
    <row r="715" spans="1:3" x14ac:dyDescent="0.25">
      <c r="A715" s="418">
        <v>41538</v>
      </c>
      <c r="B715" s="419">
        <v>0.78792824074074075</v>
      </c>
      <c r="C715" s="422" t="s">
        <v>1356</v>
      </c>
    </row>
    <row r="716" spans="1:3" x14ac:dyDescent="0.25">
      <c r="A716" s="418">
        <v>41538</v>
      </c>
      <c r="B716" s="419">
        <v>0.78792824074074075</v>
      </c>
      <c r="C716" s="422" t="s">
        <v>1356</v>
      </c>
    </row>
    <row r="717" spans="1:3" x14ac:dyDescent="0.25">
      <c r="A717" s="418">
        <v>41538</v>
      </c>
      <c r="B717" s="419">
        <v>0.78792824074074075</v>
      </c>
      <c r="C717" s="422" t="s">
        <v>1404</v>
      </c>
    </row>
    <row r="718" spans="1:3" x14ac:dyDescent="0.25">
      <c r="A718" s="418">
        <v>41538</v>
      </c>
      <c r="B718" s="419">
        <v>0.78792824074074075</v>
      </c>
      <c r="C718" s="422" t="s">
        <v>1395</v>
      </c>
    </row>
    <row r="719" spans="1:3" x14ac:dyDescent="0.25">
      <c r="A719" s="418">
        <v>41538</v>
      </c>
      <c r="B719" s="419">
        <v>0.78792824074074075</v>
      </c>
      <c r="C719" s="422" t="s">
        <v>1406</v>
      </c>
    </row>
    <row r="720" spans="1:3" x14ac:dyDescent="0.25">
      <c r="A720" s="418">
        <v>41538</v>
      </c>
      <c r="B720" s="419">
        <v>0.78792824074074075</v>
      </c>
      <c r="C720" s="422" t="s">
        <v>1406</v>
      </c>
    </row>
    <row r="721" spans="1:3" x14ac:dyDescent="0.25">
      <c r="A721" s="418">
        <v>41538</v>
      </c>
      <c r="B721" s="419">
        <v>0.78792824074074075</v>
      </c>
      <c r="C721" s="422" t="s">
        <v>1406</v>
      </c>
    </row>
    <row r="722" spans="1:3" x14ac:dyDescent="0.25">
      <c r="A722" s="418">
        <v>41538</v>
      </c>
      <c r="B722" s="419">
        <v>0.78792824074074075</v>
      </c>
      <c r="C722" s="422" t="s">
        <v>1365</v>
      </c>
    </row>
    <row r="723" spans="1:3" x14ac:dyDescent="0.25">
      <c r="A723" s="418">
        <v>41538</v>
      </c>
      <c r="B723" s="419">
        <v>0.78793981481481479</v>
      </c>
      <c r="C723" s="422" t="s">
        <v>1367</v>
      </c>
    </row>
    <row r="724" spans="1:3" x14ac:dyDescent="0.25">
      <c r="A724" s="418">
        <v>41538</v>
      </c>
      <c r="B724" s="419">
        <v>0.78793981481481479</v>
      </c>
      <c r="C724" s="422" t="s">
        <v>1367</v>
      </c>
    </row>
    <row r="725" spans="1:3" x14ac:dyDescent="0.25">
      <c r="A725" s="418">
        <v>41538</v>
      </c>
      <c r="B725" s="419">
        <v>0.78793981481481479</v>
      </c>
      <c r="C725" s="422" t="s">
        <v>1384</v>
      </c>
    </row>
    <row r="726" spans="1:3" x14ac:dyDescent="0.25">
      <c r="A726" s="418">
        <v>41538</v>
      </c>
      <c r="B726" s="419">
        <v>0.78793981481481479</v>
      </c>
      <c r="C726" s="422" t="s">
        <v>1367</v>
      </c>
    </row>
    <row r="727" spans="1:3" x14ac:dyDescent="0.25">
      <c r="A727" s="418">
        <v>41538</v>
      </c>
      <c r="B727" s="419">
        <v>0.78793981481481479</v>
      </c>
      <c r="C727" s="422" t="s">
        <v>1407</v>
      </c>
    </row>
    <row r="728" spans="1:3" x14ac:dyDescent="0.25">
      <c r="A728" s="418">
        <v>41538</v>
      </c>
      <c r="B728" s="419">
        <v>0.78793981481481479</v>
      </c>
      <c r="C728" s="422" t="s">
        <v>1349</v>
      </c>
    </row>
    <row r="729" spans="1:3" x14ac:dyDescent="0.25">
      <c r="A729" s="418">
        <v>41538</v>
      </c>
      <c r="B729" s="419">
        <v>0.78793981481481479</v>
      </c>
      <c r="C729" s="422" t="s">
        <v>1408</v>
      </c>
    </row>
    <row r="730" spans="1:3" x14ac:dyDescent="0.25">
      <c r="A730" s="418">
        <v>41538</v>
      </c>
      <c r="B730" s="419">
        <v>0.78793981481481479</v>
      </c>
      <c r="C730" s="422" t="s">
        <v>1409</v>
      </c>
    </row>
    <row r="731" spans="1:3" x14ac:dyDescent="0.25">
      <c r="A731" s="418">
        <v>41538</v>
      </c>
      <c r="B731" s="419">
        <v>0.78793981481481479</v>
      </c>
      <c r="C731" s="422" t="s">
        <v>1365</v>
      </c>
    </row>
    <row r="732" spans="1:3" x14ac:dyDescent="0.25">
      <c r="A732" s="418">
        <v>41538</v>
      </c>
      <c r="B732" s="419">
        <v>0.78793981481481479</v>
      </c>
      <c r="C732" s="422" t="s">
        <v>1411</v>
      </c>
    </row>
    <row r="733" spans="1:3" x14ac:dyDescent="0.25">
      <c r="A733" s="418">
        <v>41538</v>
      </c>
      <c r="B733" s="419">
        <v>0.78793981481481479</v>
      </c>
      <c r="C733" s="422" t="s">
        <v>1321</v>
      </c>
    </row>
    <row r="734" spans="1:3" x14ac:dyDescent="0.25">
      <c r="A734" s="418">
        <v>41538</v>
      </c>
      <c r="B734" s="419">
        <v>0.78793981481481479</v>
      </c>
      <c r="C734" s="422" t="s">
        <v>1371</v>
      </c>
    </row>
    <row r="735" spans="1:3" x14ac:dyDescent="0.25">
      <c r="A735" s="418">
        <v>41538</v>
      </c>
      <c r="B735" s="419">
        <v>0.78793981481481479</v>
      </c>
      <c r="C735" s="422" t="s">
        <v>1371</v>
      </c>
    </row>
    <row r="736" spans="1:3" x14ac:dyDescent="0.25">
      <c r="A736" s="418">
        <v>41538</v>
      </c>
      <c r="B736" s="419">
        <v>0.78793981481481479</v>
      </c>
      <c r="C736" s="422" t="s">
        <v>1371</v>
      </c>
    </row>
    <row r="737" spans="1:3" x14ac:dyDescent="0.25">
      <c r="A737" s="418">
        <v>41538</v>
      </c>
      <c r="B737" s="419">
        <v>0.78793981481481479</v>
      </c>
      <c r="C737" s="422" t="s">
        <v>1371</v>
      </c>
    </row>
    <row r="738" spans="1:3" x14ac:dyDescent="0.25">
      <c r="A738" s="418">
        <v>41538</v>
      </c>
      <c r="B738" s="419">
        <v>0.78793981481481479</v>
      </c>
      <c r="C738" s="422" t="s">
        <v>1371</v>
      </c>
    </row>
    <row r="739" spans="1:3" x14ac:dyDescent="0.25">
      <c r="A739" s="418">
        <v>41538</v>
      </c>
      <c r="B739" s="419">
        <v>0.78793981481481479</v>
      </c>
      <c r="C739" s="422" t="s">
        <v>1412</v>
      </c>
    </row>
    <row r="740" spans="1:3" x14ac:dyDescent="0.25">
      <c r="A740" s="418">
        <v>41538</v>
      </c>
      <c r="B740" s="419">
        <v>0.78793981481481479</v>
      </c>
      <c r="C740" s="422" t="s">
        <v>1311</v>
      </c>
    </row>
    <row r="741" spans="1:3" x14ac:dyDescent="0.25">
      <c r="A741" s="418">
        <v>41538</v>
      </c>
      <c r="B741" s="419">
        <v>0.78793981481481479</v>
      </c>
      <c r="C741" s="422" t="s">
        <v>1413</v>
      </c>
    </row>
    <row r="742" spans="1:3" x14ac:dyDescent="0.25">
      <c r="A742" s="418">
        <v>41538</v>
      </c>
      <c r="B742" s="419">
        <v>0.78793981481481479</v>
      </c>
      <c r="C742" s="422" t="s">
        <v>1413</v>
      </c>
    </row>
    <row r="743" spans="1:3" x14ac:dyDescent="0.25">
      <c r="A743" s="418">
        <v>41538</v>
      </c>
      <c r="B743" s="419">
        <v>0.78793981481481479</v>
      </c>
      <c r="C743" s="422" t="s">
        <v>1414</v>
      </c>
    </row>
    <row r="744" spans="1:3" x14ac:dyDescent="0.25">
      <c r="A744" s="418">
        <v>41538</v>
      </c>
      <c r="B744" s="419">
        <v>0.78793981481481479</v>
      </c>
      <c r="C744" s="422" t="s">
        <v>1415</v>
      </c>
    </row>
    <row r="745" spans="1:3" x14ac:dyDescent="0.25">
      <c r="A745" s="418">
        <v>41538</v>
      </c>
      <c r="B745" s="419">
        <v>0.78793981481481479</v>
      </c>
      <c r="C745" s="422" t="s">
        <v>1416</v>
      </c>
    </row>
    <row r="746" spans="1:3" x14ac:dyDescent="0.25">
      <c r="A746" s="418">
        <v>41538</v>
      </c>
      <c r="B746" s="419">
        <v>0.78793981481481479</v>
      </c>
      <c r="C746" s="422" t="s">
        <v>1417</v>
      </c>
    </row>
    <row r="747" spans="1:3" x14ac:dyDescent="0.25">
      <c r="A747" s="418">
        <v>41538</v>
      </c>
      <c r="B747" s="419">
        <v>0.78793981481481479</v>
      </c>
      <c r="C747" s="422" t="s">
        <v>1376</v>
      </c>
    </row>
    <row r="748" spans="1:3" x14ac:dyDescent="0.25">
      <c r="A748" s="418">
        <v>41538</v>
      </c>
      <c r="B748" s="419">
        <v>0.78793981481481479</v>
      </c>
      <c r="C748" s="422" t="s">
        <v>1418</v>
      </c>
    </row>
    <row r="749" spans="1:3" x14ac:dyDescent="0.25">
      <c r="A749" s="418">
        <v>41538</v>
      </c>
      <c r="B749" s="419">
        <v>0.78793981481481479</v>
      </c>
      <c r="C749" s="422" t="s">
        <v>1412</v>
      </c>
    </row>
    <row r="750" spans="1:3" x14ac:dyDescent="0.25">
      <c r="A750" s="418">
        <v>41538</v>
      </c>
      <c r="B750" s="419">
        <v>0.78793981481481479</v>
      </c>
      <c r="C750" s="422" t="s">
        <v>1419</v>
      </c>
    </row>
    <row r="751" spans="1:3" x14ac:dyDescent="0.25">
      <c r="A751" s="418">
        <v>41538</v>
      </c>
      <c r="B751" s="419">
        <v>0.78793981481481479</v>
      </c>
      <c r="C751" s="422" t="s">
        <v>1421</v>
      </c>
    </row>
    <row r="752" spans="1:3" x14ac:dyDescent="0.25">
      <c r="A752" s="418">
        <v>41538</v>
      </c>
      <c r="B752" s="419">
        <v>0.78793981481481479</v>
      </c>
      <c r="C752" s="422" t="s">
        <v>1351</v>
      </c>
    </row>
    <row r="753" spans="1:3" x14ac:dyDescent="0.25">
      <c r="A753" s="418">
        <v>41538</v>
      </c>
      <c r="B753" s="419">
        <v>0.78793981481481479</v>
      </c>
      <c r="C753" s="422" t="s">
        <v>1422</v>
      </c>
    </row>
    <row r="754" spans="1:3" x14ac:dyDescent="0.25">
      <c r="A754" s="418">
        <v>41538</v>
      </c>
      <c r="B754" s="419">
        <v>0.78793981481481479</v>
      </c>
      <c r="C754" s="422" t="s">
        <v>1422</v>
      </c>
    </row>
    <row r="755" spans="1:3" x14ac:dyDescent="0.25">
      <c r="A755" s="418">
        <v>41538</v>
      </c>
      <c r="B755" s="419">
        <v>0.78793981481481479</v>
      </c>
      <c r="C755" s="422" t="s">
        <v>1423</v>
      </c>
    </row>
    <row r="756" spans="1:3" x14ac:dyDescent="0.25">
      <c r="A756" s="418">
        <v>41538</v>
      </c>
      <c r="B756" s="419">
        <v>0.78793981481481479</v>
      </c>
      <c r="C756" s="422" t="s">
        <v>1424</v>
      </c>
    </row>
    <row r="757" spans="1:3" x14ac:dyDescent="0.25">
      <c r="A757" s="418">
        <v>41538</v>
      </c>
      <c r="B757" s="419">
        <v>0.78793981481481479</v>
      </c>
      <c r="C757" s="422" t="s">
        <v>1425</v>
      </c>
    </row>
    <row r="758" spans="1:3" x14ac:dyDescent="0.25">
      <c r="A758" s="418">
        <v>41538</v>
      </c>
      <c r="B758" s="419">
        <v>0.78793981481481479</v>
      </c>
      <c r="C758" s="422" t="s">
        <v>1426</v>
      </c>
    </row>
    <row r="759" spans="1:3" x14ac:dyDescent="0.25">
      <c r="A759" s="418">
        <v>41538</v>
      </c>
      <c r="B759" s="419">
        <v>0.78793981481481479</v>
      </c>
      <c r="C759" s="422" t="s">
        <v>1427</v>
      </c>
    </row>
    <row r="760" spans="1:3" x14ac:dyDescent="0.25">
      <c r="A760" s="418">
        <v>41538</v>
      </c>
      <c r="B760" s="419">
        <v>0.78793981481481479</v>
      </c>
      <c r="C760" s="422" t="s">
        <v>1428</v>
      </c>
    </row>
    <row r="761" spans="1:3" x14ac:dyDescent="0.25">
      <c r="A761" s="418">
        <v>41538</v>
      </c>
      <c r="B761" s="419">
        <v>0.78793981481481479</v>
      </c>
      <c r="C761" s="422" t="s">
        <v>1429</v>
      </c>
    </row>
    <row r="762" spans="1:3" x14ac:dyDescent="0.25">
      <c r="A762" s="418">
        <v>41538</v>
      </c>
      <c r="B762" s="419">
        <v>0.78793981481481479</v>
      </c>
      <c r="C762" s="422" t="s">
        <v>1430</v>
      </c>
    </row>
    <row r="763" spans="1:3" x14ac:dyDescent="0.25">
      <c r="A763" s="418">
        <v>41538</v>
      </c>
      <c r="B763" s="419">
        <v>0.78793981481481479</v>
      </c>
      <c r="C763" s="422" t="s">
        <v>1431</v>
      </c>
    </row>
    <row r="764" spans="1:3" x14ac:dyDescent="0.25">
      <c r="A764" s="418">
        <v>41538</v>
      </c>
      <c r="B764" s="419">
        <v>0.78793981481481479</v>
      </c>
      <c r="C764" s="422" t="s">
        <v>1323</v>
      </c>
    </row>
    <row r="765" spans="1:3" x14ac:dyDescent="0.25">
      <c r="A765" s="418">
        <v>41538</v>
      </c>
      <c r="B765" s="419">
        <v>0.78793981481481479</v>
      </c>
      <c r="C765" s="422" t="s">
        <v>1432</v>
      </c>
    </row>
    <row r="766" spans="1:3" x14ac:dyDescent="0.25">
      <c r="A766" s="418">
        <v>41538</v>
      </c>
      <c r="B766" s="419">
        <v>0.78793981481481479</v>
      </c>
      <c r="C766" s="422" t="s">
        <v>1433</v>
      </c>
    </row>
    <row r="767" spans="1:3" x14ac:dyDescent="0.25">
      <c r="A767" s="418">
        <v>41538</v>
      </c>
      <c r="B767" s="419">
        <v>0.78793981481481479</v>
      </c>
      <c r="C767" s="422" t="s">
        <v>1434</v>
      </c>
    </row>
    <row r="768" spans="1:3" x14ac:dyDescent="0.25">
      <c r="A768" s="418">
        <v>41538</v>
      </c>
      <c r="B768" s="419">
        <v>0.78793981481481479</v>
      </c>
      <c r="C768" s="422" t="s">
        <v>1311</v>
      </c>
    </row>
    <row r="769" spans="1:3" x14ac:dyDescent="0.25">
      <c r="A769" s="418">
        <v>41538</v>
      </c>
      <c r="B769" s="419">
        <v>0.78793981481481479</v>
      </c>
      <c r="C769" s="422" t="s">
        <v>1363</v>
      </c>
    </row>
    <row r="770" spans="1:3" x14ac:dyDescent="0.25">
      <c r="A770" s="418">
        <v>41538</v>
      </c>
      <c r="B770" s="419">
        <v>0.78793981481481479</v>
      </c>
      <c r="C770" s="422" t="s">
        <v>1435</v>
      </c>
    </row>
    <row r="771" spans="1:3" x14ac:dyDescent="0.25">
      <c r="A771" s="418">
        <v>41538</v>
      </c>
      <c r="B771" s="419">
        <v>0.78793981481481479</v>
      </c>
      <c r="C771" s="422" t="s">
        <v>1435</v>
      </c>
    </row>
    <row r="772" spans="1:3" x14ac:dyDescent="0.25">
      <c r="A772" s="418">
        <v>41538</v>
      </c>
      <c r="B772" s="419">
        <v>0.78793981481481479</v>
      </c>
      <c r="C772" s="422" t="s">
        <v>1435</v>
      </c>
    </row>
    <row r="773" spans="1:3" x14ac:dyDescent="0.25">
      <c r="A773" s="418">
        <v>41538</v>
      </c>
      <c r="B773" s="419">
        <v>0.78797453703703713</v>
      </c>
      <c r="C773" s="422" t="s">
        <v>1284</v>
      </c>
    </row>
    <row r="774" spans="1:3" ht="60" x14ac:dyDescent="0.25">
      <c r="A774" s="418">
        <v>41538</v>
      </c>
      <c r="B774" s="419">
        <v>0.78797453703703713</v>
      </c>
      <c r="C774" s="952" t="s">
        <v>1285</v>
      </c>
    </row>
    <row r="775" spans="1:3" x14ac:dyDescent="0.25">
      <c r="A775" s="418">
        <v>41538</v>
      </c>
      <c r="B775" s="419">
        <v>0.78798611111111105</v>
      </c>
      <c r="C775" s="422" t="s">
        <v>1416</v>
      </c>
    </row>
    <row r="776" spans="1:3" x14ac:dyDescent="0.25">
      <c r="A776" s="418">
        <v>41538</v>
      </c>
      <c r="B776" s="419">
        <v>0.78798611111111105</v>
      </c>
      <c r="C776" s="422" t="s">
        <v>1436</v>
      </c>
    </row>
    <row r="777" spans="1:3" x14ac:dyDescent="0.25">
      <c r="A777" s="418">
        <v>41538</v>
      </c>
      <c r="B777" s="419">
        <v>0.78798611111111105</v>
      </c>
      <c r="C777" s="422" t="s">
        <v>1437</v>
      </c>
    </row>
    <row r="778" spans="1:3" x14ac:dyDescent="0.25">
      <c r="A778" s="418">
        <v>41538</v>
      </c>
      <c r="B778" s="419">
        <v>0.78798611111111105</v>
      </c>
      <c r="C778" s="422" t="s">
        <v>1438</v>
      </c>
    </row>
    <row r="779" spans="1:3" x14ac:dyDescent="0.25">
      <c r="A779" s="418">
        <v>41538</v>
      </c>
      <c r="B779" s="419">
        <v>0.78798611111111105</v>
      </c>
      <c r="C779" s="422" t="s">
        <v>1439</v>
      </c>
    </row>
    <row r="780" spans="1:3" x14ac:dyDescent="0.25">
      <c r="A780" s="418">
        <v>41538</v>
      </c>
      <c r="B780" s="419">
        <v>0.78798611111111105</v>
      </c>
      <c r="C780" s="422" t="s">
        <v>1440</v>
      </c>
    </row>
    <row r="781" spans="1:3" x14ac:dyDescent="0.25">
      <c r="A781" s="418">
        <v>41538</v>
      </c>
      <c r="B781" s="419">
        <v>0.78798611111111105</v>
      </c>
      <c r="C781" s="422" t="s">
        <v>1441</v>
      </c>
    </row>
    <row r="782" spans="1:3" x14ac:dyDescent="0.25">
      <c r="A782" s="418">
        <v>41538</v>
      </c>
      <c r="B782" s="419">
        <v>0.78798611111111105</v>
      </c>
      <c r="C782" s="422" t="s">
        <v>1442</v>
      </c>
    </row>
    <row r="783" spans="1:3" x14ac:dyDescent="0.25">
      <c r="A783" s="418">
        <v>41538</v>
      </c>
      <c r="B783" s="419">
        <v>0.78798611111111105</v>
      </c>
      <c r="C783" s="422" t="s">
        <v>1443</v>
      </c>
    </row>
    <row r="784" spans="1:3" x14ac:dyDescent="0.25">
      <c r="A784" s="418">
        <v>41538</v>
      </c>
      <c r="B784" s="419">
        <v>0.78798611111111105</v>
      </c>
      <c r="C784" s="422" t="s">
        <v>1444</v>
      </c>
    </row>
    <row r="785" spans="1:3" x14ac:dyDescent="0.25">
      <c r="A785" s="418">
        <v>41538</v>
      </c>
      <c r="B785" s="419">
        <v>0.78798611111111105</v>
      </c>
      <c r="C785" s="422" t="s">
        <v>1323</v>
      </c>
    </row>
    <row r="786" spans="1:3" x14ac:dyDescent="0.25">
      <c r="A786" s="418">
        <v>41538</v>
      </c>
      <c r="B786" s="419">
        <v>0.78798611111111105</v>
      </c>
      <c r="C786" s="422" t="s">
        <v>1445</v>
      </c>
    </row>
    <row r="787" spans="1:3" x14ac:dyDescent="0.25">
      <c r="A787" s="418">
        <v>41538</v>
      </c>
      <c r="B787" s="419">
        <v>0.78798611111111105</v>
      </c>
      <c r="C787" s="422" t="s">
        <v>1446</v>
      </c>
    </row>
    <row r="788" spans="1:3" x14ac:dyDescent="0.25">
      <c r="A788" s="418">
        <v>41538</v>
      </c>
      <c r="B788" s="419">
        <v>0.78798611111111105</v>
      </c>
      <c r="C788" s="422" t="s">
        <v>1447</v>
      </c>
    </row>
    <row r="789" spans="1:3" x14ac:dyDescent="0.25">
      <c r="A789" s="418">
        <v>41538</v>
      </c>
      <c r="B789" s="419">
        <v>0.78798611111111105</v>
      </c>
      <c r="C789" s="422" t="s">
        <v>1448</v>
      </c>
    </row>
    <row r="790" spans="1:3" x14ac:dyDescent="0.25">
      <c r="A790" s="418">
        <v>41538</v>
      </c>
      <c r="B790" s="419">
        <v>0.78798611111111105</v>
      </c>
      <c r="C790" s="422" t="s">
        <v>1449</v>
      </c>
    </row>
    <row r="791" spans="1:3" x14ac:dyDescent="0.25">
      <c r="A791" s="418">
        <v>41538</v>
      </c>
      <c r="B791" s="419">
        <v>0.78798611111111105</v>
      </c>
      <c r="C791" s="422" t="s">
        <v>1238</v>
      </c>
    </row>
    <row r="792" spans="1:3" x14ac:dyDescent="0.25">
      <c r="A792" s="418">
        <v>41538</v>
      </c>
      <c r="B792" s="419">
        <v>0.7879976851851852</v>
      </c>
      <c r="C792" s="422" t="s">
        <v>1450</v>
      </c>
    </row>
    <row r="793" spans="1:3" x14ac:dyDescent="0.25">
      <c r="A793" s="418">
        <v>41538</v>
      </c>
      <c r="B793" s="419">
        <v>0.7879976851851852</v>
      </c>
      <c r="C793" s="422" t="s">
        <v>1392</v>
      </c>
    </row>
    <row r="794" spans="1:3" x14ac:dyDescent="0.25">
      <c r="A794" s="418">
        <v>41538</v>
      </c>
      <c r="B794" s="419">
        <v>0.7879976851851852</v>
      </c>
      <c r="C794" s="422" t="s">
        <v>1451</v>
      </c>
    </row>
    <row r="795" spans="1:3" x14ac:dyDescent="0.25">
      <c r="A795" s="418">
        <v>41538</v>
      </c>
      <c r="B795" s="419">
        <v>0.7879976851851852</v>
      </c>
      <c r="C795" s="422" t="s">
        <v>1453</v>
      </c>
    </row>
    <row r="796" spans="1:3" x14ac:dyDescent="0.25">
      <c r="A796" s="418">
        <v>41538</v>
      </c>
      <c r="B796" s="419">
        <v>0.7879976851851852</v>
      </c>
      <c r="C796" s="422" t="s">
        <v>1453</v>
      </c>
    </row>
    <row r="797" spans="1:3" x14ac:dyDescent="0.25">
      <c r="A797" s="418">
        <v>41538</v>
      </c>
      <c r="B797" s="419">
        <v>0.7879976851851852</v>
      </c>
      <c r="C797" s="422" t="s">
        <v>1453</v>
      </c>
    </row>
    <row r="798" spans="1:3" x14ac:dyDescent="0.25">
      <c r="A798" s="418">
        <v>41538</v>
      </c>
      <c r="B798" s="419">
        <v>0.7879976851851852</v>
      </c>
      <c r="C798" s="422" t="s">
        <v>1453</v>
      </c>
    </row>
    <row r="799" spans="1:3" x14ac:dyDescent="0.25">
      <c r="A799" s="418">
        <v>41538</v>
      </c>
      <c r="B799" s="419">
        <v>0.7879976851851852</v>
      </c>
      <c r="C799" s="422" t="s">
        <v>1453</v>
      </c>
    </row>
    <row r="800" spans="1:3" x14ac:dyDescent="0.25">
      <c r="A800" s="418">
        <v>41538</v>
      </c>
      <c r="B800" s="419">
        <v>0.7879976851851852</v>
      </c>
      <c r="C800" s="422" t="s">
        <v>1453</v>
      </c>
    </row>
    <row r="801" spans="1:3" x14ac:dyDescent="0.25">
      <c r="A801" s="418">
        <v>41538</v>
      </c>
      <c r="B801" s="419">
        <v>0.7879976851851852</v>
      </c>
      <c r="C801" s="422" t="s">
        <v>1453</v>
      </c>
    </row>
    <row r="802" spans="1:3" x14ac:dyDescent="0.25">
      <c r="A802" s="418">
        <v>41538</v>
      </c>
      <c r="B802" s="419">
        <v>0.7879976851851852</v>
      </c>
      <c r="C802" s="422" t="s">
        <v>1451</v>
      </c>
    </row>
    <row r="803" spans="1:3" x14ac:dyDescent="0.25">
      <c r="A803" s="418">
        <v>41538</v>
      </c>
      <c r="B803" s="419">
        <v>0.7879976851851852</v>
      </c>
      <c r="C803" s="422" t="s">
        <v>1402</v>
      </c>
    </row>
    <row r="804" spans="1:3" x14ac:dyDescent="0.25">
      <c r="A804" s="418">
        <v>41538</v>
      </c>
      <c r="B804" s="419">
        <v>0.7879976851851852</v>
      </c>
      <c r="C804" s="422" t="s">
        <v>1312</v>
      </c>
    </row>
    <row r="805" spans="1:3" x14ac:dyDescent="0.25">
      <c r="A805" s="418">
        <v>41538</v>
      </c>
      <c r="B805" s="419">
        <v>0.7879976851851852</v>
      </c>
      <c r="C805" s="422" t="s">
        <v>1454</v>
      </c>
    </row>
    <row r="806" spans="1:3" x14ac:dyDescent="0.25">
      <c r="A806" s="418">
        <v>41538</v>
      </c>
      <c r="B806" s="419">
        <v>0.7879976851851852</v>
      </c>
      <c r="C806" s="422" t="s">
        <v>1455</v>
      </c>
    </row>
    <row r="807" spans="1:3" x14ac:dyDescent="0.25">
      <c r="A807" s="418">
        <v>41538</v>
      </c>
      <c r="B807" s="419">
        <v>0.7879976851851852</v>
      </c>
      <c r="C807" s="422" t="s">
        <v>1456</v>
      </c>
    </row>
    <row r="808" spans="1:3" x14ac:dyDescent="0.25">
      <c r="A808" s="418">
        <v>41538</v>
      </c>
      <c r="B808" s="419">
        <v>0.79429398148148145</v>
      </c>
      <c r="C808" s="422" t="s">
        <v>1238</v>
      </c>
    </row>
    <row r="809" spans="1:3" x14ac:dyDescent="0.25">
      <c r="A809" s="418">
        <v>41538</v>
      </c>
      <c r="B809" s="419">
        <v>0.79429398148148145</v>
      </c>
      <c r="C809" s="422" t="s">
        <v>1310</v>
      </c>
    </row>
    <row r="810" spans="1:3" x14ac:dyDescent="0.25">
      <c r="A810" s="418">
        <v>41538</v>
      </c>
      <c r="B810" s="419">
        <v>0.79429398148148145</v>
      </c>
      <c r="C810" s="422" t="s">
        <v>1311</v>
      </c>
    </row>
    <row r="811" spans="1:3" x14ac:dyDescent="0.25">
      <c r="A811" s="418">
        <v>41538</v>
      </c>
      <c r="B811" s="419">
        <v>0.79429398148148145</v>
      </c>
      <c r="C811" s="422" t="s">
        <v>1312</v>
      </c>
    </row>
    <row r="812" spans="1:3" x14ac:dyDescent="0.25">
      <c r="A812" s="418">
        <v>41538</v>
      </c>
      <c r="B812" s="419">
        <v>0.79429398148148145</v>
      </c>
      <c r="C812" s="422" t="s">
        <v>1313</v>
      </c>
    </row>
    <row r="813" spans="1:3" x14ac:dyDescent="0.25">
      <c r="A813" s="418">
        <v>41538</v>
      </c>
      <c r="B813" s="419">
        <v>0.79429398148148145</v>
      </c>
      <c r="C813" s="422" t="s">
        <v>1314</v>
      </c>
    </row>
    <row r="814" spans="1:3" x14ac:dyDescent="0.25">
      <c r="A814" s="418">
        <v>41538</v>
      </c>
      <c r="B814" s="419">
        <v>0.79429398148148145</v>
      </c>
      <c r="C814" s="422" t="s">
        <v>1315</v>
      </c>
    </row>
    <row r="815" spans="1:3" x14ac:dyDescent="0.25">
      <c r="A815" s="418">
        <v>41538</v>
      </c>
      <c r="B815" s="419">
        <v>0.79429398148148145</v>
      </c>
      <c r="C815" s="422" t="s">
        <v>1316</v>
      </c>
    </row>
    <row r="816" spans="1:3" x14ac:dyDescent="0.25">
      <c r="A816" s="418">
        <v>41538</v>
      </c>
      <c r="B816" s="419">
        <v>0.79429398148148145</v>
      </c>
      <c r="C816" s="422" t="s">
        <v>1313</v>
      </c>
    </row>
    <row r="817" spans="1:3" x14ac:dyDescent="0.25">
      <c r="A817" s="418">
        <v>41538</v>
      </c>
      <c r="B817" s="419">
        <v>0.79429398148148145</v>
      </c>
      <c r="C817" s="422" t="s">
        <v>1317</v>
      </c>
    </row>
    <row r="818" spans="1:3" x14ac:dyDescent="0.25">
      <c r="A818" s="418">
        <v>41538</v>
      </c>
      <c r="B818" s="419">
        <v>0.79429398148148145</v>
      </c>
      <c r="C818" s="422" t="s">
        <v>1318</v>
      </c>
    </row>
    <row r="819" spans="1:3" x14ac:dyDescent="0.25">
      <c r="A819" s="418">
        <v>41538</v>
      </c>
      <c r="B819" s="419">
        <v>0.79429398148148145</v>
      </c>
      <c r="C819" s="422" t="s">
        <v>1463</v>
      </c>
    </row>
    <row r="820" spans="1:3" x14ac:dyDescent="0.25">
      <c r="A820" s="418">
        <v>41538</v>
      </c>
      <c r="B820" s="419">
        <v>0.79429398148148145</v>
      </c>
      <c r="C820" s="422" t="s">
        <v>1464</v>
      </c>
    </row>
    <row r="821" spans="1:3" x14ac:dyDescent="0.25">
      <c r="A821" s="418">
        <v>41538</v>
      </c>
      <c r="B821" s="419">
        <v>0.79429398148148145</v>
      </c>
      <c r="C821" s="422" t="s">
        <v>1313</v>
      </c>
    </row>
    <row r="822" spans="1:3" x14ac:dyDescent="0.25">
      <c r="A822" s="418">
        <v>41538</v>
      </c>
      <c r="B822" s="419">
        <v>0.79429398148148145</v>
      </c>
      <c r="C822" s="422" t="s">
        <v>1238</v>
      </c>
    </row>
    <row r="823" spans="1:3" x14ac:dyDescent="0.25">
      <c r="A823" s="418">
        <v>41538</v>
      </c>
      <c r="B823" s="419">
        <v>0.79429398148148145</v>
      </c>
      <c r="C823" s="422" t="s">
        <v>1465</v>
      </c>
    </row>
    <row r="824" spans="1:3" x14ac:dyDescent="0.25">
      <c r="A824" s="418">
        <v>41538</v>
      </c>
      <c r="B824" s="419">
        <v>0.79429398148148145</v>
      </c>
      <c r="C824" s="422" t="s">
        <v>1319</v>
      </c>
    </row>
    <row r="825" spans="1:3" x14ac:dyDescent="0.25">
      <c r="A825" s="418">
        <v>41538</v>
      </c>
      <c r="B825" s="419">
        <v>0.79429398148148145</v>
      </c>
      <c r="C825" s="422" t="s">
        <v>1319</v>
      </c>
    </row>
    <row r="826" spans="1:3" x14ac:dyDescent="0.25">
      <c r="A826" s="418">
        <v>41538</v>
      </c>
      <c r="B826" s="419">
        <v>0.79429398148148145</v>
      </c>
      <c r="C826" s="422" t="s">
        <v>1320</v>
      </c>
    </row>
    <row r="827" spans="1:3" x14ac:dyDescent="0.25">
      <c r="A827" s="418">
        <v>41538</v>
      </c>
      <c r="B827" s="419">
        <v>0.79429398148148145</v>
      </c>
      <c r="C827" s="422" t="s">
        <v>1312</v>
      </c>
    </row>
    <row r="828" spans="1:3" x14ac:dyDescent="0.25">
      <c r="A828" s="418">
        <v>41538</v>
      </c>
      <c r="B828" s="419">
        <v>0.79429398148148145</v>
      </c>
      <c r="C828" s="422" t="s">
        <v>1321</v>
      </c>
    </row>
    <row r="829" spans="1:3" x14ac:dyDescent="0.25">
      <c r="A829" s="418">
        <v>41538</v>
      </c>
      <c r="B829" s="419">
        <v>0.79429398148148145</v>
      </c>
      <c r="C829" s="422" t="s">
        <v>1322</v>
      </c>
    </row>
    <row r="830" spans="1:3" x14ac:dyDescent="0.25">
      <c r="A830" s="418">
        <v>41538</v>
      </c>
      <c r="B830" s="419">
        <v>0.79429398148148145</v>
      </c>
      <c r="C830" s="422" t="s">
        <v>1323</v>
      </c>
    </row>
    <row r="831" spans="1:3" x14ac:dyDescent="0.25">
      <c r="A831" s="418">
        <v>41538</v>
      </c>
      <c r="B831" s="419">
        <v>0.79429398148148145</v>
      </c>
      <c r="C831" s="422" t="s">
        <v>1321</v>
      </c>
    </row>
    <row r="832" spans="1:3" x14ac:dyDescent="0.25">
      <c r="A832" s="418">
        <v>41538</v>
      </c>
      <c r="B832" s="419">
        <v>0.79429398148148145</v>
      </c>
      <c r="C832" s="422" t="s">
        <v>1310</v>
      </c>
    </row>
    <row r="833" spans="1:3" x14ac:dyDescent="0.25">
      <c r="A833" s="418">
        <v>41538</v>
      </c>
      <c r="B833" s="419">
        <v>0.79429398148148145</v>
      </c>
      <c r="C833" s="422" t="s">
        <v>1324</v>
      </c>
    </row>
    <row r="834" spans="1:3" x14ac:dyDescent="0.25">
      <c r="A834" s="418">
        <v>41538</v>
      </c>
      <c r="B834" s="419">
        <v>0.79429398148148145</v>
      </c>
      <c r="C834" s="422" t="s">
        <v>1325</v>
      </c>
    </row>
    <row r="835" spans="1:3" x14ac:dyDescent="0.25">
      <c r="A835" s="418">
        <v>41538</v>
      </c>
      <c r="B835" s="419">
        <v>0.79429398148148145</v>
      </c>
      <c r="C835" s="422" t="s">
        <v>1325</v>
      </c>
    </row>
    <row r="836" spans="1:3" x14ac:dyDescent="0.25">
      <c r="A836" s="418">
        <v>41538</v>
      </c>
      <c r="B836" s="419">
        <v>0.79429398148148145</v>
      </c>
      <c r="C836" s="422" t="s">
        <v>1326</v>
      </c>
    </row>
    <row r="837" spans="1:3" x14ac:dyDescent="0.25">
      <c r="A837" s="418">
        <v>41538</v>
      </c>
      <c r="B837" s="419">
        <v>0.79429398148148145</v>
      </c>
      <c r="C837" s="422" t="s">
        <v>1327</v>
      </c>
    </row>
    <row r="838" spans="1:3" x14ac:dyDescent="0.25">
      <c r="A838" s="418">
        <v>41538</v>
      </c>
      <c r="B838" s="419">
        <v>0.79429398148148145</v>
      </c>
      <c r="C838" s="422" t="s">
        <v>1313</v>
      </c>
    </row>
    <row r="839" spans="1:3" x14ac:dyDescent="0.25">
      <c r="A839" s="418">
        <v>41538</v>
      </c>
      <c r="B839" s="419">
        <v>0.79429398148148145</v>
      </c>
      <c r="C839" s="422" t="s">
        <v>1328</v>
      </c>
    </row>
    <row r="840" spans="1:3" x14ac:dyDescent="0.25">
      <c r="A840" s="418">
        <v>41538</v>
      </c>
      <c r="B840" s="419">
        <v>0.79429398148148145</v>
      </c>
      <c r="C840" s="422" t="s">
        <v>1329</v>
      </c>
    </row>
    <row r="841" spans="1:3" x14ac:dyDescent="0.25">
      <c r="A841" s="418">
        <v>41538</v>
      </c>
      <c r="B841" s="419">
        <v>0.79429398148148145</v>
      </c>
      <c r="C841" s="422" t="s">
        <v>1330</v>
      </c>
    </row>
    <row r="842" spans="1:3" ht="45" x14ac:dyDescent="0.25">
      <c r="A842" s="418">
        <v>41538</v>
      </c>
      <c r="B842" s="419">
        <v>0.80765046296296295</v>
      </c>
      <c r="C842" s="952" t="s">
        <v>1468</v>
      </c>
    </row>
    <row r="843" spans="1:3" ht="45" x14ac:dyDescent="0.25">
      <c r="A843" s="418">
        <v>41538</v>
      </c>
      <c r="B843" s="419">
        <v>0.81020833333333331</v>
      </c>
      <c r="C843" s="952" t="s">
        <v>1469</v>
      </c>
    </row>
    <row r="844" spans="1:3" ht="45" x14ac:dyDescent="0.25">
      <c r="A844" s="418">
        <v>41538</v>
      </c>
      <c r="B844" s="419">
        <v>0.81114583333333334</v>
      </c>
      <c r="C844" s="952" t="s">
        <v>1470</v>
      </c>
    </row>
    <row r="845" spans="1:3" ht="45" x14ac:dyDescent="0.25">
      <c r="A845" s="418">
        <v>41538</v>
      </c>
      <c r="B845" s="419">
        <v>0.81134259259259256</v>
      </c>
      <c r="C845" s="952" t="s">
        <v>1471</v>
      </c>
    </row>
    <row r="846" spans="1:3" ht="30" x14ac:dyDescent="0.25">
      <c r="A846" s="418">
        <v>41538</v>
      </c>
      <c r="B846" s="419">
        <v>0.81150462962962966</v>
      </c>
      <c r="C846" s="952" t="s">
        <v>1472</v>
      </c>
    </row>
    <row r="847" spans="1:3" x14ac:dyDescent="0.25">
      <c r="A847" s="418">
        <v>41538</v>
      </c>
      <c r="B847" s="419">
        <v>0.81402777777777768</v>
      </c>
      <c r="C847" s="422" t="s">
        <v>1238</v>
      </c>
    </row>
    <row r="848" spans="1:3" x14ac:dyDescent="0.25">
      <c r="A848" s="418">
        <v>41538</v>
      </c>
      <c r="B848" s="419">
        <v>0.81402777777777768</v>
      </c>
      <c r="C848" s="422" t="s">
        <v>1310</v>
      </c>
    </row>
    <row r="849" spans="1:3" x14ac:dyDescent="0.25">
      <c r="A849" s="418">
        <v>41538</v>
      </c>
      <c r="B849" s="419">
        <v>0.81402777777777768</v>
      </c>
      <c r="C849" s="422" t="s">
        <v>1311</v>
      </c>
    </row>
    <row r="850" spans="1:3" x14ac:dyDescent="0.25">
      <c r="A850" s="418">
        <v>41538</v>
      </c>
      <c r="B850" s="419">
        <v>0.81402777777777768</v>
      </c>
      <c r="C850" s="422" t="s">
        <v>1312</v>
      </c>
    </row>
    <row r="851" spans="1:3" x14ac:dyDescent="0.25">
      <c r="A851" s="418">
        <v>41538</v>
      </c>
      <c r="B851" s="419">
        <v>0.81402777777777768</v>
      </c>
      <c r="C851" s="422" t="s">
        <v>1313</v>
      </c>
    </row>
    <row r="852" spans="1:3" x14ac:dyDescent="0.25">
      <c r="A852" s="418">
        <v>41538</v>
      </c>
      <c r="B852" s="419">
        <v>0.81402777777777768</v>
      </c>
      <c r="C852" s="422" t="s">
        <v>1314</v>
      </c>
    </row>
    <row r="853" spans="1:3" x14ac:dyDescent="0.25">
      <c r="A853" s="418">
        <v>41538</v>
      </c>
      <c r="B853" s="419">
        <v>0.81402777777777768</v>
      </c>
      <c r="C853" s="422" t="s">
        <v>1315</v>
      </c>
    </row>
    <row r="854" spans="1:3" x14ac:dyDescent="0.25">
      <c r="A854" s="418">
        <v>41538</v>
      </c>
      <c r="B854" s="419">
        <v>0.81402777777777768</v>
      </c>
      <c r="C854" s="422" t="s">
        <v>1316</v>
      </c>
    </row>
    <row r="855" spans="1:3" x14ac:dyDescent="0.25">
      <c r="A855" s="418">
        <v>41538</v>
      </c>
      <c r="B855" s="419">
        <v>0.81402777777777768</v>
      </c>
      <c r="C855" s="422" t="s">
        <v>1313</v>
      </c>
    </row>
    <row r="856" spans="1:3" x14ac:dyDescent="0.25">
      <c r="A856" s="418">
        <v>41538</v>
      </c>
      <c r="B856" s="419">
        <v>0.81402777777777768</v>
      </c>
      <c r="C856" s="422" t="s">
        <v>1317</v>
      </c>
    </row>
    <row r="857" spans="1:3" x14ac:dyDescent="0.25">
      <c r="A857" s="418">
        <v>41538</v>
      </c>
      <c r="B857" s="419">
        <v>0.81403935185185183</v>
      </c>
      <c r="C857" s="422" t="s">
        <v>1318</v>
      </c>
    </row>
    <row r="858" spans="1:3" x14ac:dyDescent="0.25">
      <c r="A858" s="418">
        <v>41538</v>
      </c>
      <c r="B858" s="419">
        <v>0.81403935185185183</v>
      </c>
      <c r="C858" s="422" t="s">
        <v>1463</v>
      </c>
    </row>
    <row r="859" spans="1:3" x14ac:dyDescent="0.25">
      <c r="A859" s="418">
        <v>41538</v>
      </c>
      <c r="B859" s="419">
        <v>0.81403935185185183</v>
      </c>
      <c r="C859" s="422" t="s">
        <v>1464</v>
      </c>
    </row>
    <row r="860" spans="1:3" x14ac:dyDescent="0.25">
      <c r="A860" s="418">
        <v>41538</v>
      </c>
      <c r="B860" s="419">
        <v>0.81403935185185183</v>
      </c>
      <c r="C860" s="422" t="s">
        <v>1313</v>
      </c>
    </row>
    <row r="861" spans="1:3" x14ac:dyDescent="0.25">
      <c r="A861" s="418">
        <v>41538</v>
      </c>
      <c r="B861" s="419">
        <v>0.81403935185185183</v>
      </c>
      <c r="C861" s="422" t="s">
        <v>1238</v>
      </c>
    </row>
    <row r="862" spans="1:3" x14ac:dyDescent="0.25">
      <c r="A862" s="418">
        <v>41538</v>
      </c>
      <c r="B862" s="419">
        <v>0.81403935185185183</v>
      </c>
      <c r="C862" s="422" t="s">
        <v>1465</v>
      </c>
    </row>
    <row r="863" spans="1:3" x14ac:dyDescent="0.25">
      <c r="A863" s="418">
        <v>41538</v>
      </c>
      <c r="B863" s="419">
        <v>0.81403935185185183</v>
      </c>
      <c r="C863" s="422" t="s">
        <v>1319</v>
      </c>
    </row>
    <row r="864" spans="1:3" x14ac:dyDescent="0.25">
      <c r="A864" s="418">
        <v>41538</v>
      </c>
      <c r="B864" s="419">
        <v>0.81403935185185183</v>
      </c>
      <c r="C864" s="422" t="s">
        <v>1319</v>
      </c>
    </row>
    <row r="865" spans="1:3" x14ac:dyDescent="0.25">
      <c r="A865" s="418">
        <v>41538</v>
      </c>
      <c r="B865" s="419">
        <v>0.81403935185185183</v>
      </c>
      <c r="C865" s="422" t="s">
        <v>1320</v>
      </c>
    </row>
    <row r="866" spans="1:3" x14ac:dyDescent="0.25">
      <c r="A866" s="418">
        <v>41538</v>
      </c>
      <c r="B866" s="419">
        <v>0.81403935185185183</v>
      </c>
      <c r="C866" s="422" t="s">
        <v>1312</v>
      </c>
    </row>
    <row r="867" spans="1:3" x14ac:dyDescent="0.25">
      <c r="A867" s="418">
        <v>41538</v>
      </c>
      <c r="B867" s="419">
        <v>0.81403935185185183</v>
      </c>
      <c r="C867" s="422" t="s">
        <v>1321</v>
      </c>
    </row>
    <row r="868" spans="1:3" x14ac:dyDescent="0.25">
      <c r="A868" s="418">
        <v>41538</v>
      </c>
      <c r="B868" s="419">
        <v>0.81403935185185183</v>
      </c>
      <c r="C868" s="422" t="s">
        <v>1322</v>
      </c>
    </row>
    <row r="869" spans="1:3" x14ac:dyDescent="0.25">
      <c r="A869" s="418">
        <v>41538</v>
      </c>
      <c r="B869" s="419">
        <v>0.81403935185185183</v>
      </c>
      <c r="C869" s="422" t="s">
        <v>1323</v>
      </c>
    </row>
    <row r="870" spans="1:3" x14ac:dyDescent="0.25">
      <c r="A870" s="418">
        <v>41538</v>
      </c>
      <c r="B870" s="419">
        <v>0.81403935185185183</v>
      </c>
      <c r="C870" s="422" t="s">
        <v>1321</v>
      </c>
    </row>
    <row r="871" spans="1:3" x14ac:dyDescent="0.25">
      <c r="A871" s="418">
        <v>41538</v>
      </c>
      <c r="B871" s="419">
        <v>0.81403935185185183</v>
      </c>
      <c r="C871" s="422" t="s">
        <v>1310</v>
      </c>
    </row>
    <row r="872" spans="1:3" x14ac:dyDescent="0.25">
      <c r="A872" s="418">
        <v>41538</v>
      </c>
      <c r="B872" s="419">
        <v>0.81403935185185183</v>
      </c>
      <c r="C872" s="422" t="s">
        <v>1324</v>
      </c>
    </row>
    <row r="873" spans="1:3" x14ac:dyDescent="0.25">
      <c r="A873" s="418">
        <v>41538</v>
      </c>
      <c r="B873" s="419">
        <v>0.81403935185185183</v>
      </c>
      <c r="C873" s="422" t="s">
        <v>1325</v>
      </c>
    </row>
    <row r="874" spans="1:3" x14ac:dyDescent="0.25">
      <c r="A874" s="418">
        <v>41538</v>
      </c>
      <c r="B874" s="419">
        <v>0.81403935185185183</v>
      </c>
      <c r="C874" s="422" t="s">
        <v>1325</v>
      </c>
    </row>
    <row r="875" spans="1:3" x14ac:dyDescent="0.25">
      <c r="A875" s="418">
        <v>41538</v>
      </c>
      <c r="B875" s="419">
        <v>0.81403935185185183</v>
      </c>
      <c r="C875" s="422" t="s">
        <v>1326</v>
      </c>
    </row>
    <row r="876" spans="1:3" x14ac:dyDescent="0.25">
      <c r="A876" s="418">
        <v>41538</v>
      </c>
      <c r="B876" s="419">
        <v>0.81403935185185183</v>
      </c>
      <c r="C876" s="422" t="s">
        <v>1327</v>
      </c>
    </row>
    <row r="877" spans="1:3" x14ac:dyDescent="0.25">
      <c r="A877" s="418">
        <v>41538</v>
      </c>
      <c r="B877" s="419">
        <v>0.81403935185185183</v>
      </c>
      <c r="C877" s="422" t="s">
        <v>1313</v>
      </c>
    </row>
    <row r="878" spans="1:3" x14ac:dyDescent="0.25">
      <c r="A878" s="418">
        <v>41538</v>
      </c>
      <c r="B878" s="419">
        <v>0.81403935185185183</v>
      </c>
      <c r="C878" s="422" t="s">
        <v>1328</v>
      </c>
    </row>
    <row r="879" spans="1:3" x14ac:dyDescent="0.25">
      <c r="A879" s="418">
        <v>41538</v>
      </c>
      <c r="B879" s="419">
        <v>0.81403935185185183</v>
      </c>
      <c r="C879" s="422" t="s">
        <v>1329</v>
      </c>
    </row>
    <row r="880" spans="1:3" x14ac:dyDescent="0.25">
      <c r="A880" s="418">
        <v>41538</v>
      </c>
      <c r="B880" s="419">
        <v>0.81403935185185183</v>
      </c>
      <c r="C880" s="422" t="s">
        <v>1330</v>
      </c>
    </row>
    <row r="881" spans="1:3" x14ac:dyDescent="0.25">
      <c r="A881" s="418">
        <v>41539</v>
      </c>
      <c r="B881" s="419">
        <v>0.67802083333333341</v>
      </c>
      <c r="C881" s="422" t="s">
        <v>1238</v>
      </c>
    </row>
    <row r="882" spans="1:3" x14ac:dyDescent="0.25">
      <c r="A882" s="418">
        <v>41539</v>
      </c>
      <c r="B882" s="419">
        <v>0.67802083333333341</v>
      </c>
      <c r="C882" s="422" t="s">
        <v>1310</v>
      </c>
    </row>
    <row r="883" spans="1:3" x14ac:dyDescent="0.25">
      <c r="A883" s="418">
        <v>41539</v>
      </c>
      <c r="B883" s="419">
        <v>0.67802083333333341</v>
      </c>
      <c r="C883" s="422" t="s">
        <v>1311</v>
      </c>
    </row>
    <row r="884" spans="1:3" x14ac:dyDescent="0.25">
      <c r="A884" s="418">
        <v>41539</v>
      </c>
      <c r="B884" s="419">
        <v>0.67802083333333341</v>
      </c>
      <c r="C884" s="422" t="s">
        <v>1312</v>
      </c>
    </row>
    <row r="885" spans="1:3" x14ac:dyDescent="0.25">
      <c r="A885" s="418">
        <v>41539</v>
      </c>
      <c r="B885" s="419">
        <v>0.67802083333333341</v>
      </c>
      <c r="C885" s="422" t="s">
        <v>1313</v>
      </c>
    </row>
    <row r="886" spans="1:3" x14ac:dyDescent="0.25">
      <c r="A886" s="418">
        <v>41539</v>
      </c>
      <c r="B886" s="419">
        <v>0.67802083333333341</v>
      </c>
      <c r="C886" s="422" t="s">
        <v>1314</v>
      </c>
    </row>
    <row r="887" spans="1:3" x14ac:dyDescent="0.25">
      <c r="A887" s="418">
        <v>41539</v>
      </c>
      <c r="B887" s="419">
        <v>0.67802083333333341</v>
      </c>
      <c r="C887" s="422" t="s">
        <v>1315</v>
      </c>
    </row>
    <row r="888" spans="1:3" x14ac:dyDescent="0.25">
      <c r="A888" s="418">
        <v>41539</v>
      </c>
      <c r="B888" s="419">
        <v>0.67802083333333341</v>
      </c>
      <c r="C888" s="422" t="s">
        <v>1316</v>
      </c>
    </row>
    <row r="889" spans="1:3" x14ac:dyDescent="0.25">
      <c r="A889" s="418">
        <v>41539</v>
      </c>
      <c r="B889" s="419">
        <v>0.67802083333333341</v>
      </c>
      <c r="C889" s="422" t="s">
        <v>1313</v>
      </c>
    </row>
    <row r="890" spans="1:3" x14ac:dyDescent="0.25">
      <c r="A890" s="418">
        <v>41539</v>
      </c>
      <c r="B890" s="419">
        <v>0.67802083333333341</v>
      </c>
      <c r="C890" s="422" t="s">
        <v>1317</v>
      </c>
    </row>
    <row r="891" spans="1:3" x14ac:dyDescent="0.25">
      <c r="A891" s="418">
        <v>41539</v>
      </c>
      <c r="B891" s="419">
        <v>0.67802083333333341</v>
      </c>
      <c r="C891" s="422" t="s">
        <v>1318</v>
      </c>
    </row>
    <row r="892" spans="1:3" x14ac:dyDescent="0.25">
      <c r="A892" s="418">
        <v>41539</v>
      </c>
      <c r="B892" s="419">
        <v>0.67802083333333341</v>
      </c>
      <c r="C892" s="422" t="s">
        <v>1463</v>
      </c>
    </row>
    <row r="893" spans="1:3" x14ac:dyDescent="0.25">
      <c r="A893" s="418">
        <v>41539</v>
      </c>
      <c r="B893" s="419">
        <v>0.67802083333333341</v>
      </c>
      <c r="C893" s="422" t="s">
        <v>1464</v>
      </c>
    </row>
    <row r="894" spans="1:3" x14ac:dyDescent="0.25">
      <c r="A894" s="418">
        <v>41539</v>
      </c>
      <c r="B894" s="419">
        <v>0.67802083333333341</v>
      </c>
      <c r="C894" s="422" t="s">
        <v>1313</v>
      </c>
    </row>
    <row r="895" spans="1:3" x14ac:dyDescent="0.25">
      <c r="A895" s="418">
        <v>41539</v>
      </c>
      <c r="B895" s="419">
        <v>0.67802083333333341</v>
      </c>
      <c r="C895" s="422" t="s">
        <v>1238</v>
      </c>
    </row>
    <row r="896" spans="1:3" x14ac:dyDescent="0.25">
      <c r="A896" s="418">
        <v>41539</v>
      </c>
      <c r="B896" s="419">
        <v>0.67802083333333341</v>
      </c>
      <c r="C896" s="422" t="s">
        <v>1465</v>
      </c>
    </row>
    <row r="897" spans="1:3" x14ac:dyDescent="0.25">
      <c r="A897" s="418">
        <v>41539</v>
      </c>
      <c r="B897" s="419">
        <v>0.67802083333333341</v>
      </c>
      <c r="C897" s="422" t="s">
        <v>1319</v>
      </c>
    </row>
    <row r="898" spans="1:3" x14ac:dyDescent="0.25">
      <c r="A898" s="418">
        <v>41539</v>
      </c>
      <c r="B898" s="419">
        <v>0.67802083333333341</v>
      </c>
      <c r="C898" s="422" t="s">
        <v>1319</v>
      </c>
    </row>
    <row r="899" spans="1:3" x14ac:dyDescent="0.25">
      <c r="A899" s="418">
        <v>41539</v>
      </c>
      <c r="B899" s="419">
        <v>0.67802083333333341</v>
      </c>
      <c r="C899" s="422" t="s">
        <v>1320</v>
      </c>
    </row>
    <row r="900" spans="1:3" x14ac:dyDescent="0.25">
      <c r="A900" s="418">
        <v>41539</v>
      </c>
      <c r="B900" s="419">
        <v>0.67802083333333341</v>
      </c>
      <c r="C900" s="422" t="s">
        <v>1312</v>
      </c>
    </row>
    <row r="901" spans="1:3" x14ac:dyDescent="0.25">
      <c r="A901" s="418">
        <v>41539</v>
      </c>
      <c r="B901" s="419">
        <v>0.67802083333333341</v>
      </c>
      <c r="C901" s="422" t="s">
        <v>1321</v>
      </c>
    </row>
    <row r="902" spans="1:3" x14ac:dyDescent="0.25">
      <c r="A902" s="418">
        <v>41539</v>
      </c>
      <c r="B902" s="419">
        <v>0.67802083333333341</v>
      </c>
      <c r="C902" s="422" t="s">
        <v>1322</v>
      </c>
    </row>
    <row r="903" spans="1:3" x14ac:dyDescent="0.25">
      <c r="A903" s="418">
        <v>41539</v>
      </c>
      <c r="B903" s="419">
        <v>0.67802083333333341</v>
      </c>
      <c r="C903" s="422" t="s">
        <v>1323</v>
      </c>
    </row>
    <row r="904" spans="1:3" x14ac:dyDescent="0.25">
      <c r="A904" s="418">
        <v>41539</v>
      </c>
      <c r="B904" s="419">
        <v>0.67802083333333341</v>
      </c>
      <c r="C904" s="422" t="s">
        <v>1321</v>
      </c>
    </row>
    <row r="905" spans="1:3" x14ac:dyDescent="0.25">
      <c r="A905" s="418">
        <v>41539</v>
      </c>
      <c r="B905" s="419">
        <v>0.67802083333333341</v>
      </c>
      <c r="C905" s="422" t="s">
        <v>1310</v>
      </c>
    </row>
    <row r="906" spans="1:3" x14ac:dyDescent="0.25">
      <c r="A906" s="418">
        <v>41539</v>
      </c>
      <c r="B906" s="419">
        <v>0.67802083333333341</v>
      </c>
      <c r="C906" s="422" t="s">
        <v>1324</v>
      </c>
    </row>
    <row r="907" spans="1:3" x14ac:dyDescent="0.25">
      <c r="A907" s="418">
        <v>41539</v>
      </c>
      <c r="B907" s="419">
        <v>0.67802083333333341</v>
      </c>
      <c r="C907" s="422" t="s">
        <v>1325</v>
      </c>
    </row>
    <row r="908" spans="1:3" x14ac:dyDescent="0.25">
      <c r="A908" s="418">
        <v>41539</v>
      </c>
      <c r="B908" s="419">
        <v>0.67802083333333341</v>
      </c>
      <c r="C908" s="422" t="s">
        <v>1325</v>
      </c>
    </row>
    <row r="909" spans="1:3" x14ac:dyDescent="0.25">
      <c r="A909" s="418">
        <v>41539</v>
      </c>
      <c r="B909" s="419">
        <v>0.67803240740740733</v>
      </c>
      <c r="C909" s="422" t="s">
        <v>1326</v>
      </c>
    </row>
    <row r="910" spans="1:3" x14ac:dyDescent="0.25">
      <c r="A910" s="418">
        <v>41539</v>
      </c>
      <c r="B910" s="419">
        <v>0.67803240740740733</v>
      </c>
      <c r="C910" s="422" t="s">
        <v>1327</v>
      </c>
    </row>
    <row r="911" spans="1:3" x14ac:dyDescent="0.25">
      <c r="A911" s="418">
        <v>41539</v>
      </c>
      <c r="B911" s="419">
        <v>0.67803240740740733</v>
      </c>
      <c r="C911" s="422" t="s">
        <v>1313</v>
      </c>
    </row>
    <row r="912" spans="1:3" x14ac:dyDescent="0.25">
      <c r="A912" s="418">
        <v>41539</v>
      </c>
      <c r="B912" s="419">
        <v>0.67803240740740733</v>
      </c>
      <c r="C912" s="422" t="s">
        <v>1328</v>
      </c>
    </row>
    <row r="913" spans="1:3" x14ac:dyDescent="0.25">
      <c r="A913" s="418">
        <v>41539</v>
      </c>
      <c r="B913" s="419">
        <v>0.67803240740740733</v>
      </c>
      <c r="C913" s="422" t="s">
        <v>1329</v>
      </c>
    </row>
    <row r="914" spans="1:3" x14ac:dyDescent="0.25">
      <c r="A914" s="418">
        <v>41539</v>
      </c>
      <c r="B914" s="419">
        <v>0.67803240740740733</v>
      </c>
      <c r="C914" s="422" t="s">
        <v>1330</v>
      </c>
    </row>
    <row r="915" spans="1:3" ht="45" x14ac:dyDescent="0.25">
      <c r="A915" s="418">
        <v>41539</v>
      </c>
      <c r="B915" s="419">
        <v>0.68428240740740742</v>
      </c>
      <c r="C915" s="952" t="s">
        <v>1473</v>
      </c>
    </row>
    <row r="916" spans="1:3" ht="30" x14ac:dyDescent="0.25">
      <c r="A916" s="418">
        <v>41539</v>
      </c>
      <c r="B916" s="419">
        <v>0.69497685185185187</v>
      </c>
      <c r="C916" s="952" t="s">
        <v>1474</v>
      </c>
    </row>
    <row r="917" spans="1:3" ht="45" x14ac:dyDescent="0.25">
      <c r="A917" s="418">
        <v>41539</v>
      </c>
      <c r="B917" s="419">
        <v>0.72667824074074072</v>
      </c>
      <c r="C917" s="952" t="s">
        <v>1475</v>
      </c>
    </row>
    <row r="918" spans="1:3" ht="45" x14ac:dyDescent="0.25">
      <c r="A918" s="418">
        <v>41539</v>
      </c>
      <c r="B918" s="419">
        <v>0.72763888888888895</v>
      </c>
      <c r="C918" s="952" t="s">
        <v>1476</v>
      </c>
    </row>
    <row r="919" spans="1:3" ht="45" x14ac:dyDescent="0.25">
      <c r="A919" s="418">
        <v>41539</v>
      </c>
      <c r="B919" s="419">
        <v>0.72854166666666664</v>
      </c>
      <c r="C919" s="952" t="s">
        <v>1477</v>
      </c>
    </row>
    <row r="920" spans="1:3" ht="30" x14ac:dyDescent="0.25">
      <c r="A920" s="418">
        <v>41539</v>
      </c>
      <c r="B920" s="419">
        <v>0.72942129629629626</v>
      </c>
      <c r="C920" s="952" t="s">
        <v>1478</v>
      </c>
    </row>
    <row r="921" spans="1:3" ht="45" x14ac:dyDescent="0.25">
      <c r="A921" s="418">
        <v>41539</v>
      </c>
      <c r="B921" s="419">
        <v>0.73506944444444444</v>
      </c>
      <c r="C921" s="952" t="s">
        <v>1479</v>
      </c>
    </row>
    <row r="922" spans="1:3" x14ac:dyDescent="0.25">
      <c r="A922" s="418">
        <v>41539</v>
      </c>
      <c r="B922" s="419">
        <v>0.73526620370370377</v>
      </c>
      <c r="C922" s="422" t="s">
        <v>1238</v>
      </c>
    </row>
    <row r="923" spans="1:3" x14ac:dyDescent="0.25">
      <c r="A923" s="418">
        <v>41539</v>
      </c>
      <c r="B923" s="419">
        <v>0.73526620370370377</v>
      </c>
      <c r="C923" s="422" t="s">
        <v>1310</v>
      </c>
    </row>
    <row r="924" spans="1:3" x14ac:dyDescent="0.25">
      <c r="A924" s="418">
        <v>41539</v>
      </c>
      <c r="B924" s="419">
        <v>0.73526620370370377</v>
      </c>
      <c r="C924" s="422" t="s">
        <v>1311</v>
      </c>
    </row>
    <row r="925" spans="1:3" x14ac:dyDescent="0.25">
      <c r="A925" s="418">
        <v>41539</v>
      </c>
      <c r="B925" s="419">
        <v>0.73526620370370377</v>
      </c>
      <c r="C925" s="422" t="s">
        <v>1312</v>
      </c>
    </row>
    <row r="926" spans="1:3" x14ac:dyDescent="0.25">
      <c r="A926" s="418">
        <v>41539</v>
      </c>
      <c r="B926" s="419">
        <v>0.73526620370370377</v>
      </c>
      <c r="C926" s="422" t="s">
        <v>1313</v>
      </c>
    </row>
    <row r="927" spans="1:3" x14ac:dyDescent="0.25">
      <c r="A927" s="418">
        <v>41539</v>
      </c>
      <c r="B927" s="419">
        <v>0.73526620370370377</v>
      </c>
      <c r="C927" s="422" t="s">
        <v>1314</v>
      </c>
    </row>
    <row r="928" spans="1:3" x14ac:dyDescent="0.25">
      <c r="A928" s="418">
        <v>41539</v>
      </c>
      <c r="B928" s="419">
        <v>0.73526620370370377</v>
      </c>
      <c r="C928" s="422" t="s">
        <v>1315</v>
      </c>
    </row>
    <row r="929" spans="1:3" x14ac:dyDescent="0.25">
      <c r="A929" s="418">
        <v>41539</v>
      </c>
      <c r="B929" s="419">
        <v>0.73526620370370377</v>
      </c>
      <c r="C929" s="422" t="s">
        <v>1316</v>
      </c>
    </row>
    <row r="930" spans="1:3" x14ac:dyDescent="0.25">
      <c r="A930" s="418">
        <v>41539</v>
      </c>
      <c r="B930" s="419">
        <v>0.73526620370370377</v>
      </c>
      <c r="C930" s="422" t="s">
        <v>1313</v>
      </c>
    </row>
    <row r="931" spans="1:3" x14ac:dyDescent="0.25">
      <c r="A931" s="418">
        <v>41539</v>
      </c>
      <c r="B931" s="419">
        <v>0.73526620370370377</v>
      </c>
      <c r="C931" s="422" t="s">
        <v>1317</v>
      </c>
    </row>
    <row r="932" spans="1:3" x14ac:dyDescent="0.25">
      <c r="A932" s="418">
        <v>41539</v>
      </c>
      <c r="B932" s="419">
        <v>0.73526620370370377</v>
      </c>
      <c r="C932" s="422" t="s">
        <v>1318</v>
      </c>
    </row>
    <row r="933" spans="1:3" x14ac:dyDescent="0.25">
      <c r="A933" s="418">
        <v>41539</v>
      </c>
      <c r="B933" s="419">
        <v>0.73526620370370377</v>
      </c>
      <c r="C933" s="422" t="s">
        <v>1463</v>
      </c>
    </row>
    <row r="934" spans="1:3" x14ac:dyDescent="0.25">
      <c r="A934" s="418">
        <v>41539</v>
      </c>
      <c r="B934" s="419">
        <v>0.73526620370370377</v>
      </c>
      <c r="C934" s="422" t="s">
        <v>1464</v>
      </c>
    </row>
    <row r="935" spans="1:3" x14ac:dyDescent="0.25">
      <c r="A935" s="418">
        <v>41539</v>
      </c>
      <c r="B935" s="419">
        <v>0.73526620370370377</v>
      </c>
      <c r="C935" s="422" t="s">
        <v>1313</v>
      </c>
    </row>
    <row r="936" spans="1:3" x14ac:dyDescent="0.25">
      <c r="A936" s="418">
        <v>41539</v>
      </c>
      <c r="B936" s="419">
        <v>0.73526620370370377</v>
      </c>
      <c r="C936" s="422" t="s">
        <v>1238</v>
      </c>
    </row>
    <row r="937" spans="1:3" x14ac:dyDescent="0.25">
      <c r="A937" s="418">
        <v>41539</v>
      </c>
      <c r="B937" s="419">
        <v>0.73526620370370377</v>
      </c>
      <c r="C937" s="422" t="s">
        <v>1465</v>
      </c>
    </row>
    <row r="938" spans="1:3" x14ac:dyDescent="0.25">
      <c r="A938" s="418">
        <v>41539</v>
      </c>
      <c r="B938" s="419">
        <v>0.73526620370370377</v>
      </c>
      <c r="C938" s="422" t="s">
        <v>1319</v>
      </c>
    </row>
    <row r="939" spans="1:3" x14ac:dyDescent="0.25">
      <c r="A939" s="418">
        <v>41539</v>
      </c>
      <c r="B939" s="419">
        <v>0.73526620370370377</v>
      </c>
      <c r="C939" s="422" t="s">
        <v>1319</v>
      </c>
    </row>
    <row r="940" spans="1:3" x14ac:dyDescent="0.25">
      <c r="A940" s="418">
        <v>41539</v>
      </c>
      <c r="B940" s="419">
        <v>0.73526620370370377</v>
      </c>
      <c r="C940" s="422" t="s">
        <v>1320</v>
      </c>
    </row>
    <row r="941" spans="1:3" x14ac:dyDescent="0.25">
      <c r="A941" s="418">
        <v>41539</v>
      </c>
      <c r="B941" s="419">
        <v>0.73526620370370377</v>
      </c>
      <c r="C941" s="422" t="s">
        <v>1312</v>
      </c>
    </row>
    <row r="942" spans="1:3" x14ac:dyDescent="0.25">
      <c r="A942" s="418">
        <v>41539</v>
      </c>
      <c r="B942" s="419">
        <v>0.73526620370370377</v>
      </c>
      <c r="C942" s="422" t="s">
        <v>1321</v>
      </c>
    </row>
    <row r="943" spans="1:3" x14ac:dyDescent="0.25">
      <c r="A943" s="418">
        <v>41539</v>
      </c>
      <c r="B943" s="419">
        <v>0.73526620370370377</v>
      </c>
      <c r="C943" s="422" t="s">
        <v>1322</v>
      </c>
    </row>
    <row r="944" spans="1:3" x14ac:dyDescent="0.25">
      <c r="A944" s="418">
        <v>41539</v>
      </c>
      <c r="B944" s="419">
        <v>0.73526620370370377</v>
      </c>
      <c r="C944" s="422" t="s">
        <v>1323</v>
      </c>
    </row>
    <row r="945" spans="1:3" x14ac:dyDescent="0.25">
      <c r="A945" s="418">
        <v>41539</v>
      </c>
      <c r="B945" s="419">
        <v>0.73526620370370377</v>
      </c>
      <c r="C945" s="422" t="s">
        <v>1321</v>
      </c>
    </row>
    <row r="946" spans="1:3" x14ac:dyDescent="0.25">
      <c r="A946" s="418">
        <v>41539</v>
      </c>
      <c r="B946" s="419">
        <v>0.73526620370370377</v>
      </c>
      <c r="C946" s="422" t="s">
        <v>1310</v>
      </c>
    </row>
    <row r="947" spans="1:3" x14ac:dyDescent="0.25">
      <c r="A947" s="418">
        <v>41539</v>
      </c>
      <c r="B947" s="419">
        <v>0.73526620370370377</v>
      </c>
      <c r="C947" s="422" t="s">
        <v>1324</v>
      </c>
    </row>
    <row r="948" spans="1:3" x14ac:dyDescent="0.25">
      <c r="A948" s="418">
        <v>41539</v>
      </c>
      <c r="B948" s="419">
        <v>0.73526620370370377</v>
      </c>
      <c r="C948" s="422" t="s">
        <v>1325</v>
      </c>
    </row>
    <row r="949" spans="1:3" x14ac:dyDescent="0.25">
      <c r="A949" s="418">
        <v>41539</v>
      </c>
      <c r="B949" s="419">
        <v>0.73526620370370377</v>
      </c>
      <c r="C949" s="422" t="s">
        <v>1325</v>
      </c>
    </row>
    <row r="950" spans="1:3" x14ac:dyDescent="0.25">
      <c r="A950" s="418">
        <v>41539</v>
      </c>
      <c r="B950" s="419">
        <v>0.73526620370370377</v>
      </c>
      <c r="C950" s="422" t="s">
        <v>1326</v>
      </c>
    </row>
    <row r="951" spans="1:3" x14ac:dyDescent="0.25">
      <c r="A951" s="418">
        <v>41539</v>
      </c>
      <c r="B951" s="419">
        <v>0.73526620370370377</v>
      </c>
      <c r="C951" s="422" t="s">
        <v>1327</v>
      </c>
    </row>
    <row r="952" spans="1:3" x14ac:dyDescent="0.25">
      <c r="A952" s="418">
        <v>41539</v>
      </c>
      <c r="B952" s="419">
        <v>0.73526620370370377</v>
      </c>
      <c r="C952" s="422" t="s">
        <v>1313</v>
      </c>
    </row>
    <row r="953" spans="1:3" x14ac:dyDescent="0.25">
      <c r="A953" s="418">
        <v>41539</v>
      </c>
      <c r="B953" s="419">
        <v>0.73526620370370377</v>
      </c>
      <c r="C953" s="422" t="s">
        <v>1328</v>
      </c>
    </row>
    <row r="954" spans="1:3" x14ac:dyDescent="0.25">
      <c r="A954" s="418">
        <v>41539</v>
      </c>
      <c r="B954" s="419">
        <v>0.73526620370370377</v>
      </c>
      <c r="C954" s="422" t="s">
        <v>1329</v>
      </c>
    </row>
    <row r="955" spans="1:3" x14ac:dyDescent="0.25">
      <c r="A955" s="418">
        <v>41539</v>
      </c>
      <c r="B955" s="419">
        <v>0.73526620370370377</v>
      </c>
      <c r="C955" s="422" t="s">
        <v>1330</v>
      </c>
    </row>
    <row r="956" spans="1:3" ht="30" x14ac:dyDescent="0.25">
      <c r="A956" s="418">
        <v>41539</v>
      </c>
      <c r="B956" s="419">
        <v>0.92221064814814813</v>
      </c>
      <c r="C956" s="952" t="s">
        <v>1480</v>
      </c>
    </row>
    <row r="957" spans="1:3" x14ac:dyDescent="0.25">
      <c r="A957" s="418">
        <v>41539</v>
      </c>
      <c r="B957" s="419">
        <v>0.92245370370370372</v>
      </c>
      <c r="C957" s="422" t="s">
        <v>1238</v>
      </c>
    </row>
    <row r="958" spans="1:3" x14ac:dyDescent="0.25">
      <c r="A958" s="418">
        <v>41539</v>
      </c>
      <c r="B958" s="419">
        <v>0.92245370370370372</v>
      </c>
      <c r="C958" s="422" t="s">
        <v>1310</v>
      </c>
    </row>
    <row r="959" spans="1:3" x14ac:dyDescent="0.25">
      <c r="A959" s="418">
        <v>41539</v>
      </c>
      <c r="B959" s="419">
        <v>0.92245370370370372</v>
      </c>
      <c r="C959" s="422" t="s">
        <v>1311</v>
      </c>
    </row>
    <row r="960" spans="1:3" x14ac:dyDescent="0.25">
      <c r="A960" s="418">
        <v>41539</v>
      </c>
      <c r="B960" s="419">
        <v>0.92245370370370372</v>
      </c>
      <c r="C960" s="422" t="s">
        <v>1312</v>
      </c>
    </row>
    <row r="961" spans="1:3" x14ac:dyDescent="0.25">
      <c r="A961" s="418">
        <v>41539</v>
      </c>
      <c r="B961" s="419">
        <v>0.92245370370370372</v>
      </c>
      <c r="C961" s="422" t="s">
        <v>1313</v>
      </c>
    </row>
    <row r="962" spans="1:3" x14ac:dyDescent="0.25">
      <c r="A962" s="418">
        <v>41539</v>
      </c>
      <c r="B962" s="419">
        <v>0.92245370370370372</v>
      </c>
      <c r="C962" s="422" t="s">
        <v>1314</v>
      </c>
    </row>
    <row r="963" spans="1:3" x14ac:dyDescent="0.25">
      <c r="A963" s="418">
        <v>41539</v>
      </c>
      <c r="B963" s="419">
        <v>0.92245370370370372</v>
      </c>
      <c r="C963" s="422" t="s">
        <v>1315</v>
      </c>
    </row>
    <row r="964" spans="1:3" x14ac:dyDescent="0.25">
      <c r="A964" s="418">
        <v>41539</v>
      </c>
      <c r="B964" s="419">
        <v>0.92245370370370372</v>
      </c>
      <c r="C964" s="422" t="s">
        <v>1316</v>
      </c>
    </row>
    <row r="965" spans="1:3" x14ac:dyDescent="0.25">
      <c r="A965" s="418">
        <v>41539</v>
      </c>
      <c r="B965" s="419">
        <v>0.92245370370370372</v>
      </c>
      <c r="C965" s="422" t="s">
        <v>1313</v>
      </c>
    </row>
    <row r="966" spans="1:3" x14ac:dyDescent="0.25">
      <c r="A966" s="418">
        <v>41539</v>
      </c>
      <c r="B966" s="419">
        <v>0.92245370370370372</v>
      </c>
      <c r="C966" s="422" t="s">
        <v>1317</v>
      </c>
    </row>
    <row r="967" spans="1:3" x14ac:dyDescent="0.25">
      <c r="A967" s="418">
        <v>41539</v>
      </c>
      <c r="B967" s="419">
        <v>0.92245370370370372</v>
      </c>
      <c r="C967" s="422" t="s">
        <v>1318</v>
      </c>
    </row>
    <row r="968" spans="1:3" x14ac:dyDescent="0.25">
      <c r="A968" s="418">
        <v>41539</v>
      </c>
      <c r="B968" s="419">
        <v>0.92245370370370372</v>
      </c>
      <c r="C968" s="422" t="s">
        <v>1463</v>
      </c>
    </row>
    <row r="969" spans="1:3" x14ac:dyDescent="0.25">
      <c r="A969" s="418">
        <v>41539</v>
      </c>
      <c r="B969" s="419">
        <v>0.92245370370370372</v>
      </c>
      <c r="C969" s="422" t="s">
        <v>1464</v>
      </c>
    </row>
    <row r="970" spans="1:3" x14ac:dyDescent="0.25">
      <c r="A970" s="418">
        <v>41539</v>
      </c>
      <c r="B970" s="419">
        <v>0.92245370370370372</v>
      </c>
      <c r="C970" s="422" t="s">
        <v>1313</v>
      </c>
    </row>
    <row r="971" spans="1:3" x14ac:dyDescent="0.25">
      <c r="A971" s="418">
        <v>41539</v>
      </c>
      <c r="B971" s="419">
        <v>0.92245370370370372</v>
      </c>
      <c r="C971" s="422" t="s">
        <v>1238</v>
      </c>
    </row>
    <row r="972" spans="1:3" x14ac:dyDescent="0.25">
      <c r="A972" s="418">
        <v>41539</v>
      </c>
      <c r="B972" s="419">
        <v>0.92245370370370372</v>
      </c>
      <c r="C972" s="422" t="s">
        <v>1465</v>
      </c>
    </row>
    <row r="973" spans="1:3" x14ac:dyDescent="0.25">
      <c r="A973" s="418">
        <v>41539</v>
      </c>
      <c r="B973" s="419">
        <v>0.92245370370370372</v>
      </c>
      <c r="C973" s="422" t="s">
        <v>1319</v>
      </c>
    </row>
    <row r="974" spans="1:3" x14ac:dyDescent="0.25">
      <c r="A974" s="418">
        <v>41539</v>
      </c>
      <c r="B974" s="419">
        <v>0.92245370370370372</v>
      </c>
      <c r="C974" s="422" t="s">
        <v>1319</v>
      </c>
    </row>
    <row r="975" spans="1:3" x14ac:dyDescent="0.25">
      <c r="A975" s="418">
        <v>41539</v>
      </c>
      <c r="B975" s="419">
        <v>0.92245370370370372</v>
      </c>
      <c r="C975" s="422" t="s">
        <v>1320</v>
      </c>
    </row>
    <row r="976" spans="1:3" x14ac:dyDescent="0.25">
      <c r="A976" s="418">
        <v>41539</v>
      </c>
      <c r="B976" s="419">
        <v>0.92245370370370372</v>
      </c>
      <c r="C976" s="422" t="s">
        <v>1312</v>
      </c>
    </row>
    <row r="977" spans="1:3" x14ac:dyDescent="0.25">
      <c r="A977" s="418">
        <v>41539</v>
      </c>
      <c r="B977" s="419">
        <v>0.92245370370370372</v>
      </c>
      <c r="C977" s="422" t="s">
        <v>1321</v>
      </c>
    </row>
    <row r="978" spans="1:3" x14ac:dyDescent="0.25">
      <c r="A978" s="418">
        <v>41539</v>
      </c>
      <c r="B978" s="419">
        <v>0.92245370370370372</v>
      </c>
      <c r="C978" s="422" t="s">
        <v>1322</v>
      </c>
    </row>
    <row r="979" spans="1:3" x14ac:dyDescent="0.25">
      <c r="A979" s="418">
        <v>41539</v>
      </c>
      <c r="B979" s="419">
        <v>0.92245370370370372</v>
      </c>
      <c r="C979" s="422" t="s">
        <v>1323</v>
      </c>
    </row>
    <row r="980" spans="1:3" x14ac:dyDescent="0.25">
      <c r="A980" s="418">
        <v>41539</v>
      </c>
      <c r="B980" s="419">
        <v>0.92245370370370372</v>
      </c>
      <c r="C980" s="422" t="s">
        <v>1321</v>
      </c>
    </row>
    <row r="981" spans="1:3" x14ac:dyDescent="0.25">
      <c r="A981" s="418">
        <v>41539</v>
      </c>
      <c r="B981" s="419">
        <v>0.92245370370370372</v>
      </c>
      <c r="C981" s="422" t="s">
        <v>1310</v>
      </c>
    </row>
    <row r="982" spans="1:3" x14ac:dyDescent="0.25">
      <c r="A982" s="418">
        <v>41539</v>
      </c>
      <c r="B982" s="419">
        <v>0.92245370370370372</v>
      </c>
      <c r="C982" s="422" t="s">
        <v>1324</v>
      </c>
    </row>
    <row r="983" spans="1:3" x14ac:dyDescent="0.25">
      <c r="A983" s="418">
        <v>41539</v>
      </c>
      <c r="B983" s="419">
        <v>0.92245370370370372</v>
      </c>
      <c r="C983" s="422" t="s">
        <v>1325</v>
      </c>
    </row>
    <row r="984" spans="1:3" x14ac:dyDescent="0.25">
      <c r="A984" s="418">
        <v>41539</v>
      </c>
      <c r="B984" s="419">
        <v>0.92245370370370372</v>
      </c>
      <c r="C984" s="422" t="s">
        <v>1325</v>
      </c>
    </row>
    <row r="985" spans="1:3" x14ac:dyDescent="0.25">
      <c r="A985" s="418">
        <v>41539</v>
      </c>
      <c r="B985" s="419">
        <v>0.92245370370370372</v>
      </c>
      <c r="C985" s="422" t="s">
        <v>1326</v>
      </c>
    </row>
    <row r="986" spans="1:3" x14ac:dyDescent="0.25">
      <c r="A986" s="418">
        <v>41539</v>
      </c>
      <c r="B986" s="419">
        <v>0.92245370370370372</v>
      </c>
      <c r="C986" s="422" t="s">
        <v>1327</v>
      </c>
    </row>
    <row r="987" spans="1:3" x14ac:dyDescent="0.25">
      <c r="A987" s="418">
        <v>41539</v>
      </c>
      <c r="B987" s="419">
        <v>0.92245370370370372</v>
      </c>
      <c r="C987" s="422" t="s">
        <v>1313</v>
      </c>
    </row>
    <row r="988" spans="1:3" x14ac:dyDescent="0.25">
      <c r="A988" s="418">
        <v>41539</v>
      </c>
      <c r="B988" s="419">
        <v>0.92245370370370372</v>
      </c>
      <c r="C988" s="422" t="s">
        <v>1328</v>
      </c>
    </row>
    <row r="989" spans="1:3" x14ac:dyDescent="0.25">
      <c r="A989" s="418">
        <v>41539</v>
      </c>
      <c r="B989" s="419">
        <v>0.92245370370370372</v>
      </c>
      <c r="C989" s="422" t="s">
        <v>1329</v>
      </c>
    </row>
    <row r="990" spans="1:3" x14ac:dyDescent="0.25">
      <c r="A990" s="418">
        <v>41539</v>
      </c>
      <c r="B990" s="419">
        <v>0.92245370370370372</v>
      </c>
      <c r="C990" s="422" t="s">
        <v>1330</v>
      </c>
    </row>
    <row r="991" spans="1:3" x14ac:dyDescent="0.25">
      <c r="A991" s="418">
        <v>41539</v>
      </c>
      <c r="B991" s="419">
        <v>0.92274305555555547</v>
      </c>
      <c r="C991" s="422" t="s">
        <v>1331</v>
      </c>
    </row>
    <row r="992" spans="1:3" ht="60" x14ac:dyDescent="0.25">
      <c r="A992" s="418">
        <v>41539</v>
      </c>
      <c r="B992" s="419">
        <v>0.92274305555555547</v>
      </c>
      <c r="C992" s="952" t="s">
        <v>1481</v>
      </c>
    </row>
    <row r="993" spans="1:3" x14ac:dyDescent="0.25">
      <c r="A993" s="418">
        <v>41539</v>
      </c>
      <c r="B993" s="419">
        <v>0.92284722222222226</v>
      </c>
      <c r="C993" s="422" t="s">
        <v>1326</v>
      </c>
    </row>
    <row r="994" spans="1:3" x14ac:dyDescent="0.25">
      <c r="A994" s="418">
        <v>41539</v>
      </c>
      <c r="B994" s="419">
        <v>0.92284722222222226</v>
      </c>
      <c r="C994" s="422" t="s">
        <v>1345</v>
      </c>
    </row>
    <row r="995" spans="1:3" x14ac:dyDescent="0.25">
      <c r="A995" s="418">
        <v>41539</v>
      </c>
      <c r="B995" s="419">
        <v>0.92284722222222226</v>
      </c>
      <c r="C995" s="422" t="s">
        <v>1346</v>
      </c>
    </row>
    <row r="996" spans="1:3" x14ac:dyDescent="0.25">
      <c r="A996" s="418">
        <v>41539</v>
      </c>
      <c r="B996" s="419">
        <v>0.92284722222222226</v>
      </c>
      <c r="C996" s="422" t="s">
        <v>1347</v>
      </c>
    </row>
    <row r="997" spans="1:3" x14ac:dyDescent="0.25">
      <c r="A997" s="418">
        <v>41539</v>
      </c>
      <c r="B997" s="419">
        <v>0.92284722222222226</v>
      </c>
      <c r="C997" s="422" t="s">
        <v>1347</v>
      </c>
    </row>
    <row r="998" spans="1:3" x14ac:dyDescent="0.25">
      <c r="A998" s="418">
        <v>41539</v>
      </c>
      <c r="B998" s="419">
        <v>0.92284722222222226</v>
      </c>
      <c r="C998" s="422" t="s">
        <v>1313</v>
      </c>
    </row>
    <row r="999" spans="1:3" x14ac:dyDescent="0.25">
      <c r="A999" s="418">
        <v>41539</v>
      </c>
      <c r="B999" s="419">
        <v>0.92284722222222226</v>
      </c>
      <c r="C999" s="422" t="s">
        <v>1348</v>
      </c>
    </row>
    <row r="1000" spans="1:3" x14ac:dyDescent="0.25">
      <c r="A1000" s="418">
        <v>41539</v>
      </c>
      <c r="B1000" s="419">
        <v>0.92284722222222226</v>
      </c>
      <c r="C1000" s="422" t="s">
        <v>1349</v>
      </c>
    </row>
    <row r="1001" spans="1:3" x14ac:dyDescent="0.25">
      <c r="A1001" s="418">
        <v>41539</v>
      </c>
      <c r="B1001" s="419">
        <v>0.92284722222222226</v>
      </c>
      <c r="C1001" s="422" t="s">
        <v>1350</v>
      </c>
    </row>
    <row r="1002" spans="1:3" x14ac:dyDescent="0.25">
      <c r="A1002" s="418">
        <v>41539</v>
      </c>
      <c r="B1002" s="419">
        <v>0.92284722222222226</v>
      </c>
      <c r="C1002" s="422" t="s">
        <v>1351</v>
      </c>
    </row>
    <row r="1003" spans="1:3" x14ac:dyDescent="0.25">
      <c r="A1003" s="418">
        <v>41539</v>
      </c>
      <c r="B1003" s="419">
        <v>0.92284722222222226</v>
      </c>
      <c r="C1003" s="422" t="s">
        <v>1352</v>
      </c>
    </row>
    <row r="1004" spans="1:3" x14ac:dyDescent="0.25">
      <c r="A1004" s="418">
        <v>41539</v>
      </c>
      <c r="B1004" s="419">
        <v>0.92284722222222226</v>
      </c>
      <c r="C1004" s="422" t="s">
        <v>1352</v>
      </c>
    </row>
    <row r="1005" spans="1:3" x14ac:dyDescent="0.25">
      <c r="A1005" s="418">
        <v>41539</v>
      </c>
      <c r="B1005" s="419">
        <v>0.92284722222222226</v>
      </c>
      <c r="C1005" s="422" t="s">
        <v>1351</v>
      </c>
    </row>
    <row r="1006" spans="1:3" x14ac:dyDescent="0.25">
      <c r="A1006" s="418">
        <v>41539</v>
      </c>
      <c r="B1006" s="419">
        <v>0.92284722222222226</v>
      </c>
      <c r="C1006" s="422" t="s">
        <v>1353</v>
      </c>
    </row>
    <row r="1007" spans="1:3" x14ac:dyDescent="0.25">
      <c r="A1007" s="418">
        <v>41539</v>
      </c>
      <c r="B1007" s="419">
        <v>0.92284722222222226</v>
      </c>
      <c r="C1007" s="422" t="s">
        <v>1354</v>
      </c>
    </row>
    <row r="1008" spans="1:3" x14ac:dyDescent="0.25">
      <c r="A1008" s="418">
        <v>41539</v>
      </c>
      <c r="B1008" s="419">
        <v>0.92284722222222226</v>
      </c>
      <c r="C1008" s="422" t="s">
        <v>1355</v>
      </c>
    </row>
    <row r="1009" spans="1:3" x14ac:dyDescent="0.25">
      <c r="A1009" s="418">
        <v>41539</v>
      </c>
      <c r="B1009" s="419">
        <v>0.92287037037037034</v>
      </c>
      <c r="C1009" s="422" t="s">
        <v>1290</v>
      </c>
    </row>
    <row r="1010" spans="1:3" ht="60" x14ac:dyDescent="0.25">
      <c r="A1010" s="418">
        <v>41539</v>
      </c>
      <c r="B1010" s="419">
        <v>0.92287037037037034</v>
      </c>
      <c r="C1010" s="952" t="s">
        <v>1291</v>
      </c>
    </row>
    <row r="1011" spans="1:3" x14ac:dyDescent="0.25">
      <c r="A1011" s="418">
        <v>41539</v>
      </c>
      <c r="B1011" s="419">
        <v>0.92290509259259268</v>
      </c>
      <c r="C1011" s="422" t="s">
        <v>1356</v>
      </c>
    </row>
    <row r="1012" spans="1:3" x14ac:dyDescent="0.25">
      <c r="A1012" s="418">
        <v>41539</v>
      </c>
      <c r="B1012" s="419">
        <v>0.92290509259259268</v>
      </c>
      <c r="C1012" s="422" t="s">
        <v>1357</v>
      </c>
    </row>
    <row r="1013" spans="1:3" x14ac:dyDescent="0.25">
      <c r="A1013" s="418">
        <v>41539</v>
      </c>
      <c r="B1013" s="419">
        <v>0.92290509259259268</v>
      </c>
      <c r="C1013" s="422" t="s">
        <v>1358</v>
      </c>
    </row>
    <row r="1014" spans="1:3" x14ac:dyDescent="0.25">
      <c r="A1014" s="418">
        <v>41539</v>
      </c>
      <c r="B1014" s="419">
        <v>0.92290509259259268</v>
      </c>
      <c r="C1014" s="422" t="s">
        <v>1360</v>
      </c>
    </row>
    <row r="1015" spans="1:3" x14ac:dyDescent="0.25">
      <c r="A1015" s="418">
        <v>41539</v>
      </c>
      <c r="B1015" s="419">
        <v>0.92290509259259268</v>
      </c>
      <c r="C1015" s="422" t="s">
        <v>1361</v>
      </c>
    </row>
    <row r="1016" spans="1:3" x14ac:dyDescent="0.25">
      <c r="A1016" s="418">
        <v>41539</v>
      </c>
      <c r="B1016" s="419">
        <v>0.92290509259259268</v>
      </c>
      <c r="C1016" s="422" t="s">
        <v>1362</v>
      </c>
    </row>
    <row r="1017" spans="1:3" x14ac:dyDescent="0.25">
      <c r="A1017" s="418">
        <v>41539</v>
      </c>
      <c r="B1017" s="419">
        <v>0.92290509259259268</v>
      </c>
      <c r="C1017" s="422" t="s">
        <v>1363</v>
      </c>
    </row>
    <row r="1018" spans="1:3" x14ac:dyDescent="0.25">
      <c r="A1018" s="418">
        <v>41539</v>
      </c>
      <c r="B1018" s="419">
        <v>0.92290509259259268</v>
      </c>
      <c r="C1018" s="422" t="s">
        <v>1364</v>
      </c>
    </row>
    <row r="1019" spans="1:3" x14ac:dyDescent="0.25">
      <c r="A1019" s="418">
        <v>41539</v>
      </c>
      <c r="B1019" s="419">
        <v>0.92290509259259268</v>
      </c>
      <c r="C1019" s="422" t="s">
        <v>1320</v>
      </c>
    </row>
    <row r="1020" spans="1:3" x14ac:dyDescent="0.25">
      <c r="A1020" s="418">
        <v>41539</v>
      </c>
      <c r="B1020" s="419">
        <v>0.92290509259259268</v>
      </c>
      <c r="C1020" s="422" t="s">
        <v>1365</v>
      </c>
    </row>
    <row r="1021" spans="1:3" x14ac:dyDescent="0.25">
      <c r="A1021" s="418">
        <v>41539</v>
      </c>
      <c r="B1021" s="419">
        <v>0.92290509259259268</v>
      </c>
      <c r="C1021" s="422" t="s">
        <v>1358</v>
      </c>
    </row>
    <row r="1022" spans="1:3" x14ac:dyDescent="0.25">
      <c r="A1022" s="418">
        <v>41539</v>
      </c>
      <c r="B1022" s="419">
        <v>0.92290509259259268</v>
      </c>
      <c r="C1022" s="422" t="s">
        <v>1366</v>
      </c>
    </row>
    <row r="1023" spans="1:3" x14ac:dyDescent="0.25">
      <c r="A1023" s="418">
        <v>41539</v>
      </c>
      <c r="B1023" s="419">
        <v>0.92290509259259268</v>
      </c>
      <c r="C1023" s="422" t="s">
        <v>1367</v>
      </c>
    </row>
    <row r="1024" spans="1:3" x14ac:dyDescent="0.25">
      <c r="A1024" s="418">
        <v>41539</v>
      </c>
      <c r="B1024" s="419">
        <v>0.92290509259259268</v>
      </c>
      <c r="C1024" s="422" t="s">
        <v>1368</v>
      </c>
    </row>
    <row r="1025" spans="1:3" x14ac:dyDescent="0.25">
      <c r="A1025" s="418">
        <v>41539</v>
      </c>
      <c r="B1025" s="419">
        <v>0.92290509259259268</v>
      </c>
      <c r="C1025" s="422" t="s">
        <v>1368</v>
      </c>
    </row>
    <row r="1026" spans="1:3" x14ac:dyDescent="0.25">
      <c r="A1026" s="418">
        <v>41539</v>
      </c>
      <c r="B1026" s="419">
        <v>0.92290509259259268</v>
      </c>
      <c r="C1026" s="422" t="s">
        <v>1369</v>
      </c>
    </row>
    <row r="1027" spans="1:3" x14ac:dyDescent="0.25">
      <c r="A1027" s="418">
        <v>41539</v>
      </c>
      <c r="B1027" s="419">
        <v>0.92290509259259268</v>
      </c>
      <c r="C1027" s="422" t="s">
        <v>1323</v>
      </c>
    </row>
    <row r="1028" spans="1:3" x14ac:dyDescent="0.25">
      <c r="A1028" s="418">
        <v>41539</v>
      </c>
      <c r="B1028" s="419">
        <v>0.92290509259259268</v>
      </c>
      <c r="C1028" s="422" t="s">
        <v>1370</v>
      </c>
    </row>
    <row r="1029" spans="1:3" x14ac:dyDescent="0.25">
      <c r="A1029" s="418">
        <v>41539</v>
      </c>
      <c r="B1029" s="419">
        <v>0.92290509259259268</v>
      </c>
      <c r="C1029" s="422" t="s">
        <v>1347</v>
      </c>
    </row>
    <row r="1030" spans="1:3" x14ac:dyDescent="0.25">
      <c r="A1030" s="418">
        <v>41539</v>
      </c>
      <c r="B1030" s="419">
        <v>0.92290509259259268</v>
      </c>
      <c r="C1030" s="422" t="s">
        <v>1371</v>
      </c>
    </row>
    <row r="1031" spans="1:3" x14ac:dyDescent="0.25">
      <c r="A1031" s="418">
        <v>41539</v>
      </c>
      <c r="B1031" s="419">
        <v>0.92290509259259268</v>
      </c>
      <c r="C1031" s="422" t="s">
        <v>1372</v>
      </c>
    </row>
    <row r="1032" spans="1:3" x14ac:dyDescent="0.25">
      <c r="A1032" s="418">
        <v>41539</v>
      </c>
      <c r="B1032" s="419">
        <v>0.92290509259259268</v>
      </c>
      <c r="C1032" s="422" t="s">
        <v>1310</v>
      </c>
    </row>
    <row r="1033" spans="1:3" x14ac:dyDescent="0.25">
      <c r="A1033" s="418">
        <v>41539</v>
      </c>
      <c r="B1033" s="419">
        <v>0.92290509259259268</v>
      </c>
      <c r="C1033" s="422" t="s">
        <v>1373</v>
      </c>
    </row>
    <row r="1034" spans="1:3" x14ac:dyDescent="0.25">
      <c r="A1034" s="418">
        <v>41539</v>
      </c>
      <c r="B1034" s="419">
        <v>0.92290509259259268</v>
      </c>
      <c r="C1034" s="422" t="s">
        <v>1374</v>
      </c>
    </row>
    <row r="1035" spans="1:3" x14ac:dyDescent="0.25">
      <c r="A1035" s="418">
        <v>41539</v>
      </c>
      <c r="B1035" s="419">
        <v>0.92290509259259268</v>
      </c>
      <c r="C1035" s="422" t="s">
        <v>1347</v>
      </c>
    </row>
    <row r="1036" spans="1:3" x14ac:dyDescent="0.25">
      <c r="A1036" s="418">
        <v>41539</v>
      </c>
      <c r="B1036" s="419">
        <v>0.92290509259259268</v>
      </c>
      <c r="C1036" s="422" t="s">
        <v>1320</v>
      </c>
    </row>
    <row r="1037" spans="1:3" x14ac:dyDescent="0.25">
      <c r="A1037" s="418">
        <v>41539</v>
      </c>
      <c r="B1037" s="419">
        <v>0.92290509259259268</v>
      </c>
      <c r="C1037" s="422" t="s">
        <v>1466</v>
      </c>
    </row>
    <row r="1038" spans="1:3" x14ac:dyDescent="0.25">
      <c r="A1038" s="418">
        <v>41539</v>
      </c>
      <c r="B1038" s="419">
        <v>0.9229398148148148</v>
      </c>
      <c r="C1038" s="422" t="s">
        <v>1381</v>
      </c>
    </row>
    <row r="1039" spans="1:3" ht="60" x14ac:dyDescent="0.25">
      <c r="A1039" s="418">
        <v>41539</v>
      </c>
      <c r="B1039" s="419">
        <v>0.9229398148148148</v>
      </c>
      <c r="C1039" s="952" t="s">
        <v>1482</v>
      </c>
    </row>
    <row r="1040" spans="1:3" x14ac:dyDescent="0.25">
      <c r="A1040" s="418">
        <v>41539</v>
      </c>
      <c r="B1040" s="419">
        <v>0.92298611111111117</v>
      </c>
      <c r="C1040" s="422" t="s">
        <v>1376</v>
      </c>
    </row>
    <row r="1041" spans="1:3" x14ac:dyDescent="0.25">
      <c r="A1041" s="418">
        <v>41539</v>
      </c>
      <c r="B1041" s="419">
        <v>0.92298611111111117</v>
      </c>
      <c r="C1041" s="422" t="s">
        <v>1311</v>
      </c>
    </row>
    <row r="1042" spans="1:3" x14ac:dyDescent="0.25">
      <c r="A1042" s="418">
        <v>41539</v>
      </c>
      <c r="B1042" s="419">
        <v>0.92298611111111117</v>
      </c>
      <c r="C1042" s="422" t="s">
        <v>1377</v>
      </c>
    </row>
    <row r="1043" spans="1:3" x14ac:dyDescent="0.25">
      <c r="A1043" s="418">
        <v>41539</v>
      </c>
      <c r="B1043" s="419">
        <v>0.92298611111111117</v>
      </c>
      <c r="C1043" s="422" t="s">
        <v>1378</v>
      </c>
    </row>
    <row r="1044" spans="1:3" x14ac:dyDescent="0.25">
      <c r="A1044" s="418">
        <v>41539</v>
      </c>
      <c r="B1044" s="419">
        <v>0.92298611111111117</v>
      </c>
      <c r="C1044" s="422" t="s">
        <v>1379</v>
      </c>
    </row>
    <row r="1045" spans="1:3" x14ac:dyDescent="0.25">
      <c r="A1045" s="418">
        <v>41539</v>
      </c>
      <c r="B1045" s="419">
        <v>0.92298611111111117</v>
      </c>
      <c r="C1045" s="422" t="s">
        <v>1380</v>
      </c>
    </row>
    <row r="1046" spans="1:3" x14ac:dyDescent="0.25">
      <c r="A1046" s="418">
        <v>41539</v>
      </c>
      <c r="B1046" s="419">
        <v>0.92298611111111117</v>
      </c>
      <c r="C1046" s="422" t="s">
        <v>1329</v>
      </c>
    </row>
    <row r="1047" spans="1:3" x14ac:dyDescent="0.25">
      <c r="A1047" s="418">
        <v>41539</v>
      </c>
      <c r="B1047" s="419">
        <v>0.92300925925925925</v>
      </c>
      <c r="C1047" s="422" t="s">
        <v>1381</v>
      </c>
    </row>
    <row r="1048" spans="1:3" ht="60" x14ac:dyDescent="0.25">
      <c r="A1048" s="418">
        <v>41539</v>
      </c>
      <c r="B1048" s="419">
        <v>0.92300925925925925</v>
      </c>
      <c r="C1048" s="952" t="s">
        <v>1467</v>
      </c>
    </row>
    <row r="1049" spans="1:3" x14ac:dyDescent="0.25">
      <c r="A1049" s="418">
        <v>41539</v>
      </c>
      <c r="B1049" s="419">
        <v>0.92303240740740744</v>
      </c>
      <c r="C1049" s="422" t="s">
        <v>1383</v>
      </c>
    </row>
    <row r="1050" spans="1:3" x14ac:dyDescent="0.25">
      <c r="A1050" s="418">
        <v>41539</v>
      </c>
      <c r="B1050" s="419">
        <v>0.92303240740740744</v>
      </c>
      <c r="C1050" s="422" t="s">
        <v>1384</v>
      </c>
    </row>
    <row r="1051" spans="1:3" x14ac:dyDescent="0.25">
      <c r="A1051" s="418">
        <v>41539</v>
      </c>
      <c r="B1051" s="419">
        <v>0.92303240740740744</v>
      </c>
      <c r="C1051" s="422" t="s">
        <v>1385</v>
      </c>
    </row>
    <row r="1052" spans="1:3" x14ac:dyDescent="0.25">
      <c r="A1052" s="418">
        <v>41539</v>
      </c>
      <c r="B1052" s="419">
        <v>0.92303240740740744</v>
      </c>
      <c r="C1052" s="422" t="s">
        <v>1386</v>
      </c>
    </row>
    <row r="1053" spans="1:3" x14ac:dyDescent="0.25">
      <c r="A1053" s="418">
        <v>41539</v>
      </c>
      <c r="B1053" s="419">
        <v>0.92303240740740744</v>
      </c>
      <c r="C1053" s="422" t="s">
        <v>1355</v>
      </c>
    </row>
    <row r="1054" spans="1:3" x14ac:dyDescent="0.25">
      <c r="A1054" s="418">
        <v>41539</v>
      </c>
      <c r="B1054" s="419">
        <v>0.92303240740740744</v>
      </c>
      <c r="C1054" s="422" t="s">
        <v>1387</v>
      </c>
    </row>
    <row r="1055" spans="1:3" x14ac:dyDescent="0.25">
      <c r="A1055" s="418">
        <v>41539</v>
      </c>
      <c r="B1055" s="419">
        <v>0.92303240740740744</v>
      </c>
      <c r="C1055" s="422" t="s">
        <v>1388</v>
      </c>
    </row>
    <row r="1056" spans="1:3" x14ac:dyDescent="0.25">
      <c r="A1056" s="418">
        <v>41539</v>
      </c>
      <c r="B1056" s="419">
        <v>0.92303240740740744</v>
      </c>
      <c r="C1056" s="422" t="s">
        <v>1388</v>
      </c>
    </row>
    <row r="1057" spans="1:3" x14ac:dyDescent="0.25">
      <c r="A1057" s="418">
        <v>41539</v>
      </c>
      <c r="B1057" s="419">
        <v>0.92303240740740744</v>
      </c>
      <c r="C1057" s="422" t="s">
        <v>1389</v>
      </c>
    </row>
    <row r="1058" spans="1:3" x14ac:dyDescent="0.25">
      <c r="A1058" s="418">
        <v>41539</v>
      </c>
      <c r="B1058" s="419">
        <v>0.92303240740740744</v>
      </c>
      <c r="C1058" s="422" t="s">
        <v>1390</v>
      </c>
    </row>
    <row r="1059" spans="1:3" x14ac:dyDescent="0.25">
      <c r="A1059" s="418">
        <v>41539</v>
      </c>
      <c r="B1059" s="419">
        <v>0.92303240740740744</v>
      </c>
      <c r="C1059" s="422" t="s">
        <v>1390</v>
      </c>
    </row>
    <row r="1060" spans="1:3" x14ac:dyDescent="0.25">
      <c r="A1060" s="418">
        <v>41539</v>
      </c>
      <c r="B1060" s="419">
        <v>0.92303240740740744</v>
      </c>
      <c r="C1060" s="422" t="s">
        <v>1321</v>
      </c>
    </row>
    <row r="1061" spans="1:3" x14ac:dyDescent="0.25">
      <c r="A1061" s="418">
        <v>41539</v>
      </c>
      <c r="B1061" s="419">
        <v>0.92303240740740744</v>
      </c>
      <c r="C1061" s="422" t="s">
        <v>1391</v>
      </c>
    </row>
    <row r="1062" spans="1:3" x14ac:dyDescent="0.25">
      <c r="A1062" s="418">
        <v>41539</v>
      </c>
      <c r="B1062" s="419">
        <v>0.92303240740740744</v>
      </c>
      <c r="C1062" s="422" t="s">
        <v>1393</v>
      </c>
    </row>
    <row r="1063" spans="1:3" x14ac:dyDescent="0.25">
      <c r="A1063" s="418">
        <v>41539</v>
      </c>
      <c r="B1063" s="419">
        <v>0.92303240740740744</v>
      </c>
      <c r="C1063" s="422" t="s">
        <v>1394</v>
      </c>
    </row>
    <row r="1064" spans="1:3" x14ac:dyDescent="0.25">
      <c r="A1064" s="418">
        <v>41539</v>
      </c>
      <c r="B1064" s="419">
        <v>0.92303240740740744</v>
      </c>
      <c r="C1064" s="422" t="s">
        <v>1395</v>
      </c>
    </row>
    <row r="1065" spans="1:3" x14ac:dyDescent="0.25">
      <c r="A1065" s="418">
        <v>41539</v>
      </c>
      <c r="B1065" s="419">
        <v>0.92305555555555552</v>
      </c>
      <c r="C1065" s="422" t="s">
        <v>1297</v>
      </c>
    </row>
    <row r="1066" spans="1:3" ht="60" x14ac:dyDescent="0.25">
      <c r="A1066" s="418">
        <v>41539</v>
      </c>
      <c r="B1066" s="419">
        <v>0.92305555555555552</v>
      </c>
      <c r="C1066" s="952" t="s">
        <v>1298</v>
      </c>
    </row>
    <row r="1067" spans="1:3" x14ac:dyDescent="0.25">
      <c r="A1067" s="418">
        <v>41539</v>
      </c>
      <c r="B1067" s="419">
        <v>0.92309027777777775</v>
      </c>
      <c r="C1067" s="422" t="s">
        <v>1396</v>
      </c>
    </row>
    <row r="1068" spans="1:3" x14ac:dyDescent="0.25">
      <c r="A1068" s="418">
        <v>41539</v>
      </c>
      <c r="B1068" s="419">
        <v>0.92309027777777775</v>
      </c>
      <c r="C1068" s="422" t="s">
        <v>1397</v>
      </c>
    </row>
    <row r="1069" spans="1:3" x14ac:dyDescent="0.25">
      <c r="A1069" s="418">
        <v>41539</v>
      </c>
      <c r="B1069" s="419">
        <v>0.92309027777777775</v>
      </c>
      <c r="C1069" s="422" t="s">
        <v>1395</v>
      </c>
    </row>
    <row r="1070" spans="1:3" x14ac:dyDescent="0.25">
      <c r="A1070" s="418">
        <v>41539</v>
      </c>
      <c r="B1070" s="419">
        <v>0.92309027777777775</v>
      </c>
      <c r="C1070" s="422" t="s">
        <v>1398</v>
      </c>
    </row>
    <row r="1071" spans="1:3" x14ac:dyDescent="0.25">
      <c r="A1071" s="418">
        <v>41539</v>
      </c>
      <c r="B1071" s="419">
        <v>0.92309027777777775</v>
      </c>
      <c r="C1071" s="422" t="s">
        <v>1399</v>
      </c>
    </row>
    <row r="1072" spans="1:3" x14ac:dyDescent="0.25">
      <c r="A1072" s="418">
        <v>41539</v>
      </c>
      <c r="B1072" s="419">
        <v>0.92309027777777775</v>
      </c>
      <c r="C1072" s="422" t="s">
        <v>1366</v>
      </c>
    </row>
    <row r="1073" spans="1:3" x14ac:dyDescent="0.25">
      <c r="A1073" s="418">
        <v>41539</v>
      </c>
      <c r="B1073" s="419">
        <v>0.92309027777777775</v>
      </c>
      <c r="C1073" s="422" t="s">
        <v>1365</v>
      </c>
    </row>
    <row r="1074" spans="1:3" x14ac:dyDescent="0.25">
      <c r="A1074" s="418">
        <v>41539</v>
      </c>
      <c r="B1074" s="419">
        <v>0.92309027777777775</v>
      </c>
      <c r="C1074" s="422" t="s">
        <v>1400</v>
      </c>
    </row>
    <row r="1075" spans="1:3" x14ac:dyDescent="0.25">
      <c r="A1075" s="418">
        <v>41539</v>
      </c>
      <c r="B1075" s="419">
        <v>0.92309027777777775</v>
      </c>
      <c r="C1075" s="422" t="s">
        <v>1384</v>
      </c>
    </row>
    <row r="1076" spans="1:3" x14ac:dyDescent="0.25">
      <c r="A1076" s="418">
        <v>41539</v>
      </c>
      <c r="B1076" s="419">
        <v>0.92309027777777775</v>
      </c>
      <c r="C1076" s="422" t="s">
        <v>1401</v>
      </c>
    </row>
    <row r="1077" spans="1:3" x14ac:dyDescent="0.25">
      <c r="A1077" s="418">
        <v>41539</v>
      </c>
      <c r="B1077" s="419">
        <v>0.92309027777777775</v>
      </c>
      <c r="C1077" s="422" t="s">
        <v>1402</v>
      </c>
    </row>
    <row r="1078" spans="1:3" x14ac:dyDescent="0.25">
      <c r="A1078" s="418">
        <v>41539</v>
      </c>
      <c r="B1078" s="419">
        <v>0.92309027777777775</v>
      </c>
      <c r="C1078" s="422" t="s">
        <v>1403</v>
      </c>
    </row>
    <row r="1079" spans="1:3" x14ac:dyDescent="0.25">
      <c r="A1079" s="418">
        <v>41539</v>
      </c>
      <c r="B1079" s="419">
        <v>0.92310185185185178</v>
      </c>
      <c r="C1079" s="422" t="s">
        <v>1403</v>
      </c>
    </row>
    <row r="1080" spans="1:3" x14ac:dyDescent="0.25">
      <c r="A1080" s="418">
        <v>41539</v>
      </c>
      <c r="B1080" s="419">
        <v>0.92310185185185178</v>
      </c>
      <c r="C1080" s="422" t="s">
        <v>1376</v>
      </c>
    </row>
    <row r="1081" spans="1:3" x14ac:dyDescent="0.25">
      <c r="A1081" s="418">
        <v>41539</v>
      </c>
      <c r="B1081" s="419">
        <v>0.92310185185185178</v>
      </c>
      <c r="C1081" s="422" t="s">
        <v>1356</v>
      </c>
    </row>
    <row r="1082" spans="1:3" x14ac:dyDescent="0.25">
      <c r="A1082" s="418">
        <v>41539</v>
      </c>
      <c r="B1082" s="419">
        <v>0.92310185185185178</v>
      </c>
      <c r="C1082" s="422" t="s">
        <v>1356</v>
      </c>
    </row>
    <row r="1083" spans="1:3" x14ac:dyDescent="0.25">
      <c r="A1083" s="418">
        <v>41539</v>
      </c>
      <c r="B1083" s="419">
        <v>0.92310185185185178</v>
      </c>
      <c r="C1083" s="422" t="s">
        <v>1404</v>
      </c>
    </row>
    <row r="1084" spans="1:3" x14ac:dyDescent="0.25">
      <c r="A1084" s="418">
        <v>41539</v>
      </c>
      <c r="B1084" s="419">
        <v>0.92310185185185178</v>
      </c>
      <c r="C1084" s="422" t="s">
        <v>1395</v>
      </c>
    </row>
    <row r="1085" spans="1:3" x14ac:dyDescent="0.25">
      <c r="A1085" s="418">
        <v>41539</v>
      </c>
      <c r="B1085" s="419">
        <v>0.92310185185185178</v>
      </c>
      <c r="C1085" s="422" t="s">
        <v>1406</v>
      </c>
    </row>
    <row r="1086" spans="1:3" x14ac:dyDescent="0.25">
      <c r="A1086" s="418">
        <v>41539</v>
      </c>
      <c r="B1086" s="419">
        <v>0.92310185185185178</v>
      </c>
      <c r="C1086" s="422" t="s">
        <v>1406</v>
      </c>
    </row>
    <row r="1087" spans="1:3" x14ac:dyDescent="0.25">
      <c r="A1087" s="418">
        <v>41539</v>
      </c>
      <c r="B1087" s="419">
        <v>0.92310185185185178</v>
      </c>
      <c r="C1087" s="422" t="s">
        <v>1406</v>
      </c>
    </row>
    <row r="1088" spans="1:3" x14ac:dyDescent="0.25">
      <c r="A1088" s="418">
        <v>41539</v>
      </c>
      <c r="B1088" s="419">
        <v>0.92310185185185178</v>
      </c>
      <c r="C1088" s="422" t="s">
        <v>1365</v>
      </c>
    </row>
    <row r="1089" spans="1:3" x14ac:dyDescent="0.25">
      <c r="A1089" s="418">
        <v>41539</v>
      </c>
      <c r="B1089" s="419">
        <v>0.92310185185185178</v>
      </c>
      <c r="C1089" s="422" t="s">
        <v>1367</v>
      </c>
    </row>
    <row r="1090" spans="1:3" x14ac:dyDescent="0.25">
      <c r="A1090" s="418">
        <v>41539</v>
      </c>
      <c r="B1090" s="419">
        <v>0.92310185185185178</v>
      </c>
      <c r="C1090" s="422" t="s">
        <v>1367</v>
      </c>
    </row>
    <row r="1091" spans="1:3" x14ac:dyDescent="0.25">
      <c r="A1091" s="418">
        <v>41539</v>
      </c>
      <c r="B1091" s="419">
        <v>0.92310185185185178</v>
      </c>
      <c r="C1091" s="422" t="s">
        <v>1384</v>
      </c>
    </row>
    <row r="1092" spans="1:3" x14ac:dyDescent="0.25">
      <c r="A1092" s="418">
        <v>41539</v>
      </c>
      <c r="B1092" s="419">
        <v>0.92310185185185178</v>
      </c>
      <c r="C1092" s="422" t="s">
        <v>1367</v>
      </c>
    </row>
    <row r="1093" spans="1:3" x14ac:dyDescent="0.25">
      <c r="A1093" s="418">
        <v>41539</v>
      </c>
      <c r="B1093" s="419">
        <v>0.92310185185185178</v>
      </c>
      <c r="C1093" s="422" t="s">
        <v>1483</v>
      </c>
    </row>
    <row r="1094" spans="1:3" x14ac:dyDescent="0.25">
      <c r="A1094" s="418">
        <v>41539</v>
      </c>
      <c r="B1094" s="419">
        <v>0.92310185185185178</v>
      </c>
      <c r="C1094" s="422" t="s">
        <v>1483</v>
      </c>
    </row>
    <row r="1095" spans="1:3" x14ac:dyDescent="0.25">
      <c r="A1095" s="418">
        <v>41539</v>
      </c>
      <c r="B1095" s="419">
        <v>0.92310185185185178</v>
      </c>
      <c r="C1095" s="422" t="s">
        <v>1483</v>
      </c>
    </row>
    <row r="1096" spans="1:3" x14ac:dyDescent="0.25">
      <c r="A1096" s="418">
        <v>41539</v>
      </c>
      <c r="B1096" s="419">
        <v>0.92310185185185178</v>
      </c>
      <c r="C1096" s="422" t="s">
        <v>1484</v>
      </c>
    </row>
    <row r="1097" spans="1:3" x14ac:dyDescent="0.25">
      <c r="A1097" s="418">
        <v>41539</v>
      </c>
      <c r="B1097" s="419">
        <v>0.92310185185185178</v>
      </c>
      <c r="C1097" s="422" t="s">
        <v>1349</v>
      </c>
    </row>
    <row r="1098" spans="1:3" x14ac:dyDescent="0.25">
      <c r="A1098" s="418">
        <v>41539</v>
      </c>
      <c r="B1098" s="419">
        <v>0.92310185185185178</v>
      </c>
      <c r="C1098" s="422" t="s">
        <v>1408</v>
      </c>
    </row>
    <row r="1099" spans="1:3" x14ac:dyDescent="0.25">
      <c r="A1099" s="418">
        <v>41539</v>
      </c>
      <c r="B1099" s="419">
        <v>0.92310185185185178</v>
      </c>
      <c r="C1099" s="422" t="s">
        <v>1409</v>
      </c>
    </row>
    <row r="1100" spans="1:3" x14ac:dyDescent="0.25">
      <c r="A1100" s="418">
        <v>41539</v>
      </c>
      <c r="B1100" s="419">
        <v>0.92310185185185178</v>
      </c>
      <c r="C1100" s="422" t="s">
        <v>1365</v>
      </c>
    </row>
    <row r="1101" spans="1:3" x14ac:dyDescent="0.25">
      <c r="A1101" s="418">
        <v>41539</v>
      </c>
      <c r="B1101" s="419">
        <v>0.92310185185185178</v>
      </c>
      <c r="C1101" s="422" t="s">
        <v>1485</v>
      </c>
    </row>
    <row r="1102" spans="1:3" x14ac:dyDescent="0.25">
      <c r="A1102" s="418">
        <v>41539</v>
      </c>
      <c r="B1102" s="419">
        <v>0.92310185185185178</v>
      </c>
      <c r="C1102" s="422" t="s">
        <v>1321</v>
      </c>
    </row>
    <row r="1103" spans="1:3" x14ac:dyDescent="0.25">
      <c r="A1103" s="418">
        <v>41539</v>
      </c>
      <c r="B1103" s="419">
        <v>0.92310185185185178</v>
      </c>
      <c r="C1103" s="422" t="s">
        <v>1371</v>
      </c>
    </row>
    <row r="1104" spans="1:3" x14ac:dyDescent="0.25">
      <c r="A1104" s="418">
        <v>41539</v>
      </c>
      <c r="B1104" s="419">
        <v>0.92310185185185178</v>
      </c>
      <c r="C1104" s="422" t="s">
        <v>1371</v>
      </c>
    </row>
    <row r="1105" spans="1:3" x14ac:dyDescent="0.25">
      <c r="A1105" s="418">
        <v>41539</v>
      </c>
      <c r="B1105" s="419">
        <v>0.92310185185185178</v>
      </c>
      <c r="C1105" s="422" t="s">
        <v>1371</v>
      </c>
    </row>
    <row r="1106" spans="1:3" x14ac:dyDescent="0.25">
      <c r="A1106" s="418">
        <v>41539</v>
      </c>
      <c r="B1106" s="419">
        <v>0.92310185185185178</v>
      </c>
      <c r="C1106" s="422" t="s">
        <v>1371</v>
      </c>
    </row>
    <row r="1107" spans="1:3" x14ac:dyDescent="0.25">
      <c r="A1107" s="418">
        <v>41539</v>
      </c>
      <c r="B1107" s="419">
        <v>0.92310185185185178</v>
      </c>
      <c r="C1107" s="422" t="s">
        <v>1371</v>
      </c>
    </row>
    <row r="1108" spans="1:3" x14ac:dyDescent="0.25">
      <c r="A1108" s="418">
        <v>41539</v>
      </c>
      <c r="B1108" s="419">
        <v>0.92310185185185178</v>
      </c>
      <c r="C1108" s="422" t="s">
        <v>1412</v>
      </c>
    </row>
    <row r="1109" spans="1:3" x14ac:dyDescent="0.25">
      <c r="A1109" s="418">
        <v>41539</v>
      </c>
      <c r="B1109" s="419">
        <v>0.92310185185185178</v>
      </c>
      <c r="C1109" s="422" t="s">
        <v>1311</v>
      </c>
    </row>
    <row r="1110" spans="1:3" x14ac:dyDescent="0.25">
      <c r="A1110" s="418">
        <v>41539</v>
      </c>
      <c r="B1110" s="419">
        <v>0.92310185185185178</v>
      </c>
      <c r="C1110" s="422" t="s">
        <v>1413</v>
      </c>
    </row>
    <row r="1111" spans="1:3" x14ac:dyDescent="0.25">
      <c r="A1111" s="418">
        <v>41539</v>
      </c>
      <c r="B1111" s="419">
        <v>0.92310185185185178</v>
      </c>
      <c r="C1111" s="422" t="s">
        <v>1413</v>
      </c>
    </row>
    <row r="1112" spans="1:3" x14ac:dyDescent="0.25">
      <c r="A1112" s="418">
        <v>41539</v>
      </c>
      <c r="B1112" s="419">
        <v>0.92310185185185178</v>
      </c>
      <c r="C1112" s="422" t="s">
        <v>1414</v>
      </c>
    </row>
    <row r="1113" spans="1:3" x14ac:dyDescent="0.25">
      <c r="A1113" s="418">
        <v>41539</v>
      </c>
      <c r="B1113" s="419">
        <v>0.92310185185185178</v>
      </c>
      <c r="C1113" s="422" t="s">
        <v>1486</v>
      </c>
    </row>
    <row r="1114" spans="1:3" x14ac:dyDescent="0.25">
      <c r="A1114" s="418">
        <v>41539</v>
      </c>
      <c r="B1114" s="419">
        <v>0.92310185185185178</v>
      </c>
      <c r="C1114" s="422" t="s">
        <v>1416</v>
      </c>
    </row>
    <row r="1115" spans="1:3" x14ac:dyDescent="0.25">
      <c r="A1115" s="418">
        <v>41539</v>
      </c>
      <c r="B1115" s="419">
        <v>0.92310185185185178</v>
      </c>
      <c r="C1115" s="422" t="s">
        <v>1417</v>
      </c>
    </row>
    <row r="1116" spans="1:3" x14ac:dyDescent="0.25">
      <c r="A1116" s="418">
        <v>41539</v>
      </c>
      <c r="B1116" s="419">
        <v>0.92310185185185178</v>
      </c>
      <c r="C1116" s="422" t="s">
        <v>1376</v>
      </c>
    </row>
    <row r="1117" spans="1:3" x14ac:dyDescent="0.25">
      <c r="A1117" s="418">
        <v>41539</v>
      </c>
      <c r="B1117" s="419">
        <v>0.92310185185185178</v>
      </c>
      <c r="C1117" s="422" t="s">
        <v>1487</v>
      </c>
    </row>
    <row r="1118" spans="1:3" x14ac:dyDescent="0.25">
      <c r="A1118" s="418">
        <v>41539</v>
      </c>
      <c r="B1118" s="419">
        <v>0.92310185185185178</v>
      </c>
      <c r="C1118" s="422" t="s">
        <v>1412</v>
      </c>
    </row>
    <row r="1119" spans="1:3" x14ac:dyDescent="0.25">
      <c r="A1119" s="418">
        <v>41539</v>
      </c>
      <c r="B1119" s="419">
        <v>0.92310185185185178</v>
      </c>
      <c r="C1119" s="422" t="s">
        <v>1419</v>
      </c>
    </row>
    <row r="1120" spans="1:3" x14ac:dyDescent="0.25">
      <c r="A1120" s="418">
        <v>41539</v>
      </c>
      <c r="B1120" s="419">
        <v>0.92310185185185178</v>
      </c>
      <c r="C1120" s="422" t="s">
        <v>1418</v>
      </c>
    </row>
    <row r="1121" spans="1:3" x14ac:dyDescent="0.25">
      <c r="A1121" s="418">
        <v>41539</v>
      </c>
      <c r="B1121" s="419">
        <v>0.92310185185185178</v>
      </c>
      <c r="C1121" s="422" t="s">
        <v>1351</v>
      </c>
    </row>
    <row r="1122" spans="1:3" x14ac:dyDescent="0.25">
      <c r="A1122" s="418">
        <v>41539</v>
      </c>
      <c r="B1122" s="419">
        <v>0.92310185185185178</v>
      </c>
      <c r="C1122" s="422" t="s">
        <v>1422</v>
      </c>
    </row>
    <row r="1123" spans="1:3" x14ac:dyDescent="0.25">
      <c r="A1123" s="418">
        <v>41539</v>
      </c>
      <c r="B1123" s="419">
        <v>0.92310185185185178</v>
      </c>
      <c r="C1123" s="422" t="s">
        <v>1422</v>
      </c>
    </row>
    <row r="1124" spans="1:3" x14ac:dyDescent="0.25">
      <c r="A1124" s="418">
        <v>41539</v>
      </c>
      <c r="B1124" s="419">
        <v>0.92310185185185178</v>
      </c>
      <c r="C1124" s="422" t="s">
        <v>1423</v>
      </c>
    </row>
    <row r="1125" spans="1:3" x14ac:dyDescent="0.25">
      <c r="A1125" s="418">
        <v>41539</v>
      </c>
      <c r="B1125" s="419">
        <v>0.92310185185185178</v>
      </c>
      <c r="C1125" s="422" t="s">
        <v>1488</v>
      </c>
    </row>
    <row r="1126" spans="1:3" x14ac:dyDescent="0.25">
      <c r="A1126" s="418">
        <v>41539</v>
      </c>
      <c r="B1126" s="419">
        <v>0.92310185185185178</v>
      </c>
      <c r="C1126" s="422" t="s">
        <v>1489</v>
      </c>
    </row>
    <row r="1127" spans="1:3" x14ac:dyDescent="0.25">
      <c r="A1127" s="418">
        <v>41539</v>
      </c>
      <c r="B1127" s="419">
        <v>0.92310185185185178</v>
      </c>
      <c r="C1127" s="422" t="s">
        <v>1490</v>
      </c>
    </row>
    <row r="1128" spans="1:3" x14ac:dyDescent="0.25">
      <c r="A1128" s="418">
        <v>41539</v>
      </c>
      <c r="B1128" s="419">
        <v>0.92310185185185178</v>
      </c>
      <c r="C1128" s="422" t="s">
        <v>1491</v>
      </c>
    </row>
    <row r="1129" spans="1:3" x14ac:dyDescent="0.25">
      <c r="A1129" s="418">
        <v>41539</v>
      </c>
      <c r="B1129" s="419">
        <v>0.92310185185185178</v>
      </c>
      <c r="C1129" s="422" t="s">
        <v>1492</v>
      </c>
    </row>
    <row r="1130" spans="1:3" x14ac:dyDescent="0.25">
      <c r="A1130" s="418">
        <v>41539</v>
      </c>
      <c r="B1130" s="419">
        <v>0.92310185185185178</v>
      </c>
      <c r="C1130" s="422" t="s">
        <v>1493</v>
      </c>
    </row>
    <row r="1131" spans="1:3" x14ac:dyDescent="0.25">
      <c r="A1131" s="418">
        <v>41539</v>
      </c>
      <c r="B1131" s="419">
        <v>0.92310185185185178</v>
      </c>
      <c r="C1131" s="422" t="s">
        <v>1494</v>
      </c>
    </row>
    <row r="1132" spans="1:3" x14ac:dyDescent="0.25">
      <c r="A1132" s="418">
        <v>41539</v>
      </c>
      <c r="B1132" s="419">
        <v>0.92310185185185178</v>
      </c>
      <c r="C1132" s="422" t="s">
        <v>1495</v>
      </c>
    </row>
    <row r="1133" spans="1:3" x14ac:dyDescent="0.25">
      <c r="A1133" s="418">
        <v>41539</v>
      </c>
      <c r="B1133" s="419">
        <v>0.92310185185185178</v>
      </c>
      <c r="C1133" s="422" t="s">
        <v>1323</v>
      </c>
    </row>
    <row r="1134" spans="1:3" x14ac:dyDescent="0.25">
      <c r="A1134" s="418">
        <v>41539</v>
      </c>
      <c r="B1134" s="419">
        <v>0.92310185185185178</v>
      </c>
      <c r="C1134" s="422" t="s">
        <v>1432</v>
      </c>
    </row>
    <row r="1135" spans="1:3" x14ac:dyDescent="0.25">
      <c r="A1135" s="418">
        <v>41539</v>
      </c>
      <c r="B1135" s="419">
        <v>0.92310185185185178</v>
      </c>
      <c r="C1135" s="422" t="s">
        <v>1433</v>
      </c>
    </row>
    <row r="1136" spans="1:3" x14ac:dyDescent="0.25">
      <c r="A1136" s="418">
        <v>41539</v>
      </c>
      <c r="B1136" s="419">
        <v>0.92311342592592593</v>
      </c>
      <c r="C1136" s="422" t="s">
        <v>1496</v>
      </c>
    </row>
    <row r="1137" spans="1:3" x14ac:dyDescent="0.25">
      <c r="A1137" s="418">
        <v>41539</v>
      </c>
      <c r="B1137" s="419">
        <v>0.92311342592592593</v>
      </c>
      <c r="C1137" s="422" t="s">
        <v>1311</v>
      </c>
    </row>
    <row r="1138" spans="1:3" x14ac:dyDescent="0.25">
      <c r="A1138" s="418">
        <v>41539</v>
      </c>
      <c r="B1138" s="419">
        <v>0.92311342592592593</v>
      </c>
      <c r="C1138" s="422" t="s">
        <v>1363</v>
      </c>
    </row>
    <row r="1139" spans="1:3" x14ac:dyDescent="0.25">
      <c r="A1139" s="418">
        <v>41539</v>
      </c>
      <c r="B1139" s="419">
        <v>0.92311342592592593</v>
      </c>
      <c r="C1139" s="422" t="s">
        <v>1435</v>
      </c>
    </row>
    <row r="1140" spans="1:3" x14ac:dyDescent="0.25">
      <c r="A1140" s="418">
        <v>41539</v>
      </c>
      <c r="B1140" s="419">
        <v>0.92311342592592593</v>
      </c>
      <c r="C1140" s="422" t="s">
        <v>1435</v>
      </c>
    </row>
    <row r="1141" spans="1:3" x14ac:dyDescent="0.25">
      <c r="A1141" s="418">
        <v>41539</v>
      </c>
      <c r="B1141" s="419">
        <v>0.92311342592592593</v>
      </c>
      <c r="C1141" s="422" t="s">
        <v>1435</v>
      </c>
    </row>
    <row r="1142" spans="1:3" x14ac:dyDescent="0.25">
      <c r="A1142" s="418">
        <v>41539</v>
      </c>
      <c r="B1142" s="419">
        <v>0.92313657407407401</v>
      </c>
      <c r="C1142" s="422" t="s">
        <v>1284</v>
      </c>
    </row>
    <row r="1143" spans="1:3" ht="60" x14ac:dyDescent="0.25">
      <c r="A1143" s="418">
        <v>41539</v>
      </c>
      <c r="B1143" s="419">
        <v>0.92313657407407401</v>
      </c>
      <c r="C1143" s="952" t="s">
        <v>1285</v>
      </c>
    </row>
    <row r="1144" spans="1:3" x14ac:dyDescent="0.25">
      <c r="A1144" s="418">
        <v>41539</v>
      </c>
      <c r="B1144" s="419">
        <v>0.9231597222222222</v>
      </c>
      <c r="C1144" s="422" t="s">
        <v>1416</v>
      </c>
    </row>
    <row r="1145" spans="1:3" x14ac:dyDescent="0.25">
      <c r="A1145" s="418">
        <v>41539</v>
      </c>
      <c r="B1145" s="419">
        <v>0.9231597222222222</v>
      </c>
      <c r="C1145" s="422" t="s">
        <v>1497</v>
      </c>
    </row>
    <row r="1146" spans="1:3" x14ac:dyDescent="0.25">
      <c r="A1146" s="418">
        <v>41539</v>
      </c>
      <c r="B1146" s="419">
        <v>0.9231597222222222</v>
      </c>
      <c r="C1146" s="422" t="s">
        <v>1498</v>
      </c>
    </row>
    <row r="1147" spans="1:3" x14ac:dyDescent="0.25">
      <c r="A1147" s="418">
        <v>41539</v>
      </c>
      <c r="B1147" s="419">
        <v>0.9231597222222222</v>
      </c>
      <c r="C1147" s="422" t="s">
        <v>1499</v>
      </c>
    </row>
    <row r="1148" spans="1:3" x14ac:dyDescent="0.25">
      <c r="A1148" s="418">
        <v>41539</v>
      </c>
      <c r="B1148" s="419">
        <v>0.9231597222222222</v>
      </c>
      <c r="C1148" s="422" t="s">
        <v>1500</v>
      </c>
    </row>
    <row r="1149" spans="1:3" x14ac:dyDescent="0.25">
      <c r="A1149" s="418">
        <v>41539</v>
      </c>
      <c r="B1149" s="419">
        <v>0.9231597222222222</v>
      </c>
      <c r="C1149" s="422" t="s">
        <v>1501</v>
      </c>
    </row>
    <row r="1150" spans="1:3" x14ac:dyDescent="0.25">
      <c r="A1150" s="418">
        <v>41539</v>
      </c>
      <c r="B1150" s="419">
        <v>0.9231597222222222</v>
      </c>
      <c r="C1150" s="422" t="s">
        <v>1502</v>
      </c>
    </row>
    <row r="1151" spans="1:3" x14ac:dyDescent="0.25">
      <c r="A1151" s="418">
        <v>41539</v>
      </c>
      <c r="B1151" s="419">
        <v>0.9231597222222222</v>
      </c>
      <c r="C1151" s="422" t="s">
        <v>1503</v>
      </c>
    </row>
    <row r="1152" spans="1:3" x14ac:dyDescent="0.25">
      <c r="A1152" s="418">
        <v>41539</v>
      </c>
      <c r="B1152" s="419">
        <v>0.9231597222222222</v>
      </c>
      <c r="C1152" s="422" t="s">
        <v>1504</v>
      </c>
    </row>
    <row r="1153" spans="1:3" x14ac:dyDescent="0.25">
      <c r="A1153" s="418">
        <v>41539</v>
      </c>
      <c r="B1153" s="419">
        <v>0.9231597222222222</v>
      </c>
      <c r="C1153" s="422" t="s">
        <v>1442</v>
      </c>
    </row>
    <row r="1154" spans="1:3" x14ac:dyDescent="0.25">
      <c r="A1154" s="418">
        <v>41539</v>
      </c>
      <c r="B1154" s="419">
        <v>0.9231597222222222</v>
      </c>
      <c r="C1154" s="422" t="s">
        <v>1323</v>
      </c>
    </row>
    <row r="1155" spans="1:3" x14ac:dyDescent="0.25">
      <c r="A1155" s="418">
        <v>41539</v>
      </c>
      <c r="B1155" s="419">
        <v>0.9231597222222222</v>
      </c>
      <c r="C1155" s="422" t="s">
        <v>1505</v>
      </c>
    </row>
    <row r="1156" spans="1:3" x14ac:dyDescent="0.25">
      <c r="A1156" s="418">
        <v>41539</v>
      </c>
      <c r="B1156" s="419">
        <v>0.9231597222222222</v>
      </c>
      <c r="C1156" s="422" t="s">
        <v>1506</v>
      </c>
    </row>
    <row r="1157" spans="1:3" x14ac:dyDescent="0.25">
      <c r="A1157" s="418">
        <v>41539</v>
      </c>
      <c r="B1157" s="419">
        <v>0.9231597222222222</v>
      </c>
      <c r="C1157" s="422" t="s">
        <v>1507</v>
      </c>
    </row>
    <row r="1158" spans="1:3" x14ac:dyDescent="0.25">
      <c r="A1158" s="418">
        <v>41539</v>
      </c>
      <c r="B1158" s="419">
        <v>0.9231597222222222</v>
      </c>
      <c r="C1158" s="422" t="s">
        <v>1508</v>
      </c>
    </row>
    <row r="1159" spans="1:3" x14ac:dyDescent="0.25">
      <c r="A1159" s="418">
        <v>41539</v>
      </c>
      <c r="B1159" s="419">
        <v>0.9231597222222222</v>
      </c>
      <c r="C1159" s="422" t="s">
        <v>1449</v>
      </c>
    </row>
    <row r="1160" spans="1:3" x14ac:dyDescent="0.25">
      <c r="A1160" s="418">
        <v>41539</v>
      </c>
      <c r="B1160" s="419">
        <v>0.9231597222222222</v>
      </c>
      <c r="C1160" s="422" t="s">
        <v>1238</v>
      </c>
    </row>
    <row r="1161" spans="1:3" x14ac:dyDescent="0.25">
      <c r="A1161" s="418">
        <v>41539</v>
      </c>
      <c r="B1161" s="419">
        <v>0.9231597222222222</v>
      </c>
      <c r="C1161" s="422" t="s">
        <v>1509</v>
      </c>
    </row>
    <row r="1162" spans="1:3" x14ac:dyDescent="0.25">
      <c r="A1162" s="418">
        <v>41539</v>
      </c>
      <c r="B1162" s="419">
        <v>0.9231597222222222</v>
      </c>
      <c r="C1162" s="422" t="s">
        <v>1392</v>
      </c>
    </row>
    <row r="1163" spans="1:3" x14ac:dyDescent="0.25">
      <c r="A1163" s="418">
        <v>41539</v>
      </c>
      <c r="B1163" s="419">
        <v>0.9231597222222222</v>
      </c>
      <c r="C1163" s="422" t="s">
        <v>1451</v>
      </c>
    </row>
    <row r="1164" spans="1:3" x14ac:dyDescent="0.25">
      <c r="A1164" s="418">
        <v>41539</v>
      </c>
      <c r="B1164" s="419">
        <v>0.9231597222222222</v>
      </c>
      <c r="C1164" s="422" t="s">
        <v>1453</v>
      </c>
    </row>
    <row r="1165" spans="1:3" x14ac:dyDescent="0.25">
      <c r="A1165" s="418">
        <v>41539</v>
      </c>
      <c r="B1165" s="419">
        <v>0.9231597222222222</v>
      </c>
      <c r="C1165" s="422" t="s">
        <v>1453</v>
      </c>
    </row>
    <row r="1166" spans="1:3" x14ac:dyDescent="0.25">
      <c r="A1166" s="418">
        <v>41539</v>
      </c>
      <c r="B1166" s="419">
        <v>0.9231597222222222</v>
      </c>
      <c r="C1166" s="422" t="s">
        <v>1453</v>
      </c>
    </row>
    <row r="1167" spans="1:3" x14ac:dyDescent="0.25">
      <c r="A1167" s="418">
        <v>41539</v>
      </c>
      <c r="B1167" s="419">
        <v>0.9231597222222222</v>
      </c>
      <c r="C1167" s="422" t="s">
        <v>1453</v>
      </c>
    </row>
    <row r="1168" spans="1:3" x14ac:dyDescent="0.25">
      <c r="A1168" s="418">
        <v>41539</v>
      </c>
      <c r="B1168" s="419">
        <v>0.9231597222222222</v>
      </c>
      <c r="C1168" s="422" t="s">
        <v>1453</v>
      </c>
    </row>
    <row r="1169" spans="1:3" x14ac:dyDescent="0.25">
      <c r="A1169" s="418">
        <v>41539</v>
      </c>
      <c r="B1169" s="419">
        <v>0.9231597222222222</v>
      </c>
      <c r="C1169" s="422" t="s">
        <v>1453</v>
      </c>
    </row>
    <row r="1170" spans="1:3" x14ac:dyDescent="0.25">
      <c r="A1170" s="418">
        <v>41539</v>
      </c>
      <c r="B1170" s="419">
        <v>0.9231597222222222</v>
      </c>
      <c r="C1170" s="422" t="s">
        <v>1453</v>
      </c>
    </row>
    <row r="1171" spans="1:3" x14ac:dyDescent="0.25">
      <c r="A1171" s="418">
        <v>41539</v>
      </c>
      <c r="B1171" s="419">
        <v>0.92317129629629635</v>
      </c>
      <c r="C1171" s="422" t="s">
        <v>1451</v>
      </c>
    </row>
    <row r="1172" spans="1:3" x14ac:dyDescent="0.25">
      <c r="A1172" s="418">
        <v>41539</v>
      </c>
      <c r="B1172" s="419">
        <v>0.92317129629629635</v>
      </c>
      <c r="C1172" s="422" t="s">
        <v>1402</v>
      </c>
    </row>
    <row r="1173" spans="1:3" x14ac:dyDescent="0.25">
      <c r="A1173" s="418">
        <v>41539</v>
      </c>
      <c r="B1173" s="419">
        <v>0.92317129629629635</v>
      </c>
      <c r="C1173" s="422" t="s">
        <v>1312</v>
      </c>
    </row>
    <row r="1174" spans="1:3" x14ac:dyDescent="0.25">
      <c r="A1174" s="418">
        <v>41539</v>
      </c>
      <c r="B1174" s="419">
        <v>0.92317129629629635</v>
      </c>
      <c r="C1174" s="422" t="s">
        <v>1236</v>
      </c>
    </row>
    <row r="1175" spans="1:3" x14ac:dyDescent="0.25">
      <c r="A1175" s="418">
        <v>41539</v>
      </c>
      <c r="B1175" s="419">
        <v>0.92317129629629635</v>
      </c>
      <c r="C1175" s="422" t="s">
        <v>1237</v>
      </c>
    </row>
    <row r="1176" spans="1:3" x14ac:dyDescent="0.25">
      <c r="A1176" s="418">
        <v>41539</v>
      </c>
      <c r="B1176" s="419">
        <v>0.92317129629629635</v>
      </c>
      <c r="C1176" s="422" t="s">
        <v>1238</v>
      </c>
    </row>
    <row r="1177" spans="1:3" x14ac:dyDescent="0.25">
      <c r="A1177" s="418">
        <v>41539</v>
      </c>
      <c r="B1177" s="419">
        <v>0.92452546296296301</v>
      </c>
      <c r="C1177" s="422" t="s">
        <v>1238</v>
      </c>
    </row>
    <row r="1178" spans="1:3" x14ac:dyDescent="0.25">
      <c r="A1178" s="418">
        <v>41539</v>
      </c>
      <c r="B1178" s="419">
        <v>0.92452546296296301</v>
      </c>
      <c r="C1178" s="422" t="s">
        <v>1310</v>
      </c>
    </row>
    <row r="1179" spans="1:3" x14ac:dyDescent="0.25">
      <c r="A1179" s="418">
        <v>41539</v>
      </c>
      <c r="B1179" s="419">
        <v>0.92452546296296301</v>
      </c>
      <c r="C1179" s="422" t="s">
        <v>1311</v>
      </c>
    </row>
    <row r="1180" spans="1:3" x14ac:dyDescent="0.25">
      <c r="A1180" s="418">
        <v>41539</v>
      </c>
      <c r="B1180" s="419">
        <v>0.92452546296296301</v>
      </c>
      <c r="C1180" s="422" t="s">
        <v>1312</v>
      </c>
    </row>
    <row r="1181" spans="1:3" x14ac:dyDescent="0.25">
      <c r="A1181" s="418">
        <v>41539</v>
      </c>
      <c r="B1181" s="419">
        <v>0.92452546296296301</v>
      </c>
      <c r="C1181" s="422" t="s">
        <v>1313</v>
      </c>
    </row>
    <row r="1182" spans="1:3" x14ac:dyDescent="0.25">
      <c r="A1182" s="418">
        <v>41539</v>
      </c>
      <c r="B1182" s="419">
        <v>0.92452546296296301</v>
      </c>
      <c r="C1182" s="422" t="s">
        <v>1314</v>
      </c>
    </row>
    <row r="1183" spans="1:3" x14ac:dyDescent="0.25">
      <c r="A1183" s="418">
        <v>41539</v>
      </c>
      <c r="B1183" s="419">
        <v>0.92452546296296301</v>
      </c>
      <c r="C1183" s="422" t="s">
        <v>1315</v>
      </c>
    </row>
    <row r="1184" spans="1:3" x14ac:dyDescent="0.25">
      <c r="A1184" s="418">
        <v>41539</v>
      </c>
      <c r="B1184" s="419">
        <v>0.92452546296296301</v>
      </c>
      <c r="C1184" s="422" t="s">
        <v>1316</v>
      </c>
    </row>
    <row r="1185" spans="1:3" x14ac:dyDescent="0.25">
      <c r="A1185" s="418">
        <v>41539</v>
      </c>
      <c r="B1185" s="419">
        <v>0.92452546296296301</v>
      </c>
      <c r="C1185" s="422" t="s">
        <v>1313</v>
      </c>
    </row>
    <row r="1186" spans="1:3" x14ac:dyDescent="0.25">
      <c r="A1186" s="418">
        <v>41539</v>
      </c>
      <c r="B1186" s="419">
        <v>0.92452546296296301</v>
      </c>
      <c r="C1186" s="422" t="s">
        <v>1317</v>
      </c>
    </row>
    <row r="1187" spans="1:3" x14ac:dyDescent="0.25">
      <c r="A1187" s="418">
        <v>41539</v>
      </c>
      <c r="B1187" s="419">
        <v>0.92452546296296301</v>
      </c>
      <c r="C1187" s="422" t="s">
        <v>1318</v>
      </c>
    </row>
    <row r="1188" spans="1:3" x14ac:dyDescent="0.25">
      <c r="A1188" s="418">
        <v>41539</v>
      </c>
      <c r="B1188" s="419">
        <v>0.92452546296296301</v>
      </c>
      <c r="C1188" s="422" t="s">
        <v>1463</v>
      </c>
    </row>
    <row r="1189" spans="1:3" x14ac:dyDescent="0.25">
      <c r="A1189" s="418">
        <v>41539</v>
      </c>
      <c r="B1189" s="419">
        <v>0.92452546296296301</v>
      </c>
      <c r="C1189" s="422" t="s">
        <v>1464</v>
      </c>
    </row>
    <row r="1190" spans="1:3" x14ac:dyDescent="0.25">
      <c r="A1190" s="418">
        <v>41539</v>
      </c>
      <c r="B1190" s="419">
        <v>0.92453703703703705</v>
      </c>
      <c r="C1190" s="422" t="s">
        <v>1313</v>
      </c>
    </row>
    <row r="1191" spans="1:3" x14ac:dyDescent="0.25">
      <c r="A1191" s="418">
        <v>41539</v>
      </c>
      <c r="B1191" s="419">
        <v>0.92453703703703705</v>
      </c>
      <c r="C1191" s="422" t="s">
        <v>1238</v>
      </c>
    </row>
    <row r="1192" spans="1:3" x14ac:dyDescent="0.25">
      <c r="A1192" s="418">
        <v>41539</v>
      </c>
      <c r="B1192" s="419">
        <v>0.92453703703703705</v>
      </c>
      <c r="C1192" s="422" t="s">
        <v>1465</v>
      </c>
    </row>
    <row r="1193" spans="1:3" x14ac:dyDescent="0.25">
      <c r="A1193" s="418">
        <v>41539</v>
      </c>
      <c r="B1193" s="419">
        <v>0.92453703703703705</v>
      </c>
      <c r="C1193" s="422" t="s">
        <v>1319</v>
      </c>
    </row>
    <row r="1194" spans="1:3" x14ac:dyDescent="0.25">
      <c r="A1194" s="418">
        <v>41539</v>
      </c>
      <c r="B1194" s="419">
        <v>0.92453703703703705</v>
      </c>
      <c r="C1194" s="422" t="s">
        <v>1319</v>
      </c>
    </row>
    <row r="1195" spans="1:3" x14ac:dyDescent="0.25">
      <c r="A1195" s="418">
        <v>41539</v>
      </c>
      <c r="B1195" s="419">
        <v>0.92453703703703705</v>
      </c>
      <c r="C1195" s="422" t="s">
        <v>1320</v>
      </c>
    </row>
    <row r="1196" spans="1:3" x14ac:dyDescent="0.25">
      <c r="A1196" s="418">
        <v>41539</v>
      </c>
      <c r="B1196" s="419">
        <v>0.92453703703703705</v>
      </c>
      <c r="C1196" s="422" t="s">
        <v>1312</v>
      </c>
    </row>
    <row r="1197" spans="1:3" x14ac:dyDescent="0.25">
      <c r="A1197" s="418">
        <v>41539</v>
      </c>
      <c r="B1197" s="419">
        <v>0.92453703703703705</v>
      </c>
      <c r="C1197" s="422" t="s">
        <v>1321</v>
      </c>
    </row>
    <row r="1198" spans="1:3" x14ac:dyDescent="0.25">
      <c r="A1198" s="418">
        <v>41539</v>
      </c>
      <c r="B1198" s="419">
        <v>0.92453703703703705</v>
      </c>
      <c r="C1198" s="422" t="s">
        <v>1322</v>
      </c>
    </row>
    <row r="1199" spans="1:3" x14ac:dyDescent="0.25">
      <c r="A1199" s="418">
        <v>41539</v>
      </c>
      <c r="B1199" s="419">
        <v>0.92453703703703705</v>
      </c>
      <c r="C1199" s="422" t="s">
        <v>1323</v>
      </c>
    </row>
    <row r="1200" spans="1:3" x14ac:dyDescent="0.25">
      <c r="A1200" s="418">
        <v>41539</v>
      </c>
      <c r="B1200" s="419">
        <v>0.92453703703703705</v>
      </c>
      <c r="C1200" s="422" t="s">
        <v>1321</v>
      </c>
    </row>
    <row r="1201" spans="1:3" x14ac:dyDescent="0.25">
      <c r="A1201" s="418">
        <v>41539</v>
      </c>
      <c r="B1201" s="419">
        <v>0.92453703703703705</v>
      </c>
      <c r="C1201" s="422" t="s">
        <v>1310</v>
      </c>
    </row>
    <row r="1202" spans="1:3" x14ac:dyDescent="0.25">
      <c r="A1202" s="418">
        <v>41539</v>
      </c>
      <c r="B1202" s="419">
        <v>0.92453703703703705</v>
      </c>
      <c r="C1202" s="422" t="s">
        <v>1324</v>
      </c>
    </row>
    <row r="1203" spans="1:3" x14ac:dyDescent="0.25">
      <c r="A1203" s="418">
        <v>41539</v>
      </c>
      <c r="B1203" s="419">
        <v>0.92453703703703705</v>
      </c>
      <c r="C1203" s="422" t="s">
        <v>1325</v>
      </c>
    </row>
    <row r="1204" spans="1:3" x14ac:dyDescent="0.25">
      <c r="A1204" s="418">
        <v>41539</v>
      </c>
      <c r="B1204" s="419">
        <v>0.92453703703703705</v>
      </c>
      <c r="C1204" s="422" t="s">
        <v>1325</v>
      </c>
    </row>
    <row r="1205" spans="1:3" x14ac:dyDescent="0.25">
      <c r="A1205" s="418">
        <v>41539</v>
      </c>
      <c r="B1205" s="419">
        <v>0.92453703703703705</v>
      </c>
      <c r="C1205" s="422" t="s">
        <v>1326</v>
      </c>
    </row>
    <row r="1206" spans="1:3" x14ac:dyDescent="0.25">
      <c r="A1206" s="418">
        <v>41539</v>
      </c>
      <c r="B1206" s="419">
        <v>0.92453703703703705</v>
      </c>
      <c r="C1206" s="422" t="s">
        <v>1327</v>
      </c>
    </row>
    <row r="1207" spans="1:3" x14ac:dyDescent="0.25">
      <c r="A1207" s="418">
        <v>41539</v>
      </c>
      <c r="B1207" s="419">
        <v>0.92453703703703705</v>
      </c>
      <c r="C1207" s="422" t="s">
        <v>1313</v>
      </c>
    </row>
    <row r="1208" spans="1:3" x14ac:dyDescent="0.25">
      <c r="A1208" s="418">
        <v>41539</v>
      </c>
      <c r="B1208" s="419">
        <v>0.92453703703703705</v>
      </c>
      <c r="C1208" s="422" t="s">
        <v>1328</v>
      </c>
    </row>
    <row r="1209" spans="1:3" x14ac:dyDescent="0.25">
      <c r="A1209" s="418">
        <v>41539</v>
      </c>
      <c r="B1209" s="419">
        <v>0.92453703703703705</v>
      </c>
      <c r="C1209" s="422" t="s">
        <v>1329</v>
      </c>
    </row>
    <row r="1210" spans="1:3" x14ac:dyDescent="0.25">
      <c r="A1210" s="418">
        <v>41539</v>
      </c>
      <c r="B1210" s="419">
        <v>0.92453703703703705</v>
      </c>
      <c r="C1210" s="422" t="s">
        <v>1330</v>
      </c>
    </row>
    <row r="1211" spans="1:3" ht="45" x14ac:dyDescent="0.25">
      <c r="A1211" s="418">
        <v>41540</v>
      </c>
      <c r="B1211" s="419">
        <v>8.5439814814814816E-2</v>
      </c>
      <c r="C1211" s="952" t="s">
        <v>1514</v>
      </c>
    </row>
    <row r="1212" spans="1:3" x14ac:dyDescent="0.25">
      <c r="A1212" s="418">
        <v>41540</v>
      </c>
      <c r="B1212" s="419">
        <v>0.2094560185185185</v>
      </c>
      <c r="C1212" s="422" t="s">
        <v>1238</v>
      </c>
    </row>
    <row r="1213" spans="1:3" x14ac:dyDescent="0.25">
      <c r="A1213" s="418">
        <v>41540</v>
      </c>
      <c r="B1213" s="419">
        <v>0.2094560185185185</v>
      </c>
      <c r="C1213" s="422" t="s">
        <v>1310</v>
      </c>
    </row>
    <row r="1214" spans="1:3" x14ac:dyDescent="0.25">
      <c r="A1214" s="418">
        <v>41540</v>
      </c>
      <c r="B1214" s="419">
        <v>0.2094560185185185</v>
      </c>
      <c r="C1214" s="422" t="s">
        <v>1311</v>
      </c>
    </row>
    <row r="1215" spans="1:3" x14ac:dyDescent="0.25">
      <c r="A1215" s="418">
        <v>41540</v>
      </c>
      <c r="B1215" s="419">
        <v>0.2094560185185185</v>
      </c>
      <c r="C1215" s="422" t="s">
        <v>1312</v>
      </c>
    </row>
    <row r="1216" spans="1:3" x14ac:dyDescent="0.25">
      <c r="A1216" s="418">
        <v>41540</v>
      </c>
      <c r="B1216" s="419">
        <v>0.2094560185185185</v>
      </c>
      <c r="C1216" s="422" t="s">
        <v>1313</v>
      </c>
    </row>
    <row r="1217" spans="1:3" x14ac:dyDescent="0.25">
      <c r="A1217" s="418">
        <v>41540</v>
      </c>
      <c r="B1217" s="419">
        <v>0.2094560185185185</v>
      </c>
      <c r="C1217" s="422" t="s">
        <v>1314</v>
      </c>
    </row>
    <row r="1218" spans="1:3" x14ac:dyDescent="0.25">
      <c r="A1218" s="418">
        <v>41540</v>
      </c>
      <c r="B1218" s="419">
        <v>0.2094560185185185</v>
      </c>
      <c r="C1218" s="422" t="s">
        <v>1315</v>
      </c>
    </row>
    <row r="1219" spans="1:3" x14ac:dyDescent="0.25">
      <c r="A1219" s="418">
        <v>41540</v>
      </c>
      <c r="B1219" s="419">
        <v>0.2094560185185185</v>
      </c>
      <c r="C1219" s="422" t="s">
        <v>1316</v>
      </c>
    </row>
    <row r="1220" spans="1:3" x14ac:dyDescent="0.25">
      <c r="A1220" s="418">
        <v>41540</v>
      </c>
      <c r="B1220" s="419">
        <v>0.2094560185185185</v>
      </c>
      <c r="C1220" s="422" t="s">
        <v>1313</v>
      </c>
    </row>
    <row r="1221" spans="1:3" x14ac:dyDescent="0.25">
      <c r="A1221" s="418">
        <v>41540</v>
      </c>
      <c r="B1221" s="419">
        <v>0.2094560185185185</v>
      </c>
      <c r="C1221" s="422" t="s">
        <v>1317</v>
      </c>
    </row>
    <row r="1222" spans="1:3" x14ac:dyDescent="0.25">
      <c r="A1222" s="418">
        <v>41540</v>
      </c>
      <c r="B1222" s="419">
        <v>0.2094560185185185</v>
      </c>
      <c r="C1222" s="422" t="s">
        <v>1318</v>
      </c>
    </row>
    <row r="1223" spans="1:3" x14ac:dyDescent="0.25">
      <c r="A1223" s="418">
        <v>41540</v>
      </c>
      <c r="B1223" s="419">
        <v>0.2094560185185185</v>
      </c>
      <c r="C1223" s="422" t="s">
        <v>1463</v>
      </c>
    </row>
    <row r="1224" spans="1:3" x14ac:dyDescent="0.25">
      <c r="A1224" s="418">
        <v>41540</v>
      </c>
      <c r="B1224" s="419">
        <v>0.2094560185185185</v>
      </c>
      <c r="C1224" s="422" t="s">
        <v>1464</v>
      </c>
    </row>
    <row r="1225" spans="1:3" x14ac:dyDescent="0.25">
      <c r="A1225" s="418">
        <v>41540</v>
      </c>
      <c r="B1225" s="419">
        <v>0.2094560185185185</v>
      </c>
      <c r="C1225" s="422" t="s">
        <v>1313</v>
      </c>
    </row>
    <row r="1226" spans="1:3" x14ac:dyDescent="0.25">
      <c r="A1226" s="418">
        <v>41540</v>
      </c>
      <c r="B1226" s="419">
        <v>0.2094560185185185</v>
      </c>
      <c r="C1226" s="422" t="s">
        <v>1238</v>
      </c>
    </row>
    <row r="1227" spans="1:3" x14ac:dyDescent="0.25">
      <c r="A1227" s="418">
        <v>41540</v>
      </c>
      <c r="B1227" s="419">
        <v>0.2094560185185185</v>
      </c>
      <c r="C1227" s="422" t="s">
        <v>1465</v>
      </c>
    </row>
    <row r="1228" spans="1:3" x14ac:dyDescent="0.25">
      <c r="A1228" s="418">
        <v>41540</v>
      </c>
      <c r="B1228" s="419">
        <v>0.2094560185185185</v>
      </c>
      <c r="C1228" s="422" t="s">
        <v>1319</v>
      </c>
    </row>
    <row r="1229" spans="1:3" x14ac:dyDescent="0.25">
      <c r="A1229" s="418">
        <v>41540</v>
      </c>
      <c r="B1229" s="419">
        <v>0.2094560185185185</v>
      </c>
      <c r="C1229" s="422" t="s">
        <v>1319</v>
      </c>
    </row>
    <row r="1230" spans="1:3" x14ac:dyDescent="0.25">
      <c r="A1230" s="418">
        <v>41540</v>
      </c>
      <c r="B1230" s="419">
        <v>0.2094560185185185</v>
      </c>
      <c r="C1230" s="422" t="s">
        <v>1320</v>
      </c>
    </row>
    <row r="1231" spans="1:3" x14ac:dyDescent="0.25">
      <c r="A1231" s="418">
        <v>41540</v>
      </c>
      <c r="B1231" s="419">
        <v>0.2094560185185185</v>
      </c>
      <c r="C1231" s="422" t="s">
        <v>1312</v>
      </c>
    </row>
    <row r="1232" spans="1:3" x14ac:dyDescent="0.25">
      <c r="A1232" s="418">
        <v>41540</v>
      </c>
      <c r="B1232" s="419">
        <v>0.2094560185185185</v>
      </c>
      <c r="C1232" s="422" t="s">
        <v>1321</v>
      </c>
    </row>
    <row r="1233" spans="1:3" x14ac:dyDescent="0.25">
      <c r="A1233" s="418">
        <v>41540</v>
      </c>
      <c r="B1233" s="419">
        <v>0.2094560185185185</v>
      </c>
      <c r="C1233" s="422" t="s">
        <v>1322</v>
      </c>
    </row>
    <row r="1234" spans="1:3" x14ac:dyDescent="0.25">
      <c r="A1234" s="418">
        <v>41540</v>
      </c>
      <c r="B1234" s="419">
        <v>0.2094560185185185</v>
      </c>
      <c r="C1234" s="422" t="s">
        <v>1323</v>
      </c>
    </row>
    <row r="1235" spans="1:3" x14ac:dyDescent="0.25">
      <c r="A1235" s="418">
        <v>41540</v>
      </c>
      <c r="B1235" s="419">
        <v>0.2094560185185185</v>
      </c>
      <c r="C1235" s="422" t="s">
        <v>1321</v>
      </c>
    </row>
    <row r="1236" spans="1:3" x14ac:dyDescent="0.25">
      <c r="A1236" s="418">
        <v>41540</v>
      </c>
      <c r="B1236" s="419">
        <v>0.2094560185185185</v>
      </c>
      <c r="C1236" s="422" t="s">
        <v>1310</v>
      </c>
    </row>
    <row r="1237" spans="1:3" x14ac:dyDescent="0.25">
      <c r="A1237" s="418">
        <v>41540</v>
      </c>
      <c r="B1237" s="419">
        <v>0.2094560185185185</v>
      </c>
      <c r="C1237" s="422" t="s">
        <v>1324</v>
      </c>
    </row>
    <row r="1238" spans="1:3" x14ac:dyDescent="0.25">
      <c r="A1238" s="418">
        <v>41540</v>
      </c>
      <c r="B1238" s="419">
        <v>0.2094560185185185</v>
      </c>
      <c r="C1238" s="422" t="s">
        <v>1325</v>
      </c>
    </row>
    <row r="1239" spans="1:3" x14ac:dyDescent="0.25">
      <c r="A1239" s="418">
        <v>41540</v>
      </c>
      <c r="B1239" s="419">
        <v>0.2094560185185185</v>
      </c>
      <c r="C1239" s="422" t="s">
        <v>1325</v>
      </c>
    </row>
    <row r="1240" spans="1:3" x14ac:dyDescent="0.25">
      <c r="A1240" s="418">
        <v>41540</v>
      </c>
      <c r="B1240" s="419">
        <v>0.2094560185185185</v>
      </c>
      <c r="C1240" s="422" t="s">
        <v>1326</v>
      </c>
    </row>
    <row r="1241" spans="1:3" x14ac:dyDescent="0.25">
      <c r="A1241" s="418">
        <v>41540</v>
      </c>
      <c r="B1241" s="419">
        <v>0.2094560185185185</v>
      </c>
      <c r="C1241" s="422" t="s">
        <v>1327</v>
      </c>
    </row>
    <row r="1242" spans="1:3" x14ac:dyDescent="0.25">
      <c r="A1242" s="418">
        <v>41540</v>
      </c>
      <c r="B1242" s="419">
        <v>0.2094560185185185</v>
      </c>
      <c r="C1242" s="422" t="s">
        <v>1313</v>
      </c>
    </row>
    <row r="1243" spans="1:3" x14ac:dyDescent="0.25">
      <c r="A1243" s="418">
        <v>41540</v>
      </c>
      <c r="B1243" s="419">
        <v>0.2094560185185185</v>
      </c>
      <c r="C1243" s="422" t="s">
        <v>1328</v>
      </c>
    </row>
    <row r="1244" spans="1:3" x14ac:dyDescent="0.25">
      <c r="A1244" s="418">
        <v>41540</v>
      </c>
      <c r="B1244" s="419">
        <v>0.2094560185185185</v>
      </c>
      <c r="C1244" s="422" t="s">
        <v>1329</v>
      </c>
    </row>
    <row r="1245" spans="1:3" x14ac:dyDescent="0.25">
      <c r="A1245" s="418">
        <v>41540</v>
      </c>
      <c r="B1245" s="419">
        <v>0.2094560185185185</v>
      </c>
      <c r="C1245" s="422" t="s">
        <v>1330</v>
      </c>
    </row>
    <row r="1246" spans="1:3" x14ac:dyDescent="0.25">
      <c r="A1246" s="418">
        <v>41540</v>
      </c>
      <c r="B1246" s="419">
        <v>0.2094560185185185</v>
      </c>
      <c r="C1246" s="422" t="s">
        <v>1331</v>
      </c>
    </row>
    <row r="1247" spans="1:3" ht="60" x14ac:dyDescent="0.25">
      <c r="A1247" s="418">
        <v>41540</v>
      </c>
      <c r="B1247" s="419">
        <v>0.2094560185185185</v>
      </c>
      <c r="C1247" s="952" t="s">
        <v>1481</v>
      </c>
    </row>
    <row r="1248" spans="1:3" x14ac:dyDescent="0.25">
      <c r="A1248" s="418">
        <v>41540</v>
      </c>
      <c r="B1248" s="419">
        <v>0.20953703703703705</v>
      </c>
      <c r="C1248" s="422" t="s">
        <v>1326</v>
      </c>
    </row>
    <row r="1249" spans="1:3" x14ac:dyDescent="0.25">
      <c r="A1249" s="418">
        <v>41540</v>
      </c>
      <c r="B1249" s="419">
        <v>0.20953703703703705</v>
      </c>
      <c r="C1249" s="422" t="s">
        <v>1345</v>
      </c>
    </row>
    <row r="1250" spans="1:3" x14ac:dyDescent="0.25">
      <c r="A1250" s="418">
        <v>41540</v>
      </c>
      <c r="B1250" s="419">
        <v>0.20953703703703705</v>
      </c>
      <c r="C1250" s="422" t="s">
        <v>1346</v>
      </c>
    </row>
    <row r="1251" spans="1:3" x14ac:dyDescent="0.25">
      <c r="A1251" s="418">
        <v>41540</v>
      </c>
      <c r="B1251" s="419">
        <v>0.20953703703703705</v>
      </c>
      <c r="C1251" s="422" t="s">
        <v>1347</v>
      </c>
    </row>
    <row r="1252" spans="1:3" x14ac:dyDescent="0.25">
      <c r="A1252" s="418">
        <v>41540</v>
      </c>
      <c r="B1252" s="419">
        <v>0.20953703703703705</v>
      </c>
      <c r="C1252" s="422" t="s">
        <v>1347</v>
      </c>
    </row>
    <row r="1253" spans="1:3" x14ac:dyDescent="0.25">
      <c r="A1253" s="418">
        <v>41540</v>
      </c>
      <c r="B1253" s="419">
        <v>0.20953703703703705</v>
      </c>
      <c r="C1253" s="422" t="s">
        <v>1313</v>
      </c>
    </row>
    <row r="1254" spans="1:3" x14ac:dyDescent="0.25">
      <c r="A1254" s="418">
        <v>41540</v>
      </c>
      <c r="B1254" s="419">
        <v>0.20953703703703705</v>
      </c>
      <c r="C1254" s="422" t="s">
        <v>1348</v>
      </c>
    </row>
    <row r="1255" spans="1:3" x14ac:dyDescent="0.25">
      <c r="A1255" s="418">
        <v>41540</v>
      </c>
      <c r="B1255" s="419">
        <v>0.20953703703703705</v>
      </c>
      <c r="C1255" s="422" t="s">
        <v>1349</v>
      </c>
    </row>
    <row r="1256" spans="1:3" x14ac:dyDescent="0.25">
      <c r="A1256" s="418">
        <v>41540</v>
      </c>
      <c r="B1256" s="419">
        <v>0.20953703703703705</v>
      </c>
      <c r="C1256" s="422" t="s">
        <v>1350</v>
      </c>
    </row>
    <row r="1257" spans="1:3" x14ac:dyDescent="0.25">
      <c r="A1257" s="418">
        <v>41540</v>
      </c>
      <c r="B1257" s="419">
        <v>0.20953703703703705</v>
      </c>
      <c r="C1257" s="422" t="s">
        <v>1351</v>
      </c>
    </row>
    <row r="1258" spans="1:3" x14ac:dyDescent="0.25">
      <c r="A1258" s="418">
        <v>41540</v>
      </c>
      <c r="B1258" s="419">
        <v>0.20953703703703705</v>
      </c>
      <c r="C1258" s="422" t="s">
        <v>1352</v>
      </c>
    </row>
    <row r="1259" spans="1:3" x14ac:dyDescent="0.25">
      <c r="A1259" s="418">
        <v>41540</v>
      </c>
      <c r="B1259" s="419">
        <v>0.20953703703703705</v>
      </c>
      <c r="C1259" s="422" t="s">
        <v>1352</v>
      </c>
    </row>
    <row r="1260" spans="1:3" x14ac:dyDescent="0.25">
      <c r="A1260" s="418">
        <v>41540</v>
      </c>
      <c r="B1260" s="419">
        <v>0.20953703703703705</v>
      </c>
      <c r="C1260" s="422" t="s">
        <v>1351</v>
      </c>
    </row>
    <row r="1261" spans="1:3" x14ac:dyDescent="0.25">
      <c r="A1261" s="418">
        <v>41540</v>
      </c>
      <c r="B1261" s="419">
        <v>0.20953703703703705</v>
      </c>
      <c r="C1261" s="422" t="s">
        <v>1353</v>
      </c>
    </row>
    <row r="1262" spans="1:3" x14ac:dyDescent="0.25">
      <c r="A1262" s="418">
        <v>41540</v>
      </c>
      <c r="B1262" s="419">
        <v>0.20953703703703705</v>
      </c>
      <c r="C1262" s="422" t="s">
        <v>1354</v>
      </c>
    </row>
    <row r="1263" spans="1:3" x14ac:dyDescent="0.25">
      <c r="A1263" s="418">
        <v>41540</v>
      </c>
      <c r="B1263" s="419">
        <v>0.20953703703703705</v>
      </c>
      <c r="C1263" s="422" t="s">
        <v>1355</v>
      </c>
    </row>
    <row r="1264" spans="1:3" x14ac:dyDescent="0.25">
      <c r="A1264" s="418">
        <v>41540</v>
      </c>
      <c r="B1264" s="419">
        <v>0.20953703703703705</v>
      </c>
      <c r="C1264" s="422" t="s">
        <v>1290</v>
      </c>
    </row>
    <row r="1265" spans="1:3" ht="60" x14ac:dyDescent="0.25">
      <c r="A1265" s="418">
        <v>41540</v>
      </c>
      <c r="B1265" s="419">
        <v>0.20953703703703705</v>
      </c>
      <c r="C1265" s="952" t="s">
        <v>1291</v>
      </c>
    </row>
    <row r="1266" spans="1:3" x14ac:dyDescent="0.25">
      <c r="A1266" s="418">
        <v>41540</v>
      </c>
      <c r="B1266" s="419">
        <v>0.20954861111111112</v>
      </c>
      <c r="C1266" s="422" t="s">
        <v>1356</v>
      </c>
    </row>
    <row r="1267" spans="1:3" x14ac:dyDescent="0.25">
      <c r="A1267" s="418">
        <v>41540</v>
      </c>
      <c r="B1267" s="419">
        <v>0.20954861111111112</v>
      </c>
      <c r="C1267" s="422" t="s">
        <v>1357</v>
      </c>
    </row>
    <row r="1268" spans="1:3" x14ac:dyDescent="0.25">
      <c r="A1268" s="418">
        <v>41540</v>
      </c>
      <c r="B1268" s="419">
        <v>0.20954861111111112</v>
      </c>
      <c r="C1268" s="422" t="s">
        <v>1358</v>
      </c>
    </row>
    <row r="1269" spans="1:3" x14ac:dyDescent="0.25">
      <c r="A1269" s="418">
        <v>41540</v>
      </c>
      <c r="B1269" s="419">
        <v>0.20954861111111112</v>
      </c>
      <c r="C1269" s="422" t="s">
        <v>1360</v>
      </c>
    </row>
    <row r="1270" spans="1:3" x14ac:dyDescent="0.25">
      <c r="A1270" s="418">
        <v>41540</v>
      </c>
      <c r="B1270" s="419">
        <v>0.20954861111111112</v>
      </c>
      <c r="C1270" s="422" t="s">
        <v>1361</v>
      </c>
    </row>
    <row r="1271" spans="1:3" x14ac:dyDescent="0.25">
      <c r="A1271" s="418">
        <v>41540</v>
      </c>
      <c r="B1271" s="419">
        <v>0.20954861111111112</v>
      </c>
      <c r="C1271" s="422" t="s">
        <v>1362</v>
      </c>
    </row>
    <row r="1272" spans="1:3" x14ac:dyDescent="0.25">
      <c r="A1272" s="418">
        <v>41540</v>
      </c>
      <c r="B1272" s="419">
        <v>0.20954861111111112</v>
      </c>
      <c r="C1272" s="422" t="s">
        <v>1363</v>
      </c>
    </row>
    <row r="1273" spans="1:3" x14ac:dyDescent="0.25">
      <c r="A1273" s="418">
        <v>41540</v>
      </c>
      <c r="B1273" s="419">
        <v>0.20954861111111112</v>
      </c>
      <c r="C1273" s="422" t="s">
        <v>1364</v>
      </c>
    </row>
    <row r="1274" spans="1:3" x14ac:dyDescent="0.25">
      <c r="A1274" s="418">
        <v>41540</v>
      </c>
      <c r="B1274" s="419">
        <v>0.20954861111111112</v>
      </c>
      <c r="C1274" s="422" t="s">
        <v>1320</v>
      </c>
    </row>
    <row r="1275" spans="1:3" x14ac:dyDescent="0.25">
      <c r="A1275" s="418">
        <v>41540</v>
      </c>
      <c r="B1275" s="419">
        <v>0.20954861111111112</v>
      </c>
      <c r="C1275" s="422" t="s">
        <v>1365</v>
      </c>
    </row>
    <row r="1276" spans="1:3" x14ac:dyDescent="0.25">
      <c r="A1276" s="418">
        <v>41540</v>
      </c>
      <c r="B1276" s="419">
        <v>0.20954861111111112</v>
      </c>
      <c r="C1276" s="422" t="s">
        <v>1358</v>
      </c>
    </row>
    <row r="1277" spans="1:3" x14ac:dyDescent="0.25">
      <c r="A1277" s="418">
        <v>41540</v>
      </c>
      <c r="B1277" s="419">
        <v>0.20954861111111112</v>
      </c>
      <c r="C1277" s="422" t="s">
        <v>1366</v>
      </c>
    </row>
    <row r="1278" spans="1:3" x14ac:dyDescent="0.25">
      <c r="A1278" s="418">
        <v>41540</v>
      </c>
      <c r="B1278" s="419">
        <v>0.20954861111111112</v>
      </c>
      <c r="C1278" s="422" t="s">
        <v>1367</v>
      </c>
    </row>
    <row r="1279" spans="1:3" x14ac:dyDescent="0.25">
      <c r="A1279" s="418">
        <v>41540</v>
      </c>
      <c r="B1279" s="419">
        <v>0.20954861111111112</v>
      </c>
      <c r="C1279" s="422" t="s">
        <v>1368</v>
      </c>
    </row>
    <row r="1280" spans="1:3" x14ac:dyDescent="0.25">
      <c r="A1280" s="418">
        <v>41540</v>
      </c>
      <c r="B1280" s="419">
        <v>0.20954861111111112</v>
      </c>
      <c r="C1280" s="422" t="s">
        <v>1368</v>
      </c>
    </row>
    <row r="1281" spans="1:3" x14ac:dyDescent="0.25">
      <c r="A1281" s="418">
        <v>41540</v>
      </c>
      <c r="B1281" s="419">
        <v>0.20954861111111112</v>
      </c>
      <c r="C1281" s="422" t="s">
        <v>1369</v>
      </c>
    </row>
    <row r="1282" spans="1:3" x14ac:dyDescent="0.25">
      <c r="A1282" s="418">
        <v>41540</v>
      </c>
      <c r="B1282" s="419">
        <v>0.20954861111111112</v>
      </c>
      <c r="C1282" s="422" t="s">
        <v>1323</v>
      </c>
    </row>
    <row r="1283" spans="1:3" x14ac:dyDescent="0.25">
      <c r="A1283" s="418">
        <v>41540</v>
      </c>
      <c r="B1283" s="419">
        <v>0.20954861111111112</v>
      </c>
      <c r="C1283" s="422" t="s">
        <v>1370</v>
      </c>
    </row>
    <row r="1284" spans="1:3" x14ac:dyDescent="0.25">
      <c r="A1284" s="418">
        <v>41540</v>
      </c>
      <c r="B1284" s="419">
        <v>0.20954861111111112</v>
      </c>
      <c r="C1284" s="422" t="s">
        <v>1347</v>
      </c>
    </row>
    <row r="1285" spans="1:3" x14ac:dyDescent="0.25">
      <c r="A1285" s="418">
        <v>41540</v>
      </c>
      <c r="B1285" s="419">
        <v>0.20954861111111112</v>
      </c>
      <c r="C1285" s="422" t="s">
        <v>1371</v>
      </c>
    </row>
    <row r="1286" spans="1:3" x14ac:dyDescent="0.25">
      <c r="A1286" s="418">
        <v>41540</v>
      </c>
      <c r="B1286" s="419">
        <v>0.20954861111111112</v>
      </c>
      <c r="C1286" s="422" t="s">
        <v>1372</v>
      </c>
    </row>
    <row r="1287" spans="1:3" x14ac:dyDescent="0.25">
      <c r="A1287" s="418">
        <v>41540</v>
      </c>
      <c r="B1287" s="419">
        <v>0.20954861111111112</v>
      </c>
      <c r="C1287" s="422" t="s">
        <v>1310</v>
      </c>
    </row>
    <row r="1288" spans="1:3" x14ac:dyDescent="0.25">
      <c r="A1288" s="418">
        <v>41540</v>
      </c>
      <c r="B1288" s="419">
        <v>0.20954861111111112</v>
      </c>
      <c r="C1288" s="422" t="s">
        <v>1373</v>
      </c>
    </row>
    <row r="1289" spans="1:3" x14ac:dyDescent="0.25">
      <c r="A1289" s="418">
        <v>41540</v>
      </c>
      <c r="B1289" s="419">
        <v>0.20954861111111112</v>
      </c>
      <c r="C1289" s="422" t="s">
        <v>1374</v>
      </c>
    </row>
    <row r="1290" spans="1:3" x14ac:dyDescent="0.25">
      <c r="A1290" s="418">
        <v>41540</v>
      </c>
      <c r="B1290" s="419">
        <v>0.20954861111111112</v>
      </c>
      <c r="C1290" s="422" t="s">
        <v>1347</v>
      </c>
    </row>
    <row r="1291" spans="1:3" x14ac:dyDescent="0.25">
      <c r="A1291" s="418">
        <v>41540</v>
      </c>
      <c r="B1291" s="419">
        <v>0.20954861111111112</v>
      </c>
      <c r="C1291" s="422" t="s">
        <v>1320</v>
      </c>
    </row>
    <row r="1292" spans="1:3" x14ac:dyDescent="0.25">
      <c r="A1292" s="418">
        <v>41540</v>
      </c>
      <c r="B1292" s="419">
        <v>0.20954861111111112</v>
      </c>
      <c r="C1292" s="422" t="s">
        <v>1466</v>
      </c>
    </row>
    <row r="1293" spans="1:3" x14ac:dyDescent="0.25">
      <c r="A1293" s="418">
        <v>41540</v>
      </c>
      <c r="B1293" s="419">
        <v>0.20954861111111112</v>
      </c>
      <c r="C1293" s="422" t="s">
        <v>1381</v>
      </c>
    </row>
    <row r="1294" spans="1:3" ht="60" x14ac:dyDescent="0.25">
      <c r="A1294" s="418">
        <v>41540</v>
      </c>
      <c r="B1294" s="419">
        <v>0.20954861111111112</v>
      </c>
      <c r="C1294" s="952" t="s">
        <v>1482</v>
      </c>
    </row>
    <row r="1295" spans="1:3" x14ac:dyDescent="0.25">
      <c r="A1295" s="418">
        <v>41540</v>
      </c>
      <c r="B1295" s="419">
        <v>0.20956018518518518</v>
      </c>
      <c r="C1295" s="422" t="s">
        <v>1376</v>
      </c>
    </row>
    <row r="1296" spans="1:3" x14ac:dyDescent="0.25">
      <c r="A1296" s="418">
        <v>41540</v>
      </c>
      <c r="B1296" s="419">
        <v>0.20956018518518518</v>
      </c>
      <c r="C1296" s="422" t="s">
        <v>1311</v>
      </c>
    </row>
    <row r="1297" spans="1:3" x14ac:dyDescent="0.25">
      <c r="A1297" s="418">
        <v>41540</v>
      </c>
      <c r="B1297" s="419">
        <v>0.20956018518518518</v>
      </c>
      <c r="C1297" s="422" t="s">
        <v>1377</v>
      </c>
    </row>
    <row r="1298" spans="1:3" x14ac:dyDescent="0.25">
      <c r="A1298" s="418">
        <v>41540</v>
      </c>
      <c r="B1298" s="419">
        <v>0.20956018518518518</v>
      </c>
      <c r="C1298" s="422" t="s">
        <v>1378</v>
      </c>
    </row>
    <row r="1299" spans="1:3" x14ac:dyDescent="0.25">
      <c r="A1299" s="418">
        <v>41540</v>
      </c>
      <c r="B1299" s="419">
        <v>0.20956018518518518</v>
      </c>
      <c r="C1299" s="422" t="s">
        <v>1379</v>
      </c>
    </row>
    <row r="1300" spans="1:3" x14ac:dyDescent="0.25">
      <c r="A1300" s="418">
        <v>41540</v>
      </c>
      <c r="B1300" s="419">
        <v>0.20956018518518518</v>
      </c>
      <c r="C1300" s="422" t="s">
        <v>1380</v>
      </c>
    </row>
    <row r="1301" spans="1:3" x14ac:dyDescent="0.25">
      <c r="A1301" s="418">
        <v>41540</v>
      </c>
      <c r="B1301" s="419">
        <v>0.20956018518518518</v>
      </c>
      <c r="C1301" s="422" t="s">
        <v>1329</v>
      </c>
    </row>
    <row r="1302" spans="1:3" x14ac:dyDescent="0.25">
      <c r="A1302" s="418">
        <v>41540</v>
      </c>
      <c r="B1302" s="419">
        <v>0.20956018518518518</v>
      </c>
      <c r="C1302" s="422" t="s">
        <v>1381</v>
      </c>
    </row>
    <row r="1303" spans="1:3" ht="60" x14ac:dyDescent="0.25">
      <c r="A1303" s="418">
        <v>41540</v>
      </c>
      <c r="B1303" s="419">
        <v>0.20956018518518518</v>
      </c>
      <c r="C1303" s="952" t="s">
        <v>1467</v>
      </c>
    </row>
    <row r="1304" spans="1:3" x14ac:dyDescent="0.25">
      <c r="A1304" s="418">
        <v>41540</v>
      </c>
      <c r="B1304" s="419">
        <v>0.20957175925925928</v>
      </c>
      <c r="C1304" s="422" t="s">
        <v>1383</v>
      </c>
    </row>
    <row r="1305" spans="1:3" x14ac:dyDescent="0.25">
      <c r="A1305" s="418">
        <v>41540</v>
      </c>
      <c r="B1305" s="419">
        <v>0.20957175925925928</v>
      </c>
      <c r="C1305" s="422" t="s">
        <v>1384</v>
      </c>
    </row>
    <row r="1306" spans="1:3" x14ac:dyDescent="0.25">
      <c r="A1306" s="418">
        <v>41540</v>
      </c>
      <c r="B1306" s="419">
        <v>0.20957175925925928</v>
      </c>
      <c r="C1306" s="422" t="s">
        <v>1385</v>
      </c>
    </row>
    <row r="1307" spans="1:3" x14ac:dyDescent="0.25">
      <c r="A1307" s="418">
        <v>41540</v>
      </c>
      <c r="B1307" s="419">
        <v>0.20957175925925928</v>
      </c>
      <c r="C1307" s="422" t="s">
        <v>1386</v>
      </c>
    </row>
    <row r="1308" spans="1:3" x14ac:dyDescent="0.25">
      <c r="A1308" s="418">
        <v>41540</v>
      </c>
      <c r="B1308" s="419">
        <v>0.20957175925925928</v>
      </c>
      <c r="C1308" s="422" t="s">
        <v>1355</v>
      </c>
    </row>
    <row r="1309" spans="1:3" x14ac:dyDescent="0.25">
      <c r="A1309" s="418">
        <v>41540</v>
      </c>
      <c r="B1309" s="419">
        <v>0.20957175925925928</v>
      </c>
      <c r="C1309" s="422" t="s">
        <v>1387</v>
      </c>
    </row>
    <row r="1310" spans="1:3" x14ac:dyDescent="0.25">
      <c r="A1310" s="418">
        <v>41540</v>
      </c>
      <c r="B1310" s="419">
        <v>0.20957175925925928</v>
      </c>
      <c r="C1310" s="422" t="s">
        <v>1388</v>
      </c>
    </row>
    <row r="1311" spans="1:3" x14ac:dyDescent="0.25">
      <c r="A1311" s="418">
        <v>41540</v>
      </c>
      <c r="B1311" s="419">
        <v>0.20957175925925928</v>
      </c>
      <c r="C1311" s="422" t="s">
        <v>1388</v>
      </c>
    </row>
    <row r="1312" spans="1:3" x14ac:dyDescent="0.25">
      <c r="A1312" s="418">
        <v>41540</v>
      </c>
      <c r="B1312" s="419">
        <v>0.20957175925925928</v>
      </c>
      <c r="C1312" s="422" t="s">
        <v>1389</v>
      </c>
    </row>
    <row r="1313" spans="1:3" x14ac:dyDescent="0.25">
      <c r="A1313" s="418">
        <v>41540</v>
      </c>
      <c r="B1313" s="419">
        <v>0.20957175925925928</v>
      </c>
      <c r="C1313" s="422" t="s">
        <v>1390</v>
      </c>
    </row>
    <row r="1314" spans="1:3" x14ac:dyDescent="0.25">
      <c r="A1314" s="418">
        <v>41540</v>
      </c>
      <c r="B1314" s="419">
        <v>0.20957175925925928</v>
      </c>
      <c r="C1314" s="422" t="s">
        <v>1390</v>
      </c>
    </row>
    <row r="1315" spans="1:3" x14ac:dyDescent="0.25">
      <c r="A1315" s="418">
        <v>41540</v>
      </c>
      <c r="B1315" s="419">
        <v>0.20957175925925928</v>
      </c>
      <c r="C1315" s="422" t="s">
        <v>1321</v>
      </c>
    </row>
    <row r="1316" spans="1:3" x14ac:dyDescent="0.25">
      <c r="A1316" s="418">
        <v>41540</v>
      </c>
      <c r="B1316" s="419">
        <v>0.20957175925925928</v>
      </c>
      <c r="C1316" s="422" t="s">
        <v>1391</v>
      </c>
    </row>
    <row r="1317" spans="1:3" x14ac:dyDescent="0.25">
      <c r="A1317" s="418">
        <v>41540</v>
      </c>
      <c r="B1317" s="419">
        <v>0.20957175925925928</v>
      </c>
      <c r="C1317" s="422" t="s">
        <v>1393</v>
      </c>
    </row>
    <row r="1318" spans="1:3" x14ac:dyDescent="0.25">
      <c r="A1318" s="418">
        <v>41540</v>
      </c>
      <c r="B1318" s="419">
        <v>0.20957175925925928</v>
      </c>
      <c r="C1318" s="422" t="s">
        <v>1394</v>
      </c>
    </row>
    <row r="1319" spans="1:3" x14ac:dyDescent="0.25">
      <c r="A1319" s="418">
        <v>41540</v>
      </c>
      <c r="B1319" s="419">
        <v>0.20957175925925928</v>
      </c>
      <c r="C1319" s="422" t="s">
        <v>1395</v>
      </c>
    </row>
    <row r="1320" spans="1:3" x14ac:dyDescent="0.25">
      <c r="A1320" s="418">
        <v>41540</v>
      </c>
      <c r="B1320" s="419">
        <v>0.20957175925925928</v>
      </c>
      <c r="C1320" s="422" t="s">
        <v>1297</v>
      </c>
    </row>
    <row r="1321" spans="1:3" ht="60" x14ac:dyDescent="0.25">
      <c r="A1321" s="418">
        <v>41540</v>
      </c>
      <c r="B1321" s="419">
        <v>0.20957175925925928</v>
      </c>
      <c r="C1321" s="952" t="s">
        <v>1298</v>
      </c>
    </row>
    <row r="1322" spans="1:3" x14ac:dyDescent="0.25">
      <c r="A1322" s="418">
        <v>41540</v>
      </c>
      <c r="B1322" s="419">
        <v>0.20959490740740741</v>
      </c>
      <c r="C1322" s="422" t="s">
        <v>1396</v>
      </c>
    </row>
    <row r="1323" spans="1:3" x14ac:dyDescent="0.25">
      <c r="A1323" s="418">
        <v>41540</v>
      </c>
      <c r="B1323" s="419">
        <v>0.20959490740740741</v>
      </c>
      <c r="C1323" s="422" t="s">
        <v>1397</v>
      </c>
    </row>
    <row r="1324" spans="1:3" x14ac:dyDescent="0.25">
      <c r="A1324" s="418">
        <v>41540</v>
      </c>
      <c r="B1324" s="419">
        <v>0.20959490740740741</v>
      </c>
      <c r="C1324" s="422" t="s">
        <v>1395</v>
      </c>
    </row>
    <row r="1325" spans="1:3" x14ac:dyDescent="0.25">
      <c r="A1325" s="418">
        <v>41540</v>
      </c>
      <c r="B1325" s="419">
        <v>0.20959490740740741</v>
      </c>
      <c r="C1325" s="422" t="s">
        <v>1398</v>
      </c>
    </row>
    <row r="1326" spans="1:3" x14ac:dyDescent="0.25">
      <c r="A1326" s="418">
        <v>41540</v>
      </c>
      <c r="B1326" s="419">
        <v>0.20959490740740741</v>
      </c>
      <c r="C1326" s="422" t="s">
        <v>1399</v>
      </c>
    </row>
    <row r="1327" spans="1:3" x14ac:dyDescent="0.25">
      <c r="A1327" s="418">
        <v>41540</v>
      </c>
      <c r="B1327" s="419">
        <v>0.20959490740740741</v>
      </c>
      <c r="C1327" s="422" t="s">
        <v>1366</v>
      </c>
    </row>
    <row r="1328" spans="1:3" x14ac:dyDescent="0.25">
      <c r="A1328" s="418">
        <v>41540</v>
      </c>
      <c r="B1328" s="419">
        <v>0.20959490740740741</v>
      </c>
      <c r="C1328" s="422" t="s">
        <v>1365</v>
      </c>
    </row>
    <row r="1329" spans="1:3" x14ac:dyDescent="0.25">
      <c r="A1329" s="418">
        <v>41540</v>
      </c>
      <c r="B1329" s="419">
        <v>0.20959490740740741</v>
      </c>
      <c r="C1329" s="422" t="s">
        <v>1400</v>
      </c>
    </row>
    <row r="1330" spans="1:3" x14ac:dyDescent="0.25">
      <c r="A1330" s="418">
        <v>41540</v>
      </c>
      <c r="B1330" s="419">
        <v>0.20959490740740741</v>
      </c>
      <c r="C1330" s="422" t="s">
        <v>1384</v>
      </c>
    </row>
    <row r="1331" spans="1:3" x14ac:dyDescent="0.25">
      <c r="A1331" s="418">
        <v>41540</v>
      </c>
      <c r="B1331" s="419">
        <v>0.20959490740740741</v>
      </c>
      <c r="C1331" s="422" t="s">
        <v>1401</v>
      </c>
    </row>
    <row r="1332" spans="1:3" x14ac:dyDescent="0.25">
      <c r="A1332" s="418">
        <v>41540</v>
      </c>
      <c r="B1332" s="419">
        <v>0.20959490740740741</v>
      </c>
      <c r="C1332" s="422" t="s">
        <v>1402</v>
      </c>
    </row>
    <row r="1333" spans="1:3" x14ac:dyDescent="0.25">
      <c r="A1333" s="418">
        <v>41540</v>
      </c>
      <c r="B1333" s="419">
        <v>0.20959490740740741</v>
      </c>
      <c r="C1333" s="422" t="s">
        <v>1403</v>
      </c>
    </row>
    <row r="1334" spans="1:3" x14ac:dyDescent="0.25">
      <c r="A1334" s="418">
        <v>41540</v>
      </c>
      <c r="B1334" s="419">
        <v>0.20959490740740741</v>
      </c>
      <c r="C1334" s="422" t="s">
        <v>1403</v>
      </c>
    </row>
    <row r="1335" spans="1:3" x14ac:dyDescent="0.25">
      <c r="A1335" s="418">
        <v>41540</v>
      </c>
      <c r="B1335" s="419">
        <v>0.20959490740740741</v>
      </c>
      <c r="C1335" s="422" t="s">
        <v>1376</v>
      </c>
    </row>
    <row r="1336" spans="1:3" x14ac:dyDescent="0.25">
      <c r="A1336" s="418">
        <v>41540</v>
      </c>
      <c r="B1336" s="419">
        <v>0.20959490740740741</v>
      </c>
      <c r="C1336" s="422" t="s">
        <v>1356</v>
      </c>
    </row>
    <row r="1337" spans="1:3" x14ac:dyDescent="0.25">
      <c r="A1337" s="418">
        <v>41540</v>
      </c>
      <c r="B1337" s="419">
        <v>0.20959490740740741</v>
      </c>
      <c r="C1337" s="422" t="s">
        <v>1356</v>
      </c>
    </row>
    <row r="1338" spans="1:3" x14ac:dyDescent="0.25">
      <c r="A1338" s="418">
        <v>41540</v>
      </c>
      <c r="B1338" s="419">
        <v>0.20959490740740741</v>
      </c>
      <c r="C1338" s="422" t="s">
        <v>1404</v>
      </c>
    </row>
    <row r="1339" spans="1:3" x14ac:dyDescent="0.25">
      <c r="A1339" s="418">
        <v>41540</v>
      </c>
      <c r="B1339" s="419">
        <v>0.20959490740740741</v>
      </c>
      <c r="C1339" s="422" t="s">
        <v>1395</v>
      </c>
    </row>
    <row r="1340" spans="1:3" x14ac:dyDescent="0.25">
      <c r="A1340" s="418">
        <v>41540</v>
      </c>
      <c r="B1340" s="419">
        <v>0.20959490740740741</v>
      </c>
      <c r="C1340" s="422" t="s">
        <v>1406</v>
      </c>
    </row>
    <row r="1341" spans="1:3" x14ac:dyDescent="0.25">
      <c r="A1341" s="418">
        <v>41540</v>
      </c>
      <c r="B1341" s="419">
        <v>0.20959490740740741</v>
      </c>
      <c r="C1341" s="422" t="s">
        <v>1406</v>
      </c>
    </row>
    <row r="1342" spans="1:3" x14ac:dyDescent="0.25">
      <c r="A1342" s="418">
        <v>41540</v>
      </c>
      <c r="B1342" s="419">
        <v>0.20959490740740741</v>
      </c>
      <c r="C1342" s="422" t="s">
        <v>1406</v>
      </c>
    </row>
    <row r="1343" spans="1:3" x14ac:dyDescent="0.25">
      <c r="A1343" s="418">
        <v>41540</v>
      </c>
      <c r="B1343" s="419">
        <v>0.20959490740740741</v>
      </c>
      <c r="C1343" s="422" t="s">
        <v>1365</v>
      </c>
    </row>
    <row r="1344" spans="1:3" x14ac:dyDescent="0.25">
      <c r="A1344" s="418">
        <v>41540</v>
      </c>
      <c r="B1344" s="419">
        <v>0.20959490740740741</v>
      </c>
      <c r="C1344" s="422" t="s">
        <v>1367</v>
      </c>
    </row>
    <row r="1345" spans="1:3" x14ac:dyDescent="0.25">
      <c r="A1345" s="418">
        <v>41540</v>
      </c>
      <c r="B1345" s="419">
        <v>0.20959490740740741</v>
      </c>
      <c r="C1345" s="422" t="s">
        <v>1367</v>
      </c>
    </row>
    <row r="1346" spans="1:3" x14ac:dyDescent="0.25">
      <c r="A1346" s="418">
        <v>41540</v>
      </c>
      <c r="B1346" s="419">
        <v>0.20959490740740741</v>
      </c>
      <c r="C1346" s="422" t="s">
        <v>1384</v>
      </c>
    </row>
    <row r="1347" spans="1:3" x14ac:dyDescent="0.25">
      <c r="A1347" s="418">
        <v>41540</v>
      </c>
      <c r="B1347" s="419">
        <v>0.20959490740740741</v>
      </c>
      <c r="C1347" s="422" t="s">
        <v>1367</v>
      </c>
    </row>
    <row r="1348" spans="1:3" x14ac:dyDescent="0.25">
      <c r="A1348" s="418">
        <v>41540</v>
      </c>
      <c r="B1348" s="419">
        <v>0.20959490740740741</v>
      </c>
      <c r="C1348" s="422" t="s">
        <v>1483</v>
      </c>
    </row>
    <row r="1349" spans="1:3" x14ac:dyDescent="0.25">
      <c r="A1349" s="418">
        <v>41540</v>
      </c>
      <c r="B1349" s="419">
        <v>0.20959490740740741</v>
      </c>
      <c r="C1349" s="422" t="s">
        <v>1483</v>
      </c>
    </row>
    <row r="1350" spans="1:3" x14ac:dyDescent="0.25">
      <c r="A1350" s="418">
        <v>41540</v>
      </c>
      <c r="B1350" s="419">
        <v>0.20959490740740741</v>
      </c>
      <c r="C1350" s="422" t="s">
        <v>1483</v>
      </c>
    </row>
    <row r="1351" spans="1:3" x14ac:dyDescent="0.25">
      <c r="A1351" s="418">
        <v>41540</v>
      </c>
      <c r="B1351" s="419">
        <v>0.20959490740740741</v>
      </c>
      <c r="C1351" s="422" t="s">
        <v>1484</v>
      </c>
    </row>
    <row r="1352" spans="1:3" x14ac:dyDescent="0.25">
      <c r="A1352" s="418">
        <v>41540</v>
      </c>
      <c r="B1352" s="419">
        <v>0.20959490740740741</v>
      </c>
      <c r="C1352" s="422" t="s">
        <v>1349</v>
      </c>
    </row>
    <row r="1353" spans="1:3" x14ac:dyDescent="0.25">
      <c r="A1353" s="418">
        <v>41540</v>
      </c>
      <c r="B1353" s="419">
        <v>0.20959490740740741</v>
      </c>
      <c r="C1353" s="422" t="s">
        <v>1408</v>
      </c>
    </row>
    <row r="1354" spans="1:3" x14ac:dyDescent="0.25">
      <c r="A1354" s="418">
        <v>41540</v>
      </c>
      <c r="B1354" s="419">
        <v>0.20959490740740741</v>
      </c>
      <c r="C1354" s="422" t="s">
        <v>1409</v>
      </c>
    </row>
    <row r="1355" spans="1:3" x14ac:dyDescent="0.25">
      <c r="A1355" s="418">
        <v>41540</v>
      </c>
      <c r="B1355" s="419">
        <v>0.20959490740740741</v>
      </c>
      <c r="C1355" s="422" t="s">
        <v>1365</v>
      </c>
    </row>
    <row r="1356" spans="1:3" x14ac:dyDescent="0.25">
      <c r="A1356" s="418">
        <v>41540</v>
      </c>
      <c r="B1356" s="419">
        <v>0.20959490740740741</v>
      </c>
      <c r="C1356" s="422" t="s">
        <v>1485</v>
      </c>
    </row>
    <row r="1357" spans="1:3" x14ac:dyDescent="0.25">
      <c r="A1357" s="418">
        <v>41540</v>
      </c>
      <c r="B1357" s="419">
        <v>0.20959490740740741</v>
      </c>
      <c r="C1357" s="422" t="s">
        <v>1321</v>
      </c>
    </row>
    <row r="1358" spans="1:3" x14ac:dyDescent="0.25">
      <c r="A1358" s="418">
        <v>41540</v>
      </c>
      <c r="B1358" s="419">
        <v>0.20959490740740741</v>
      </c>
      <c r="C1358" s="422" t="s">
        <v>1371</v>
      </c>
    </row>
    <row r="1359" spans="1:3" x14ac:dyDescent="0.25">
      <c r="A1359" s="418">
        <v>41540</v>
      </c>
      <c r="B1359" s="419">
        <v>0.20959490740740741</v>
      </c>
      <c r="C1359" s="422" t="s">
        <v>1371</v>
      </c>
    </row>
    <row r="1360" spans="1:3" x14ac:dyDescent="0.25">
      <c r="A1360" s="418">
        <v>41540</v>
      </c>
      <c r="B1360" s="419">
        <v>0.20959490740740741</v>
      </c>
      <c r="C1360" s="422" t="s">
        <v>1371</v>
      </c>
    </row>
    <row r="1361" spans="1:3" x14ac:dyDescent="0.25">
      <c r="A1361" s="418">
        <v>41540</v>
      </c>
      <c r="B1361" s="419">
        <v>0.20959490740740741</v>
      </c>
      <c r="C1361" s="422" t="s">
        <v>1371</v>
      </c>
    </row>
    <row r="1362" spans="1:3" x14ac:dyDescent="0.25">
      <c r="A1362" s="418">
        <v>41540</v>
      </c>
      <c r="B1362" s="419">
        <v>0.20959490740740741</v>
      </c>
      <c r="C1362" s="422" t="s">
        <v>1371</v>
      </c>
    </row>
    <row r="1363" spans="1:3" x14ac:dyDescent="0.25">
      <c r="A1363" s="418">
        <v>41540</v>
      </c>
      <c r="B1363" s="419">
        <v>0.20959490740740741</v>
      </c>
      <c r="C1363" s="422" t="s">
        <v>1412</v>
      </c>
    </row>
    <row r="1364" spans="1:3" x14ac:dyDescent="0.25">
      <c r="A1364" s="418">
        <v>41540</v>
      </c>
      <c r="B1364" s="419">
        <v>0.20959490740740741</v>
      </c>
      <c r="C1364" s="422" t="s">
        <v>1311</v>
      </c>
    </row>
    <row r="1365" spans="1:3" x14ac:dyDescent="0.25">
      <c r="A1365" s="418">
        <v>41540</v>
      </c>
      <c r="B1365" s="419">
        <v>0.20959490740740741</v>
      </c>
      <c r="C1365" s="422" t="s">
        <v>1413</v>
      </c>
    </row>
    <row r="1366" spans="1:3" x14ac:dyDescent="0.25">
      <c r="A1366" s="418">
        <v>41540</v>
      </c>
      <c r="B1366" s="419">
        <v>0.20959490740740741</v>
      </c>
      <c r="C1366" s="422" t="s">
        <v>1413</v>
      </c>
    </row>
    <row r="1367" spans="1:3" x14ac:dyDescent="0.25">
      <c r="A1367" s="418">
        <v>41540</v>
      </c>
      <c r="B1367" s="419">
        <v>0.20959490740740741</v>
      </c>
      <c r="C1367" s="422" t="s">
        <v>1414</v>
      </c>
    </row>
    <row r="1368" spans="1:3" x14ac:dyDescent="0.25">
      <c r="A1368" s="418">
        <v>41540</v>
      </c>
      <c r="B1368" s="419">
        <v>0.20959490740740741</v>
      </c>
      <c r="C1368" s="422" t="s">
        <v>1486</v>
      </c>
    </row>
    <row r="1369" spans="1:3" x14ac:dyDescent="0.25">
      <c r="A1369" s="418">
        <v>41540</v>
      </c>
      <c r="B1369" s="419">
        <v>0.20959490740740741</v>
      </c>
      <c r="C1369" s="422" t="s">
        <v>1416</v>
      </c>
    </row>
    <row r="1370" spans="1:3" x14ac:dyDescent="0.25">
      <c r="A1370" s="418">
        <v>41540</v>
      </c>
      <c r="B1370" s="419">
        <v>0.20959490740740741</v>
      </c>
      <c r="C1370" s="422" t="s">
        <v>1417</v>
      </c>
    </row>
    <row r="1371" spans="1:3" x14ac:dyDescent="0.25">
      <c r="A1371" s="418">
        <v>41540</v>
      </c>
      <c r="B1371" s="419">
        <v>0.2096064814814815</v>
      </c>
      <c r="C1371" s="422" t="s">
        <v>1376</v>
      </c>
    </row>
    <row r="1372" spans="1:3" x14ac:dyDescent="0.25">
      <c r="A1372" s="418">
        <v>41540</v>
      </c>
      <c r="B1372" s="419">
        <v>0.2096064814814815</v>
      </c>
      <c r="C1372" s="422" t="s">
        <v>1487</v>
      </c>
    </row>
    <row r="1373" spans="1:3" x14ac:dyDescent="0.25">
      <c r="A1373" s="418">
        <v>41540</v>
      </c>
      <c r="B1373" s="419">
        <v>0.2096064814814815</v>
      </c>
      <c r="C1373" s="422" t="s">
        <v>1412</v>
      </c>
    </row>
    <row r="1374" spans="1:3" x14ac:dyDescent="0.25">
      <c r="A1374" s="418">
        <v>41540</v>
      </c>
      <c r="B1374" s="419">
        <v>0.2096064814814815</v>
      </c>
      <c r="C1374" s="422" t="s">
        <v>1419</v>
      </c>
    </row>
    <row r="1375" spans="1:3" x14ac:dyDescent="0.25">
      <c r="A1375" s="418">
        <v>41540</v>
      </c>
      <c r="B1375" s="419">
        <v>0.2096064814814815</v>
      </c>
      <c r="C1375" s="422" t="s">
        <v>1418</v>
      </c>
    </row>
    <row r="1376" spans="1:3" x14ac:dyDescent="0.25">
      <c r="A1376" s="418">
        <v>41540</v>
      </c>
      <c r="B1376" s="419">
        <v>0.2096064814814815</v>
      </c>
      <c r="C1376" s="422" t="s">
        <v>1351</v>
      </c>
    </row>
    <row r="1377" spans="1:3" x14ac:dyDescent="0.25">
      <c r="A1377" s="418">
        <v>41540</v>
      </c>
      <c r="B1377" s="419">
        <v>0.2096064814814815</v>
      </c>
      <c r="C1377" s="422" t="s">
        <v>1422</v>
      </c>
    </row>
    <row r="1378" spans="1:3" x14ac:dyDescent="0.25">
      <c r="A1378" s="418">
        <v>41540</v>
      </c>
      <c r="B1378" s="419">
        <v>0.2096064814814815</v>
      </c>
      <c r="C1378" s="422" t="s">
        <v>1422</v>
      </c>
    </row>
    <row r="1379" spans="1:3" x14ac:dyDescent="0.25">
      <c r="A1379" s="418">
        <v>41540</v>
      </c>
      <c r="B1379" s="419">
        <v>0.2096064814814815</v>
      </c>
      <c r="C1379" s="422" t="s">
        <v>1423</v>
      </c>
    </row>
    <row r="1380" spans="1:3" x14ac:dyDescent="0.25">
      <c r="A1380" s="418">
        <v>41540</v>
      </c>
      <c r="B1380" s="419">
        <v>0.2096064814814815</v>
      </c>
      <c r="C1380" s="422" t="s">
        <v>1488</v>
      </c>
    </row>
    <row r="1381" spans="1:3" x14ac:dyDescent="0.25">
      <c r="A1381" s="418">
        <v>41540</v>
      </c>
      <c r="B1381" s="419">
        <v>0.2096064814814815</v>
      </c>
      <c r="C1381" s="422" t="s">
        <v>1489</v>
      </c>
    </row>
    <row r="1382" spans="1:3" x14ac:dyDescent="0.25">
      <c r="A1382" s="418">
        <v>41540</v>
      </c>
      <c r="B1382" s="419">
        <v>0.2096064814814815</v>
      </c>
      <c r="C1382" s="422" t="s">
        <v>1490</v>
      </c>
    </row>
    <row r="1383" spans="1:3" x14ac:dyDescent="0.25">
      <c r="A1383" s="418">
        <v>41540</v>
      </c>
      <c r="B1383" s="419">
        <v>0.2096064814814815</v>
      </c>
      <c r="C1383" s="422" t="s">
        <v>1491</v>
      </c>
    </row>
    <row r="1384" spans="1:3" x14ac:dyDescent="0.25">
      <c r="A1384" s="418">
        <v>41540</v>
      </c>
      <c r="B1384" s="419">
        <v>0.2096064814814815</v>
      </c>
      <c r="C1384" s="422" t="s">
        <v>1492</v>
      </c>
    </row>
    <row r="1385" spans="1:3" x14ac:dyDescent="0.25">
      <c r="A1385" s="418">
        <v>41540</v>
      </c>
      <c r="B1385" s="419">
        <v>0.2096064814814815</v>
      </c>
      <c r="C1385" s="422" t="s">
        <v>1493</v>
      </c>
    </row>
    <row r="1386" spans="1:3" x14ac:dyDescent="0.25">
      <c r="A1386" s="418">
        <v>41540</v>
      </c>
      <c r="B1386" s="419">
        <v>0.2096064814814815</v>
      </c>
      <c r="C1386" s="422" t="s">
        <v>1494</v>
      </c>
    </row>
    <row r="1387" spans="1:3" x14ac:dyDescent="0.25">
      <c r="A1387" s="418">
        <v>41540</v>
      </c>
      <c r="B1387" s="419">
        <v>0.2096064814814815</v>
      </c>
      <c r="C1387" s="422" t="s">
        <v>1495</v>
      </c>
    </row>
    <row r="1388" spans="1:3" x14ac:dyDescent="0.25">
      <c r="A1388" s="418">
        <v>41540</v>
      </c>
      <c r="B1388" s="419">
        <v>0.2096064814814815</v>
      </c>
      <c r="C1388" s="422" t="s">
        <v>1323</v>
      </c>
    </row>
    <row r="1389" spans="1:3" x14ac:dyDescent="0.25">
      <c r="A1389" s="418">
        <v>41540</v>
      </c>
      <c r="B1389" s="419">
        <v>0.2096064814814815</v>
      </c>
      <c r="C1389" s="422" t="s">
        <v>1432</v>
      </c>
    </row>
    <row r="1390" spans="1:3" x14ac:dyDescent="0.25">
      <c r="A1390" s="418">
        <v>41540</v>
      </c>
      <c r="B1390" s="419">
        <v>0.2096064814814815</v>
      </c>
      <c r="C1390" s="422" t="s">
        <v>1433</v>
      </c>
    </row>
    <row r="1391" spans="1:3" x14ac:dyDescent="0.25">
      <c r="A1391" s="418">
        <v>41540</v>
      </c>
      <c r="B1391" s="419">
        <v>0.2096064814814815</v>
      </c>
      <c r="C1391" s="422" t="s">
        <v>1496</v>
      </c>
    </row>
    <row r="1392" spans="1:3" x14ac:dyDescent="0.25">
      <c r="A1392" s="418">
        <v>41540</v>
      </c>
      <c r="B1392" s="419">
        <v>0.2096064814814815</v>
      </c>
      <c r="C1392" s="422" t="s">
        <v>1311</v>
      </c>
    </row>
    <row r="1393" spans="1:3" x14ac:dyDescent="0.25">
      <c r="A1393" s="418">
        <v>41540</v>
      </c>
      <c r="B1393" s="419">
        <v>0.2096064814814815</v>
      </c>
      <c r="C1393" s="422" t="s">
        <v>1363</v>
      </c>
    </row>
    <row r="1394" spans="1:3" x14ac:dyDescent="0.25">
      <c r="A1394" s="418">
        <v>41540</v>
      </c>
      <c r="B1394" s="419">
        <v>0.2096064814814815</v>
      </c>
      <c r="C1394" s="422" t="s">
        <v>1435</v>
      </c>
    </row>
    <row r="1395" spans="1:3" x14ac:dyDescent="0.25">
      <c r="A1395" s="418">
        <v>41540</v>
      </c>
      <c r="B1395" s="419">
        <v>0.2096064814814815</v>
      </c>
      <c r="C1395" s="422" t="s">
        <v>1435</v>
      </c>
    </row>
    <row r="1396" spans="1:3" x14ac:dyDescent="0.25">
      <c r="A1396" s="418">
        <v>41540</v>
      </c>
      <c r="B1396" s="419">
        <v>0.2096064814814815</v>
      </c>
      <c r="C1396" s="422" t="s">
        <v>1435</v>
      </c>
    </row>
    <row r="1397" spans="1:3" x14ac:dyDescent="0.25">
      <c r="A1397" s="418">
        <v>41540</v>
      </c>
      <c r="B1397" s="419">
        <v>0.2096064814814815</v>
      </c>
      <c r="C1397" s="422" t="s">
        <v>1284</v>
      </c>
    </row>
    <row r="1398" spans="1:3" ht="60" x14ac:dyDescent="0.25">
      <c r="A1398" s="418">
        <v>41540</v>
      </c>
      <c r="B1398" s="419">
        <v>0.2096064814814815</v>
      </c>
      <c r="C1398" s="952" t="s">
        <v>1285</v>
      </c>
    </row>
    <row r="1399" spans="1:3" x14ac:dyDescent="0.25">
      <c r="A1399" s="418">
        <v>41540</v>
      </c>
      <c r="B1399" s="419">
        <v>0.20961805555555557</v>
      </c>
      <c r="C1399" s="422" t="s">
        <v>1416</v>
      </c>
    </row>
    <row r="1400" spans="1:3" x14ac:dyDescent="0.25">
      <c r="A1400" s="418">
        <v>41540</v>
      </c>
      <c r="B1400" s="419">
        <v>0.20961805555555557</v>
      </c>
      <c r="C1400" s="422" t="s">
        <v>1497</v>
      </c>
    </row>
    <row r="1401" spans="1:3" x14ac:dyDescent="0.25">
      <c r="A1401" s="418">
        <v>41540</v>
      </c>
      <c r="B1401" s="419">
        <v>0.20961805555555557</v>
      </c>
      <c r="C1401" s="422" t="s">
        <v>1498</v>
      </c>
    </row>
    <row r="1402" spans="1:3" x14ac:dyDescent="0.25">
      <c r="A1402" s="418">
        <v>41540</v>
      </c>
      <c r="B1402" s="419">
        <v>0.20961805555555557</v>
      </c>
      <c r="C1402" s="422" t="s">
        <v>1499</v>
      </c>
    </row>
    <row r="1403" spans="1:3" x14ac:dyDescent="0.25">
      <c r="A1403" s="418">
        <v>41540</v>
      </c>
      <c r="B1403" s="419">
        <v>0.20961805555555557</v>
      </c>
      <c r="C1403" s="422" t="s">
        <v>1500</v>
      </c>
    </row>
    <row r="1404" spans="1:3" x14ac:dyDescent="0.25">
      <c r="A1404" s="418">
        <v>41540</v>
      </c>
      <c r="B1404" s="419">
        <v>0.20961805555555557</v>
      </c>
      <c r="C1404" s="422" t="s">
        <v>1501</v>
      </c>
    </row>
    <row r="1405" spans="1:3" x14ac:dyDescent="0.25">
      <c r="A1405" s="418">
        <v>41540</v>
      </c>
      <c r="B1405" s="419">
        <v>0.20961805555555557</v>
      </c>
      <c r="C1405" s="422" t="s">
        <v>1502</v>
      </c>
    </row>
    <row r="1406" spans="1:3" x14ac:dyDescent="0.25">
      <c r="A1406" s="418">
        <v>41540</v>
      </c>
      <c r="B1406" s="419">
        <v>0.20961805555555557</v>
      </c>
      <c r="C1406" s="422" t="s">
        <v>1503</v>
      </c>
    </row>
    <row r="1407" spans="1:3" x14ac:dyDescent="0.25">
      <c r="A1407" s="418">
        <v>41540</v>
      </c>
      <c r="B1407" s="419">
        <v>0.20961805555555557</v>
      </c>
      <c r="C1407" s="422" t="s">
        <v>1504</v>
      </c>
    </row>
    <row r="1408" spans="1:3" x14ac:dyDescent="0.25">
      <c r="A1408" s="418">
        <v>41540</v>
      </c>
      <c r="B1408" s="419">
        <v>0.20961805555555557</v>
      </c>
      <c r="C1408" s="422" t="s">
        <v>1442</v>
      </c>
    </row>
    <row r="1409" spans="1:3" x14ac:dyDescent="0.25">
      <c r="A1409" s="418">
        <v>41540</v>
      </c>
      <c r="B1409" s="419">
        <v>0.20961805555555557</v>
      </c>
      <c r="C1409" s="422" t="s">
        <v>1323</v>
      </c>
    </row>
    <row r="1410" spans="1:3" x14ac:dyDescent="0.25">
      <c r="A1410" s="418">
        <v>41540</v>
      </c>
      <c r="B1410" s="419">
        <v>0.20961805555555557</v>
      </c>
      <c r="C1410" s="422" t="s">
        <v>1505</v>
      </c>
    </row>
    <row r="1411" spans="1:3" x14ac:dyDescent="0.25">
      <c r="A1411" s="418">
        <v>41540</v>
      </c>
      <c r="B1411" s="419">
        <v>0.20961805555555557</v>
      </c>
      <c r="C1411" s="422" t="s">
        <v>1506</v>
      </c>
    </row>
    <row r="1412" spans="1:3" x14ac:dyDescent="0.25">
      <c r="A1412" s="418">
        <v>41540</v>
      </c>
      <c r="B1412" s="419">
        <v>0.20961805555555557</v>
      </c>
      <c r="C1412" s="422" t="s">
        <v>1507</v>
      </c>
    </row>
    <row r="1413" spans="1:3" x14ac:dyDescent="0.25">
      <c r="A1413" s="418">
        <v>41540</v>
      </c>
      <c r="B1413" s="419">
        <v>0.20961805555555557</v>
      </c>
      <c r="C1413" s="422" t="s">
        <v>1508</v>
      </c>
    </row>
    <row r="1414" spans="1:3" x14ac:dyDescent="0.25">
      <c r="A1414" s="418">
        <v>41540</v>
      </c>
      <c r="B1414" s="419">
        <v>0.20961805555555557</v>
      </c>
      <c r="C1414" s="422" t="s">
        <v>1449</v>
      </c>
    </row>
    <row r="1415" spans="1:3" x14ac:dyDescent="0.25">
      <c r="A1415" s="418">
        <v>41540</v>
      </c>
      <c r="B1415" s="419">
        <v>0.20961805555555557</v>
      </c>
      <c r="C1415" s="422" t="s">
        <v>1238</v>
      </c>
    </row>
    <row r="1416" spans="1:3" x14ac:dyDescent="0.25">
      <c r="A1416" s="418">
        <v>41540</v>
      </c>
      <c r="B1416" s="419">
        <v>0.20961805555555557</v>
      </c>
      <c r="C1416" s="422" t="s">
        <v>1509</v>
      </c>
    </row>
    <row r="1417" spans="1:3" x14ac:dyDescent="0.25">
      <c r="A1417" s="418">
        <v>41540</v>
      </c>
      <c r="B1417" s="419">
        <v>0.20961805555555557</v>
      </c>
      <c r="C1417" s="422" t="s">
        <v>1392</v>
      </c>
    </row>
    <row r="1418" spans="1:3" x14ac:dyDescent="0.25">
      <c r="A1418" s="418">
        <v>41540</v>
      </c>
      <c r="B1418" s="419">
        <v>0.20961805555555557</v>
      </c>
      <c r="C1418" s="422" t="s">
        <v>1451</v>
      </c>
    </row>
    <row r="1419" spans="1:3" x14ac:dyDescent="0.25">
      <c r="A1419" s="418">
        <v>41540</v>
      </c>
      <c r="B1419" s="419">
        <v>0.20961805555555557</v>
      </c>
      <c r="C1419" s="422" t="s">
        <v>1453</v>
      </c>
    </row>
    <row r="1420" spans="1:3" x14ac:dyDescent="0.25">
      <c r="A1420" s="418">
        <v>41540</v>
      </c>
      <c r="B1420" s="419">
        <v>0.20961805555555557</v>
      </c>
      <c r="C1420" s="422" t="s">
        <v>1453</v>
      </c>
    </row>
    <row r="1421" spans="1:3" x14ac:dyDescent="0.25">
      <c r="A1421" s="418">
        <v>41540</v>
      </c>
      <c r="B1421" s="419">
        <v>0.20961805555555557</v>
      </c>
      <c r="C1421" s="422" t="s">
        <v>1453</v>
      </c>
    </row>
    <row r="1422" spans="1:3" x14ac:dyDescent="0.25">
      <c r="A1422" s="418">
        <v>41540</v>
      </c>
      <c r="B1422" s="419">
        <v>0.20961805555555557</v>
      </c>
      <c r="C1422" s="422" t="s">
        <v>1453</v>
      </c>
    </row>
    <row r="1423" spans="1:3" x14ac:dyDescent="0.25">
      <c r="A1423" s="418">
        <v>41540</v>
      </c>
      <c r="B1423" s="419">
        <v>0.20961805555555557</v>
      </c>
      <c r="C1423" s="422" t="s">
        <v>1453</v>
      </c>
    </row>
    <row r="1424" spans="1:3" x14ac:dyDescent="0.25">
      <c r="A1424" s="418">
        <v>41540</v>
      </c>
      <c r="B1424" s="419">
        <v>0.20961805555555557</v>
      </c>
      <c r="C1424" s="422" t="s">
        <v>1453</v>
      </c>
    </row>
    <row r="1425" spans="1:3" x14ac:dyDescent="0.25">
      <c r="A1425" s="418">
        <v>41540</v>
      </c>
      <c r="B1425" s="419">
        <v>0.20961805555555557</v>
      </c>
      <c r="C1425" s="422" t="s">
        <v>1453</v>
      </c>
    </row>
    <row r="1426" spans="1:3" x14ac:dyDescent="0.25">
      <c r="A1426" s="418">
        <v>41540</v>
      </c>
      <c r="B1426" s="419">
        <v>0.20961805555555557</v>
      </c>
      <c r="C1426" s="422" t="s">
        <v>1451</v>
      </c>
    </row>
    <row r="1427" spans="1:3" x14ac:dyDescent="0.25">
      <c r="A1427" s="418">
        <v>41540</v>
      </c>
      <c r="B1427" s="419">
        <v>0.20962962962962964</v>
      </c>
      <c r="C1427" s="422" t="s">
        <v>1402</v>
      </c>
    </row>
    <row r="1428" spans="1:3" x14ac:dyDescent="0.25">
      <c r="A1428" s="418">
        <v>41540</v>
      </c>
      <c r="B1428" s="419">
        <v>0.20962962962962964</v>
      </c>
      <c r="C1428" s="422" t="s">
        <v>1312</v>
      </c>
    </row>
    <row r="1429" spans="1:3" x14ac:dyDescent="0.25">
      <c r="A1429" s="418">
        <v>41540</v>
      </c>
      <c r="B1429" s="419">
        <v>0.20962962962962964</v>
      </c>
      <c r="C1429" s="422" t="s">
        <v>1236</v>
      </c>
    </row>
    <row r="1430" spans="1:3" x14ac:dyDescent="0.25">
      <c r="A1430" s="418">
        <v>41540</v>
      </c>
      <c r="B1430" s="419">
        <v>0.20962962962962964</v>
      </c>
      <c r="C1430" s="422" t="s">
        <v>1237</v>
      </c>
    </row>
    <row r="1431" spans="1:3" x14ac:dyDescent="0.25">
      <c r="A1431" s="418">
        <v>41540</v>
      </c>
      <c r="B1431" s="419">
        <v>0.20962962962962964</v>
      </c>
      <c r="C1431" s="422" t="s">
        <v>1238</v>
      </c>
    </row>
    <row r="1432" spans="1:3" ht="45" x14ac:dyDescent="0.25">
      <c r="A1432" s="418">
        <v>41540</v>
      </c>
      <c r="B1432" s="419">
        <v>0.21068287037037037</v>
      </c>
      <c r="C1432" s="952" t="s">
        <v>1516</v>
      </c>
    </row>
    <row r="1433" spans="1:3" ht="45" x14ac:dyDescent="0.25">
      <c r="A1433" s="418">
        <v>41540</v>
      </c>
      <c r="B1433" s="419">
        <v>0.21069444444444443</v>
      </c>
      <c r="C1433" s="952" t="s">
        <v>1517</v>
      </c>
    </row>
    <row r="1434" spans="1:3" ht="45" x14ac:dyDescent="0.25">
      <c r="A1434" s="418">
        <v>41540</v>
      </c>
      <c r="B1434" s="419">
        <v>0.21255787037037036</v>
      </c>
      <c r="C1434" s="952" t="s">
        <v>1516</v>
      </c>
    </row>
    <row r="1435" spans="1:3" ht="45" x14ac:dyDescent="0.25">
      <c r="A1435" s="418">
        <v>41540</v>
      </c>
      <c r="B1435" s="419">
        <v>0.21724537037037037</v>
      </c>
      <c r="C1435" s="952" t="s">
        <v>1518</v>
      </c>
    </row>
    <row r="1436" spans="1:3" ht="45" x14ac:dyDescent="0.25">
      <c r="A1436" s="418">
        <v>41540</v>
      </c>
      <c r="B1436" s="419">
        <v>0.21753472222222223</v>
      </c>
      <c r="C1436" s="952" t="s">
        <v>1519</v>
      </c>
    </row>
    <row r="1437" spans="1:3" ht="45" x14ac:dyDescent="0.25">
      <c r="A1437" s="418">
        <v>41540</v>
      </c>
      <c r="B1437" s="419">
        <v>0.21819444444444444</v>
      </c>
      <c r="C1437" s="952" t="s">
        <v>1516</v>
      </c>
    </row>
    <row r="1438" spans="1:3" ht="45" x14ac:dyDescent="0.25">
      <c r="A1438" s="418">
        <v>41540</v>
      </c>
      <c r="B1438" s="419">
        <v>0.21875</v>
      </c>
      <c r="C1438" s="952" t="s">
        <v>1520</v>
      </c>
    </row>
    <row r="1439" spans="1:3" ht="45" x14ac:dyDescent="0.25">
      <c r="A1439" s="418">
        <v>41540</v>
      </c>
      <c r="B1439" s="419">
        <v>0.21898148148148147</v>
      </c>
      <c r="C1439" s="952" t="s">
        <v>1516</v>
      </c>
    </row>
    <row r="1440" spans="1:3" ht="45" x14ac:dyDescent="0.25">
      <c r="A1440" s="418">
        <v>41540</v>
      </c>
      <c r="B1440" s="419">
        <v>0.2212962962962963</v>
      </c>
      <c r="C1440" s="952" t="s">
        <v>1518</v>
      </c>
    </row>
    <row r="1441" spans="1:3" ht="45" x14ac:dyDescent="0.25">
      <c r="A1441" s="418">
        <v>41540</v>
      </c>
      <c r="B1441" s="419">
        <v>0.22207175925925926</v>
      </c>
      <c r="C1441" s="952" t="s">
        <v>1521</v>
      </c>
    </row>
    <row r="1442" spans="1:3" ht="45" x14ac:dyDescent="0.25">
      <c r="A1442" s="418">
        <v>41540</v>
      </c>
      <c r="B1442" s="419">
        <v>0.23118055555555558</v>
      </c>
      <c r="C1442" s="952" t="s">
        <v>1522</v>
      </c>
    </row>
    <row r="1443" spans="1:3" ht="45" x14ac:dyDescent="0.25">
      <c r="A1443" s="418">
        <v>41540</v>
      </c>
      <c r="B1443" s="419">
        <v>0.23155092592592594</v>
      </c>
      <c r="C1443" s="952" t="s">
        <v>1523</v>
      </c>
    </row>
    <row r="1444" spans="1:3" ht="45" x14ac:dyDescent="0.25">
      <c r="A1444" s="418">
        <v>41540</v>
      </c>
      <c r="B1444" s="419">
        <v>0.24371527777777779</v>
      </c>
      <c r="C1444" s="952" t="s">
        <v>1524</v>
      </c>
    </row>
    <row r="1445" spans="1:3" ht="45" x14ac:dyDescent="0.25">
      <c r="A1445" s="418">
        <v>41540</v>
      </c>
      <c r="B1445" s="419">
        <v>0.26680555555555557</v>
      </c>
      <c r="C1445" s="952" t="s">
        <v>1525</v>
      </c>
    </row>
    <row r="1446" spans="1:3" x14ac:dyDescent="0.25">
      <c r="A1446" s="418">
        <v>41540</v>
      </c>
      <c r="B1446" s="419">
        <v>0.29894675925925923</v>
      </c>
      <c r="C1446" s="422" t="s">
        <v>1238</v>
      </c>
    </row>
    <row r="1447" spans="1:3" x14ac:dyDescent="0.25">
      <c r="A1447" s="418">
        <v>41540</v>
      </c>
      <c r="B1447" s="419">
        <v>0.29894675925925923</v>
      </c>
      <c r="C1447" s="422" t="s">
        <v>1310</v>
      </c>
    </row>
    <row r="1448" spans="1:3" x14ac:dyDescent="0.25">
      <c r="A1448" s="418">
        <v>41540</v>
      </c>
      <c r="B1448" s="419">
        <v>0.29894675925925923</v>
      </c>
      <c r="C1448" s="422" t="s">
        <v>1311</v>
      </c>
    </row>
    <row r="1449" spans="1:3" x14ac:dyDescent="0.25">
      <c r="A1449" s="418">
        <v>41540</v>
      </c>
      <c r="B1449" s="419">
        <v>0.29894675925925923</v>
      </c>
      <c r="C1449" s="422" t="s">
        <v>1312</v>
      </c>
    </row>
    <row r="1450" spans="1:3" x14ac:dyDescent="0.25">
      <c r="A1450" s="418">
        <v>41540</v>
      </c>
      <c r="B1450" s="419">
        <v>0.29894675925925923</v>
      </c>
      <c r="C1450" s="422" t="s">
        <v>1313</v>
      </c>
    </row>
    <row r="1451" spans="1:3" x14ac:dyDescent="0.25">
      <c r="A1451" s="418">
        <v>41540</v>
      </c>
      <c r="B1451" s="419">
        <v>0.29894675925925923</v>
      </c>
      <c r="C1451" s="422" t="s">
        <v>1314</v>
      </c>
    </row>
    <row r="1452" spans="1:3" x14ac:dyDescent="0.25">
      <c r="A1452" s="418">
        <v>41540</v>
      </c>
      <c r="B1452" s="419">
        <v>0.29894675925925923</v>
      </c>
      <c r="C1452" s="422" t="s">
        <v>1315</v>
      </c>
    </row>
    <row r="1453" spans="1:3" x14ac:dyDescent="0.25">
      <c r="A1453" s="418">
        <v>41540</v>
      </c>
      <c r="B1453" s="419">
        <v>0.29894675925925923</v>
      </c>
      <c r="C1453" s="422" t="s">
        <v>1316</v>
      </c>
    </row>
    <row r="1454" spans="1:3" x14ac:dyDescent="0.25">
      <c r="A1454" s="418">
        <v>41540</v>
      </c>
      <c r="B1454" s="419">
        <v>0.29894675925925923</v>
      </c>
      <c r="C1454" s="422" t="s">
        <v>1313</v>
      </c>
    </row>
    <row r="1455" spans="1:3" x14ac:dyDescent="0.25">
      <c r="A1455" s="418">
        <v>41540</v>
      </c>
      <c r="B1455" s="419">
        <v>0.29894675925925923</v>
      </c>
      <c r="C1455" s="422" t="s">
        <v>1317</v>
      </c>
    </row>
    <row r="1456" spans="1:3" x14ac:dyDescent="0.25">
      <c r="A1456" s="418">
        <v>41540</v>
      </c>
      <c r="B1456" s="419">
        <v>0.29894675925925923</v>
      </c>
      <c r="C1456" s="422" t="s">
        <v>1318</v>
      </c>
    </row>
    <row r="1457" spans="1:3" x14ac:dyDescent="0.25">
      <c r="A1457" s="418">
        <v>41540</v>
      </c>
      <c r="B1457" s="419">
        <v>0.29894675925925923</v>
      </c>
      <c r="C1457" s="422" t="s">
        <v>1463</v>
      </c>
    </row>
    <row r="1458" spans="1:3" x14ac:dyDescent="0.25">
      <c r="A1458" s="418">
        <v>41540</v>
      </c>
      <c r="B1458" s="419">
        <v>0.29894675925925923</v>
      </c>
      <c r="C1458" s="422" t="s">
        <v>1464</v>
      </c>
    </row>
    <row r="1459" spans="1:3" x14ac:dyDescent="0.25">
      <c r="A1459" s="418">
        <v>41540</v>
      </c>
      <c r="B1459" s="419">
        <v>0.29894675925925923</v>
      </c>
      <c r="C1459" s="422" t="s">
        <v>1313</v>
      </c>
    </row>
    <row r="1460" spans="1:3" x14ac:dyDescent="0.25">
      <c r="A1460" s="418">
        <v>41540</v>
      </c>
      <c r="B1460" s="419">
        <v>0.29894675925925923</v>
      </c>
      <c r="C1460" s="422" t="s">
        <v>1238</v>
      </c>
    </row>
    <row r="1461" spans="1:3" x14ac:dyDescent="0.25">
      <c r="A1461" s="418">
        <v>41540</v>
      </c>
      <c r="B1461" s="419">
        <v>0.29894675925925923</v>
      </c>
      <c r="C1461" s="422" t="s">
        <v>1465</v>
      </c>
    </row>
    <row r="1462" spans="1:3" x14ac:dyDescent="0.25">
      <c r="A1462" s="418">
        <v>41540</v>
      </c>
      <c r="B1462" s="419">
        <v>0.29894675925925923</v>
      </c>
      <c r="C1462" s="422" t="s">
        <v>1319</v>
      </c>
    </row>
    <row r="1463" spans="1:3" x14ac:dyDescent="0.25">
      <c r="A1463" s="418">
        <v>41540</v>
      </c>
      <c r="B1463" s="419">
        <v>0.29894675925925923</v>
      </c>
      <c r="C1463" s="422" t="s">
        <v>1319</v>
      </c>
    </row>
    <row r="1464" spans="1:3" x14ac:dyDescent="0.25">
      <c r="A1464" s="418">
        <v>41540</v>
      </c>
      <c r="B1464" s="419">
        <v>0.29894675925925923</v>
      </c>
      <c r="C1464" s="422" t="s">
        <v>1320</v>
      </c>
    </row>
    <row r="1465" spans="1:3" x14ac:dyDescent="0.25">
      <c r="A1465" s="418">
        <v>41540</v>
      </c>
      <c r="B1465" s="419">
        <v>0.29894675925925923</v>
      </c>
      <c r="C1465" s="422" t="s">
        <v>1312</v>
      </c>
    </row>
    <row r="1466" spans="1:3" x14ac:dyDescent="0.25">
      <c r="A1466" s="418">
        <v>41540</v>
      </c>
      <c r="B1466" s="419">
        <v>0.29894675925925923</v>
      </c>
      <c r="C1466" s="422" t="s">
        <v>1321</v>
      </c>
    </row>
    <row r="1467" spans="1:3" x14ac:dyDescent="0.25">
      <c r="A1467" s="418">
        <v>41540</v>
      </c>
      <c r="B1467" s="419">
        <v>0.29894675925925923</v>
      </c>
      <c r="C1467" s="422" t="s">
        <v>1322</v>
      </c>
    </row>
    <row r="1468" spans="1:3" x14ac:dyDescent="0.25">
      <c r="A1468" s="418">
        <v>41540</v>
      </c>
      <c r="B1468" s="419">
        <v>0.29894675925925923</v>
      </c>
      <c r="C1468" s="422" t="s">
        <v>1323</v>
      </c>
    </row>
    <row r="1469" spans="1:3" x14ac:dyDescent="0.25">
      <c r="A1469" s="418">
        <v>41540</v>
      </c>
      <c r="B1469" s="419">
        <v>0.29894675925925923</v>
      </c>
      <c r="C1469" s="422" t="s">
        <v>1321</v>
      </c>
    </row>
    <row r="1470" spans="1:3" x14ac:dyDescent="0.25">
      <c r="A1470" s="418">
        <v>41540</v>
      </c>
      <c r="B1470" s="419">
        <v>0.29894675925925923</v>
      </c>
      <c r="C1470" s="422" t="s">
        <v>1310</v>
      </c>
    </row>
    <row r="1471" spans="1:3" x14ac:dyDescent="0.25">
      <c r="A1471" s="418">
        <v>41540</v>
      </c>
      <c r="B1471" s="419">
        <v>0.29894675925925923</v>
      </c>
      <c r="C1471" s="422" t="s">
        <v>1324</v>
      </c>
    </row>
    <row r="1472" spans="1:3" x14ac:dyDescent="0.25">
      <c r="A1472" s="418">
        <v>41540</v>
      </c>
      <c r="B1472" s="419">
        <v>0.29894675925925923</v>
      </c>
      <c r="C1472" s="422" t="s">
        <v>1325</v>
      </c>
    </row>
    <row r="1473" spans="1:3" x14ac:dyDescent="0.25">
      <c r="A1473" s="418">
        <v>41540</v>
      </c>
      <c r="B1473" s="419">
        <v>0.29894675925925923</v>
      </c>
      <c r="C1473" s="422" t="s">
        <v>1325</v>
      </c>
    </row>
    <row r="1474" spans="1:3" x14ac:dyDescent="0.25">
      <c r="A1474" s="418">
        <v>41540</v>
      </c>
      <c r="B1474" s="419">
        <v>0.29894675925925923</v>
      </c>
      <c r="C1474" s="422" t="s">
        <v>1326</v>
      </c>
    </row>
    <row r="1475" spans="1:3" x14ac:dyDescent="0.25">
      <c r="A1475" s="418">
        <v>41540</v>
      </c>
      <c r="B1475" s="419">
        <v>0.29894675925925923</v>
      </c>
      <c r="C1475" s="422" t="s">
        <v>1327</v>
      </c>
    </row>
    <row r="1476" spans="1:3" x14ac:dyDescent="0.25">
      <c r="A1476" s="418">
        <v>41540</v>
      </c>
      <c r="B1476" s="419">
        <v>0.29894675925925923</v>
      </c>
      <c r="C1476" s="422" t="s">
        <v>1313</v>
      </c>
    </row>
    <row r="1477" spans="1:3" x14ac:dyDescent="0.25">
      <c r="A1477" s="418">
        <v>41540</v>
      </c>
      <c r="B1477" s="419">
        <v>0.29894675925925923</v>
      </c>
      <c r="C1477" s="422" t="s">
        <v>1328</v>
      </c>
    </row>
    <row r="1478" spans="1:3" x14ac:dyDescent="0.25">
      <c r="A1478" s="418">
        <v>41540</v>
      </c>
      <c r="B1478" s="419">
        <v>0.29894675925925923</v>
      </c>
      <c r="C1478" s="422" t="s">
        <v>1329</v>
      </c>
    </row>
    <row r="1479" spans="1:3" x14ac:dyDescent="0.25">
      <c r="A1479" s="418">
        <v>41540</v>
      </c>
      <c r="B1479" s="419">
        <v>0.29894675925925923</v>
      </c>
      <c r="C1479" s="422" t="s">
        <v>1330</v>
      </c>
    </row>
    <row r="1480" spans="1:3" x14ac:dyDescent="0.25">
      <c r="A1480" s="418">
        <v>41540</v>
      </c>
      <c r="B1480" s="419">
        <v>0.29894675925925923</v>
      </c>
      <c r="C1480" s="422" t="s">
        <v>1331</v>
      </c>
    </row>
    <row r="1481" spans="1:3" ht="60" x14ac:dyDescent="0.25">
      <c r="A1481" s="418">
        <v>41540</v>
      </c>
      <c r="B1481" s="419">
        <v>0.29894675925925923</v>
      </c>
      <c r="C1481" s="952" t="s">
        <v>1481</v>
      </c>
    </row>
    <row r="1482" spans="1:3" x14ac:dyDescent="0.25">
      <c r="A1482" s="418">
        <v>41540</v>
      </c>
      <c r="B1482" s="419">
        <v>0.29905092592592591</v>
      </c>
      <c r="C1482" s="422" t="s">
        <v>1326</v>
      </c>
    </row>
    <row r="1483" spans="1:3" x14ac:dyDescent="0.25">
      <c r="A1483" s="418">
        <v>41540</v>
      </c>
      <c r="B1483" s="419">
        <v>0.29905092592592591</v>
      </c>
      <c r="C1483" s="422" t="s">
        <v>1345</v>
      </c>
    </row>
    <row r="1484" spans="1:3" x14ac:dyDescent="0.25">
      <c r="A1484" s="418">
        <v>41540</v>
      </c>
      <c r="B1484" s="419">
        <v>0.29905092592592591</v>
      </c>
      <c r="C1484" s="422" t="s">
        <v>1346</v>
      </c>
    </row>
    <row r="1485" spans="1:3" x14ac:dyDescent="0.25">
      <c r="A1485" s="418">
        <v>41540</v>
      </c>
      <c r="B1485" s="419">
        <v>0.29905092592592591</v>
      </c>
      <c r="C1485" s="422" t="s">
        <v>1347</v>
      </c>
    </row>
    <row r="1486" spans="1:3" x14ac:dyDescent="0.25">
      <c r="A1486" s="418">
        <v>41540</v>
      </c>
      <c r="B1486" s="419">
        <v>0.29905092592592591</v>
      </c>
      <c r="C1486" s="422" t="s">
        <v>1347</v>
      </c>
    </row>
    <row r="1487" spans="1:3" x14ac:dyDescent="0.25">
      <c r="A1487" s="418">
        <v>41540</v>
      </c>
      <c r="B1487" s="419">
        <v>0.29905092592592591</v>
      </c>
      <c r="C1487" s="422" t="s">
        <v>1313</v>
      </c>
    </row>
    <row r="1488" spans="1:3" x14ac:dyDescent="0.25">
      <c r="A1488" s="418">
        <v>41540</v>
      </c>
      <c r="B1488" s="419">
        <v>0.29905092592592591</v>
      </c>
      <c r="C1488" s="422" t="s">
        <v>1348</v>
      </c>
    </row>
    <row r="1489" spans="1:3" x14ac:dyDescent="0.25">
      <c r="A1489" s="418">
        <v>41540</v>
      </c>
      <c r="B1489" s="419">
        <v>0.29905092592592591</v>
      </c>
      <c r="C1489" s="422" t="s">
        <v>1349</v>
      </c>
    </row>
    <row r="1490" spans="1:3" x14ac:dyDescent="0.25">
      <c r="A1490" s="418">
        <v>41540</v>
      </c>
      <c r="B1490" s="419">
        <v>0.29905092592592591</v>
      </c>
      <c r="C1490" s="422" t="s">
        <v>1350</v>
      </c>
    </row>
    <row r="1491" spans="1:3" x14ac:dyDescent="0.25">
      <c r="A1491" s="418">
        <v>41540</v>
      </c>
      <c r="B1491" s="419">
        <v>0.29905092592592591</v>
      </c>
      <c r="C1491" s="422" t="s">
        <v>1351</v>
      </c>
    </row>
    <row r="1492" spans="1:3" x14ac:dyDescent="0.25">
      <c r="A1492" s="418">
        <v>41540</v>
      </c>
      <c r="B1492" s="419">
        <v>0.29905092592592591</v>
      </c>
      <c r="C1492" s="422" t="s">
        <v>1352</v>
      </c>
    </row>
    <row r="1493" spans="1:3" x14ac:dyDescent="0.25">
      <c r="A1493" s="418">
        <v>41540</v>
      </c>
      <c r="B1493" s="419">
        <v>0.29905092592592591</v>
      </c>
      <c r="C1493" s="422" t="s">
        <v>1352</v>
      </c>
    </row>
    <row r="1494" spans="1:3" x14ac:dyDescent="0.25">
      <c r="A1494" s="418">
        <v>41540</v>
      </c>
      <c r="B1494" s="419">
        <v>0.29905092592592591</v>
      </c>
      <c r="C1494" s="422" t="s">
        <v>1351</v>
      </c>
    </row>
    <row r="1495" spans="1:3" x14ac:dyDescent="0.25">
      <c r="A1495" s="418">
        <v>41540</v>
      </c>
      <c r="B1495" s="419">
        <v>0.29905092592592591</v>
      </c>
      <c r="C1495" s="422" t="s">
        <v>1353</v>
      </c>
    </row>
    <row r="1496" spans="1:3" x14ac:dyDescent="0.25">
      <c r="A1496" s="418">
        <v>41540</v>
      </c>
      <c r="B1496" s="419">
        <v>0.29905092592592591</v>
      </c>
      <c r="C1496" s="422" t="s">
        <v>1354</v>
      </c>
    </row>
    <row r="1497" spans="1:3" x14ac:dyDescent="0.25">
      <c r="A1497" s="418">
        <v>41540</v>
      </c>
      <c r="B1497" s="419">
        <v>0.29905092592592591</v>
      </c>
      <c r="C1497" s="422" t="s">
        <v>1355</v>
      </c>
    </row>
    <row r="1498" spans="1:3" x14ac:dyDescent="0.25">
      <c r="A1498" s="418">
        <v>41540</v>
      </c>
      <c r="B1498" s="419">
        <v>0.29905092592592591</v>
      </c>
      <c r="C1498" s="422" t="s">
        <v>1290</v>
      </c>
    </row>
    <row r="1499" spans="1:3" ht="60" x14ac:dyDescent="0.25">
      <c r="A1499" s="418">
        <v>41540</v>
      </c>
      <c r="B1499" s="419">
        <v>0.29905092592592591</v>
      </c>
      <c r="C1499" s="952" t="s">
        <v>1291</v>
      </c>
    </row>
    <row r="1500" spans="1:3" x14ac:dyDescent="0.25">
      <c r="A1500" s="418">
        <v>41540</v>
      </c>
      <c r="B1500" s="419">
        <v>0.2990740740740741</v>
      </c>
      <c r="C1500" s="422" t="s">
        <v>1356</v>
      </c>
    </row>
    <row r="1501" spans="1:3" x14ac:dyDescent="0.25">
      <c r="A1501" s="418">
        <v>41540</v>
      </c>
      <c r="B1501" s="419">
        <v>0.2990740740740741</v>
      </c>
      <c r="C1501" s="422" t="s">
        <v>1357</v>
      </c>
    </row>
    <row r="1502" spans="1:3" x14ac:dyDescent="0.25">
      <c r="A1502" s="418">
        <v>41540</v>
      </c>
      <c r="B1502" s="419">
        <v>0.2990740740740741</v>
      </c>
      <c r="C1502" s="422" t="s">
        <v>1358</v>
      </c>
    </row>
    <row r="1503" spans="1:3" x14ac:dyDescent="0.25">
      <c r="A1503" s="418">
        <v>41540</v>
      </c>
      <c r="B1503" s="419">
        <v>0.2990740740740741</v>
      </c>
      <c r="C1503" s="422" t="s">
        <v>1360</v>
      </c>
    </row>
    <row r="1504" spans="1:3" x14ac:dyDescent="0.25">
      <c r="A1504" s="418">
        <v>41540</v>
      </c>
      <c r="B1504" s="419">
        <v>0.2990740740740741</v>
      </c>
      <c r="C1504" s="422" t="s">
        <v>1361</v>
      </c>
    </row>
    <row r="1505" spans="1:3" x14ac:dyDescent="0.25">
      <c r="A1505" s="418">
        <v>41540</v>
      </c>
      <c r="B1505" s="419">
        <v>0.2990740740740741</v>
      </c>
      <c r="C1505" s="422" t="s">
        <v>1362</v>
      </c>
    </row>
    <row r="1506" spans="1:3" x14ac:dyDescent="0.25">
      <c r="A1506" s="418">
        <v>41540</v>
      </c>
      <c r="B1506" s="419">
        <v>0.2990740740740741</v>
      </c>
      <c r="C1506" s="422" t="s">
        <v>1363</v>
      </c>
    </row>
    <row r="1507" spans="1:3" x14ac:dyDescent="0.25">
      <c r="A1507" s="418">
        <v>41540</v>
      </c>
      <c r="B1507" s="419">
        <v>0.2990740740740741</v>
      </c>
      <c r="C1507" s="422" t="s">
        <v>1364</v>
      </c>
    </row>
    <row r="1508" spans="1:3" x14ac:dyDescent="0.25">
      <c r="A1508" s="418">
        <v>41540</v>
      </c>
      <c r="B1508" s="419">
        <v>0.2990740740740741</v>
      </c>
      <c r="C1508" s="422" t="s">
        <v>1320</v>
      </c>
    </row>
    <row r="1509" spans="1:3" x14ac:dyDescent="0.25">
      <c r="A1509" s="418">
        <v>41540</v>
      </c>
      <c r="B1509" s="419">
        <v>0.2990740740740741</v>
      </c>
      <c r="C1509" s="422" t="s">
        <v>1365</v>
      </c>
    </row>
    <row r="1510" spans="1:3" x14ac:dyDescent="0.25">
      <c r="A1510" s="418">
        <v>41540</v>
      </c>
      <c r="B1510" s="419">
        <v>0.2990740740740741</v>
      </c>
      <c r="C1510" s="422" t="s">
        <v>1358</v>
      </c>
    </row>
    <row r="1511" spans="1:3" x14ac:dyDescent="0.25">
      <c r="A1511" s="418">
        <v>41540</v>
      </c>
      <c r="B1511" s="419">
        <v>0.2990740740740741</v>
      </c>
      <c r="C1511" s="422" t="s">
        <v>1366</v>
      </c>
    </row>
    <row r="1512" spans="1:3" x14ac:dyDescent="0.25">
      <c r="A1512" s="418">
        <v>41540</v>
      </c>
      <c r="B1512" s="419">
        <v>0.2990740740740741</v>
      </c>
      <c r="C1512" s="422" t="s">
        <v>1367</v>
      </c>
    </row>
    <row r="1513" spans="1:3" x14ac:dyDescent="0.25">
      <c r="A1513" s="418">
        <v>41540</v>
      </c>
      <c r="B1513" s="419">
        <v>0.2990740740740741</v>
      </c>
      <c r="C1513" s="422" t="s">
        <v>1368</v>
      </c>
    </row>
    <row r="1514" spans="1:3" x14ac:dyDescent="0.25">
      <c r="A1514" s="418">
        <v>41540</v>
      </c>
      <c r="B1514" s="419">
        <v>0.2990740740740741</v>
      </c>
      <c r="C1514" s="422" t="s">
        <v>1368</v>
      </c>
    </row>
    <row r="1515" spans="1:3" x14ac:dyDescent="0.25">
      <c r="A1515" s="418">
        <v>41540</v>
      </c>
      <c r="B1515" s="419">
        <v>0.2990740740740741</v>
      </c>
      <c r="C1515" s="422" t="s">
        <v>1369</v>
      </c>
    </row>
    <row r="1516" spans="1:3" x14ac:dyDescent="0.25">
      <c r="A1516" s="418">
        <v>41540</v>
      </c>
      <c r="B1516" s="419">
        <v>0.2990740740740741</v>
      </c>
      <c r="C1516" s="422" t="s">
        <v>1323</v>
      </c>
    </row>
    <row r="1517" spans="1:3" x14ac:dyDescent="0.25">
      <c r="A1517" s="418">
        <v>41540</v>
      </c>
      <c r="B1517" s="419">
        <v>0.2990740740740741</v>
      </c>
      <c r="C1517" s="422" t="s">
        <v>1370</v>
      </c>
    </row>
    <row r="1518" spans="1:3" x14ac:dyDescent="0.25">
      <c r="A1518" s="418">
        <v>41540</v>
      </c>
      <c r="B1518" s="419">
        <v>0.2990740740740741</v>
      </c>
      <c r="C1518" s="422" t="s">
        <v>1347</v>
      </c>
    </row>
    <row r="1519" spans="1:3" x14ac:dyDescent="0.25">
      <c r="A1519" s="418">
        <v>41540</v>
      </c>
      <c r="B1519" s="419">
        <v>0.2990740740740741</v>
      </c>
      <c r="C1519" s="422" t="s">
        <v>1371</v>
      </c>
    </row>
    <row r="1520" spans="1:3" x14ac:dyDescent="0.25">
      <c r="A1520" s="418">
        <v>41540</v>
      </c>
      <c r="B1520" s="419">
        <v>0.2990740740740741</v>
      </c>
      <c r="C1520" s="422" t="s">
        <v>1372</v>
      </c>
    </row>
    <row r="1521" spans="1:3" x14ac:dyDescent="0.25">
      <c r="A1521" s="418">
        <v>41540</v>
      </c>
      <c r="B1521" s="419">
        <v>0.2990740740740741</v>
      </c>
      <c r="C1521" s="422" t="s">
        <v>1310</v>
      </c>
    </row>
    <row r="1522" spans="1:3" x14ac:dyDescent="0.25">
      <c r="A1522" s="418">
        <v>41540</v>
      </c>
      <c r="B1522" s="419">
        <v>0.2990740740740741</v>
      </c>
      <c r="C1522" s="422" t="s">
        <v>1373</v>
      </c>
    </row>
    <row r="1523" spans="1:3" x14ac:dyDescent="0.25">
      <c r="A1523" s="418">
        <v>41540</v>
      </c>
      <c r="B1523" s="419">
        <v>0.2990740740740741</v>
      </c>
      <c r="C1523" s="422" t="s">
        <v>1374</v>
      </c>
    </row>
    <row r="1524" spans="1:3" x14ac:dyDescent="0.25">
      <c r="A1524" s="418">
        <v>41540</v>
      </c>
      <c r="B1524" s="419">
        <v>0.2990740740740741</v>
      </c>
      <c r="C1524" s="422" t="s">
        <v>1347</v>
      </c>
    </row>
    <row r="1525" spans="1:3" x14ac:dyDescent="0.25">
      <c r="A1525" s="418">
        <v>41540</v>
      </c>
      <c r="B1525" s="419">
        <v>0.2990740740740741</v>
      </c>
      <c r="C1525" s="422" t="s">
        <v>1320</v>
      </c>
    </row>
    <row r="1526" spans="1:3" x14ac:dyDescent="0.25">
      <c r="A1526" s="418">
        <v>41540</v>
      </c>
      <c r="B1526" s="419">
        <v>0.2990740740740741</v>
      </c>
      <c r="C1526" s="422" t="s">
        <v>1466</v>
      </c>
    </row>
    <row r="1527" spans="1:3" x14ac:dyDescent="0.25">
      <c r="A1527" s="418">
        <v>41540</v>
      </c>
      <c r="B1527" s="419">
        <v>0.2990740740740741</v>
      </c>
      <c r="C1527" s="422" t="s">
        <v>1381</v>
      </c>
    </row>
    <row r="1528" spans="1:3" ht="60" x14ac:dyDescent="0.25">
      <c r="A1528" s="418">
        <v>41540</v>
      </c>
      <c r="B1528" s="419">
        <v>0.2990740740740741</v>
      </c>
      <c r="C1528" s="952" t="s">
        <v>1482</v>
      </c>
    </row>
    <row r="1529" spans="1:3" x14ac:dyDescent="0.25">
      <c r="A1529" s="418">
        <v>41540</v>
      </c>
      <c r="B1529" s="419">
        <v>0.29909722222222224</v>
      </c>
      <c r="C1529" s="422" t="s">
        <v>1376</v>
      </c>
    </row>
    <row r="1530" spans="1:3" x14ac:dyDescent="0.25">
      <c r="A1530" s="418">
        <v>41540</v>
      </c>
      <c r="B1530" s="419">
        <v>0.29909722222222224</v>
      </c>
      <c r="C1530" s="422" t="s">
        <v>1311</v>
      </c>
    </row>
    <row r="1531" spans="1:3" x14ac:dyDescent="0.25">
      <c r="A1531" s="418">
        <v>41540</v>
      </c>
      <c r="B1531" s="419">
        <v>0.29909722222222224</v>
      </c>
      <c r="C1531" s="422" t="s">
        <v>1377</v>
      </c>
    </row>
    <row r="1532" spans="1:3" x14ac:dyDescent="0.25">
      <c r="A1532" s="418">
        <v>41540</v>
      </c>
      <c r="B1532" s="419">
        <v>0.29909722222222224</v>
      </c>
      <c r="C1532" s="422" t="s">
        <v>1378</v>
      </c>
    </row>
    <row r="1533" spans="1:3" x14ac:dyDescent="0.25">
      <c r="A1533" s="418">
        <v>41540</v>
      </c>
      <c r="B1533" s="419">
        <v>0.29909722222222224</v>
      </c>
      <c r="C1533" s="422" t="s">
        <v>1379</v>
      </c>
    </row>
    <row r="1534" spans="1:3" x14ac:dyDescent="0.25">
      <c r="A1534" s="418">
        <v>41540</v>
      </c>
      <c r="B1534" s="419">
        <v>0.29909722222222224</v>
      </c>
      <c r="C1534" s="422" t="s">
        <v>1380</v>
      </c>
    </row>
    <row r="1535" spans="1:3" x14ac:dyDescent="0.25">
      <c r="A1535" s="418">
        <v>41540</v>
      </c>
      <c r="B1535" s="419">
        <v>0.29909722222222224</v>
      </c>
      <c r="C1535" s="422" t="s">
        <v>1329</v>
      </c>
    </row>
    <row r="1536" spans="1:3" x14ac:dyDescent="0.25">
      <c r="A1536" s="418">
        <v>41540</v>
      </c>
      <c r="B1536" s="419">
        <v>0.29909722222222224</v>
      </c>
      <c r="C1536" s="422" t="s">
        <v>1381</v>
      </c>
    </row>
    <row r="1537" spans="1:3" ht="60" x14ac:dyDescent="0.25">
      <c r="A1537" s="418">
        <v>41540</v>
      </c>
      <c r="B1537" s="419">
        <v>0.29909722222222224</v>
      </c>
      <c r="C1537" s="952" t="s">
        <v>1467</v>
      </c>
    </row>
    <row r="1538" spans="1:3" x14ac:dyDescent="0.25">
      <c r="A1538" s="418">
        <v>41540</v>
      </c>
      <c r="B1538" s="419">
        <v>0.29910879629629633</v>
      </c>
      <c r="C1538" s="422" t="s">
        <v>1383</v>
      </c>
    </row>
    <row r="1539" spans="1:3" x14ac:dyDescent="0.25">
      <c r="A1539" s="418">
        <v>41540</v>
      </c>
      <c r="B1539" s="419">
        <v>0.29910879629629633</v>
      </c>
      <c r="C1539" s="422" t="s">
        <v>1384</v>
      </c>
    </row>
    <row r="1540" spans="1:3" x14ac:dyDescent="0.25">
      <c r="A1540" s="418">
        <v>41540</v>
      </c>
      <c r="B1540" s="419">
        <v>0.29912037037037037</v>
      </c>
      <c r="C1540" s="422" t="s">
        <v>1385</v>
      </c>
    </row>
    <row r="1541" spans="1:3" x14ac:dyDescent="0.25">
      <c r="A1541" s="418">
        <v>41540</v>
      </c>
      <c r="B1541" s="419">
        <v>0.29912037037037037</v>
      </c>
      <c r="C1541" s="422" t="s">
        <v>1386</v>
      </c>
    </row>
    <row r="1542" spans="1:3" x14ac:dyDescent="0.25">
      <c r="A1542" s="418">
        <v>41540</v>
      </c>
      <c r="B1542" s="419">
        <v>0.29912037037037037</v>
      </c>
      <c r="C1542" s="422" t="s">
        <v>1355</v>
      </c>
    </row>
    <row r="1543" spans="1:3" x14ac:dyDescent="0.25">
      <c r="A1543" s="418">
        <v>41540</v>
      </c>
      <c r="B1543" s="419">
        <v>0.29912037037037037</v>
      </c>
      <c r="C1543" s="422" t="s">
        <v>1387</v>
      </c>
    </row>
    <row r="1544" spans="1:3" x14ac:dyDescent="0.25">
      <c r="A1544" s="418">
        <v>41540</v>
      </c>
      <c r="B1544" s="419">
        <v>0.29912037037037037</v>
      </c>
      <c r="C1544" s="422" t="s">
        <v>1388</v>
      </c>
    </row>
    <row r="1545" spans="1:3" x14ac:dyDescent="0.25">
      <c r="A1545" s="418">
        <v>41540</v>
      </c>
      <c r="B1545" s="419">
        <v>0.29912037037037037</v>
      </c>
      <c r="C1545" s="422" t="s">
        <v>1388</v>
      </c>
    </row>
    <row r="1546" spans="1:3" x14ac:dyDescent="0.25">
      <c r="A1546" s="418">
        <v>41540</v>
      </c>
      <c r="B1546" s="419">
        <v>0.29912037037037037</v>
      </c>
      <c r="C1546" s="422" t="s">
        <v>1389</v>
      </c>
    </row>
    <row r="1547" spans="1:3" x14ac:dyDescent="0.25">
      <c r="A1547" s="418">
        <v>41540</v>
      </c>
      <c r="B1547" s="419">
        <v>0.29912037037037037</v>
      </c>
      <c r="C1547" s="422" t="s">
        <v>1390</v>
      </c>
    </row>
    <row r="1548" spans="1:3" x14ac:dyDescent="0.25">
      <c r="A1548" s="418">
        <v>41540</v>
      </c>
      <c r="B1548" s="419">
        <v>0.29912037037037037</v>
      </c>
      <c r="C1548" s="422" t="s">
        <v>1390</v>
      </c>
    </row>
    <row r="1549" spans="1:3" x14ac:dyDescent="0.25">
      <c r="A1549" s="418">
        <v>41540</v>
      </c>
      <c r="B1549" s="419">
        <v>0.29912037037037037</v>
      </c>
      <c r="C1549" s="422" t="s">
        <v>1321</v>
      </c>
    </row>
    <row r="1550" spans="1:3" x14ac:dyDescent="0.25">
      <c r="A1550" s="418">
        <v>41540</v>
      </c>
      <c r="B1550" s="419">
        <v>0.29912037037037037</v>
      </c>
      <c r="C1550" s="422" t="s">
        <v>1391</v>
      </c>
    </row>
    <row r="1551" spans="1:3" x14ac:dyDescent="0.25">
      <c r="A1551" s="418">
        <v>41540</v>
      </c>
      <c r="B1551" s="419">
        <v>0.29912037037037037</v>
      </c>
      <c r="C1551" s="422" t="s">
        <v>1393</v>
      </c>
    </row>
    <row r="1552" spans="1:3" x14ac:dyDescent="0.25">
      <c r="A1552" s="418">
        <v>41540</v>
      </c>
      <c r="B1552" s="419">
        <v>0.29912037037037037</v>
      </c>
      <c r="C1552" s="422" t="s">
        <v>1394</v>
      </c>
    </row>
    <row r="1553" spans="1:3" x14ac:dyDescent="0.25">
      <c r="A1553" s="418">
        <v>41540</v>
      </c>
      <c r="B1553" s="419">
        <v>0.29912037037037037</v>
      </c>
      <c r="C1553" s="422" t="s">
        <v>1395</v>
      </c>
    </row>
    <row r="1554" spans="1:3" x14ac:dyDescent="0.25">
      <c r="A1554" s="418">
        <v>41540</v>
      </c>
      <c r="B1554" s="419">
        <v>0.29912037037037037</v>
      </c>
      <c r="C1554" s="422" t="s">
        <v>1297</v>
      </c>
    </row>
    <row r="1555" spans="1:3" ht="60" x14ac:dyDescent="0.25">
      <c r="A1555" s="418">
        <v>41540</v>
      </c>
      <c r="B1555" s="419">
        <v>0.29912037037037037</v>
      </c>
      <c r="C1555" s="952" t="s">
        <v>1298</v>
      </c>
    </row>
    <row r="1556" spans="1:3" x14ac:dyDescent="0.25">
      <c r="A1556" s="418">
        <v>41540</v>
      </c>
      <c r="B1556" s="419">
        <v>0.29913194444444441</v>
      </c>
      <c r="C1556" s="422" t="s">
        <v>1396</v>
      </c>
    </row>
    <row r="1557" spans="1:3" x14ac:dyDescent="0.25">
      <c r="A1557" s="418">
        <v>41540</v>
      </c>
      <c r="B1557" s="419">
        <v>0.29913194444444441</v>
      </c>
      <c r="C1557" s="422" t="s">
        <v>1397</v>
      </c>
    </row>
    <row r="1558" spans="1:3" x14ac:dyDescent="0.25">
      <c r="A1558" s="418">
        <v>41540</v>
      </c>
      <c r="B1558" s="419">
        <v>0.29913194444444441</v>
      </c>
      <c r="C1558" s="422" t="s">
        <v>1395</v>
      </c>
    </row>
    <row r="1559" spans="1:3" x14ac:dyDescent="0.25">
      <c r="A1559" s="418">
        <v>41540</v>
      </c>
      <c r="B1559" s="419">
        <v>0.29913194444444441</v>
      </c>
      <c r="C1559" s="422" t="s">
        <v>1398</v>
      </c>
    </row>
    <row r="1560" spans="1:3" x14ac:dyDescent="0.25">
      <c r="A1560" s="418">
        <v>41540</v>
      </c>
      <c r="B1560" s="419">
        <v>0.29913194444444441</v>
      </c>
      <c r="C1560" s="422" t="s">
        <v>1399</v>
      </c>
    </row>
    <row r="1561" spans="1:3" x14ac:dyDescent="0.25">
      <c r="A1561" s="418">
        <v>41540</v>
      </c>
      <c r="B1561" s="419">
        <v>0.29913194444444441</v>
      </c>
      <c r="C1561" s="422" t="s">
        <v>1366</v>
      </c>
    </row>
    <row r="1562" spans="1:3" x14ac:dyDescent="0.25">
      <c r="A1562" s="418">
        <v>41540</v>
      </c>
      <c r="B1562" s="419">
        <v>0.29913194444444441</v>
      </c>
      <c r="C1562" s="422" t="s">
        <v>1365</v>
      </c>
    </row>
    <row r="1563" spans="1:3" x14ac:dyDescent="0.25">
      <c r="A1563" s="418">
        <v>41540</v>
      </c>
      <c r="B1563" s="419">
        <v>0.29913194444444441</v>
      </c>
      <c r="C1563" s="422" t="s">
        <v>1400</v>
      </c>
    </row>
    <row r="1564" spans="1:3" x14ac:dyDescent="0.25">
      <c r="A1564" s="418">
        <v>41540</v>
      </c>
      <c r="B1564" s="419">
        <v>0.29913194444444441</v>
      </c>
      <c r="C1564" s="422" t="s">
        <v>1384</v>
      </c>
    </row>
    <row r="1565" spans="1:3" x14ac:dyDescent="0.25">
      <c r="A1565" s="418">
        <v>41540</v>
      </c>
      <c r="B1565" s="419">
        <v>0.29913194444444441</v>
      </c>
      <c r="C1565" s="422" t="s">
        <v>1401</v>
      </c>
    </row>
    <row r="1566" spans="1:3" x14ac:dyDescent="0.25">
      <c r="A1566" s="418">
        <v>41540</v>
      </c>
      <c r="B1566" s="419">
        <v>0.29913194444444441</v>
      </c>
      <c r="C1566" s="422" t="s">
        <v>1402</v>
      </c>
    </row>
    <row r="1567" spans="1:3" x14ac:dyDescent="0.25">
      <c r="A1567" s="418">
        <v>41540</v>
      </c>
      <c r="B1567" s="419">
        <v>0.29913194444444441</v>
      </c>
      <c r="C1567" s="422" t="s">
        <v>1403</v>
      </c>
    </row>
    <row r="1568" spans="1:3" x14ac:dyDescent="0.25">
      <c r="A1568" s="418">
        <v>41540</v>
      </c>
      <c r="B1568" s="419">
        <v>0.29913194444444441</v>
      </c>
      <c r="C1568" s="422" t="s">
        <v>1403</v>
      </c>
    </row>
    <row r="1569" spans="1:3" x14ac:dyDescent="0.25">
      <c r="A1569" s="418">
        <v>41540</v>
      </c>
      <c r="B1569" s="419">
        <v>0.29913194444444441</v>
      </c>
      <c r="C1569" s="422" t="s">
        <v>1376</v>
      </c>
    </row>
    <row r="1570" spans="1:3" x14ac:dyDescent="0.25">
      <c r="A1570" s="418">
        <v>41540</v>
      </c>
      <c r="B1570" s="419">
        <v>0.29913194444444441</v>
      </c>
      <c r="C1570" s="422" t="s">
        <v>1356</v>
      </c>
    </row>
    <row r="1571" spans="1:3" x14ac:dyDescent="0.25">
      <c r="A1571" s="418">
        <v>41540</v>
      </c>
      <c r="B1571" s="419">
        <v>0.29913194444444441</v>
      </c>
      <c r="C1571" s="422" t="s">
        <v>1356</v>
      </c>
    </row>
    <row r="1572" spans="1:3" x14ac:dyDescent="0.25">
      <c r="A1572" s="418">
        <v>41540</v>
      </c>
      <c r="B1572" s="419">
        <v>0.29913194444444441</v>
      </c>
      <c r="C1572" s="422" t="s">
        <v>1404</v>
      </c>
    </row>
    <row r="1573" spans="1:3" x14ac:dyDescent="0.25">
      <c r="A1573" s="418">
        <v>41540</v>
      </c>
      <c r="B1573" s="419">
        <v>0.2991435185185185</v>
      </c>
      <c r="C1573" s="422" t="s">
        <v>1395</v>
      </c>
    </row>
    <row r="1574" spans="1:3" x14ac:dyDescent="0.25">
      <c r="A1574" s="418">
        <v>41540</v>
      </c>
      <c r="B1574" s="419">
        <v>0.2991435185185185</v>
      </c>
      <c r="C1574" s="422" t="s">
        <v>1406</v>
      </c>
    </row>
    <row r="1575" spans="1:3" x14ac:dyDescent="0.25">
      <c r="A1575" s="418">
        <v>41540</v>
      </c>
      <c r="B1575" s="419">
        <v>0.2991435185185185</v>
      </c>
      <c r="C1575" s="422" t="s">
        <v>1406</v>
      </c>
    </row>
    <row r="1576" spans="1:3" x14ac:dyDescent="0.25">
      <c r="A1576" s="418">
        <v>41540</v>
      </c>
      <c r="B1576" s="419">
        <v>0.2991435185185185</v>
      </c>
      <c r="C1576" s="422" t="s">
        <v>1406</v>
      </c>
    </row>
    <row r="1577" spans="1:3" x14ac:dyDescent="0.25">
      <c r="A1577" s="418">
        <v>41540</v>
      </c>
      <c r="B1577" s="419">
        <v>0.2991435185185185</v>
      </c>
      <c r="C1577" s="422" t="s">
        <v>1365</v>
      </c>
    </row>
    <row r="1578" spans="1:3" x14ac:dyDescent="0.25">
      <c r="A1578" s="418">
        <v>41540</v>
      </c>
      <c r="B1578" s="419">
        <v>0.2991435185185185</v>
      </c>
      <c r="C1578" s="422" t="s">
        <v>1367</v>
      </c>
    </row>
    <row r="1579" spans="1:3" x14ac:dyDescent="0.25">
      <c r="A1579" s="418">
        <v>41540</v>
      </c>
      <c r="B1579" s="419">
        <v>0.2991435185185185</v>
      </c>
      <c r="C1579" s="422" t="s">
        <v>1367</v>
      </c>
    </row>
    <row r="1580" spans="1:3" x14ac:dyDescent="0.25">
      <c r="A1580" s="418">
        <v>41540</v>
      </c>
      <c r="B1580" s="419">
        <v>0.2991435185185185</v>
      </c>
      <c r="C1580" s="422" t="s">
        <v>1384</v>
      </c>
    </row>
    <row r="1581" spans="1:3" x14ac:dyDescent="0.25">
      <c r="A1581" s="418">
        <v>41540</v>
      </c>
      <c r="B1581" s="419">
        <v>0.2991435185185185</v>
      </c>
      <c r="C1581" s="422" t="s">
        <v>1367</v>
      </c>
    </row>
    <row r="1582" spans="1:3" x14ac:dyDescent="0.25">
      <c r="A1582" s="418">
        <v>41540</v>
      </c>
      <c r="B1582" s="419">
        <v>0.2991435185185185</v>
      </c>
      <c r="C1582" s="422" t="s">
        <v>1483</v>
      </c>
    </row>
    <row r="1583" spans="1:3" x14ac:dyDescent="0.25">
      <c r="A1583" s="418">
        <v>41540</v>
      </c>
      <c r="B1583" s="419">
        <v>0.2991435185185185</v>
      </c>
      <c r="C1583" s="422" t="s">
        <v>1483</v>
      </c>
    </row>
    <row r="1584" spans="1:3" x14ac:dyDescent="0.25">
      <c r="A1584" s="418">
        <v>41540</v>
      </c>
      <c r="B1584" s="419">
        <v>0.2991435185185185</v>
      </c>
      <c r="C1584" s="422" t="s">
        <v>1483</v>
      </c>
    </row>
    <row r="1585" spans="1:3" x14ac:dyDescent="0.25">
      <c r="A1585" s="418">
        <v>41540</v>
      </c>
      <c r="B1585" s="419">
        <v>0.2991435185185185</v>
      </c>
      <c r="C1585" s="422" t="s">
        <v>1484</v>
      </c>
    </row>
    <row r="1586" spans="1:3" x14ac:dyDescent="0.25">
      <c r="A1586" s="418">
        <v>41540</v>
      </c>
      <c r="B1586" s="419">
        <v>0.2991435185185185</v>
      </c>
      <c r="C1586" s="422" t="s">
        <v>1349</v>
      </c>
    </row>
    <row r="1587" spans="1:3" x14ac:dyDescent="0.25">
      <c r="A1587" s="418">
        <v>41540</v>
      </c>
      <c r="B1587" s="419">
        <v>0.2991435185185185</v>
      </c>
      <c r="C1587" s="422" t="s">
        <v>1408</v>
      </c>
    </row>
    <row r="1588" spans="1:3" x14ac:dyDescent="0.25">
      <c r="A1588" s="418">
        <v>41540</v>
      </c>
      <c r="B1588" s="419">
        <v>0.2991435185185185</v>
      </c>
      <c r="C1588" s="422" t="s">
        <v>1409</v>
      </c>
    </row>
    <row r="1589" spans="1:3" x14ac:dyDescent="0.25">
      <c r="A1589" s="418">
        <v>41540</v>
      </c>
      <c r="B1589" s="419">
        <v>0.2991435185185185</v>
      </c>
      <c r="C1589" s="422" t="s">
        <v>1365</v>
      </c>
    </row>
    <row r="1590" spans="1:3" x14ac:dyDescent="0.25">
      <c r="A1590" s="418">
        <v>41540</v>
      </c>
      <c r="B1590" s="419">
        <v>0.2991435185185185</v>
      </c>
      <c r="C1590" s="422" t="s">
        <v>1485</v>
      </c>
    </row>
    <row r="1591" spans="1:3" x14ac:dyDescent="0.25">
      <c r="A1591" s="418">
        <v>41540</v>
      </c>
      <c r="B1591" s="419">
        <v>0.2991435185185185</v>
      </c>
      <c r="C1591" s="422" t="s">
        <v>1321</v>
      </c>
    </row>
    <row r="1592" spans="1:3" x14ac:dyDescent="0.25">
      <c r="A1592" s="418">
        <v>41540</v>
      </c>
      <c r="B1592" s="419">
        <v>0.2991435185185185</v>
      </c>
      <c r="C1592" s="422" t="s">
        <v>1371</v>
      </c>
    </row>
    <row r="1593" spans="1:3" x14ac:dyDescent="0.25">
      <c r="A1593" s="418">
        <v>41540</v>
      </c>
      <c r="B1593" s="419">
        <v>0.2991435185185185</v>
      </c>
      <c r="C1593" s="422" t="s">
        <v>1371</v>
      </c>
    </row>
    <row r="1594" spans="1:3" x14ac:dyDescent="0.25">
      <c r="A1594" s="418">
        <v>41540</v>
      </c>
      <c r="B1594" s="419">
        <v>0.2991435185185185</v>
      </c>
      <c r="C1594" s="422" t="s">
        <v>1371</v>
      </c>
    </row>
    <row r="1595" spans="1:3" x14ac:dyDescent="0.25">
      <c r="A1595" s="418">
        <v>41540</v>
      </c>
      <c r="B1595" s="419">
        <v>0.2991435185185185</v>
      </c>
      <c r="C1595" s="422" t="s">
        <v>1371</v>
      </c>
    </row>
    <row r="1596" spans="1:3" x14ac:dyDescent="0.25">
      <c r="A1596" s="418">
        <v>41540</v>
      </c>
      <c r="B1596" s="419">
        <v>0.2991435185185185</v>
      </c>
      <c r="C1596" s="422" t="s">
        <v>1371</v>
      </c>
    </row>
    <row r="1597" spans="1:3" x14ac:dyDescent="0.25">
      <c r="A1597" s="418">
        <v>41540</v>
      </c>
      <c r="B1597" s="419">
        <v>0.2991435185185185</v>
      </c>
      <c r="C1597" s="422" t="s">
        <v>1412</v>
      </c>
    </row>
    <row r="1598" spans="1:3" x14ac:dyDescent="0.25">
      <c r="A1598" s="418">
        <v>41540</v>
      </c>
      <c r="B1598" s="419">
        <v>0.2991435185185185</v>
      </c>
      <c r="C1598" s="422" t="s">
        <v>1311</v>
      </c>
    </row>
    <row r="1599" spans="1:3" x14ac:dyDescent="0.25">
      <c r="A1599" s="418">
        <v>41540</v>
      </c>
      <c r="B1599" s="419">
        <v>0.2991435185185185</v>
      </c>
      <c r="C1599" s="422" t="s">
        <v>1413</v>
      </c>
    </row>
    <row r="1600" spans="1:3" x14ac:dyDescent="0.25">
      <c r="A1600" s="418">
        <v>41540</v>
      </c>
      <c r="B1600" s="419">
        <v>0.2991435185185185</v>
      </c>
      <c r="C1600" s="422" t="s">
        <v>1413</v>
      </c>
    </row>
    <row r="1601" spans="1:3" x14ac:dyDescent="0.25">
      <c r="A1601" s="418">
        <v>41540</v>
      </c>
      <c r="B1601" s="419">
        <v>0.2991435185185185</v>
      </c>
      <c r="C1601" s="422" t="s">
        <v>1414</v>
      </c>
    </row>
    <row r="1602" spans="1:3" x14ac:dyDescent="0.25">
      <c r="A1602" s="418">
        <v>41540</v>
      </c>
      <c r="B1602" s="419">
        <v>0.2991435185185185</v>
      </c>
      <c r="C1602" s="422" t="s">
        <v>1486</v>
      </c>
    </row>
    <row r="1603" spans="1:3" x14ac:dyDescent="0.25">
      <c r="A1603" s="418">
        <v>41540</v>
      </c>
      <c r="B1603" s="419">
        <v>0.2991435185185185</v>
      </c>
      <c r="C1603" s="422" t="s">
        <v>1416</v>
      </c>
    </row>
    <row r="1604" spans="1:3" x14ac:dyDescent="0.25">
      <c r="A1604" s="418">
        <v>41540</v>
      </c>
      <c r="B1604" s="419">
        <v>0.2991435185185185</v>
      </c>
      <c r="C1604" s="422" t="s">
        <v>1417</v>
      </c>
    </row>
    <row r="1605" spans="1:3" x14ac:dyDescent="0.25">
      <c r="A1605" s="418">
        <v>41540</v>
      </c>
      <c r="B1605" s="419">
        <v>0.2991435185185185</v>
      </c>
      <c r="C1605" s="422" t="s">
        <v>1376</v>
      </c>
    </row>
    <row r="1606" spans="1:3" x14ac:dyDescent="0.25">
      <c r="A1606" s="418">
        <v>41540</v>
      </c>
      <c r="B1606" s="419">
        <v>0.2991435185185185</v>
      </c>
      <c r="C1606" s="422" t="s">
        <v>1487</v>
      </c>
    </row>
    <row r="1607" spans="1:3" x14ac:dyDescent="0.25">
      <c r="A1607" s="418">
        <v>41540</v>
      </c>
      <c r="B1607" s="419">
        <v>0.2991435185185185</v>
      </c>
      <c r="C1607" s="422" t="s">
        <v>1412</v>
      </c>
    </row>
    <row r="1608" spans="1:3" x14ac:dyDescent="0.25">
      <c r="A1608" s="418">
        <v>41540</v>
      </c>
      <c r="B1608" s="419">
        <v>0.2991435185185185</v>
      </c>
      <c r="C1608" s="422" t="s">
        <v>1419</v>
      </c>
    </row>
    <row r="1609" spans="1:3" x14ac:dyDescent="0.25">
      <c r="A1609" s="418">
        <v>41540</v>
      </c>
      <c r="B1609" s="419">
        <v>0.2991435185185185</v>
      </c>
      <c r="C1609" s="422" t="s">
        <v>1418</v>
      </c>
    </row>
    <row r="1610" spans="1:3" x14ac:dyDescent="0.25">
      <c r="A1610" s="418">
        <v>41540</v>
      </c>
      <c r="B1610" s="419">
        <v>0.2991435185185185</v>
      </c>
      <c r="C1610" s="422" t="s">
        <v>1351</v>
      </c>
    </row>
    <row r="1611" spans="1:3" x14ac:dyDescent="0.25">
      <c r="A1611" s="418">
        <v>41540</v>
      </c>
      <c r="B1611" s="419">
        <v>0.2991435185185185</v>
      </c>
      <c r="C1611" s="422" t="s">
        <v>1422</v>
      </c>
    </row>
    <row r="1612" spans="1:3" x14ac:dyDescent="0.25">
      <c r="A1612" s="418">
        <v>41540</v>
      </c>
      <c r="B1612" s="419">
        <v>0.2991435185185185</v>
      </c>
      <c r="C1612" s="422" t="s">
        <v>1422</v>
      </c>
    </row>
    <row r="1613" spans="1:3" x14ac:dyDescent="0.25">
      <c r="A1613" s="418">
        <v>41540</v>
      </c>
      <c r="B1613" s="419">
        <v>0.2991435185185185</v>
      </c>
      <c r="C1613" s="422" t="s">
        <v>1423</v>
      </c>
    </row>
    <row r="1614" spans="1:3" x14ac:dyDescent="0.25">
      <c r="A1614" s="418">
        <v>41540</v>
      </c>
      <c r="B1614" s="419">
        <v>0.2991435185185185</v>
      </c>
      <c r="C1614" s="422" t="s">
        <v>1488</v>
      </c>
    </row>
    <row r="1615" spans="1:3" x14ac:dyDescent="0.25">
      <c r="A1615" s="418">
        <v>41540</v>
      </c>
      <c r="B1615" s="419">
        <v>0.2991435185185185</v>
      </c>
      <c r="C1615" s="422" t="s">
        <v>1489</v>
      </c>
    </row>
    <row r="1616" spans="1:3" x14ac:dyDescent="0.25">
      <c r="A1616" s="418">
        <v>41540</v>
      </c>
      <c r="B1616" s="419">
        <v>0.2991435185185185</v>
      </c>
      <c r="C1616" s="422" t="s">
        <v>1490</v>
      </c>
    </row>
    <row r="1617" spans="1:3" x14ac:dyDescent="0.25">
      <c r="A1617" s="418">
        <v>41540</v>
      </c>
      <c r="B1617" s="419">
        <v>0.2991435185185185</v>
      </c>
      <c r="C1617" s="422" t="s">
        <v>1491</v>
      </c>
    </row>
    <row r="1618" spans="1:3" x14ac:dyDescent="0.25">
      <c r="A1618" s="418">
        <v>41540</v>
      </c>
      <c r="B1618" s="419">
        <v>0.2991435185185185</v>
      </c>
      <c r="C1618" s="422" t="s">
        <v>1492</v>
      </c>
    </row>
    <row r="1619" spans="1:3" x14ac:dyDescent="0.25">
      <c r="A1619" s="418">
        <v>41540</v>
      </c>
      <c r="B1619" s="419">
        <v>0.2991435185185185</v>
      </c>
      <c r="C1619" s="422" t="s">
        <v>1493</v>
      </c>
    </row>
    <row r="1620" spans="1:3" x14ac:dyDescent="0.25">
      <c r="A1620" s="418">
        <v>41540</v>
      </c>
      <c r="B1620" s="419">
        <v>0.2991435185185185</v>
      </c>
      <c r="C1620" s="422" t="s">
        <v>1494</v>
      </c>
    </row>
    <row r="1621" spans="1:3" x14ac:dyDescent="0.25">
      <c r="A1621" s="418">
        <v>41540</v>
      </c>
      <c r="B1621" s="419">
        <v>0.2991435185185185</v>
      </c>
      <c r="C1621" s="422" t="s">
        <v>1495</v>
      </c>
    </row>
    <row r="1622" spans="1:3" x14ac:dyDescent="0.25">
      <c r="A1622" s="418">
        <v>41540</v>
      </c>
      <c r="B1622" s="419">
        <v>0.2991435185185185</v>
      </c>
      <c r="C1622" s="422" t="s">
        <v>1323</v>
      </c>
    </row>
    <row r="1623" spans="1:3" x14ac:dyDescent="0.25">
      <c r="A1623" s="418">
        <v>41540</v>
      </c>
      <c r="B1623" s="419">
        <v>0.2991435185185185</v>
      </c>
      <c r="C1623" s="422" t="s">
        <v>1432</v>
      </c>
    </row>
    <row r="1624" spans="1:3" x14ac:dyDescent="0.25">
      <c r="A1624" s="418">
        <v>41540</v>
      </c>
      <c r="B1624" s="419">
        <v>0.2991435185185185</v>
      </c>
      <c r="C1624" s="422" t="s">
        <v>1433</v>
      </c>
    </row>
    <row r="1625" spans="1:3" x14ac:dyDescent="0.25">
      <c r="A1625" s="418">
        <v>41540</v>
      </c>
      <c r="B1625" s="419">
        <v>0.2991435185185185</v>
      </c>
      <c r="C1625" s="422" t="s">
        <v>1496</v>
      </c>
    </row>
    <row r="1626" spans="1:3" x14ac:dyDescent="0.25">
      <c r="A1626" s="418">
        <v>41540</v>
      </c>
      <c r="B1626" s="419">
        <v>0.2991435185185185</v>
      </c>
      <c r="C1626" s="422" t="s">
        <v>1311</v>
      </c>
    </row>
    <row r="1627" spans="1:3" x14ac:dyDescent="0.25">
      <c r="A1627" s="418">
        <v>41540</v>
      </c>
      <c r="B1627" s="419">
        <v>0.2991435185185185</v>
      </c>
      <c r="C1627" s="422" t="s">
        <v>1363</v>
      </c>
    </row>
    <row r="1628" spans="1:3" x14ac:dyDescent="0.25">
      <c r="A1628" s="418">
        <v>41540</v>
      </c>
      <c r="B1628" s="419">
        <v>0.2991435185185185</v>
      </c>
      <c r="C1628" s="422" t="s">
        <v>1435</v>
      </c>
    </row>
    <row r="1629" spans="1:3" x14ac:dyDescent="0.25">
      <c r="A1629" s="418">
        <v>41540</v>
      </c>
      <c r="B1629" s="419">
        <v>0.2991435185185185</v>
      </c>
      <c r="C1629" s="422" t="s">
        <v>1435</v>
      </c>
    </row>
    <row r="1630" spans="1:3" x14ac:dyDescent="0.25">
      <c r="A1630" s="418">
        <v>41540</v>
      </c>
      <c r="B1630" s="419">
        <v>0.2991435185185185</v>
      </c>
      <c r="C1630" s="422" t="s">
        <v>1435</v>
      </c>
    </row>
    <row r="1631" spans="1:3" x14ac:dyDescent="0.25">
      <c r="A1631" s="418">
        <v>41540</v>
      </c>
      <c r="B1631" s="419">
        <v>0.2991435185185185</v>
      </c>
      <c r="C1631" s="422" t="s">
        <v>1284</v>
      </c>
    </row>
    <row r="1632" spans="1:3" ht="60" x14ac:dyDescent="0.25">
      <c r="A1632" s="418">
        <v>41540</v>
      </c>
      <c r="B1632" s="419">
        <v>0.2991435185185185</v>
      </c>
      <c r="C1632" s="952" t="s">
        <v>1285</v>
      </c>
    </row>
    <row r="1633" spans="1:3" x14ac:dyDescent="0.25">
      <c r="A1633" s="418">
        <v>41540</v>
      </c>
      <c r="B1633" s="419">
        <v>0.29918981481481483</v>
      </c>
      <c r="C1633" s="422" t="s">
        <v>1416</v>
      </c>
    </row>
    <row r="1634" spans="1:3" x14ac:dyDescent="0.25">
      <c r="A1634" s="418">
        <v>41540</v>
      </c>
      <c r="B1634" s="419">
        <v>0.29918981481481483</v>
      </c>
      <c r="C1634" s="422" t="s">
        <v>1497</v>
      </c>
    </row>
    <row r="1635" spans="1:3" x14ac:dyDescent="0.25">
      <c r="A1635" s="418">
        <v>41540</v>
      </c>
      <c r="B1635" s="419">
        <v>0.29918981481481483</v>
      </c>
      <c r="C1635" s="422" t="s">
        <v>1498</v>
      </c>
    </row>
    <row r="1636" spans="1:3" x14ac:dyDescent="0.25">
      <c r="A1636" s="418">
        <v>41540</v>
      </c>
      <c r="B1636" s="419">
        <v>0.29918981481481483</v>
      </c>
      <c r="C1636" s="422" t="s">
        <v>1499</v>
      </c>
    </row>
    <row r="1637" spans="1:3" x14ac:dyDescent="0.25">
      <c r="A1637" s="418">
        <v>41540</v>
      </c>
      <c r="B1637" s="419">
        <v>0.29918981481481483</v>
      </c>
      <c r="C1637" s="422" t="s">
        <v>1500</v>
      </c>
    </row>
    <row r="1638" spans="1:3" x14ac:dyDescent="0.25">
      <c r="A1638" s="418">
        <v>41540</v>
      </c>
      <c r="B1638" s="419">
        <v>0.29918981481481483</v>
      </c>
      <c r="C1638" s="422" t="s">
        <v>1501</v>
      </c>
    </row>
    <row r="1639" spans="1:3" x14ac:dyDescent="0.25">
      <c r="A1639" s="418">
        <v>41540</v>
      </c>
      <c r="B1639" s="419">
        <v>0.29918981481481483</v>
      </c>
      <c r="C1639" s="422" t="s">
        <v>1502</v>
      </c>
    </row>
    <row r="1640" spans="1:3" x14ac:dyDescent="0.25">
      <c r="A1640" s="418">
        <v>41540</v>
      </c>
      <c r="B1640" s="419">
        <v>0.29918981481481483</v>
      </c>
      <c r="C1640" s="422" t="s">
        <v>1503</v>
      </c>
    </row>
    <row r="1641" spans="1:3" x14ac:dyDescent="0.25">
      <c r="A1641" s="418">
        <v>41540</v>
      </c>
      <c r="B1641" s="419">
        <v>0.29918981481481483</v>
      </c>
      <c r="C1641" s="422" t="s">
        <v>1504</v>
      </c>
    </row>
    <row r="1642" spans="1:3" x14ac:dyDescent="0.25">
      <c r="A1642" s="418">
        <v>41540</v>
      </c>
      <c r="B1642" s="419">
        <v>0.29918981481481483</v>
      </c>
      <c r="C1642" s="422" t="s">
        <v>1442</v>
      </c>
    </row>
    <row r="1643" spans="1:3" x14ac:dyDescent="0.25">
      <c r="A1643" s="418">
        <v>41540</v>
      </c>
      <c r="B1643" s="419">
        <v>0.29918981481481483</v>
      </c>
      <c r="C1643" s="422" t="s">
        <v>1323</v>
      </c>
    </row>
    <row r="1644" spans="1:3" x14ac:dyDescent="0.25">
      <c r="A1644" s="418">
        <v>41540</v>
      </c>
      <c r="B1644" s="419">
        <v>0.29918981481481483</v>
      </c>
      <c r="C1644" s="422" t="s">
        <v>1505</v>
      </c>
    </row>
    <row r="1645" spans="1:3" x14ac:dyDescent="0.25">
      <c r="A1645" s="418">
        <v>41540</v>
      </c>
      <c r="B1645" s="419">
        <v>0.29918981481481483</v>
      </c>
      <c r="C1645" s="422" t="s">
        <v>1506</v>
      </c>
    </row>
    <row r="1646" spans="1:3" x14ac:dyDescent="0.25">
      <c r="A1646" s="418">
        <v>41540</v>
      </c>
      <c r="B1646" s="419">
        <v>0.29918981481481483</v>
      </c>
      <c r="C1646" s="422" t="s">
        <v>1507</v>
      </c>
    </row>
    <row r="1647" spans="1:3" x14ac:dyDescent="0.25">
      <c r="A1647" s="418">
        <v>41540</v>
      </c>
      <c r="B1647" s="419">
        <v>0.29918981481481483</v>
      </c>
      <c r="C1647" s="422" t="s">
        <v>1508</v>
      </c>
    </row>
    <row r="1648" spans="1:3" x14ac:dyDescent="0.25">
      <c r="A1648" s="418">
        <v>41540</v>
      </c>
      <c r="B1648" s="419">
        <v>0.29918981481481483</v>
      </c>
      <c r="C1648" s="422" t="s">
        <v>1449</v>
      </c>
    </row>
    <row r="1649" spans="1:3" x14ac:dyDescent="0.25">
      <c r="A1649" s="418">
        <v>41540</v>
      </c>
      <c r="B1649" s="419">
        <v>0.29918981481481483</v>
      </c>
      <c r="C1649" s="422" t="s">
        <v>1238</v>
      </c>
    </row>
    <row r="1650" spans="1:3" x14ac:dyDescent="0.25">
      <c r="A1650" s="418">
        <v>41540</v>
      </c>
      <c r="B1650" s="419">
        <v>0.29918981481481483</v>
      </c>
      <c r="C1650" s="422" t="s">
        <v>1509</v>
      </c>
    </row>
    <row r="1651" spans="1:3" x14ac:dyDescent="0.25">
      <c r="A1651" s="418">
        <v>41540</v>
      </c>
      <c r="B1651" s="419">
        <v>0.29918981481481483</v>
      </c>
      <c r="C1651" s="422" t="s">
        <v>1392</v>
      </c>
    </row>
    <row r="1652" spans="1:3" x14ac:dyDescent="0.25">
      <c r="A1652" s="418">
        <v>41540</v>
      </c>
      <c r="B1652" s="419">
        <v>0.29918981481481483</v>
      </c>
      <c r="C1652" s="422" t="s">
        <v>1451</v>
      </c>
    </row>
    <row r="1653" spans="1:3" x14ac:dyDescent="0.25">
      <c r="A1653" s="418">
        <v>41540</v>
      </c>
      <c r="B1653" s="419">
        <v>0.29918981481481483</v>
      </c>
      <c r="C1653" s="422" t="s">
        <v>1453</v>
      </c>
    </row>
    <row r="1654" spans="1:3" x14ac:dyDescent="0.25">
      <c r="A1654" s="418">
        <v>41540</v>
      </c>
      <c r="B1654" s="419">
        <v>0.29918981481481483</v>
      </c>
      <c r="C1654" s="422" t="s">
        <v>1453</v>
      </c>
    </row>
    <row r="1655" spans="1:3" x14ac:dyDescent="0.25">
      <c r="A1655" s="418">
        <v>41540</v>
      </c>
      <c r="B1655" s="419">
        <v>0.29918981481481483</v>
      </c>
      <c r="C1655" s="422" t="s">
        <v>1453</v>
      </c>
    </row>
    <row r="1656" spans="1:3" x14ac:dyDescent="0.25">
      <c r="A1656" s="418">
        <v>41540</v>
      </c>
      <c r="B1656" s="419">
        <v>0.29918981481481483</v>
      </c>
      <c r="C1656" s="422" t="s">
        <v>1453</v>
      </c>
    </row>
    <row r="1657" spans="1:3" x14ac:dyDescent="0.25">
      <c r="A1657" s="418">
        <v>41540</v>
      </c>
      <c r="B1657" s="419">
        <v>0.29918981481481483</v>
      </c>
      <c r="C1657" s="422" t="s">
        <v>1453</v>
      </c>
    </row>
    <row r="1658" spans="1:3" x14ac:dyDescent="0.25">
      <c r="A1658" s="418">
        <v>41540</v>
      </c>
      <c r="B1658" s="419">
        <v>0.29918981481481483</v>
      </c>
      <c r="C1658" s="422" t="s">
        <v>1453</v>
      </c>
    </row>
    <row r="1659" spans="1:3" x14ac:dyDescent="0.25">
      <c r="A1659" s="418">
        <v>41540</v>
      </c>
      <c r="B1659" s="419">
        <v>0.29918981481481483</v>
      </c>
      <c r="C1659" s="422" t="s">
        <v>1453</v>
      </c>
    </row>
    <row r="1660" spans="1:3" x14ac:dyDescent="0.25">
      <c r="A1660" s="418">
        <v>41540</v>
      </c>
      <c r="B1660" s="419">
        <v>0.29920138888888886</v>
      </c>
      <c r="C1660" s="422" t="s">
        <v>1451</v>
      </c>
    </row>
    <row r="1661" spans="1:3" x14ac:dyDescent="0.25">
      <c r="A1661" s="418">
        <v>41540</v>
      </c>
      <c r="B1661" s="419">
        <v>0.29920138888888886</v>
      </c>
      <c r="C1661" s="422" t="s">
        <v>1402</v>
      </c>
    </row>
    <row r="1662" spans="1:3" x14ac:dyDescent="0.25">
      <c r="A1662" s="418">
        <v>41540</v>
      </c>
      <c r="B1662" s="419">
        <v>0.29920138888888886</v>
      </c>
      <c r="C1662" s="422" t="s">
        <v>1312</v>
      </c>
    </row>
    <row r="1663" spans="1:3" x14ac:dyDescent="0.25">
      <c r="A1663" s="418">
        <v>41540</v>
      </c>
      <c r="B1663" s="419">
        <v>0.29921296296296296</v>
      </c>
      <c r="C1663" s="422" t="s">
        <v>1236</v>
      </c>
    </row>
    <row r="1664" spans="1:3" x14ac:dyDescent="0.25">
      <c r="A1664" s="418">
        <v>41540</v>
      </c>
      <c r="B1664" s="419">
        <v>0.29921296296296296</v>
      </c>
      <c r="C1664" s="422" t="s">
        <v>1237</v>
      </c>
    </row>
    <row r="1665" spans="1:3" x14ac:dyDescent="0.25">
      <c r="A1665" s="418">
        <v>41540</v>
      </c>
      <c r="B1665" s="419">
        <v>0.29921296296296296</v>
      </c>
      <c r="C1665" s="422" t="s">
        <v>1238</v>
      </c>
    </row>
    <row r="1666" spans="1:3" x14ac:dyDescent="0.25">
      <c r="A1666" s="418">
        <v>41540</v>
      </c>
      <c r="B1666" s="419">
        <v>0.49464120370370374</v>
      </c>
      <c r="C1666" s="422" t="s">
        <v>1238</v>
      </c>
    </row>
    <row r="1667" spans="1:3" x14ac:dyDescent="0.25">
      <c r="A1667" s="418">
        <v>41540</v>
      </c>
      <c r="B1667" s="419">
        <v>0.49464120370370374</v>
      </c>
      <c r="C1667" s="422" t="s">
        <v>1310</v>
      </c>
    </row>
    <row r="1668" spans="1:3" x14ac:dyDescent="0.25">
      <c r="A1668" s="418">
        <v>41540</v>
      </c>
      <c r="B1668" s="419">
        <v>0.49464120370370374</v>
      </c>
      <c r="C1668" s="422" t="s">
        <v>1311</v>
      </c>
    </row>
    <row r="1669" spans="1:3" x14ac:dyDescent="0.25">
      <c r="A1669" s="418">
        <v>41540</v>
      </c>
      <c r="B1669" s="419">
        <v>0.49464120370370374</v>
      </c>
      <c r="C1669" s="422" t="s">
        <v>1312</v>
      </c>
    </row>
    <row r="1670" spans="1:3" x14ac:dyDescent="0.25">
      <c r="A1670" s="418">
        <v>41540</v>
      </c>
      <c r="B1670" s="419">
        <v>0.49464120370370374</v>
      </c>
      <c r="C1670" s="422" t="s">
        <v>1313</v>
      </c>
    </row>
    <row r="1671" spans="1:3" x14ac:dyDescent="0.25">
      <c r="A1671" s="418">
        <v>41540</v>
      </c>
      <c r="B1671" s="419">
        <v>0.49464120370370374</v>
      </c>
      <c r="C1671" s="422" t="s">
        <v>1314</v>
      </c>
    </row>
    <row r="1672" spans="1:3" x14ac:dyDescent="0.25">
      <c r="A1672" s="418">
        <v>41540</v>
      </c>
      <c r="B1672" s="419">
        <v>0.49464120370370374</v>
      </c>
      <c r="C1672" s="422" t="s">
        <v>1315</v>
      </c>
    </row>
    <row r="1673" spans="1:3" x14ac:dyDescent="0.25">
      <c r="A1673" s="418">
        <v>41540</v>
      </c>
      <c r="B1673" s="419">
        <v>0.49464120370370374</v>
      </c>
      <c r="C1673" s="422" t="s">
        <v>1316</v>
      </c>
    </row>
    <row r="1674" spans="1:3" x14ac:dyDescent="0.25">
      <c r="A1674" s="418">
        <v>41540</v>
      </c>
      <c r="B1674" s="419">
        <v>0.49464120370370374</v>
      </c>
      <c r="C1674" s="422" t="s">
        <v>1313</v>
      </c>
    </row>
    <row r="1675" spans="1:3" x14ac:dyDescent="0.25">
      <c r="A1675" s="418">
        <v>41540</v>
      </c>
      <c r="B1675" s="419">
        <v>0.49464120370370374</v>
      </c>
      <c r="C1675" s="422" t="s">
        <v>1317</v>
      </c>
    </row>
    <row r="1676" spans="1:3" x14ac:dyDescent="0.25">
      <c r="A1676" s="418">
        <v>41540</v>
      </c>
      <c r="B1676" s="419">
        <v>0.49464120370370374</v>
      </c>
      <c r="C1676" s="422" t="s">
        <v>1318</v>
      </c>
    </row>
    <row r="1677" spans="1:3" x14ac:dyDescent="0.25">
      <c r="A1677" s="418">
        <v>41540</v>
      </c>
      <c r="B1677" s="419">
        <v>0.49464120370370374</v>
      </c>
      <c r="C1677" s="422" t="s">
        <v>1463</v>
      </c>
    </row>
    <row r="1678" spans="1:3" x14ac:dyDescent="0.25">
      <c r="A1678" s="418">
        <v>41540</v>
      </c>
      <c r="B1678" s="419">
        <v>0.49464120370370374</v>
      </c>
      <c r="C1678" s="422" t="s">
        <v>1464</v>
      </c>
    </row>
    <row r="1679" spans="1:3" x14ac:dyDescent="0.25">
      <c r="A1679" s="418">
        <v>41540</v>
      </c>
      <c r="B1679" s="419">
        <v>0.49464120370370374</v>
      </c>
      <c r="C1679" s="422" t="s">
        <v>1313</v>
      </c>
    </row>
    <row r="1680" spans="1:3" x14ac:dyDescent="0.25">
      <c r="A1680" s="418">
        <v>41540</v>
      </c>
      <c r="B1680" s="419">
        <v>0.49464120370370374</v>
      </c>
      <c r="C1680" s="422" t="s">
        <v>1238</v>
      </c>
    </row>
    <row r="1681" spans="1:3" x14ac:dyDescent="0.25">
      <c r="A1681" s="418">
        <v>41540</v>
      </c>
      <c r="B1681" s="419">
        <v>0.49464120370370374</v>
      </c>
      <c r="C1681" s="422" t="s">
        <v>1465</v>
      </c>
    </row>
    <row r="1682" spans="1:3" x14ac:dyDescent="0.25">
      <c r="A1682" s="418">
        <v>41540</v>
      </c>
      <c r="B1682" s="419">
        <v>0.49464120370370374</v>
      </c>
      <c r="C1682" s="422" t="s">
        <v>1319</v>
      </c>
    </row>
    <row r="1683" spans="1:3" x14ac:dyDescent="0.25">
      <c r="A1683" s="418">
        <v>41540</v>
      </c>
      <c r="B1683" s="419">
        <v>0.49464120370370374</v>
      </c>
      <c r="C1683" s="422" t="s">
        <v>1319</v>
      </c>
    </row>
    <row r="1684" spans="1:3" x14ac:dyDescent="0.25">
      <c r="A1684" s="418">
        <v>41540</v>
      </c>
      <c r="B1684" s="419">
        <v>0.49464120370370374</v>
      </c>
      <c r="C1684" s="422" t="s">
        <v>1320</v>
      </c>
    </row>
    <row r="1685" spans="1:3" x14ac:dyDescent="0.25">
      <c r="A1685" s="418">
        <v>41540</v>
      </c>
      <c r="B1685" s="419">
        <v>0.49464120370370374</v>
      </c>
      <c r="C1685" s="422" t="s">
        <v>1312</v>
      </c>
    </row>
    <row r="1686" spans="1:3" x14ac:dyDescent="0.25">
      <c r="A1686" s="418">
        <v>41540</v>
      </c>
      <c r="B1686" s="419">
        <v>0.49464120370370374</v>
      </c>
      <c r="C1686" s="422" t="s">
        <v>1321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8"/>
  <sheetViews>
    <sheetView zoomScale="80" zoomScaleNormal="80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N30" sqref="N30"/>
    </sheetView>
  </sheetViews>
  <sheetFormatPr defaultRowHeight="15" x14ac:dyDescent="0.25"/>
  <cols>
    <col min="1" max="1" width="12" style="399" customWidth="1"/>
    <col min="2" max="2" width="15" style="399" customWidth="1"/>
    <col min="3" max="3" width="16.140625" style="399" customWidth="1"/>
    <col min="4" max="4" width="12.42578125" style="399" customWidth="1"/>
    <col min="5" max="5" width="13.85546875" style="399" customWidth="1"/>
    <col min="6" max="6" width="18" style="399" customWidth="1"/>
    <col min="7" max="7" width="15.85546875" style="399" customWidth="1"/>
    <col min="8" max="8" width="12.42578125" style="399" customWidth="1"/>
    <col min="9" max="9" width="12.5703125" style="399" customWidth="1"/>
    <col min="10" max="10" width="13.42578125" style="399" customWidth="1"/>
    <col min="11" max="12" width="10" style="399" customWidth="1"/>
    <col min="13" max="13" width="11.28515625" style="399" customWidth="1"/>
    <col min="14" max="14" width="12.42578125" style="399" customWidth="1"/>
    <col min="15" max="15" width="12.85546875" style="399" customWidth="1"/>
    <col min="16" max="16" width="11.28515625" style="399" customWidth="1"/>
    <col min="17" max="17" width="10.28515625" style="399" customWidth="1"/>
    <col min="18" max="18" width="9.140625" style="399"/>
    <col min="19" max="19" width="10.85546875" style="399" customWidth="1"/>
    <col min="20" max="20" width="11.140625" style="399" customWidth="1"/>
    <col min="21" max="29" width="9.140625" style="399"/>
    <col min="30" max="30" width="11" style="399" customWidth="1"/>
    <col min="31" max="31" width="16.42578125" style="399" customWidth="1"/>
    <col min="32" max="32" width="14.42578125" style="399" customWidth="1"/>
    <col min="33" max="33" width="11.28515625" style="399" bestFit="1" customWidth="1"/>
    <col min="34" max="34" width="11.42578125" style="399" bestFit="1" customWidth="1"/>
    <col min="35" max="37" width="12.42578125" style="399" bestFit="1" customWidth="1"/>
    <col min="38" max="38" width="9.140625" style="399"/>
    <col min="39" max="39" width="10.140625" style="399" customWidth="1"/>
    <col min="40" max="16384" width="9.140625" style="399"/>
  </cols>
  <sheetData>
    <row r="1" spans="1:43" s="424" customFormat="1" ht="15.75" thickBot="1" x14ac:dyDescent="0.3">
      <c r="A1" s="423">
        <v>41517</v>
      </c>
    </row>
    <row r="2" spans="1:43" s="424" customFormat="1" ht="19.5" x14ac:dyDescent="0.3">
      <c r="C2" s="425" t="s">
        <v>738</v>
      </c>
    </row>
    <row r="3" spans="1:43" s="424" customFormat="1" x14ac:dyDescent="0.25"/>
    <row r="4" spans="1:43" s="424" customFormat="1" x14ac:dyDescent="0.25">
      <c r="A4" s="424" t="s">
        <v>1198</v>
      </c>
    </row>
    <row r="5" spans="1:43" s="424" customFormat="1" ht="15.75" thickBot="1" x14ac:dyDescent="0.3">
      <c r="A5" s="868">
        <v>41517</v>
      </c>
      <c r="B5" s="424" t="s">
        <v>1212</v>
      </c>
    </row>
    <row r="6" spans="1:43" s="442" customFormat="1" ht="23.25" thickBot="1" x14ac:dyDescent="0.3">
      <c r="A6" s="426" t="s">
        <v>739</v>
      </c>
      <c r="B6" s="903" t="s">
        <v>740</v>
      </c>
      <c r="C6" s="789" t="s">
        <v>57</v>
      </c>
      <c r="D6" s="789" t="s">
        <v>741</v>
      </c>
      <c r="E6" s="789" t="s">
        <v>76</v>
      </c>
      <c r="F6" s="904"/>
      <c r="G6" s="905" t="s">
        <v>35</v>
      </c>
      <c r="H6" s="906" t="s">
        <v>38</v>
      </c>
      <c r="I6" s="905" t="s">
        <v>742</v>
      </c>
      <c r="J6" s="907" t="s">
        <v>51</v>
      </c>
      <c r="K6" s="908" t="s">
        <v>743</v>
      </c>
      <c r="L6" s="908" t="s">
        <v>744</v>
      </c>
      <c r="M6" s="908" t="s">
        <v>745</v>
      </c>
      <c r="N6" s="909" t="s">
        <v>746</v>
      </c>
      <c r="O6" s="909" t="s">
        <v>747</v>
      </c>
      <c r="P6" s="909" t="s">
        <v>748</v>
      </c>
      <c r="Q6" s="909" t="s">
        <v>749</v>
      </c>
      <c r="R6" s="909" t="s">
        <v>750</v>
      </c>
      <c r="S6" s="908" t="s">
        <v>751</v>
      </c>
      <c r="T6" s="907" t="s">
        <v>752</v>
      </c>
      <c r="U6" s="907" t="s">
        <v>753</v>
      </c>
      <c r="V6" s="907" t="s">
        <v>754</v>
      </c>
      <c r="W6" s="907" t="s">
        <v>108</v>
      </c>
      <c r="X6" s="907" t="s">
        <v>755</v>
      </c>
      <c r="Y6" s="907" t="s">
        <v>756</v>
      </c>
      <c r="Z6" s="905" t="s">
        <v>757</v>
      </c>
      <c r="AA6" s="907" t="s">
        <v>758</v>
      </c>
      <c r="AB6" s="908" t="s">
        <v>759</v>
      </c>
      <c r="AC6" s="907" t="s">
        <v>760</v>
      </c>
      <c r="AD6" s="910" t="s">
        <v>761</v>
      </c>
      <c r="AE6" s="912" t="s">
        <v>1243</v>
      </c>
      <c r="AF6" s="866" t="s">
        <v>1211</v>
      </c>
      <c r="AG6" s="911" t="s">
        <v>762</v>
      </c>
      <c r="AH6" s="429" t="s">
        <v>400</v>
      </c>
      <c r="AI6" s="430" t="s">
        <v>763</v>
      </c>
      <c r="AJ6" s="430" t="s">
        <v>764</v>
      </c>
      <c r="AK6" s="430" t="s">
        <v>414</v>
      </c>
      <c r="AL6" s="430" t="s">
        <v>411</v>
      </c>
      <c r="AM6" s="429" t="s">
        <v>765</v>
      </c>
      <c r="AP6" s="429" t="s">
        <v>766</v>
      </c>
    </row>
    <row r="7" spans="1:43" s="424" customFormat="1" x14ac:dyDescent="0.25">
      <c r="A7" s="431" t="s">
        <v>1213</v>
      </c>
      <c r="B7" s="432" t="s">
        <v>172</v>
      </c>
      <c r="C7" s="433" t="str">
        <f>IF(D7="","",1)</f>
        <v/>
      </c>
      <c r="D7" s="434"/>
      <c r="E7" s="434"/>
      <c r="F7" s="435" t="str">
        <f>TRIM(G7)&amp;TRIM(AE7)&amp;ROUND(S7/1000,0)</f>
        <v>CopyHdr0</v>
      </c>
      <c r="AE7" s="914" t="s">
        <v>768</v>
      </c>
      <c r="AF7" s="610" t="s">
        <v>768</v>
      </c>
      <c r="AG7" s="436" t="s">
        <v>768</v>
      </c>
      <c r="AH7" s="436" t="s">
        <v>768</v>
      </c>
      <c r="AI7" s="436" t="s">
        <v>768</v>
      </c>
      <c r="AJ7" s="436" t="s">
        <v>768</v>
      </c>
      <c r="AK7" s="436" t="s">
        <v>768</v>
      </c>
      <c r="AL7" s="436" t="s">
        <v>768</v>
      </c>
      <c r="AM7" s="436" t="s">
        <v>768</v>
      </c>
      <c r="AP7" s="436" t="s">
        <v>768</v>
      </c>
    </row>
    <row r="8" spans="1:43" s="424" customFormat="1" x14ac:dyDescent="0.25">
      <c r="A8" s="426" t="s">
        <v>769</v>
      </c>
      <c r="B8" s="437">
        <v>0.5</v>
      </c>
      <c r="C8" s="437">
        <v>1.2</v>
      </c>
      <c r="D8" s="437">
        <v>0.5</v>
      </c>
      <c r="E8" s="437">
        <v>0.5</v>
      </c>
      <c r="F8" s="438">
        <v>0.3</v>
      </c>
      <c r="G8" s="439">
        <v>14</v>
      </c>
      <c r="H8" s="439">
        <v>8</v>
      </c>
      <c r="I8" s="439">
        <v>12.8</v>
      </c>
      <c r="J8" s="439">
        <v>22</v>
      </c>
      <c r="K8" s="439">
        <v>0</v>
      </c>
      <c r="L8" s="439">
        <v>0</v>
      </c>
      <c r="M8" s="439">
        <v>0</v>
      </c>
      <c r="N8" s="439">
        <v>0</v>
      </c>
      <c r="O8" s="439">
        <v>0</v>
      </c>
      <c r="P8" s="439">
        <v>0</v>
      </c>
      <c r="Q8" s="439">
        <v>0</v>
      </c>
      <c r="R8" s="439">
        <v>0</v>
      </c>
      <c r="S8" s="439">
        <v>10</v>
      </c>
      <c r="T8" s="439">
        <v>40</v>
      </c>
      <c r="U8" s="439">
        <v>0</v>
      </c>
      <c r="V8" s="439">
        <v>0</v>
      </c>
      <c r="W8" s="439">
        <v>10</v>
      </c>
      <c r="X8" s="439">
        <v>0</v>
      </c>
      <c r="Y8" s="439">
        <v>0</v>
      </c>
      <c r="Z8" s="439">
        <v>8</v>
      </c>
      <c r="AA8" s="439">
        <v>8</v>
      </c>
      <c r="AB8" s="439">
        <v>10</v>
      </c>
      <c r="AC8" s="439">
        <v>5</v>
      </c>
      <c r="AD8" s="439">
        <v>15</v>
      </c>
      <c r="AE8" s="913" t="s">
        <v>1244</v>
      </c>
      <c r="AF8" s="867" t="s">
        <v>923</v>
      </c>
      <c r="AG8" s="424">
        <v>8</v>
      </c>
      <c r="AH8" s="437">
        <v>10</v>
      </c>
      <c r="AI8" s="437">
        <v>1</v>
      </c>
      <c r="AJ8" s="437">
        <v>1</v>
      </c>
      <c r="AK8" s="437">
        <v>1</v>
      </c>
      <c r="AL8" s="437">
        <v>1</v>
      </c>
      <c r="AM8" s="437" t="s">
        <v>770</v>
      </c>
      <c r="AP8" s="437" t="s">
        <v>770</v>
      </c>
    </row>
    <row r="9" spans="1:43" s="424" customFormat="1" x14ac:dyDescent="0.25">
      <c r="A9" s="426" t="s">
        <v>771</v>
      </c>
      <c r="B9" s="437">
        <v>30</v>
      </c>
      <c r="C9" s="437"/>
      <c r="D9" s="437">
        <v>5</v>
      </c>
      <c r="E9" s="437">
        <v>3</v>
      </c>
      <c r="F9" s="438"/>
      <c r="G9" s="437"/>
      <c r="H9" s="437"/>
      <c r="K9" s="437"/>
      <c r="L9" s="439"/>
      <c r="M9" s="439"/>
      <c r="N9" s="439"/>
      <c r="O9" s="439"/>
      <c r="P9" s="439"/>
      <c r="Q9" s="439"/>
      <c r="R9" s="439"/>
      <c r="S9" s="439"/>
      <c r="T9" s="439"/>
      <c r="U9" s="440"/>
      <c r="V9" s="439"/>
      <c r="W9" s="439"/>
      <c r="X9" s="439"/>
      <c r="Y9" s="439"/>
      <c r="Z9" s="439"/>
      <c r="AA9" s="439"/>
      <c r="AE9" s="914">
        <v>9</v>
      </c>
      <c r="AF9" s="610" t="str">
        <f>Process!F79</f>
        <v>HANDL_PaidInSF</v>
      </c>
      <c r="AG9" s="437">
        <v>8</v>
      </c>
      <c r="AH9" s="437">
        <v>19</v>
      </c>
      <c r="AI9" s="437">
        <f>COLUMN(AH9)-1</f>
        <v>33</v>
      </c>
      <c r="AJ9" s="437">
        <f>AI9</f>
        <v>33</v>
      </c>
      <c r="AK9" s="437">
        <f>AI9</f>
        <v>33</v>
      </c>
      <c r="AL9" s="437">
        <f>AI9</f>
        <v>33</v>
      </c>
      <c r="AM9" s="437">
        <v>5</v>
      </c>
      <c r="AP9" s="437">
        <v>5</v>
      </c>
    </row>
    <row r="10" spans="1:43" s="442" customFormat="1" ht="38.25" x14ac:dyDescent="0.25">
      <c r="A10" s="426" t="s">
        <v>772</v>
      </c>
      <c r="B10" s="441"/>
      <c r="C10" s="441"/>
      <c r="D10" s="441"/>
      <c r="E10" s="441"/>
      <c r="G10" s="441"/>
      <c r="H10" s="441"/>
      <c r="K10" s="441"/>
      <c r="L10" s="443"/>
      <c r="M10" s="443"/>
      <c r="N10" s="443"/>
      <c r="O10" s="443"/>
      <c r="P10" s="443"/>
      <c r="Q10" s="443"/>
      <c r="R10" s="443"/>
      <c r="S10" s="443"/>
      <c r="T10" s="443"/>
      <c r="U10" s="444"/>
      <c r="V10" s="443"/>
      <c r="W10" s="443"/>
      <c r="X10" s="443"/>
      <c r="Y10" s="443"/>
      <c r="Z10" s="443"/>
      <c r="AA10" s="443"/>
      <c r="AE10" s="915" t="s">
        <v>1245</v>
      </c>
      <c r="AF10" s="865"/>
      <c r="AG10" s="441" t="s">
        <v>773</v>
      </c>
      <c r="AH10" s="445" t="s">
        <v>774</v>
      </c>
      <c r="AI10" s="446" t="s">
        <v>775</v>
      </c>
      <c r="AJ10" s="446" t="s">
        <v>776</v>
      </c>
      <c r="AK10" s="446" t="s">
        <v>777</v>
      </c>
      <c r="AL10" s="446" t="s">
        <v>778</v>
      </c>
      <c r="AM10" s="447"/>
      <c r="AP10" s="447" t="s">
        <v>779</v>
      </c>
    </row>
    <row r="11" spans="1:43" s="424" customFormat="1" x14ac:dyDescent="0.25">
      <c r="A11" s="426" t="s">
        <v>780</v>
      </c>
      <c r="B11" s="448" t="s">
        <v>781</v>
      </c>
      <c r="C11" s="448"/>
      <c r="D11" s="448" t="s">
        <v>782</v>
      </c>
      <c r="E11" s="448" t="s">
        <v>783</v>
      </c>
      <c r="F11" s="438"/>
      <c r="G11" s="437"/>
      <c r="H11" s="437"/>
      <c r="K11" s="437"/>
      <c r="L11" s="439"/>
      <c r="M11" s="439"/>
      <c r="N11" s="439"/>
      <c r="O11" s="439"/>
      <c r="P11" s="439"/>
      <c r="Q11" s="439"/>
      <c r="R11" s="439"/>
      <c r="S11" s="439"/>
      <c r="T11" s="439"/>
      <c r="U11" s="440"/>
      <c r="V11" s="439"/>
      <c r="W11" s="439"/>
      <c r="X11" s="439"/>
      <c r="Y11" s="439"/>
      <c r="Z11" s="439"/>
      <c r="AA11" s="439"/>
      <c r="AE11" s="916" t="s">
        <v>1251</v>
      </c>
      <c r="AF11" s="609"/>
      <c r="AM11" s="448" t="s">
        <v>784</v>
      </c>
      <c r="AP11" s="448" t="s">
        <v>784</v>
      </c>
    </row>
    <row r="12" spans="1:43" s="424" customFormat="1" x14ac:dyDescent="0.25">
      <c r="Z12" s="439"/>
    </row>
    <row r="13" spans="1:43" s="424" customFormat="1" x14ac:dyDescent="0.25">
      <c r="A13" s="487" t="s">
        <v>1513</v>
      </c>
      <c r="Z13" s="439"/>
    </row>
    <row r="14" spans="1:43" s="424" customFormat="1" x14ac:dyDescent="0.25">
      <c r="A14" s="957" t="s">
        <v>31</v>
      </c>
      <c r="B14" s="610">
        <v>30</v>
      </c>
      <c r="C14" s="448"/>
      <c r="D14" s="448"/>
      <c r="E14" s="448"/>
      <c r="F14" s="448"/>
      <c r="G14" s="438"/>
      <c r="H14" s="437"/>
      <c r="I14" s="437"/>
      <c r="L14" s="437"/>
      <c r="M14" s="439"/>
      <c r="N14" s="439"/>
      <c r="O14" s="439"/>
      <c r="P14" s="439"/>
      <c r="Q14" s="439"/>
      <c r="R14" s="439"/>
      <c r="S14" s="439"/>
      <c r="T14" s="439"/>
      <c r="U14" s="439"/>
      <c r="V14" s="440"/>
      <c r="W14" s="439"/>
      <c r="X14" s="439"/>
      <c r="Y14" s="439"/>
      <c r="Z14" s="439"/>
      <c r="AA14" s="439"/>
      <c r="AB14" s="439"/>
      <c r="AF14" s="916"/>
      <c r="AG14" s="609"/>
      <c r="AN14" s="448"/>
      <c r="AQ14" s="448"/>
    </row>
    <row r="15" spans="1:43" s="424" customFormat="1" x14ac:dyDescent="0.25">
      <c r="Z15" s="439"/>
    </row>
    <row r="16" spans="1:43" s="424" customFormat="1" ht="15.75" thickBot="1" x14ac:dyDescent="0.3">
      <c r="A16" s="424" t="s">
        <v>785</v>
      </c>
      <c r="Z16" s="439"/>
    </row>
    <row r="17" spans="1:43" s="449" customFormat="1" ht="15.75" thickBot="1" x14ac:dyDescent="0.3">
      <c r="F17" s="450"/>
      <c r="G17" s="451"/>
      <c r="H17" s="450"/>
      <c r="I17" s="452" t="s">
        <v>786</v>
      </c>
      <c r="J17" s="453"/>
      <c r="K17" s="454"/>
      <c r="L17" s="455"/>
      <c r="M17" s="455"/>
      <c r="N17" s="455"/>
      <c r="O17" s="455"/>
      <c r="P17" s="455"/>
      <c r="Q17" s="455"/>
      <c r="R17" s="456">
        <f>SUM(R$2:R15)</f>
        <v>0</v>
      </c>
      <c r="S17" s="457"/>
      <c r="V17" s="458" t="s">
        <v>787</v>
      </c>
      <c r="W17" s="459"/>
      <c r="X17" s="459"/>
      <c r="Y17" s="460">
        <f>1 - COUNTIF(A$2:A15,"")/COUNTA(A$2:A15)</f>
        <v>0.6</v>
      </c>
      <c r="Z17" s="458" t="s">
        <v>788</v>
      </c>
      <c r="AA17" s="456">
        <f>R17-SUMIF(B$2:B15,"1",R$2:R15)</f>
        <v>0</v>
      </c>
      <c r="AB17" s="461" t="e">
        <f>AA17/R17</f>
        <v>#DIV/0!</v>
      </c>
      <c r="AC17" s="462" t="e">
        <f>1-AB17</f>
        <v>#DIV/0!</v>
      </c>
    </row>
    <row r="18" spans="1:43" s="424" customFormat="1" x14ac:dyDescent="0.25">
      <c r="P18" s="455"/>
    </row>
    <row r="19" spans="1:43" s="424" customFormat="1" x14ac:dyDescent="0.25">
      <c r="A19" s="424" t="s">
        <v>789</v>
      </c>
      <c r="P19" s="455"/>
    </row>
    <row r="20" spans="1:43" s="424" customFormat="1" x14ac:dyDescent="0.25">
      <c r="B20" s="424" t="s">
        <v>790</v>
      </c>
      <c r="P20" s="455"/>
    </row>
    <row r="21" spans="1:43" s="551" customFormat="1" ht="15.75" thickBot="1" x14ac:dyDescent="0.3">
      <c r="B21" s="551" t="s">
        <v>1511</v>
      </c>
      <c r="P21" s="455"/>
    </row>
    <row r="22" spans="1:43" s="441" customFormat="1" ht="60.75" thickBot="1" x14ac:dyDescent="0.3">
      <c r="A22" s="426" t="s">
        <v>739</v>
      </c>
      <c r="B22" s="463" t="s">
        <v>791</v>
      </c>
      <c r="C22" s="464" t="s">
        <v>792</v>
      </c>
      <c r="D22" s="464" t="s">
        <v>793</v>
      </c>
      <c r="E22" s="465" t="s">
        <v>794</v>
      </c>
      <c r="F22" s="466" t="s">
        <v>795</v>
      </c>
      <c r="G22" s="467" t="s">
        <v>796</v>
      </c>
      <c r="H22" s="468" t="s">
        <v>797</v>
      </c>
      <c r="I22" s="469"/>
      <c r="J22" s="956" t="s">
        <v>1510</v>
      </c>
      <c r="K22" s="471" t="s">
        <v>43</v>
      </c>
      <c r="L22" s="471"/>
      <c r="M22" s="472" t="s">
        <v>46</v>
      </c>
      <c r="N22" s="470" t="s">
        <v>753</v>
      </c>
      <c r="O22" s="470" t="s">
        <v>108</v>
      </c>
      <c r="P22" s="470" t="s">
        <v>798</v>
      </c>
      <c r="Q22" s="470" t="s">
        <v>799</v>
      </c>
      <c r="R22" s="470" t="s">
        <v>800</v>
      </c>
      <c r="S22" s="470" t="s">
        <v>801</v>
      </c>
      <c r="T22" s="471" t="s">
        <v>802</v>
      </c>
      <c r="U22" s="473" t="s">
        <v>803</v>
      </c>
      <c r="V22" s="473" t="s">
        <v>804</v>
      </c>
      <c r="W22" s="473" t="s">
        <v>805</v>
      </c>
      <c r="X22" s="470" t="s">
        <v>806</v>
      </c>
      <c r="Y22" s="470" t="s">
        <v>807</v>
      </c>
      <c r="Z22" s="470" t="s">
        <v>761</v>
      </c>
      <c r="AA22" s="470" t="s">
        <v>808</v>
      </c>
    </row>
    <row r="23" spans="1:43" s="424" customFormat="1" ht="18" customHeight="1" x14ac:dyDescent="0.25">
      <c r="A23" s="431" t="s">
        <v>1213</v>
      </c>
      <c r="B23" s="474" t="s">
        <v>168</v>
      </c>
      <c r="C23" s="475" t="s">
        <v>809</v>
      </c>
      <c r="D23" s="476"/>
      <c r="E23" s="477">
        <v>1</v>
      </c>
      <c r="F23" s="478" t="str">
        <f>IF(AND(U23=W23,W23&gt;0),"1","")</f>
        <v/>
      </c>
      <c r="G23" s="479" t="str">
        <f>IF(U23=V23,"1","")</f>
        <v/>
      </c>
      <c r="H23" s="480"/>
      <c r="I23" s="481" t="str">
        <f>IF(S23="",TRIM(K23),TRIM(MID(S23,9,55))&amp;"/"&amp;TRIM(K23))</f>
        <v>2009-1-065</v>
      </c>
      <c r="J23" s="914" t="s">
        <v>768</v>
      </c>
      <c r="K23" s="483" t="s">
        <v>810</v>
      </c>
      <c r="L23" s="483"/>
      <c r="M23" s="484">
        <v>40058</v>
      </c>
      <c r="N23" s="482" t="s">
        <v>251</v>
      </c>
      <c r="O23" s="482" t="s">
        <v>373</v>
      </c>
      <c r="P23" s="482"/>
      <c r="Q23" s="482"/>
      <c r="R23" s="482" t="s">
        <v>811</v>
      </c>
      <c r="S23" s="482"/>
      <c r="T23" s="483" t="s">
        <v>812</v>
      </c>
      <c r="U23" s="485">
        <v>324000</v>
      </c>
      <c r="V23" s="485">
        <v>0</v>
      </c>
      <c r="W23" s="485">
        <v>0</v>
      </c>
      <c r="X23" s="482" t="s">
        <v>392</v>
      </c>
      <c r="Y23" s="486"/>
      <c r="Z23" s="486" t="s">
        <v>813</v>
      </c>
      <c r="AA23" s="482" t="s">
        <v>814</v>
      </c>
    </row>
    <row r="24" spans="1:43" s="424" customFormat="1" x14ac:dyDescent="0.25">
      <c r="A24" s="426" t="s">
        <v>769</v>
      </c>
      <c r="B24" s="437">
        <v>0.5</v>
      </c>
      <c r="C24" s="437">
        <v>8</v>
      </c>
      <c r="D24" s="424">
        <v>6</v>
      </c>
      <c r="E24" s="437">
        <v>5</v>
      </c>
      <c r="F24" s="438">
        <v>2</v>
      </c>
      <c r="G24" s="437">
        <v>2</v>
      </c>
      <c r="H24" s="437">
        <v>2</v>
      </c>
      <c r="I24" s="437">
        <v>0.5</v>
      </c>
      <c r="J24" s="913" t="s">
        <v>1512</v>
      </c>
      <c r="K24" s="437">
        <v>10</v>
      </c>
      <c r="L24" s="687">
        <v>0.7</v>
      </c>
      <c r="M24" s="687">
        <v>10</v>
      </c>
      <c r="N24" s="687">
        <v>7</v>
      </c>
      <c r="O24" s="687">
        <v>10</v>
      </c>
      <c r="P24" s="437">
        <v>20</v>
      </c>
      <c r="Q24" s="687">
        <v>12</v>
      </c>
      <c r="R24" s="687">
        <v>12</v>
      </c>
      <c r="S24" s="439">
        <v>10</v>
      </c>
      <c r="T24" s="439">
        <v>8</v>
      </c>
      <c r="U24" s="440">
        <v>12</v>
      </c>
      <c r="V24" s="439">
        <v>11</v>
      </c>
      <c r="W24" s="439">
        <v>11</v>
      </c>
      <c r="X24" s="439">
        <v>10</v>
      </c>
      <c r="Y24" s="439">
        <v>12</v>
      </c>
      <c r="Z24" s="439">
        <v>20</v>
      </c>
      <c r="AA24" s="439">
        <v>10</v>
      </c>
    </row>
    <row r="25" spans="1:43" s="424" customFormat="1" x14ac:dyDescent="0.25">
      <c r="A25" s="426" t="s">
        <v>771</v>
      </c>
      <c r="B25" s="437">
        <v>9</v>
      </c>
      <c r="C25" s="437">
        <v>8</v>
      </c>
      <c r="D25" s="424">
        <v>8</v>
      </c>
      <c r="E25" s="437"/>
      <c r="F25" s="438"/>
      <c r="G25" s="437"/>
      <c r="H25" s="437">
        <v>8</v>
      </c>
      <c r="J25" s="914">
        <v>15</v>
      </c>
      <c r="K25" s="437"/>
      <c r="L25" s="439"/>
      <c r="M25" s="439"/>
      <c r="N25" s="439"/>
      <c r="O25" s="439"/>
      <c r="P25" s="441"/>
      <c r="Q25" s="439"/>
      <c r="R25" s="439"/>
      <c r="S25" s="439"/>
      <c r="T25" s="439"/>
      <c r="U25" s="440"/>
      <c r="V25" s="439"/>
      <c r="W25" s="439"/>
      <c r="X25" s="439"/>
      <c r="Y25" s="439"/>
      <c r="Z25" s="439"/>
      <c r="AA25" s="439"/>
    </row>
    <row r="26" spans="1:43" s="424" customFormat="1" x14ac:dyDescent="0.25">
      <c r="A26" s="426" t="s">
        <v>772</v>
      </c>
      <c r="B26" s="437"/>
      <c r="C26" s="437"/>
      <c r="E26" s="437"/>
      <c r="F26" s="438"/>
      <c r="G26" s="437"/>
      <c r="H26" s="437"/>
      <c r="J26" s="915" t="s">
        <v>1245</v>
      </c>
      <c r="K26" s="437"/>
      <c r="L26" s="439"/>
      <c r="M26" s="439"/>
      <c r="N26" s="439"/>
      <c r="O26" s="439"/>
      <c r="Q26" s="439"/>
      <c r="R26" s="439"/>
      <c r="S26" s="439"/>
      <c r="T26" s="439"/>
      <c r="U26" s="440"/>
      <c r="V26" s="439"/>
      <c r="W26" s="439"/>
      <c r="X26" s="439"/>
      <c r="Y26" s="439"/>
      <c r="Z26" s="439"/>
      <c r="AA26" s="439"/>
    </row>
    <row r="27" spans="1:43" s="424" customFormat="1" x14ac:dyDescent="0.25">
      <c r="A27" s="426" t="s">
        <v>780</v>
      </c>
      <c r="B27" s="437" t="s">
        <v>781</v>
      </c>
      <c r="C27" s="437" t="s">
        <v>815</v>
      </c>
      <c r="D27" s="424" t="s">
        <v>816</v>
      </c>
      <c r="E27" s="437"/>
      <c r="F27" s="438"/>
      <c r="G27" s="437"/>
      <c r="H27" s="437" t="s">
        <v>817</v>
      </c>
      <c r="J27" s="916" t="s">
        <v>1251</v>
      </c>
      <c r="K27" s="437"/>
      <c r="L27" s="439"/>
      <c r="M27" s="439"/>
      <c r="N27" s="439"/>
      <c r="O27" s="439"/>
      <c r="Q27" s="439"/>
      <c r="R27" s="439"/>
      <c r="S27" s="439"/>
      <c r="T27" s="439"/>
      <c r="U27" s="440"/>
      <c r="V27" s="439"/>
      <c r="W27" s="439"/>
      <c r="X27" s="439"/>
      <c r="Y27" s="439"/>
      <c r="Z27" s="439"/>
      <c r="AA27" s="439"/>
    </row>
    <row r="28" spans="1:43" s="424" customFormat="1" x14ac:dyDescent="0.25">
      <c r="Z28" s="439"/>
    </row>
    <row r="29" spans="1:43" s="424" customFormat="1" x14ac:dyDescent="0.25">
      <c r="A29" s="487" t="s">
        <v>1515</v>
      </c>
      <c r="Z29" s="439"/>
    </row>
    <row r="30" spans="1:43" s="424" customFormat="1" x14ac:dyDescent="0.25">
      <c r="A30" s="957" t="s">
        <v>40</v>
      </c>
      <c r="B30" s="610">
        <v>9</v>
      </c>
      <c r="C30" s="448"/>
      <c r="D30" s="448"/>
      <c r="E30" s="448"/>
      <c r="F30" s="448"/>
      <c r="G30" s="438"/>
      <c r="H30" s="437"/>
      <c r="I30" s="437"/>
      <c r="L30" s="437"/>
      <c r="M30" s="439"/>
      <c r="N30" s="439"/>
      <c r="O30" s="439"/>
      <c r="P30" s="439"/>
      <c r="Q30" s="439"/>
      <c r="R30" s="439"/>
      <c r="S30" s="439"/>
      <c r="T30" s="439"/>
      <c r="U30" s="439"/>
      <c r="V30" s="440"/>
      <c r="W30" s="439"/>
      <c r="X30" s="439"/>
      <c r="Y30" s="439"/>
      <c r="Z30" s="439"/>
      <c r="AA30" s="439"/>
      <c r="AB30" s="439"/>
      <c r="AF30" s="916"/>
      <c r="AG30" s="609"/>
      <c r="AN30" s="448"/>
      <c r="AQ30" s="448"/>
    </row>
    <row r="31" spans="1:43" s="424" customFormat="1" x14ac:dyDescent="0.25">
      <c r="A31" s="437"/>
      <c r="B31" s="437"/>
      <c r="D31" s="437"/>
      <c r="E31" s="438"/>
      <c r="F31" s="439"/>
      <c r="G31" s="439"/>
      <c r="H31" s="439"/>
      <c r="I31" s="439"/>
      <c r="J31" s="439"/>
      <c r="K31" s="439"/>
      <c r="L31" s="439"/>
      <c r="M31" s="439"/>
      <c r="N31" s="439"/>
      <c r="O31" s="439"/>
      <c r="P31" s="439"/>
      <c r="Q31" s="439"/>
      <c r="R31" s="439"/>
      <c r="S31" s="439"/>
      <c r="T31" s="439"/>
      <c r="U31" s="439"/>
      <c r="V31" s="439"/>
      <c r="W31" s="439"/>
      <c r="X31" s="439"/>
      <c r="Y31" s="439"/>
      <c r="Z31" s="439"/>
    </row>
    <row r="32" spans="1:43" s="424" customFormat="1" x14ac:dyDescent="0.25">
      <c r="A32" s="424" t="s">
        <v>818</v>
      </c>
    </row>
    <row r="33" spans="1:26" s="424" customFormat="1" ht="15.75" thickBot="1" x14ac:dyDescent="0.3">
      <c r="A33" s="487">
        <v>41504</v>
      </c>
      <c r="B33" s="424" t="s">
        <v>819</v>
      </c>
    </row>
    <row r="34" spans="1:26" s="504" customFormat="1" ht="15" customHeight="1" x14ac:dyDescent="0.25">
      <c r="A34" s="488"/>
      <c r="B34" s="489" t="s">
        <v>820</v>
      </c>
      <c r="C34" s="490">
        <f>COUNTIF(B$1:B32,B34)</f>
        <v>0</v>
      </c>
      <c r="D34" s="491" t="e">
        <f>C34/C39</f>
        <v>#DIV/0!</v>
      </c>
      <c r="E34" s="492"/>
      <c r="F34" s="493"/>
      <c r="G34" s="494"/>
      <c r="H34" s="494"/>
      <c r="I34" s="495"/>
      <c r="J34" s="496">
        <f>SUMIF(B$2:B32,B34,T$2:T32)</f>
        <v>0</v>
      </c>
      <c r="K34" s="497"/>
      <c r="L34" s="498" t="e">
        <f>J34/J39</f>
        <v>#DIV/0!</v>
      </c>
      <c r="M34" s="499"/>
      <c r="N34" s="499"/>
      <c r="O34" s="499"/>
      <c r="P34" s="500"/>
      <c r="Q34" s="500"/>
      <c r="R34" s="500"/>
      <c r="S34" s="501" t="s">
        <v>786</v>
      </c>
      <c r="T34" s="502">
        <f>SUM(T$1:T33)</f>
        <v>48</v>
      </c>
      <c r="U34" s="502">
        <f>SUM(U$1:U33)</f>
        <v>324012</v>
      </c>
      <c r="V34" s="502">
        <f>SUM(V$1:V33)</f>
        <v>11</v>
      </c>
      <c r="W34" s="500" t="s">
        <v>821</v>
      </c>
      <c r="X34" s="503"/>
      <c r="Y34" s="503"/>
      <c r="Z34" s="500"/>
    </row>
    <row r="35" spans="1:26" s="504" customFormat="1" ht="15" customHeight="1" x14ac:dyDescent="0.25">
      <c r="A35" s="488"/>
      <c r="B35" s="505" t="s">
        <v>822</v>
      </c>
      <c r="C35" s="506">
        <f>COUNTIF(B$1:B32,B35)</f>
        <v>0</v>
      </c>
      <c r="D35" s="507" t="e">
        <f>C35/C39</f>
        <v>#DIV/0!</v>
      </c>
      <c r="E35" s="492"/>
      <c r="F35" s="493"/>
      <c r="G35" s="494"/>
      <c r="H35" s="494"/>
      <c r="I35" s="495"/>
      <c r="J35" s="508">
        <f>SUMIF(B$2:B32,B35,T$2:T32)</f>
        <v>0</v>
      </c>
      <c r="K35" s="509"/>
      <c r="L35" s="510" t="e">
        <f>J35/J39</f>
        <v>#DIV/0!</v>
      </c>
      <c r="M35" s="499"/>
      <c r="N35" s="499"/>
      <c r="O35" s="499"/>
      <c r="S35" s="511"/>
      <c r="T35" s="512"/>
      <c r="U35" s="512"/>
      <c r="V35" s="512"/>
      <c r="X35" s="513"/>
      <c r="Y35" s="513"/>
    </row>
    <row r="36" spans="1:26" s="504" customFormat="1" ht="15" customHeight="1" x14ac:dyDescent="0.25">
      <c r="A36" s="488"/>
      <c r="B36" s="514" t="s">
        <v>823</v>
      </c>
      <c r="C36" s="515">
        <f>COUNTIF(B$1:B32,B36)</f>
        <v>0</v>
      </c>
      <c r="D36" s="516" t="e">
        <f>C36/C39</f>
        <v>#DIV/0!</v>
      </c>
      <c r="E36" s="492"/>
      <c r="F36" s="493"/>
      <c r="G36" s="494"/>
      <c r="H36" s="494"/>
      <c r="I36" s="495"/>
      <c r="J36" s="517">
        <f>SUMIF(B$2:B32,B36,T$2:T32)</f>
        <v>0</v>
      </c>
      <c r="K36" s="518"/>
      <c r="L36" s="519" t="e">
        <f>J36/J39</f>
        <v>#DIV/0!</v>
      </c>
      <c r="M36" s="520"/>
      <c r="N36" s="499"/>
      <c r="O36" s="499"/>
      <c r="S36" s="511"/>
      <c r="T36" s="512"/>
      <c r="U36" s="512"/>
      <c r="V36" s="512"/>
      <c r="X36" s="513"/>
      <c r="Y36" s="513"/>
    </row>
    <row r="37" spans="1:26" s="504" customFormat="1" ht="15" customHeight="1" thickBot="1" x14ac:dyDescent="0.3">
      <c r="A37" s="488"/>
      <c r="B37" s="521" t="s">
        <v>824</v>
      </c>
      <c r="C37" s="522">
        <f>COUNTIF(B$1:B32,B37)</f>
        <v>0</v>
      </c>
      <c r="D37" s="523" t="e">
        <f>C37/C39</f>
        <v>#DIV/0!</v>
      </c>
      <c r="E37" s="492"/>
      <c r="F37" s="493"/>
      <c r="G37" s="494"/>
      <c r="H37" s="494"/>
      <c r="I37" s="495"/>
      <c r="J37" s="524">
        <f>SUMIF(B$2:B32,B37,T$2:T32)</f>
        <v>0</v>
      </c>
      <c r="K37" s="525"/>
      <c r="L37" s="526" t="e">
        <f>J37/J39</f>
        <v>#DIV/0!</v>
      </c>
      <c r="M37" s="520"/>
      <c r="N37" s="499"/>
      <c r="O37" s="499"/>
      <c r="S37" s="511"/>
      <c r="T37" s="512"/>
      <c r="U37" s="512"/>
      <c r="V37" s="512"/>
      <c r="X37" s="513"/>
      <c r="Y37" s="513"/>
    </row>
    <row r="38" spans="1:26" s="504" customFormat="1" ht="15" customHeight="1" thickTop="1" thickBot="1" x14ac:dyDescent="0.3">
      <c r="A38" s="527"/>
      <c r="B38" s="528" t="s">
        <v>809</v>
      </c>
      <c r="C38" s="529">
        <f>COUNTIF(B$1:B32,B38)</f>
        <v>0</v>
      </c>
      <c r="D38" s="530" t="e">
        <f>C38/C39</f>
        <v>#DIV/0!</v>
      </c>
      <c r="E38" s="531"/>
      <c r="F38" s="532"/>
      <c r="G38" s="533"/>
      <c r="H38" s="533"/>
      <c r="I38" s="534"/>
      <c r="J38" s="535">
        <f>SUMIF(B$2:B32,B38,T$2:T32)</f>
        <v>0</v>
      </c>
      <c r="K38" s="536"/>
      <c r="L38" s="537" t="e">
        <f>J38/J39</f>
        <v>#DIV/0!</v>
      </c>
      <c r="M38" s="538"/>
      <c r="N38" s="538"/>
      <c r="O38" s="538"/>
      <c r="S38" s="511"/>
      <c r="T38" s="512"/>
      <c r="U38" s="512"/>
      <c r="V38" s="512"/>
      <c r="X38" s="513"/>
      <c r="Y38" s="513"/>
    </row>
    <row r="39" spans="1:26" s="504" customFormat="1" ht="15" customHeight="1" x14ac:dyDescent="0.25">
      <c r="A39" s="488"/>
      <c r="B39" s="539"/>
      <c r="C39" s="540">
        <f>SUM(C34:C38)</f>
        <v>0</v>
      </c>
      <c r="D39" s="541"/>
      <c r="E39" s="492"/>
      <c r="F39" s="493"/>
      <c r="G39" s="494"/>
      <c r="H39" s="494"/>
      <c r="I39" s="495"/>
      <c r="J39" s="542">
        <f>SUM(J34:J38)</f>
        <v>0</v>
      </c>
      <c r="K39" s="543"/>
      <c r="L39" s="544"/>
      <c r="M39" s="520"/>
      <c r="N39" s="499"/>
      <c r="O39" s="499"/>
      <c r="S39" s="511"/>
      <c r="T39" s="512"/>
      <c r="U39" s="512"/>
      <c r="V39" s="512"/>
      <c r="X39" s="513"/>
      <c r="Y39" s="513"/>
    </row>
    <row r="40" spans="1:26" s="424" customFormat="1" x14ac:dyDescent="0.25">
      <c r="A40" s="437"/>
      <c r="B40" s="437"/>
      <c r="D40" s="437"/>
      <c r="E40" s="438"/>
      <c r="F40" s="439"/>
      <c r="G40" s="439"/>
      <c r="H40" s="439"/>
      <c r="I40" s="439"/>
      <c r="J40" s="439"/>
      <c r="K40" s="439"/>
      <c r="L40" s="439"/>
      <c r="M40" s="439"/>
      <c r="N40" s="439"/>
      <c r="O40" s="439"/>
      <c r="P40" s="439"/>
      <c r="Q40" s="439"/>
      <c r="R40" s="439"/>
      <c r="S40" s="439"/>
      <c r="T40" s="439"/>
      <c r="U40" s="439"/>
      <c r="V40" s="439"/>
      <c r="W40" s="439"/>
      <c r="X40" s="439"/>
      <c r="Y40" s="439"/>
      <c r="Z40" s="439"/>
    </row>
    <row r="41" spans="1:26" s="424" customFormat="1" x14ac:dyDescent="0.25">
      <c r="A41" s="545" t="s">
        <v>1200</v>
      </c>
    </row>
    <row r="42" spans="1:26" s="424" customFormat="1" ht="17.25" x14ac:dyDescent="0.4">
      <c r="A42" s="426" t="s">
        <v>739</v>
      </c>
      <c r="B42" s="546" t="s">
        <v>740</v>
      </c>
      <c r="C42" s="547"/>
    </row>
    <row r="43" spans="1:26" s="424" customFormat="1" ht="17.25" x14ac:dyDescent="0.4">
      <c r="A43" s="431" t="s">
        <v>1213</v>
      </c>
      <c r="B43" s="548"/>
      <c r="C43" s="547"/>
    </row>
    <row r="44" spans="1:26" s="424" customFormat="1" x14ac:dyDescent="0.25">
      <c r="A44" s="426" t="s">
        <v>769</v>
      </c>
      <c r="B44" s="437">
        <v>0.5</v>
      </c>
      <c r="C44" s="437"/>
    </row>
    <row r="45" spans="1:26" s="424" customFormat="1" x14ac:dyDescent="0.25">
      <c r="A45" s="426" t="s">
        <v>771</v>
      </c>
      <c r="B45" s="437">
        <v>3</v>
      </c>
      <c r="C45" s="437"/>
    </row>
    <row r="46" spans="1:26" s="424" customFormat="1" x14ac:dyDescent="0.25">
      <c r="A46" s="426" t="s">
        <v>772</v>
      </c>
      <c r="B46" s="437"/>
      <c r="C46" s="437"/>
    </row>
    <row r="47" spans="1:26" s="424" customFormat="1" x14ac:dyDescent="0.25">
      <c r="A47" s="426" t="s">
        <v>780</v>
      </c>
      <c r="B47" s="437" t="s">
        <v>781</v>
      </c>
      <c r="C47" s="437"/>
    </row>
    <row r="48" spans="1:26" s="424" customFormat="1" x14ac:dyDescent="0.25">
      <c r="A48" s="437"/>
      <c r="B48" s="437"/>
      <c r="D48" s="437"/>
      <c r="E48" s="438"/>
      <c r="F48" s="439"/>
      <c r="G48" s="439"/>
      <c r="H48" s="439"/>
      <c r="I48" s="439"/>
      <c r="J48" s="439"/>
      <c r="K48" s="439"/>
      <c r="L48" s="439"/>
      <c r="M48" s="439"/>
      <c r="N48" s="439"/>
      <c r="O48" s="439"/>
      <c r="P48" s="439"/>
      <c r="Q48" s="439"/>
      <c r="R48" s="439"/>
      <c r="S48" s="439"/>
      <c r="T48" s="439"/>
      <c r="U48" s="439"/>
      <c r="V48" s="439"/>
      <c r="W48" s="439"/>
      <c r="X48" s="439"/>
      <c r="Y48" s="439"/>
      <c r="Z48" s="439"/>
    </row>
    <row r="49" spans="1:11" s="424" customFormat="1" x14ac:dyDescent="0.25">
      <c r="A49" s="545" t="s">
        <v>1201</v>
      </c>
    </row>
    <row r="50" spans="1:11" s="424" customFormat="1" ht="15.75" thickBot="1" x14ac:dyDescent="0.3">
      <c r="A50" s="851"/>
      <c r="B50" s="546"/>
      <c r="C50" s="953" t="s">
        <v>1263</v>
      </c>
      <c r="D50" s="839"/>
      <c r="E50" s="840" t="s">
        <v>1202</v>
      </c>
      <c r="F50" s="841">
        <f>COUNTA(D$2:D48)</f>
        <v>13</v>
      </c>
      <c r="G50" s="839"/>
      <c r="H50" s="839"/>
      <c r="I50" s="839"/>
    </row>
    <row r="51" spans="1:11" s="424" customFormat="1" ht="15.75" thickBot="1" x14ac:dyDescent="0.3">
      <c r="A51" s="852"/>
      <c r="B51" s="852"/>
      <c r="C51" s="954" t="s">
        <v>1264</v>
      </c>
      <c r="D51" s="842"/>
      <c r="E51" s="840" t="s">
        <v>1203</v>
      </c>
      <c r="F51" s="841">
        <f>F50-I51</f>
        <v>-5</v>
      </c>
      <c r="G51" s="843" t="s">
        <v>1204</v>
      </c>
      <c r="H51" s="844">
        <f>1-F51/F50</f>
        <v>1.3846153846153846</v>
      </c>
      <c r="I51" s="845">
        <f>COUNTIF(A$2:A48,"")</f>
        <v>18</v>
      </c>
      <c r="K51" s="841"/>
    </row>
    <row r="52" spans="1:11" s="424" customFormat="1" x14ac:dyDescent="0.25">
      <c r="A52" s="851"/>
    </row>
    <row r="53" spans="1:11" s="549" customFormat="1" ht="7.5" customHeight="1" x14ac:dyDescent="0.25">
      <c r="D53" s="550"/>
      <c r="E53" s="550"/>
    </row>
    <row r="54" spans="1:11" s="551" customFormat="1" ht="19.5" x14ac:dyDescent="0.3">
      <c r="A54" s="424"/>
      <c r="C54" s="552" t="s">
        <v>825</v>
      </c>
    </row>
    <row r="55" spans="1:11" s="551" customFormat="1" x14ac:dyDescent="0.25"/>
    <row r="56" spans="1:11" s="551" customFormat="1" ht="15.75" thickBot="1" x14ac:dyDescent="0.3">
      <c r="A56" s="551" t="s">
        <v>826</v>
      </c>
    </row>
    <row r="57" spans="1:11" s="551" customFormat="1" ht="17.25" x14ac:dyDescent="0.4">
      <c r="A57" s="975" t="s">
        <v>31</v>
      </c>
      <c r="B57" s="426" t="s">
        <v>739</v>
      </c>
      <c r="C57" s="547" t="s">
        <v>827</v>
      </c>
      <c r="D57" s="553" t="s">
        <v>828</v>
      </c>
      <c r="G57" s="551" t="s">
        <v>829</v>
      </c>
    </row>
    <row r="58" spans="1:11" s="551" customFormat="1" x14ac:dyDescent="0.25">
      <c r="A58" s="976"/>
      <c r="B58" s="431" t="s">
        <v>767</v>
      </c>
      <c r="C58" s="554">
        <v>4240</v>
      </c>
      <c r="D58" s="555" t="str">
        <f>IF(F58="&lt;&lt;ПУСТО&gt;&gt;",E58&amp;ROUND(H58/1000,0),F58&amp;E58&amp;ROUND(H58/1000,0))</f>
        <v>0</v>
      </c>
      <c r="G58" s="551" t="s">
        <v>830</v>
      </c>
    </row>
    <row r="59" spans="1:11" s="551" customFormat="1" x14ac:dyDescent="0.25">
      <c r="A59" s="976"/>
      <c r="B59" s="426" t="s">
        <v>769</v>
      </c>
      <c r="C59" s="556">
        <v>8</v>
      </c>
      <c r="D59" s="556">
        <v>1</v>
      </c>
      <c r="G59" s="551" t="s">
        <v>831</v>
      </c>
    </row>
    <row r="60" spans="1:11" s="551" customFormat="1" x14ac:dyDescent="0.25">
      <c r="A60" s="976"/>
      <c r="B60" s="426" t="s">
        <v>771</v>
      </c>
      <c r="C60" s="556">
        <v>2</v>
      </c>
      <c r="D60" s="556"/>
    </row>
    <row r="61" spans="1:11" s="551" customFormat="1" x14ac:dyDescent="0.25">
      <c r="A61" s="976"/>
      <c r="B61" s="426" t="s">
        <v>772</v>
      </c>
      <c r="C61" s="556"/>
      <c r="D61" s="556"/>
    </row>
    <row r="62" spans="1:11" s="551" customFormat="1" ht="15.75" thickBot="1" x14ac:dyDescent="0.3">
      <c r="A62" s="977"/>
      <c r="B62" s="426" t="s">
        <v>780</v>
      </c>
      <c r="C62" s="556" t="s">
        <v>832</v>
      </c>
      <c r="D62" s="556"/>
      <c r="G62" s="424" t="s">
        <v>833</v>
      </c>
    </row>
    <row r="63" spans="1:11" s="551" customFormat="1" x14ac:dyDescent="0.25"/>
    <row r="64" spans="1:11" s="551" customFormat="1" ht="15.75" thickBot="1" x14ac:dyDescent="0.3">
      <c r="A64" s="551" t="s">
        <v>834</v>
      </c>
    </row>
    <row r="65" spans="1:8" s="551" customFormat="1" x14ac:dyDescent="0.25">
      <c r="A65" s="557">
        <f>(SUMIF(A$2:A62,"",F$2:F62)-F65)/1000000</f>
        <v>7.9999999999999996E-6</v>
      </c>
      <c r="B65" s="558"/>
      <c r="C65" s="559" t="s">
        <v>60</v>
      </c>
      <c r="E65" s="560" t="s">
        <v>835</v>
      </c>
      <c r="F65" s="561">
        <f>SUMIF(I$54:I59,"Наталья Константиновна Лидер",F$54:F59)</f>
        <v>0</v>
      </c>
    </row>
    <row r="66" spans="1:8" s="551" customFormat="1" ht="15.75" thickBot="1" x14ac:dyDescent="0.3">
      <c r="A66" s="562">
        <f>COUNTIF(A$2:A62,"")-F66</f>
        <v>29</v>
      </c>
      <c r="B66" s="558"/>
      <c r="C66" s="559" t="s">
        <v>836</v>
      </c>
      <c r="E66" s="563"/>
      <c r="F66" s="564">
        <f>COUNTIF(I$54:I67,"Наталья Константиновна Лидер")</f>
        <v>0</v>
      </c>
    </row>
    <row r="67" spans="1:8" s="551" customFormat="1" x14ac:dyDescent="0.25"/>
    <row r="68" spans="1:8" s="551" customFormat="1" x14ac:dyDescent="0.25">
      <c r="A68" s="551" t="s">
        <v>837</v>
      </c>
    </row>
    <row r="69" spans="1:8" s="551" customFormat="1" ht="15.75" thickBot="1" x14ac:dyDescent="0.3">
      <c r="B69" s="551" t="s">
        <v>838</v>
      </c>
    </row>
    <row r="70" spans="1:8" s="551" customFormat="1" ht="17.25" x14ac:dyDescent="0.4">
      <c r="A70" s="975" t="s">
        <v>40</v>
      </c>
      <c r="B70" s="426" t="s">
        <v>739</v>
      </c>
      <c r="C70" s="547" t="s">
        <v>827</v>
      </c>
      <c r="D70" s="547" t="s">
        <v>839</v>
      </c>
      <c r="G70" s="551" t="s">
        <v>829</v>
      </c>
    </row>
    <row r="71" spans="1:8" s="551" customFormat="1" x14ac:dyDescent="0.25">
      <c r="A71" s="976"/>
      <c r="B71" s="431" t="s">
        <v>1213</v>
      </c>
      <c r="C71" s="548">
        <f>O71</f>
        <v>0</v>
      </c>
      <c r="D71" s="565" t="str">
        <f>IF(G71="",F71,G71&amp;"/"&amp;F71)</f>
        <v>Match=&lt;номер строки Договора1С&gt;/</v>
      </c>
      <c r="G71" s="551" t="s">
        <v>840</v>
      </c>
    </row>
    <row r="72" spans="1:8" s="551" customFormat="1" x14ac:dyDescent="0.25">
      <c r="A72" s="976"/>
      <c r="B72" s="426" t="s">
        <v>769</v>
      </c>
      <c r="C72" s="551">
        <v>10</v>
      </c>
      <c r="D72" s="556">
        <v>1</v>
      </c>
      <c r="F72" s="566" t="str">
        <f>"/=""Не состоялся"":"&amp;F73</f>
        <v>/="Не состоялся":/="Договор расторгнут"</v>
      </c>
      <c r="G72" s="551" t="s">
        <v>841</v>
      </c>
    </row>
    <row r="73" spans="1:8" s="424" customFormat="1" x14ac:dyDescent="0.25">
      <c r="A73" s="976"/>
      <c r="B73" s="426" t="s">
        <v>771</v>
      </c>
      <c r="C73" s="437">
        <v>2</v>
      </c>
      <c r="D73" s="437"/>
      <c r="F73" s="567" t="s">
        <v>842</v>
      </c>
    </row>
    <row r="74" spans="1:8" s="424" customFormat="1" x14ac:dyDescent="0.25">
      <c r="A74" s="976"/>
      <c r="B74" s="426" t="s">
        <v>772</v>
      </c>
      <c r="C74" s="437"/>
      <c r="D74" s="437"/>
    </row>
    <row r="75" spans="1:8" s="424" customFormat="1" ht="15.75" thickBot="1" x14ac:dyDescent="0.3">
      <c r="A75" s="977"/>
      <c r="B75" s="426" t="s">
        <v>780</v>
      </c>
      <c r="C75" s="437" t="s">
        <v>843</v>
      </c>
      <c r="D75" s="437"/>
      <c r="F75" s="556" t="str">
        <f>"10/="""":"&amp;F72</f>
        <v>10/="":/="Не состоялся":/="Договор расторгнут"</v>
      </c>
      <c r="G75" s="424" t="s">
        <v>844</v>
      </c>
    </row>
    <row r="76" spans="1:8" s="551" customFormat="1" x14ac:dyDescent="0.25">
      <c r="E76" s="424"/>
      <c r="H76" s="424"/>
    </row>
    <row r="77" spans="1:8" s="551" customFormat="1" x14ac:dyDescent="0.25">
      <c r="A77" s="551" t="s">
        <v>845</v>
      </c>
      <c r="E77" s="424"/>
      <c r="H77" s="424"/>
    </row>
    <row r="78" spans="1:8" s="551" customFormat="1" ht="15.75" thickBot="1" x14ac:dyDescent="0.3">
      <c r="B78" s="551" t="s">
        <v>846</v>
      </c>
    </row>
    <row r="79" spans="1:8" s="551" customFormat="1" ht="15.75" thickBot="1" x14ac:dyDescent="0.3">
      <c r="A79" s="568">
        <f>COUNTIF(A$2:A73,"")-COUNTIF(M$2:M70,"Не состоялся")-COUNTIF(M$2:M70,"Договор расторгнут")</f>
        <v>35</v>
      </c>
      <c r="B79" s="558"/>
    </row>
    <row r="80" spans="1:8" s="551" customFormat="1" x14ac:dyDescent="0.25">
      <c r="B80" s="558"/>
    </row>
    <row r="81" spans="1:38" s="551" customFormat="1" x14ac:dyDescent="0.25">
      <c r="A81" s="551" t="s">
        <v>847</v>
      </c>
    </row>
    <row r="82" spans="1:38" s="551" customFormat="1" x14ac:dyDescent="0.25">
      <c r="A82" s="569" t="s">
        <v>848</v>
      </c>
      <c r="B82" s="569" t="s">
        <v>849</v>
      </c>
      <c r="C82" s="569" t="s">
        <v>850</v>
      </c>
      <c r="D82" s="569" t="s">
        <v>851</v>
      </c>
      <c r="E82" s="569" t="s">
        <v>852</v>
      </c>
      <c r="F82" s="569" t="s">
        <v>853</v>
      </c>
      <c r="G82" s="569" t="s">
        <v>854</v>
      </c>
      <c r="H82" s="569" t="s">
        <v>855</v>
      </c>
      <c r="I82" s="569" t="s">
        <v>856</v>
      </c>
    </row>
    <row r="83" spans="1:38" s="551" customFormat="1" x14ac:dyDescent="0.25">
      <c r="A83" s="551" t="s">
        <v>857</v>
      </c>
      <c r="B83" s="551" t="s">
        <v>858</v>
      </c>
      <c r="D83" s="556" t="s">
        <v>57</v>
      </c>
      <c r="E83" s="556">
        <v>1</v>
      </c>
      <c r="F83" s="551" t="s">
        <v>859</v>
      </c>
      <c r="G83" s="551" t="s">
        <v>860</v>
      </c>
      <c r="H83" s="551" t="s">
        <v>31</v>
      </c>
      <c r="I83" s="551" t="s">
        <v>861</v>
      </c>
    </row>
    <row r="84" spans="1:38" s="549" customFormat="1" ht="7.5" customHeight="1" x14ac:dyDescent="0.25">
      <c r="D84" s="550"/>
      <c r="E84" s="550"/>
    </row>
    <row r="85" spans="1:38" s="551" customFormat="1" ht="19.5" x14ac:dyDescent="0.3">
      <c r="A85" s="424"/>
      <c r="C85" s="552" t="s">
        <v>862</v>
      </c>
      <c r="I85" s="551">
        <f>C91</f>
        <v>5</v>
      </c>
    </row>
    <row r="86" spans="1:38" s="424" customFormat="1" x14ac:dyDescent="0.25"/>
    <row r="87" spans="1:38" s="424" customFormat="1" x14ac:dyDescent="0.25">
      <c r="A87" s="424" t="s">
        <v>863</v>
      </c>
    </row>
    <row r="88" spans="1:38" s="424" customFormat="1" ht="25.5" x14ac:dyDescent="0.25">
      <c r="A88" s="426" t="s">
        <v>739</v>
      </c>
      <c r="B88" s="570" t="s">
        <v>864</v>
      </c>
      <c r="C88" s="570" t="s">
        <v>865</v>
      </c>
      <c r="D88" s="571" t="s">
        <v>866</v>
      </c>
      <c r="E88" s="572" t="s">
        <v>867</v>
      </c>
      <c r="F88" s="573" t="s">
        <v>868</v>
      </c>
      <c r="G88" s="570" t="s">
        <v>108</v>
      </c>
      <c r="H88" s="570" t="s">
        <v>798</v>
      </c>
      <c r="I88" s="570" t="s">
        <v>869</v>
      </c>
      <c r="J88" s="570" t="s">
        <v>757</v>
      </c>
      <c r="L88" s="574" t="s">
        <v>870</v>
      </c>
      <c r="M88" s="575" t="s">
        <v>871</v>
      </c>
      <c r="N88" s="576"/>
      <c r="O88" s="577" t="s">
        <v>101</v>
      </c>
      <c r="P88" s="578" t="s">
        <v>872</v>
      </c>
      <c r="Q88" s="577" t="s">
        <v>105</v>
      </c>
      <c r="R88" s="577" t="s">
        <v>51</v>
      </c>
      <c r="S88" s="577" t="s">
        <v>108</v>
      </c>
      <c r="T88" s="579" t="s">
        <v>110</v>
      </c>
      <c r="U88" s="580" t="s">
        <v>873</v>
      </c>
      <c r="V88" s="581" t="s">
        <v>874</v>
      </c>
      <c r="W88" s="577" t="s">
        <v>875</v>
      </c>
      <c r="X88" s="582" t="s">
        <v>93</v>
      </c>
      <c r="Y88" s="583" t="s">
        <v>93</v>
      </c>
      <c r="Z88" s="583" t="s">
        <v>93</v>
      </c>
      <c r="AA88" s="583" t="s">
        <v>93</v>
      </c>
      <c r="AB88" s="577" t="s">
        <v>93</v>
      </c>
      <c r="AC88" s="577" t="s">
        <v>876</v>
      </c>
      <c r="AD88" s="577" t="s">
        <v>93</v>
      </c>
      <c r="AE88" s="577"/>
      <c r="AF88" s="577" t="s">
        <v>93</v>
      </c>
      <c r="AG88" s="584" t="s">
        <v>877</v>
      </c>
      <c r="AH88" s="585" t="s">
        <v>93</v>
      </c>
      <c r="AI88" s="577" t="s">
        <v>93</v>
      </c>
      <c r="AJ88" s="577" t="s">
        <v>93</v>
      </c>
      <c r="AK88" s="586" t="s">
        <v>878</v>
      </c>
      <c r="AL88" s="587"/>
    </row>
    <row r="89" spans="1:38" s="424" customFormat="1" x14ac:dyDescent="0.25">
      <c r="A89" s="431" t="s">
        <v>1213</v>
      </c>
      <c r="B89" s="588"/>
      <c r="C89" s="589"/>
      <c r="D89" s="590">
        <v>41367</v>
      </c>
      <c r="E89" s="591" t="s">
        <v>879</v>
      </c>
      <c r="F89" s="592">
        <f>T89</f>
        <v>0</v>
      </c>
      <c r="G89" s="437"/>
      <c r="H89" s="438"/>
    </row>
    <row r="90" spans="1:38" s="424" customFormat="1" x14ac:dyDescent="0.25">
      <c r="A90" s="426" t="s">
        <v>769</v>
      </c>
      <c r="B90" s="437">
        <v>1</v>
      </c>
      <c r="C90" s="437">
        <v>5</v>
      </c>
      <c r="D90" s="437">
        <v>8</v>
      </c>
      <c r="E90" s="437">
        <v>13</v>
      </c>
      <c r="F90" s="437">
        <v>14</v>
      </c>
      <c r="G90" s="437">
        <v>11</v>
      </c>
      <c r="H90" s="438">
        <v>20</v>
      </c>
      <c r="I90" s="439">
        <v>15</v>
      </c>
      <c r="J90" s="439">
        <v>10</v>
      </c>
      <c r="K90" s="439">
        <v>6</v>
      </c>
      <c r="L90" s="439">
        <v>6</v>
      </c>
      <c r="M90" s="439">
        <v>10</v>
      </c>
      <c r="N90" s="439">
        <v>1</v>
      </c>
      <c r="O90" s="439">
        <v>45</v>
      </c>
      <c r="P90" s="439"/>
      <c r="Q90" s="439">
        <v>13</v>
      </c>
      <c r="R90" s="439">
        <v>16</v>
      </c>
      <c r="S90" s="439">
        <v>10</v>
      </c>
      <c r="T90" s="439">
        <v>10</v>
      </c>
      <c r="U90" s="439">
        <v>10</v>
      </c>
      <c r="V90" s="439">
        <v>10</v>
      </c>
      <c r="W90" s="439">
        <v>10</v>
      </c>
      <c r="X90" s="439">
        <v>10</v>
      </c>
      <c r="Y90" s="439">
        <v>0</v>
      </c>
      <c r="Z90" s="439">
        <v>0</v>
      </c>
      <c r="AA90" s="439">
        <v>0</v>
      </c>
      <c r="AB90" s="439">
        <v>0</v>
      </c>
      <c r="AC90" s="439">
        <v>0</v>
      </c>
      <c r="AD90" s="439">
        <v>0</v>
      </c>
      <c r="AE90" s="439"/>
      <c r="AF90" s="439">
        <v>0</v>
      </c>
      <c r="AG90" s="439">
        <v>0</v>
      </c>
      <c r="AH90" s="439">
        <v>0</v>
      </c>
      <c r="AI90" s="439">
        <v>0</v>
      </c>
      <c r="AJ90" s="439">
        <v>0</v>
      </c>
      <c r="AK90" s="439">
        <v>0</v>
      </c>
      <c r="AL90" s="439">
        <v>0</v>
      </c>
    </row>
    <row r="91" spans="1:38" s="424" customFormat="1" x14ac:dyDescent="0.25">
      <c r="A91" s="426" t="s">
        <v>771</v>
      </c>
      <c r="B91" s="437">
        <v>5</v>
      </c>
      <c r="C91" s="437">
        <v>5</v>
      </c>
      <c r="D91" s="437" t="s">
        <v>880</v>
      </c>
      <c r="E91" s="437">
        <v>5</v>
      </c>
      <c r="F91" s="437"/>
      <c r="G91" s="437">
        <v>5</v>
      </c>
      <c r="H91" s="424">
        <v>5</v>
      </c>
      <c r="I91" s="424">
        <v>1</v>
      </c>
      <c r="J91" s="437">
        <v>1</v>
      </c>
      <c r="K91" s="438">
        <v>-1</v>
      </c>
      <c r="L91" s="437"/>
      <c r="O91" s="437"/>
      <c r="P91" s="437"/>
      <c r="Q91" s="439"/>
      <c r="R91" s="439"/>
      <c r="S91" s="439"/>
      <c r="T91" s="439"/>
      <c r="U91" s="439"/>
      <c r="V91" s="439"/>
      <c r="W91" s="439"/>
      <c r="X91" s="439"/>
      <c r="Y91" s="439"/>
      <c r="Z91" s="440"/>
      <c r="AA91" s="439"/>
      <c r="AB91" s="439"/>
      <c r="AC91" s="439"/>
      <c r="AD91" s="439"/>
      <c r="AE91" s="439"/>
      <c r="AF91" s="439"/>
      <c r="AG91" s="439"/>
    </row>
    <row r="92" spans="1:38" s="424" customFormat="1" x14ac:dyDescent="0.25">
      <c r="A92" s="426" t="s">
        <v>772</v>
      </c>
      <c r="B92" s="437"/>
      <c r="C92" s="437"/>
      <c r="D92" s="437"/>
      <c r="E92" s="437"/>
      <c r="F92" s="437"/>
      <c r="G92" s="437"/>
      <c r="J92" s="437"/>
      <c r="K92" s="438"/>
      <c r="L92" s="437"/>
      <c r="O92" s="437" t="s">
        <v>881</v>
      </c>
      <c r="P92" s="437"/>
      <c r="Q92" s="439"/>
      <c r="R92" s="439"/>
      <c r="S92" s="439"/>
      <c r="T92" s="439"/>
      <c r="U92" s="439"/>
      <c r="V92" s="439"/>
      <c r="W92" s="439"/>
      <c r="X92" s="439"/>
      <c r="Y92" s="439"/>
      <c r="Z92" s="440"/>
      <c r="AA92" s="439"/>
      <c r="AB92" s="439"/>
      <c r="AC92" s="439"/>
      <c r="AD92" s="439"/>
      <c r="AE92" s="439"/>
      <c r="AF92" s="439"/>
      <c r="AG92" s="439"/>
    </row>
    <row r="93" spans="1:38" s="424" customFormat="1" x14ac:dyDescent="0.25">
      <c r="A93" s="426" t="s">
        <v>780</v>
      </c>
      <c r="B93" s="437" t="s">
        <v>882</v>
      </c>
      <c r="C93" s="437" t="s">
        <v>883</v>
      </c>
      <c r="D93" s="448" t="s">
        <v>884</v>
      </c>
      <c r="E93" s="448" t="s">
        <v>885</v>
      </c>
      <c r="F93" s="448"/>
      <c r="G93" s="437" t="s">
        <v>886</v>
      </c>
      <c r="H93" s="593" t="s">
        <v>887</v>
      </c>
      <c r="I93" s="437" t="s">
        <v>888</v>
      </c>
      <c r="J93" s="437" t="s">
        <v>889</v>
      </c>
      <c r="K93" s="437"/>
      <c r="L93" s="437"/>
      <c r="O93" s="437"/>
      <c r="P93" s="437"/>
      <c r="Q93" s="439"/>
      <c r="R93" s="439"/>
      <c r="S93" s="439"/>
      <c r="T93" s="439"/>
      <c r="U93" s="439"/>
      <c r="V93" s="439"/>
      <c r="W93" s="439"/>
      <c r="X93" s="439"/>
      <c r="Y93" s="439"/>
      <c r="Z93" s="440"/>
      <c r="AA93" s="439"/>
      <c r="AB93" s="439"/>
      <c r="AC93" s="439"/>
      <c r="AD93" s="439"/>
      <c r="AE93" s="439"/>
      <c r="AF93" s="439"/>
      <c r="AG93" s="439"/>
    </row>
    <row r="94" spans="1:38" s="424" customFormat="1" x14ac:dyDescent="0.25">
      <c r="N94" s="424" t="s">
        <v>890</v>
      </c>
    </row>
    <row r="95" spans="1:38" s="424" customFormat="1" x14ac:dyDescent="0.25">
      <c r="A95" s="424" t="s">
        <v>891</v>
      </c>
    </row>
    <row r="96" spans="1:38" s="424" customFormat="1" ht="25.5" x14ac:dyDescent="0.25">
      <c r="A96" s="426" t="s">
        <v>739</v>
      </c>
      <c r="B96" s="570" t="s">
        <v>864</v>
      </c>
      <c r="C96" s="570" t="s">
        <v>865</v>
      </c>
      <c r="D96" s="571" t="s">
        <v>866</v>
      </c>
      <c r="E96" s="572" t="s">
        <v>867</v>
      </c>
      <c r="F96" s="573" t="s">
        <v>868</v>
      </c>
      <c r="G96" s="570" t="s">
        <v>108</v>
      </c>
      <c r="H96" s="570" t="s">
        <v>798</v>
      </c>
      <c r="I96" s="570" t="s">
        <v>869</v>
      </c>
      <c r="J96" s="570" t="s">
        <v>757</v>
      </c>
      <c r="L96" s="574" t="s">
        <v>870</v>
      </c>
      <c r="M96" s="575" t="s">
        <v>871</v>
      </c>
      <c r="N96" s="576"/>
      <c r="O96" s="577" t="s">
        <v>101</v>
      </c>
      <c r="P96" s="578" t="s">
        <v>872</v>
      </c>
      <c r="Q96" s="577" t="s">
        <v>105</v>
      </c>
      <c r="R96" s="577" t="s">
        <v>51</v>
      </c>
      <c r="S96" s="577" t="s">
        <v>108</v>
      </c>
      <c r="T96" s="579" t="s">
        <v>110</v>
      </c>
      <c r="U96" s="580" t="s">
        <v>873</v>
      </c>
      <c r="V96" s="581" t="s">
        <v>874</v>
      </c>
      <c r="W96" s="577" t="s">
        <v>875</v>
      </c>
      <c r="X96" s="582" t="s">
        <v>93</v>
      </c>
      <c r="Y96" s="583" t="s">
        <v>93</v>
      </c>
      <c r="Z96" s="583" t="s">
        <v>93</v>
      </c>
      <c r="AA96" s="583" t="s">
        <v>93</v>
      </c>
      <c r="AB96" s="577" t="s">
        <v>93</v>
      </c>
      <c r="AC96" s="577" t="s">
        <v>876</v>
      </c>
      <c r="AD96" s="577" t="s">
        <v>93</v>
      </c>
      <c r="AE96" s="577"/>
      <c r="AF96" s="577" t="s">
        <v>93</v>
      </c>
      <c r="AG96" s="584" t="s">
        <v>877</v>
      </c>
      <c r="AH96" s="585" t="s">
        <v>93</v>
      </c>
      <c r="AI96" s="577" t="s">
        <v>93</v>
      </c>
      <c r="AJ96" s="577" t="s">
        <v>93</v>
      </c>
      <c r="AK96" s="586" t="s">
        <v>878</v>
      </c>
      <c r="AL96" s="587"/>
    </row>
    <row r="97" spans="1:38" s="424" customFormat="1" x14ac:dyDescent="0.25">
      <c r="A97" s="431" t="s">
        <v>1213</v>
      </c>
      <c r="B97" s="588"/>
      <c r="C97" s="589"/>
      <c r="D97" s="590">
        <v>41367</v>
      </c>
      <c r="E97" s="591" t="s">
        <v>879</v>
      </c>
      <c r="F97" s="592">
        <f>T97</f>
        <v>0</v>
      </c>
      <c r="G97" s="437"/>
      <c r="H97" s="438"/>
    </row>
    <row r="98" spans="1:38" s="424" customFormat="1" x14ac:dyDescent="0.25">
      <c r="A98" s="426" t="s">
        <v>769</v>
      </c>
      <c r="B98" s="437">
        <v>1</v>
      </c>
      <c r="C98" s="437">
        <v>5</v>
      </c>
      <c r="D98" s="437">
        <v>8</v>
      </c>
      <c r="E98" s="437">
        <v>13</v>
      </c>
      <c r="F98" s="437">
        <v>14</v>
      </c>
      <c r="G98" s="437">
        <v>11</v>
      </c>
      <c r="H98" s="438">
        <v>20</v>
      </c>
      <c r="I98" s="439">
        <v>15</v>
      </c>
      <c r="J98" s="439">
        <v>10</v>
      </c>
      <c r="K98" s="439">
        <v>6</v>
      </c>
      <c r="L98" s="439">
        <v>6</v>
      </c>
      <c r="M98" s="439">
        <v>10</v>
      </c>
      <c r="N98" s="439">
        <v>1</v>
      </c>
      <c r="O98" s="439">
        <v>45</v>
      </c>
      <c r="P98" s="439"/>
      <c r="Q98" s="439">
        <v>13</v>
      </c>
      <c r="R98" s="439">
        <v>16</v>
      </c>
      <c r="S98" s="439">
        <v>10</v>
      </c>
      <c r="T98" s="439">
        <v>10</v>
      </c>
      <c r="U98" s="439">
        <v>10</v>
      </c>
      <c r="V98" s="439">
        <v>10</v>
      </c>
      <c r="W98" s="439">
        <v>10</v>
      </c>
      <c r="X98" s="439">
        <v>10</v>
      </c>
      <c r="Y98" s="439">
        <v>0</v>
      </c>
      <c r="Z98" s="439">
        <v>0</v>
      </c>
      <c r="AA98" s="439">
        <v>0</v>
      </c>
      <c r="AB98" s="439">
        <v>0</v>
      </c>
      <c r="AC98" s="439">
        <v>0</v>
      </c>
      <c r="AD98" s="439">
        <v>0</v>
      </c>
      <c r="AE98" s="439"/>
      <c r="AF98" s="439">
        <v>0</v>
      </c>
      <c r="AG98" s="439">
        <v>0</v>
      </c>
      <c r="AH98" s="439">
        <v>0</v>
      </c>
      <c r="AI98" s="439">
        <v>0</v>
      </c>
      <c r="AJ98" s="439">
        <v>0</v>
      </c>
      <c r="AK98" s="439">
        <v>0</v>
      </c>
      <c r="AL98" s="439">
        <v>0</v>
      </c>
    </row>
    <row r="99" spans="1:38" s="424" customFormat="1" x14ac:dyDescent="0.25">
      <c r="A99" s="426" t="s">
        <v>771</v>
      </c>
      <c r="B99" s="437">
        <v>5</v>
      </c>
      <c r="C99" s="437">
        <v>5</v>
      </c>
      <c r="D99" s="437" t="s">
        <v>880</v>
      </c>
      <c r="E99" s="437">
        <v>5</v>
      </c>
      <c r="F99" s="437"/>
      <c r="G99" s="437">
        <v>5</v>
      </c>
      <c r="H99" s="424">
        <v>5</v>
      </c>
      <c r="I99" s="424">
        <v>1</v>
      </c>
      <c r="J99" s="437">
        <v>1</v>
      </c>
      <c r="K99" s="438">
        <v>-1</v>
      </c>
      <c r="L99" s="437"/>
      <c r="O99" s="437"/>
      <c r="P99" s="437"/>
      <c r="Q99" s="439"/>
      <c r="R99" s="439"/>
      <c r="S99" s="439"/>
      <c r="T99" s="439"/>
      <c r="U99" s="439"/>
      <c r="V99" s="439"/>
      <c r="W99" s="439"/>
      <c r="X99" s="439"/>
      <c r="Y99" s="439"/>
      <c r="Z99" s="440"/>
      <c r="AA99" s="439"/>
      <c r="AB99" s="439"/>
      <c r="AC99" s="439"/>
      <c r="AD99" s="439"/>
      <c r="AE99" s="439"/>
      <c r="AF99" s="439"/>
      <c r="AG99" s="439"/>
    </row>
    <row r="100" spans="1:38" s="424" customFormat="1" x14ac:dyDescent="0.25">
      <c r="A100" s="426" t="s">
        <v>772</v>
      </c>
      <c r="B100" s="437"/>
      <c r="C100" s="437"/>
      <c r="D100" s="437"/>
      <c r="E100" s="437"/>
      <c r="F100" s="437"/>
      <c r="G100" s="437"/>
      <c r="J100" s="437"/>
      <c r="K100" s="438"/>
      <c r="L100" s="437"/>
      <c r="O100" s="437" t="s">
        <v>881</v>
      </c>
      <c r="P100" s="437"/>
      <c r="Q100" s="439"/>
      <c r="R100" s="439"/>
      <c r="S100" s="439"/>
      <c r="T100" s="439"/>
      <c r="U100" s="439"/>
      <c r="V100" s="439"/>
      <c r="W100" s="439"/>
      <c r="X100" s="439"/>
      <c r="Y100" s="439"/>
      <c r="Z100" s="440"/>
      <c r="AA100" s="439"/>
      <c r="AB100" s="439"/>
      <c r="AC100" s="439"/>
      <c r="AD100" s="439"/>
      <c r="AE100" s="439"/>
      <c r="AF100" s="439"/>
      <c r="AG100" s="439"/>
    </row>
    <row r="101" spans="1:38" s="424" customFormat="1" x14ac:dyDescent="0.25">
      <c r="A101" s="426" t="s">
        <v>780</v>
      </c>
      <c r="B101" s="437" t="s">
        <v>882</v>
      </c>
      <c r="C101" s="437" t="s">
        <v>883</v>
      </c>
      <c r="D101" s="448" t="s">
        <v>884</v>
      </c>
      <c r="E101" s="448" t="s">
        <v>885</v>
      </c>
      <c r="F101" s="448"/>
      <c r="G101" s="437" t="s">
        <v>886</v>
      </c>
      <c r="H101" s="593" t="s">
        <v>887</v>
      </c>
      <c r="I101" s="437" t="s">
        <v>888</v>
      </c>
      <c r="J101" s="437" t="s">
        <v>889</v>
      </c>
      <c r="K101" s="437"/>
      <c r="L101" s="437"/>
      <c r="O101" s="437"/>
      <c r="P101" s="437"/>
      <c r="Q101" s="439"/>
      <c r="R101" s="439"/>
      <c r="S101" s="439"/>
      <c r="T101" s="439"/>
      <c r="U101" s="439"/>
      <c r="V101" s="439"/>
      <c r="W101" s="439"/>
      <c r="X101" s="439"/>
      <c r="Y101" s="439"/>
      <c r="Z101" s="440"/>
      <c r="AA101" s="439"/>
      <c r="AB101" s="439"/>
      <c r="AC101" s="439"/>
      <c r="AD101" s="439"/>
      <c r="AE101" s="439"/>
      <c r="AF101" s="439"/>
      <c r="AG101" s="439"/>
    </row>
    <row r="102" spans="1:38" s="424" customFormat="1" x14ac:dyDescent="0.25">
      <c r="N102" s="424" t="s">
        <v>890</v>
      </c>
    </row>
    <row r="103" spans="1:38" s="424" customFormat="1" ht="15.75" thickBot="1" x14ac:dyDescent="0.3">
      <c r="A103" s="424" t="s">
        <v>892</v>
      </c>
      <c r="F103" s="424">
        <v>5</v>
      </c>
      <c r="I103" s="424">
        <v>8</v>
      </c>
      <c r="P103" s="424">
        <v>10</v>
      </c>
      <c r="T103" s="424">
        <v>14</v>
      </c>
    </row>
    <row r="104" spans="1:38" s="424" customFormat="1" ht="75" x14ac:dyDescent="0.25">
      <c r="A104" s="594" t="s">
        <v>82</v>
      </c>
      <c r="B104" s="595" t="s">
        <v>893</v>
      </c>
      <c r="C104" s="570" t="s">
        <v>742</v>
      </c>
      <c r="D104" s="570" t="s">
        <v>894</v>
      </c>
      <c r="E104" s="570" t="s">
        <v>895</v>
      </c>
      <c r="F104" s="570" t="s">
        <v>108</v>
      </c>
      <c r="G104" s="570" t="s">
        <v>864</v>
      </c>
      <c r="H104" s="570" t="s">
        <v>869</v>
      </c>
      <c r="I104" s="570" t="s">
        <v>405</v>
      </c>
      <c r="J104" s="570" t="s">
        <v>757</v>
      </c>
      <c r="K104" s="570"/>
      <c r="L104" s="570"/>
      <c r="M104" s="570" t="s">
        <v>896</v>
      </c>
      <c r="N104" s="596" t="s">
        <v>125</v>
      </c>
      <c r="O104" s="570" t="s">
        <v>897</v>
      </c>
      <c r="P104" s="570" t="s">
        <v>898</v>
      </c>
      <c r="Q104" s="597" t="s">
        <v>899</v>
      </c>
      <c r="R104" s="597" t="s">
        <v>89</v>
      </c>
      <c r="S104" s="598" t="s">
        <v>91</v>
      </c>
      <c r="T104" s="597" t="s">
        <v>97</v>
      </c>
      <c r="U104" s="599" t="s">
        <v>93</v>
      </c>
      <c r="V104" s="599" t="s">
        <v>95</v>
      </c>
      <c r="W104" s="599" t="s">
        <v>900</v>
      </c>
      <c r="X104" s="599" t="s">
        <v>901</v>
      </c>
      <c r="Y104" s="599" t="s">
        <v>902</v>
      </c>
    </row>
    <row r="105" spans="1:38" s="424" customFormat="1" x14ac:dyDescent="0.25">
      <c r="A105" s="600"/>
      <c r="B105" s="431" t="s">
        <v>1213</v>
      </c>
      <c r="D105" s="601"/>
      <c r="M105" s="438"/>
      <c r="N105" s="433"/>
      <c r="O105" s="434"/>
      <c r="P105" s="434"/>
      <c r="Q105" s="437" t="s">
        <v>768</v>
      </c>
      <c r="R105" s="437" t="s">
        <v>768</v>
      </c>
      <c r="S105" s="437" t="s">
        <v>768</v>
      </c>
      <c r="T105" s="437" t="s">
        <v>768</v>
      </c>
      <c r="U105" s="437" t="s">
        <v>768</v>
      </c>
      <c r="V105" s="437" t="s">
        <v>768</v>
      </c>
      <c r="W105" s="437" t="s">
        <v>768</v>
      </c>
      <c r="X105" s="437" t="s">
        <v>768</v>
      </c>
      <c r="Y105" s="437" t="s">
        <v>768</v>
      </c>
    </row>
    <row r="106" spans="1:38" s="424" customFormat="1" x14ac:dyDescent="0.25">
      <c r="A106" s="600"/>
      <c r="B106" s="426" t="s">
        <v>769</v>
      </c>
      <c r="C106" s="437">
        <v>9</v>
      </c>
      <c r="D106" s="437">
        <v>5</v>
      </c>
      <c r="E106" s="437">
        <v>22</v>
      </c>
      <c r="F106" s="437">
        <v>10</v>
      </c>
      <c r="G106" s="437">
        <v>1</v>
      </c>
      <c r="H106" s="437">
        <v>15</v>
      </c>
      <c r="I106" s="437">
        <v>10</v>
      </c>
      <c r="J106" s="437">
        <v>8</v>
      </c>
      <c r="K106" s="437">
        <v>1</v>
      </c>
      <c r="L106" s="437">
        <v>1</v>
      </c>
      <c r="M106" s="437">
        <v>12</v>
      </c>
      <c r="N106" s="437">
        <v>14</v>
      </c>
      <c r="O106" s="437">
        <v>12</v>
      </c>
      <c r="P106" s="437">
        <v>8</v>
      </c>
      <c r="Q106" s="437">
        <v>47</v>
      </c>
      <c r="R106" s="437">
        <v>44</v>
      </c>
      <c r="S106" s="437">
        <v>8</v>
      </c>
      <c r="T106" s="437">
        <v>44</v>
      </c>
      <c r="U106" s="437">
        <v>9</v>
      </c>
      <c r="V106" s="437">
        <v>25</v>
      </c>
      <c r="W106" s="437">
        <v>22</v>
      </c>
      <c r="X106" s="437">
        <v>0</v>
      </c>
      <c r="Y106" s="439">
        <v>0</v>
      </c>
    </row>
    <row r="107" spans="1:38" s="424" customFormat="1" x14ac:dyDescent="0.25">
      <c r="A107" s="600"/>
      <c r="B107" s="426" t="s">
        <v>771</v>
      </c>
      <c r="C107" s="437">
        <v>15</v>
      </c>
      <c r="D107" s="437">
        <v>19</v>
      </c>
      <c r="E107" s="437">
        <v>2</v>
      </c>
      <c r="G107" s="424">
        <v>-1</v>
      </c>
      <c r="M107" s="437"/>
      <c r="N107" s="437"/>
      <c r="O107" s="437"/>
      <c r="P107" s="437"/>
      <c r="T107" s="437"/>
      <c r="U107" s="439"/>
      <c r="V107" s="439"/>
      <c r="W107" s="439"/>
      <c r="X107" s="439"/>
      <c r="Y107" s="439"/>
    </row>
    <row r="108" spans="1:38" s="424" customFormat="1" ht="30" x14ac:dyDescent="0.25">
      <c r="A108" s="600"/>
      <c r="B108" s="426" t="s">
        <v>772</v>
      </c>
      <c r="C108" s="437" t="s">
        <v>903</v>
      </c>
      <c r="D108" s="602" t="s">
        <v>904</v>
      </c>
      <c r="E108" s="603" t="s">
        <v>905</v>
      </c>
      <c r="G108" s="437"/>
      <c r="M108" s="437"/>
      <c r="N108" s="437"/>
      <c r="O108" s="437"/>
      <c r="P108" s="437"/>
      <c r="Q108" s="437"/>
      <c r="T108" s="437"/>
      <c r="U108" s="439"/>
      <c r="V108" s="439"/>
      <c r="W108" s="439"/>
      <c r="X108" s="439"/>
      <c r="Y108" s="439"/>
      <c r="Z108" s="439"/>
      <c r="AA108" s="439"/>
      <c r="AB108" s="439"/>
      <c r="AC108" s="439"/>
      <c r="AD108" s="440"/>
      <c r="AE108" s="440"/>
      <c r="AF108" s="439"/>
      <c r="AG108" s="439"/>
      <c r="AH108" s="439"/>
      <c r="AI108" s="439"/>
      <c r="AJ108" s="439"/>
      <c r="AK108" s="439"/>
    </row>
    <row r="109" spans="1:38" s="424" customFormat="1" x14ac:dyDescent="0.25">
      <c r="A109" s="600"/>
      <c r="B109" s="426" t="s">
        <v>780</v>
      </c>
      <c r="D109" s="438"/>
      <c r="E109" s="437"/>
      <c r="F109" s="437"/>
      <c r="H109" s="437"/>
      <c r="K109" s="437"/>
      <c r="L109" s="439"/>
      <c r="M109" s="448"/>
      <c r="N109" s="448"/>
      <c r="O109" s="448"/>
      <c r="P109" s="448"/>
      <c r="Q109" s="439"/>
      <c r="R109" s="439"/>
      <c r="S109" s="439"/>
      <c r="T109" s="439"/>
      <c r="U109" s="439"/>
      <c r="V109" s="439"/>
      <c r="W109" s="439"/>
      <c r="X109" s="439"/>
      <c r="Y109" s="440"/>
      <c r="Z109" s="439"/>
      <c r="AA109" s="439"/>
      <c r="AB109" s="439"/>
      <c r="AC109" s="439"/>
      <c r="AD109" s="439"/>
      <c r="AE109" s="439"/>
      <c r="AF109" s="439"/>
    </row>
    <row r="111" spans="1:38" x14ac:dyDescent="0.25">
      <c r="D111" s="424">
        <v>5</v>
      </c>
      <c r="E111" s="424">
        <v>5</v>
      </c>
      <c r="J111" s="437"/>
      <c r="K111" s="437">
        <v>5</v>
      </c>
      <c r="L111" s="424">
        <v>5</v>
      </c>
      <c r="M111" s="438">
        <v>-1</v>
      </c>
      <c r="N111" s="437"/>
      <c r="O111" s="437"/>
      <c r="P111" s="437"/>
    </row>
    <row r="112" spans="1:38" ht="36.75" x14ac:dyDescent="0.25">
      <c r="D112" s="603" t="s">
        <v>905</v>
      </c>
      <c r="E112" s="603" t="s">
        <v>906</v>
      </c>
      <c r="F112" s="437" t="s">
        <v>903</v>
      </c>
      <c r="K112" s="604" t="s">
        <v>907</v>
      </c>
      <c r="L112" s="604" t="s">
        <v>908</v>
      </c>
      <c r="M112" s="604"/>
      <c r="N112" s="604"/>
      <c r="O112" s="604"/>
      <c r="P112" s="604"/>
    </row>
    <row r="114" spans="1:27" s="549" customFormat="1" ht="7.5" customHeight="1" x14ac:dyDescent="0.25">
      <c r="D114" s="550"/>
      <c r="E114" s="550"/>
    </row>
    <row r="115" spans="1:27" s="551" customFormat="1" ht="19.5" x14ac:dyDescent="0.3">
      <c r="A115" s="424"/>
      <c r="C115" s="552" t="s">
        <v>909</v>
      </c>
      <c r="I115" s="551">
        <f>G154</f>
        <v>0</v>
      </c>
    </row>
    <row r="117" spans="1:27" ht="15.75" thickBot="1" x14ac:dyDescent="0.3">
      <c r="A117" s="605" t="s">
        <v>910</v>
      </c>
    </row>
    <row r="118" spans="1:27" ht="16.5" thickBot="1" x14ac:dyDescent="0.3">
      <c r="A118" s="606">
        <v>40954</v>
      </c>
      <c r="B118" s="607" t="s">
        <v>736</v>
      </c>
      <c r="D118" s="608">
        <v>1</v>
      </c>
    </row>
    <row r="119" spans="1:27" s="424" customFormat="1" x14ac:dyDescent="0.25">
      <c r="A119" s="448"/>
      <c r="B119" s="448"/>
      <c r="C119" s="448"/>
      <c r="D119" s="448"/>
      <c r="E119" s="448"/>
      <c r="F119" s="438"/>
      <c r="G119" s="437"/>
      <c r="H119" s="437"/>
      <c r="K119" s="437"/>
      <c r="L119" s="439"/>
      <c r="M119" s="439"/>
      <c r="N119" s="439"/>
      <c r="O119" s="439"/>
      <c r="P119" s="439"/>
      <c r="Q119" s="439"/>
      <c r="R119" s="439"/>
      <c r="S119" s="439"/>
      <c r="T119" s="439"/>
      <c r="U119" s="440"/>
      <c r="V119" s="439"/>
      <c r="W119" s="439"/>
      <c r="X119" s="439"/>
      <c r="Y119" s="439"/>
      <c r="Z119" s="439"/>
      <c r="AA119" s="439"/>
    </row>
    <row r="120" spans="1:27" s="609" customFormat="1" ht="7.5" customHeight="1" x14ac:dyDescent="0.25">
      <c r="D120" s="610"/>
      <c r="E120" s="610"/>
    </row>
    <row r="121" spans="1:27" s="424" customFormat="1" ht="19.5" x14ac:dyDescent="0.3">
      <c r="C121" s="425" t="s">
        <v>911</v>
      </c>
    </row>
    <row r="123" spans="1:27" ht="15.75" thickBot="1" x14ac:dyDescent="0.3">
      <c r="A123" s="605" t="s">
        <v>912</v>
      </c>
    </row>
    <row r="124" spans="1:27" ht="15.75" thickBot="1" x14ac:dyDescent="0.3">
      <c r="A124" s="426" t="s">
        <v>913</v>
      </c>
      <c r="B124" s="611" t="s">
        <v>914</v>
      </c>
      <c r="C124" s="611" t="s">
        <v>4</v>
      </c>
      <c r="D124" s="611" t="s">
        <v>915</v>
      </c>
      <c r="E124" s="611" t="s">
        <v>916</v>
      </c>
      <c r="F124" s="611" t="s">
        <v>917</v>
      </c>
      <c r="G124" s="611" t="s">
        <v>918</v>
      </c>
      <c r="H124" s="612" t="s">
        <v>919</v>
      </c>
      <c r="I124" s="613" t="s">
        <v>920</v>
      </c>
      <c r="J124" s="613" t="s">
        <v>921</v>
      </c>
    </row>
    <row r="125" spans="1:27" s="614" customFormat="1" x14ac:dyDescent="0.25">
      <c r="A125" s="431" t="s">
        <v>916</v>
      </c>
      <c r="J125" s="615"/>
      <c r="K125" s="615"/>
      <c r="L125" s="616"/>
      <c r="M125" s="617"/>
      <c r="N125" s="618"/>
      <c r="O125" s="399"/>
      <c r="P125" s="399"/>
      <c r="Q125" s="399"/>
      <c r="R125" s="399"/>
      <c r="S125" s="399"/>
      <c r="T125" s="399"/>
      <c r="U125" s="399"/>
      <c r="V125" s="399"/>
      <c r="W125" s="399"/>
      <c r="X125" s="399"/>
    </row>
    <row r="126" spans="1:27" x14ac:dyDescent="0.25">
      <c r="A126" s="426" t="s">
        <v>922</v>
      </c>
      <c r="B126" s="615" t="s">
        <v>923</v>
      </c>
      <c r="C126" s="615" t="s">
        <v>924</v>
      </c>
      <c r="D126" s="615" t="s">
        <v>923</v>
      </c>
      <c r="E126" s="615" t="s">
        <v>80</v>
      </c>
      <c r="F126" s="615" t="s">
        <v>770</v>
      </c>
      <c r="G126" s="615" t="s">
        <v>923</v>
      </c>
      <c r="H126" s="615" t="s">
        <v>923</v>
      </c>
      <c r="I126" s="615" t="s">
        <v>925</v>
      </c>
      <c r="J126" s="615" t="s">
        <v>925</v>
      </c>
      <c r="K126" s="615"/>
      <c r="L126" s="615"/>
      <c r="M126" s="615"/>
      <c r="N126" s="615"/>
    </row>
    <row r="127" spans="1:27" x14ac:dyDescent="0.25">
      <c r="A127" s="426" t="s">
        <v>926</v>
      </c>
      <c r="B127" s="615" t="s">
        <v>119</v>
      </c>
      <c r="C127" s="615" t="s">
        <v>33</v>
      </c>
      <c r="D127" s="615" t="s">
        <v>185</v>
      </c>
      <c r="E127" s="615" t="s">
        <v>927</v>
      </c>
      <c r="F127" s="615" t="s">
        <v>244</v>
      </c>
      <c r="G127" s="615" t="s">
        <v>928</v>
      </c>
      <c r="H127" s="619" t="s">
        <v>156</v>
      </c>
      <c r="I127" s="620" t="s">
        <v>929</v>
      </c>
      <c r="J127" s="615" t="s">
        <v>59</v>
      </c>
      <c r="K127" s="615"/>
      <c r="L127" s="615"/>
      <c r="M127" s="615"/>
      <c r="N127" s="615"/>
    </row>
    <row r="128" spans="1:27" x14ac:dyDescent="0.25">
      <c r="A128" s="426" t="s">
        <v>930</v>
      </c>
      <c r="E128" s="399" t="s">
        <v>931</v>
      </c>
      <c r="H128" s="399" t="s">
        <v>932</v>
      </c>
      <c r="I128" s="621"/>
      <c r="J128" s="622"/>
      <c r="N128" s="622"/>
      <c r="O128" s="622"/>
      <c r="P128" s="623"/>
      <c r="Q128" s="622"/>
    </row>
    <row r="129" spans="1:31" x14ac:dyDescent="0.25">
      <c r="A129" s="426" t="s">
        <v>933</v>
      </c>
      <c r="E129" s="624"/>
      <c r="H129" s="624" t="s">
        <v>934</v>
      </c>
      <c r="I129" s="625" t="s">
        <v>935</v>
      </c>
      <c r="J129" s="437"/>
      <c r="O129" s="626"/>
      <c r="S129" s="627"/>
      <c r="T129" s="627"/>
      <c r="U129" s="627"/>
      <c r="V129" s="627"/>
      <c r="W129" s="627"/>
    </row>
    <row r="131" spans="1:31" ht="15.75" thickBot="1" x14ac:dyDescent="0.3">
      <c r="A131" s="605" t="s">
        <v>936</v>
      </c>
    </row>
    <row r="132" spans="1:31" ht="15.75" thickBot="1" x14ac:dyDescent="0.3">
      <c r="A132" s="426" t="s">
        <v>913</v>
      </c>
      <c r="B132" s="611" t="s">
        <v>914</v>
      </c>
      <c r="C132" s="611" t="s">
        <v>4</v>
      </c>
      <c r="D132" s="611" t="s">
        <v>915</v>
      </c>
      <c r="E132" s="611" t="s">
        <v>916</v>
      </c>
      <c r="F132" s="611" t="s">
        <v>917</v>
      </c>
      <c r="G132" s="611" t="s">
        <v>918</v>
      </c>
      <c r="H132" s="612" t="s">
        <v>919</v>
      </c>
      <c r="I132" s="613" t="s">
        <v>920</v>
      </c>
      <c r="J132" s="613" t="s">
        <v>921</v>
      </c>
    </row>
    <row r="133" spans="1:31" s="614" customFormat="1" x14ac:dyDescent="0.25">
      <c r="A133" s="431" t="s">
        <v>916</v>
      </c>
      <c r="J133" s="615"/>
      <c r="K133" s="615"/>
      <c r="L133" s="616"/>
      <c r="M133" s="617"/>
      <c r="N133" s="618"/>
      <c r="O133" s="399"/>
      <c r="P133" s="399"/>
      <c r="Q133" s="399"/>
      <c r="R133" s="399"/>
      <c r="S133" s="399"/>
      <c r="T133" s="399"/>
      <c r="U133" s="399"/>
      <c r="V133" s="399"/>
      <c r="W133" s="399"/>
      <c r="X133" s="399"/>
    </row>
    <row r="134" spans="1:31" x14ac:dyDescent="0.25">
      <c r="A134" s="426" t="s">
        <v>922</v>
      </c>
      <c r="B134" s="615" t="s">
        <v>923</v>
      </c>
      <c r="C134" s="615" t="s">
        <v>924</v>
      </c>
      <c r="D134" s="615" t="s">
        <v>923</v>
      </c>
      <c r="E134" s="615" t="s">
        <v>80</v>
      </c>
      <c r="F134" s="615" t="s">
        <v>770</v>
      </c>
      <c r="G134" s="615" t="s">
        <v>923</v>
      </c>
      <c r="H134" s="615" t="s">
        <v>923</v>
      </c>
      <c r="I134" s="615" t="s">
        <v>925</v>
      </c>
      <c r="J134" s="615" t="s">
        <v>925</v>
      </c>
      <c r="K134" s="615"/>
      <c r="L134" s="615"/>
      <c r="M134" s="615"/>
      <c r="N134" s="615"/>
    </row>
    <row r="135" spans="1:31" x14ac:dyDescent="0.25">
      <c r="A135" s="426" t="s">
        <v>926</v>
      </c>
      <c r="B135" s="615" t="s">
        <v>119</v>
      </c>
      <c r="C135" s="615" t="s">
        <v>33</v>
      </c>
      <c r="D135" s="615" t="s">
        <v>185</v>
      </c>
      <c r="E135" s="615" t="s">
        <v>927</v>
      </c>
      <c r="F135" s="615" t="s">
        <v>244</v>
      </c>
      <c r="G135" s="615" t="s">
        <v>928</v>
      </c>
      <c r="H135" s="619" t="s">
        <v>156</v>
      </c>
      <c r="I135" s="628" t="s">
        <v>937</v>
      </c>
      <c r="J135" s="615" t="s">
        <v>59</v>
      </c>
      <c r="K135" s="615"/>
      <c r="L135" s="615"/>
      <c r="M135" s="615"/>
      <c r="N135" s="615"/>
    </row>
    <row r="136" spans="1:31" x14ac:dyDescent="0.25">
      <c r="A136" s="426" t="s">
        <v>930</v>
      </c>
      <c r="B136" s="399" t="s">
        <v>938</v>
      </c>
      <c r="E136" s="399" t="s">
        <v>931</v>
      </c>
      <c r="H136" s="399" t="s">
        <v>932</v>
      </c>
      <c r="I136" s="629" t="s">
        <v>939</v>
      </c>
      <c r="J136" s="622"/>
      <c r="N136" s="622"/>
      <c r="O136" s="622"/>
      <c r="P136" s="623"/>
      <c r="Q136" s="622"/>
    </row>
    <row r="137" spans="1:31" x14ac:dyDescent="0.25">
      <c r="A137" s="426" t="s">
        <v>933</v>
      </c>
      <c r="E137" s="624"/>
      <c r="H137" s="624" t="s">
        <v>934</v>
      </c>
      <c r="I137" s="630"/>
      <c r="J137" s="437"/>
      <c r="O137" s="626"/>
      <c r="S137" s="627"/>
      <c r="T137" s="627"/>
      <c r="U137" s="627"/>
      <c r="V137" s="627"/>
      <c r="W137" s="627"/>
    </row>
    <row r="139" spans="1:31" ht="15.75" thickBot="1" x14ac:dyDescent="0.3">
      <c r="A139" s="605" t="s">
        <v>940</v>
      </c>
    </row>
    <row r="140" spans="1:31" s="376" customFormat="1" ht="15.75" thickBot="1" x14ac:dyDescent="0.3">
      <c r="A140" s="426" t="s">
        <v>913</v>
      </c>
      <c r="B140" s="631" t="s">
        <v>941</v>
      </c>
      <c r="C140" s="631" t="s">
        <v>4</v>
      </c>
      <c r="D140" s="632" t="s">
        <v>942</v>
      </c>
      <c r="E140" s="633" t="s">
        <v>246</v>
      </c>
      <c r="F140" s="632" t="s">
        <v>943</v>
      </c>
      <c r="G140" s="634" t="s">
        <v>273</v>
      </c>
      <c r="H140" s="632" t="s">
        <v>944</v>
      </c>
      <c r="I140" s="634" t="s">
        <v>945</v>
      </c>
      <c r="J140" s="633" t="s">
        <v>946</v>
      </c>
      <c r="K140" s="634" t="s">
        <v>947</v>
      </c>
      <c r="L140" s="632" t="s">
        <v>948</v>
      </c>
      <c r="M140" s="635" t="s">
        <v>916</v>
      </c>
      <c r="N140" s="636" t="s">
        <v>389</v>
      </c>
      <c r="O140" s="637" t="s">
        <v>390</v>
      </c>
      <c r="P140" s="637" t="s">
        <v>949</v>
      </c>
      <c r="Q140" s="637" t="s">
        <v>950</v>
      </c>
      <c r="R140" s="638" t="s">
        <v>951</v>
      </c>
      <c r="S140" s="638" t="s">
        <v>952</v>
      </c>
      <c r="T140" s="638" t="s">
        <v>953</v>
      </c>
      <c r="U140" s="638" t="s">
        <v>954</v>
      </c>
      <c r="V140" s="638" t="s">
        <v>955</v>
      </c>
      <c r="AE140" s="864"/>
    </row>
    <row r="141" spans="1:31" s="614" customFormat="1" x14ac:dyDescent="0.25">
      <c r="A141" s="431" t="s">
        <v>916</v>
      </c>
      <c r="B141" s="617" t="s">
        <v>956</v>
      </c>
      <c r="C141" s="639">
        <v>40918</v>
      </c>
      <c r="D141" s="616" t="s">
        <v>251</v>
      </c>
      <c r="E141" s="640"/>
      <c r="F141" s="616" t="s">
        <v>365</v>
      </c>
      <c r="G141" s="641"/>
      <c r="H141" s="616" t="s">
        <v>957</v>
      </c>
      <c r="I141" s="642"/>
      <c r="J141" s="616" t="s">
        <v>958</v>
      </c>
      <c r="K141" s="616"/>
      <c r="L141" s="617" t="s">
        <v>812</v>
      </c>
      <c r="M141" s="618">
        <v>130000</v>
      </c>
      <c r="N141" s="643" t="s">
        <v>392</v>
      </c>
      <c r="O141" s="644" t="s">
        <v>393</v>
      </c>
      <c r="P141" s="645"/>
      <c r="Q141" s="646"/>
      <c r="R141" s="647"/>
      <c r="S141" s="647"/>
      <c r="T141" s="647"/>
      <c r="U141" s="647"/>
      <c r="V141" s="647"/>
      <c r="W141" s="376"/>
    </row>
    <row r="142" spans="1:31" x14ac:dyDescent="0.25">
      <c r="A142" s="426" t="s">
        <v>922</v>
      </c>
      <c r="B142" s="615" t="s">
        <v>923</v>
      </c>
      <c r="C142" s="615" t="s">
        <v>923</v>
      </c>
      <c r="D142" s="615" t="s">
        <v>959</v>
      </c>
      <c r="E142" s="615" t="s">
        <v>960</v>
      </c>
      <c r="F142" s="615" t="s">
        <v>959</v>
      </c>
      <c r="G142" s="615" t="s">
        <v>960</v>
      </c>
      <c r="H142" s="615" t="s">
        <v>923</v>
      </c>
      <c r="I142" s="615" t="s">
        <v>960</v>
      </c>
      <c r="J142" s="615" t="s">
        <v>959</v>
      </c>
      <c r="K142" s="615" t="s">
        <v>923</v>
      </c>
      <c r="L142" s="615" t="s">
        <v>164</v>
      </c>
      <c r="M142" s="615" t="s">
        <v>175</v>
      </c>
      <c r="N142" s="615" t="s">
        <v>33</v>
      </c>
      <c r="O142" s="615" t="s">
        <v>59</v>
      </c>
      <c r="P142" s="615" t="s">
        <v>165</v>
      </c>
      <c r="Q142" s="615" t="s">
        <v>59</v>
      </c>
      <c r="R142" s="615" t="s">
        <v>80</v>
      </c>
      <c r="S142" s="615" t="s">
        <v>80</v>
      </c>
      <c r="T142" s="615" t="s">
        <v>959</v>
      </c>
      <c r="U142" s="615" t="s">
        <v>165</v>
      </c>
      <c r="V142" s="615" t="s">
        <v>165</v>
      </c>
    </row>
    <row r="143" spans="1:31" x14ac:dyDescent="0.25">
      <c r="A143" s="426" t="s">
        <v>926</v>
      </c>
      <c r="B143" s="615">
        <v>10</v>
      </c>
      <c r="C143" s="615">
        <v>12</v>
      </c>
      <c r="D143" s="615" t="s">
        <v>961</v>
      </c>
      <c r="E143" s="615" t="s">
        <v>961</v>
      </c>
      <c r="F143" s="615" t="s">
        <v>83</v>
      </c>
      <c r="G143" s="615" t="s">
        <v>83</v>
      </c>
      <c r="H143" s="615" t="s">
        <v>243</v>
      </c>
      <c r="I143" s="615" t="s">
        <v>168</v>
      </c>
      <c r="J143" s="615" t="s">
        <v>962</v>
      </c>
      <c r="K143" s="615">
        <v>18</v>
      </c>
      <c r="L143" s="615" t="s">
        <v>963</v>
      </c>
      <c r="M143" s="615" t="s">
        <v>77</v>
      </c>
      <c r="N143" s="615" t="s">
        <v>964</v>
      </c>
      <c r="O143" s="615" t="s">
        <v>964</v>
      </c>
      <c r="P143" s="615" t="s">
        <v>964</v>
      </c>
      <c r="Q143" s="615">
        <v>12</v>
      </c>
      <c r="R143" s="615" t="s">
        <v>168</v>
      </c>
      <c r="S143" s="615" t="s">
        <v>168</v>
      </c>
      <c r="T143" s="615" t="s">
        <v>168</v>
      </c>
      <c r="U143" s="615" t="s">
        <v>168</v>
      </c>
      <c r="V143" s="615" t="s">
        <v>168</v>
      </c>
    </row>
    <row r="144" spans="1:31" x14ac:dyDescent="0.25">
      <c r="A144" s="426" t="s">
        <v>930</v>
      </c>
      <c r="E144" s="624" t="s">
        <v>965</v>
      </c>
      <c r="G144" s="624" t="s">
        <v>966</v>
      </c>
      <c r="I144" s="622"/>
      <c r="K144" s="624" t="s">
        <v>947</v>
      </c>
      <c r="M144" s="622" t="s">
        <v>931</v>
      </c>
      <c r="N144" s="622"/>
      <c r="O144" s="623" t="s">
        <v>967</v>
      </c>
      <c r="P144" s="622" t="s">
        <v>968</v>
      </c>
    </row>
    <row r="145" spans="1:26" x14ac:dyDescent="0.25">
      <c r="A145" s="426" t="s">
        <v>933</v>
      </c>
      <c r="E145" s="624"/>
      <c r="G145" s="624"/>
      <c r="I145" s="437"/>
      <c r="K145" s="627" t="s">
        <v>934</v>
      </c>
      <c r="N145" s="626"/>
      <c r="R145" s="627" t="s">
        <v>969</v>
      </c>
      <c r="S145" s="627" t="s">
        <v>970</v>
      </c>
      <c r="T145" s="627" t="s">
        <v>971</v>
      </c>
      <c r="U145" s="627" t="s">
        <v>972</v>
      </c>
      <c r="V145" s="627" t="s">
        <v>973</v>
      </c>
    </row>
    <row r="147" spans="1:26" ht="15.75" thickBot="1" x14ac:dyDescent="0.3">
      <c r="A147" s="605" t="s">
        <v>1227</v>
      </c>
      <c r="B147" s="605"/>
      <c r="C147" s="605"/>
      <c r="D147" s="605"/>
      <c r="E147" s="605"/>
      <c r="F147" s="605"/>
      <c r="G147" s="605"/>
      <c r="H147" s="605"/>
      <c r="I147" s="605"/>
      <c r="J147" s="605"/>
      <c r="P147" s="605"/>
      <c r="Q147" s="605"/>
    </row>
    <row r="148" spans="1:26" ht="15.75" thickBot="1" x14ac:dyDescent="0.3">
      <c r="A148" s="877" t="s">
        <v>155</v>
      </c>
      <c r="B148" s="426" t="s">
        <v>913</v>
      </c>
      <c r="C148" s="611" t="s">
        <v>974</v>
      </c>
      <c r="D148" s="611" t="s">
        <v>766</v>
      </c>
      <c r="E148" s="611" t="s">
        <v>975</v>
      </c>
      <c r="F148" s="611" t="s">
        <v>976</v>
      </c>
      <c r="G148" s="611" t="s">
        <v>916</v>
      </c>
      <c r="H148" s="611" t="s">
        <v>977</v>
      </c>
      <c r="I148" s="611" t="s">
        <v>978</v>
      </c>
      <c r="J148" s="611" t="s">
        <v>979</v>
      </c>
      <c r="K148" s="611" t="s">
        <v>980</v>
      </c>
      <c r="L148" s="611" t="s">
        <v>981</v>
      </c>
      <c r="M148" s="611" t="s">
        <v>982</v>
      </c>
      <c r="N148" s="611" t="s">
        <v>983</v>
      </c>
      <c r="P148" s="611" t="s">
        <v>978</v>
      </c>
      <c r="Q148" s="611" t="s">
        <v>979</v>
      </c>
      <c r="R148" s="611" t="s">
        <v>980</v>
      </c>
      <c r="S148" s="611" t="s">
        <v>981</v>
      </c>
      <c r="T148" s="611" t="s">
        <v>982</v>
      </c>
      <c r="U148" s="611" t="s">
        <v>983</v>
      </c>
    </row>
    <row r="149" spans="1:26" s="614" customFormat="1" x14ac:dyDescent="0.25">
      <c r="A149" s="878"/>
      <c r="B149" s="431" t="s">
        <v>916</v>
      </c>
      <c r="C149" s="648" t="s">
        <v>984</v>
      </c>
      <c r="D149" s="639" t="s">
        <v>985</v>
      </c>
      <c r="E149" s="649" t="s">
        <v>986</v>
      </c>
      <c r="F149" s="640"/>
      <c r="G149" s="650">
        <v>2298687.7200000002</v>
      </c>
      <c r="H149" s="641"/>
      <c r="I149" s="651" t="s">
        <v>454</v>
      </c>
      <c r="J149" s="652" t="s">
        <v>987</v>
      </c>
      <c r="K149" s="651"/>
      <c r="L149" s="651"/>
      <c r="M149" s="653"/>
      <c r="N149" s="654"/>
      <c r="O149" s="399"/>
      <c r="P149" s="616" t="s">
        <v>454</v>
      </c>
      <c r="Q149" s="655"/>
      <c r="R149" s="616" t="s">
        <v>988</v>
      </c>
      <c r="S149" s="616" t="s">
        <v>454</v>
      </c>
      <c r="T149" s="617" t="s">
        <v>333</v>
      </c>
      <c r="U149" s="618" t="s">
        <v>989</v>
      </c>
      <c r="V149" s="399"/>
      <c r="W149" s="399"/>
      <c r="X149" s="399"/>
      <c r="Y149" s="399"/>
    </row>
    <row r="150" spans="1:26" x14ac:dyDescent="0.25">
      <c r="A150" s="878"/>
      <c r="B150" s="426" t="s">
        <v>922</v>
      </c>
      <c r="C150" s="615" t="s">
        <v>243</v>
      </c>
      <c r="D150" s="615" t="s">
        <v>990</v>
      </c>
      <c r="E150" s="615" t="s">
        <v>175</v>
      </c>
      <c r="F150" s="615" t="s">
        <v>243</v>
      </c>
      <c r="G150" s="615" t="s">
        <v>243</v>
      </c>
      <c r="H150" s="615" t="s">
        <v>59</v>
      </c>
      <c r="I150" s="656"/>
      <c r="J150" s="657"/>
      <c r="K150" s="615"/>
      <c r="L150" s="615"/>
      <c r="M150" s="615"/>
      <c r="N150" s="615"/>
      <c r="P150" s="615">
        <v>10</v>
      </c>
      <c r="Q150" s="615" t="s">
        <v>80</v>
      </c>
      <c r="R150" s="615" t="s">
        <v>33</v>
      </c>
      <c r="S150" s="615" t="s">
        <v>175</v>
      </c>
      <c r="T150" s="615" t="s">
        <v>80</v>
      </c>
      <c r="U150" s="615" t="s">
        <v>80</v>
      </c>
    </row>
    <row r="151" spans="1:26" x14ac:dyDescent="0.25">
      <c r="A151" s="878"/>
      <c r="B151" s="426" t="s">
        <v>926</v>
      </c>
      <c r="C151" s="615" t="s">
        <v>59</v>
      </c>
      <c r="D151" s="615" t="s">
        <v>59</v>
      </c>
      <c r="E151" s="615" t="s">
        <v>83</v>
      </c>
      <c r="F151" s="615" t="s">
        <v>77</v>
      </c>
      <c r="G151" s="615" t="s">
        <v>928</v>
      </c>
      <c r="H151" s="615" t="s">
        <v>964</v>
      </c>
      <c r="I151" s="656" t="s">
        <v>963</v>
      </c>
      <c r="J151" s="657"/>
      <c r="K151" s="615"/>
      <c r="L151" s="615"/>
      <c r="M151" s="615"/>
      <c r="N151" s="615"/>
      <c r="P151" s="615" t="s">
        <v>80</v>
      </c>
      <c r="Q151" s="615" t="s">
        <v>80</v>
      </c>
      <c r="R151" s="615"/>
      <c r="S151" s="615" t="s">
        <v>80</v>
      </c>
      <c r="T151" s="615" t="s">
        <v>244</v>
      </c>
      <c r="U151" s="615" t="s">
        <v>166</v>
      </c>
    </row>
    <row r="152" spans="1:26" x14ac:dyDescent="0.25">
      <c r="A152" s="878"/>
      <c r="B152" s="426" t="s">
        <v>930</v>
      </c>
      <c r="D152" s="624" t="s">
        <v>991</v>
      </c>
      <c r="F152" s="624" t="s">
        <v>992</v>
      </c>
      <c r="G152" s="658" t="s">
        <v>993</v>
      </c>
      <c r="H152" s="624" t="s">
        <v>967</v>
      </c>
      <c r="I152" s="659" t="s">
        <v>994</v>
      </c>
      <c r="K152" s="660"/>
      <c r="L152" s="659"/>
      <c r="M152" s="659"/>
      <c r="N152" s="661"/>
      <c r="P152" s="624" t="s">
        <v>995</v>
      </c>
      <c r="Q152" s="659" t="s">
        <v>996</v>
      </c>
      <c r="R152" s="660"/>
      <c r="S152" s="659" t="s">
        <v>997</v>
      </c>
      <c r="T152" s="659" t="s">
        <v>998</v>
      </c>
      <c r="U152" s="661"/>
    </row>
    <row r="153" spans="1:26" x14ac:dyDescent="0.25">
      <c r="A153" s="878"/>
      <c r="B153" s="426" t="s">
        <v>933</v>
      </c>
      <c r="D153" s="399" t="s">
        <v>999</v>
      </c>
      <c r="F153" s="624"/>
      <c r="H153" s="624"/>
      <c r="J153" s="662"/>
      <c r="L153" s="627"/>
      <c r="Q153" s="437"/>
      <c r="S153" s="627"/>
      <c r="U153" s="399" t="s">
        <v>1000</v>
      </c>
    </row>
    <row r="155" spans="1:26" ht="15.75" thickBot="1" x14ac:dyDescent="0.3">
      <c r="A155" s="605" t="s">
        <v>1226</v>
      </c>
      <c r="B155" s="605"/>
      <c r="C155" s="605"/>
      <c r="D155" s="605"/>
      <c r="E155" s="605"/>
      <c r="F155" s="605"/>
      <c r="G155" s="605"/>
      <c r="H155" s="605"/>
      <c r="I155" s="605"/>
      <c r="J155" s="605"/>
      <c r="P155" s="605"/>
      <c r="Q155" s="605"/>
    </row>
    <row r="156" spans="1:26" ht="15.75" thickBot="1" x14ac:dyDescent="0.3">
      <c r="A156" s="978" t="s">
        <v>31</v>
      </c>
      <c r="B156" s="426" t="s">
        <v>913</v>
      </c>
      <c r="C156" s="611" t="s">
        <v>974</v>
      </c>
      <c r="D156" s="611" t="s">
        <v>766</v>
      </c>
      <c r="E156" s="611" t="s">
        <v>975</v>
      </c>
      <c r="F156" s="882" t="s">
        <v>943</v>
      </c>
      <c r="G156" s="611" t="s">
        <v>976</v>
      </c>
      <c r="H156" s="611" t="s">
        <v>916</v>
      </c>
      <c r="I156" s="611" t="s">
        <v>977</v>
      </c>
      <c r="J156" s="611" t="s">
        <v>978</v>
      </c>
      <c r="K156" s="611" t="s">
        <v>979</v>
      </c>
      <c r="L156" s="611" t="s">
        <v>980</v>
      </c>
      <c r="M156" s="611" t="s">
        <v>981</v>
      </c>
      <c r="N156" s="611" t="s">
        <v>982</v>
      </c>
      <c r="O156" s="611" t="s">
        <v>983</v>
      </c>
      <c r="Q156" s="611" t="s">
        <v>978</v>
      </c>
      <c r="R156" s="611" t="s">
        <v>979</v>
      </c>
      <c r="S156" s="611" t="s">
        <v>980</v>
      </c>
      <c r="T156" s="611" t="s">
        <v>981</v>
      </c>
      <c r="U156" s="611" t="s">
        <v>982</v>
      </c>
      <c r="V156" s="611" t="s">
        <v>983</v>
      </c>
    </row>
    <row r="157" spans="1:26" s="614" customFormat="1" x14ac:dyDescent="0.25">
      <c r="A157" s="979"/>
      <c r="B157" s="431" t="s">
        <v>916</v>
      </c>
      <c r="C157" s="648" t="s">
        <v>984</v>
      </c>
      <c r="D157" s="880" t="s">
        <v>985</v>
      </c>
      <c r="E157" s="649" t="s">
        <v>986</v>
      </c>
      <c r="F157" s="883" t="s">
        <v>364</v>
      </c>
      <c r="G157" s="884" t="s">
        <v>367</v>
      </c>
      <c r="H157" s="650">
        <v>2298687.7200000002</v>
      </c>
      <c r="I157" s="641"/>
      <c r="J157" s="624" t="s">
        <v>454</v>
      </c>
      <c r="K157" s="652" t="s">
        <v>987</v>
      </c>
      <c r="L157" s="616" t="s">
        <v>988</v>
      </c>
      <c r="M157" s="664" t="s">
        <v>415</v>
      </c>
      <c r="N157" s="617" t="s">
        <v>369</v>
      </c>
      <c r="O157" s="654"/>
      <c r="P157" s="399"/>
      <c r="Q157" s="616" t="s">
        <v>454</v>
      </c>
      <c r="R157" s="655"/>
      <c r="S157" s="616" t="s">
        <v>988</v>
      </c>
      <c r="T157" s="616" t="s">
        <v>454</v>
      </c>
      <c r="U157" s="617" t="s">
        <v>333</v>
      </c>
      <c r="V157" s="618" t="s">
        <v>989</v>
      </c>
      <c r="W157" s="399"/>
      <c r="X157" s="399"/>
      <c r="Y157" s="399"/>
      <c r="Z157" s="399"/>
    </row>
    <row r="158" spans="1:26" x14ac:dyDescent="0.25">
      <c r="A158" s="979"/>
      <c r="B158" s="426" t="s">
        <v>922</v>
      </c>
      <c r="C158" s="879" t="s">
        <v>1228</v>
      </c>
      <c r="D158" s="881" t="s">
        <v>1229</v>
      </c>
      <c r="E158" s="879" t="s">
        <v>1051</v>
      </c>
      <c r="F158" s="879" t="s">
        <v>1051</v>
      </c>
      <c r="G158" s="879" t="s">
        <v>1228</v>
      </c>
      <c r="H158" s="615" t="s">
        <v>243</v>
      </c>
      <c r="I158" s="615" t="s">
        <v>59</v>
      </c>
      <c r="J158" s="657"/>
      <c r="K158" s="657"/>
      <c r="L158" s="615" t="s">
        <v>33</v>
      </c>
      <c r="N158" s="657"/>
      <c r="O158" s="615"/>
      <c r="Q158" s="615">
        <v>10</v>
      </c>
      <c r="R158" s="615" t="s">
        <v>80</v>
      </c>
      <c r="S158" s="615" t="s">
        <v>33</v>
      </c>
      <c r="T158" s="615" t="s">
        <v>175</v>
      </c>
      <c r="U158" s="615" t="s">
        <v>80</v>
      </c>
      <c r="V158" s="615" t="s">
        <v>80</v>
      </c>
    </row>
    <row r="159" spans="1:26" x14ac:dyDescent="0.25">
      <c r="A159" s="979"/>
      <c r="B159" s="426" t="s">
        <v>926</v>
      </c>
      <c r="C159" s="879" t="s">
        <v>168</v>
      </c>
      <c r="D159" s="620" t="s">
        <v>929</v>
      </c>
      <c r="E159" s="879" t="s">
        <v>33</v>
      </c>
      <c r="F159" s="879" t="s">
        <v>928</v>
      </c>
      <c r="G159" s="879" t="s">
        <v>1230</v>
      </c>
      <c r="H159" s="615" t="s">
        <v>928</v>
      </c>
      <c r="I159" s="615" t="s">
        <v>964</v>
      </c>
      <c r="J159" s="873" t="s">
        <v>244</v>
      </c>
      <c r="K159" s="657"/>
      <c r="L159" s="879" t="s">
        <v>244</v>
      </c>
      <c r="M159" s="879" t="s">
        <v>244</v>
      </c>
      <c r="N159" s="873" t="s">
        <v>928</v>
      </c>
      <c r="O159" s="615"/>
      <c r="Q159" s="615" t="s">
        <v>80</v>
      </c>
      <c r="R159" s="615" t="s">
        <v>80</v>
      </c>
      <c r="S159" s="615"/>
      <c r="T159" s="615" t="s">
        <v>80</v>
      </c>
      <c r="U159" s="615" t="s">
        <v>244</v>
      </c>
      <c r="V159" s="615" t="s">
        <v>166</v>
      </c>
    </row>
    <row r="160" spans="1:26" ht="75" x14ac:dyDescent="0.25">
      <c r="A160" s="979"/>
      <c r="B160" s="426" t="s">
        <v>930</v>
      </c>
      <c r="C160" s="774"/>
      <c r="D160" s="886"/>
      <c r="E160" s="774"/>
      <c r="F160" s="955"/>
      <c r="G160" s="887" t="s">
        <v>992</v>
      </c>
      <c r="H160" s="888" t="s">
        <v>1231</v>
      </c>
      <c r="I160" s="887" t="s">
        <v>967</v>
      </c>
      <c r="J160" s="887" t="s">
        <v>978</v>
      </c>
      <c r="K160" s="889" t="s">
        <v>1010</v>
      </c>
      <c r="L160" s="749" t="s">
        <v>1011</v>
      </c>
      <c r="M160" s="893" t="s">
        <v>1234</v>
      </c>
      <c r="N160" s="895" t="s">
        <v>1235</v>
      </c>
      <c r="O160" s="891"/>
      <c r="P160" s="774"/>
      <c r="Q160" s="887" t="s">
        <v>995</v>
      </c>
      <c r="R160" s="890" t="s">
        <v>996</v>
      </c>
      <c r="S160" s="892"/>
      <c r="T160" s="890" t="s">
        <v>997</v>
      </c>
      <c r="U160" s="890" t="s">
        <v>998</v>
      </c>
      <c r="V160" s="891"/>
      <c r="W160" s="774"/>
    </row>
    <row r="161" spans="1:25" x14ac:dyDescent="0.25">
      <c r="A161" s="979"/>
      <c r="B161" s="426" t="s">
        <v>933</v>
      </c>
      <c r="D161" s="625"/>
      <c r="G161" s="624"/>
      <c r="I161" s="624"/>
      <c r="J161" s="672"/>
      <c r="K161" s="662"/>
      <c r="R161" s="437"/>
      <c r="T161" s="627"/>
      <c r="V161" s="399" t="s">
        <v>1000</v>
      </c>
    </row>
    <row r="163" spans="1:25" ht="15.75" thickBot="1" x14ac:dyDescent="0.3">
      <c r="A163" s="605" t="s">
        <v>1001</v>
      </c>
      <c r="B163" s="605"/>
      <c r="C163" s="605"/>
      <c r="D163" s="605"/>
      <c r="E163" s="605"/>
      <c r="F163" s="605"/>
      <c r="G163" s="605"/>
      <c r="H163" s="605"/>
      <c r="I163" s="605"/>
      <c r="J163" s="605"/>
    </row>
    <row r="164" spans="1:25" ht="15.75" thickBot="1" x14ac:dyDescent="0.3">
      <c r="A164" s="594" t="s">
        <v>31</v>
      </c>
      <c r="B164" s="426" t="s">
        <v>913</v>
      </c>
      <c r="C164" s="611" t="s">
        <v>974</v>
      </c>
      <c r="D164" s="611" t="s">
        <v>766</v>
      </c>
      <c r="E164" s="611" t="s">
        <v>975</v>
      </c>
      <c r="F164" s="611" t="s">
        <v>976</v>
      </c>
      <c r="G164" s="611" t="s">
        <v>916</v>
      </c>
      <c r="H164" s="611" t="s">
        <v>977</v>
      </c>
      <c r="I164" s="611" t="s">
        <v>978</v>
      </c>
      <c r="J164" s="611" t="s">
        <v>979</v>
      </c>
      <c r="K164" s="611" t="s">
        <v>980</v>
      </c>
      <c r="L164" s="611" t="s">
        <v>981</v>
      </c>
      <c r="M164" s="611" t="s">
        <v>982</v>
      </c>
      <c r="N164" s="611" t="s">
        <v>983</v>
      </c>
      <c r="Q164" s="395" t="s">
        <v>420</v>
      </c>
    </row>
    <row r="165" spans="1:25" s="614" customFormat="1" x14ac:dyDescent="0.25">
      <c r="A165" s="600"/>
      <c r="B165" s="431" t="s">
        <v>916</v>
      </c>
      <c r="C165" s="648" t="s">
        <v>984</v>
      </c>
      <c r="D165" s="639" t="s">
        <v>985</v>
      </c>
      <c r="E165" s="649" t="s">
        <v>986</v>
      </c>
      <c r="F165" s="640"/>
      <c r="G165" s="650">
        <v>2298687.7200000002</v>
      </c>
      <c r="H165" s="641"/>
      <c r="I165" s="663" t="s">
        <v>357</v>
      </c>
      <c r="J165" s="652" t="s">
        <v>987</v>
      </c>
      <c r="K165" s="664" t="s">
        <v>1002</v>
      </c>
      <c r="L165" s="664" t="s">
        <v>415</v>
      </c>
      <c r="M165" s="665" t="s">
        <v>283</v>
      </c>
      <c r="N165" s="654"/>
      <c r="O165" s="399"/>
      <c r="P165" s="399"/>
      <c r="Q165" s="395" t="s">
        <v>408</v>
      </c>
      <c r="R165" s="399"/>
      <c r="S165" s="399"/>
      <c r="T165" s="399"/>
      <c r="U165" s="399"/>
      <c r="V165" s="399"/>
      <c r="W165" s="399"/>
      <c r="X165" s="399"/>
      <c r="Y165" s="399"/>
    </row>
    <row r="166" spans="1:25" x14ac:dyDescent="0.25">
      <c r="A166" s="600"/>
      <c r="B166" s="426" t="s">
        <v>922</v>
      </c>
      <c r="C166" s="615" t="s">
        <v>243</v>
      </c>
      <c r="D166" s="615" t="s">
        <v>990</v>
      </c>
      <c r="E166" s="615" t="s">
        <v>175</v>
      </c>
      <c r="F166" s="615" t="s">
        <v>243</v>
      </c>
      <c r="G166" s="615" t="s">
        <v>243</v>
      </c>
      <c r="H166" s="615" t="s">
        <v>59</v>
      </c>
      <c r="I166" s="615" t="s">
        <v>937</v>
      </c>
      <c r="J166" s="657"/>
      <c r="K166" s="615"/>
      <c r="M166" s="615" t="s">
        <v>185</v>
      </c>
      <c r="N166" s="615"/>
      <c r="Q166" s="395" t="s">
        <v>411</v>
      </c>
    </row>
    <row r="167" spans="1:25" x14ac:dyDescent="0.25">
      <c r="A167" s="600"/>
      <c r="B167" s="426" t="s">
        <v>926</v>
      </c>
      <c r="C167" s="615" t="s">
        <v>168</v>
      </c>
      <c r="D167" s="615" t="s">
        <v>1003</v>
      </c>
      <c r="E167" s="657" t="s">
        <v>33</v>
      </c>
      <c r="F167" s="657" t="s">
        <v>928</v>
      </c>
      <c r="G167" s="615" t="s">
        <v>1004</v>
      </c>
      <c r="H167" s="615" t="s">
        <v>1005</v>
      </c>
      <c r="I167" s="615" t="s">
        <v>1006</v>
      </c>
      <c r="J167" s="657" t="s">
        <v>168</v>
      </c>
      <c r="K167" s="879" t="s">
        <v>1233</v>
      </c>
      <c r="L167" s="879" t="s">
        <v>1233</v>
      </c>
      <c r="M167" s="615" t="s">
        <v>928</v>
      </c>
      <c r="N167" s="615"/>
      <c r="Q167" s="395" t="s">
        <v>336</v>
      </c>
    </row>
    <row r="168" spans="1:25" ht="60" x14ac:dyDescent="0.25">
      <c r="A168" s="600"/>
      <c r="B168" s="426" t="s">
        <v>930</v>
      </c>
      <c r="C168" s="873" t="s">
        <v>1007</v>
      </c>
      <c r="D168" s="657" t="s">
        <v>1008</v>
      </c>
      <c r="E168" s="624"/>
      <c r="F168" s="666" t="s">
        <v>992</v>
      </c>
      <c r="G168" s="657" t="s">
        <v>1007</v>
      </c>
      <c r="H168" s="657" t="s">
        <v>967</v>
      </c>
      <c r="I168" s="667" t="s">
        <v>1009</v>
      </c>
      <c r="J168" s="668" t="s">
        <v>1010</v>
      </c>
      <c r="K168" s="669" t="s">
        <v>1011</v>
      </c>
      <c r="M168" s="670" t="s">
        <v>1235</v>
      </c>
      <c r="N168" s="661"/>
      <c r="Q168" s="395" t="s">
        <v>455</v>
      </c>
    </row>
    <row r="169" spans="1:25" x14ac:dyDescent="0.25">
      <c r="A169" s="600"/>
      <c r="B169" s="426" t="s">
        <v>933</v>
      </c>
      <c r="E169" s="622"/>
      <c r="F169" s="624"/>
      <c r="H169" s="624"/>
      <c r="I169" s="624"/>
      <c r="J169" s="662"/>
      <c r="M169" s="671"/>
    </row>
    <row r="170" spans="1:25" x14ac:dyDescent="0.25">
      <c r="I170" s="672"/>
    </row>
    <row r="171" spans="1:25" x14ac:dyDescent="0.25">
      <c r="A171" s="673" t="s">
        <v>1012</v>
      </c>
      <c r="B171" s="605"/>
      <c r="C171" s="605"/>
      <c r="D171" s="605"/>
      <c r="E171" s="605"/>
      <c r="F171" s="605"/>
      <c r="G171" s="605"/>
      <c r="H171" s="605"/>
      <c r="I171" s="605"/>
      <c r="J171" s="605"/>
    </row>
    <row r="172" spans="1:25" ht="15.75" thickBot="1" x14ac:dyDescent="0.3">
      <c r="A172" s="834">
        <v>41529</v>
      </c>
      <c r="B172" s="901" t="s">
        <v>1240</v>
      </c>
      <c r="C172" s="605"/>
      <c r="D172" s="605"/>
      <c r="E172" s="605"/>
      <c r="F172" s="605"/>
      <c r="G172" s="605"/>
      <c r="H172" s="605"/>
      <c r="I172" s="605"/>
      <c r="J172" s="605"/>
    </row>
    <row r="173" spans="1:25" ht="15.75" thickBot="1" x14ac:dyDescent="0.3">
      <c r="A173" s="978" t="s">
        <v>31</v>
      </c>
      <c r="B173" s="426" t="s">
        <v>913</v>
      </c>
      <c r="C173" s="612" t="s">
        <v>919</v>
      </c>
      <c r="D173" s="612" t="s">
        <v>765</v>
      </c>
      <c r="L173" s="674"/>
    </row>
    <row r="174" spans="1:25" x14ac:dyDescent="0.25">
      <c r="A174" s="979"/>
      <c r="B174" s="431" t="s">
        <v>916</v>
      </c>
      <c r="C174" s="614"/>
      <c r="D174" s="614"/>
    </row>
    <row r="175" spans="1:25" x14ac:dyDescent="0.25">
      <c r="A175" s="979"/>
      <c r="B175" s="426" t="s">
        <v>922</v>
      </c>
      <c r="C175" s="879" t="s">
        <v>1228</v>
      </c>
      <c r="D175" s="879" t="s">
        <v>1228</v>
      </c>
    </row>
    <row r="176" spans="1:25" x14ac:dyDescent="0.25">
      <c r="A176" s="979"/>
      <c r="B176" s="426" t="s">
        <v>926</v>
      </c>
      <c r="C176" s="619" t="s">
        <v>156</v>
      </c>
      <c r="D176" s="620" t="s">
        <v>929</v>
      </c>
    </row>
    <row r="177" spans="1:22" x14ac:dyDescent="0.25">
      <c r="A177" s="979"/>
      <c r="B177" s="426" t="s">
        <v>930</v>
      </c>
      <c r="C177" s="622" t="s">
        <v>932</v>
      </c>
    </row>
    <row r="178" spans="1:22" x14ac:dyDescent="0.25">
      <c r="A178" s="979"/>
      <c r="B178" s="426" t="s">
        <v>933</v>
      </c>
      <c r="C178" s="624" t="s">
        <v>1146</v>
      </c>
    </row>
    <row r="180" spans="1:22" ht="15.75" thickBot="1" x14ac:dyDescent="0.3">
      <c r="A180" s="605" t="s">
        <v>1013</v>
      </c>
      <c r="B180" s="605"/>
      <c r="C180" s="605"/>
      <c r="D180" s="605"/>
      <c r="E180" s="605"/>
      <c r="F180" s="605"/>
      <c r="G180" s="605"/>
      <c r="H180" s="605"/>
      <c r="I180" s="605"/>
      <c r="J180" s="605"/>
    </row>
    <row r="181" spans="1:22" ht="15.75" thickBot="1" x14ac:dyDescent="0.3">
      <c r="A181" s="612" t="s">
        <v>1014</v>
      </c>
      <c r="B181" s="612" t="s">
        <v>1015</v>
      </c>
      <c r="J181" s="674"/>
    </row>
    <row r="183" spans="1:22" ht="15.75" thickBot="1" x14ac:dyDescent="0.3">
      <c r="A183" s="673" t="s">
        <v>1215</v>
      </c>
      <c r="B183" s="675"/>
      <c r="C183" s="675"/>
      <c r="D183" s="675"/>
      <c r="E183" s="675"/>
      <c r="F183" s="605"/>
      <c r="G183" s="605"/>
      <c r="H183" s="605"/>
      <c r="I183" s="605"/>
      <c r="J183" s="605"/>
    </row>
    <row r="184" spans="1:22" ht="15.75" thickBot="1" x14ac:dyDescent="0.3">
      <c r="A184" s="611" t="s">
        <v>1016</v>
      </c>
      <c r="B184" s="611" t="s">
        <v>1017</v>
      </c>
      <c r="C184" s="611" t="s">
        <v>976</v>
      </c>
      <c r="D184" s="611" t="s">
        <v>1018</v>
      </c>
      <c r="E184" s="611" t="s">
        <v>951</v>
      </c>
      <c r="F184" s="611" t="s">
        <v>952</v>
      </c>
      <c r="G184" s="611" t="s">
        <v>953</v>
      </c>
      <c r="H184" s="611" t="s">
        <v>954</v>
      </c>
      <c r="I184" s="611" t="s">
        <v>955</v>
      </c>
      <c r="J184" s="611" t="s">
        <v>1019</v>
      </c>
      <c r="K184" s="611" t="s">
        <v>1020</v>
      </c>
      <c r="L184" s="611" t="s">
        <v>1021</v>
      </c>
      <c r="M184" s="611" t="s">
        <v>1022</v>
      </c>
      <c r="N184" s="611" t="s">
        <v>1023</v>
      </c>
      <c r="O184" s="611" t="s">
        <v>1024</v>
      </c>
      <c r="P184" s="611" t="s">
        <v>1025</v>
      </c>
      <c r="Q184" s="611" t="s">
        <v>1026</v>
      </c>
      <c r="R184" s="611" t="s">
        <v>1027</v>
      </c>
      <c r="S184" s="611" t="s">
        <v>1028</v>
      </c>
      <c r="T184" s="611" t="s">
        <v>1029</v>
      </c>
      <c r="U184" s="611" t="s">
        <v>1030</v>
      </c>
      <c r="V184" s="676" t="s">
        <v>1031</v>
      </c>
    </row>
    <row r="186" spans="1:22" ht="15.75" thickBot="1" x14ac:dyDescent="0.3">
      <c r="A186" s="605" t="s">
        <v>1032</v>
      </c>
    </row>
    <row r="187" spans="1:22" ht="15.75" thickBot="1" x14ac:dyDescent="0.3">
      <c r="A187" s="611" t="s">
        <v>68</v>
      </c>
      <c r="B187" s="611" t="s">
        <v>895</v>
      </c>
      <c r="C187" s="611" t="s">
        <v>1018</v>
      </c>
      <c r="D187" s="611" t="s">
        <v>1023</v>
      </c>
      <c r="E187" s="611" t="s">
        <v>951</v>
      </c>
      <c r="F187" s="611" t="s">
        <v>952</v>
      </c>
      <c r="G187" s="611" t="s">
        <v>953</v>
      </c>
      <c r="H187" s="611" t="s">
        <v>954</v>
      </c>
      <c r="I187" s="611" t="s">
        <v>955</v>
      </c>
      <c r="J187" s="611" t="s">
        <v>1026</v>
      </c>
      <c r="K187" s="611" t="s">
        <v>1027</v>
      </c>
      <c r="L187" s="611" t="s">
        <v>1028</v>
      </c>
      <c r="M187" s="611" t="s">
        <v>1029</v>
      </c>
      <c r="N187" s="611" t="s">
        <v>1030</v>
      </c>
    </row>
    <row r="189" spans="1:22" ht="15.75" thickBot="1" x14ac:dyDescent="0.3">
      <c r="A189" s="605" t="s">
        <v>1033</v>
      </c>
    </row>
    <row r="190" spans="1:22" ht="15.75" thickBot="1" x14ac:dyDescent="0.3">
      <c r="A190" s="611" t="s">
        <v>1034</v>
      </c>
      <c r="B190" s="611" t="s">
        <v>895</v>
      </c>
      <c r="C190" s="611" t="s">
        <v>1035</v>
      </c>
    </row>
    <row r="191" spans="1:22" x14ac:dyDescent="0.25">
      <c r="A191" s="422" t="s">
        <v>243</v>
      </c>
      <c r="B191" s="422" t="s">
        <v>1036</v>
      </c>
      <c r="C191" s="422" t="s">
        <v>927</v>
      </c>
    </row>
    <row r="192" spans="1:22" x14ac:dyDescent="0.25">
      <c r="I192" s="672"/>
    </row>
    <row r="193" spans="1:14" ht="15.75" thickBot="1" x14ac:dyDescent="0.3">
      <c r="A193" s="834" t="s">
        <v>1253</v>
      </c>
      <c r="B193" s="605"/>
      <c r="C193" s="605"/>
      <c r="D193" s="605"/>
      <c r="E193" s="605"/>
      <c r="F193" s="605"/>
      <c r="G193" s="605"/>
      <c r="H193" s="605"/>
      <c r="I193" s="605"/>
      <c r="J193" s="605"/>
    </row>
    <row r="194" spans="1:14" x14ac:dyDescent="0.25">
      <c r="A194" s="980" t="s">
        <v>1250</v>
      </c>
      <c r="B194" s="426" t="s">
        <v>913</v>
      </c>
      <c r="C194" s="941" t="s">
        <v>1254</v>
      </c>
      <c r="D194" s="942" t="s">
        <v>1248</v>
      </c>
      <c r="L194" s="674"/>
    </row>
    <row r="195" spans="1:14" x14ac:dyDescent="0.25">
      <c r="A195" s="981"/>
      <c r="B195" s="431" t="s">
        <v>916</v>
      </c>
      <c r="C195" s="939" t="s">
        <v>768</v>
      </c>
      <c r="D195" s="940" t="s">
        <v>768</v>
      </c>
    </row>
    <row r="196" spans="1:14" x14ac:dyDescent="0.25">
      <c r="A196" s="981"/>
      <c r="B196" s="426" t="s">
        <v>922</v>
      </c>
      <c r="C196" s="879" t="s">
        <v>1255</v>
      </c>
      <c r="D196" s="879" t="s">
        <v>1256</v>
      </c>
    </row>
    <row r="197" spans="1:14" x14ac:dyDescent="0.25">
      <c r="A197" s="981"/>
      <c r="B197" s="426" t="s">
        <v>926</v>
      </c>
      <c r="C197" s="620" t="s">
        <v>929</v>
      </c>
      <c r="D197" s="938" t="s">
        <v>165</v>
      </c>
    </row>
    <row r="198" spans="1:14" x14ac:dyDescent="0.25">
      <c r="A198" s="981"/>
      <c r="B198" s="426" t="s">
        <v>930</v>
      </c>
      <c r="C198" s="622"/>
    </row>
    <row r="199" spans="1:14" x14ac:dyDescent="0.25">
      <c r="A199" s="981"/>
      <c r="B199" s="426" t="s">
        <v>933</v>
      </c>
      <c r="C199" s="624"/>
    </row>
    <row r="200" spans="1:14" ht="15.75" thickBot="1" x14ac:dyDescent="0.3">
      <c r="A200" s="422"/>
      <c r="B200" s="422"/>
    </row>
    <row r="201" spans="1:14" ht="15.75" thickBot="1" x14ac:dyDescent="0.3">
      <c r="A201" s="677" t="s">
        <v>1037</v>
      </c>
      <c r="B201" s="422"/>
      <c r="I201" s="678" t="s">
        <v>110</v>
      </c>
      <c r="N201" s="679" t="s">
        <v>875</v>
      </c>
    </row>
    <row r="202" spans="1:14" s="424" customFormat="1" ht="25.5" x14ac:dyDescent="0.25">
      <c r="A202" s="426" t="s">
        <v>739</v>
      </c>
      <c r="B202" s="680" t="s">
        <v>1038</v>
      </c>
      <c r="C202" s="570" t="s">
        <v>1039</v>
      </c>
      <c r="D202" s="681" t="s">
        <v>1040</v>
      </c>
      <c r="E202" s="681" t="s">
        <v>1041</v>
      </c>
      <c r="F202" s="682" t="s">
        <v>1042</v>
      </c>
      <c r="G202" s="682" t="s">
        <v>1043</v>
      </c>
      <c r="H202" s="682" t="s">
        <v>1044</v>
      </c>
      <c r="I202" s="683" t="s">
        <v>1045</v>
      </c>
      <c r="J202" s="684" t="s">
        <v>1046</v>
      </c>
      <c r="K202" s="685" t="s">
        <v>1047</v>
      </c>
      <c r="L202" s="686" t="s">
        <v>1048</v>
      </c>
      <c r="M202" s="686" t="s">
        <v>1049</v>
      </c>
      <c r="N202" s="686" t="s">
        <v>259</v>
      </c>
    </row>
    <row r="203" spans="1:14" s="424" customFormat="1" x14ac:dyDescent="0.25">
      <c r="A203" s="431" t="s">
        <v>1213</v>
      </c>
      <c r="B203" s="588"/>
      <c r="C203" s="589"/>
    </row>
    <row r="204" spans="1:14" s="424" customFormat="1" x14ac:dyDescent="0.25">
      <c r="A204" s="426" t="s">
        <v>769</v>
      </c>
      <c r="B204" s="437">
        <v>1</v>
      </c>
      <c r="C204" s="437">
        <v>5</v>
      </c>
      <c r="D204" s="687">
        <v>45</v>
      </c>
      <c r="E204" s="687">
        <v>5</v>
      </c>
      <c r="F204" s="687">
        <v>7</v>
      </c>
      <c r="G204" s="687">
        <v>16</v>
      </c>
      <c r="H204" s="687">
        <v>10</v>
      </c>
      <c r="I204" s="687" t="s">
        <v>1050</v>
      </c>
      <c r="J204" s="687" t="s">
        <v>1051</v>
      </c>
      <c r="K204" s="687">
        <v>10</v>
      </c>
      <c r="L204" s="687" t="s">
        <v>1052</v>
      </c>
      <c r="M204" s="687" t="s">
        <v>923</v>
      </c>
      <c r="N204" s="687" t="s">
        <v>923</v>
      </c>
    </row>
    <row r="205" spans="1:14" s="424" customFormat="1" x14ac:dyDescent="0.25">
      <c r="A205" s="426" t="s">
        <v>771</v>
      </c>
      <c r="B205" s="688" t="s">
        <v>1053</v>
      </c>
      <c r="C205" s="437" t="s">
        <v>1054</v>
      </c>
      <c r="D205" s="437">
        <v>13</v>
      </c>
      <c r="E205" s="437">
        <v>14</v>
      </c>
      <c r="F205" s="437">
        <v>15</v>
      </c>
      <c r="G205" s="437">
        <v>16</v>
      </c>
      <c r="H205" s="437">
        <v>17</v>
      </c>
      <c r="I205" s="437">
        <v>18</v>
      </c>
      <c r="J205" s="437">
        <v>19</v>
      </c>
      <c r="K205" s="437">
        <v>20</v>
      </c>
      <c r="L205" s="437">
        <v>21</v>
      </c>
      <c r="M205" s="437">
        <v>22</v>
      </c>
      <c r="N205" s="437">
        <v>23</v>
      </c>
    </row>
    <row r="206" spans="1:14" s="615" customFormat="1" x14ac:dyDescent="0.25">
      <c r="A206" s="689" t="s">
        <v>772</v>
      </c>
      <c r="L206" s="615" t="s">
        <v>931</v>
      </c>
      <c r="M206" s="615" t="s">
        <v>931</v>
      </c>
      <c r="N206" s="615" t="s">
        <v>1055</v>
      </c>
    </row>
    <row r="207" spans="1:14" s="422" customFormat="1" x14ac:dyDescent="0.25">
      <c r="A207" s="426" t="s">
        <v>780</v>
      </c>
      <c r="C207" s="422" t="s">
        <v>1056</v>
      </c>
    </row>
    <row r="209" spans="1:39" s="424" customFormat="1" ht="25.5" x14ac:dyDescent="0.25">
      <c r="A209" s="426" t="s">
        <v>739</v>
      </c>
      <c r="B209" s="570" t="s">
        <v>1057</v>
      </c>
      <c r="C209" s="570" t="s">
        <v>1058</v>
      </c>
      <c r="D209" s="570" t="s">
        <v>1039</v>
      </c>
      <c r="E209" s="571" t="s">
        <v>866</v>
      </c>
      <c r="F209" s="572" t="s">
        <v>867</v>
      </c>
      <c r="G209" s="573" t="s">
        <v>868</v>
      </c>
      <c r="H209" s="570" t="s">
        <v>1059</v>
      </c>
      <c r="I209" s="570" t="s">
        <v>798</v>
      </c>
      <c r="J209" s="570" t="s">
        <v>869</v>
      </c>
      <c r="K209" s="570" t="s">
        <v>1060</v>
      </c>
      <c r="M209" s="574" t="s">
        <v>870</v>
      </c>
      <c r="N209" s="575" t="s">
        <v>871</v>
      </c>
      <c r="O209" s="576"/>
      <c r="P209" s="577" t="s">
        <v>101</v>
      </c>
      <c r="Q209" s="578" t="s">
        <v>872</v>
      </c>
      <c r="R209" s="577" t="s">
        <v>105</v>
      </c>
      <c r="S209" s="577" t="s">
        <v>51</v>
      </c>
      <c r="T209" s="577" t="s">
        <v>108</v>
      </c>
      <c r="U209" s="579" t="s">
        <v>110</v>
      </c>
      <c r="V209" s="580" t="s">
        <v>873</v>
      </c>
      <c r="W209" s="581" t="s">
        <v>874</v>
      </c>
      <c r="X209" s="577" t="s">
        <v>875</v>
      </c>
      <c r="Y209" s="582" t="s">
        <v>93</v>
      </c>
      <c r="Z209" s="583" t="s">
        <v>93</v>
      </c>
      <c r="AA209" s="583" t="s">
        <v>93</v>
      </c>
      <c r="AB209" s="583" t="s">
        <v>93</v>
      </c>
      <c r="AC209" s="577" t="s">
        <v>93</v>
      </c>
      <c r="AD209" s="577" t="s">
        <v>876</v>
      </c>
      <c r="AE209" s="577"/>
      <c r="AF209" s="577" t="s">
        <v>93</v>
      </c>
      <c r="AG209" s="577" t="s">
        <v>93</v>
      </c>
      <c r="AH209" s="584" t="s">
        <v>877</v>
      </c>
      <c r="AI209" s="585" t="s">
        <v>93</v>
      </c>
      <c r="AJ209" s="577" t="s">
        <v>93</v>
      </c>
      <c r="AK209" s="577" t="s">
        <v>93</v>
      </c>
      <c r="AL209" s="586" t="s">
        <v>878</v>
      </c>
      <c r="AM209" s="587"/>
    </row>
    <row r="210" spans="1:39" s="424" customFormat="1" x14ac:dyDescent="0.25">
      <c r="A210" s="431" t="s">
        <v>767</v>
      </c>
      <c r="B210" s="588"/>
      <c r="C210" s="588" t="str">
        <f>IF(B210&lt;&gt;"",1,"")</f>
        <v/>
      </c>
      <c r="D210" s="589"/>
      <c r="E210" s="690"/>
      <c r="F210" s="433"/>
      <c r="G210" s="592">
        <f>U210</f>
        <v>0</v>
      </c>
      <c r="H210" s="434"/>
      <c r="I210" s="438"/>
    </row>
    <row r="211" spans="1:39" s="424" customFormat="1" x14ac:dyDescent="0.25">
      <c r="A211" s="426" t="s">
        <v>769</v>
      </c>
      <c r="B211" s="437">
        <v>1</v>
      </c>
      <c r="C211" s="437"/>
      <c r="D211" s="437">
        <v>5</v>
      </c>
      <c r="E211" s="437">
        <v>8</v>
      </c>
      <c r="F211" s="437">
        <v>13</v>
      </c>
      <c r="G211" s="437">
        <v>14</v>
      </c>
      <c r="H211" s="437">
        <v>11</v>
      </c>
      <c r="I211" s="438">
        <v>20</v>
      </c>
      <c r="J211" s="439">
        <v>15</v>
      </c>
      <c r="K211" s="439">
        <v>10</v>
      </c>
      <c r="L211" s="439">
        <v>6</v>
      </c>
      <c r="M211" s="439">
        <v>6</v>
      </c>
      <c r="N211" s="439">
        <v>10</v>
      </c>
      <c r="O211" s="439">
        <v>1</v>
      </c>
      <c r="P211" s="439">
        <v>45</v>
      </c>
      <c r="Q211" s="439"/>
      <c r="R211" s="439">
        <v>13</v>
      </c>
      <c r="S211" s="439">
        <v>16</v>
      </c>
      <c r="T211" s="439">
        <v>10</v>
      </c>
      <c r="U211" s="439">
        <v>10</v>
      </c>
      <c r="V211" s="439">
        <v>10</v>
      </c>
      <c r="W211" s="439">
        <v>10</v>
      </c>
      <c r="X211" s="439">
        <v>10</v>
      </c>
      <c r="Y211" s="439">
        <v>10</v>
      </c>
      <c r="Z211" s="439">
        <v>0</v>
      </c>
      <c r="AA211" s="439">
        <v>0</v>
      </c>
      <c r="AB211" s="439">
        <v>0</v>
      </c>
      <c r="AC211" s="439">
        <v>0</v>
      </c>
      <c r="AD211" s="439">
        <v>0</v>
      </c>
      <c r="AE211" s="439"/>
      <c r="AF211" s="439">
        <v>0</v>
      </c>
      <c r="AG211" s="439">
        <v>0</v>
      </c>
      <c r="AH211" s="439">
        <v>0</v>
      </c>
      <c r="AI211" s="439">
        <v>0</v>
      </c>
      <c r="AJ211" s="439">
        <v>0</v>
      </c>
      <c r="AK211" s="439">
        <v>0</v>
      </c>
      <c r="AL211" s="439">
        <v>0</v>
      </c>
      <c r="AM211" s="439">
        <v>0</v>
      </c>
    </row>
    <row r="212" spans="1:39" s="424" customFormat="1" x14ac:dyDescent="0.25">
      <c r="A212" s="426" t="s">
        <v>771</v>
      </c>
      <c r="B212" s="437">
        <v>5</v>
      </c>
      <c r="C212" s="437"/>
      <c r="D212" s="437">
        <v>1</v>
      </c>
      <c r="E212" s="437">
        <v>2</v>
      </c>
      <c r="F212" s="437">
        <v>2</v>
      </c>
      <c r="G212" s="437"/>
      <c r="H212" s="437">
        <v>2</v>
      </c>
      <c r="I212" s="424">
        <v>2</v>
      </c>
      <c r="J212" s="424">
        <v>2</v>
      </c>
      <c r="K212" s="437">
        <v>2</v>
      </c>
      <c r="L212" s="438">
        <v>-1</v>
      </c>
      <c r="M212" s="437"/>
      <c r="P212" s="437"/>
      <c r="Q212" s="437"/>
      <c r="R212" s="439"/>
      <c r="S212" s="439"/>
      <c r="T212" s="439"/>
      <c r="U212" s="439"/>
      <c r="V212" s="439"/>
      <c r="W212" s="439"/>
      <c r="X212" s="439"/>
      <c r="Y212" s="439"/>
      <c r="Z212" s="439"/>
      <c r="AA212" s="440"/>
      <c r="AB212" s="439"/>
      <c r="AC212" s="439"/>
      <c r="AD212" s="439"/>
      <c r="AE212" s="439"/>
      <c r="AF212" s="439"/>
      <c r="AG212" s="439"/>
      <c r="AH212" s="439"/>
    </row>
    <row r="213" spans="1:39" s="424" customFormat="1" ht="44.25" customHeight="1" x14ac:dyDescent="0.25">
      <c r="A213" s="426" t="s">
        <v>772</v>
      </c>
      <c r="B213" s="691"/>
      <c r="C213" s="692" t="s">
        <v>1061</v>
      </c>
      <c r="D213" s="693" t="s">
        <v>1062</v>
      </c>
      <c r="E213" s="694" t="s">
        <v>1063</v>
      </c>
      <c r="F213" s="694" t="s">
        <v>1064</v>
      </c>
      <c r="G213" s="437"/>
      <c r="H213" s="694" t="s">
        <v>906</v>
      </c>
      <c r="I213" s="694" t="s">
        <v>905</v>
      </c>
      <c r="J213" s="691" t="s">
        <v>908</v>
      </c>
      <c r="K213" s="691" t="s">
        <v>1065</v>
      </c>
      <c r="L213" s="437"/>
      <c r="M213" s="437"/>
      <c r="P213" s="695" t="s">
        <v>881</v>
      </c>
      <c r="Q213" s="695"/>
      <c r="R213" s="439"/>
      <c r="S213" s="439"/>
      <c r="T213" s="439"/>
      <c r="U213" s="439"/>
      <c r="V213" s="439"/>
      <c r="W213" s="439"/>
      <c r="X213" s="439"/>
      <c r="Y213" s="439"/>
      <c r="Z213" s="439"/>
      <c r="AA213" s="440"/>
      <c r="AB213" s="439"/>
      <c r="AC213" s="439"/>
      <c r="AD213" s="439"/>
      <c r="AE213" s="439"/>
      <c r="AF213" s="439"/>
      <c r="AG213" s="439"/>
      <c r="AH213" s="439"/>
    </row>
    <row r="214" spans="1:39" s="424" customFormat="1" x14ac:dyDescent="0.25">
      <c r="A214" s="426" t="s">
        <v>780</v>
      </c>
      <c r="B214" s="437" t="s">
        <v>882</v>
      </c>
      <c r="C214" s="437"/>
      <c r="D214" s="437"/>
      <c r="E214" s="448"/>
      <c r="F214" s="448"/>
      <c r="G214" s="448"/>
      <c r="H214" s="448"/>
      <c r="I214" s="438"/>
      <c r="J214" s="437"/>
      <c r="K214" s="437"/>
      <c r="L214" s="437"/>
      <c r="M214" s="437"/>
      <c r="P214" s="437"/>
      <c r="Q214" s="437"/>
      <c r="R214" s="439"/>
      <c r="S214" s="439"/>
      <c r="T214" s="439"/>
      <c r="U214" s="439"/>
      <c r="V214" s="439"/>
      <c r="W214" s="439"/>
      <c r="X214" s="439"/>
      <c r="Y214" s="439"/>
      <c r="Z214" s="439"/>
      <c r="AA214" s="440"/>
      <c r="AB214" s="439"/>
      <c r="AC214" s="439"/>
      <c r="AD214" s="439"/>
      <c r="AE214" s="439"/>
      <c r="AF214" s="439"/>
      <c r="AG214" s="439"/>
      <c r="AH214" s="439"/>
    </row>
    <row r="216" spans="1:39" ht="15.75" thickBot="1" x14ac:dyDescent="0.3">
      <c r="A216" s="677" t="s">
        <v>1066</v>
      </c>
      <c r="B216" s="422"/>
    </row>
    <row r="217" spans="1:39" ht="29.25" customHeight="1" thickBot="1" x14ac:dyDescent="0.3">
      <c r="A217" s="426" t="s">
        <v>739</v>
      </c>
      <c r="B217" s="696" t="s">
        <v>1067</v>
      </c>
      <c r="C217" s="696" t="s">
        <v>1068</v>
      </c>
      <c r="D217" s="696" t="s">
        <v>1069</v>
      </c>
      <c r="E217" s="696" t="s">
        <v>867</v>
      </c>
      <c r="F217" s="696" t="s">
        <v>108</v>
      </c>
      <c r="G217" s="696" t="s">
        <v>798</v>
      </c>
      <c r="H217" s="696" t="s">
        <v>126</v>
      </c>
      <c r="I217" s="696" t="s">
        <v>1070</v>
      </c>
      <c r="J217" s="696" t="s">
        <v>1071</v>
      </c>
      <c r="K217" s="696" t="s">
        <v>1072</v>
      </c>
      <c r="L217" s="697" t="s">
        <v>921</v>
      </c>
      <c r="M217" s="696" t="s">
        <v>1073</v>
      </c>
    </row>
    <row r="218" spans="1:39" s="422" customFormat="1" x14ac:dyDescent="0.25">
      <c r="A218" s="431" t="s">
        <v>1213</v>
      </c>
      <c r="B218" s="422" t="s">
        <v>1074</v>
      </c>
      <c r="C218" s="422" t="s">
        <v>1075</v>
      </c>
      <c r="D218" s="422" t="s">
        <v>1076</v>
      </c>
      <c r="E218" s="433" t="s">
        <v>1077</v>
      </c>
      <c r="F218" s="422" t="s">
        <v>384</v>
      </c>
      <c r="G218" s="422" t="s">
        <v>1078</v>
      </c>
      <c r="H218" s="422" t="s">
        <v>1079</v>
      </c>
      <c r="I218" s="422" t="s">
        <v>1080</v>
      </c>
      <c r="J218" s="422" t="s">
        <v>1081</v>
      </c>
      <c r="K218" s="615" t="s">
        <v>168</v>
      </c>
      <c r="L218" s="698" t="str">
        <f>H218&amp;" "&amp;C218&amp;" "&amp;B218</f>
        <v>394-1234567 7749/169409 04.04.2013 14:26:36</v>
      </c>
      <c r="M218" s="615" t="s">
        <v>168</v>
      </c>
      <c r="N218" s="399"/>
    </row>
    <row r="219" spans="1:39" s="422" customFormat="1" x14ac:dyDescent="0.25">
      <c r="A219" s="426" t="s">
        <v>769</v>
      </c>
      <c r="B219" s="615" t="s">
        <v>937</v>
      </c>
      <c r="C219" s="615" t="s">
        <v>1051</v>
      </c>
      <c r="D219" s="615" t="s">
        <v>164</v>
      </c>
      <c r="E219" s="615" t="s">
        <v>927</v>
      </c>
      <c r="F219" s="615" t="s">
        <v>80</v>
      </c>
      <c r="G219" s="615" t="s">
        <v>50</v>
      </c>
      <c r="H219" s="615" t="s">
        <v>175</v>
      </c>
      <c r="I219" s="615" t="s">
        <v>164</v>
      </c>
      <c r="J219" s="615" t="s">
        <v>50</v>
      </c>
      <c r="K219" s="615" t="s">
        <v>1082</v>
      </c>
      <c r="L219" s="699" t="s">
        <v>1083</v>
      </c>
      <c r="M219" s="615" t="s">
        <v>1084</v>
      </c>
      <c r="N219" s="399"/>
    </row>
    <row r="220" spans="1:39" s="422" customFormat="1" x14ac:dyDescent="0.25">
      <c r="A220" s="426" t="s">
        <v>771</v>
      </c>
      <c r="B220" s="422" t="s">
        <v>168</v>
      </c>
      <c r="C220" s="422" t="s">
        <v>168</v>
      </c>
      <c r="D220" s="615" t="s">
        <v>880</v>
      </c>
      <c r="E220" s="615" t="s">
        <v>880</v>
      </c>
      <c r="F220" s="615" t="s">
        <v>880</v>
      </c>
      <c r="G220" s="615" t="s">
        <v>880</v>
      </c>
      <c r="H220" s="700" t="s">
        <v>1053</v>
      </c>
      <c r="I220" s="615" t="s">
        <v>1085</v>
      </c>
      <c r="J220" s="700" t="s">
        <v>1086</v>
      </c>
      <c r="K220" s="700" t="s">
        <v>1087</v>
      </c>
      <c r="L220" s="700" t="s">
        <v>1088</v>
      </c>
      <c r="M220" s="422" t="s">
        <v>168</v>
      </c>
      <c r="N220" s="399"/>
    </row>
    <row r="221" spans="1:39" s="422" customFormat="1" x14ac:dyDescent="0.25">
      <c r="A221" s="689" t="s">
        <v>772</v>
      </c>
      <c r="B221" s="422" t="s">
        <v>1089</v>
      </c>
      <c r="C221" s="872" t="s">
        <v>1090</v>
      </c>
      <c r="L221" s="701"/>
      <c r="N221" s="399"/>
    </row>
    <row r="222" spans="1:39" s="422" customFormat="1" x14ac:dyDescent="0.25">
      <c r="A222" s="426" t="s">
        <v>780</v>
      </c>
      <c r="D222" s="702" t="s">
        <v>882</v>
      </c>
      <c r="E222" s="422" t="s">
        <v>1091</v>
      </c>
      <c r="F222" s="422" t="s">
        <v>1092</v>
      </c>
      <c r="G222" s="422" t="s">
        <v>1093</v>
      </c>
      <c r="I222" s="703" t="s">
        <v>1094</v>
      </c>
      <c r="L222" s="704"/>
    </row>
    <row r="224" spans="1:39" x14ac:dyDescent="0.25">
      <c r="A224" s="677" t="s">
        <v>1095</v>
      </c>
      <c r="B224" s="422"/>
    </row>
    <row r="225" spans="1:18" s="424" customFormat="1" x14ac:dyDescent="0.25">
      <c r="A225" s="426" t="s">
        <v>739</v>
      </c>
      <c r="B225" s="705" t="s">
        <v>126</v>
      </c>
      <c r="C225" s="706" t="s">
        <v>1096</v>
      </c>
      <c r="D225" s="615"/>
      <c r="E225" s="615"/>
      <c r="F225" s="615"/>
      <c r="G225" s="399"/>
      <c r="H225" s="399"/>
      <c r="I225" s="399"/>
      <c r="J225" s="399"/>
      <c r="K225" s="399"/>
      <c r="L225" s="399"/>
      <c r="M225" s="399"/>
      <c r="N225" s="399"/>
    </row>
    <row r="226" spans="1:18" s="424" customFormat="1" x14ac:dyDescent="0.25">
      <c r="A226" s="431" t="s">
        <v>1213</v>
      </c>
      <c r="B226" s="707"/>
      <c r="C226" s="707"/>
      <c r="D226" s="615"/>
      <c r="E226" s="615"/>
      <c r="F226" s="615"/>
      <c r="G226" s="399"/>
      <c r="H226" s="399"/>
      <c r="I226" s="399"/>
      <c r="J226" s="399"/>
      <c r="K226" s="399"/>
      <c r="L226" s="399"/>
      <c r="M226" s="399"/>
      <c r="N226" s="399"/>
    </row>
    <row r="227" spans="1:18" s="424" customFormat="1" x14ac:dyDescent="0.25">
      <c r="A227" s="426" t="s">
        <v>769</v>
      </c>
      <c r="B227" s="437" t="s">
        <v>1097</v>
      </c>
      <c r="C227" s="437" t="s">
        <v>923</v>
      </c>
      <c r="D227" s="615"/>
      <c r="E227" s="615"/>
      <c r="F227" s="615"/>
      <c r="G227" s="399"/>
      <c r="H227" s="399"/>
      <c r="I227" s="399"/>
      <c r="J227" s="399"/>
      <c r="K227" s="399"/>
      <c r="L227" s="399"/>
      <c r="M227" s="399"/>
      <c r="N227" s="399"/>
    </row>
    <row r="228" spans="1:18" s="424" customFormat="1" x14ac:dyDescent="0.25">
      <c r="A228" s="426" t="s">
        <v>771</v>
      </c>
      <c r="B228" s="662">
        <v>4</v>
      </c>
      <c r="C228" s="662">
        <v>7</v>
      </c>
      <c r="D228" s="615"/>
      <c r="E228" s="615"/>
      <c r="F228" s="615"/>
      <c r="G228" s="399"/>
      <c r="H228" s="399"/>
      <c r="I228" s="399"/>
      <c r="J228" s="399"/>
      <c r="K228" s="399"/>
      <c r="L228" s="399"/>
      <c r="M228" s="399"/>
      <c r="N228" s="399"/>
    </row>
    <row r="229" spans="1:18" s="615" customFormat="1" x14ac:dyDescent="0.25">
      <c r="A229" s="689" t="s">
        <v>772</v>
      </c>
      <c r="B229" s="615" t="s">
        <v>1098</v>
      </c>
      <c r="C229" s="695" t="s">
        <v>1099</v>
      </c>
      <c r="G229" s="399"/>
      <c r="H229" s="399"/>
      <c r="I229" s="399"/>
      <c r="J229" s="399"/>
      <c r="K229" s="399"/>
      <c r="L229" s="399"/>
      <c r="M229" s="399"/>
      <c r="N229" s="399"/>
    </row>
    <row r="230" spans="1:18" s="422" customFormat="1" x14ac:dyDescent="0.25">
      <c r="A230" s="426" t="s">
        <v>780</v>
      </c>
      <c r="C230" s="615"/>
      <c r="D230" s="615"/>
      <c r="E230" s="615"/>
      <c r="F230" s="615"/>
      <c r="G230" s="399"/>
      <c r="H230" s="399"/>
      <c r="I230" s="399"/>
      <c r="J230" s="399"/>
      <c r="K230" s="399"/>
      <c r="L230" s="399"/>
      <c r="M230" s="399"/>
      <c r="N230" s="399"/>
    </row>
    <row r="232" spans="1:18" x14ac:dyDescent="0.25">
      <c r="A232" s="677" t="s">
        <v>1100</v>
      </c>
      <c r="B232" s="422"/>
    </row>
    <row r="233" spans="1:18" s="424" customFormat="1" x14ac:dyDescent="0.25">
      <c r="A233" s="426" t="s">
        <v>739</v>
      </c>
      <c r="B233" s="708" t="s">
        <v>126</v>
      </c>
      <c r="C233" s="708" t="s">
        <v>1101</v>
      </c>
      <c r="D233" s="708" t="s">
        <v>1102</v>
      </c>
      <c r="E233" s="708" t="s">
        <v>1103</v>
      </c>
      <c r="F233" s="708" t="s">
        <v>1104</v>
      </c>
      <c r="G233" s="708" t="s">
        <v>1105</v>
      </c>
      <c r="H233" s="708" t="s">
        <v>1106</v>
      </c>
      <c r="I233" s="708" t="s">
        <v>1107</v>
      </c>
      <c r="J233" s="708" t="s">
        <v>1108</v>
      </c>
      <c r="K233" s="708" t="s">
        <v>419</v>
      </c>
      <c r="L233" s="708" t="s">
        <v>1109</v>
      </c>
      <c r="M233" s="708" t="s">
        <v>1110</v>
      </c>
      <c r="N233" s="708" t="s">
        <v>1111</v>
      </c>
      <c r="O233" s="708" t="s">
        <v>1112</v>
      </c>
      <c r="P233" s="708" t="s">
        <v>1113</v>
      </c>
      <c r="Q233" s="708" t="s">
        <v>1114</v>
      </c>
      <c r="R233" s="708" t="s">
        <v>1115</v>
      </c>
    </row>
    <row r="234" spans="1:18" s="424" customFormat="1" x14ac:dyDescent="0.25">
      <c r="A234" s="431" t="s">
        <v>1213</v>
      </c>
      <c r="B234" s="688" t="s">
        <v>1116</v>
      </c>
      <c r="C234" s="688" t="s">
        <v>1117</v>
      </c>
      <c r="D234" s="688"/>
      <c r="E234" s="688"/>
      <c r="F234" s="688"/>
      <c r="G234" s="688"/>
      <c r="H234" s="688"/>
      <c r="I234" s="688"/>
      <c r="J234" s="688"/>
      <c r="K234" s="688"/>
      <c r="L234" s="688" t="s">
        <v>1117</v>
      </c>
      <c r="M234" s="688"/>
      <c r="N234" s="688"/>
      <c r="O234" s="688" t="s">
        <v>1117</v>
      </c>
      <c r="P234" s="688"/>
      <c r="Q234" s="688"/>
      <c r="R234" s="688"/>
    </row>
    <row r="235" spans="1:18" s="424" customFormat="1" x14ac:dyDescent="0.25">
      <c r="A235" s="426" t="s">
        <v>769</v>
      </c>
      <c r="B235" s="437" t="s">
        <v>1097</v>
      </c>
      <c r="C235" s="437" t="s">
        <v>1097</v>
      </c>
      <c r="D235" s="437" t="s">
        <v>1097</v>
      </c>
      <c r="E235" s="437" t="s">
        <v>923</v>
      </c>
      <c r="F235" s="437" t="s">
        <v>770</v>
      </c>
      <c r="G235" s="437" t="s">
        <v>1118</v>
      </c>
      <c r="H235" s="437" t="s">
        <v>1119</v>
      </c>
      <c r="I235" s="437" t="s">
        <v>923</v>
      </c>
      <c r="J235" s="437" t="s">
        <v>923</v>
      </c>
      <c r="K235" s="437" t="s">
        <v>1119</v>
      </c>
      <c r="L235" s="437">
        <v>1</v>
      </c>
      <c r="M235" s="437" t="s">
        <v>923</v>
      </c>
      <c r="N235" s="437" t="s">
        <v>925</v>
      </c>
      <c r="O235" s="437" t="s">
        <v>925</v>
      </c>
      <c r="P235" s="437" t="s">
        <v>925</v>
      </c>
      <c r="Q235" s="437" t="s">
        <v>925</v>
      </c>
      <c r="R235" s="437" t="s">
        <v>925</v>
      </c>
    </row>
    <row r="236" spans="1:18" s="424" customFormat="1" x14ac:dyDescent="0.25">
      <c r="A236" s="426" t="s">
        <v>771</v>
      </c>
      <c r="B236" s="662"/>
      <c r="C236" s="662"/>
      <c r="D236" s="615"/>
      <c r="E236" s="615"/>
      <c r="F236" s="615"/>
      <c r="G236" s="615"/>
      <c r="H236" s="615"/>
      <c r="I236" s="615"/>
      <c r="J236" s="615"/>
      <c r="K236" s="399"/>
      <c r="L236" s="615"/>
      <c r="M236" s="615"/>
      <c r="N236" s="615"/>
      <c r="O236" s="615"/>
      <c r="P236" s="615"/>
      <c r="Q236" s="615"/>
      <c r="R236" s="399"/>
    </row>
    <row r="237" spans="1:18" s="615" customFormat="1" x14ac:dyDescent="0.25">
      <c r="A237" s="689" t="s">
        <v>772</v>
      </c>
      <c r="F237" s="399"/>
      <c r="G237" s="399"/>
      <c r="H237" s="399"/>
      <c r="I237" s="399"/>
      <c r="J237" s="399"/>
      <c r="K237" s="399"/>
      <c r="L237" s="399"/>
      <c r="M237" s="399"/>
    </row>
    <row r="238" spans="1:18" s="422" customFormat="1" x14ac:dyDescent="0.25">
      <c r="A238" s="426" t="s">
        <v>780</v>
      </c>
      <c r="C238" s="615"/>
      <c r="D238" s="615"/>
      <c r="E238" s="615"/>
      <c r="F238" s="399"/>
      <c r="G238" s="399"/>
      <c r="H238" s="399"/>
      <c r="I238" s="399"/>
      <c r="J238" s="399"/>
      <c r="K238" s="399"/>
      <c r="L238" s="399"/>
      <c r="M238" s="399"/>
    </row>
    <row r="239" spans="1:18" s="710" customFormat="1" x14ac:dyDescent="0.25">
      <c r="A239" s="709"/>
      <c r="C239" s="657"/>
      <c r="D239" s="657"/>
      <c r="E239" s="657"/>
      <c r="F239" s="672"/>
      <c r="G239" s="672"/>
      <c r="H239" s="672"/>
      <c r="I239" s="672"/>
      <c r="J239" s="672"/>
      <c r="K239" s="672"/>
      <c r="L239" s="672"/>
      <c r="M239" s="672"/>
    </row>
    <row r="240" spans="1:18" x14ac:dyDescent="0.25">
      <c r="A240" s="677" t="s">
        <v>1120</v>
      </c>
      <c r="B240" s="422"/>
    </row>
    <row r="241" spans="1:48" s="424" customFormat="1" x14ac:dyDescent="0.25">
      <c r="A241" s="426" t="s">
        <v>739</v>
      </c>
      <c r="B241" s="708" t="s">
        <v>126</v>
      </c>
      <c r="C241" s="708" t="s">
        <v>1101</v>
      </c>
      <c r="D241" s="708" t="s">
        <v>1102</v>
      </c>
      <c r="E241" s="708" t="s">
        <v>1103</v>
      </c>
      <c r="F241" s="708" t="s">
        <v>1104</v>
      </c>
      <c r="G241" s="708" t="s">
        <v>1105</v>
      </c>
      <c r="H241" s="708" t="s">
        <v>1106</v>
      </c>
      <c r="I241" s="708" t="s">
        <v>1107</v>
      </c>
      <c r="J241" s="708" t="s">
        <v>1108</v>
      </c>
      <c r="K241" s="708" t="s">
        <v>419</v>
      </c>
      <c r="L241" s="708" t="s">
        <v>1109</v>
      </c>
      <c r="M241" s="708" t="s">
        <v>1110</v>
      </c>
      <c r="N241" s="708" t="s">
        <v>1111</v>
      </c>
      <c r="O241" s="708" t="s">
        <v>1112</v>
      </c>
      <c r="P241" s="708" t="s">
        <v>1113</v>
      </c>
      <c r="Q241" s="708" t="s">
        <v>1114</v>
      </c>
      <c r="R241" s="708" t="s">
        <v>1115</v>
      </c>
    </row>
    <row r="242" spans="1:48" s="424" customFormat="1" x14ac:dyDescent="0.25">
      <c r="A242" s="431" t="s">
        <v>1213</v>
      </c>
      <c r="B242" s="688" t="s">
        <v>1116</v>
      </c>
      <c r="C242" s="688" t="s">
        <v>1117</v>
      </c>
      <c r="D242" s="688"/>
      <c r="E242" s="688"/>
      <c r="F242" s="688"/>
      <c r="G242" s="688"/>
      <c r="H242" s="688"/>
      <c r="I242" s="688"/>
      <c r="J242" s="688"/>
      <c r="K242" s="688"/>
      <c r="L242" s="688" t="s">
        <v>1117</v>
      </c>
      <c r="M242" s="688"/>
      <c r="N242" s="688"/>
      <c r="O242" s="688" t="s">
        <v>1117</v>
      </c>
      <c r="P242" s="688"/>
      <c r="Q242" s="688"/>
      <c r="R242" s="688"/>
    </row>
    <row r="243" spans="1:48" s="424" customFormat="1" x14ac:dyDescent="0.25">
      <c r="A243" s="426" t="s">
        <v>769</v>
      </c>
      <c r="B243" s="437" t="s">
        <v>1097</v>
      </c>
      <c r="C243" s="437" t="s">
        <v>1097</v>
      </c>
      <c r="D243" s="437" t="s">
        <v>1097</v>
      </c>
      <c r="E243" s="437" t="s">
        <v>923</v>
      </c>
      <c r="F243" s="437" t="s">
        <v>770</v>
      </c>
      <c r="G243" s="437" t="s">
        <v>1118</v>
      </c>
      <c r="H243" s="437" t="s">
        <v>1119</v>
      </c>
      <c r="I243" s="437" t="s">
        <v>923</v>
      </c>
      <c r="J243" s="437" t="s">
        <v>923</v>
      </c>
      <c r="K243" s="437" t="s">
        <v>1119</v>
      </c>
      <c r="L243" s="437">
        <v>1</v>
      </c>
      <c r="M243" s="437" t="s">
        <v>923</v>
      </c>
      <c r="N243" s="437" t="s">
        <v>925</v>
      </c>
      <c r="O243" s="437" t="s">
        <v>925</v>
      </c>
      <c r="P243" s="437" t="s">
        <v>925</v>
      </c>
      <c r="Q243" s="437" t="s">
        <v>925</v>
      </c>
      <c r="R243" s="437" t="s">
        <v>925</v>
      </c>
    </row>
    <row r="244" spans="1:48" s="424" customFormat="1" x14ac:dyDescent="0.25">
      <c r="A244" s="426" t="s">
        <v>771</v>
      </c>
      <c r="B244" s="662"/>
      <c r="C244" s="662"/>
      <c r="D244" s="615"/>
      <c r="E244" s="615"/>
      <c r="F244" s="615"/>
      <c r="G244" s="615"/>
      <c r="H244" s="615"/>
      <c r="I244" s="615"/>
      <c r="J244" s="615"/>
      <c r="K244" s="399"/>
      <c r="L244" s="615"/>
      <c r="M244" s="615"/>
      <c r="N244" s="615"/>
      <c r="O244" s="615"/>
      <c r="P244" s="615"/>
      <c r="Q244" s="615"/>
      <c r="R244" s="399"/>
    </row>
    <row r="245" spans="1:48" s="615" customFormat="1" x14ac:dyDescent="0.25">
      <c r="A245" s="689" t="s">
        <v>772</v>
      </c>
      <c r="F245" s="399"/>
      <c r="G245" s="399"/>
      <c r="H245" s="399"/>
      <c r="I245" s="399"/>
      <c r="J245" s="399"/>
      <c r="K245" s="399"/>
      <c r="L245" s="399"/>
      <c r="M245" s="399"/>
    </row>
    <row r="246" spans="1:48" s="422" customFormat="1" x14ac:dyDescent="0.25">
      <c r="A246" s="426" t="s">
        <v>780</v>
      </c>
      <c r="C246" s="615"/>
      <c r="D246" s="615"/>
      <c r="E246" s="615"/>
      <c r="F246" s="399"/>
      <c r="G246" s="399"/>
      <c r="H246" s="399"/>
      <c r="I246" s="399"/>
      <c r="J246" s="399"/>
      <c r="K246" s="399"/>
      <c r="L246" s="399"/>
      <c r="M246" s="399"/>
    </row>
    <row r="247" spans="1:48" s="710" customFormat="1" x14ac:dyDescent="0.25">
      <c r="A247" s="709"/>
      <c r="C247" s="657"/>
      <c r="D247" s="657"/>
      <c r="E247" s="657"/>
      <c r="F247" s="672"/>
      <c r="G247" s="672"/>
      <c r="H247" s="672"/>
      <c r="I247" s="672"/>
      <c r="J247" s="672"/>
      <c r="K247" s="672"/>
      <c r="L247" s="672"/>
      <c r="M247" s="672"/>
    </row>
    <row r="248" spans="1:48" ht="15.75" thickBot="1" x14ac:dyDescent="0.3">
      <c r="A248" s="677" t="s">
        <v>1121</v>
      </c>
      <c r="G248" s="622"/>
    </row>
    <row r="249" spans="1:48" ht="71.25" thickBot="1" x14ac:dyDescent="0.3">
      <c r="A249" s="711" t="s">
        <v>1122</v>
      </c>
      <c r="B249" s="712" t="s">
        <v>1123</v>
      </c>
      <c r="C249" s="713">
        <v>40057</v>
      </c>
      <c r="D249" s="713">
        <v>40087</v>
      </c>
      <c r="E249" s="713">
        <v>40118</v>
      </c>
      <c r="F249" s="713">
        <v>40148</v>
      </c>
      <c r="G249" s="714" t="s">
        <v>1124</v>
      </c>
      <c r="H249" s="713">
        <v>40179</v>
      </c>
      <c r="I249" s="713">
        <v>40210</v>
      </c>
      <c r="J249" s="713">
        <v>40238</v>
      </c>
      <c r="K249" s="713">
        <v>40269</v>
      </c>
      <c r="L249" s="713">
        <v>40299</v>
      </c>
      <c r="M249" s="713">
        <v>40330</v>
      </c>
      <c r="N249" s="713">
        <v>40360</v>
      </c>
      <c r="O249" s="713">
        <v>40391</v>
      </c>
      <c r="P249" s="713">
        <v>40422</v>
      </c>
      <c r="Q249" s="713">
        <v>40452</v>
      </c>
      <c r="R249" s="713">
        <v>40483</v>
      </c>
      <c r="S249" s="713">
        <v>40513</v>
      </c>
      <c r="T249" s="714" t="s">
        <v>1125</v>
      </c>
      <c r="U249" s="713">
        <v>40544</v>
      </c>
      <c r="V249" s="713">
        <v>40575</v>
      </c>
      <c r="W249" s="713">
        <v>40603</v>
      </c>
      <c r="X249" s="713">
        <v>40634</v>
      </c>
      <c r="Y249" s="713">
        <v>40664</v>
      </c>
      <c r="Z249" s="713">
        <v>40695</v>
      </c>
      <c r="AA249" s="713">
        <v>40725</v>
      </c>
      <c r="AB249" s="713">
        <v>40756</v>
      </c>
      <c r="AC249" s="713">
        <v>40787</v>
      </c>
      <c r="AD249" s="713">
        <v>40817</v>
      </c>
      <c r="AE249" s="713"/>
      <c r="AF249" s="713">
        <v>40848</v>
      </c>
      <c r="AG249" s="713">
        <v>40878</v>
      </c>
      <c r="AH249" s="714" t="s">
        <v>1126</v>
      </c>
      <c r="AI249" s="713">
        <v>40909</v>
      </c>
      <c r="AJ249" s="713">
        <v>40940</v>
      </c>
      <c r="AK249" s="713">
        <v>40969</v>
      </c>
      <c r="AL249" s="713">
        <v>41000</v>
      </c>
      <c r="AM249" s="713">
        <v>41030</v>
      </c>
      <c r="AN249" s="713">
        <v>41061</v>
      </c>
      <c r="AO249" s="713">
        <v>41091</v>
      </c>
      <c r="AP249" s="713">
        <v>41122</v>
      </c>
      <c r="AQ249" s="713">
        <v>41153</v>
      </c>
      <c r="AR249" s="713">
        <v>41183</v>
      </c>
      <c r="AS249" s="713">
        <v>41214</v>
      </c>
      <c r="AT249" s="713">
        <v>41244</v>
      </c>
      <c r="AU249" s="714" t="s">
        <v>1127</v>
      </c>
      <c r="AV249" s="715" t="s">
        <v>1128</v>
      </c>
    </row>
    <row r="250" spans="1:48" x14ac:dyDescent="0.25">
      <c r="A250" s="716" t="s">
        <v>624</v>
      </c>
      <c r="B250" s="717" t="s">
        <v>623</v>
      </c>
      <c r="C250" s="718"/>
      <c r="D250" s="718"/>
      <c r="E250" s="718"/>
      <c r="F250" s="719"/>
      <c r="G250" s="720">
        <f t="shared" ref="G250:G282" si="0">SUM(C250:F250)</f>
        <v>0</v>
      </c>
      <c r="H250" s="718"/>
      <c r="I250" s="718"/>
      <c r="J250" s="718"/>
      <c r="K250" s="718"/>
      <c r="L250" s="718"/>
      <c r="M250" s="718"/>
      <c r="N250" s="718"/>
      <c r="O250" s="718"/>
      <c r="P250" s="718"/>
      <c r="Q250" s="718"/>
      <c r="R250" s="718"/>
      <c r="S250" s="718"/>
      <c r="T250" s="720">
        <f t="shared" ref="T250:T282" si="1">SUM(H250:S250)</f>
        <v>0</v>
      </c>
      <c r="U250" s="718"/>
      <c r="V250" s="718"/>
      <c r="W250" s="718"/>
      <c r="X250" s="718"/>
      <c r="Y250" s="718"/>
      <c r="Z250" s="718"/>
      <c r="AA250" s="718"/>
      <c r="AB250" s="718"/>
      <c r="AC250" s="718"/>
      <c r="AD250" s="718"/>
      <c r="AE250" s="718"/>
      <c r="AF250" s="718"/>
      <c r="AG250" s="718"/>
      <c r="AH250" s="720">
        <f t="shared" ref="AH250:AH282" si="2">SUM(U250:AG250)</f>
        <v>0</v>
      </c>
      <c r="AI250" s="718"/>
      <c r="AJ250" s="718"/>
      <c r="AK250" s="718"/>
      <c r="AL250" s="718"/>
      <c r="AM250" s="718"/>
      <c r="AN250" s="718"/>
      <c r="AO250" s="718"/>
      <c r="AP250" s="718"/>
      <c r="AQ250" s="718"/>
      <c r="AR250" s="718"/>
      <c r="AS250" s="718"/>
      <c r="AT250" s="718"/>
      <c r="AU250" s="720">
        <f t="shared" ref="AU250:AU282" si="3">SUM(AI250:AT250)</f>
        <v>0</v>
      </c>
      <c r="AV250" s="721">
        <f t="shared" ref="AV250:AV282" si="4">G250+T250+AH250+AU250</f>
        <v>0</v>
      </c>
    </row>
    <row r="251" spans="1:48" x14ac:dyDescent="0.25">
      <c r="A251" s="716" t="s">
        <v>624</v>
      </c>
      <c r="B251" s="717" t="s">
        <v>627</v>
      </c>
      <c r="C251" s="722"/>
      <c r="D251" s="722"/>
      <c r="E251" s="722"/>
      <c r="F251" s="723"/>
      <c r="G251" s="724">
        <f t="shared" si="0"/>
        <v>0</v>
      </c>
      <c r="H251" s="722"/>
      <c r="I251" s="722"/>
      <c r="J251" s="722"/>
      <c r="K251" s="722"/>
      <c r="L251" s="722"/>
      <c r="M251" s="722"/>
      <c r="N251" s="722"/>
      <c r="O251" s="722"/>
      <c r="P251" s="722"/>
      <c r="Q251" s="722"/>
      <c r="R251" s="722"/>
      <c r="S251" s="722"/>
      <c r="T251" s="724">
        <f t="shared" si="1"/>
        <v>0</v>
      </c>
      <c r="U251" s="722"/>
      <c r="V251" s="722"/>
      <c r="W251" s="722"/>
      <c r="X251" s="722"/>
      <c r="Y251" s="722"/>
      <c r="Z251" s="722"/>
      <c r="AA251" s="722"/>
      <c r="AB251" s="722"/>
      <c r="AC251" s="722"/>
      <c r="AD251" s="722"/>
      <c r="AE251" s="722"/>
      <c r="AF251" s="722"/>
      <c r="AG251" s="722"/>
      <c r="AH251" s="724">
        <f t="shared" si="2"/>
        <v>0</v>
      </c>
      <c r="AI251" s="722"/>
      <c r="AJ251" s="722"/>
      <c r="AK251" s="722"/>
      <c r="AL251" s="722"/>
      <c r="AM251" s="722"/>
      <c r="AN251" s="722"/>
      <c r="AO251" s="722"/>
      <c r="AP251" s="722"/>
      <c r="AQ251" s="722"/>
      <c r="AR251" s="722"/>
      <c r="AS251" s="722"/>
      <c r="AT251" s="722"/>
      <c r="AU251" s="724">
        <f t="shared" si="3"/>
        <v>0</v>
      </c>
      <c r="AV251" s="721">
        <f t="shared" si="4"/>
        <v>0</v>
      </c>
    </row>
    <row r="252" spans="1:48" x14ac:dyDescent="0.25">
      <c r="A252" s="716" t="s">
        <v>624</v>
      </c>
      <c r="B252" s="717" t="s">
        <v>630</v>
      </c>
      <c r="C252" s="722"/>
      <c r="D252" s="722"/>
      <c r="E252" s="722"/>
      <c r="F252" s="723"/>
      <c r="G252" s="724">
        <f t="shared" si="0"/>
        <v>0</v>
      </c>
      <c r="H252" s="722"/>
      <c r="I252" s="722"/>
      <c r="J252" s="722"/>
      <c r="K252" s="722"/>
      <c r="L252" s="722"/>
      <c r="M252" s="722"/>
      <c r="N252" s="722"/>
      <c r="O252" s="722"/>
      <c r="P252" s="722"/>
      <c r="Q252" s="722"/>
      <c r="R252" s="722"/>
      <c r="S252" s="722"/>
      <c r="T252" s="724">
        <f t="shared" si="1"/>
        <v>0</v>
      </c>
      <c r="U252" s="722"/>
      <c r="V252" s="722"/>
      <c r="W252" s="722"/>
      <c r="X252" s="722"/>
      <c r="Y252" s="722"/>
      <c r="Z252" s="722"/>
      <c r="AA252" s="722"/>
      <c r="AB252" s="722"/>
      <c r="AC252" s="722"/>
      <c r="AD252" s="722"/>
      <c r="AE252" s="722"/>
      <c r="AF252" s="722"/>
      <c r="AG252" s="722"/>
      <c r="AH252" s="724">
        <f t="shared" si="2"/>
        <v>0</v>
      </c>
      <c r="AI252" s="722"/>
      <c r="AJ252" s="722"/>
      <c r="AK252" s="722"/>
      <c r="AL252" s="722"/>
      <c r="AM252" s="722"/>
      <c r="AN252" s="722"/>
      <c r="AO252" s="722"/>
      <c r="AP252" s="722"/>
      <c r="AQ252" s="722"/>
      <c r="AR252" s="722"/>
      <c r="AS252" s="722"/>
      <c r="AT252" s="722"/>
      <c r="AU252" s="724">
        <f t="shared" si="3"/>
        <v>0</v>
      </c>
      <c r="AV252" s="721">
        <f t="shared" si="4"/>
        <v>0</v>
      </c>
    </row>
    <row r="253" spans="1:48" x14ac:dyDescent="0.25">
      <c r="A253" s="725" t="s">
        <v>624</v>
      </c>
      <c r="B253" s="717" t="s">
        <v>632</v>
      </c>
      <c r="C253" s="722"/>
      <c r="D253" s="722"/>
      <c r="E253" s="722"/>
      <c r="F253" s="723"/>
      <c r="G253" s="724">
        <f t="shared" si="0"/>
        <v>0</v>
      </c>
      <c r="H253" s="722"/>
      <c r="I253" s="722"/>
      <c r="J253" s="722"/>
      <c r="K253" s="722"/>
      <c r="L253" s="722"/>
      <c r="M253" s="722"/>
      <c r="N253" s="722"/>
      <c r="O253" s="722"/>
      <c r="P253" s="722"/>
      <c r="Q253" s="722"/>
      <c r="R253" s="722"/>
      <c r="S253" s="722"/>
      <c r="T253" s="724">
        <f t="shared" si="1"/>
        <v>0</v>
      </c>
      <c r="U253" s="722"/>
      <c r="V253" s="722"/>
      <c r="W253" s="722"/>
      <c r="X253" s="722"/>
      <c r="Y253" s="722"/>
      <c r="Z253" s="722"/>
      <c r="AA253" s="722"/>
      <c r="AB253" s="722"/>
      <c r="AC253" s="722"/>
      <c r="AD253" s="722"/>
      <c r="AE253" s="722"/>
      <c r="AF253" s="722"/>
      <c r="AG253" s="722"/>
      <c r="AH253" s="724">
        <f t="shared" si="2"/>
        <v>0</v>
      </c>
      <c r="AI253" s="722"/>
      <c r="AJ253" s="722"/>
      <c r="AK253" s="722"/>
      <c r="AL253" s="722"/>
      <c r="AM253" s="722"/>
      <c r="AN253" s="722"/>
      <c r="AO253" s="722"/>
      <c r="AP253" s="722"/>
      <c r="AQ253" s="722"/>
      <c r="AR253" s="722"/>
      <c r="AS253" s="722"/>
      <c r="AT253" s="722"/>
      <c r="AU253" s="724">
        <f t="shared" si="3"/>
        <v>0</v>
      </c>
      <c r="AV253" s="721">
        <f t="shared" si="4"/>
        <v>0</v>
      </c>
    </row>
    <row r="254" spans="1:48" x14ac:dyDescent="0.25">
      <c r="A254" s="716" t="s">
        <v>624</v>
      </c>
      <c r="B254" s="717" t="s">
        <v>634</v>
      </c>
      <c r="C254" s="722"/>
      <c r="D254" s="722"/>
      <c r="E254" s="722"/>
      <c r="F254" s="723"/>
      <c r="G254" s="724">
        <f t="shared" si="0"/>
        <v>0</v>
      </c>
      <c r="H254" s="722"/>
      <c r="I254" s="722"/>
      <c r="J254" s="722"/>
      <c r="K254" s="722"/>
      <c r="L254" s="722"/>
      <c r="M254" s="722"/>
      <c r="N254" s="722"/>
      <c r="O254" s="722"/>
      <c r="P254" s="722"/>
      <c r="Q254" s="722"/>
      <c r="R254" s="722"/>
      <c r="S254" s="722"/>
      <c r="T254" s="724">
        <f t="shared" si="1"/>
        <v>0</v>
      </c>
      <c r="U254" s="722"/>
      <c r="V254" s="722"/>
      <c r="W254" s="722"/>
      <c r="X254" s="722"/>
      <c r="Y254" s="722"/>
      <c r="Z254" s="722"/>
      <c r="AA254" s="722"/>
      <c r="AB254" s="722"/>
      <c r="AC254" s="722"/>
      <c r="AD254" s="722"/>
      <c r="AE254" s="722"/>
      <c r="AF254" s="722"/>
      <c r="AG254" s="722"/>
      <c r="AH254" s="724">
        <f t="shared" si="2"/>
        <v>0</v>
      </c>
      <c r="AI254" s="722"/>
      <c r="AJ254" s="722"/>
      <c r="AK254" s="722"/>
      <c r="AL254" s="722"/>
      <c r="AM254" s="722"/>
      <c r="AN254" s="722"/>
      <c r="AO254" s="722"/>
      <c r="AP254" s="722"/>
      <c r="AQ254" s="722"/>
      <c r="AR254" s="722"/>
      <c r="AS254" s="722"/>
      <c r="AT254" s="722"/>
      <c r="AU254" s="724">
        <f t="shared" si="3"/>
        <v>0</v>
      </c>
      <c r="AV254" s="721">
        <f t="shared" si="4"/>
        <v>0</v>
      </c>
    </row>
    <row r="255" spans="1:48" x14ac:dyDescent="0.25">
      <c r="A255" s="716" t="s">
        <v>624</v>
      </c>
      <c r="B255" s="717" t="s">
        <v>637</v>
      </c>
      <c r="C255" s="722"/>
      <c r="D255" s="722"/>
      <c r="E255" s="722"/>
      <c r="F255" s="723"/>
      <c r="G255" s="724">
        <f t="shared" si="0"/>
        <v>0</v>
      </c>
      <c r="H255" s="722"/>
      <c r="I255" s="722"/>
      <c r="J255" s="722"/>
      <c r="K255" s="722"/>
      <c r="L255" s="722"/>
      <c r="M255" s="722"/>
      <c r="N255" s="722"/>
      <c r="O255" s="722"/>
      <c r="P255" s="722"/>
      <c r="Q255" s="722"/>
      <c r="R255" s="722"/>
      <c r="S255" s="722"/>
      <c r="T255" s="724">
        <f t="shared" si="1"/>
        <v>0</v>
      </c>
      <c r="U255" s="722"/>
      <c r="V255" s="722"/>
      <c r="W255" s="722"/>
      <c r="X255" s="722"/>
      <c r="Y255" s="722"/>
      <c r="Z255" s="722"/>
      <c r="AA255" s="722"/>
      <c r="AB255" s="722"/>
      <c r="AC255" s="722"/>
      <c r="AD255" s="722"/>
      <c r="AE255" s="722"/>
      <c r="AF255" s="722"/>
      <c r="AG255" s="722"/>
      <c r="AH255" s="724">
        <f t="shared" si="2"/>
        <v>0</v>
      </c>
      <c r="AI255" s="722"/>
      <c r="AJ255" s="722"/>
      <c r="AK255" s="722"/>
      <c r="AL255" s="722"/>
      <c r="AM255" s="722"/>
      <c r="AN255" s="722"/>
      <c r="AO255" s="722"/>
      <c r="AP255" s="722"/>
      <c r="AQ255" s="722"/>
      <c r="AR255" s="722"/>
      <c r="AS255" s="722"/>
      <c r="AT255" s="722"/>
      <c r="AU255" s="724">
        <f t="shared" si="3"/>
        <v>0</v>
      </c>
      <c r="AV255" s="721">
        <f t="shared" si="4"/>
        <v>0</v>
      </c>
    </row>
    <row r="256" spans="1:48" x14ac:dyDescent="0.25">
      <c r="A256" s="716" t="s">
        <v>624</v>
      </c>
      <c r="B256" s="717" t="s">
        <v>640</v>
      </c>
      <c r="C256" s="722"/>
      <c r="D256" s="722"/>
      <c r="E256" s="722"/>
      <c r="F256" s="723"/>
      <c r="G256" s="724">
        <f t="shared" si="0"/>
        <v>0</v>
      </c>
      <c r="H256" s="722"/>
      <c r="I256" s="722"/>
      <c r="J256" s="722"/>
      <c r="K256" s="722"/>
      <c r="L256" s="722"/>
      <c r="M256" s="722"/>
      <c r="N256" s="722"/>
      <c r="O256" s="722"/>
      <c r="P256" s="722"/>
      <c r="Q256" s="722"/>
      <c r="R256" s="722"/>
      <c r="S256" s="722"/>
      <c r="T256" s="724">
        <f t="shared" si="1"/>
        <v>0</v>
      </c>
      <c r="U256" s="722"/>
      <c r="V256" s="722"/>
      <c r="W256" s="722"/>
      <c r="X256" s="722"/>
      <c r="Y256" s="722"/>
      <c r="Z256" s="722"/>
      <c r="AA256" s="722"/>
      <c r="AB256" s="722"/>
      <c r="AC256" s="722"/>
      <c r="AD256" s="722"/>
      <c r="AE256" s="722"/>
      <c r="AF256" s="722"/>
      <c r="AG256" s="722"/>
      <c r="AH256" s="724">
        <f t="shared" si="2"/>
        <v>0</v>
      </c>
      <c r="AI256" s="722"/>
      <c r="AJ256" s="722"/>
      <c r="AK256" s="722"/>
      <c r="AL256" s="722"/>
      <c r="AM256" s="722"/>
      <c r="AN256" s="722"/>
      <c r="AO256" s="722"/>
      <c r="AP256" s="722"/>
      <c r="AQ256" s="722"/>
      <c r="AR256" s="722"/>
      <c r="AS256" s="722"/>
      <c r="AT256" s="722"/>
      <c r="AU256" s="724">
        <f t="shared" si="3"/>
        <v>0</v>
      </c>
      <c r="AV256" s="721">
        <f t="shared" si="4"/>
        <v>0</v>
      </c>
    </row>
    <row r="257" spans="1:48" x14ac:dyDescent="0.25">
      <c r="A257" s="716" t="s">
        <v>624</v>
      </c>
      <c r="B257" s="717" t="s">
        <v>635</v>
      </c>
      <c r="C257" s="722"/>
      <c r="D257" s="722"/>
      <c r="E257" s="722"/>
      <c r="F257" s="723"/>
      <c r="G257" s="724">
        <f t="shared" si="0"/>
        <v>0</v>
      </c>
      <c r="H257" s="722"/>
      <c r="I257" s="722"/>
      <c r="J257" s="722"/>
      <c r="K257" s="722"/>
      <c r="L257" s="722"/>
      <c r="M257" s="722"/>
      <c r="N257" s="722"/>
      <c r="O257" s="722"/>
      <c r="P257" s="722"/>
      <c r="Q257" s="722"/>
      <c r="R257" s="722"/>
      <c r="S257" s="722"/>
      <c r="T257" s="724">
        <f t="shared" si="1"/>
        <v>0</v>
      </c>
      <c r="U257" s="722"/>
      <c r="V257" s="722"/>
      <c r="W257" s="722"/>
      <c r="X257" s="722"/>
      <c r="Y257" s="722"/>
      <c r="Z257" s="722"/>
      <c r="AA257" s="722"/>
      <c r="AB257" s="722"/>
      <c r="AC257" s="722"/>
      <c r="AD257" s="722"/>
      <c r="AE257" s="722"/>
      <c r="AF257" s="722"/>
      <c r="AG257" s="722"/>
      <c r="AH257" s="724">
        <f t="shared" si="2"/>
        <v>0</v>
      </c>
      <c r="AI257" s="722"/>
      <c r="AJ257" s="722"/>
      <c r="AK257" s="722"/>
      <c r="AL257" s="722"/>
      <c r="AM257" s="722"/>
      <c r="AN257" s="722"/>
      <c r="AO257" s="722"/>
      <c r="AP257" s="722"/>
      <c r="AQ257" s="722"/>
      <c r="AR257" s="722"/>
      <c r="AS257" s="722"/>
      <c r="AT257" s="722"/>
      <c r="AU257" s="724">
        <f t="shared" si="3"/>
        <v>0</v>
      </c>
      <c r="AV257" s="721">
        <f t="shared" si="4"/>
        <v>0</v>
      </c>
    </row>
    <row r="258" spans="1:48" x14ac:dyDescent="0.25">
      <c r="A258" s="716" t="s">
        <v>624</v>
      </c>
      <c r="B258" s="717" t="s">
        <v>645</v>
      </c>
      <c r="C258" s="722"/>
      <c r="D258" s="722"/>
      <c r="E258" s="722"/>
      <c r="F258" s="723"/>
      <c r="G258" s="724">
        <f t="shared" si="0"/>
        <v>0</v>
      </c>
      <c r="H258" s="722"/>
      <c r="I258" s="722"/>
      <c r="J258" s="722"/>
      <c r="K258" s="722"/>
      <c r="L258" s="722"/>
      <c r="M258" s="722"/>
      <c r="N258" s="722"/>
      <c r="O258" s="722"/>
      <c r="P258" s="722"/>
      <c r="Q258" s="722"/>
      <c r="R258" s="722"/>
      <c r="S258" s="722"/>
      <c r="T258" s="724">
        <f t="shared" si="1"/>
        <v>0</v>
      </c>
      <c r="U258" s="722"/>
      <c r="V258" s="722"/>
      <c r="W258" s="722"/>
      <c r="X258" s="722"/>
      <c r="Y258" s="722"/>
      <c r="Z258" s="722"/>
      <c r="AA258" s="722"/>
      <c r="AB258" s="722"/>
      <c r="AC258" s="722"/>
      <c r="AD258" s="722"/>
      <c r="AE258" s="722"/>
      <c r="AF258" s="722"/>
      <c r="AG258" s="722"/>
      <c r="AH258" s="724">
        <f t="shared" si="2"/>
        <v>0</v>
      </c>
      <c r="AI258" s="722"/>
      <c r="AJ258" s="722"/>
      <c r="AK258" s="722"/>
      <c r="AL258" s="722"/>
      <c r="AM258" s="722"/>
      <c r="AN258" s="722"/>
      <c r="AO258" s="722"/>
      <c r="AP258" s="722"/>
      <c r="AQ258" s="722"/>
      <c r="AR258" s="722"/>
      <c r="AS258" s="722"/>
      <c r="AT258" s="722"/>
      <c r="AU258" s="724">
        <f t="shared" si="3"/>
        <v>0</v>
      </c>
      <c r="AV258" s="721">
        <f t="shared" si="4"/>
        <v>0</v>
      </c>
    </row>
    <row r="259" spans="1:48" x14ac:dyDescent="0.25">
      <c r="A259" s="716" t="s">
        <v>624</v>
      </c>
      <c r="B259" s="717" t="s">
        <v>647</v>
      </c>
      <c r="C259" s="722"/>
      <c r="D259" s="722"/>
      <c r="E259" s="722"/>
      <c r="F259" s="723"/>
      <c r="G259" s="724">
        <f t="shared" si="0"/>
        <v>0</v>
      </c>
      <c r="H259" s="722"/>
      <c r="I259" s="722"/>
      <c r="J259" s="722"/>
      <c r="K259" s="722"/>
      <c r="L259" s="722"/>
      <c r="M259" s="722"/>
      <c r="N259" s="722"/>
      <c r="O259" s="722"/>
      <c r="P259" s="722"/>
      <c r="Q259" s="722"/>
      <c r="R259" s="722"/>
      <c r="S259" s="722"/>
      <c r="T259" s="724">
        <f t="shared" si="1"/>
        <v>0</v>
      </c>
      <c r="U259" s="722"/>
      <c r="V259" s="722"/>
      <c r="W259" s="722"/>
      <c r="X259" s="722"/>
      <c r="Y259" s="722"/>
      <c r="Z259" s="722"/>
      <c r="AA259" s="722"/>
      <c r="AB259" s="722"/>
      <c r="AC259" s="722"/>
      <c r="AD259" s="722"/>
      <c r="AE259" s="722"/>
      <c r="AF259" s="722"/>
      <c r="AG259" s="722"/>
      <c r="AH259" s="724">
        <f t="shared" si="2"/>
        <v>0</v>
      </c>
      <c r="AI259" s="722"/>
      <c r="AJ259" s="722"/>
      <c r="AK259" s="722"/>
      <c r="AL259" s="722"/>
      <c r="AM259" s="722"/>
      <c r="AN259" s="722"/>
      <c r="AO259" s="722"/>
      <c r="AP259" s="722"/>
      <c r="AQ259" s="722"/>
      <c r="AR259" s="722"/>
      <c r="AS259" s="722"/>
      <c r="AT259" s="722"/>
      <c r="AU259" s="724">
        <f t="shared" si="3"/>
        <v>0</v>
      </c>
      <c r="AV259" s="721">
        <f t="shared" si="4"/>
        <v>0</v>
      </c>
    </row>
    <row r="260" spans="1:48" x14ac:dyDescent="0.25">
      <c r="A260" s="716" t="s">
        <v>624</v>
      </c>
      <c r="B260" s="717" t="s">
        <v>649</v>
      </c>
      <c r="C260" s="722"/>
      <c r="D260" s="722"/>
      <c r="E260" s="722"/>
      <c r="F260" s="723"/>
      <c r="G260" s="724">
        <f t="shared" si="0"/>
        <v>0</v>
      </c>
      <c r="H260" s="722"/>
      <c r="I260" s="722"/>
      <c r="J260" s="722"/>
      <c r="K260" s="722"/>
      <c r="L260" s="722"/>
      <c r="M260" s="722"/>
      <c r="N260" s="722"/>
      <c r="O260" s="722"/>
      <c r="P260" s="722"/>
      <c r="Q260" s="722"/>
      <c r="R260" s="722"/>
      <c r="S260" s="722"/>
      <c r="T260" s="724">
        <f t="shared" si="1"/>
        <v>0</v>
      </c>
      <c r="U260" s="722"/>
      <c r="V260" s="722"/>
      <c r="W260" s="722"/>
      <c r="X260" s="722"/>
      <c r="Y260" s="722"/>
      <c r="Z260" s="722"/>
      <c r="AA260" s="722"/>
      <c r="AB260" s="722"/>
      <c r="AC260" s="722"/>
      <c r="AD260" s="722"/>
      <c r="AE260" s="722"/>
      <c r="AF260" s="722"/>
      <c r="AG260" s="722"/>
      <c r="AH260" s="724">
        <f t="shared" si="2"/>
        <v>0</v>
      </c>
      <c r="AI260" s="722"/>
      <c r="AJ260" s="722"/>
      <c r="AK260" s="722"/>
      <c r="AL260" s="722"/>
      <c r="AM260" s="722"/>
      <c r="AN260" s="722"/>
      <c r="AO260" s="722"/>
      <c r="AP260" s="722"/>
      <c r="AQ260" s="722"/>
      <c r="AR260" s="722"/>
      <c r="AS260" s="722"/>
      <c r="AT260" s="722"/>
      <c r="AU260" s="724">
        <f t="shared" si="3"/>
        <v>0</v>
      </c>
      <c r="AV260" s="721">
        <f t="shared" si="4"/>
        <v>0</v>
      </c>
    </row>
    <row r="261" spans="1:48" x14ac:dyDescent="0.25">
      <c r="A261" s="716" t="s">
        <v>624</v>
      </c>
      <c r="B261" s="717" t="s">
        <v>651</v>
      </c>
      <c r="C261" s="722"/>
      <c r="D261" s="722"/>
      <c r="E261" s="722"/>
      <c r="F261" s="723"/>
      <c r="G261" s="724">
        <f t="shared" si="0"/>
        <v>0</v>
      </c>
      <c r="H261" s="722"/>
      <c r="I261" s="722"/>
      <c r="J261" s="722"/>
      <c r="K261" s="722"/>
      <c r="L261" s="722"/>
      <c r="M261" s="722"/>
      <c r="N261" s="722"/>
      <c r="O261" s="722"/>
      <c r="P261" s="722"/>
      <c r="Q261" s="722"/>
      <c r="R261" s="722"/>
      <c r="S261" s="722"/>
      <c r="T261" s="724">
        <f t="shared" si="1"/>
        <v>0</v>
      </c>
      <c r="U261" s="722"/>
      <c r="V261" s="722"/>
      <c r="W261" s="722"/>
      <c r="X261" s="722"/>
      <c r="Y261" s="722"/>
      <c r="Z261" s="722"/>
      <c r="AA261" s="722"/>
      <c r="AB261" s="722"/>
      <c r="AC261" s="722"/>
      <c r="AD261" s="722"/>
      <c r="AE261" s="722"/>
      <c r="AF261" s="722"/>
      <c r="AG261" s="722"/>
      <c r="AH261" s="724">
        <f t="shared" si="2"/>
        <v>0</v>
      </c>
      <c r="AI261" s="722"/>
      <c r="AJ261" s="722"/>
      <c r="AK261" s="722"/>
      <c r="AL261" s="722"/>
      <c r="AM261" s="722"/>
      <c r="AN261" s="722"/>
      <c r="AO261" s="722"/>
      <c r="AP261" s="722"/>
      <c r="AQ261" s="722"/>
      <c r="AR261" s="722"/>
      <c r="AS261" s="722"/>
      <c r="AT261" s="722"/>
      <c r="AU261" s="724">
        <f t="shared" si="3"/>
        <v>0</v>
      </c>
      <c r="AV261" s="721">
        <f t="shared" si="4"/>
        <v>0</v>
      </c>
    </row>
    <row r="262" spans="1:48" x14ac:dyDescent="0.25">
      <c r="A262" s="716" t="s">
        <v>654</v>
      </c>
      <c r="B262" s="717" t="s">
        <v>653</v>
      </c>
      <c r="C262" s="722"/>
      <c r="D262" s="722"/>
      <c r="E262" s="722"/>
      <c r="F262" s="723"/>
      <c r="G262" s="724">
        <f t="shared" si="0"/>
        <v>0</v>
      </c>
      <c r="H262" s="722"/>
      <c r="I262" s="722"/>
      <c r="J262" s="722"/>
      <c r="K262" s="722"/>
      <c r="L262" s="722"/>
      <c r="M262" s="722"/>
      <c r="N262" s="722"/>
      <c r="O262" s="722"/>
      <c r="P262" s="722"/>
      <c r="Q262" s="722"/>
      <c r="R262" s="722"/>
      <c r="S262" s="722"/>
      <c r="T262" s="724">
        <f t="shared" si="1"/>
        <v>0</v>
      </c>
      <c r="U262" s="722"/>
      <c r="V262" s="722"/>
      <c r="W262" s="722"/>
      <c r="X262" s="722"/>
      <c r="Y262" s="722"/>
      <c r="Z262" s="722"/>
      <c r="AA262" s="722"/>
      <c r="AB262" s="722"/>
      <c r="AC262" s="722"/>
      <c r="AD262" s="722"/>
      <c r="AE262" s="722"/>
      <c r="AF262" s="722"/>
      <c r="AG262" s="722"/>
      <c r="AH262" s="724">
        <f t="shared" si="2"/>
        <v>0</v>
      </c>
      <c r="AI262" s="722"/>
      <c r="AJ262" s="722"/>
      <c r="AK262" s="722"/>
      <c r="AL262" s="722"/>
      <c r="AM262" s="722"/>
      <c r="AN262" s="722"/>
      <c r="AO262" s="722"/>
      <c r="AP262" s="722"/>
      <c r="AQ262" s="722"/>
      <c r="AR262" s="722"/>
      <c r="AS262" s="722"/>
      <c r="AT262" s="722"/>
      <c r="AU262" s="724">
        <f t="shared" si="3"/>
        <v>0</v>
      </c>
      <c r="AV262" s="721">
        <f t="shared" si="4"/>
        <v>0</v>
      </c>
    </row>
    <row r="263" spans="1:48" x14ac:dyDescent="0.25">
      <c r="A263" s="716" t="s">
        <v>654</v>
      </c>
      <c r="B263" s="717" t="s">
        <v>657</v>
      </c>
      <c r="C263" s="722"/>
      <c r="D263" s="722"/>
      <c r="E263" s="722"/>
      <c r="F263" s="723"/>
      <c r="G263" s="724">
        <f t="shared" si="0"/>
        <v>0</v>
      </c>
      <c r="H263" s="722"/>
      <c r="I263" s="722"/>
      <c r="J263" s="722"/>
      <c r="K263" s="722"/>
      <c r="L263" s="722"/>
      <c r="M263" s="722"/>
      <c r="N263" s="722"/>
      <c r="O263" s="722"/>
      <c r="P263" s="722"/>
      <c r="Q263" s="722"/>
      <c r="R263" s="722"/>
      <c r="S263" s="722"/>
      <c r="T263" s="724">
        <f t="shared" si="1"/>
        <v>0</v>
      </c>
      <c r="U263" s="722"/>
      <c r="V263" s="722"/>
      <c r="W263" s="722"/>
      <c r="X263" s="722"/>
      <c r="Y263" s="722"/>
      <c r="Z263" s="722"/>
      <c r="AA263" s="722"/>
      <c r="AB263" s="722"/>
      <c r="AC263" s="722"/>
      <c r="AD263" s="722"/>
      <c r="AE263" s="722"/>
      <c r="AF263" s="722"/>
      <c r="AG263" s="722"/>
      <c r="AH263" s="724">
        <f t="shared" si="2"/>
        <v>0</v>
      </c>
      <c r="AI263" s="722"/>
      <c r="AJ263" s="722"/>
      <c r="AK263" s="722"/>
      <c r="AL263" s="722"/>
      <c r="AM263" s="722"/>
      <c r="AN263" s="722"/>
      <c r="AO263" s="722"/>
      <c r="AP263" s="722"/>
      <c r="AQ263" s="722"/>
      <c r="AR263" s="722"/>
      <c r="AS263" s="722"/>
      <c r="AT263" s="722"/>
      <c r="AU263" s="724">
        <f t="shared" si="3"/>
        <v>0</v>
      </c>
      <c r="AV263" s="721">
        <f t="shared" si="4"/>
        <v>0</v>
      </c>
    </row>
    <row r="264" spans="1:48" x14ac:dyDescent="0.25">
      <c r="A264" s="725" t="s">
        <v>660</v>
      </c>
      <c r="B264" s="717" t="s">
        <v>655</v>
      </c>
      <c r="C264" s="722"/>
      <c r="D264" s="722"/>
      <c r="E264" s="722"/>
      <c r="F264" s="723"/>
      <c r="G264" s="724">
        <f t="shared" si="0"/>
        <v>0</v>
      </c>
      <c r="H264" s="722"/>
      <c r="I264" s="722"/>
      <c r="J264" s="722"/>
      <c r="K264" s="722"/>
      <c r="L264" s="722"/>
      <c r="M264" s="722"/>
      <c r="N264" s="722"/>
      <c r="O264" s="722"/>
      <c r="P264" s="722"/>
      <c r="Q264" s="722"/>
      <c r="R264" s="722"/>
      <c r="S264" s="722"/>
      <c r="T264" s="724">
        <f t="shared" si="1"/>
        <v>0</v>
      </c>
      <c r="U264" s="722"/>
      <c r="V264" s="722"/>
      <c r="W264" s="722"/>
      <c r="X264" s="722"/>
      <c r="Y264" s="722"/>
      <c r="Z264" s="722"/>
      <c r="AA264" s="722"/>
      <c r="AB264" s="722"/>
      <c r="AC264" s="722"/>
      <c r="AD264" s="722"/>
      <c r="AE264" s="722"/>
      <c r="AF264" s="722"/>
      <c r="AG264" s="722"/>
      <c r="AH264" s="724">
        <f t="shared" si="2"/>
        <v>0</v>
      </c>
      <c r="AI264" s="722"/>
      <c r="AJ264" s="722"/>
      <c r="AK264" s="722"/>
      <c r="AL264" s="722"/>
      <c r="AM264" s="722"/>
      <c r="AN264" s="722"/>
      <c r="AO264" s="722"/>
      <c r="AP264" s="722"/>
      <c r="AQ264" s="722"/>
      <c r="AR264" s="722"/>
      <c r="AS264" s="722"/>
      <c r="AT264" s="722"/>
      <c r="AU264" s="724">
        <f t="shared" si="3"/>
        <v>0</v>
      </c>
      <c r="AV264" s="721">
        <f t="shared" si="4"/>
        <v>0</v>
      </c>
    </row>
    <row r="265" spans="1:48" x14ac:dyDescent="0.25">
      <c r="A265" s="725" t="s">
        <v>660</v>
      </c>
      <c r="B265" s="717" t="s">
        <v>641</v>
      </c>
      <c r="C265" s="722"/>
      <c r="D265" s="722"/>
      <c r="E265" s="722"/>
      <c r="F265" s="723"/>
      <c r="G265" s="724">
        <f t="shared" si="0"/>
        <v>0</v>
      </c>
      <c r="H265" s="722"/>
      <c r="I265" s="722"/>
      <c r="J265" s="722"/>
      <c r="K265" s="722"/>
      <c r="L265" s="722"/>
      <c r="M265" s="722"/>
      <c r="N265" s="722"/>
      <c r="O265" s="722"/>
      <c r="P265" s="722"/>
      <c r="Q265" s="722"/>
      <c r="R265" s="722"/>
      <c r="S265" s="722"/>
      <c r="T265" s="724">
        <f t="shared" si="1"/>
        <v>0</v>
      </c>
      <c r="U265" s="722"/>
      <c r="V265" s="722"/>
      <c r="W265" s="722"/>
      <c r="X265" s="722"/>
      <c r="Y265" s="722"/>
      <c r="Z265" s="722"/>
      <c r="AA265" s="722"/>
      <c r="AB265" s="722"/>
      <c r="AC265" s="722"/>
      <c r="AD265" s="722"/>
      <c r="AE265" s="722"/>
      <c r="AF265" s="722"/>
      <c r="AG265" s="722"/>
      <c r="AH265" s="724">
        <f t="shared" si="2"/>
        <v>0</v>
      </c>
      <c r="AI265" s="722"/>
      <c r="AJ265" s="722"/>
      <c r="AK265" s="722"/>
      <c r="AL265" s="722"/>
      <c r="AM265" s="722"/>
      <c r="AN265" s="722"/>
      <c r="AO265" s="722"/>
      <c r="AP265" s="722"/>
      <c r="AQ265" s="722"/>
      <c r="AR265" s="722"/>
      <c r="AS265" s="722"/>
      <c r="AT265" s="722"/>
      <c r="AU265" s="724">
        <f t="shared" si="3"/>
        <v>0</v>
      </c>
      <c r="AV265" s="721">
        <f t="shared" si="4"/>
        <v>0</v>
      </c>
    </row>
    <row r="266" spans="1:48" x14ac:dyDescent="0.25">
      <c r="A266" s="725" t="s">
        <v>660</v>
      </c>
      <c r="B266" s="717" t="s">
        <v>664</v>
      </c>
      <c r="C266" s="722"/>
      <c r="D266" s="722"/>
      <c r="E266" s="722"/>
      <c r="F266" s="723"/>
      <c r="G266" s="724">
        <f t="shared" si="0"/>
        <v>0</v>
      </c>
      <c r="H266" s="722"/>
      <c r="I266" s="722"/>
      <c r="J266" s="722"/>
      <c r="K266" s="722"/>
      <c r="L266" s="722"/>
      <c r="M266" s="722"/>
      <c r="N266" s="722"/>
      <c r="O266" s="722"/>
      <c r="P266" s="722"/>
      <c r="Q266" s="722"/>
      <c r="R266" s="722"/>
      <c r="S266" s="722"/>
      <c r="T266" s="724">
        <f t="shared" si="1"/>
        <v>0</v>
      </c>
      <c r="U266" s="722"/>
      <c r="V266" s="722"/>
      <c r="W266" s="722"/>
      <c r="X266" s="722"/>
      <c r="Y266" s="722"/>
      <c r="Z266" s="722"/>
      <c r="AA266" s="722"/>
      <c r="AB266" s="722"/>
      <c r="AC266" s="722"/>
      <c r="AD266" s="722"/>
      <c r="AE266" s="722"/>
      <c r="AF266" s="722"/>
      <c r="AG266" s="722"/>
      <c r="AH266" s="724">
        <f t="shared" si="2"/>
        <v>0</v>
      </c>
      <c r="AI266" s="722"/>
      <c r="AJ266" s="722"/>
      <c r="AK266" s="722"/>
      <c r="AL266" s="722"/>
      <c r="AM266" s="722"/>
      <c r="AN266" s="722"/>
      <c r="AO266" s="722"/>
      <c r="AP266" s="722"/>
      <c r="AQ266" s="722"/>
      <c r="AR266" s="722"/>
      <c r="AS266" s="722"/>
      <c r="AT266" s="722"/>
      <c r="AU266" s="724">
        <f t="shared" si="3"/>
        <v>0</v>
      </c>
      <c r="AV266" s="721">
        <f t="shared" si="4"/>
        <v>0</v>
      </c>
    </row>
    <row r="267" spans="1:48" x14ac:dyDescent="0.25">
      <c r="A267" s="716" t="s">
        <v>660</v>
      </c>
      <c r="B267" s="717" t="s">
        <v>666</v>
      </c>
      <c r="C267" s="722"/>
      <c r="D267" s="722"/>
      <c r="E267" s="722"/>
      <c r="F267" s="723"/>
      <c r="G267" s="724">
        <f t="shared" si="0"/>
        <v>0</v>
      </c>
      <c r="H267" s="722"/>
      <c r="I267" s="722"/>
      <c r="J267" s="722"/>
      <c r="K267" s="722"/>
      <c r="L267" s="722"/>
      <c r="M267" s="722"/>
      <c r="N267" s="722"/>
      <c r="O267" s="722"/>
      <c r="P267" s="722"/>
      <c r="Q267" s="722"/>
      <c r="R267" s="722"/>
      <c r="S267" s="722"/>
      <c r="T267" s="724">
        <f t="shared" si="1"/>
        <v>0</v>
      </c>
      <c r="U267" s="722"/>
      <c r="V267" s="722"/>
      <c r="W267" s="722"/>
      <c r="X267" s="722"/>
      <c r="Y267" s="722"/>
      <c r="Z267" s="722"/>
      <c r="AA267" s="722"/>
      <c r="AB267" s="722"/>
      <c r="AC267" s="722"/>
      <c r="AD267" s="722"/>
      <c r="AE267" s="722"/>
      <c r="AF267" s="722"/>
      <c r="AG267" s="722"/>
      <c r="AH267" s="724">
        <f t="shared" si="2"/>
        <v>0</v>
      </c>
      <c r="AI267" s="722"/>
      <c r="AJ267" s="722"/>
      <c r="AK267" s="722"/>
      <c r="AL267" s="722"/>
      <c r="AM267" s="722"/>
      <c r="AN267" s="722"/>
      <c r="AO267" s="722"/>
      <c r="AP267" s="722"/>
      <c r="AQ267" s="722"/>
      <c r="AR267" s="722"/>
      <c r="AS267" s="722"/>
      <c r="AT267" s="722"/>
      <c r="AU267" s="724">
        <f t="shared" si="3"/>
        <v>0</v>
      </c>
      <c r="AV267" s="721">
        <f t="shared" si="4"/>
        <v>0</v>
      </c>
    </row>
    <row r="268" spans="1:48" x14ac:dyDescent="0.25">
      <c r="A268" s="716" t="s">
        <v>660</v>
      </c>
      <c r="B268" s="717" t="s">
        <v>668</v>
      </c>
      <c r="C268" s="722"/>
      <c r="D268" s="722"/>
      <c r="E268" s="722"/>
      <c r="F268" s="723"/>
      <c r="G268" s="724">
        <f t="shared" si="0"/>
        <v>0</v>
      </c>
      <c r="H268" s="722"/>
      <c r="I268" s="722"/>
      <c r="J268" s="722"/>
      <c r="K268" s="722"/>
      <c r="L268" s="722"/>
      <c r="M268" s="722"/>
      <c r="N268" s="722"/>
      <c r="O268" s="722"/>
      <c r="P268" s="722"/>
      <c r="Q268" s="722"/>
      <c r="R268" s="722"/>
      <c r="S268" s="722"/>
      <c r="T268" s="724">
        <f t="shared" si="1"/>
        <v>0</v>
      </c>
      <c r="U268" s="722"/>
      <c r="V268" s="722"/>
      <c r="W268" s="722"/>
      <c r="X268" s="722"/>
      <c r="Y268" s="722"/>
      <c r="Z268" s="722"/>
      <c r="AA268" s="722"/>
      <c r="AB268" s="722"/>
      <c r="AC268" s="722"/>
      <c r="AD268" s="722"/>
      <c r="AE268" s="722"/>
      <c r="AF268" s="722"/>
      <c r="AG268" s="722"/>
      <c r="AH268" s="724">
        <f t="shared" si="2"/>
        <v>0</v>
      </c>
      <c r="AI268" s="722"/>
      <c r="AJ268" s="722"/>
      <c r="AK268" s="722"/>
      <c r="AL268" s="722"/>
      <c r="AM268" s="722"/>
      <c r="AN268" s="722"/>
      <c r="AO268" s="722"/>
      <c r="AP268" s="722"/>
      <c r="AQ268" s="722"/>
      <c r="AR268" s="722"/>
      <c r="AS268" s="722"/>
      <c r="AT268" s="722"/>
      <c r="AU268" s="724">
        <f t="shared" si="3"/>
        <v>0</v>
      </c>
      <c r="AV268" s="721">
        <f t="shared" si="4"/>
        <v>0</v>
      </c>
    </row>
    <row r="269" spans="1:48" x14ac:dyDescent="0.25">
      <c r="A269" s="716" t="s">
        <v>660</v>
      </c>
      <c r="B269" s="717" t="s">
        <v>670</v>
      </c>
      <c r="C269" s="722"/>
      <c r="D269" s="722"/>
      <c r="E269" s="722"/>
      <c r="F269" s="723"/>
      <c r="G269" s="724">
        <f t="shared" si="0"/>
        <v>0</v>
      </c>
      <c r="H269" s="722"/>
      <c r="I269" s="722"/>
      <c r="J269" s="722"/>
      <c r="K269" s="722"/>
      <c r="L269" s="722"/>
      <c r="M269" s="722"/>
      <c r="N269" s="722"/>
      <c r="O269" s="722"/>
      <c r="P269" s="722"/>
      <c r="Q269" s="722"/>
      <c r="R269" s="722"/>
      <c r="S269" s="722"/>
      <c r="T269" s="724">
        <f t="shared" si="1"/>
        <v>0</v>
      </c>
      <c r="U269" s="722"/>
      <c r="V269" s="722"/>
      <c r="W269" s="722"/>
      <c r="X269" s="722"/>
      <c r="Y269" s="722"/>
      <c r="Z269" s="722"/>
      <c r="AA269" s="722"/>
      <c r="AB269" s="722"/>
      <c r="AC269" s="722"/>
      <c r="AD269" s="722"/>
      <c r="AE269" s="722"/>
      <c r="AF269" s="722"/>
      <c r="AG269" s="722"/>
      <c r="AH269" s="724">
        <f t="shared" si="2"/>
        <v>0</v>
      </c>
      <c r="AI269" s="722"/>
      <c r="AJ269" s="722"/>
      <c r="AK269" s="722"/>
      <c r="AL269" s="722"/>
      <c r="AM269" s="722"/>
      <c r="AN269" s="722"/>
      <c r="AO269" s="722"/>
      <c r="AP269" s="722"/>
      <c r="AQ269" s="722"/>
      <c r="AR269" s="722"/>
      <c r="AS269" s="722"/>
      <c r="AT269" s="722"/>
      <c r="AU269" s="724">
        <f t="shared" si="3"/>
        <v>0</v>
      </c>
      <c r="AV269" s="721">
        <f t="shared" si="4"/>
        <v>0</v>
      </c>
    </row>
    <row r="270" spans="1:48" x14ac:dyDescent="0.25">
      <c r="A270" s="725" t="s">
        <v>660</v>
      </c>
      <c r="B270" s="717" t="s">
        <v>672</v>
      </c>
      <c r="C270" s="722"/>
      <c r="D270" s="722"/>
      <c r="E270" s="722"/>
      <c r="F270" s="723"/>
      <c r="G270" s="724">
        <f t="shared" si="0"/>
        <v>0</v>
      </c>
      <c r="H270" s="722"/>
      <c r="I270" s="722"/>
      <c r="J270" s="722"/>
      <c r="K270" s="722"/>
      <c r="L270" s="722"/>
      <c r="M270" s="722"/>
      <c r="N270" s="722"/>
      <c r="O270" s="722"/>
      <c r="P270" s="722"/>
      <c r="Q270" s="722"/>
      <c r="R270" s="722"/>
      <c r="S270" s="722"/>
      <c r="T270" s="724">
        <f t="shared" si="1"/>
        <v>0</v>
      </c>
      <c r="U270" s="722"/>
      <c r="V270" s="722"/>
      <c r="W270" s="722"/>
      <c r="X270" s="722"/>
      <c r="Y270" s="722"/>
      <c r="Z270" s="722"/>
      <c r="AA270" s="722"/>
      <c r="AB270" s="722"/>
      <c r="AC270" s="722"/>
      <c r="AD270" s="722"/>
      <c r="AE270" s="722"/>
      <c r="AF270" s="722"/>
      <c r="AG270" s="722"/>
      <c r="AH270" s="724">
        <f t="shared" si="2"/>
        <v>0</v>
      </c>
      <c r="AI270" s="722"/>
      <c r="AJ270" s="722"/>
      <c r="AK270" s="722"/>
      <c r="AL270" s="722"/>
      <c r="AM270" s="722"/>
      <c r="AN270" s="722"/>
      <c r="AO270" s="722"/>
      <c r="AP270" s="722"/>
      <c r="AQ270" s="722"/>
      <c r="AR270" s="722"/>
      <c r="AS270" s="722"/>
      <c r="AT270" s="722"/>
      <c r="AU270" s="724">
        <f t="shared" si="3"/>
        <v>0</v>
      </c>
      <c r="AV270" s="721">
        <f t="shared" si="4"/>
        <v>0</v>
      </c>
    </row>
    <row r="271" spans="1:48" x14ac:dyDescent="0.25">
      <c r="A271" s="716" t="s">
        <v>660</v>
      </c>
      <c r="B271" s="717" t="s">
        <v>659</v>
      </c>
      <c r="C271" s="722"/>
      <c r="D271" s="722"/>
      <c r="E271" s="722"/>
      <c r="F271" s="723"/>
      <c r="G271" s="724">
        <f t="shared" si="0"/>
        <v>0</v>
      </c>
      <c r="H271" s="722"/>
      <c r="I271" s="722"/>
      <c r="J271" s="722"/>
      <c r="K271" s="722"/>
      <c r="L271" s="722"/>
      <c r="M271" s="722"/>
      <c r="N271" s="722"/>
      <c r="O271" s="722"/>
      <c r="P271" s="722"/>
      <c r="Q271" s="722"/>
      <c r="R271" s="722"/>
      <c r="S271" s="722"/>
      <c r="T271" s="724">
        <f t="shared" si="1"/>
        <v>0</v>
      </c>
      <c r="U271" s="722"/>
      <c r="V271" s="722"/>
      <c r="W271" s="722"/>
      <c r="X271" s="722"/>
      <c r="Y271" s="722"/>
      <c r="Z271" s="722"/>
      <c r="AA271" s="722"/>
      <c r="AB271" s="722"/>
      <c r="AC271" s="722"/>
      <c r="AD271" s="722"/>
      <c r="AE271" s="722"/>
      <c r="AF271" s="722"/>
      <c r="AG271" s="722"/>
      <c r="AH271" s="724">
        <f t="shared" si="2"/>
        <v>0</v>
      </c>
      <c r="AI271" s="722"/>
      <c r="AJ271" s="722"/>
      <c r="AK271" s="722"/>
      <c r="AL271" s="722"/>
      <c r="AM271" s="722"/>
      <c r="AN271" s="722"/>
      <c r="AO271" s="722"/>
      <c r="AP271" s="722"/>
      <c r="AQ271" s="722"/>
      <c r="AR271" s="722"/>
      <c r="AS271" s="722"/>
      <c r="AT271" s="722"/>
      <c r="AU271" s="724">
        <f t="shared" si="3"/>
        <v>0</v>
      </c>
      <c r="AV271" s="721">
        <f t="shared" si="4"/>
        <v>0</v>
      </c>
    </row>
    <row r="272" spans="1:48" x14ac:dyDescent="0.25">
      <c r="A272" s="716" t="s">
        <v>660</v>
      </c>
      <c r="B272" s="717" t="s">
        <v>674</v>
      </c>
      <c r="C272" s="722"/>
      <c r="D272" s="722"/>
      <c r="E272" s="722"/>
      <c r="F272" s="723"/>
      <c r="G272" s="724">
        <f t="shared" si="0"/>
        <v>0</v>
      </c>
      <c r="H272" s="722"/>
      <c r="I272" s="722"/>
      <c r="J272" s="722"/>
      <c r="K272" s="722"/>
      <c r="L272" s="722"/>
      <c r="M272" s="722"/>
      <c r="N272" s="722"/>
      <c r="O272" s="722"/>
      <c r="P272" s="722"/>
      <c r="Q272" s="722"/>
      <c r="R272" s="722"/>
      <c r="S272" s="722"/>
      <c r="T272" s="724">
        <f t="shared" si="1"/>
        <v>0</v>
      </c>
      <c r="U272" s="722"/>
      <c r="V272" s="722"/>
      <c r="W272" s="722"/>
      <c r="X272" s="722"/>
      <c r="Y272" s="722"/>
      <c r="Z272" s="722"/>
      <c r="AA272" s="722"/>
      <c r="AB272" s="722"/>
      <c r="AC272" s="722"/>
      <c r="AD272" s="722"/>
      <c r="AE272" s="722"/>
      <c r="AF272" s="722"/>
      <c r="AG272" s="722"/>
      <c r="AH272" s="724">
        <f t="shared" si="2"/>
        <v>0</v>
      </c>
      <c r="AI272" s="722"/>
      <c r="AJ272" s="722"/>
      <c r="AK272" s="722"/>
      <c r="AL272" s="722"/>
      <c r="AM272" s="722"/>
      <c r="AN272" s="722"/>
      <c r="AO272" s="722"/>
      <c r="AP272" s="722"/>
      <c r="AQ272" s="722"/>
      <c r="AR272" s="722"/>
      <c r="AS272" s="722"/>
      <c r="AT272" s="722"/>
      <c r="AU272" s="724">
        <f t="shared" si="3"/>
        <v>0</v>
      </c>
      <c r="AV272" s="721">
        <f t="shared" si="4"/>
        <v>0</v>
      </c>
    </row>
    <row r="273" spans="1:48" x14ac:dyDescent="0.25">
      <c r="A273" s="716" t="s">
        <v>677</v>
      </c>
      <c r="B273" s="717" t="s">
        <v>676</v>
      </c>
      <c r="C273" s="722"/>
      <c r="D273" s="722"/>
      <c r="E273" s="722"/>
      <c r="F273" s="723"/>
      <c r="G273" s="724">
        <f t="shared" si="0"/>
        <v>0</v>
      </c>
      <c r="H273" s="722"/>
      <c r="I273" s="722"/>
      <c r="J273" s="722"/>
      <c r="K273" s="722"/>
      <c r="L273" s="722"/>
      <c r="M273" s="722"/>
      <c r="N273" s="722"/>
      <c r="O273" s="722"/>
      <c r="P273" s="722"/>
      <c r="Q273" s="722"/>
      <c r="R273" s="722"/>
      <c r="S273" s="722"/>
      <c r="T273" s="724">
        <f t="shared" si="1"/>
        <v>0</v>
      </c>
      <c r="U273" s="722"/>
      <c r="V273" s="722"/>
      <c r="W273" s="722"/>
      <c r="X273" s="722"/>
      <c r="Y273" s="722"/>
      <c r="Z273" s="722"/>
      <c r="AA273" s="722"/>
      <c r="AB273" s="722"/>
      <c r="AC273" s="722"/>
      <c r="AD273" s="722"/>
      <c r="AE273" s="722"/>
      <c r="AF273" s="722"/>
      <c r="AG273" s="722"/>
      <c r="AH273" s="724">
        <f t="shared" si="2"/>
        <v>0</v>
      </c>
      <c r="AI273" s="722"/>
      <c r="AJ273" s="722"/>
      <c r="AK273" s="722"/>
      <c r="AL273" s="722"/>
      <c r="AM273" s="722"/>
      <c r="AN273" s="722"/>
      <c r="AO273" s="722"/>
      <c r="AP273" s="722"/>
      <c r="AQ273" s="722"/>
      <c r="AR273" s="722"/>
      <c r="AS273" s="722"/>
      <c r="AT273" s="722"/>
      <c r="AU273" s="724">
        <f t="shared" si="3"/>
        <v>0</v>
      </c>
      <c r="AV273" s="721">
        <f t="shared" si="4"/>
        <v>0</v>
      </c>
    </row>
    <row r="274" spans="1:48" x14ac:dyDescent="0.25">
      <c r="A274" s="716" t="s">
        <v>677</v>
      </c>
      <c r="B274" s="717" t="s">
        <v>625</v>
      </c>
      <c r="C274" s="722"/>
      <c r="D274" s="722"/>
      <c r="E274" s="722"/>
      <c r="F274" s="723"/>
      <c r="G274" s="724">
        <f t="shared" si="0"/>
        <v>0</v>
      </c>
      <c r="H274" s="722"/>
      <c r="I274" s="722"/>
      <c r="J274" s="722"/>
      <c r="K274" s="722"/>
      <c r="L274" s="722"/>
      <c r="M274" s="722"/>
      <c r="N274" s="722"/>
      <c r="O274" s="722"/>
      <c r="P274" s="722"/>
      <c r="Q274" s="722"/>
      <c r="R274" s="722"/>
      <c r="S274" s="722"/>
      <c r="T274" s="724">
        <f t="shared" si="1"/>
        <v>0</v>
      </c>
      <c r="U274" s="722"/>
      <c r="V274" s="722"/>
      <c r="W274" s="722"/>
      <c r="X274" s="722"/>
      <c r="Y274" s="722"/>
      <c r="Z274" s="722"/>
      <c r="AA274" s="722"/>
      <c r="AB274" s="722"/>
      <c r="AC274" s="722"/>
      <c r="AD274" s="722"/>
      <c r="AE274" s="722"/>
      <c r="AF274" s="722"/>
      <c r="AG274" s="722"/>
      <c r="AH274" s="724">
        <f t="shared" si="2"/>
        <v>0</v>
      </c>
      <c r="AI274" s="722"/>
      <c r="AJ274" s="722"/>
      <c r="AK274" s="722"/>
      <c r="AL274" s="722"/>
      <c r="AM274" s="722"/>
      <c r="AN274" s="722"/>
      <c r="AO274" s="722"/>
      <c r="AP274" s="722"/>
      <c r="AQ274" s="722"/>
      <c r="AR274" s="722"/>
      <c r="AS274" s="722"/>
      <c r="AT274" s="722"/>
      <c r="AU274" s="724">
        <f t="shared" si="3"/>
        <v>0</v>
      </c>
      <c r="AV274" s="721">
        <f t="shared" si="4"/>
        <v>0</v>
      </c>
    </row>
    <row r="275" spans="1:48" x14ac:dyDescent="0.25">
      <c r="A275" s="716" t="s">
        <v>677</v>
      </c>
      <c r="B275" s="717" t="s">
        <v>680</v>
      </c>
      <c r="C275" s="722"/>
      <c r="D275" s="722"/>
      <c r="E275" s="722"/>
      <c r="F275" s="723"/>
      <c r="G275" s="724">
        <f t="shared" si="0"/>
        <v>0</v>
      </c>
      <c r="H275" s="722"/>
      <c r="I275" s="722"/>
      <c r="J275" s="722"/>
      <c r="K275" s="722"/>
      <c r="L275" s="722"/>
      <c r="M275" s="722"/>
      <c r="N275" s="722"/>
      <c r="O275" s="722"/>
      <c r="P275" s="722"/>
      <c r="Q275" s="722"/>
      <c r="R275" s="722"/>
      <c r="S275" s="722"/>
      <c r="T275" s="724">
        <f t="shared" si="1"/>
        <v>0</v>
      </c>
      <c r="U275" s="722"/>
      <c r="V275" s="722"/>
      <c r="W275" s="722"/>
      <c r="X275" s="722"/>
      <c r="Y275" s="722"/>
      <c r="Z275" s="722"/>
      <c r="AA275" s="722"/>
      <c r="AB275" s="722"/>
      <c r="AC275" s="722"/>
      <c r="AD275" s="722"/>
      <c r="AE275" s="722"/>
      <c r="AF275" s="722"/>
      <c r="AG275" s="722"/>
      <c r="AH275" s="724">
        <f t="shared" si="2"/>
        <v>0</v>
      </c>
      <c r="AI275" s="722"/>
      <c r="AJ275" s="722"/>
      <c r="AK275" s="722"/>
      <c r="AL275" s="722"/>
      <c r="AM275" s="722"/>
      <c r="AN275" s="722"/>
      <c r="AO275" s="722"/>
      <c r="AP275" s="722"/>
      <c r="AQ275" s="722"/>
      <c r="AR275" s="722"/>
      <c r="AS275" s="722"/>
      <c r="AT275" s="722"/>
      <c r="AU275" s="724">
        <f t="shared" si="3"/>
        <v>0</v>
      </c>
      <c r="AV275" s="721">
        <f t="shared" si="4"/>
        <v>0</v>
      </c>
    </row>
    <row r="276" spans="1:48" x14ac:dyDescent="0.25">
      <c r="A276" s="716" t="s">
        <v>677</v>
      </c>
      <c r="B276" s="717" t="s">
        <v>682</v>
      </c>
      <c r="C276" s="722"/>
      <c r="D276" s="722"/>
      <c r="E276" s="722"/>
      <c r="F276" s="723"/>
      <c r="G276" s="724">
        <f t="shared" si="0"/>
        <v>0</v>
      </c>
      <c r="H276" s="722"/>
      <c r="I276" s="722"/>
      <c r="J276" s="722"/>
      <c r="K276" s="722"/>
      <c r="L276" s="722"/>
      <c r="M276" s="722"/>
      <c r="N276" s="722"/>
      <c r="O276" s="722"/>
      <c r="P276" s="722"/>
      <c r="Q276" s="722"/>
      <c r="R276" s="722"/>
      <c r="S276" s="722"/>
      <c r="T276" s="724">
        <f t="shared" si="1"/>
        <v>0</v>
      </c>
      <c r="U276" s="722"/>
      <c r="V276" s="722"/>
      <c r="W276" s="722"/>
      <c r="X276" s="722"/>
      <c r="Y276" s="722"/>
      <c r="Z276" s="722"/>
      <c r="AA276" s="722"/>
      <c r="AB276" s="722"/>
      <c r="AC276" s="722"/>
      <c r="AD276" s="722"/>
      <c r="AE276" s="722"/>
      <c r="AF276" s="722"/>
      <c r="AG276" s="722"/>
      <c r="AH276" s="724">
        <f t="shared" si="2"/>
        <v>0</v>
      </c>
      <c r="AI276" s="722"/>
      <c r="AJ276" s="722"/>
      <c r="AK276" s="722"/>
      <c r="AL276" s="722"/>
      <c r="AM276" s="722"/>
      <c r="AN276" s="722"/>
      <c r="AO276" s="722"/>
      <c r="AP276" s="722"/>
      <c r="AQ276" s="722"/>
      <c r="AR276" s="722"/>
      <c r="AS276" s="722"/>
      <c r="AT276" s="722"/>
      <c r="AU276" s="724">
        <f t="shared" si="3"/>
        <v>0</v>
      </c>
      <c r="AV276" s="721">
        <f t="shared" si="4"/>
        <v>0</v>
      </c>
    </row>
    <row r="277" spans="1:48" x14ac:dyDescent="0.25">
      <c r="A277" s="716" t="s">
        <v>677</v>
      </c>
      <c r="B277" s="717" t="s">
        <v>638</v>
      </c>
      <c r="C277" s="722"/>
      <c r="D277" s="722"/>
      <c r="E277" s="722"/>
      <c r="F277" s="723"/>
      <c r="G277" s="724">
        <f t="shared" si="0"/>
        <v>0</v>
      </c>
      <c r="H277" s="722"/>
      <c r="I277" s="722"/>
      <c r="J277" s="722"/>
      <c r="K277" s="722"/>
      <c r="L277" s="722"/>
      <c r="M277" s="722"/>
      <c r="N277" s="722"/>
      <c r="O277" s="722"/>
      <c r="P277" s="722"/>
      <c r="Q277" s="722"/>
      <c r="R277" s="722"/>
      <c r="S277" s="722"/>
      <c r="T277" s="724">
        <f t="shared" si="1"/>
        <v>0</v>
      </c>
      <c r="U277" s="722"/>
      <c r="V277" s="722"/>
      <c r="W277" s="722"/>
      <c r="X277" s="722"/>
      <c r="Y277" s="722"/>
      <c r="Z277" s="722"/>
      <c r="AA277" s="722"/>
      <c r="AB277" s="722"/>
      <c r="AC277" s="722"/>
      <c r="AD277" s="722"/>
      <c r="AE277" s="722"/>
      <c r="AF277" s="722"/>
      <c r="AG277" s="722"/>
      <c r="AH277" s="724">
        <f t="shared" si="2"/>
        <v>0</v>
      </c>
      <c r="AI277" s="722"/>
      <c r="AJ277" s="722"/>
      <c r="AK277" s="722"/>
      <c r="AL277" s="722"/>
      <c r="AM277" s="722"/>
      <c r="AN277" s="722"/>
      <c r="AO277" s="722"/>
      <c r="AP277" s="722"/>
      <c r="AQ277" s="722"/>
      <c r="AR277" s="722"/>
      <c r="AS277" s="722"/>
      <c r="AT277" s="722"/>
      <c r="AU277" s="724">
        <f t="shared" si="3"/>
        <v>0</v>
      </c>
      <c r="AV277" s="721">
        <f t="shared" si="4"/>
        <v>0</v>
      </c>
    </row>
    <row r="278" spans="1:48" x14ac:dyDescent="0.25">
      <c r="A278" s="716" t="s">
        <v>677</v>
      </c>
      <c r="B278" s="717" t="s">
        <v>685</v>
      </c>
      <c r="C278" s="722"/>
      <c r="D278" s="722"/>
      <c r="E278" s="722"/>
      <c r="F278" s="723"/>
      <c r="G278" s="724">
        <f t="shared" si="0"/>
        <v>0</v>
      </c>
      <c r="H278" s="722"/>
      <c r="I278" s="722"/>
      <c r="J278" s="722"/>
      <c r="K278" s="722"/>
      <c r="L278" s="722"/>
      <c r="M278" s="722"/>
      <c r="N278" s="722"/>
      <c r="O278" s="722"/>
      <c r="P278" s="722"/>
      <c r="Q278" s="722"/>
      <c r="R278" s="722"/>
      <c r="S278" s="722"/>
      <c r="T278" s="724">
        <f t="shared" si="1"/>
        <v>0</v>
      </c>
      <c r="U278" s="722"/>
      <c r="V278" s="722"/>
      <c r="W278" s="722"/>
      <c r="X278" s="722"/>
      <c r="Y278" s="722"/>
      <c r="Z278" s="722"/>
      <c r="AA278" s="722"/>
      <c r="AB278" s="722"/>
      <c r="AC278" s="722"/>
      <c r="AD278" s="722"/>
      <c r="AE278" s="722"/>
      <c r="AF278" s="722"/>
      <c r="AG278" s="722"/>
      <c r="AH278" s="724">
        <f t="shared" si="2"/>
        <v>0</v>
      </c>
      <c r="AI278" s="722"/>
      <c r="AJ278" s="722"/>
      <c r="AK278" s="722"/>
      <c r="AL278" s="722"/>
      <c r="AM278" s="722"/>
      <c r="AN278" s="722"/>
      <c r="AO278" s="722"/>
      <c r="AP278" s="722"/>
      <c r="AQ278" s="722"/>
      <c r="AR278" s="722"/>
      <c r="AS278" s="722"/>
      <c r="AT278" s="722"/>
      <c r="AU278" s="724">
        <f t="shared" si="3"/>
        <v>0</v>
      </c>
      <c r="AV278" s="721">
        <f t="shared" si="4"/>
        <v>0</v>
      </c>
    </row>
    <row r="279" spans="1:48" x14ac:dyDescent="0.25">
      <c r="A279" s="716" t="s">
        <v>677</v>
      </c>
      <c r="B279" s="717" t="s">
        <v>687</v>
      </c>
      <c r="C279" s="722"/>
      <c r="D279" s="722"/>
      <c r="E279" s="722"/>
      <c r="F279" s="723"/>
      <c r="G279" s="724">
        <f t="shared" si="0"/>
        <v>0</v>
      </c>
      <c r="H279" s="722"/>
      <c r="I279" s="722"/>
      <c r="J279" s="722"/>
      <c r="K279" s="722"/>
      <c r="L279" s="722"/>
      <c r="M279" s="722"/>
      <c r="N279" s="722"/>
      <c r="O279" s="722"/>
      <c r="P279" s="722"/>
      <c r="Q279" s="722"/>
      <c r="R279" s="722"/>
      <c r="S279" s="722"/>
      <c r="T279" s="724">
        <f t="shared" si="1"/>
        <v>0</v>
      </c>
      <c r="U279" s="722"/>
      <c r="V279" s="722"/>
      <c r="W279" s="722"/>
      <c r="X279" s="722"/>
      <c r="Y279" s="722"/>
      <c r="Z279" s="722"/>
      <c r="AA279" s="722"/>
      <c r="AB279" s="722"/>
      <c r="AC279" s="722"/>
      <c r="AD279" s="722"/>
      <c r="AE279" s="722"/>
      <c r="AF279" s="722"/>
      <c r="AG279" s="722"/>
      <c r="AH279" s="724">
        <f t="shared" si="2"/>
        <v>0</v>
      </c>
      <c r="AI279" s="722"/>
      <c r="AJ279" s="722"/>
      <c r="AK279" s="722"/>
      <c r="AL279" s="722"/>
      <c r="AM279" s="722"/>
      <c r="AN279" s="722"/>
      <c r="AO279" s="722"/>
      <c r="AP279" s="722"/>
      <c r="AQ279" s="722"/>
      <c r="AR279" s="722"/>
      <c r="AS279" s="722"/>
      <c r="AT279" s="722"/>
      <c r="AU279" s="724">
        <f t="shared" si="3"/>
        <v>0</v>
      </c>
      <c r="AV279" s="721">
        <f t="shared" si="4"/>
        <v>0</v>
      </c>
    </row>
    <row r="280" spans="1:48" x14ac:dyDescent="0.25">
      <c r="A280" s="716" t="s">
        <v>689</v>
      </c>
      <c r="B280" s="717" t="s">
        <v>689</v>
      </c>
      <c r="C280" s="722"/>
      <c r="D280" s="722"/>
      <c r="E280" s="722"/>
      <c r="F280" s="723"/>
      <c r="G280" s="724">
        <f t="shared" si="0"/>
        <v>0</v>
      </c>
      <c r="H280" s="722"/>
      <c r="I280" s="722"/>
      <c r="J280" s="722"/>
      <c r="K280" s="722"/>
      <c r="L280" s="722"/>
      <c r="M280" s="722"/>
      <c r="N280" s="722"/>
      <c r="O280" s="722"/>
      <c r="P280" s="722"/>
      <c r="Q280" s="722"/>
      <c r="R280" s="722"/>
      <c r="S280" s="722"/>
      <c r="T280" s="724">
        <f t="shared" si="1"/>
        <v>0</v>
      </c>
      <c r="U280" s="722"/>
      <c r="V280" s="722"/>
      <c r="W280" s="722"/>
      <c r="X280" s="722"/>
      <c r="Y280" s="722"/>
      <c r="Z280" s="722"/>
      <c r="AA280" s="722"/>
      <c r="AB280" s="722"/>
      <c r="AC280" s="722"/>
      <c r="AD280" s="722"/>
      <c r="AE280" s="722"/>
      <c r="AF280" s="722"/>
      <c r="AG280" s="722"/>
      <c r="AH280" s="724">
        <f t="shared" si="2"/>
        <v>0</v>
      </c>
      <c r="AI280" s="722"/>
      <c r="AJ280" s="722"/>
      <c r="AK280" s="722"/>
      <c r="AL280" s="722"/>
      <c r="AM280" s="722"/>
      <c r="AN280" s="722"/>
      <c r="AO280" s="722"/>
      <c r="AP280" s="722"/>
      <c r="AQ280" s="722"/>
      <c r="AR280" s="722"/>
      <c r="AS280" s="722"/>
      <c r="AT280" s="722"/>
      <c r="AU280" s="724">
        <f t="shared" si="3"/>
        <v>0</v>
      </c>
      <c r="AV280" s="721">
        <f t="shared" si="4"/>
        <v>0</v>
      </c>
    </row>
    <row r="281" spans="1:48" x14ac:dyDescent="0.25">
      <c r="A281" s="716" t="s">
        <v>628</v>
      </c>
      <c r="B281" s="717" t="s">
        <v>628</v>
      </c>
      <c r="C281" s="722"/>
      <c r="D281" s="722"/>
      <c r="E281" s="722"/>
      <c r="F281" s="723"/>
      <c r="G281" s="724">
        <f t="shared" si="0"/>
        <v>0</v>
      </c>
      <c r="H281" s="722"/>
      <c r="I281" s="722"/>
      <c r="J281" s="722"/>
      <c r="K281" s="722"/>
      <c r="L281" s="722"/>
      <c r="M281" s="722"/>
      <c r="N281" s="722"/>
      <c r="O281" s="722"/>
      <c r="P281" s="722"/>
      <c r="Q281" s="722"/>
      <c r="R281" s="722"/>
      <c r="S281" s="722"/>
      <c r="T281" s="724">
        <f t="shared" si="1"/>
        <v>0</v>
      </c>
      <c r="U281" s="722"/>
      <c r="V281" s="722"/>
      <c r="W281" s="722"/>
      <c r="X281" s="722"/>
      <c r="Y281" s="722"/>
      <c r="Z281" s="722"/>
      <c r="AA281" s="722"/>
      <c r="AB281" s="722"/>
      <c r="AC281" s="722"/>
      <c r="AD281" s="722"/>
      <c r="AE281" s="722"/>
      <c r="AF281" s="722"/>
      <c r="AG281" s="722"/>
      <c r="AH281" s="724">
        <f t="shared" si="2"/>
        <v>0</v>
      </c>
      <c r="AI281" s="722"/>
      <c r="AJ281" s="722"/>
      <c r="AK281" s="722"/>
      <c r="AL281" s="722"/>
      <c r="AM281" s="722"/>
      <c r="AN281" s="722"/>
      <c r="AO281" s="722"/>
      <c r="AP281" s="722"/>
      <c r="AQ281" s="722"/>
      <c r="AR281" s="722"/>
      <c r="AS281" s="722"/>
      <c r="AT281" s="722"/>
      <c r="AU281" s="724">
        <f t="shared" si="3"/>
        <v>0</v>
      </c>
      <c r="AV281" s="721">
        <f t="shared" si="4"/>
        <v>0</v>
      </c>
    </row>
    <row r="282" spans="1:48" ht="15.75" thickBot="1" x14ac:dyDescent="0.3">
      <c r="A282" s="726" t="s">
        <v>643</v>
      </c>
      <c r="B282" s="727" t="s">
        <v>643</v>
      </c>
      <c r="C282" s="728"/>
      <c r="D282" s="728"/>
      <c r="E282" s="728"/>
      <c r="F282" s="729"/>
      <c r="G282" s="730">
        <f t="shared" si="0"/>
        <v>0</v>
      </c>
      <c r="H282" s="728"/>
      <c r="I282" s="728"/>
      <c r="J282" s="728"/>
      <c r="K282" s="728"/>
      <c r="L282" s="728"/>
      <c r="M282" s="728"/>
      <c r="N282" s="728"/>
      <c r="O282" s="728"/>
      <c r="P282" s="728"/>
      <c r="Q282" s="728"/>
      <c r="R282" s="728"/>
      <c r="S282" s="728"/>
      <c r="T282" s="730">
        <f t="shared" si="1"/>
        <v>0</v>
      </c>
      <c r="U282" s="728"/>
      <c r="V282" s="728"/>
      <c r="W282" s="728"/>
      <c r="X282" s="728"/>
      <c r="Y282" s="728"/>
      <c r="Z282" s="728"/>
      <c r="AA282" s="728"/>
      <c r="AB282" s="728"/>
      <c r="AC282" s="728"/>
      <c r="AD282" s="728"/>
      <c r="AE282" s="728"/>
      <c r="AF282" s="728"/>
      <c r="AG282" s="728"/>
      <c r="AH282" s="730">
        <f t="shared" si="2"/>
        <v>0</v>
      </c>
      <c r="AI282" s="728"/>
      <c r="AJ282" s="728"/>
      <c r="AK282" s="728"/>
      <c r="AL282" s="728"/>
      <c r="AM282" s="728"/>
      <c r="AN282" s="728"/>
      <c r="AO282" s="728"/>
      <c r="AP282" s="728"/>
      <c r="AQ282" s="728"/>
      <c r="AR282" s="728"/>
      <c r="AS282" s="728"/>
      <c r="AT282" s="728"/>
      <c r="AU282" s="730">
        <f t="shared" si="3"/>
        <v>0</v>
      </c>
      <c r="AV282" s="731">
        <f t="shared" si="4"/>
        <v>0</v>
      </c>
    </row>
    <row r="283" spans="1:48" ht="15.75" thickBot="1" x14ac:dyDescent="0.3">
      <c r="A283" s="622"/>
      <c r="B283" s="732" t="s">
        <v>1129</v>
      </c>
      <c r="C283" s="733">
        <f t="shared" ref="C283:AV283" si="5">SUM(C250:C282)</f>
        <v>0</v>
      </c>
      <c r="D283" s="733">
        <f t="shared" si="5"/>
        <v>0</v>
      </c>
      <c r="E283" s="733">
        <f t="shared" si="5"/>
        <v>0</v>
      </c>
      <c r="F283" s="733">
        <f t="shared" si="5"/>
        <v>0</v>
      </c>
      <c r="G283" s="734">
        <f t="shared" si="5"/>
        <v>0</v>
      </c>
      <c r="H283" s="733">
        <f t="shared" si="5"/>
        <v>0</v>
      </c>
      <c r="I283" s="733">
        <f t="shared" si="5"/>
        <v>0</v>
      </c>
      <c r="J283" s="733">
        <f t="shared" si="5"/>
        <v>0</v>
      </c>
      <c r="K283" s="733">
        <f t="shared" si="5"/>
        <v>0</v>
      </c>
      <c r="L283" s="733">
        <f t="shared" si="5"/>
        <v>0</v>
      </c>
      <c r="M283" s="733">
        <f t="shared" si="5"/>
        <v>0</v>
      </c>
      <c r="N283" s="733">
        <f t="shared" si="5"/>
        <v>0</v>
      </c>
      <c r="O283" s="733">
        <f t="shared" si="5"/>
        <v>0</v>
      </c>
      <c r="P283" s="733">
        <f t="shared" si="5"/>
        <v>0</v>
      </c>
      <c r="Q283" s="733">
        <f t="shared" si="5"/>
        <v>0</v>
      </c>
      <c r="R283" s="733">
        <f t="shared" si="5"/>
        <v>0</v>
      </c>
      <c r="S283" s="733">
        <f t="shared" si="5"/>
        <v>0</v>
      </c>
      <c r="T283" s="734">
        <f t="shared" si="5"/>
        <v>0</v>
      </c>
      <c r="U283" s="733">
        <f t="shared" si="5"/>
        <v>0</v>
      </c>
      <c r="V283" s="733">
        <f t="shared" si="5"/>
        <v>0</v>
      </c>
      <c r="W283" s="733">
        <f t="shared" si="5"/>
        <v>0</v>
      </c>
      <c r="X283" s="733">
        <f t="shared" si="5"/>
        <v>0</v>
      </c>
      <c r="Y283" s="733">
        <f t="shared" si="5"/>
        <v>0</v>
      </c>
      <c r="Z283" s="733">
        <f t="shared" si="5"/>
        <v>0</v>
      </c>
      <c r="AA283" s="733">
        <f t="shared" si="5"/>
        <v>0</v>
      </c>
      <c r="AB283" s="733">
        <f t="shared" si="5"/>
        <v>0</v>
      </c>
      <c r="AC283" s="733">
        <f t="shared" si="5"/>
        <v>0</v>
      </c>
      <c r="AD283" s="733">
        <f t="shared" si="5"/>
        <v>0</v>
      </c>
      <c r="AE283" s="733"/>
      <c r="AF283" s="733">
        <f t="shared" si="5"/>
        <v>0</v>
      </c>
      <c r="AG283" s="733">
        <f t="shared" si="5"/>
        <v>0</v>
      </c>
      <c r="AH283" s="734">
        <f t="shared" si="5"/>
        <v>0</v>
      </c>
      <c r="AI283" s="733">
        <f t="shared" si="5"/>
        <v>0</v>
      </c>
      <c r="AJ283" s="733">
        <f t="shared" si="5"/>
        <v>0</v>
      </c>
      <c r="AK283" s="733">
        <f t="shared" si="5"/>
        <v>0</v>
      </c>
      <c r="AL283" s="733">
        <f t="shared" si="5"/>
        <v>0</v>
      </c>
      <c r="AM283" s="733">
        <f t="shared" si="5"/>
        <v>0</v>
      </c>
      <c r="AN283" s="733">
        <f t="shared" si="5"/>
        <v>0</v>
      </c>
      <c r="AO283" s="733">
        <f t="shared" si="5"/>
        <v>0</v>
      </c>
      <c r="AP283" s="733">
        <f t="shared" si="5"/>
        <v>0</v>
      </c>
      <c r="AQ283" s="733">
        <f t="shared" si="5"/>
        <v>0</v>
      </c>
      <c r="AR283" s="733">
        <f t="shared" si="5"/>
        <v>0</v>
      </c>
      <c r="AS283" s="733">
        <f t="shared" si="5"/>
        <v>0</v>
      </c>
      <c r="AT283" s="733">
        <f t="shared" si="5"/>
        <v>0</v>
      </c>
      <c r="AU283" s="734">
        <f t="shared" si="5"/>
        <v>0</v>
      </c>
      <c r="AV283" s="735">
        <f t="shared" si="5"/>
        <v>0</v>
      </c>
    </row>
    <row r="1222" spans="1:23" ht="15.75" thickBot="1" x14ac:dyDescent="0.3">
      <c r="A1222" s="488"/>
      <c r="B1222" s="736"/>
      <c r="C1222" s="541"/>
      <c r="D1222" s="541"/>
      <c r="E1222" s="737"/>
      <c r="F1222" s="493"/>
      <c r="G1222" s="494"/>
      <c r="H1222" s="494"/>
      <c r="I1222" s="520"/>
      <c r="J1222" s="738"/>
      <c r="K1222" s="738"/>
      <c r="L1222" s="739"/>
      <c r="M1222" s="520"/>
      <c r="N1222" s="499"/>
      <c r="O1222" s="499"/>
      <c r="P1222" s="500"/>
      <c r="Q1222" s="500"/>
      <c r="R1222" s="500"/>
      <c r="S1222" s="501"/>
      <c r="T1222" s="740"/>
      <c r="U1222" s="740"/>
      <c r="V1222" s="740"/>
      <c r="W1222" s="500"/>
    </row>
    <row r="1223" spans="1:23" x14ac:dyDescent="0.25">
      <c r="A1223" s="488"/>
      <c r="B1223" s="489" t="s">
        <v>820</v>
      </c>
      <c r="C1223" s="490">
        <f>COUNTIF(B$1:B1220,B1223)</f>
        <v>1</v>
      </c>
      <c r="D1223" s="491">
        <f>C1223/C1228</f>
        <v>0.2</v>
      </c>
      <c r="E1223" s="492"/>
      <c r="F1223" s="493"/>
      <c r="G1223" s="494"/>
      <c r="H1223" s="494"/>
      <c r="I1223" s="495"/>
      <c r="J1223" s="496">
        <f>SUMIF(B$3:B1220,B1223,T$3:T1227)</f>
        <v>48</v>
      </c>
      <c r="K1223" s="497"/>
      <c r="L1223" s="498">
        <f>J1223/J1228</f>
        <v>1</v>
      </c>
      <c r="M1223" s="499"/>
      <c r="N1223" s="499"/>
      <c r="O1223" s="499"/>
      <c r="P1223" s="500"/>
      <c r="Q1223" s="500"/>
      <c r="R1223" s="500"/>
      <c r="S1223" s="501" t="s">
        <v>786</v>
      </c>
      <c r="T1223" s="502">
        <v>1261915799.52244</v>
      </c>
      <c r="U1223" s="502" t="e">
        <f>SUM(#REF!)</f>
        <v>#REF!</v>
      </c>
      <c r="V1223" s="502" t="e">
        <f>SUM(#REF!)</f>
        <v>#REF!</v>
      </c>
      <c r="W1223" s="500" t="s">
        <v>821</v>
      </c>
    </row>
    <row r="1224" spans="1:23" x14ac:dyDescent="0.25">
      <c r="A1224" s="488"/>
      <c r="B1224" s="505" t="s">
        <v>822</v>
      </c>
      <c r="C1224" s="506">
        <f>COUNTIF(B$1:B1220,B1224)</f>
        <v>1</v>
      </c>
      <c r="D1224" s="507">
        <f>C1224/C1228</f>
        <v>0.2</v>
      </c>
      <c r="E1224" s="492"/>
      <c r="F1224" s="493"/>
      <c r="G1224" s="494"/>
      <c r="H1224" s="494"/>
      <c r="I1224" s="495"/>
      <c r="J1224" s="508">
        <f>SUMIF(B$3:B1223,B1224,T$3:T1228)</f>
        <v>0</v>
      </c>
      <c r="K1224" s="509"/>
      <c r="L1224" s="510">
        <f>J1224/J1228</f>
        <v>0</v>
      </c>
      <c r="M1224" s="499"/>
      <c r="N1224" s="499"/>
      <c r="O1224" s="499"/>
      <c r="P1224" s="504"/>
      <c r="Q1224" s="504"/>
      <c r="R1224" s="504"/>
      <c r="S1224" s="511"/>
      <c r="T1224" s="512"/>
      <c r="U1224" s="512"/>
      <c r="V1224" s="512"/>
      <c r="W1224" s="504"/>
    </row>
    <row r="1225" spans="1:23" x14ac:dyDescent="0.25">
      <c r="A1225" s="488"/>
      <c r="B1225" s="514" t="s">
        <v>823</v>
      </c>
      <c r="C1225" s="515">
        <f>COUNTIF(B$1:B1220,B1225)</f>
        <v>1</v>
      </c>
      <c r="D1225" s="516">
        <f>C1225/C1228</f>
        <v>0.2</v>
      </c>
      <c r="E1225" s="492"/>
      <c r="F1225" s="493"/>
      <c r="G1225" s="494"/>
      <c r="H1225" s="494"/>
      <c r="I1225" s="495"/>
      <c r="J1225" s="517">
        <f>SUMIF(B$3:B1224,B1225,T$3:T1228)</f>
        <v>0</v>
      </c>
      <c r="K1225" s="518"/>
      <c r="L1225" s="519">
        <f>J1225/J1228</f>
        <v>0</v>
      </c>
      <c r="M1225" s="520"/>
      <c r="N1225" s="499"/>
      <c r="O1225" s="499"/>
      <c r="P1225" s="504"/>
      <c r="Q1225" s="504"/>
      <c r="R1225" s="504"/>
      <c r="S1225" s="511"/>
      <c r="T1225" s="512"/>
      <c r="U1225" s="512"/>
      <c r="V1225" s="512"/>
      <c r="W1225" s="504"/>
    </row>
    <row r="1226" spans="1:23" ht="15.75" thickBot="1" x14ac:dyDescent="0.3">
      <c r="A1226" s="488"/>
      <c r="B1226" s="521" t="s">
        <v>824</v>
      </c>
      <c r="C1226" s="522">
        <f>COUNTIF(B$1:B1223,B1226)</f>
        <v>1</v>
      </c>
      <c r="D1226" s="523">
        <f>C1226/C1228</f>
        <v>0.2</v>
      </c>
      <c r="E1226" s="492"/>
      <c r="F1226" s="493"/>
      <c r="G1226" s="494"/>
      <c r="H1226" s="494"/>
      <c r="I1226" s="495"/>
      <c r="J1226" s="524">
        <f>SUMIF(B$3:B1225,B1226,T$3:T1228)</f>
        <v>0</v>
      </c>
      <c r="K1226" s="525"/>
      <c r="L1226" s="526">
        <f>J1226/J1228</f>
        <v>0</v>
      </c>
      <c r="M1226" s="520"/>
      <c r="N1226" s="499"/>
      <c r="O1226" s="499"/>
      <c r="P1226" s="504"/>
      <c r="Q1226" s="504"/>
      <c r="R1226" s="504"/>
      <c r="S1226" s="511"/>
      <c r="T1226" s="512"/>
      <c r="U1226" s="512"/>
      <c r="V1226" s="512"/>
      <c r="W1226" s="504"/>
    </row>
    <row r="1227" spans="1:23" ht="16.5" thickTop="1" thickBot="1" x14ac:dyDescent="0.3">
      <c r="A1227" s="527"/>
      <c r="B1227" s="528" t="s">
        <v>809</v>
      </c>
      <c r="C1227" s="529">
        <f>COUNTIF(B$1:B1220,B1227)</f>
        <v>1</v>
      </c>
      <c r="D1227" s="530">
        <f>C1227/C1228</f>
        <v>0.2</v>
      </c>
      <c r="E1227" s="531"/>
      <c r="F1227" s="532"/>
      <c r="G1227" s="533"/>
      <c r="H1227" s="533"/>
      <c r="I1227" s="534"/>
      <c r="J1227" s="535">
        <f>SUMIF(B$3:B1226,B1227,T$3:T1228)</f>
        <v>0</v>
      </c>
      <c r="K1227" s="536"/>
      <c r="L1227" s="537">
        <f>J1227/J1228</f>
        <v>0</v>
      </c>
      <c r="M1227" s="538"/>
      <c r="N1227" s="538"/>
      <c r="O1227" s="538"/>
      <c r="P1227" s="504"/>
      <c r="Q1227" s="504"/>
      <c r="R1227" s="504"/>
      <c r="S1227" s="511"/>
      <c r="T1227" s="512"/>
      <c r="U1227" s="512"/>
      <c r="V1227" s="512"/>
      <c r="W1227" s="504"/>
    </row>
    <row r="1228" spans="1:23" x14ac:dyDescent="0.25">
      <c r="A1228" s="488"/>
      <c r="B1228" s="539"/>
      <c r="C1228" s="540">
        <f>SUM(C1223:C1227)</f>
        <v>5</v>
      </c>
      <c r="D1228" s="541"/>
      <c r="E1228" s="492"/>
      <c r="F1228" s="493"/>
      <c r="G1228" s="494"/>
      <c r="H1228" s="494"/>
      <c r="I1228" s="495"/>
      <c r="J1228" s="542">
        <f>SUM(J1223:J1227)</f>
        <v>48</v>
      </c>
      <c r="K1228" s="543"/>
      <c r="L1228" s="544"/>
      <c r="M1228" s="520"/>
      <c r="N1228" s="499"/>
      <c r="O1228" s="499"/>
      <c r="P1228" s="504"/>
      <c r="Q1228" s="504"/>
      <c r="R1228" s="504"/>
      <c r="S1228" s="511"/>
      <c r="T1228" s="512"/>
      <c r="U1228" s="512"/>
      <c r="V1228" s="512"/>
      <c r="W1228" s="504"/>
    </row>
  </sheetData>
  <mergeCells count="5">
    <mergeCell ref="A57:A62"/>
    <mergeCell ref="A70:A75"/>
    <mergeCell ref="A156:A161"/>
    <mergeCell ref="A173:A178"/>
    <mergeCell ref="A194:A199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5" workbookViewId="0">
      <selection activeCell="I26" sqref="I26"/>
    </sheetView>
  </sheetViews>
  <sheetFormatPr defaultRowHeight="15" x14ac:dyDescent="0.25"/>
  <cols>
    <col min="1" max="3" width="9.140625" style="399"/>
    <col min="4" max="4" width="10.7109375" style="399" customWidth="1"/>
    <col min="5" max="7" width="10.5703125" style="399" customWidth="1"/>
    <col min="8" max="10" width="9.140625" style="399"/>
    <col min="11" max="11" width="17.7109375" style="672" customWidth="1"/>
    <col min="12" max="12" width="22.7109375" style="399" customWidth="1"/>
    <col min="13" max="13" width="17.7109375" style="399" customWidth="1"/>
    <col min="14" max="14" width="10.7109375" style="399" customWidth="1"/>
    <col min="15" max="16" width="18.7109375" style="399" customWidth="1"/>
    <col min="17" max="17" width="13.7109375" style="399" customWidth="1"/>
    <col min="18" max="18" width="10.85546875" style="399" customWidth="1"/>
    <col min="19" max="19" width="30.85546875" style="399" customWidth="1"/>
    <col min="20" max="20" width="20.7109375" style="399" customWidth="1"/>
    <col min="21" max="22" width="10.7109375" style="399" customWidth="1"/>
    <col min="23" max="23" width="15.85546875" style="399" customWidth="1"/>
    <col min="24" max="24" width="8.5703125" style="399" customWidth="1"/>
    <col min="25" max="25" width="15.5703125" style="399" customWidth="1"/>
    <col min="26" max="16384" width="9.140625" style="399"/>
  </cols>
  <sheetData>
    <row r="1" spans="1:34" s="549" customFormat="1" ht="7.5" customHeight="1" x14ac:dyDescent="0.25">
      <c r="D1" s="550"/>
      <c r="E1" s="550"/>
      <c r="F1" s="550"/>
      <c r="G1" s="550"/>
      <c r="K1" s="741"/>
    </row>
    <row r="2" spans="1:34" s="424" customFormat="1" ht="19.5" x14ac:dyDescent="0.3">
      <c r="C2" s="425" t="s">
        <v>1130</v>
      </c>
      <c r="K2" s="741"/>
    </row>
    <row r="4" spans="1:34" ht="15.75" thickBot="1" x14ac:dyDescent="0.3">
      <c r="A4" s="605" t="s">
        <v>1131</v>
      </c>
    </row>
    <row r="5" spans="1:34" s="614" customFormat="1" ht="15.75" thickBot="1" x14ac:dyDescent="0.3">
      <c r="A5" s="399"/>
      <c r="B5" s="742" t="s">
        <v>1132</v>
      </c>
      <c r="C5" s="743">
        <f>MATCH("NewOpp",E5:N5,0)+4</f>
        <v>12</v>
      </c>
      <c r="D5" s="743">
        <f>MATCH("STOP",E5:N5,0)+4</f>
        <v>14</v>
      </c>
      <c r="K5" s="744"/>
      <c r="L5" s="745" t="s">
        <v>139</v>
      </c>
      <c r="M5" s="746" t="s">
        <v>1133</v>
      </c>
      <c r="N5" s="747" t="s">
        <v>1134</v>
      </c>
      <c r="P5" s="615"/>
      <c r="Q5" s="616"/>
      <c r="R5" s="617"/>
      <c r="S5" s="618"/>
      <c r="T5" s="399"/>
      <c r="U5" s="399"/>
      <c r="V5" s="399"/>
      <c r="W5" s="399"/>
      <c r="X5" s="399"/>
      <c r="Y5" s="399"/>
      <c r="Z5" s="399"/>
      <c r="AA5" s="399"/>
      <c r="AB5" s="399"/>
      <c r="AC5" s="399"/>
    </row>
    <row r="6" spans="1:34" s="744" customFormat="1" x14ac:dyDescent="0.25">
      <c r="A6" s="748"/>
      <c r="B6" s="749"/>
      <c r="C6" s="750"/>
      <c r="D6" s="751"/>
      <c r="L6" s="752"/>
      <c r="M6" s="752"/>
      <c r="N6" s="753"/>
      <c r="Q6" s="657"/>
      <c r="R6" s="616"/>
      <c r="S6" s="617"/>
      <c r="T6" s="618"/>
      <c r="U6" s="672"/>
      <c r="V6" s="672"/>
      <c r="W6" s="672"/>
      <c r="X6" s="672"/>
      <c r="Y6" s="672"/>
      <c r="Z6" s="672"/>
      <c r="AA6" s="672"/>
      <c r="AB6" s="672"/>
      <c r="AC6" s="672"/>
      <c r="AD6" s="672"/>
    </row>
    <row r="7" spans="1:34" x14ac:dyDescent="0.25">
      <c r="A7" s="754">
        <v>0</v>
      </c>
      <c r="B7" s="755" t="s">
        <v>65</v>
      </c>
      <c r="C7" s="756" t="s">
        <v>65</v>
      </c>
      <c r="D7" s="757" t="s">
        <v>65</v>
      </c>
      <c r="E7" s="758">
        <v>0</v>
      </c>
      <c r="F7" s="758">
        <v>0</v>
      </c>
      <c r="G7" s="758">
        <v>0</v>
      </c>
      <c r="H7" s="758">
        <v>0</v>
      </c>
      <c r="I7" s="758">
        <v>0</v>
      </c>
      <c r="J7" s="758">
        <v>0</v>
      </c>
      <c r="K7" s="758">
        <v>17</v>
      </c>
      <c r="L7" s="897" t="s">
        <v>50</v>
      </c>
      <c r="M7" s="897" t="s">
        <v>77</v>
      </c>
      <c r="N7" s="897" t="s">
        <v>80</v>
      </c>
      <c r="O7" s="759" t="s">
        <v>962</v>
      </c>
      <c r="P7" s="897" t="s">
        <v>80</v>
      </c>
      <c r="Q7" s="897" t="s">
        <v>80</v>
      </c>
      <c r="R7" s="759" t="s">
        <v>80</v>
      </c>
      <c r="S7" s="759" t="s">
        <v>50</v>
      </c>
      <c r="T7" s="759" t="s">
        <v>80</v>
      </c>
      <c r="U7" s="759" t="s">
        <v>80</v>
      </c>
      <c r="V7" s="759" t="s">
        <v>80</v>
      </c>
      <c r="W7" s="897" t="s">
        <v>80</v>
      </c>
      <c r="X7" s="759" t="s">
        <v>59</v>
      </c>
      <c r="Y7" s="759" t="s">
        <v>243</v>
      </c>
      <c r="Z7" s="758">
        <v>0</v>
      </c>
      <c r="AA7" s="623"/>
      <c r="AB7" s="622"/>
    </row>
    <row r="8" spans="1:34" x14ac:dyDescent="0.25">
      <c r="A8" s="748"/>
      <c r="B8" s="755" t="s">
        <v>926</v>
      </c>
      <c r="C8" s="756"/>
      <c r="D8" s="757"/>
      <c r="E8" s="662"/>
      <c r="F8" s="662"/>
      <c r="G8" s="662"/>
      <c r="H8" s="662"/>
      <c r="I8" s="662"/>
      <c r="J8" s="662"/>
      <c r="K8" s="662"/>
      <c r="L8" s="657"/>
      <c r="M8" s="657"/>
      <c r="N8" s="657"/>
      <c r="O8" s="672"/>
      <c r="P8" s="672"/>
      <c r="Q8" s="657"/>
      <c r="R8" s="657"/>
      <c r="S8" s="657"/>
      <c r="T8" s="657"/>
      <c r="U8" s="657"/>
      <c r="V8" s="657"/>
      <c r="W8" s="672"/>
      <c r="X8" s="672"/>
      <c r="Y8" s="672"/>
      <c r="Z8" s="623"/>
      <c r="AA8" s="622"/>
    </row>
    <row r="9" spans="1:34" x14ac:dyDescent="0.25">
      <c r="A9" s="748"/>
      <c r="B9" s="755" t="s">
        <v>930</v>
      </c>
      <c r="C9" s="756"/>
      <c r="D9" s="757"/>
      <c r="E9" s="662"/>
      <c r="F9" s="662"/>
      <c r="G9" s="662"/>
      <c r="H9" s="662"/>
      <c r="I9" s="662"/>
      <c r="J9" s="662"/>
      <c r="K9" s="662"/>
      <c r="L9" s="657"/>
      <c r="M9" s="657"/>
      <c r="N9" s="657"/>
      <c r="O9" s="672"/>
      <c r="P9" s="672"/>
      <c r="Q9" s="657"/>
      <c r="R9" s="657"/>
      <c r="S9" s="657"/>
      <c r="T9" s="657"/>
      <c r="U9" s="657"/>
      <c r="V9" s="657"/>
      <c r="W9" s="672"/>
      <c r="X9" s="672"/>
      <c r="Y9" s="672"/>
      <c r="Z9" s="623"/>
      <c r="AA9" s="622"/>
    </row>
    <row r="10" spans="1:34" ht="15.75" thickBot="1" x14ac:dyDescent="0.3">
      <c r="A10" s="748"/>
      <c r="B10" s="760" t="s">
        <v>933</v>
      </c>
      <c r="C10" s="756"/>
      <c r="D10" s="757"/>
      <c r="E10" s="662"/>
      <c r="F10" s="662"/>
      <c r="G10" s="662"/>
      <c r="H10" s="662"/>
      <c r="I10" s="662"/>
      <c r="J10" s="662"/>
      <c r="K10" s="662"/>
      <c r="L10" s="657"/>
      <c r="M10" s="657"/>
      <c r="N10" s="657"/>
      <c r="O10" s="672"/>
      <c r="P10" s="672"/>
      <c r="Q10" s="657"/>
      <c r="R10" s="657"/>
      <c r="S10" s="657"/>
      <c r="T10" s="657"/>
      <c r="U10" s="657"/>
      <c r="V10" s="657"/>
      <c r="W10" s="672"/>
      <c r="X10" s="672"/>
      <c r="Y10" s="672"/>
      <c r="Z10" s="623"/>
      <c r="AA10" s="622"/>
    </row>
    <row r="11" spans="1:34" s="774" customFormat="1" ht="23.25" thickBot="1" x14ac:dyDescent="0.3">
      <c r="A11" s="975" t="s">
        <v>31</v>
      </c>
      <c r="B11" s="761" t="s">
        <v>1135</v>
      </c>
      <c r="C11" s="762" t="s">
        <v>1136</v>
      </c>
      <c r="D11" s="763"/>
      <c r="E11" s="427" t="s">
        <v>740</v>
      </c>
      <c r="F11" s="764" t="s">
        <v>51</v>
      </c>
      <c r="G11" s="764" t="s">
        <v>1137</v>
      </c>
      <c r="H11" s="765" t="s">
        <v>757</v>
      </c>
      <c r="I11" s="765"/>
      <c r="J11" s="428" t="s">
        <v>1138</v>
      </c>
      <c r="K11" s="766" t="s">
        <v>400</v>
      </c>
      <c r="L11" s="767" t="s">
        <v>1139</v>
      </c>
      <c r="M11" s="768" t="s">
        <v>35</v>
      </c>
      <c r="N11" s="768" t="s">
        <v>38</v>
      </c>
      <c r="O11" s="769" t="s">
        <v>742</v>
      </c>
      <c r="P11" s="768" t="s">
        <v>1140</v>
      </c>
      <c r="Q11" s="770" t="s">
        <v>751</v>
      </c>
      <c r="R11" s="982" t="s">
        <v>752</v>
      </c>
      <c r="S11" s="983"/>
      <c r="T11" s="771" t="s">
        <v>108</v>
      </c>
      <c r="U11" s="769" t="s">
        <v>757</v>
      </c>
      <c r="V11" s="771" t="s">
        <v>758</v>
      </c>
      <c r="W11" s="772" t="s">
        <v>759</v>
      </c>
      <c r="X11" s="773" t="s">
        <v>760</v>
      </c>
      <c r="Y11" s="771" t="s">
        <v>761</v>
      </c>
      <c r="Z11" s="399"/>
    </row>
    <row r="12" spans="1:34" s="774" customFormat="1" ht="15.75" thickBot="1" x14ac:dyDescent="0.3">
      <c r="A12" s="976"/>
      <c r="B12" s="775" t="s">
        <v>916</v>
      </c>
      <c r="C12" s="756" t="s">
        <v>1136</v>
      </c>
      <c r="D12" s="776"/>
      <c r="E12" s="648"/>
      <c r="F12" s="777"/>
      <c r="G12" s="399"/>
      <c r="H12" s="399"/>
      <c r="I12" s="399"/>
      <c r="J12" s="778"/>
      <c r="K12" s="779"/>
      <c r="L12" s="780">
        <f>HYPERLINK("https://eu1.salesforce.com/"&amp;E12,F12)</f>
        <v>0</v>
      </c>
      <c r="M12" s="649"/>
      <c r="N12" s="649"/>
      <c r="O12" s="781"/>
      <c r="P12" s="782">
        <v>1234567.8899999999</v>
      </c>
      <c r="Q12" s="782">
        <v>1234567.8899999999</v>
      </c>
      <c r="R12" s="984"/>
      <c r="S12" s="985"/>
      <c r="T12" s="783"/>
      <c r="U12" s="780">
        <f>HYPERLINK("https://eu1.salesforce.com/"&amp;G12,H12)</f>
        <v>0</v>
      </c>
      <c r="V12" s="784"/>
      <c r="W12" s="782"/>
      <c r="X12" s="784"/>
      <c r="Y12" s="784"/>
    </row>
    <row r="13" spans="1:34" x14ac:dyDescent="0.25">
      <c r="A13" s="976"/>
      <c r="B13" s="755" t="s">
        <v>922</v>
      </c>
      <c r="C13" s="756"/>
      <c r="D13" s="757"/>
      <c r="E13" s="662">
        <v>0.5</v>
      </c>
      <c r="F13" s="662"/>
      <c r="J13" s="662">
        <v>0.5</v>
      </c>
      <c r="K13" s="662">
        <v>17</v>
      </c>
      <c r="L13" s="657" t="s">
        <v>928</v>
      </c>
      <c r="M13" s="657" t="s">
        <v>83</v>
      </c>
      <c r="N13" s="657" t="s">
        <v>80</v>
      </c>
      <c r="O13" s="657" t="s">
        <v>927</v>
      </c>
      <c r="P13" s="657" t="s">
        <v>1141</v>
      </c>
      <c r="Q13" s="657" t="s">
        <v>1141</v>
      </c>
      <c r="R13" s="657" t="s">
        <v>1142</v>
      </c>
      <c r="S13" s="657"/>
      <c r="T13" s="873" t="s">
        <v>1228</v>
      </c>
      <c r="U13" s="657" t="s">
        <v>185</v>
      </c>
      <c r="V13" s="657" t="s">
        <v>185</v>
      </c>
      <c r="W13" s="657" t="s">
        <v>1141</v>
      </c>
      <c r="X13" s="657" t="s">
        <v>59</v>
      </c>
      <c r="Y13" s="657" t="s">
        <v>243</v>
      </c>
      <c r="AA13" s="623"/>
      <c r="AB13" s="622"/>
    </row>
    <row r="14" spans="1:34" x14ac:dyDescent="0.25">
      <c r="A14" s="976"/>
      <c r="B14" s="755" t="s">
        <v>926</v>
      </c>
      <c r="C14" s="756"/>
      <c r="D14" s="757"/>
      <c r="E14" s="662">
        <v>1</v>
      </c>
      <c r="F14" s="662">
        <v>9</v>
      </c>
      <c r="G14" s="662">
        <v>25</v>
      </c>
      <c r="H14" s="778">
        <v>25</v>
      </c>
      <c r="I14" s="778"/>
      <c r="J14" s="662" t="s">
        <v>1085</v>
      </c>
      <c r="K14" s="662">
        <v>19</v>
      </c>
      <c r="L14" s="657"/>
      <c r="M14" s="657" t="s">
        <v>119</v>
      </c>
      <c r="N14" s="657" t="s">
        <v>33</v>
      </c>
      <c r="O14" s="657" t="s">
        <v>185</v>
      </c>
      <c r="P14" s="657" t="s">
        <v>80</v>
      </c>
      <c r="Q14" s="657" t="s">
        <v>927</v>
      </c>
      <c r="R14" s="657" t="s">
        <v>244</v>
      </c>
      <c r="S14" s="657"/>
      <c r="T14" s="657" t="s">
        <v>928</v>
      </c>
      <c r="U14" s="657"/>
      <c r="V14" s="657" t="s">
        <v>1143</v>
      </c>
      <c r="W14" s="657" t="s">
        <v>1004</v>
      </c>
      <c r="X14" s="657" t="s">
        <v>1005</v>
      </c>
      <c r="Y14" s="657" t="s">
        <v>1144</v>
      </c>
      <c r="AD14" s="627"/>
      <c r="AE14" s="627"/>
      <c r="AF14" s="627"/>
      <c r="AG14" s="627"/>
      <c r="AH14" s="627"/>
    </row>
    <row r="15" spans="1:34" x14ac:dyDescent="0.25">
      <c r="A15" s="976"/>
      <c r="B15" s="755" t="s">
        <v>930</v>
      </c>
      <c r="C15" s="756"/>
      <c r="D15" s="757"/>
      <c r="E15" s="662"/>
      <c r="F15" s="662"/>
      <c r="G15" s="662" t="s">
        <v>932</v>
      </c>
      <c r="H15" s="399" t="s">
        <v>1145</v>
      </c>
      <c r="J15" s="662"/>
      <c r="K15" s="785" t="s">
        <v>774</v>
      </c>
      <c r="L15" s="672"/>
      <c r="M15" s="672"/>
      <c r="N15" s="672"/>
      <c r="O15" s="672"/>
      <c r="P15" s="672"/>
      <c r="Q15" s="672"/>
      <c r="R15" s="672"/>
      <c r="S15" s="672"/>
      <c r="T15" s="672"/>
      <c r="U15" s="672"/>
      <c r="V15" s="672"/>
      <c r="W15" s="672"/>
      <c r="X15" s="672"/>
      <c r="Y15" s="672"/>
      <c r="AD15" s="627"/>
      <c r="AE15" s="627"/>
      <c r="AF15" s="627"/>
      <c r="AG15" s="627"/>
      <c r="AH15" s="627"/>
    </row>
    <row r="16" spans="1:34" ht="15.75" thickBot="1" x14ac:dyDescent="0.3">
      <c r="A16" s="977"/>
      <c r="B16" s="760" t="s">
        <v>933</v>
      </c>
      <c r="C16" s="786"/>
      <c r="D16" s="787"/>
      <c r="E16" s="788"/>
      <c r="F16" s="788"/>
      <c r="G16" s="788" t="s">
        <v>1146</v>
      </c>
      <c r="J16" s="788" t="s">
        <v>1147</v>
      </c>
      <c r="K16" s="788"/>
      <c r="L16" s="672"/>
      <c r="M16" s="672"/>
      <c r="N16" s="672"/>
      <c r="O16" s="672"/>
      <c r="P16" s="672"/>
      <c r="Q16" s="672"/>
      <c r="R16" s="672"/>
      <c r="S16" s="672"/>
      <c r="T16" s="672"/>
      <c r="U16" s="672"/>
      <c r="V16" s="672"/>
      <c r="W16" s="672"/>
      <c r="AB16" s="627"/>
      <c r="AC16" s="627"/>
      <c r="AD16" s="627"/>
      <c r="AE16" s="627"/>
      <c r="AF16" s="627"/>
    </row>
    <row r="17" spans="1:37" s="774" customFormat="1" ht="30.75" thickBot="1" x14ac:dyDescent="0.3">
      <c r="A17" s="975" t="s">
        <v>68</v>
      </c>
      <c r="B17" s="595" t="s">
        <v>893</v>
      </c>
      <c r="C17" s="762" t="s">
        <v>1136</v>
      </c>
      <c r="D17" s="763"/>
      <c r="E17" s="789" t="s">
        <v>741</v>
      </c>
      <c r="F17" s="789"/>
      <c r="G17" s="789"/>
      <c r="H17" s="790" t="s">
        <v>1148</v>
      </c>
      <c r="I17" s="790"/>
      <c r="J17" s="791" t="s">
        <v>117</v>
      </c>
      <c r="K17" s="792"/>
      <c r="L17" s="793" t="s">
        <v>1149</v>
      </c>
      <c r="M17" s="794" t="s">
        <v>1150</v>
      </c>
      <c r="N17" s="795" t="s">
        <v>1151</v>
      </c>
      <c r="O17" s="795" t="s">
        <v>1152</v>
      </c>
      <c r="P17" s="796" t="s">
        <v>1153</v>
      </c>
      <c r="Q17" s="796" t="s">
        <v>1154</v>
      </c>
      <c r="R17" s="986" t="s">
        <v>1155</v>
      </c>
      <c r="S17" s="987"/>
      <c r="T17" s="793" t="s">
        <v>1156</v>
      </c>
      <c r="W17" s="793" t="s">
        <v>1157</v>
      </c>
      <c r="X17" s="797"/>
    </row>
    <row r="18" spans="1:37" s="774" customFormat="1" ht="15.75" thickBot="1" x14ac:dyDescent="0.3">
      <c r="A18" s="976"/>
      <c r="B18" s="775" t="s">
        <v>916</v>
      </c>
      <c r="C18" s="756" t="s">
        <v>1158</v>
      </c>
      <c r="D18" s="798">
        <f>E12</f>
        <v>0</v>
      </c>
      <c r="H18" s="799"/>
      <c r="I18" s="799"/>
      <c r="J18" s="800"/>
      <c r="K18" s="801"/>
      <c r="L18" s="947"/>
      <c r="M18" s="803"/>
      <c r="N18" s="804"/>
      <c r="O18" s="804"/>
      <c r="P18" s="948"/>
      <c r="Q18" s="803"/>
      <c r="R18" s="988"/>
      <c r="S18" s="989"/>
      <c r="T18" s="805"/>
      <c r="W18" s="898"/>
      <c r="X18" s="797"/>
    </row>
    <row r="19" spans="1:37" x14ac:dyDescent="0.25">
      <c r="A19" s="976"/>
      <c r="B19" s="755" t="s">
        <v>922</v>
      </c>
      <c r="C19" s="756"/>
      <c r="D19" s="757"/>
      <c r="E19" s="437">
        <v>0.5</v>
      </c>
      <c r="F19" s="437"/>
      <c r="G19" s="437"/>
      <c r="H19" s="437">
        <v>0.5</v>
      </c>
      <c r="I19" s="437"/>
      <c r="J19" s="437">
        <v>0.5</v>
      </c>
      <c r="K19" s="662"/>
      <c r="L19" s="807">
        <v>14</v>
      </c>
      <c r="M19" s="807">
        <v>10</v>
      </c>
      <c r="N19" s="807">
        <v>10</v>
      </c>
      <c r="O19" s="807">
        <v>10</v>
      </c>
      <c r="P19" s="807">
        <v>30</v>
      </c>
      <c r="Q19" s="807">
        <v>10</v>
      </c>
      <c r="R19" s="807">
        <v>40</v>
      </c>
      <c r="S19" s="807"/>
      <c r="T19" s="807">
        <v>26</v>
      </c>
      <c r="W19" s="657" t="s">
        <v>1141</v>
      </c>
      <c r="X19" s="778"/>
    </row>
    <row r="20" spans="1:37" x14ac:dyDescent="0.25">
      <c r="A20" s="976"/>
      <c r="B20" s="755" t="s">
        <v>926</v>
      </c>
      <c r="C20" s="756"/>
      <c r="D20" s="757"/>
      <c r="E20" s="885" t="s">
        <v>1230</v>
      </c>
      <c r="J20" s="672"/>
      <c r="K20" s="399"/>
      <c r="L20" s="885" t="s">
        <v>1230</v>
      </c>
      <c r="M20" s="778" t="s">
        <v>1230</v>
      </c>
      <c r="N20" s="807" t="s">
        <v>1230</v>
      </c>
      <c r="O20" s="807" t="s">
        <v>1230</v>
      </c>
      <c r="P20" s="807" t="s">
        <v>1230</v>
      </c>
      <c r="Q20" s="807" t="s">
        <v>1230</v>
      </c>
      <c r="R20" s="807" t="s">
        <v>1230</v>
      </c>
      <c r="S20" s="807"/>
      <c r="T20" s="807" t="s">
        <v>1230</v>
      </c>
      <c r="W20" s="807" t="s">
        <v>1230</v>
      </c>
      <c r="X20" s="778"/>
    </row>
    <row r="21" spans="1:37" x14ac:dyDescent="0.25">
      <c r="A21" s="976"/>
      <c r="B21" s="755" t="s">
        <v>930</v>
      </c>
      <c r="C21" s="756"/>
      <c r="D21" s="757"/>
      <c r="E21" s="778"/>
      <c r="K21" s="399"/>
      <c r="L21" s="778"/>
      <c r="M21" s="778"/>
      <c r="N21" s="778"/>
      <c r="O21" s="778"/>
      <c r="P21" s="778"/>
      <c r="Q21" s="778"/>
      <c r="R21" s="778"/>
      <c r="S21" s="778"/>
      <c r="T21" s="778"/>
      <c r="W21" s="778"/>
      <c r="X21" s="778"/>
    </row>
    <row r="22" spans="1:37" s="614" customFormat="1" ht="15.75" thickBot="1" x14ac:dyDescent="0.3">
      <c r="A22" s="977"/>
      <c r="B22" s="760" t="s">
        <v>933</v>
      </c>
      <c r="C22" s="808"/>
      <c r="D22" s="809"/>
      <c r="E22" s="810" t="s">
        <v>1159</v>
      </c>
      <c r="F22" s="810"/>
      <c r="G22" s="399"/>
      <c r="H22" s="399"/>
      <c r="I22" s="399"/>
      <c r="J22" s="672"/>
      <c r="K22" s="788"/>
      <c r="L22" s="810" t="s">
        <v>1160</v>
      </c>
      <c r="M22" s="810" t="s">
        <v>1161</v>
      </c>
      <c r="N22" s="810" t="s">
        <v>1162</v>
      </c>
      <c r="O22" s="810" t="s">
        <v>1163</v>
      </c>
      <c r="P22" s="810" t="s">
        <v>1164</v>
      </c>
      <c r="Q22" s="810" t="s">
        <v>1165</v>
      </c>
      <c r="R22" s="810" t="s">
        <v>1166</v>
      </c>
      <c r="S22" s="807"/>
      <c r="T22" s="810" t="s">
        <v>1167</v>
      </c>
      <c r="U22" s="810"/>
      <c r="W22" s="810" t="s">
        <v>1168</v>
      </c>
      <c r="Y22" s="811"/>
      <c r="Z22" s="399"/>
      <c r="AA22" s="399"/>
      <c r="AB22" s="399"/>
      <c r="AC22" s="399"/>
      <c r="AD22" s="399"/>
      <c r="AE22" s="399"/>
      <c r="AF22" s="399"/>
      <c r="AG22" s="399"/>
      <c r="AH22" s="399"/>
      <c r="AI22" s="399"/>
      <c r="AJ22" s="399"/>
    </row>
    <row r="23" spans="1:37" ht="30.75" thickBot="1" x14ac:dyDescent="0.3">
      <c r="A23" s="975" t="s">
        <v>64</v>
      </c>
      <c r="B23" s="812" t="s">
        <v>1169</v>
      </c>
      <c r="C23" s="762" t="s">
        <v>1136</v>
      </c>
      <c r="D23" s="763"/>
      <c r="E23" s="428" t="s">
        <v>945</v>
      </c>
      <c r="F23" s="428" t="s">
        <v>1170</v>
      </c>
      <c r="G23" s="428" t="s">
        <v>869</v>
      </c>
      <c r="H23" s="813" t="s">
        <v>1171</v>
      </c>
      <c r="I23" s="813" t="s">
        <v>1137</v>
      </c>
      <c r="J23" s="814" t="s">
        <v>117</v>
      </c>
      <c r="K23" s="815"/>
      <c r="L23" s="990" t="s">
        <v>869</v>
      </c>
      <c r="M23" s="991"/>
      <c r="N23" s="816" t="s">
        <v>1172</v>
      </c>
      <c r="O23" s="817" t="s">
        <v>1173</v>
      </c>
      <c r="P23" s="817" t="s">
        <v>1174</v>
      </c>
      <c r="Q23" s="817" t="s">
        <v>1175</v>
      </c>
      <c r="R23" s="817" t="s">
        <v>1176</v>
      </c>
      <c r="S23" s="817" t="s">
        <v>1177</v>
      </c>
      <c r="T23" s="817" t="s">
        <v>108</v>
      </c>
      <c r="U23" s="817" t="s">
        <v>757</v>
      </c>
      <c r="V23" s="817" t="s">
        <v>101</v>
      </c>
      <c r="W23" s="817" t="s">
        <v>82</v>
      </c>
      <c r="X23" s="817" t="s">
        <v>1178</v>
      </c>
      <c r="Y23" s="817" t="s">
        <v>126</v>
      </c>
      <c r="Z23" s="615"/>
      <c r="AA23" s="615"/>
      <c r="AB23" s="615"/>
    </row>
    <row r="24" spans="1:37" ht="15.75" thickBot="1" x14ac:dyDescent="0.3">
      <c r="A24" s="976"/>
      <c r="B24" s="775" t="s">
        <v>916</v>
      </c>
      <c r="C24" s="818" t="str">
        <f>IF(LEN(J12)=0,"",J12)</f>
        <v/>
      </c>
      <c r="D24" s="819">
        <v>1</v>
      </c>
      <c r="F24" s="820"/>
      <c r="G24" s="437"/>
      <c r="H24" s="821"/>
      <c r="I24" s="821"/>
      <c r="J24" s="822"/>
      <c r="K24" s="823" t="s">
        <v>1179</v>
      </c>
      <c r="L24" s="992">
        <f>HYPERLINK("https://eu1.salesforce.com/"&amp;F24,G24)</f>
        <v>0</v>
      </c>
      <c r="M24" s="993"/>
      <c r="N24" s="614"/>
      <c r="O24" s="949"/>
      <c r="P24" s="824"/>
      <c r="Q24" s="614"/>
      <c r="R24" s="614"/>
      <c r="S24" s="614"/>
      <c r="T24" s="825"/>
      <c r="U24" s="826">
        <f>HYPERLINK("https://eu1.salesforce.com/"&amp;I24,H24)</f>
        <v>0</v>
      </c>
      <c r="V24" s="614"/>
      <c r="W24" s="614"/>
      <c r="X24" s="615"/>
      <c r="Y24" s="615"/>
      <c r="Z24" s="615"/>
      <c r="AA24" s="615"/>
      <c r="AB24" s="615"/>
    </row>
    <row r="25" spans="1:37" ht="15.75" thickBot="1" x14ac:dyDescent="0.3">
      <c r="A25" s="976"/>
      <c r="B25" s="755" t="s">
        <v>922</v>
      </c>
      <c r="C25" s="756"/>
      <c r="D25" s="757"/>
      <c r="E25" s="437">
        <v>0.5</v>
      </c>
      <c r="F25" s="437"/>
      <c r="G25" s="437"/>
      <c r="H25" s="437">
        <v>10</v>
      </c>
      <c r="I25" s="437"/>
      <c r="J25" s="437">
        <v>0.5</v>
      </c>
      <c r="K25" s="662"/>
      <c r="L25" s="827" t="s">
        <v>928</v>
      </c>
      <c r="M25" s="827"/>
      <c r="N25" s="827" t="s">
        <v>80</v>
      </c>
      <c r="O25" s="827"/>
      <c r="P25" s="657" t="s">
        <v>1180</v>
      </c>
      <c r="Q25" s="657" t="s">
        <v>1181</v>
      </c>
      <c r="R25" s="950" t="s">
        <v>923</v>
      </c>
      <c r="S25" s="827"/>
      <c r="T25" s="827" t="s">
        <v>80</v>
      </c>
      <c r="U25" s="827" t="s">
        <v>80</v>
      </c>
      <c r="V25" s="827" t="s">
        <v>80</v>
      </c>
      <c r="W25" s="827" t="s">
        <v>185</v>
      </c>
      <c r="X25" s="827" t="s">
        <v>185</v>
      </c>
      <c r="Y25" s="827" t="s">
        <v>185</v>
      </c>
      <c r="AB25" s="622"/>
      <c r="AD25" s="623"/>
      <c r="AE25" s="622"/>
    </row>
    <row r="26" spans="1:37" ht="15.75" thickBot="1" x14ac:dyDescent="0.3">
      <c r="A26" s="976"/>
      <c r="B26" s="755" t="s">
        <v>926</v>
      </c>
      <c r="C26" s="756" t="s">
        <v>168</v>
      </c>
      <c r="D26" s="828" t="s">
        <v>185</v>
      </c>
      <c r="E26" s="829" t="s">
        <v>1182</v>
      </c>
      <c r="F26" s="778" t="s">
        <v>168</v>
      </c>
      <c r="G26" s="778">
        <v>3</v>
      </c>
      <c r="H26" s="951" t="s">
        <v>1259</v>
      </c>
      <c r="I26" s="951" t="s">
        <v>1259</v>
      </c>
      <c r="J26" s="807"/>
      <c r="K26" s="830"/>
      <c r="L26" s="778"/>
      <c r="M26" s="778"/>
      <c r="N26" s="807" t="s">
        <v>937</v>
      </c>
      <c r="O26" s="807">
        <v>26</v>
      </c>
      <c r="P26" s="807" t="s">
        <v>961</v>
      </c>
      <c r="Q26" s="778" t="s">
        <v>1183</v>
      </c>
      <c r="R26" s="778" t="s">
        <v>145</v>
      </c>
      <c r="S26" s="827" t="s">
        <v>927</v>
      </c>
      <c r="T26" s="807" t="s">
        <v>80</v>
      </c>
      <c r="U26" s="807"/>
      <c r="V26" s="656"/>
      <c r="W26" s="656"/>
      <c r="X26" s="656"/>
      <c r="Y26" s="656"/>
      <c r="AG26" s="627"/>
      <c r="AH26" s="627"/>
      <c r="AI26" s="627"/>
      <c r="AJ26" s="627"/>
      <c r="AK26" s="627"/>
    </row>
    <row r="27" spans="1:37" x14ac:dyDescent="0.25">
      <c r="A27" s="976"/>
      <c r="B27" s="755" t="s">
        <v>930</v>
      </c>
      <c r="C27" s="756"/>
      <c r="D27" s="757"/>
      <c r="E27" s="899" t="s">
        <v>1239</v>
      </c>
      <c r="K27" s="832" t="s">
        <v>1184</v>
      </c>
      <c r="L27" s="832" t="s">
        <v>1185</v>
      </c>
      <c r="M27" s="671"/>
      <c r="N27" s="671"/>
      <c r="O27" s="671"/>
      <c r="T27" s="671"/>
      <c r="U27" s="832" t="s">
        <v>1185</v>
      </c>
      <c r="AG27" s="627"/>
      <c r="AH27" s="627"/>
      <c r="AI27" s="627"/>
      <c r="AJ27" s="627"/>
      <c r="AK27" s="627"/>
    </row>
    <row r="28" spans="1:37" ht="15.75" thickBot="1" x14ac:dyDescent="0.3">
      <c r="A28" s="977"/>
      <c r="B28" s="760" t="s">
        <v>933</v>
      </c>
      <c r="C28" s="786"/>
      <c r="D28" s="809"/>
      <c r="E28" s="422"/>
      <c r="H28" s="788" t="s">
        <v>1186</v>
      </c>
      <c r="I28" s="788" t="s">
        <v>1187</v>
      </c>
      <c r="K28" s="399"/>
      <c r="L28" s="672"/>
      <c r="AB28" s="626"/>
      <c r="AF28" s="627"/>
      <c r="AG28" s="627"/>
      <c r="AH28" s="627"/>
      <c r="AI28" s="627"/>
      <c r="AJ28" s="627"/>
    </row>
    <row r="29" spans="1:37" x14ac:dyDescent="0.25">
      <c r="K29" s="399"/>
    </row>
    <row r="30" spans="1:37" ht="15.75" thickBot="1" x14ac:dyDescent="0.3">
      <c r="A30" s="605" t="s">
        <v>1188</v>
      </c>
    </row>
    <row r="31" spans="1:37" s="614" customFormat="1" ht="15.75" thickBot="1" x14ac:dyDescent="0.3">
      <c r="A31" s="399"/>
      <c r="B31" s="742" t="s">
        <v>1132</v>
      </c>
      <c r="C31" s="750" t="s">
        <v>963</v>
      </c>
      <c r="D31" s="750" t="s">
        <v>961</v>
      </c>
      <c r="K31" s="744"/>
      <c r="L31" s="745" t="s">
        <v>141</v>
      </c>
      <c r="M31" s="746" t="s">
        <v>1133</v>
      </c>
      <c r="N31" s="747" t="s">
        <v>1134</v>
      </c>
      <c r="P31" s="615"/>
      <c r="Q31" s="616"/>
      <c r="R31" s="617"/>
      <c r="S31" s="618"/>
      <c r="T31" s="399"/>
      <c r="U31" s="399"/>
      <c r="V31" s="399"/>
      <c r="W31" s="399"/>
      <c r="X31" s="399"/>
      <c r="Y31" s="399"/>
      <c r="Z31" s="399"/>
      <c r="AA31" s="399"/>
      <c r="AB31" s="399"/>
      <c r="AC31" s="399"/>
    </row>
    <row r="32" spans="1:37" s="744" customFormat="1" x14ac:dyDescent="0.25">
      <c r="A32" s="748"/>
      <c r="B32" s="749"/>
      <c r="C32" s="750"/>
      <c r="D32" s="751"/>
      <c r="L32" s="752"/>
      <c r="M32" s="752"/>
      <c r="N32" s="753"/>
      <c r="Q32" s="657"/>
      <c r="R32" s="616"/>
      <c r="S32" s="617"/>
      <c r="T32" s="618"/>
      <c r="U32" s="672"/>
      <c r="V32" s="672"/>
      <c r="W32" s="672"/>
      <c r="X32" s="672"/>
      <c r="Y32" s="672"/>
      <c r="Z32" s="672"/>
      <c r="AA32" s="672"/>
      <c r="AB32" s="672"/>
      <c r="AC32" s="672"/>
      <c r="AD32" s="672"/>
    </row>
    <row r="33" spans="1:35" x14ac:dyDescent="0.25">
      <c r="A33" s="754">
        <v>0</v>
      </c>
      <c r="B33" s="755" t="s">
        <v>65</v>
      </c>
      <c r="C33" s="756" t="s">
        <v>65</v>
      </c>
      <c r="D33" s="757" t="s">
        <v>65</v>
      </c>
      <c r="E33" s="758">
        <v>0</v>
      </c>
      <c r="F33" s="758">
        <v>0</v>
      </c>
      <c r="G33" s="758">
        <v>0</v>
      </c>
      <c r="H33" s="758">
        <v>0</v>
      </c>
      <c r="I33" s="758"/>
      <c r="J33" s="758">
        <v>0</v>
      </c>
      <c r="K33" s="758">
        <v>17</v>
      </c>
      <c r="L33" s="759" t="s">
        <v>928</v>
      </c>
      <c r="M33" s="759" t="s">
        <v>83</v>
      </c>
      <c r="N33" s="759" t="s">
        <v>83</v>
      </c>
      <c r="O33" s="759" t="s">
        <v>962</v>
      </c>
      <c r="P33" s="759" t="s">
        <v>928</v>
      </c>
      <c r="Q33" s="759" t="s">
        <v>961</v>
      </c>
      <c r="R33" s="759" t="s">
        <v>80</v>
      </c>
      <c r="S33" s="759" t="s">
        <v>50</v>
      </c>
      <c r="T33" s="759" t="s">
        <v>80</v>
      </c>
      <c r="U33" s="759" t="s">
        <v>80</v>
      </c>
      <c r="V33" s="759" t="s">
        <v>80</v>
      </c>
      <c r="W33" s="759" t="s">
        <v>243</v>
      </c>
      <c r="X33" s="759" t="s">
        <v>59</v>
      </c>
      <c r="Y33" s="759" t="s">
        <v>243</v>
      </c>
      <c r="AA33" s="623"/>
      <c r="AB33" s="622"/>
    </row>
    <row r="34" spans="1:35" x14ac:dyDescent="0.25">
      <c r="A34" s="748"/>
      <c r="B34" s="755" t="s">
        <v>926</v>
      </c>
      <c r="C34" s="756"/>
      <c r="D34" s="757"/>
      <c r="E34" s="662"/>
      <c r="F34" s="662"/>
      <c r="G34" s="662"/>
      <c r="H34" s="662"/>
      <c r="I34" s="662"/>
      <c r="J34" s="662"/>
      <c r="K34" s="662"/>
      <c r="L34" s="657"/>
      <c r="M34" s="657"/>
      <c r="N34" s="657"/>
      <c r="O34" s="672"/>
      <c r="P34" s="672"/>
      <c r="Q34" s="657"/>
      <c r="R34" s="657"/>
      <c r="S34" s="657"/>
      <c r="T34" s="657"/>
      <c r="U34" s="657"/>
      <c r="V34" s="657"/>
      <c r="W34" s="672"/>
      <c r="X34" s="672"/>
      <c r="Y34" s="672"/>
      <c r="Z34" s="623"/>
      <c r="AA34" s="622"/>
    </row>
    <row r="35" spans="1:35" x14ac:dyDescent="0.25">
      <c r="A35" s="748"/>
      <c r="B35" s="755" t="s">
        <v>930</v>
      </c>
      <c r="C35" s="756"/>
      <c r="D35" s="757"/>
      <c r="E35" s="662"/>
      <c r="F35" s="662"/>
      <c r="G35" s="662"/>
      <c r="H35" s="662"/>
      <c r="I35" s="662"/>
      <c r="J35" s="662"/>
      <c r="K35" s="662"/>
      <c r="L35" s="657"/>
      <c r="M35" s="657"/>
      <c r="N35" s="657"/>
      <c r="O35" s="672"/>
      <c r="P35" s="672"/>
      <c r="Q35" s="657"/>
      <c r="R35" s="657"/>
      <c r="S35" s="657"/>
      <c r="T35" s="657"/>
      <c r="U35" s="657"/>
      <c r="V35" s="657"/>
      <c r="W35" s="672"/>
      <c r="X35" s="672"/>
      <c r="Y35" s="672"/>
      <c r="Z35" s="623"/>
      <c r="AA35" s="622"/>
    </row>
    <row r="36" spans="1:35" ht="15.75" thickBot="1" x14ac:dyDescent="0.3">
      <c r="A36" s="748"/>
      <c r="B36" s="760" t="s">
        <v>933</v>
      </c>
      <c r="C36" s="756"/>
      <c r="D36" s="757"/>
      <c r="E36" s="662"/>
      <c r="F36" s="662"/>
      <c r="G36" s="662"/>
      <c r="H36" s="662"/>
      <c r="I36" s="662"/>
      <c r="J36" s="662"/>
      <c r="K36" s="662"/>
      <c r="L36" s="657"/>
      <c r="M36" s="657"/>
      <c r="N36" s="657"/>
      <c r="O36" s="672"/>
      <c r="P36" s="672"/>
      <c r="Q36" s="657"/>
      <c r="R36" s="657"/>
      <c r="S36" s="657"/>
      <c r="T36" s="657"/>
      <c r="U36" s="657"/>
      <c r="V36" s="657"/>
      <c r="W36" s="672"/>
      <c r="X36" s="672"/>
      <c r="Y36" s="672"/>
      <c r="Z36" s="623"/>
      <c r="AA36" s="622"/>
    </row>
    <row r="37" spans="1:35" s="774" customFormat="1" ht="23.25" thickBot="1" x14ac:dyDescent="0.3">
      <c r="A37" s="975" t="s">
        <v>31</v>
      </c>
      <c r="B37" s="761" t="s">
        <v>1135</v>
      </c>
      <c r="C37" s="762" t="s">
        <v>1136</v>
      </c>
      <c r="D37" s="763"/>
      <c r="E37" s="427" t="s">
        <v>740</v>
      </c>
      <c r="F37" s="764" t="s">
        <v>51</v>
      </c>
      <c r="G37" s="764" t="s">
        <v>1137</v>
      </c>
      <c r="H37" s="765" t="s">
        <v>757</v>
      </c>
      <c r="I37" s="765"/>
      <c r="J37" s="428" t="s">
        <v>1138</v>
      </c>
      <c r="K37" s="766" t="s">
        <v>400</v>
      </c>
      <c r="L37" s="767" t="s">
        <v>1139</v>
      </c>
      <c r="M37" s="768" t="s">
        <v>35</v>
      </c>
      <c r="N37" s="768" t="s">
        <v>38</v>
      </c>
      <c r="O37" s="769" t="s">
        <v>742</v>
      </c>
      <c r="P37" s="768" t="s">
        <v>1140</v>
      </c>
      <c r="Q37" s="770" t="s">
        <v>751</v>
      </c>
      <c r="R37" s="982" t="s">
        <v>752</v>
      </c>
      <c r="S37" s="983"/>
      <c r="T37" s="771" t="s">
        <v>108</v>
      </c>
      <c r="U37" s="769" t="s">
        <v>757</v>
      </c>
      <c r="V37" s="771" t="s">
        <v>758</v>
      </c>
      <c r="W37" s="772" t="s">
        <v>759</v>
      </c>
      <c r="X37" s="773" t="s">
        <v>760</v>
      </c>
      <c r="Y37" s="771" t="s">
        <v>761</v>
      </c>
      <c r="Z37" s="399"/>
    </row>
    <row r="38" spans="1:35" s="774" customFormat="1" ht="15.75" thickBot="1" x14ac:dyDescent="0.3">
      <c r="A38" s="976"/>
      <c r="B38" s="775" t="s">
        <v>916</v>
      </c>
      <c r="C38" s="756" t="s">
        <v>1136</v>
      </c>
      <c r="D38" s="776"/>
      <c r="E38" s="648"/>
      <c r="F38" s="777"/>
      <c r="G38" s="399"/>
      <c r="H38" s="399"/>
      <c r="I38" s="399"/>
      <c r="J38" s="778"/>
      <c r="K38" s="779"/>
      <c r="L38" s="780">
        <f>HYPERLINK("https://eu1.salesforce.com/"&amp;E38,F38)</f>
        <v>0</v>
      </c>
      <c r="M38" s="649"/>
      <c r="N38" s="649"/>
      <c r="O38" s="781"/>
      <c r="P38" s="782">
        <v>1234567.8899999999</v>
      </c>
      <c r="Q38" s="782">
        <v>1234567.8899999999</v>
      </c>
      <c r="R38" s="984"/>
      <c r="S38" s="985"/>
      <c r="T38" s="783"/>
      <c r="U38" s="780">
        <f>HYPERLINK("https://eu1.salesforce.com/"&amp;G38,H38)</f>
        <v>0</v>
      </c>
      <c r="V38" s="784"/>
      <c r="W38" s="784"/>
      <c r="X38" s="784"/>
      <c r="Y38" s="784"/>
    </row>
    <row r="39" spans="1:35" x14ac:dyDescent="0.25">
      <c r="A39" s="976"/>
      <c r="B39" s="755" t="s">
        <v>922</v>
      </c>
      <c r="C39" s="756"/>
      <c r="D39" s="757"/>
      <c r="E39" s="662">
        <v>0.5</v>
      </c>
      <c r="F39" s="662"/>
      <c r="J39" s="662">
        <v>0.5</v>
      </c>
      <c r="K39" s="662">
        <v>17</v>
      </c>
      <c r="L39" s="657" t="s">
        <v>928</v>
      </c>
      <c r="M39" s="657" t="s">
        <v>83</v>
      </c>
      <c r="N39" s="657" t="s">
        <v>80</v>
      </c>
      <c r="O39" s="657" t="s">
        <v>927</v>
      </c>
      <c r="P39" s="657" t="s">
        <v>1141</v>
      </c>
      <c r="Q39" s="657" t="s">
        <v>1141</v>
      </c>
      <c r="R39" s="657" t="s">
        <v>1142</v>
      </c>
      <c r="S39" s="657"/>
      <c r="T39" s="657" t="s">
        <v>80</v>
      </c>
      <c r="U39" s="657" t="s">
        <v>185</v>
      </c>
      <c r="V39" s="657" t="s">
        <v>185</v>
      </c>
      <c r="W39" s="657" t="s">
        <v>1141</v>
      </c>
      <c r="X39" s="657" t="s">
        <v>59</v>
      </c>
      <c r="Y39" s="657" t="s">
        <v>243</v>
      </c>
      <c r="AA39" s="623"/>
      <c r="AB39" s="622"/>
    </row>
    <row r="40" spans="1:35" x14ac:dyDescent="0.25">
      <c r="A40" s="976"/>
      <c r="B40" s="755" t="s">
        <v>926</v>
      </c>
      <c r="C40" s="756"/>
      <c r="D40" s="757"/>
      <c r="E40" s="662">
        <v>1</v>
      </c>
      <c r="F40" s="662">
        <v>9</v>
      </c>
      <c r="G40" s="662">
        <v>25</v>
      </c>
      <c r="H40" s="778">
        <v>25</v>
      </c>
      <c r="I40" s="778"/>
      <c r="J40" s="662" t="s">
        <v>1085</v>
      </c>
      <c r="K40" s="662">
        <v>19</v>
      </c>
      <c r="L40" s="657"/>
      <c r="M40" s="657" t="s">
        <v>119</v>
      </c>
      <c r="N40" s="657" t="s">
        <v>33</v>
      </c>
      <c r="O40" s="657" t="s">
        <v>185</v>
      </c>
      <c r="P40" s="657" t="s">
        <v>80</v>
      </c>
      <c r="Q40" s="657" t="s">
        <v>927</v>
      </c>
      <c r="R40" s="657" t="s">
        <v>244</v>
      </c>
      <c r="S40" s="657"/>
      <c r="T40" s="657" t="s">
        <v>928</v>
      </c>
      <c r="U40" s="657"/>
      <c r="V40" s="657" t="s">
        <v>1143</v>
      </c>
      <c r="W40" s="657" t="s">
        <v>1004</v>
      </c>
      <c r="X40" s="657" t="s">
        <v>1005</v>
      </c>
      <c r="Y40" s="657" t="s">
        <v>1144</v>
      </c>
      <c r="AD40" s="627"/>
      <c r="AE40" s="627"/>
      <c r="AF40" s="627"/>
      <c r="AG40" s="627"/>
      <c r="AH40" s="627"/>
    </row>
    <row r="41" spans="1:35" x14ac:dyDescent="0.25">
      <c r="A41" s="976"/>
      <c r="B41" s="755" t="s">
        <v>930</v>
      </c>
      <c r="C41" s="756"/>
      <c r="D41" s="757"/>
      <c r="E41" s="662"/>
      <c r="F41" s="662"/>
      <c r="G41" s="662" t="s">
        <v>932</v>
      </c>
      <c r="H41" s="399" t="s">
        <v>1145</v>
      </c>
      <c r="J41" s="662"/>
      <c r="K41" s="785" t="s">
        <v>774</v>
      </c>
      <c r="L41" s="672"/>
      <c r="M41" s="672"/>
      <c r="N41" s="672"/>
      <c r="O41" s="672"/>
      <c r="P41" s="672"/>
      <c r="Q41" s="672"/>
      <c r="R41" s="672"/>
      <c r="S41" s="672"/>
      <c r="T41" s="672"/>
      <c r="U41" s="672"/>
      <c r="V41" s="672"/>
      <c r="W41" s="672"/>
      <c r="X41" s="672"/>
      <c r="Y41" s="672"/>
      <c r="AD41" s="627"/>
      <c r="AE41" s="627"/>
      <c r="AF41" s="627"/>
      <c r="AG41" s="627"/>
      <c r="AH41" s="627"/>
    </row>
    <row r="42" spans="1:35" ht="15.75" thickBot="1" x14ac:dyDescent="0.3">
      <c r="A42" s="977"/>
      <c r="B42" s="760" t="s">
        <v>933</v>
      </c>
      <c r="C42" s="786"/>
      <c r="D42" s="787"/>
      <c r="E42" s="788"/>
      <c r="F42" s="788"/>
      <c r="G42" s="788" t="s">
        <v>1146</v>
      </c>
      <c r="J42" s="788" t="s">
        <v>1147</v>
      </c>
      <c r="K42" s="788"/>
      <c r="L42" s="672"/>
      <c r="M42" s="672"/>
      <c r="N42" s="672"/>
      <c r="O42" s="672"/>
      <c r="P42" s="672"/>
      <c r="Q42" s="672"/>
      <c r="R42" s="672"/>
      <c r="S42" s="672"/>
      <c r="T42" s="672"/>
      <c r="U42" s="672"/>
      <c r="V42" s="672"/>
      <c r="W42" s="672"/>
      <c r="AB42" s="627"/>
      <c r="AC42" s="627"/>
      <c r="AD42" s="627"/>
      <c r="AE42" s="627"/>
      <c r="AF42" s="627"/>
    </row>
    <row r="43" spans="1:35" s="774" customFormat="1" ht="30.75" thickBot="1" x14ac:dyDescent="0.3">
      <c r="A43" s="975" t="s">
        <v>68</v>
      </c>
      <c r="B43" s="595" t="s">
        <v>893</v>
      </c>
      <c r="C43" s="762" t="s">
        <v>1136</v>
      </c>
      <c r="D43" s="763"/>
      <c r="E43" s="789" t="s">
        <v>741</v>
      </c>
      <c r="F43" s="789"/>
      <c r="G43" s="789"/>
      <c r="H43" s="790" t="s">
        <v>1148</v>
      </c>
      <c r="I43" s="790"/>
      <c r="J43" s="791" t="s">
        <v>117</v>
      </c>
      <c r="K43" s="792"/>
      <c r="L43" s="793" t="s">
        <v>1149</v>
      </c>
      <c r="M43" s="794" t="s">
        <v>1150</v>
      </c>
      <c r="N43" s="795" t="s">
        <v>1151</v>
      </c>
      <c r="O43" s="795" t="s">
        <v>1152</v>
      </c>
      <c r="P43" s="796" t="s">
        <v>1153</v>
      </c>
      <c r="Q43" s="796" t="s">
        <v>1154</v>
      </c>
      <c r="R43" s="986" t="s">
        <v>1155</v>
      </c>
      <c r="S43" s="987"/>
      <c r="T43" s="793" t="s">
        <v>1156</v>
      </c>
      <c r="W43" s="793" t="s">
        <v>1157</v>
      </c>
      <c r="X43" s="797"/>
    </row>
    <row r="44" spans="1:35" s="774" customFormat="1" ht="15.75" thickBot="1" x14ac:dyDescent="0.3">
      <c r="A44" s="976"/>
      <c r="B44" s="775" t="s">
        <v>916</v>
      </c>
      <c r="C44" s="756" t="s">
        <v>1158</v>
      </c>
      <c r="D44" s="798">
        <f>E38</f>
        <v>0</v>
      </c>
      <c r="H44" s="799"/>
      <c r="I44" s="799"/>
      <c r="J44" s="800"/>
      <c r="K44" s="801"/>
      <c r="L44" s="802"/>
      <c r="M44" s="803"/>
      <c r="N44" s="804"/>
      <c r="O44" s="804"/>
      <c r="P44" s="804"/>
      <c r="Q44" s="803"/>
      <c r="R44" s="988"/>
      <c r="S44" s="989"/>
      <c r="T44" s="805"/>
      <c r="W44" s="806"/>
      <c r="X44" s="797"/>
    </row>
    <row r="45" spans="1:35" x14ac:dyDescent="0.25">
      <c r="A45" s="976"/>
      <c r="B45" s="755" t="s">
        <v>922</v>
      </c>
      <c r="C45" s="756"/>
      <c r="D45" s="757"/>
      <c r="E45" s="437">
        <v>0.5</v>
      </c>
      <c r="F45" s="437"/>
      <c r="G45" s="437"/>
      <c r="H45" s="437">
        <v>0.5</v>
      </c>
      <c r="I45" s="437"/>
      <c r="J45" s="437">
        <v>0.5</v>
      </c>
      <c r="K45" s="662"/>
      <c r="L45" s="807">
        <v>14</v>
      </c>
      <c r="M45" s="807">
        <v>10</v>
      </c>
      <c r="N45" s="807">
        <v>10</v>
      </c>
      <c r="O45" s="807">
        <v>10</v>
      </c>
      <c r="P45" s="807">
        <v>30</v>
      </c>
      <c r="Q45" s="807">
        <v>10</v>
      </c>
      <c r="R45" s="807">
        <v>40</v>
      </c>
      <c r="S45" s="807"/>
      <c r="T45" s="807">
        <v>26</v>
      </c>
      <c r="W45" s="657" t="s">
        <v>1141</v>
      </c>
      <c r="X45" s="778"/>
    </row>
    <row r="46" spans="1:35" x14ac:dyDescent="0.25">
      <c r="A46" s="976"/>
      <c r="B46" s="755" t="s">
        <v>926</v>
      </c>
      <c r="C46" s="756"/>
      <c r="D46" s="757"/>
      <c r="E46" s="778">
        <v>4</v>
      </c>
      <c r="J46" s="672"/>
      <c r="K46" s="399"/>
      <c r="L46" s="778">
        <v>4</v>
      </c>
      <c r="M46" s="778">
        <v>4</v>
      </c>
      <c r="N46" s="807">
        <v>4</v>
      </c>
      <c r="O46" s="807">
        <v>4</v>
      </c>
      <c r="P46" s="807">
        <v>4</v>
      </c>
      <c r="Q46" s="807">
        <v>4</v>
      </c>
      <c r="R46" s="807">
        <v>4</v>
      </c>
      <c r="S46" s="807"/>
      <c r="T46" s="807">
        <v>4</v>
      </c>
      <c r="W46" s="807">
        <v>4</v>
      </c>
      <c r="X46" s="778"/>
    </row>
    <row r="47" spans="1:35" x14ac:dyDescent="0.25">
      <c r="A47" s="976"/>
      <c r="B47" s="755" t="s">
        <v>930</v>
      </c>
      <c r="C47" s="756"/>
      <c r="D47" s="757"/>
      <c r="E47" s="778"/>
      <c r="K47" s="399"/>
      <c r="L47" s="778"/>
      <c r="M47" s="778"/>
      <c r="N47" s="778"/>
      <c r="O47" s="778"/>
      <c r="P47" s="778"/>
      <c r="Q47" s="778"/>
      <c r="R47" s="778"/>
      <c r="S47" s="778"/>
      <c r="T47" s="778"/>
      <c r="W47" s="778"/>
      <c r="X47" s="778"/>
    </row>
    <row r="48" spans="1:35" s="614" customFormat="1" ht="15.75" thickBot="1" x14ac:dyDescent="0.3">
      <c r="A48" s="977"/>
      <c r="B48" s="760" t="s">
        <v>933</v>
      </c>
      <c r="C48" s="808"/>
      <c r="D48" s="809"/>
      <c r="E48" s="810" t="s">
        <v>1159</v>
      </c>
      <c r="F48" s="810"/>
      <c r="G48" s="399"/>
      <c r="H48" s="399"/>
      <c r="I48" s="399"/>
      <c r="J48" s="672"/>
      <c r="K48" s="788"/>
      <c r="L48" s="810" t="s">
        <v>1160</v>
      </c>
      <c r="M48" s="810" t="s">
        <v>1161</v>
      </c>
      <c r="N48" s="810" t="s">
        <v>1162</v>
      </c>
      <c r="O48" s="810" t="s">
        <v>1163</v>
      </c>
      <c r="P48" s="810" t="s">
        <v>1164</v>
      </c>
      <c r="Q48" s="810" t="s">
        <v>1165</v>
      </c>
      <c r="R48" s="810" t="s">
        <v>1166</v>
      </c>
      <c r="S48" s="807"/>
      <c r="T48" s="810" t="s">
        <v>1167</v>
      </c>
      <c r="W48" s="810" t="s">
        <v>1168</v>
      </c>
      <c r="X48" s="811"/>
      <c r="Y48" s="618"/>
      <c r="Z48" s="399"/>
      <c r="AA48" s="399"/>
      <c r="AB48" s="399"/>
      <c r="AC48" s="399"/>
      <c r="AD48" s="399"/>
      <c r="AE48" s="399"/>
      <c r="AF48" s="399"/>
      <c r="AG48" s="399"/>
      <c r="AH48" s="399"/>
      <c r="AI48" s="399"/>
    </row>
    <row r="49" spans="1:36" ht="30.75" thickBot="1" x14ac:dyDescent="0.3">
      <c r="A49" s="975" t="s">
        <v>64</v>
      </c>
      <c r="B49" s="812" t="s">
        <v>1169</v>
      </c>
      <c r="C49" s="762" t="s">
        <v>1136</v>
      </c>
      <c r="D49" s="763"/>
      <c r="E49" s="428" t="s">
        <v>945</v>
      </c>
      <c r="F49" s="428" t="s">
        <v>1170</v>
      </c>
      <c r="G49" s="428" t="s">
        <v>869</v>
      </c>
      <c r="H49" s="833" t="s">
        <v>757</v>
      </c>
      <c r="I49" s="833"/>
      <c r="J49" s="814" t="s">
        <v>117</v>
      </c>
      <c r="K49" s="815"/>
      <c r="L49" s="990" t="s">
        <v>869</v>
      </c>
      <c r="M49" s="991"/>
      <c r="N49" s="816" t="s">
        <v>1172</v>
      </c>
      <c r="O49" s="817" t="s">
        <v>1173</v>
      </c>
      <c r="P49" s="817" t="s">
        <v>1174</v>
      </c>
      <c r="Q49" s="817" t="s">
        <v>1175</v>
      </c>
      <c r="R49" s="817" t="s">
        <v>1176</v>
      </c>
      <c r="S49" s="817" t="s">
        <v>1177</v>
      </c>
      <c r="T49" s="817" t="s">
        <v>108</v>
      </c>
      <c r="U49" s="817" t="s">
        <v>101</v>
      </c>
      <c r="V49" s="817" t="s">
        <v>82</v>
      </c>
      <c r="W49" s="817" t="s">
        <v>1178</v>
      </c>
      <c r="X49" s="817" t="s">
        <v>126</v>
      </c>
      <c r="Y49" s="615"/>
      <c r="Z49" s="615"/>
      <c r="AA49" s="615"/>
    </row>
    <row r="50" spans="1:36" ht="15.75" thickBot="1" x14ac:dyDescent="0.3">
      <c r="A50" s="976"/>
      <c r="B50" s="775" t="s">
        <v>916</v>
      </c>
      <c r="C50" s="818" t="str">
        <f>IF(LEN(J38)=0,"",J38)</f>
        <v/>
      </c>
      <c r="D50" s="819">
        <v>1</v>
      </c>
      <c r="F50" s="820"/>
      <c r="G50" s="437"/>
      <c r="H50" s="821"/>
      <c r="I50" s="821"/>
      <c r="J50" s="822"/>
      <c r="K50" s="823" t="s">
        <v>1179</v>
      </c>
      <c r="L50" s="994">
        <f>HYPERLINK("https://eu1.salesforce.com/"&amp;F50,G50)</f>
        <v>0</v>
      </c>
      <c r="M50" s="995"/>
      <c r="N50" s="614"/>
      <c r="O50" s="614"/>
      <c r="P50" s="824"/>
      <c r="Q50" s="614"/>
      <c r="R50" s="614"/>
      <c r="S50" s="614"/>
      <c r="T50" s="614"/>
      <c r="U50" s="614"/>
      <c r="V50" s="614"/>
      <c r="W50" s="615"/>
      <c r="X50" s="615"/>
      <c r="Y50" s="615"/>
      <c r="Z50" s="615"/>
      <c r="AA50" s="615"/>
    </row>
    <row r="51" spans="1:36" x14ac:dyDescent="0.25">
      <c r="A51" s="976"/>
      <c r="B51" s="755" t="s">
        <v>922</v>
      </c>
      <c r="C51" s="756"/>
      <c r="D51" s="757"/>
      <c r="E51" s="437">
        <v>0.5</v>
      </c>
      <c r="F51" s="437"/>
      <c r="G51" s="437"/>
      <c r="H51" s="437">
        <v>0.5</v>
      </c>
      <c r="I51" s="437"/>
      <c r="J51" s="437">
        <v>0.5</v>
      </c>
      <c r="K51" s="662"/>
      <c r="L51" s="827" t="s">
        <v>928</v>
      </c>
      <c r="M51" s="827"/>
      <c r="N51" s="827" t="s">
        <v>80</v>
      </c>
      <c r="O51" s="827"/>
      <c r="P51" s="657" t="s">
        <v>1180</v>
      </c>
      <c r="Q51" s="657" t="s">
        <v>1181</v>
      </c>
      <c r="R51" s="827"/>
      <c r="S51" s="827"/>
      <c r="T51" s="827" t="s">
        <v>80</v>
      </c>
      <c r="U51" s="827" t="s">
        <v>80</v>
      </c>
      <c r="V51" s="827" t="s">
        <v>185</v>
      </c>
      <c r="W51" s="827" t="s">
        <v>185</v>
      </c>
      <c r="X51" s="827" t="s">
        <v>185</v>
      </c>
      <c r="AA51" s="622"/>
      <c r="AC51" s="623"/>
      <c r="AD51" s="622"/>
    </row>
    <row r="52" spans="1:36" x14ac:dyDescent="0.25">
      <c r="A52" s="976"/>
      <c r="B52" s="755" t="s">
        <v>926</v>
      </c>
      <c r="C52" s="756" t="s">
        <v>168</v>
      </c>
      <c r="D52" s="828" t="s">
        <v>185</v>
      </c>
      <c r="E52" s="829" t="s">
        <v>1182</v>
      </c>
      <c r="F52" s="778" t="s">
        <v>168</v>
      </c>
      <c r="G52" s="778">
        <v>3</v>
      </c>
      <c r="H52" s="807"/>
      <c r="I52" s="807"/>
      <c r="J52" s="807"/>
      <c r="K52" s="807"/>
      <c r="L52" s="778"/>
      <c r="M52" s="778"/>
      <c r="N52" s="807" t="s">
        <v>937</v>
      </c>
      <c r="O52" s="807">
        <v>26</v>
      </c>
      <c r="P52" s="807" t="s">
        <v>961</v>
      </c>
      <c r="Q52" s="778" t="s">
        <v>1183</v>
      </c>
      <c r="R52" s="778" t="s">
        <v>145</v>
      </c>
      <c r="S52" s="827" t="s">
        <v>927</v>
      </c>
      <c r="T52" s="807" t="s">
        <v>80</v>
      </c>
      <c r="U52" s="656"/>
      <c r="V52" s="656"/>
      <c r="W52" s="656"/>
      <c r="X52" s="656"/>
      <c r="Y52" s="660"/>
      <c r="AF52" s="627"/>
      <c r="AG52" s="627"/>
      <c r="AH52" s="627"/>
      <c r="AI52" s="627"/>
      <c r="AJ52" s="627"/>
    </row>
    <row r="53" spans="1:36" ht="45" x14ac:dyDescent="0.25">
      <c r="A53" s="976"/>
      <c r="B53" s="755" t="s">
        <v>930</v>
      </c>
      <c r="C53" s="756"/>
      <c r="D53" s="757"/>
      <c r="E53" s="831" t="s">
        <v>1189</v>
      </c>
      <c r="K53" s="832" t="s">
        <v>1185</v>
      </c>
      <c r="L53" s="832" t="s">
        <v>1185</v>
      </c>
      <c r="M53" s="671"/>
      <c r="N53" s="671"/>
      <c r="O53" s="671"/>
      <c r="T53" s="671"/>
      <c r="AF53" s="627"/>
      <c r="AG53" s="627"/>
      <c r="AH53" s="627"/>
      <c r="AI53" s="627"/>
      <c r="AJ53" s="627"/>
    </row>
    <row r="54" spans="1:36" ht="15.75" thickBot="1" x14ac:dyDescent="0.3">
      <c r="A54" s="977"/>
      <c r="B54" s="760" t="s">
        <v>933</v>
      </c>
      <c r="C54" s="786"/>
      <c r="D54" s="809"/>
      <c r="E54" s="422"/>
      <c r="H54" s="788"/>
      <c r="I54" s="788"/>
      <c r="K54" s="399"/>
      <c r="L54" s="672"/>
      <c r="AB54" s="626"/>
      <c r="AF54" s="627"/>
      <c r="AG54" s="627"/>
      <c r="AH54" s="627"/>
      <c r="AI54" s="627"/>
      <c r="AJ54" s="627"/>
    </row>
  </sheetData>
  <mergeCells count="18">
    <mergeCell ref="A43:A48"/>
    <mergeCell ref="R43:S43"/>
    <mergeCell ref="R44:S44"/>
    <mergeCell ref="A49:A54"/>
    <mergeCell ref="L49:M49"/>
    <mergeCell ref="L50:M50"/>
    <mergeCell ref="A23:A28"/>
    <mergeCell ref="L23:M23"/>
    <mergeCell ref="L24:M24"/>
    <mergeCell ref="A37:A42"/>
    <mergeCell ref="R37:S37"/>
    <mergeCell ref="R38:S38"/>
    <mergeCell ref="A11:A16"/>
    <mergeCell ref="R11:S11"/>
    <mergeCell ref="R12:S12"/>
    <mergeCell ref="A17:A22"/>
    <mergeCell ref="R17:S17"/>
    <mergeCell ref="R18:S18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</vt:i4>
      </vt:variant>
    </vt:vector>
  </HeadingPairs>
  <TitlesOfParts>
    <vt:vector size="7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HDR_1C_Contract_MyCol_Pass0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2013-09-23T09:09:31Z</dcterms:modified>
</cp:coreProperties>
</file>