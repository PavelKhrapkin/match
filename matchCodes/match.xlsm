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<sst xmlns="http://schemas.openxmlformats.org/spreadsheetml/2006/main" count="7071" uniqueCount="1715">
  <si>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</si>
  <si>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</si>
  <si>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</si>
  <si>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</si>
  <si>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</si>
  <si>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</si>
  <si>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</si>
  <si>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</si>
  <si>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</si>
  <si>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</si>
  <si>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</si>
  <si>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</si>
  <si>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</si>
  <si>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</si>
  <si>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</si>
  <si>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</si>
  <si>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</si>
  <si>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</si>
  <si>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</si>
  <si>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</si>
  <si>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</si>
  <si>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</si>
  <si>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</si>
  <si>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</si>
  <si>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</si>
  <si>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</si>
  <si>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</si>
  <si>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</si>
  <si>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</si>
  <si>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</si>
  <si>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</si>
  <si>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</si>
  <si>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</si>
  <si>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</si>
  <si>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</si>
  <si>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</si>
  <si>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</si>
  <si>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</si>
  <si>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</si>
  <si>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</si>
  <si>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</si>
  <si>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</si>
  <si>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</si>
  <si>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</si>
  <si>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</si>
  <si>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</si>
  <si>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</si>
  <si>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</si>
  <si>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</si>
  <si>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</si>
  <si>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</si>
  <si>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</si>
  <si>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</si>
  <si>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</si>
  <si>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</si>
  <si>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</si>
  <si>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</si>
  <si>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</si>
  <si>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</si>
  <si>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</si>
  <si>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</si>
  <si>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</si>
  <si>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</si>
  <si>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</si>
  <si>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</si>
  <si>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</si>
  <si>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</si>
  <si>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</si>
  <si>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</si>
  <si>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</si>
  <si>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</si>
  <si>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</si>
  <si>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</si>
  <si>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</si>
  <si>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</si>
  <si>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</si>
  <si>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</si>
  <si>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</si>
  <si>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</si>
  <si>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</si>
  <si>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</si>
  <si>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</si>
  <si>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</si>
  <si>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</si>
  <si>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</si>
  <si>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</si>
  <si>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</si>
  <si>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</si>
  <si>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</si>
  <si>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</si>
  <si>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</si>
  <si>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</si>
  <si>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</si>
  <si>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</si>
  <si>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</si>
  <si>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</si>
  <si>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</si>
  <si>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</si>
  <si>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</si>
  <si>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</si>
  <si>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</si>
  <si>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</si>
  <si>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</si>
  <si>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</si>
  <si>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</si>
  <si>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</si>
  <si>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</si>
  <si>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</si>
  <si>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</si>
  <si>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</si>
  <si>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</si>
  <si>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</si>
  <si>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</si>
  <si>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</si>
  <si>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</si>
  <si>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</si>
  <si>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</si>
  <si>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</si>
  <si>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</si>
  <si>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</si>
  <si>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</si>
  <si>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</si>
  <si>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</si>
  <si>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</si>
  <si>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</si>
  <si>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</si>
  <si>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</si>
  <si>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</si>
  <si>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</si>
  <si>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</si>
  <si>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</si>
  <si>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</si>
  <si>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</si>
  <si>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</si>
  <si>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</si>
  <si>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</si>
  <si>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</si>
  <si>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</si>
  <si>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</si>
  <si>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</si>
  <si>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</si>
  <si>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</si>
  <si>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</si>
  <si>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</si>
  <si>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</si>
  <si>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</si>
  <si>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</si>
  <si>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</si>
  <si>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</si>
  <si>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</si>
  <si>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</si>
  <si>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</si>
  <si>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</si>
  <si>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</si>
  <si>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</si>
  <si>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</si>
  <si>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</si>
  <si>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</si>
  <si>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</si>
  <si>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</si>
  <si>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</si>
  <si>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</si>
  <si>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</si>
  <si>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</si>
  <si>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</si>
  <si>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</si>
  <si>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</si>
  <si>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</si>
  <si>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</si>
  <si>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</si>
  <si>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</si>
  <si>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</si>
  <si>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</si>
  <si>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</si>
  <si>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</si>
  <si>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</si>
  <si>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</si>
  <si>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</si>
  <si>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</si>
  <si>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</si>
  <si>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</si>
  <si>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</si>
  <si>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</si>
  <si>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</si>
  <si>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</si>
  <si>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</si>
  <si>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</si>
  <si>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</si>
  <si>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</si>
  <si>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</si>
  <si>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</si>
  <si>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</si>
  <si>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</si>
  <si>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</si>
  <si>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</si>
  <si>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</si>
  <si>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</si>
  <si>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</si>
  <si>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</si>
  <si>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</si>
  <si>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</si>
  <si>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</si>
  <si>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</si>
  <si>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</si>
  <si>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</si>
  <si>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</si>
  <si>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</si>
  <si>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</si>
  <si>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</si>
  <si>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</si>
  <si>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</si>
  <si>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</si>
  <si>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</si>
  <si>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</si>
  <si>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</si>
  <si>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</si>
  <si>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</si>
  <si>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</si>
  <si>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</si>
  <si>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</si>
  <si>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</si>
  <si>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</si>
  <si>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</si>
  <si>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</si>
  <si>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</si>
  <si>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</si>
  <si>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</si>
  <si>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</si>
  <si>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</si>
  <si>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</si>
  <si>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</si>
  <si>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</si>
  <si>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</si>
  <si>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</si>
  <si>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</si>
  <si>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</si>
  <si>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</si>
  <si>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</si>
  <si>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</si>
  <si>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</si>
  <si>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</si>
  <si>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</si>
  <si>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</si>
  <si>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</si>
  <si>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</si>
  <si>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</si>
  <si>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</si>
  <si>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</si>
  <si>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</si>
  <si>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</si>
  <si>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</si>
  <si>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</si>
  <si>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</si>
  <si>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</si>
  <si>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</si>
  <si>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</si>
  <si>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</si>
  <si>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</si>
  <si>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</si>
  <si>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</si>
  <si>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</si>
  <si>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</si>
  <si>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</si>
  <si>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</si>
  <si>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</si>
  <si>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</si>
  <si>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</si>
  <si>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</si>
  <si>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</si>
  <si>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</si>
  <si>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</si>
  <si>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</si>
  <si>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</si>
  <si>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</si>
  <si>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</si>
  <si>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</si>
  <si>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</si>
  <si>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</si>
  <si>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</si>
  <si>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</si>
  <si>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</si>
  <si>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</si>
  <si>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</si>
  <si>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</si>
  <si>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</si>
  <si>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</si>
  <si>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</si>
  <si>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</si>
  <si>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</si>
  <si>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</si>
  <si>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</si>
  <si>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</si>
  <si>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</si>
  <si>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</si>
  <si>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</si>
  <si>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</si>
  <si>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</si>
  <si>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</si>
  <si>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</si>
  <si>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</si>
  <si>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</si>
  <si>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</si>
  <si>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</si>
  <si>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</si>
  <si>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</si>
  <si>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</si>
  <si>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</si>
  <si>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</si>
  <si>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</si>
  <si>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</si>
  <si>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</si>
  <si>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</si>
  <si>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</si>
  <si>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</si>
  <si>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</si>
  <si>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</si>
  <si>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</si>
  <si>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</si>
  <si>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</si>
  <si>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</si>
  <si>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</si>
  <si>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</si>
  <si>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</si>
  <si>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</si>
  <si>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</si>
  <si>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</si>
  <si>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</si>
  <si>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</si>
  <si>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</si>
  <si>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</si>
  <si>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</si>
  <si>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</si>
  <si>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</si>
  <si>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</si>
  <si>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</si>
  <si>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</si>
  <si>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</si>
  <si>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</si>
  <si>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</si>
  <si>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</si>
  <si>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</si>
  <si>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</si>
  <si>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</si>
  <si>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</si>
  <si>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</si>
  <si>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</si>
  <si>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</si>
  <si>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</si>
  <si>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</si>
  <si>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</si>
  <si>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</si>
  <si>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</si>
  <si>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</si>
  <si>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</si>
  <si>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</si>
  <si>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</si>
  <si>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</si>
  <si>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</si>
  <si>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</si>
  <si>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</si>
  <si>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</si>
  <si>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</si>
  <si>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</si>
  <si>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</si>
  <si>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</si>
  <si>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</si>
  <si>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</si>
  <si>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</si>
  <si>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</si>
  <si>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</si>
  <si>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</si>
  <si>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</si>
  <si>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</si>
  <si>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</si>
  <si>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</si>
  <si>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</si>
  <si>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</si>
  <si>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</si>
  <si>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</si>
  <si>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</si>
  <si>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</si>
  <si>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</si>
  <si>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</si>
  <si>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</si>
  <si>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</si>
  <si>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</si>
  <si>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</si>
  <si>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</si>
  <si>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</si>
  <si>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</si>
  <si>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</si>
  <si>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</si>
  <si>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</si>
  <si>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</si>
  <si>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</si>
  <si>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</si>
  <si>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</si>
  <si>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</si>
  <si>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</si>
  <si>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</si>
  <si>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</si>
  <si>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</si>
  <si>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</si>
  <si>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</si>
  <si>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</si>
  <si>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</si>
  <si>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</si>
  <si>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</si>
  <si>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</si>
  <si>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</si>
  <si>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</si>
  <si>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</si>
  <si>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</si>
  <si>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</si>
  <si>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</si>
  <si>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</si>
  <si>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</si>
  <si>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</si>
  <si>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</si>
  <si>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</si>
  <si>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</si>
  <si>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</si>
  <si>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</si>
  <si>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</si>
  <si>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</si>
  <si>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</si>
  <si>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</si>
  <si>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</si>
  <si>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</si>
  <si>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</si>
  <si>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</si>
  <si>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</si>
  <si>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</si>
  <si>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</si>
  <si>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</si>
  <si>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</si>
  <si>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</si>
  <si>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</si>
  <si>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</si>
  <si>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</si>
  <si>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</si>
  <si>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</si>
  <si>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</si>
  <si>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</si>
  <si>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</si>
  <si>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</si>
  <si>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</si>
  <si>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</si>
  <si>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</si>
  <si>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</si>
  <si>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</si>
  <si>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</si>
  <si>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</si>
  <si>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</si>
  <si>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</si>
  <si>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</si>
  <si>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</si>
  <si>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</si>
  <si>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</si>
  <si>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</si>
  <si>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</si>
  <si>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</si>
  <si>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</si>
  <si>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</si>
  <si>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</si>
  <si>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</si>
  <si>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</si>
  <si>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</si>
  <si>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</si>
  <si>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</si>
  <si>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</si>
  <si>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</si>
  <si>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</si>
  <si>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</si>
  <si>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</si>
  <si>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</si>
  <si>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</si>
  <si>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</si>
  <si>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</si>
  <si>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</si>
  <si>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</si>
  <si>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</si>
  <si>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</si>
  <si>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</si>
  <si>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</si>
  <si>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</si>
  <si>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</si>
  <si>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</si>
  <si>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</si>
  <si>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</si>
  <si>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</si>
  <si>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</si>
  <si>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</si>
  <si>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</si>
  <si>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</si>
  <si>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</si>
  <si>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</si>
  <si>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</si>
  <si>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</si>
  <si>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</si>
  <si>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</si>
  <si>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</si>
  <si>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</si>
  <si>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</si>
  <si>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</si>
  <si>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</si>
  <si>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</si>
  <si>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</si>
  <si>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</si>
  <si>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</si>
  <si>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</si>
  <si>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</si>
  <si>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</si>
  <si>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</si>
  <si>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</si>
  <si>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</si>
  <si>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</si>
  <si>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</si>
  <si>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</si>
  <si>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</si>
  <si>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</si>
  <si>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</si>
  <si>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</si>
  <si>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</si>
  <si>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</si>
  <si>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</si>
  <si>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</si>
  <si>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</si>
  <si>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</si>
  <si>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</si>
  <si>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</si>
  <si>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</si>
  <si>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</si>
  <si>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</si>
  <si>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</si>
  <si>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</si>
  <si>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</si>
  <si>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</si>
  <si>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</si>
  <si>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</si>
  <si>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</si>
  <si>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</si>
  <si>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</si>
  <si>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</si>
  <si>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</si>
  <si>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</si>
  <si>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</si>
  <si>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</si>
  <si>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</si>
  <si>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</si>
  <si>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</si>
  <si>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</si>
  <si>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</si>
  <si>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</si>
  <si>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</si>
  <si>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</si>
  <si>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</si>
  <si>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</si>
  <si>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</si>
  <si>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</si>
  <si>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</si>
  <si>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</si>
  <si>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</si>
  <si>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</si>
  <si>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</si>
  <si>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</si>
  <si>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</si>
  <si>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</si>
  <si>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</si>
  <si>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</si>
  <si>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</si>
  <si>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</si>
  <si>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</si>
  <si>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</si>
  <si>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</si>
  <si>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</si>
  <si>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</si>
  <si>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</si>
  <si>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</si>
  <si>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</si>
  <si>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</si>
  <si>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</si>
  <si>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</si>
  <si>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</si>
  <si>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</si>
  <si>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</si>
  <si>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</si>
  <si>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</si>
  <si>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</si>
  <si>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</si>
  <si>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</si>
  <si>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</si>
  <si>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</si>
  <si>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</si>
  <si>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</si>
  <si>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</si>
  <si>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</si>
  <si>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</si>
  <si>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</si>
  <si>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</si>
  <si>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</si>
  <si>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</si>
  <si>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</si>
  <si>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</si>
  <si>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</si>
  <si>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</si>
  <si>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</si>
  <si>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</si>
  <si>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</si>
  <si>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</si>
  <si>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</si>
  <si>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</si>
  <si>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</si>
  <si>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</si>
  <si>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</si>
  <si>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</si>
  <si>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</si>
  <si>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</si>
  <si>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</si>
  <si>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</si>
  <si>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</si>
  <si>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</si>
  <si>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</si>
  <si>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</si>
  <si>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</si>
  <si>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</si>
  <si>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</si>
  <si>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</si>
  <si>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</si>
  <si>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</si>
  <si>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</si>
  <si>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</si>
  <si>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</si>
  <si>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</si>
  <si>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</si>
  <si>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</si>
  <si>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</si>
  <si>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</si>
  <si>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</si>
  <si>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</si>
  <si>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</si>
  <si>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</si>
  <si>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</si>
  <si>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</si>
  <si>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</si>
  <si>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</si>
  <si>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</si>
  <si>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</si>
  <si>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</si>
  <si>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</si>
  <si>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</si>
  <si>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</si>
  <si>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</si>
  <si>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</si>
  <si>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</si>
  <si>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</si>
  <si>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</si>
  <si>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</si>
  <si>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</si>
  <si>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</si>
  <si>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</si>
  <si>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</si>
  <si>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</si>
  <si>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</si>
  <si>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</si>
  <si>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</si>
  <si>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</si>
  <si>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</si>
  <si>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</si>
  <si>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</si>
  <si>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</si>
  <si>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</si>
  <si>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</si>
  <si>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</si>
  <si>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</si>
  <si>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</si>
  <si>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</si>
  <si>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</si>
  <si>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</si>
  <si>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</si>
  <si>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</si>
  <si>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</si>
  <si>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</si>
  <si>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</si>
  <si>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</si>
  <si>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</si>
  <si>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</si>
  <si>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</si>
  <si>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</si>
  <si>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</si>
  <si>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</si>
  <si>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</si>
  <si>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</si>
  <si>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</si>
  <si>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</si>
  <si>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</si>
  <si>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</si>
  <si>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</si>
  <si>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</si>
  <si>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</si>
  <si>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</si>
  <si>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</si>
  <si>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</si>
  <si>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</si>
  <si>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</si>
  <si>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</si>
  <si>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</si>
  <si>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</si>
  <si>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</si>
  <si>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</si>
  <si>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</si>
  <si>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</si>
  <si>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</si>
  <si>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</si>
  <si>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</si>
  <si>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</si>
  <si>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</si>
  <si>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</si>
  <si>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</si>
  <si>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</si>
  <si>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</si>
  <si>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</si>
  <si>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</si>
  <si>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</si>
  <si>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</si>
  <si>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</si>
  <si>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</si>
  <si>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</si>
  <si>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</si>
  <si>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</si>
  <si>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</si>
  <si>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</si>
  <si>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</si>
  <si>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</si>
  <si>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</si>
  <si>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</si>
  <si>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</si>
  <si>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</si>
  <si>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</si>
  <si>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</si>
  <si>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</si>
  <si>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</si>
  <si>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</si>
  <si>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</si>
  <si>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</si>
  <si>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</si>
  <si>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</si>
  <si>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</si>
  <si>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</si>
  <si>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</si>
  <si>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</si>
  <si>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</si>
  <si>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</si>
  <si>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</si>
  <si>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</si>
  <si>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</si>
  <si>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</si>
  <si>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</si>
  <si>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</si>
  <si>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</si>
  <si>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</si>
  <si>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</si>
  <si>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</si>
  <si>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</si>
  <si>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</si>
  <si>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</si>
  <si>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</si>
  <si>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</si>
  <si>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</si>
  <si>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</si>
  <si>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</si>
  <si>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</si>
  <si>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</si>
  <si>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</si>
  <si>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</si>
  <si>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</si>
  <si>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</si>
  <si>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</si>
  <si>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</si>
  <si>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</si>
  <si>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</si>
  <si>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</si>
  <si>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</si>
  <si>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</si>
  <si>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</si>
  <si>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</si>
  <si>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</si>
  <si>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</si>
  <si>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</si>
  <si>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</si>
  <si>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</si>
  <si>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</si>
  <si>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</si>
  <si>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</si>
  <si>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</si>
  <si>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</si>
  <si>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</si>
  <si>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</si>
  <si>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</si>
  <si>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</si>
  <si>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</si>
  <si>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</si>
  <si>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</si>
  <si>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</si>
  <si>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</si>
  <si>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</si>
  <si>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</si>
  <si>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</si>
  <si>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</si>
  <si>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</si>
  <si>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</si>
  <si>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</si>
  <si>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</si>
  <si>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</si>
  <si>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</si>
  <si>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</si>
  <si>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</si>
  <si>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</si>
  <si>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</si>
  <si>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</si>
  <si>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</si>
  <si>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</si>
  <si>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</si>
  <si>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</si>
  <si>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</si>
  <si>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</si>
  <si>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</si>
  <si>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</si>
  <si>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</si>
  <si>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</si>
  <si>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</si>
  <si>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</si>
  <si>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</si>
  <si>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</si>
  <si>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</si>
  <si>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</si>
  <si>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</si>
  <si>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</si>
  <si>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</si>
  <si>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</si>
  <si>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</si>
  <si>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</si>
  <si>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</si>
  <si>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</si>
  <si>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</si>
  <si>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</si>
  <si>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</si>
  <si>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</si>
  <si>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</si>
  <si>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</si>
  <si>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</si>
  <si>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</si>
  <si>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</si>
  <si>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</si>
  <si>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</si>
  <si>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</si>
  <si>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</si>
  <si>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</si>
  <si>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</si>
  <si>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</si>
  <si>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</si>
  <si>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</si>
  <si>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</si>
  <si>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</si>
  <si>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</si>
  <si>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</si>
  <si>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</si>
  <si>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</si>
  <si>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</si>
  <si>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</si>
  <si>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</si>
  <si>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</si>
  <si>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</si>
  <si>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</si>
  <si>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</si>
  <si>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</si>
  <si>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</si>
  <si>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</si>
  <si>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</si>
  <si>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</si>
  <si>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</si>
  <si>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</si>
  <si>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</si>
  <si>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</si>
  <si>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</si>
  <si>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</si>
  <si>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</si>
  <si>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</si>
  <si>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</si>
  <si>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</si>
  <si>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</si>
  <si>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</si>
  <si>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</si>
  <si>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</si>
  <si>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</si>
  <si>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</si>
  <si>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</si>
  <si>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</si>
  <si>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</si>
  <si>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</si>
  <si>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</si>
  <si>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</si>
  <si>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</si>
  <si>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</si>
  <si>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</si>
  <si>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</si>
  <si>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</si>
  <si>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</si>
  <si>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</si>
  <si>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</si>
  <si>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</si>
  <si>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</si>
  <si>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</si>
  <si>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</si>
  <si>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</si>
  <si>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</si>
  <si>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</si>
  <si>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</si>
  <si>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</si>
  <si>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</si>
  <si>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</si>
  <si>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</si>
  <si>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</si>
  <si>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</si>
  <si>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</si>
  <si>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</si>
  <si>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</si>
  <si>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</si>
  <si>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</si>
  <si>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</si>
  <si>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</si>
  <si>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</si>
  <si>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</si>
  <si>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</si>
  <si>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</si>
  <si>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</si>
  <si>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</si>
  <si>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</si>
  <si>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</si>
  <si>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</si>
  <si>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</si>
  <si>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</si>
  <si>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</si>
  <si>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</si>
  <si>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</si>
  <si>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</si>
  <si>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</si>
  <si>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</si>
  <si>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</si>
  <si>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</si>
  <si>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</si>
  <si>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</si>
  <si>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</si>
  <si>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</si>
  <si>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</si>
  <si>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</si>
  <si>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</si>
  <si>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</si>
  <si>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</si>
  <si>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</si>
  <si>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</si>
  <si>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</si>
  <si>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</si>
  <si>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</si>
  <si>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</si>
  <si>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</si>
  <si>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</si>
  <si>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</si>
  <si>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</si>
  <si>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</si>
  <si>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</si>
  <si>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</si>
  <si>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</si>
  <si>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</si>
  <si>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</si>
  <si>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</si>
  <si>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</si>
  <si>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</si>
  <si>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</si>
  <si>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</si>
  <si>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</si>
  <si>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</si>
  <si>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</si>
  <si>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</si>
  <si>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</si>
  <si>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</si>
  <si>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</si>
  <si>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</si>
  <si>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</si>
  <si>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</si>
  <si>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</si>
  <si>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</si>
  <si>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</si>
  <si>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</si>
  <si>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</si>
  <si>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</si>
  <si>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</si>
  <si>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</si>
  <si>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</si>
  <si>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</si>
  <si>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</si>
  <si>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</si>
  <si>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</si>
  <si>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</si>
  <si>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</si>
  <si>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</si>
  <si>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</si>
  <si>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</si>
  <si>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</si>
  <si>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</si>
  <si>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</si>
  <si>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</si>
  <si>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</si>
  <si>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</si>
  <si>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</si>
  <si>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</si>
  <si>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</si>
  <si>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</si>
  <si>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</si>
  <si>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</si>
  <si>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</si>
  <si>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</si>
  <si>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</si>
  <si>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</si>
  <si>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</si>
  <si>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</si>
  <si>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</si>
  <si>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</si>
  <si>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</si>
  <si>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</si>
  <si>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</si>
  <si>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</si>
  <si>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</si>
  <si>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</si>
  <si>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</si>
  <si>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</si>
  <si>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</si>
  <si>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</si>
  <si>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</si>
  <si>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</si>
  <si>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</si>
  <si>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</si>
  <si>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</si>
  <si>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</si>
  <si>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</si>
  <si>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</si>
  <si>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</si>
  <si>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</si>
  <si>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</si>
  <si>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</si>
  <si>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</si>
  <si>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</si>
  <si>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</si>
  <si>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</si>
  <si>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</si>
  <si>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</si>
  <si>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</si>
  <si>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</si>
  <si>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</si>
  <si>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</si>
  <si>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</si>
  <si>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</si>
  <si>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</si>
  <si>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</si>
  <si>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</si>
  <si>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</si>
  <si>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</si>
  <si>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</si>
  <si>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</si>
  <si>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</si>
  <si>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</si>
  <si>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</si>
  <si>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</si>
  <si>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</si>
  <si>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</si>
  <si>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</si>
  <si>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</si>
  <si>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</si>
  <si>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</si>
  <si>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</si>
  <si>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</si>
  <si>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</si>
  <si>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</si>
  <si>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</si>
  <si>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</si>
  <si>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</si>
  <si>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</si>
  <si>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</si>
  <si>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</si>
  <si>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</si>
  <si>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</si>
  <si>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</si>
  <si>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</si>
  <si>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</si>
  <si>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</si>
  <si>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</si>
  <si>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</si>
  <si>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</si>
  <si>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</si>
  <si>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</si>
  <si>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</si>
  <si>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</si>
  <si>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</si>
  <si>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</si>
  <si>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</si>
  <si>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</si>
  <si>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</si>
  <si>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</si>
  <si>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</si>
  <si>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</si>
  <si>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</si>
  <si>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</si>
  <si>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</si>
  <si>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</si>
  <si>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</si>
  <si>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</si>
  <si>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</si>
  <si>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</si>
  <si>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</si>
  <si>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</si>
  <si>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</si>
  <si>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</si>
  <si>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</si>
  <si>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</si>
  <si>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</si>
  <si>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</si>
  <si>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</si>
  <si>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</si>
  <si>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</si>
  <si>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</si>
  <si>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</si>
  <si>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</si>
  <si>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</si>
  <si>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</si>
  <si>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</si>
  <si>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</si>
  <si>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</si>
  <si>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</si>
  <si>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</si>
  <si>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</si>
  <si>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</si>
  <si>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</si>
  <si>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</si>
  <si>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</si>
  <si>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</si>
  <si>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</si>
  <si>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</si>
  <si>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</si>
  <si>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</si>
  <si>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</si>
  <si>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</si>
  <si>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</si>
  <si>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</si>
  <si>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</si>
  <si>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</si>
  <si>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</si>
  <si>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</si>
  <si>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</si>
  <si>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</si>
  <si>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</si>
  <si>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</si>
  <si>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</si>
  <si>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</si>
  <si>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</si>
  <si>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</si>
  <si>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</si>
  <si>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</si>
  <si>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</si>
  <si>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</si>
  <si>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</si>
  <si>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</si>
  <si>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</si>
  <si>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</si>
  <si>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</si>
  <si>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</si>
  <si>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</si>
  <si>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</si>
  <si>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</si>
  <si>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</si>
  <si>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</si>
  <si>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</si>
  <si>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</si>
  <si>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</si>
  <si>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</si>
  <si>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</si>
  <si>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</si>
  <si>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</si>
  <si>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</si>
  <si>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</si>
  <si>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</si>
  <si>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</si>
  <si>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</si>
  <si>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</si>
  <si>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</si>
  <si>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</si>
  <si>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</si>
  <si>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</si>
  <si>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</si>
  <si>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</si>
  <si>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</si>
  <si>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</si>
  <si>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</si>
  <si>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</si>
  <si>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</si>
  <si>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</si>
  <si>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</si>
  <si>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</si>
  <si>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</si>
  <si>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</si>
  <si>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</si>
  <si>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</si>
  <si>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</si>
  <si>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</si>
  <si>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</si>
  <si>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</si>
  <si>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</si>
  <si>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</si>
  <si>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</si>
  <si>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</si>
  <si>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</si>
  <si>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</si>
  <si>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</si>
  <si>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</si>
  <si>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</si>
  <si>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</si>
  <si>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</si>
  <si>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</si>
  <si>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</si>
  <si>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</si>
  <si>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</si>
  <si>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</si>
  <si>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</si>
  <si>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</si>
  <si>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</si>
  <si>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</si>
  <si>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</si>
  <si>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</si>
  <si>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</si>
  <si>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</si>
  <si>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</si>
  <si>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</si>
  <si>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</si>
  <si>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</si>
  <si>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</si>
  <si>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</si>
  <si>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</si>
  <si>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</si>
  <si>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</si>
  <si>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</si>
  <si>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</si>
  <si>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</si>
  <si>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</si>
  <si>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</si>
  <si>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</si>
  <si>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</si>
  <si>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</si>
  <si>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</si>
  <si>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</si>
  <si>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</si>
  <si>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</si>
  <si>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</si>
  <si>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</si>
  <si>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</si>
  <si>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</si>
  <si>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</si>
  <si>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</si>
  <si>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</si>
  <si>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</si>
  <si>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</si>
  <si>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</si>
  <si>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</si>
  <si>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</si>
  <si>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</si>
  <si>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</si>
  <si>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</si>
  <si>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</si>
  <si>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</si>
  <si>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</si>
  <si>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</si>
  <si>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</si>
  <si>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</si>
  <si>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</si>
  <si>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</si>
  <si>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</si>
  <si>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</si>
  <si>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</si>
  <si>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</si>
  <si>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</si>
  <si>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</si>
  <si>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</si>
  <si>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</si>
  <si>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</si>
  <si>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</si>
  <si>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</si>
  <si>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</si>
  <si>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</si>
  <si>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</si>
  <si>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</si>
  <si>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</si>
  <si>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</si>
  <si>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</si>
  <si>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</si>
  <si>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</si>
  <si>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</si>
  <si>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</si>
  <si>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</si>
  <si>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</si>
  <si>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</si>
  <si>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</si>
  <si>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</si>
  <si>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</si>
  <si>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</si>
  <si>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</si>
  <si>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</si>
  <si>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</si>
  <si>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</si>
  <si>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</si>
  <si>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</si>
  <si>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</si>
  <si>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</si>
  <si>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</si>
  <si>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</si>
  <si>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</si>
  <si>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</si>
  <si>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</si>
  <si>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</si>
  <si>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</si>
  <si>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</si>
  <si>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</si>
  <si>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</si>
  <si>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</si>
  <si>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</si>
  <si>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</si>
  <si>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</si>
  <si>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</si>
  <si>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</si>
  <si>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</si>
  <si>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</si>
  <si>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</si>
  <si>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</si>
  <si>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</si>
  <si>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</si>
  <si>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</si>
  <si>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</si>
  <si>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</si>
  <si>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</si>
  <si>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</si>
  <si>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</si>
  <si>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</si>
  <si>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</si>
  <si>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</si>
  <si>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</si>
  <si>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</si>
  <si>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</si>
  <si>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</si>
  <si>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</si>
  <si>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</si>
  <si>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</si>
  <si>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</si>
  <si>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</si>
  <si>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</si>
  <si>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</si>
  <si>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</si>
  <si>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</si>
  <si>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</si>
  <si>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</si>
  <si>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</si>
  <si>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</si>
  <si>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</si>
  <si>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</si>
  <si>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</si>
  <si>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</si>
  <si>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</si>
  <si>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</si>
  <si>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</si>
  <si>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</si>
  <si>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</si>
  <si>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</si>
  <si>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</si>
  <si>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</si>
  <si>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</si>
  <si>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</si>
  <si>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</si>
  <si>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</si>
  <si>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</si>
  <si>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</si>
  <si>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</si>
  <si>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</si>
  <si>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</si>
  <si>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</si>
  <si>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</si>
  <si>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</si>
  <si>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</si>
  <si>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</si>
  <si>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</si>
  <si>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</si>
  <si>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</si>
  <si>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</si>
  <si>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</si>
  <si>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</si>
  <si>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</si>
  <si>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</si>
  <si>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</si>
  <si>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</si>
  <si>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</si>
  <si>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</si>
  <si>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</si>
  <si>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</si>
  <si>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</si>
  <si>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</si>
  <si>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</si>
  <si>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</si>
  <si>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</si>
  <si>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</si>
  <si>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</si>
  <si>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</si>
  <si>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</si>
  <si>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</si>
  <si>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</si>
  <si>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</si>
  <si>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</si>
  <si>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</si>
  <si>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</si>
  <si>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</si>
  <si>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</si>
  <si>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</si>
  <si>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</si>
  <si>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</si>
  <si>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</si>
  <si>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</si>
  <si>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</si>
  <si>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</si>
  <si>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</si>
  <si>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</si>
  <si>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</si>
  <si>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</si>
  <si>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</si>
  <si>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</si>
  <si>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</si>
  <si>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</si>
  <si>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</si>
  <si>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</si>
  <si>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</si>
  <si>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</si>
  <si>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</si>
  <si>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</si>
  <si>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</si>
  <si>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</si>
  <si>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</si>
  <si>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</si>
  <si>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</si>
  <si>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</si>
  <si>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</si>
  <si>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</si>
  <si>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</si>
  <si>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</si>
  <si>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</si>
  <si>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</si>
  <si>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</si>
  <si>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</si>
  <si>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</si>
  <si>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</si>
  <si>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</si>
  <si>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</si>
  <si>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</si>
  <si>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</si>
  <si>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</si>
  <si>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</si>
  <si>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</si>
  <si>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</si>
  <si>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</si>
  <si>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</si>
  <si>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</si>
  <si>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</si>
  <si>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</si>
  <si>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</si>
  <si>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</si>
  <si>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</si>
  <si>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</si>
  <si>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</si>
  <si>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</si>
  <si>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</si>
  <si>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</si>
  <si>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</si>
  <si>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</si>
  <si>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</si>
  <si>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</si>
  <si>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</si>
  <si>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</si>
  <si>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</si>
  <si>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</si>
  <si>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</si>
  <si>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</si>
  <si>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</si>
  <si>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</si>
  <si>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</si>
  <si>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</si>
  <si>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</si>
  <si>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</si>
  <si>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</si>
  <si>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</si>
  <si>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</si>
  <si>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</si>
  <si>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</si>
  <si>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</si>
  <si>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</si>
  <si>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</si>
  <si>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</si>
  <si>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</si>
  <si>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</si>
  <si>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</si>
  <si>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</si>
  <si>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</si>
  <si>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</si>
  <si>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</si>
  <si>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</si>
  <si>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</si>
  <si>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</si>
  <si>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</si>
  <si>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</si>
  <si>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</si>
  <si>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</si>
  <si>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</si>
  <si>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</si>
  <si>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</si>
  <si>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</si>
  <si>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</si>
  <si>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</si>
  <si>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</si>
  <si>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</si>
  <si>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</si>
  <si>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</si>
  <si>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</si>
  <si>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</si>
  <si>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</si>
  <si>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</si>
  <si>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</si>
  <si>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</si>
  <si>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</si>
  <si>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</si>
  <si>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</si>
  <si>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</si>
  <si>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</si>
  <si>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</si>
  <si>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</si>
  <si>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</si>
  <si>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</si>
  <si>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</si>
  <si>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</si>
  <si>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</si>
  <si>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</si>
  <si>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</si>
  <si>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</si>
  <si>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</si>
  <si>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</si>
  <si>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</si>
  <si>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</si>
  <si>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</si>
  <si>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</si>
  <si>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</si>
  <si>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</si>
  <si>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</si>
  <si>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</si>
  <si>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</si>
  <si>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</si>
  <si>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</si>
  <si>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</si>
  <si>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</si>
  <si>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</si>
  <si>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</si>
  <si>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</si>
  <si>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</si>
  <si>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</si>
  <si>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</si>
  <si>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</si>
  <si>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</si>
  <si>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</si>
  <si>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</si>
  <si>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</si>
  <si>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</si>
  <si>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</si>
  <si>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</si>
  <si>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</si>
  <si>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ExtPar2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</si>
  <si>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</si>
  <si>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</si>
  <si>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</si>
  <si>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</si>
  <si>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</si>
  <si>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</si>
  <si>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</si>
  <si>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</si>
  <si>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</si>
  <si>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</si>
  <si>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</si>
  <si>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</si>
  <si>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</si>
  <si>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</si>
  <si>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</si>
  <si>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</si>
  <si>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</si>
  <si>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</si>
  <si>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</si>
  <si>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</si>
  <si>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</si>
  <si>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</si>
  <si>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</si>
  <si>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</si>
  <si>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</si>
  <si>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</si>
  <si>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</si>
  <si>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</si>
  <si>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</si>
  <si>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</si>
  <si>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</si>
  <si>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</si>
  <si>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</si>
  <si>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</si>
  <si>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</si>
  <si>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</si>
  <si>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</si>
  <si>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</si>
  <si>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</si>
  <si>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</si>
  <si>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</si>
  <si>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</si>
  <si>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</si>
  <si>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</si>
  <si>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</si>
  <si>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</si>
  <si>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</si>
  <si>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</si>
  <si>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</si>
  <si>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</si>
  <si>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</si>
  <si>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</si>
  <si>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</si>
  <si>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</si>
  <si>
    <t>C:\Users\Pavel_Khrapkin\Documents\Pavel\match\matchDBs\</t>
  </si>
  <si>
    <t>MoveToMatch: В файл 'SFDC.xlsx' загружен новый отчет 'ADSKfrSF'; EOL=2243 строк, в прежнем 2243_x000D_
Это ПОЛНЫЙ документ.</t>
  </si>
  <si>
    <t>MoveToMatch: В файл 'SFDC.xlsx' загружен новый отчет 'SFD'; EOL=1209 строк, в прежнем 1207_x000D_
Это ПОЛНЫЙ документ.</t>
  </si>
  <si>
    <t>adapt profile: total = 8,91_x000D_
By steps =  8,63 0,03</t>
  </si>
  <si>
    <t>adapt profile: total = 7,88_x000D_
By steps =  0,67 4,05 0,71 0,00 0,00 0,01 0,46 0,00 1,62 0,02 0,00 0,01 0,00 0,01 0,00 0,01 0,00 0,00 0,00 0,01 0,00 0,01 0,00 0,01 0,00 0,00</t>
  </si>
  <si>
    <t>MoveToMatch: В файл 'SFDC.xlsx' загружен новый отчет 'SF'; EOL=4926 строк, в прежнем 4925_x000D_
Это ПОЛНЫЙ документ.</t>
  </si>
  <si>
    <t>adapt profile: total = 67,46_x000D_
By steps =  15,83 0,02 14,48 6,86 0,01 0,02 0,01 0,01 0,03 0,01 0,01 0,02 0,01 0,02 0,00 0,00 0,02 0,01 0,02 0,04 0,02 0,01 0,02 0,02 0,02 0,02 0,02 0,01 0,01 28,23 0,00 0,00 0,01 0,00 0,00 0,00 0,00 0,00</t>
  </si>
  <si>
    <t>adapt profile: total = 26,15_x000D_
By steps =  25,00 0,08</t>
  </si>
  <si>
    <t>ВНИМАНИЕ:WrNewSheet: Ошибка при записи в лист 'ContractUpdate'_x000D_
 из листа 'Платежи' строки=60_x000D_
 в колонке=1 =25 X=4                   _x000D_
 Адаптер=ContrK/26 Fetch =SFD/2:15</t>
  </si>
  <si>
    <t>&lt; WARNING &gt; Адаптер&gt; ссылка SFopp/4:№(ФГУП "ЦНИИХМ") не работает, результат &lt;пусто&gt;</t>
  </si>
  <si>
    <t>ВНИМАНИЕ:WrNewSheet: Ошибка при записи в лист 'ContractUpdate'_x000D_
 из листа 'Платежи' строки=165_x000D_
 в колонке=1 =25 X=1                   _x000D_
 Адаптер=ContrK/26 Fetch =SFD/2:15</t>
  </si>
  <si>
    <t>ВНИМАНИЕ:WrNewSheet: Ошибка при записи в лист 'ContractUpdate'_x000D_
 из листа 'Платежи' строки=189_x000D_
 в колонке=1 =25 X=1                   _x000D_
 Адаптер=ContrK/26 Fetch =SFD/2:15</t>
  </si>
  <si>
    <t>&lt; WARNING &gt; В строке 659Платежей 1С ссылка на Договор №105-06/1с, которого нет в листе Договоров 1С</t>
  </si>
  <si>
    <t>&lt; WARNING &gt; В строке 686Платежей 1С ссылка на Договор 2008-2-008, которого нет в листе Договоров 1С</t>
  </si>
  <si>
    <t>&lt; WARNING &gt; В строке 693Платежей 1С ссылка на Договор №105-06/1с, которого нет в листе Договоров 1С</t>
  </si>
  <si>
    <t>&lt; WARNING &gt; В строке 699Платежей 1С ссылка на Договор №105-06/1с, которого нет в листе Договоров 1С</t>
  </si>
  <si>
    <t>&lt; WARNING &gt; В строке 704Платежей 1С ссылка на Договор 2008-2-050, которого нет в листе Договоров 1С</t>
  </si>
  <si>
    <t>&lt; WARNING &gt; В строке 705Платежей 1С ссылка на Договор 1311-07, которого нет в листе Договоров 1С</t>
  </si>
  <si>
    <t>&lt; WARNING &gt; В строке 730Платежей 1С ссылка на Договор №105-06/1с, которого нет в листе Договоров 1С</t>
  </si>
  <si>
    <t>&lt; WARNING &gt; В строке 802Платежей 1С ссылка на Договор №105-06/1с, которого нет в листе Договоров 1С</t>
  </si>
  <si>
    <t>&lt; WARNING &gt; В строке 805Платежей 1С ссылка на Договор 2008-1-048, которого нет в листе Договоров 1С</t>
  </si>
  <si>
    <t>&lt; WARNING &gt; В строке 810Платежей 1С ссылка на Договор №105-06/1с, которого нет в листе Договоров 1С</t>
  </si>
  <si>
    <t>&lt; WARNING &gt; В строке 820Платежей 1С ссылка на Договор №105-06/1с, которого нет в листе Договоров 1С</t>
  </si>
  <si>
    <t>&lt; WARNING &gt; В строке 843Платежей 1С ссылка на Договор №105-06/1с, которого нет в листе Договоров 1С</t>
  </si>
  <si>
    <t>&lt; WARNING &gt; В строке 883Платежей 1С ссылка на Договор №105-06/1с, которого нет в листе Договоров 1С</t>
  </si>
  <si>
    <t>&lt; WARNING &gt; В строке 1044Платежей 1С ссылка на Договор №105-06/1с, которого нет в листе Договоров 1С</t>
  </si>
  <si>
    <t>MoveToMatch: В файл 'SFDC.xlsx' загружен новый отчет 'SFopp'; EOL=3602 строк, в прежнем 3602_x000D_
Это ПОЛНЫЙ документ.</t>
  </si>
  <si>
    <t>MoveToMatch: В файл 'SFDC.xlsx' загружен новый отчет 'SFD'; EOL=1209 строк, в прежнем 1209_x000D_
Это ПОЛНЫЙ документ.</t>
  </si>
  <si>
    <t>adapt profile: total = 8,95_x000D_
By steps =  8,69 0,01</t>
  </si>
  <si>
    <t>adapt profile: total = 7,99_x000D_
By steps =  0,84 3,66 0,78 0,00 0,00 0,00 0,59 0,01 1,82 0,01 0,00 0,01 0,00 0,01 0,00 0,00 0,00 0,00 0,00 0,00 0,01 0,00 0,02 0,00 0,00 0,00</t>
  </si>
  <si>
    <t>&lt; WARNING &gt; Адаптер&gt; ссылка SFopp/1:2(0012000000MXgpF) не работает, результат &lt;пусто&gt;</t>
  </si>
  <si>
    <t>ВНИМАНИЕ:WrNewSheet: Ошибка при записи в лист 'NewPayment'_x000D_
 из листа 'Платежи' строки=34_x000D_
 в колонке=8 =ExtPar X=0012000000MXgpF_x000D_
 Адаптер= Fetch =SFopp/1:2</t>
  </si>
  <si>
    <t>WrCSV&gt; в 'Payment.txt' записано 96 строк.</t>
  </si>
  <si>
    <t>WrCSV&gt; в 'NewOpp.txt' записано 491 строк.</t>
  </si>
  <si>
    <t>WrCSV&gt; в 'ContrUpd.txt' записано 2 строк.</t>
  </si>
  <si>
    <t>MoveToMatch: В файл 'SFDC.xlsx' загружен новый отчет 'SF'; EOL=5016 строк, в прежнем 4926_x000D_
Это ПОЛНЫЙ документ.</t>
  </si>
  <si>
    <t>adapt profile: total = 61,79_x000D_
By steps =  15,92 0,06 14,32 3,56 0,04 0,02 0,02 0,01 0,01 0,01 0,01 0,01 0,02 0,01 0,02 0,02 0,01 0,01 0,01 0,01 0,02 0,01 0,01 0,02 0,01 0,01 0,01 0,01 0,01 25,07 0,01 0,00 0,00 0,00 0,00 0,00 0,00 0,00</t>
  </si>
  <si>
    <t>adapt profile: total = 32,78_x000D_
By steps =  30,59 0,11</t>
  </si>
  <si>
    <t>adapt profile: total = 6,67_x000D_
By steps =  6,24 0,01</t>
  </si>
  <si>
    <t>adapt profile: total = 8,09_x000D_
By steps =  0,82 3,68 0,74 0,01 0,00 0,00 0,56 0,00 1,80 0,01 0,00 0,00 0,00 0,00 0,01 0,01 0,00 0,00 0,00 0,00 0,00 0,01 0,00 0,00 0,00 0,00</t>
  </si>
  <si>
    <t>MoveToMatch: В файл 'SFDC.xlsx' загружен новый отчет 'SFopp'; EOL=3611 строк, в прежнем 3602_x000D_
Это ПОЛНЫЙ документ.</t>
  </si>
  <si>
    <t>ВНИМАНИЕ:WrNewSheet: Ошибка при записи в лист 'ContractUpdate'_x000D_
 из листа 'Платежи' строки=56_x000D_
 в колонке=1 =25 X=4                   _x000D_
 Адаптер=ContrK/26 Fetch =SFD/2:15</t>
  </si>
  <si>
    <t>ВНИМАНИЕ:WrNewSheet: Ошибка при записи в лист 'ContractUpdate'_x000D_
 из листа 'Платежи' строки=152_x000D_
 в колонке=1 =25 X=1                   _x000D_
 Адаптер=ContrK/26 Fetch =SFD/2:15</t>
  </si>
  <si>
    <t>ВНИМАНИЕ:WrNewSheet: Ошибка при записи в лист 'ContractUpdate'_x000D_
 из листа 'Платежи' строки=173_x000D_
 в колонке=1 =25 X=1                   _x000D_
 Адаптер=ContrK/26 Fetch =SFD/2:15</t>
  </si>
  <si>
    <t>&lt; WARNING &gt; В строке 401Платежей 1С ссылка на Договор №105-06/1с,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</si>
  <si>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</si>
  <si>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521Платежей 1С ссылка на Договор №105-06/1с, которого нет в листе Договоров 1С</t>
  </si>
  <si>
    <t>&lt; WARNING &gt; В строке 557Платежей 1С ссылка на Договор №105-06/1с, которого нет в листе Договоров 1С</t>
  </si>
  <si>
    <t>&lt; WARNING &gt; В строке 605Платежей 1С ссылка на Договор №105-06/1с, которого нет в листе Договоров 1С</t>
  </si>
  <si>
    <t>&lt; WARNING &gt; В строке 630Платежей 1С ссылка на Договор 2008-2-008, которого нет в листе Договоров 1С</t>
  </si>
  <si>
    <t>&lt; WARNING &gt; В строке 631Платежей 1С ссылка на Договор 2008-2-008, которого нет в листе Договоров 1С</t>
  </si>
  <si>
    <t>&lt; WARNING &gt; В строке 632Платежей 1С ссылка на Договор 2008-2-008, которого нет в листе Договоров 1С</t>
  </si>
  <si>
    <t>&lt; WARNING &gt; В строке 637Платежей 1С ссылка на Договор №105-06/1с, которого нет в листе Договоров 1С</t>
  </si>
  <si>
    <t>&lt; WARNING &gt; В строке 641Платежей 1С ссылка на Договор №105-06/1с, которого нет в листе Договоров 1С</t>
  </si>
  <si>
    <t>&lt; WARNING &gt; В строке 646Платежей 1С ссылка на Договор 2008-2-050, которого нет в листе Договоров 1С</t>
  </si>
  <si>
    <t>&lt; WARNING &gt; В строке 647Платежей 1С ссылка на Договор 1311-07, которого нет в листе Договоров 1С</t>
  </si>
  <si>
    <t>&lt; WARNING &gt; В строке 648Платежей 1С ссылка на Договор 1311-07, которого нет в листе Договоров 1С</t>
  </si>
  <si>
    <t>&lt; WARNING &gt; В строке 670Платежей 1С ссылка на Договор №105-06/1с, которого нет в листе Договоров 1С</t>
  </si>
  <si>
    <t>&lt; WARNING &gt; В строке 736Платежей 1С ссылка на Договор №105-06/1с, которого нет в листе Договоров 1С</t>
  </si>
  <si>
    <t>&lt; WARNING &gt; В строке 739Платежей 1С ссылка на Договор 2008-1-048, которого нет в листе Договоров 1С</t>
  </si>
  <si>
    <t>&lt; WARNING &gt; В строке 740Платежей 1С ссылка на Договор 2008-1-048, которого нет в листе Договоров 1С</t>
  </si>
  <si>
    <t>&lt; WARNING &gt; В строке 741Платежей 1С ссылка на Договор 2008-1-048, которого нет в листе Договоров 1С</t>
  </si>
  <si>
    <t>&lt; WARNING &gt; В строке 742Платежей 1С ссылка на Договор 2008-1-048, которого нет в листе Договоров 1С</t>
  </si>
  <si>
    <t>&lt; WARNING &gt; В строке 744Платежей 1С ссылка на Договор №105-06/1с, которого нет в листе Договоров 1С</t>
  </si>
  <si>
    <t>&lt; WARNING &gt; В строке 752Платежей 1С ссылка на Договор №105-06/1с, которого нет в листе Договоров 1С</t>
  </si>
  <si>
    <t>&lt; WARNING &gt; В строке 775Платежей 1С ссылка на Договор №105-06/1с, которого нет в листе Договоров 1С</t>
  </si>
  <si>
    <t>&lt; WARNING &gt; В строке 814Платежей 1С ссылка на Договор №105-06/1с, которого нет в листе Договоров 1С</t>
  </si>
  <si>
    <t>&lt; WARNING &gt; В строке 876Платежей 1С ссылка на Договор 0107-07/2с, которого нет в листе Договоров 1С</t>
  </si>
  <si>
    <t>&lt; WARNING &gt; В строке 877Платежей 1С ссылка на Договор 0107-07/2с, которого нет в листе Договоров 1С</t>
  </si>
  <si>
    <t>&lt; WARNING &gt; В строке 878Платежей 1С ссылка на Договор 0107-07/2с, которого нет в листе Договоров 1С</t>
  </si>
  <si>
    <t>&lt; WARNING &gt; В строке 879Платежей 1С ссылка на Договор 0107-07/2с, которого нет в листе Договоров 1С</t>
  </si>
  <si>
    <t>&lt; WARNING &gt; В строке 962Платежей 1С ссылка на Договор №105-06/1с, которого нет в листе Договоров 1С</t>
  </si>
  <si>
    <t>WrCSV&gt; в 'Payment.txt' записано 56 строк.</t>
  </si>
  <si>
    <t>WrCSV&gt; в 'NewOpp.txt' записано 442 строк.</t>
  </si>
  <si>
    <t>MoveToMatch: В файл 'SFDC.xlsx' загружен новый отчет 'SF'; EOL=5065 строк, в прежнем 5016_x000D_
Это ПОЛНЫЙ документ.</t>
  </si>
  <si>
    <t>adapt profile: total = 62,30_x000D_
By steps =  16,14 0,04 14,77 3,66 0,03 0,02 0,02 0,01 0,01 0,02 0,01 0,01 0,02 0,02 0,01 0,02 0,02 0,01 0,01 0,02 0,02 0,02 0,01 0,02 0,02 0,01 0,02 0,01 0,01 24,98 0,00 0,00 0,00 0,00 0,00 0,00 0,00 0,00</t>
  </si>
  <si>
    <t>adapt profile: total = 31,66_x000D_
By steps =  29,69 0,11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</si>
</sst>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8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49" fontId="0" fillId="20" borderId="3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49" fontId="0" fillId="0" borderId="3" xfId="1" applyNumberFormat="1" applyFont="1" applyFill="1" applyBorder="1" applyAlignment="1">
      <alignment horizontal="center" vertical="center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41543.034618055557</v>
      </c>
      <c r="C1" s="3" t="s">
        <v>0</v>
      </c>
      <c r="J1" s="4" t="s">
        <v>1638</v>
      </c>
      <c r="K1" s="5"/>
      <c r="L1" s="6"/>
      <c r="M1" s="6"/>
      <c r="N1" s="6"/>
      <c r="O1" s="963" t="s">
        <v>1</v>
      </c>
      <c r="P1" s="964" t="s">
        <v>1197</v>
      </c>
      <c r="Q1" s="964" t="s">
        <v>1196</v>
      </c>
      <c r="R1" s="960" t="s">
        <v>2</v>
      </c>
      <c r="S1" s="960" t="s">
        <v>3</v>
      </c>
      <c r="V1" s="960" t="s">
        <v>1191</v>
      </c>
      <c r="W1" s="960" t="s">
        <v>1192</v>
      </c>
      <c r="X1" s="960" t="s">
        <v>1193</v>
      </c>
      <c r="Y1" s="960" t="s">
        <v>1194</v>
      </c>
      <c r="Z1" s="960" t="s">
        <v>1195</v>
      </c>
    </row>
    <row r="2" spans="1:27" ht="29.25" customHeight="1" x14ac:dyDescent="0.25">
      <c r="O2" s="962"/>
      <c r="P2" s="961"/>
      <c r="Q2" s="961"/>
      <c r="R2" s="961"/>
      <c r="S2" s="961"/>
      <c r="V2" s="961"/>
      <c r="W2" s="961"/>
      <c r="X2" s="961"/>
      <c r="Y2" s="961"/>
      <c r="Z2" s="961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2"/>
      <c r="W3" s="962"/>
      <c r="X3" s="962"/>
      <c r="Y3" s="962"/>
      <c r="Z3" s="962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41543.034224537034</v>
      </c>
      <c r="B8" s="22" t="s">
        <v>31</v>
      </c>
      <c r="C8" s="23">
        <v>5855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41542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41541</v>
      </c>
      <c r="T8" s="22" t="s">
        <v>37</v>
      </c>
      <c r="V8" s="27">
        <v>2</v>
      </c>
      <c r="W8" s="27" t="s">
        <v>6</v>
      </c>
      <c r="X8" s="27">
        <v>2</v>
      </c>
      <c r="Y8" s="30">
        <v>41537</v>
      </c>
      <c r="Z8" s="30">
        <v>41542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41543.017372685186</v>
      </c>
      <c r="B10" s="2" t="s">
        <v>40</v>
      </c>
      <c r="C10" s="41">
        <v>1412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41542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41542</v>
      </c>
      <c r="T10" s="2" t="s">
        <v>45</v>
      </c>
      <c r="V10" s="17">
        <v>2</v>
      </c>
      <c r="W10" s="17" t="s">
        <v>6</v>
      </c>
      <c r="X10" s="17">
        <v>4</v>
      </c>
      <c r="Y10" s="38">
        <v>41533</v>
      </c>
      <c r="Z10" s="38">
        <v>41542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41542.77615740741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41543.034618055557</v>
      </c>
      <c r="B14" s="22" t="s">
        <v>57</v>
      </c>
      <c r="C14" s="23">
        <v>5065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41543.031944444447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41543.027511574073</v>
      </c>
      <c r="B15" s="2" t="s">
        <v>62</v>
      </c>
      <c r="C15" s="41">
        <v>1209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41543.015277777777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41543.027106481481</v>
      </c>
      <c r="B16" s="2" t="s">
        <v>64</v>
      </c>
      <c r="C16" s="41">
        <v>3611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41543.026388888888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41542.785856481481</v>
      </c>
      <c r="B17" s="2" t="s">
        <v>68</v>
      </c>
      <c r="C17" s="41">
        <v>4841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41542.772916666669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41542.772175925929</v>
      </c>
      <c r="B23" s="68" t="str">
        <f>I23</f>
        <v>SF_DicAccSyn</v>
      </c>
      <c r="C23" s="922">
        <v>51</v>
      </c>
      <c r="D23" s="923" t="s">
        <v>65</v>
      </c>
      <c r="E23" s="923">
        <v>6</v>
      </c>
      <c r="F23" s="68" t="s">
        <v>32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41542.770833333336</v>
      </c>
      <c r="O23" s="67"/>
      <c r="P23" s="927"/>
      <c r="Q23" s="67"/>
      <c r="T23" s="927" t="str">
        <f>Process!F57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8">
        <v>41540.910752314812</v>
      </c>
      <c r="B42" s="109" t="s">
        <v>127</v>
      </c>
      <c r="C42" s="110">
        <v>3603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101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41543.030682870369</v>
      </c>
      <c r="B45" s="32" t="s">
        <v>134</v>
      </c>
      <c r="C45" s="75">
        <v>56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41543.030671296299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41543.030682870369</v>
      </c>
      <c r="B47" s="32" t="s">
        <v>139</v>
      </c>
      <c r="C47" s="75">
        <v>442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41543.030694444446</v>
      </c>
      <c r="B50" s="134" t="s">
        <v>144</v>
      </c>
      <c r="C50" s="135">
        <v>2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zoomScale="85" zoomScaleNormal="85" workbookViewId="0">
      <pane ySplit="1" topLeftCell="A2" activePane="bottomLeft" state="frozen"/>
      <selection pane="bottomLeft" activeCell="C13" sqref="C13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41543.034618055557</v>
      </c>
      <c r="C1" s="3" t="s">
        <v>158</v>
      </c>
      <c r="D1" s="3"/>
      <c r="G1" s="165" t="s">
        <v>178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5" t="s">
        <v>159</v>
      </c>
      <c r="F3" s="967" t="s">
        <v>160</v>
      </c>
      <c r="G3" s="968"/>
      <c r="H3" s="968"/>
      <c r="I3" s="968"/>
      <c r="J3" s="969"/>
      <c r="K3" s="967" t="s">
        <v>161</v>
      </c>
      <c r="L3" s="968"/>
      <c r="M3" s="968"/>
      <c r="N3" s="968"/>
      <c r="O3" s="969"/>
    </row>
    <row r="4" spans="1:15" s="8" customFormat="1" ht="15.75" thickBot="1" x14ac:dyDescent="0.3">
      <c r="B4" s="9" t="s">
        <v>162</v>
      </c>
      <c r="C4" s="8" t="s">
        <v>163</v>
      </c>
      <c r="E4" s="966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97" t="s">
        <v>167</v>
      </c>
      <c r="C6" s="25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41542.785821759258</v>
      </c>
      <c r="B7" s="184" t="s">
        <v>181</v>
      </c>
      <c r="C7" s="185"/>
      <c r="D7" s="198"/>
      <c r="E7" s="858" t="s">
        <v>168</v>
      </c>
      <c r="F7" s="192" t="str">
        <f>F15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41542.785833333335</v>
      </c>
      <c r="B8" s="184" t="s">
        <v>181</v>
      </c>
      <c r="C8" s="185"/>
      <c r="D8" s="198"/>
      <c r="E8" s="858" t="s">
        <v>168</v>
      </c>
      <c r="F8" s="192" t="str">
        <f>F24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41542.04378472222</v>
      </c>
      <c r="B9" s="184" t="s">
        <v>181</v>
      </c>
      <c r="C9" s="185"/>
      <c r="D9" s="198"/>
      <c r="E9" s="858" t="s">
        <v>168</v>
      </c>
      <c r="F9" s="192" t="str">
        <f>F32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41543.027511574073</v>
      </c>
      <c r="B10" s="186" t="s">
        <v>181</v>
      </c>
      <c r="C10" s="246"/>
      <c r="D10" s="198"/>
      <c r="E10" s="858" t="s">
        <v>172</v>
      </c>
      <c r="F10" s="192" t="str">
        <f>F38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41543.02752314815</v>
      </c>
      <c r="B11" s="184" t="s">
        <v>181</v>
      </c>
      <c r="C11" s="185"/>
      <c r="D11" s="198"/>
      <c r="E11" s="858" t="s">
        <v>168</v>
      </c>
      <c r="F11" s="192" t="str">
        <f>F45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41542.785868055558</v>
      </c>
      <c r="B12" s="184" t="s">
        <v>181</v>
      </c>
      <c r="C12" s="185"/>
      <c r="D12" s="198"/>
      <c r="E12" s="858" t="s">
        <v>168</v>
      </c>
      <c r="F12" s="192" t="str">
        <f>F51</f>
        <v>LOAD_SFacc</v>
      </c>
      <c r="G12" s="195"/>
      <c r="H12" s="202"/>
      <c r="I12" s="202"/>
      <c r="J12" s="203"/>
      <c r="K12" s="192" t="str">
        <f>TOCmatch!B17</f>
        <v>SFacc</v>
      </c>
      <c r="L12" s="195"/>
      <c r="M12" s="195"/>
      <c r="N12" s="202"/>
      <c r="O12" s="203"/>
    </row>
    <row r="13" spans="1:15" outlineLevel="1" x14ac:dyDescent="0.25">
      <c r="A13" s="245"/>
      <c r="B13" s="875" t="s">
        <v>230</v>
      </c>
      <c r="C13" s="246"/>
      <c r="D13" s="198"/>
      <c r="E13" s="858" t="s">
        <v>172</v>
      </c>
      <c r="F13" s="192" t="str">
        <f>F71</f>
        <v>HANDL_Payment</v>
      </c>
      <c r="G13" s="195"/>
      <c r="H13" s="202"/>
      <c r="I13" s="202"/>
      <c r="J13" s="203"/>
      <c r="K13" s="192" t="str">
        <f>TOCmatch!B8</f>
        <v>Платежи</v>
      </c>
      <c r="L13" s="195"/>
      <c r="M13" s="195"/>
      <c r="N13" s="202"/>
      <c r="O13" s="203"/>
    </row>
    <row r="14" spans="1:15" s="233" customFormat="1" ht="15.75" outlineLevel="1" thickBot="1" x14ac:dyDescent="0.3">
      <c r="A14" s="285"/>
      <c r="B14" s="226" t="s">
        <v>32</v>
      </c>
      <c r="C14" s="848"/>
      <c r="D14" s="226"/>
      <c r="E14" s="859" t="s">
        <v>172</v>
      </c>
      <c r="F14" s="228"/>
      <c r="G14" s="229"/>
      <c r="H14" s="229"/>
      <c r="I14" s="229"/>
      <c r="J14" s="230"/>
      <c r="K14" s="231"/>
      <c r="L14" s="232"/>
      <c r="M14" s="229"/>
      <c r="N14" s="232"/>
      <c r="O14" s="230"/>
    </row>
    <row r="15" spans="1:15" s="177" customFormat="1" ht="15.75" thickTop="1" x14ac:dyDescent="0.25">
      <c r="A15" s="175"/>
      <c r="B15" s="853" t="s">
        <v>167</v>
      </c>
      <c r="C15" s="175"/>
      <c r="E15" s="178"/>
      <c r="F15" s="179" t="s">
        <v>37</v>
      </c>
      <c r="G15" s="180"/>
      <c r="H15" s="180"/>
      <c r="I15" s="180"/>
      <c r="J15" s="181"/>
      <c r="K15" s="182" t="str">
        <f>TOCmatch!B8</f>
        <v>Платежи</v>
      </c>
      <c r="L15" s="180"/>
      <c r="M15" s="180"/>
      <c r="N15" s="180"/>
      <c r="O15" s="181"/>
    </row>
    <row r="16" spans="1:15" s="177" customFormat="1" outlineLevel="1" x14ac:dyDescent="0.25">
      <c r="A16" s="183">
        <v>41542.757106481484</v>
      </c>
      <c r="B16" s="184" t="s">
        <v>84</v>
      </c>
      <c r="C16" s="185" t="s">
        <v>66</v>
      </c>
      <c r="D16" s="186"/>
      <c r="E16" s="187" t="s">
        <v>168</v>
      </c>
      <c r="F16" s="188"/>
      <c r="G16" s="189"/>
      <c r="H16" s="190"/>
      <c r="I16" s="190"/>
      <c r="J16" s="191"/>
      <c r="K16" s="192" t="str">
        <f>K15</f>
        <v>Платежи</v>
      </c>
      <c r="O16" s="191"/>
    </row>
    <row r="17" spans="1:15" s="177" customFormat="1" outlineLevel="1" x14ac:dyDescent="0.25">
      <c r="A17" s="183">
        <v>41543.034143518518</v>
      </c>
      <c r="B17" s="184" t="s">
        <v>100</v>
      </c>
      <c r="C17" s="185" t="str">
        <f>B16</f>
        <v>InsMyCol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K15</f>
        <v>Платежи</v>
      </c>
      <c r="L17" s="193" t="str">
        <f>TOCmatch!B17</f>
        <v>SFacc</v>
      </c>
      <c r="M17" s="193" t="str">
        <f>TOCmatch!B14</f>
        <v>SF</v>
      </c>
      <c r="N17" s="193" t="str">
        <f>TOCmatch!B21</f>
        <v>SF_PA</v>
      </c>
      <c r="O17" s="929" t="str">
        <f>TOCmatch!B43</f>
        <v>DicAccSynonims</v>
      </c>
    </row>
    <row r="18" spans="1:15" s="177" customFormat="1" outlineLevel="1" x14ac:dyDescent="0.25">
      <c r="A18" s="183">
        <v>41543.034155092595</v>
      </c>
      <c r="B18" s="184" t="s">
        <v>58</v>
      </c>
      <c r="C18" s="185" t="str">
        <f>B17</f>
        <v>Adapt</v>
      </c>
      <c r="D18" s="186"/>
      <c r="E18" s="187" t="s">
        <v>168</v>
      </c>
      <c r="F18" s="836">
        <v>7</v>
      </c>
      <c r="G18" s="194"/>
      <c r="H18" s="190"/>
      <c r="I18" s="190"/>
      <c r="J18" s="191"/>
      <c r="K18" s="192" t="str">
        <f>K15</f>
        <v>Платежи</v>
      </c>
      <c r="L18" s="195"/>
      <c r="M18" s="190"/>
      <c r="N18" s="195"/>
      <c r="O18" s="191"/>
    </row>
    <row r="19" spans="1:15" s="180" customFormat="1" outlineLevel="1" x14ac:dyDescent="0.25">
      <c r="A19" s="196">
        <v>41543.034201388888</v>
      </c>
      <c r="B19" s="197" t="s">
        <v>171</v>
      </c>
      <c r="C19" s="185" t="str">
        <f>B18</f>
        <v>DateSort</v>
      </c>
      <c r="D19" s="198"/>
      <c r="E19" s="199" t="s">
        <v>168</v>
      </c>
      <c r="F19" s="192"/>
      <c r="G19" s="190"/>
      <c r="H19" s="190"/>
      <c r="I19" s="190"/>
      <c r="J19" s="191"/>
      <c r="K19" s="192" t="str">
        <f>K15</f>
        <v>Платежи</v>
      </c>
      <c r="L19" s="195"/>
      <c r="M19" s="190"/>
      <c r="N19" s="195"/>
      <c r="O19" s="191"/>
    </row>
    <row r="20" spans="1:15" outlineLevel="1" x14ac:dyDescent="0.25">
      <c r="A20" s="183">
        <v>41543.034212962964</v>
      </c>
      <c r="B20" s="184" t="s">
        <v>49</v>
      </c>
      <c r="C20" s="200" t="str">
        <f>B19</f>
        <v>PaymentPaint</v>
      </c>
      <c r="D20" s="198"/>
      <c r="E20" s="201" t="s">
        <v>168</v>
      </c>
      <c r="G20" s="195"/>
      <c r="H20" s="202"/>
      <c r="I20" s="202"/>
      <c r="J20" s="203"/>
      <c r="K20" s="192" t="str">
        <f>K15</f>
        <v>Платежи</v>
      </c>
      <c r="L20" s="195"/>
      <c r="M20" s="195"/>
      <c r="N20" s="193" t="str">
        <f>TOCmatch!B17</f>
        <v>SFacc</v>
      </c>
      <c r="O20" s="203"/>
    </row>
    <row r="21" spans="1:15" outlineLevel="1" x14ac:dyDescent="0.25">
      <c r="A21" s="183">
        <v>41543.034212962964</v>
      </c>
      <c r="B21" s="854" t="s">
        <v>1190</v>
      </c>
      <c r="C21" s="200" t="str">
        <f>B20</f>
        <v>AccPaint</v>
      </c>
      <c r="D21" s="198"/>
      <c r="E21" s="201" t="s">
        <v>168</v>
      </c>
      <c r="G21" s="195"/>
      <c r="H21" s="202"/>
      <c r="I21" s="202"/>
      <c r="J21" s="203"/>
      <c r="K21" s="192" t="str">
        <f>K15</f>
        <v>Платежи</v>
      </c>
      <c r="L21" s="195"/>
      <c r="M21" s="195"/>
      <c r="N21" s="195"/>
      <c r="O21" s="203"/>
    </row>
    <row r="22" spans="1:15" s="177" customFormat="1" outlineLevel="1" x14ac:dyDescent="0.25">
      <c r="A22" s="196">
        <v>41542.757152777776</v>
      </c>
      <c r="B22" s="846" t="s">
        <v>1210</v>
      </c>
      <c r="C22" s="845"/>
      <c r="D22" s="190"/>
      <c r="E22" s="201" t="s">
        <v>168</v>
      </c>
      <c r="F22" s="193" t="str">
        <f>TOCmatch!B14</f>
        <v>SF</v>
      </c>
      <c r="G22" s="190"/>
      <c r="H22" s="190"/>
      <c r="I22" s="190"/>
      <c r="J22" s="191"/>
      <c r="K22" s="192" t="str">
        <f>K21</f>
        <v>Платежи</v>
      </c>
      <c r="L22" s="195"/>
      <c r="M22" s="190"/>
      <c r="N22" s="195"/>
      <c r="O22" s="191"/>
    </row>
    <row r="23" spans="1:15" s="211" customFormat="1" outlineLevel="1" x14ac:dyDescent="0.25">
      <c r="A23" s="855">
        <v>41509.164409722223</v>
      </c>
      <c r="B23" s="856" t="s">
        <v>32</v>
      </c>
      <c r="C23" s="250"/>
      <c r="D23" s="204"/>
      <c r="E23" s="205"/>
      <c r="F23" s="206"/>
      <c r="G23" s="207"/>
      <c r="H23" s="207"/>
      <c r="I23" s="207"/>
      <c r="J23" s="208"/>
      <c r="K23" s="209"/>
      <c r="L23" s="210"/>
      <c r="M23" s="207"/>
      <c r="N23" s="210"/>
      <c r="O23" s="208"/>
    </row>
    <row r="24" spans="1:15" s="177" customFormat="1" x14ac:dyDescent="0.25">
      <c r="A24" s="212"/>
      <c r="B24" s="857" t="s">
        <v>167</v>
      </c>
      <c r="C24" s="213"/>
      <c r="D24" s="214"/>
      <c r="E24" s="215" t="s">
        <v>172</v>
      </c>
      <c r="F24" s="216" t="s">
        <v>45</v>
      </c>
      <c r="G24" s="214"/>
      <c r="H24" s="214"/>
      <c r="I24" s="214"/>
      <c r="J24" s="217"/>
      <c r="K24" s="218" t="str">
        <f>TOCmatch!B10</f>
        <v>Договоры</v>
      </c>
      <c r="L24" s="219"/>
      <c r="M24" s="214"/>
      <c r="N24" s="219"/>
      <c r="O24" s="217"/>
    </row>
    <row r="25" spans="1:15" s="32" customFormat="1" outlineLevel="1" x14ac:dyDescent="0.25">
      <c r="A25" s="183">
        <v>41542.757662037038</v>
      </c>
      <c r="B25" s="184" t="s">
        <v>84</v>
      </c>
      <c r="C25" s="185" t="s">
        <v>66</v>
      </c>
      <c r="D25" s="186"/>
      <c r="E25" s="187" t="s">
        <v>168</v>
      </c>
      <c r="F25" s="188"/>
      <c r="G25" s="189"/>
      <c r="H25" s="190"/>
      <c r="I25" s="190"/>
      <c r="J25" s="203"/>
      <c r="K25" s="192" t="str">
        <f>K24</f>
        <v>Договоры</v>
      </c>
      <c r="N25" s="202"/>
      <c r="O25" s="203"/>
    </row>
    <row r="26" spans="1:15" s="32" customFormat="1" outlineLevel="1" x14ac:dyDescent="0.25">
      <c r="A26" s="183">
        <v>41543.017337962963</v>
      </c>
      <c r="B26" s="184" t="s">
        <v>100</v>
      </c>
      <c r="C26" s="185" t="str">
        <f>B25</f>
        <v>InsMyCol</v>
      </c>
      <c r="D26" s="186"/>
      <c r="E26" s="187" t="s">
        <v>168</v>
      </c>
      <c r="F26" s="188"/>
      <c r="J26" s="203"/>
      <c r="K26" s="192" t="str">
        <f>K24</f>
        <v>Договоры</v>
      </c>
      <c r="L26" s="193" t="str">
        <f>TOCmatch!B17</f>
        <v>SFacc</v>
      </c>
      <c r="M26" s="193" t="str">
        <f>TOCmatch!B15</f>
        <v>SFD</v>
      </c>
      <c r="N26" s="202"/>
      <c r="O26" s="203"/>
    </row>
    <row r="27" spans="1:15" s="32" customFormat="1" outlineLevel="1" x14ac:dyDescent="0.25">
      <c r="A27" s="196">
        <v>41543.017337962963</v>
      </c>
      <c r="B27" s="184" t="s">
        <v>58</v>
      </c>
      <c r="C27" s="185" t="str">
        <f>B26</f>
        <v>Adapt</v>
      </c>
      <c r="D27" s="186"/>
      <c r="E27" s="187" t="s">
        <v>168</v>
      </c>
      <c r="F27" s="836">
        <v>12</v>
      </c>
      <c r="G27" s="194"/>
      <c r="H27" s="202"/>
      <c r="I27" s="202"/>
      <c r="J27" s="203"/>
      <c r="K27" s="192" t="str">
        <f>K24</f>
        <v>Договоры</v>
      </c>
      <c r="L27" s="202"/>
      <c r="M27" s="202"/>
      <c r="N27" s="202"/>
      <c r="O27" s="203"/>
    </row>
    <row r="28" spans="1:15" s="32" customFormat="1" outlineLevel="1" x14ac:dyDescent="0.25">
      <c r="A28" s="196">
        <v>41543.01734953704</v>
      </c>
      <c r="B28" s="197" t="s">
        <v>176</v>
      </c>
      <c r="C28" s="185" t="str">
        <f>B27</f>
        <v>DateSort</v>
      </c>
      <c r="D28" s="198"/>
      <c r="E28" s="221" t="s">
        <v>168</v>
      </c>
      <c r="F28" s="222"/>
      <c r="G28" s="202"/>
      <c r="H28" s="202"/>
      <c r="I28" s="202"/>
      <c r="J28" s="203"/>
      <c r="K28" s="192" t="str">
        <f>K24</f>
        <v>Договоры</v>
      </c>
      <c r="L28" s="193" t="str">
        <f>TOCmatch!B15</f>
        <v>SFD</v>
      </c>
      <c r="N28" s="202"/>
      <c r="O28" s="203"/>
    </row>
    <row r="29" spans="1:15" outlineLevel="1" x14ac:dyDescent="0.25">
      <c r="A29" s="183">
        <v>41543.017361111109</v>
      </c>
      <c r="B29" s="184" t="s">
        <v>49</v>
      </c>
      <c r="C29" s="185" t="str">
        <f>B28</f>
        <v>ContractPaint</v>
      </c>
      <c r="D29" s="198"/>
      <c r="E29" s="223" t="s">
        <v>168</v>
      </c>
      <c r="F29" s="220"/>
      <c r="G29" s="195"/>
      <c r="H29" s="202"/>
      <c r="I29" s="202"/>
      <c r="J29" s="203"/>
      <c r="K29" s="192" t="str">
        <f>K24</f>
        <v>Договоры</v>
      </c>
      <c r="L29" s="195"/>
      <c r="M29" s="195"/>
      <c r="N29" s="193" t="str">
        <f>TOCmatch!B17</f>
        <v>SFacc</v>
      </c>
      <c r="O29" s="203"/>
    </row>
    <row r="30" spans="1:15" outlineLevel="1" x14ac:dyDescent="0.25">
      <c r="A30" s="183">
        <v>41543.017361111109</v>
      </c>
      <c r="B30" s="854" t="s">
        <v>1190</v>
      </c>
      <c r="C30" s="200" t="str">
        <f>B29</f>
        <v>AccPaint</v>
      </c>
      <c r="D30" s="198"/>
      <c r="E30" s="201" t="s">
        <v>168</v>
      </c>
      <c r="G30" s="195"/>
      <c r="H30" s="202"/>
      <c r="I30" s="202"/>
      <c r="J30" s="203"/>
      <c r="K30" s="192" t="str">
        <f>K24</f>
        <v>Договоры</v>
      </c>
      <c r="L30" s="195"/>
      <c r="M30" s="195"/>
      <c r="N30" s="195"/>
      <c r="O30" s="203"/>
    </row>
    <row r="31" spans="1:15" s="211" customFormat="1" outlineLevel="1" x14ac:dyDescent="0.25">
      <c r="A31" s="855">
        <v>41509.162106481483</v>
      </c>
      <c r="B31" s="856" t="s">
        <v>32</v>
      </c>
      <c r="C31" s="250"/>
      <c r="D31" s="204"/>
      <c r="E31" s="205" t="s">
        <v>172</v>
      </c>
      <c r="F31" s="206"/>
      <c r="G31" s="207"/>
      <c r="H31" s="207"/>
      <c r="I31" s="207"/>
      <c r="J31" s="208"/>
      <c r="K31" s="209"/>
      <c r="L31" s="210"/>
      <c r="M31" s="207"/>
      <c r="N31" s="210"/>
      <c r="O31" s="208"/>
    </row>
    <row r="32" spans="1:15" s="177" customFormat="1" x14ac:dyDescent="0.25">
      <c r="A32" s="212"/>
      <c r="B32" s="857" t="s">
        <v>167</v>
      </c>
      <c r="C32" s="213"/>
      <c r="D32" s="214"/>
      <c r="E32" s="215"/>
      <c r="F32" s="224" t="s">
        <v>54</v>
      </c>
      <c r="G32" s="214"/>
      <c r="H32" s="214"/>
      <c r="I32" s="214"/>
      <c r="J32" s="217"/>
      <c r="K32" s="218" t="s">
        <v>48</v>
      </c>
      <c r="L32" s="219"/>
      <c r="M32" s="214"/>
      <c r="N32" s="219"/>
      <c r="O32" s="217"/>
    </row>
    <row r="33" spans="1:15" s="177" customFormat="1" outlineLevel="1" x14ac:dyDescent="0.25">
      <c r="A33" s="183">
        <v>41541.952870370369</v>
      </c>
      <c r="B33" s="184" t="s">
        <v>177</v>
      </c>
      <c r="C33" s="185" t="s">
        <v>66</v>
      </c>
      <c r="D33" s="198"/>
      <c r="E33" s="187" t="s">
        <v>168</v>
      </c>
      <c r="F33" s="220"/>
      <c r="G33" s="194"/>
      <c r="H33" s="190"/>
      <c r="I33" s="190"/>
      <c r="J33" s="191"/>
      <c r="K33" s="192" t="str">
        <f>K32</f>
        <v>Список клиентов 1C</v>
      </c>
      <c r="L33" s="195"/>
      <c r="M33" s="190"/>
      <c r="N33" s="195"/>
      <c r="O33" s="191"/>
    </row>
    <row r="34" spans="1:15" s="32" customFormat="1" outlineLevel="1" x14ac:dyDescent="0.25">
      <c r="A34" s="183">
        <v>41541.952893518515</v>
      </c>
      <c r="B34" s="184" t="s">
        <v>84</v>
      </c>
      <c r="C34" s="225" t="str">
        <f>B33</f>
        <v>Acc1C_Bottom</v>
      </c>
      <c r="D34" s="186"/>
      <c r="E34" s="187" t="s">
        <v>168</v>
      </c>
      <c r="F34" s="192"/>
      <c r="G34" s="195"/>
      <c r="H34" s="190"/>
      <c r="I34" s="190"/>
      <c r="J34" s="203"/>
      <c r="K34" s="192" t="str">
        <f>K32</f>
        <v>Список клиентов 1C</v>
      </c>
      <c r="L34" s="202"/>
      <c r="M34" s="202"/>
      <c r="O34" s="203"/>
    </row>
    <row r="35" spans="1:15" s="32" customFormat="1" outlineLevel="1" x14ac:dyDescent="0.25">
      <c r="A35" s="183">
        <v>41542.776134259257</v>
      </c>
      <c r="B35" s="184" t="s">
        <v>100</v>
      </c>
      <c r="C35" s="225" t="str">
        <f>B34</f>
        <v>InsMyCol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K32</f>
        <v>Список клиентов 1C</v>
      </c>
      <c r="L35" s="202"/>
      <c r="M35" s="202"/>
      <c r="N35" s="193" t="str">
        <f>TOCmatch!B17</f>
        <v>SFacc</v>
      </c>
      <c r="O35" s="203"/>
    </row>
    <row r="36" spans="1:15" outlineLevel="1" x14ac:dyDescent="0.25">
      <c r="A36" s="183">
        <v>41542.77616898148</v>
      </c>
      <c r="B36" s="184" t="s">
        <v>49</v>
      </c>
      <c r="C36" s="225" t="str">
        <f>B35</f>
        <v>Adapt</v>
      </c>
      <c r="D36" s="198"/>
      <c r="E36" s="223" t="s">
        <v>168</v>
      </c>
      <c r="F36" s="192"/>
      <c r="G36" s="195"/>
      <c r="H36" s="202"/>
      <c r="I36" s="202"/>
      <c r="J36" s="203"/>
      <c r="K36" s="192" t="str">
        <f>K32</f>
        <v>Список клиентов 1C</v>
      </c>
      <c r="L36" s="195"/>
      <c r="M36" s="195"/>
      <c r="N36" s="193" t="str">
        <f>TOCmatch!B17</f>
        <v>SFacc</v>
      </c>
      <c r="O36" s="203"/>
    </row>
    <row r="37" spans="1:15" s="180" customFormat="1" ht="15.75" outlineLevel="1" thickBot="1" x14ac:dyDescent="0.3">
      <c r="A37" s="196">
        <v>41507.01185185185</v>
      </c>
      <c r="B37" s="197" t="s">
        <v>32</v>
      </c>
      <c r="C37" s="318"/>
      <c r="D37" s="248"/>
      <c r="E37" s="199" t="s">
        <v>168</v>
      </c>
      <c r="F37" s="319"/>
      <c r="G37" s="190"/>
      <c r="H37" s="190"/>
      <c r="I37" s="190"/>
      <c r="J37" s="191"/>
      <c r="K37" s="192"/>
      <c r="L37" s="195"/>
      <c r="M37" s="190"/>
      <c r="N37" s="195"/>
      <c r="O37" s="191"/>
    </row>
    <row r="38" spans="1:15" s="177" customFormat="1" ht="15.75" thickTop="1" x14ac:dyDescent="0.25">
      <c r="A38" s="931"/>
      <c r="B38" s="932" t="s">
        <v>167</v>
      </c>
      <c r="C38" s="933"/>
      <c r="D38" s="237"/>
      <c r="E38" s="238" t="s">
        <v>172</v>
      </c>
      <c r="F38" s="239" t="s">
        <v>178</v>
      </c>
      <c r="G38" s="237"/>
      <c r="H38" s="237"/>
      <c r="I38" s="237"/>
      <c r="J38" s="240"/>
      <c r="K38" s="241" t="str">
        <f>TOCmatch!B14</f>
        <v>SF</v>
      </c>
      <c r="L38" s="242"/>
      <c r="M38" s="237"/>
      <c r="N38" s="242"/>
      <c r="O38" s="240"/>
    </row>
    <row r="39" spans="1:15" outlineLevel="1" x14ac:dyDescent="0.25">
      <c r="A39" s="183">
        <v>41543.033414351848</v>
      </c>
      <c r="B39" s="184" t="s">
        <v>84</v>
      </c>
      <c r="C39" s="930" t="s">
        <v>66</v>
      </c>
      <c r="D39" s="186"/>
      <c r="E39" s="187" t="s">
        <v>168</v>
      </c>
      <c r="F39" s="192"/>
      <c r="G39" s="195"/>
      <c r="H39" s="202"/>
      <c r="I39" s="202"/>
      <c r="J39" s="243"/>
      <c r="K39" s="192" t="str">
        <f>K38</f>
        <v>SF</v>
      </c>
      <c r="L39" s="202"/>
      <c r="M39" s="202"/>
      <c r="N39" s="202"/>
      <c r="O39" s="243"/>
    </row>
    <row r="40" spans="1:15" outlineLevel="1" x14ac:dyDescent="0.25">
      <c r="A40" s="183">
        <v>41543.034224537034</v>
      </c>
      <c r="B40" s="197" t="s">
        <v>181</v>
      </c>
      <c r="C40" s="185" t="str">
        <f>B39</f>
        <v>InsMyCol</v>
      </c>
      <c r="D40" s="198"/>
      <c r="E40" s="223" t="s">
        <v>168</v>
      </c>
      <c r="F40" s="192" t="str">
        <f>F15</f>
        <v>LOAD_1C_P</v>
      </c>
      <c r="G40" s="195"/>
      <c r="H40" s="202"/>
      <c r="I40" s="202"/>
      <c r="J40" s="243"/>
      <c r="K40" s="192" t="str">
        <f>TOCmatch!B8</f>
        <v>Платежи</v>
      </c>
      <c r="L40" s="202" t="str">
        <f>K38</f>
        <v>SF</v>
      </c>
      <c r="M40" s="202"/>
      <c r="N40" s="202"/>
      <c r="O40" s="243"/>
    </row>
    <row r="41" spans="1:15" outlineLevel="1" x14ac:dyDescent="0.25">
      <c r="A41" s="183">
        <v>41543.034594907411</v>
      </c>
      <c r="B41" s="184" t="s">
        <v>100</v>
      </c>
      <c r="C41" s="934" t="str">
        <f>B40</f>
        <v>ProcStart</v>
      </c>
      <c r="D41" s="202"/>
      <c r="E41" s="223" t="s">
        <v>168</v>
      </c>
      <c r="F41" s="192"/>
      <c r="G41" s="195"/>
      <c r="H41" s="202"/>
      <c r="I41" s="202"/>
      <c r="J41" s="243"/>
      <c r="K41" s="192" t="str">
        <f>K38</f>
        <v>SF</v>
      </c>
      <c r="L41" s="202" t="str">
        <f>TOCmatch!B8</f>
        <v>Платежи</v>
      </c>
      <c r="M41" s="202"/>
      <c r="N41" s="202"/>
      <c r="O41" s="243"/>
    </row>
    <row r="42" spans="1:15" outlineLevel="1" x14ac:dyDescent="0.25">
      <c r="A42" s="183">
        <v>41543.03460648148</v>
      </c>
      <c r="B42" s="184" t="s">
        <v>58</v>
      </c>
      <c r="C42" s="185"/>
      <c r="D42" s="186"/>
      <c r="E42" s="187" t="s">
        <v>168</v>
      </c>
      <c r="F42" s="837">
        <v>5</v>
      </c>
      <c r="G42" s="195"/>
      <c r="H42" s="202"/>
      <c r="I42" s="202"/>
      <c r="J42" s="203"/>
      <c r="K42" s="192" t="str">
        <f>K38</f>
        <v>SF</v>
      </c>
      <c r="L42" s="202"/>
      <c r="M42" s="202"/>
      <c r="N42" s="202"/>
      <c r="O42" s="203"/>
    </row>
    <row r="43" spans="1:15" outlineLevel="1" x14ac:dyDescent="0.25">
      <c r="A43" s="183">
        <v>41543.034618055557</v>
      </c>
      <c r="B43" s="854" t="s">
        <v>1199</v>
      </c>
      <c r="C43" s="185"/>
      <c r="D43" s="186"/>
      <c r="E43" s="187" t="s">
        <v>168</v>
      </c>
      <c r="F43" s="247"/>
      <c r="G43" s="195"/>
      <c r="H43" s="202"/>
      <c r="I43" s="202"/>
      <c r="J43" s="203"/>
      <c r="K43" s="192" t="str">
        <f>K38</f>
        <v>SF</v>
      </c>
      <c r="L43" s="202"/>
      <c r="M43" s="202"/>
      <c r="N43" s="202"/>
      <c r="O43" s="203"/>
    </row>
    <row r="44" spans="1:15" s="211" customFormat="1" outlineLevel="1" x14ac:dyDescent="0.25">
      <c r="A44" s="855">
        <v>41509.160416666666</v>
      </c>
      <c r="B44" s="856" t="s">
        <v>32</v>
      </c>
      <c r="C44" s="250"/>
      <c r="D44" s="204"/>
      <c r="E44" s="205" t="s">
        <v>172</v>
      </c>
      <c r="F44" s="206"/>
      <c r="G44" s="207"/>
      <c r="H44" s="207"/>
      <c r="I44" s="207"/>
      <c r="J44" s="208"/>
      <c r="K44" s="209" t="str">
        <f>K38</f>
        <v>SF</v>
      </c>
      <c r="L44" s="210"/>
      <c r="M44" s="207"/>
      <c r="N44" s="210"/>
      <c r="O44" s="208"/>
    </row>
    <row r="45" spans="1:15" s="177" customFormat="1" x14ac:dyDescent="0.25">
      <c r="A45" s="212"/>
      <c r="B45" s="857" t="s">
        <v>167</v>
      </c>
      <c r="C45" s="213"/>
      <c r="D45" s="214"/>
      <c r="E45" s="215" t="s">
        <v>172</v>
      </c>
      <c r="F45" s="216" t="s">
        <v>182</v>
      </c>
      <c r="G45" s="214"/>
      <c r="H45" s="214"/>
      <c r="I45" s="214"/>
      <c r="J45" s="217"/>
      <c r="K45" s="218" t="s">
        <v>62</v>
      </c>
      <c r="L45" s="219"/>
      <c r="M45" s="214"/>
      <c r="N45" s="219"/>
      <c r="O45" s="217"/>
    </row>
    <row r="46" spans="1:15" outlineLevel="1" x14ac:dyDescent="0.25">
      <c r="A46" s="183">
        <v>41543.017152777778</v>
      </c>
      <c r="B46" s="184" t="s">
        <v>84</v>
      </c>
      <c r="C46" s="930" t="s">
        <v>66</v>
      </c>
      <c r="D46" s="186"/>
      <c r="E46" s="187" t="s">
        <v>168</v>
      </c>
      <c r="F46" s="192"/>
      <c r="G46" s="190"/>
      <c r="H46" s="202"/>
      <c r="I46" s="202"/>
      <c r="J46" s="243"/>
      <c r="K46" s="244" t="s">
        <v>62</v>
      </c>
      <c r="M46" s="202"/>
      <c r="N46" s="202"/>
      <c r="O46" s="243"/>
    </row>
    <row r="47" spans="1:15" outlineLevel="1" x14ac:dyDescent="0.25">
      <c r="A47" s="183">
        <v>41543.017233796294</v>
      </c>
      <c r="B47" s="184" t="s">
        <v>100</v>
      </c>
      <c r="C47" s="185" t="str">
        <f>B46</f>
        <v>InsMyCol</v>
      </c>
      <c r="D47" s="186"/>
      <c r="E47" s="187" t="s">
        <v>168</v>
      </c>
      <c r="F47" s="192"/>
      <c r="G47" s="195"/>
      <c r="H47" s="202"/>
      <c r="I47" s="202"/>
      <c r="J47" s="243"/>
      <c r="K47" s="244" t="s">
        <v>62</v>
      </c>
      <c r="L47" s="198" t="s">
        <v>40</v>
      </c>
      <c r="M47" s="202"/>
      <c r="N47" s="193" t="s">
        <v>68</v>
      </c>
      <c r="O47" s="243"/>
    </row>
    <row r="48" spans="1:15" outlineLevel="1" x14ac:dyDescent="0.25">
      <c r="A48" s="183">
        <v>41543.017233796294</v>
      </c>
      <c r="B48" s="184" t="s">
        <v>58</v>
      </c>
      <c r="C48" s="185" t="str">
        <f>B47</f>
        <v>Adapt</v>
      </c>
      <c r="D48" s="186"/>
      <c r="E48" s="187" t="s">
        <v>168</v>
      </c>
      <c r="F48" s="847">
        <v>8</v>
      </c>
      <c r="G48" s="195"/>
      <c r="H48" s="202"/>
      <c r="I48" s="202"/>
      <c r="J48" s="203"/>
      <c r="K48" s="244" t="s">
        <v>62</v>
      </c>
      <c r="L48" s="202"/>
      <c r="M48" s="202"/>
      <c r="N48" s="202"/>
      <c r="O48" s="203"/>
    </row>
    <row r="49" spans="1:15" outlineLevel="1" x14ac:dyDescent="0.25">
      <c r="A49" s="183">
        <v>41543.017372685186</v>
      </c>
      <c r="B49" s="197" t="s">
        <v>181</v>
      </c>
      <c r="C49" s="225" t="str">
        <f>B48</f>
        <v>DateSort</v>
      </c>
      <c r="D49" s="198"/>
      <c r="E49" s="223" t="s">
        <v>168</v>
      </c>
      <c r="F49" s="192" t="str">
        <f>F24</f>
        <v>LOAD_1C_DOG</v>
      </c>
      <c r="G49" s="195"/>
      <c r="H49" s="202"/>
      <c r="I49" s="202"/>
      <c r="J49" s="243"/>
      <c r="K49" s="244" t="s">
        <v>40</v>
      </c>
      <c r="L49" s="202"/>
      <c r="M49" s="202"/>
      <c r="N49" s="202"/>
      <c r="O49" s="243"/>
    </row>
    <row r="50" spans="1:15" s="211" customFormat="1" outlineLevel="1" x14ac:dyDescent="0.25">
      <c r="A50" s="855">
        <v>41507.005196759259</v>
      </c>
      <c r="B50" s="856" t="s">
        <v>32</v>
      </c>
      <c r="C50" s="250"/>
      <c r="D50" s="204"/>
      <c r="E50" s="205" t="s">
        <v>168</v>
      </c>
      <c r="F50" s="206"/>
      <c r="G50" s="207"/>
      <c r="H50" s="207"/>
      <c r="I50" s="207"/>
      <c r="J50" s="208"/>
      <c r="K50" s="209"/>
      <c r="L50" s="210"/>
      <c r="M50" s="207"/>
      <c r="N50" s="210"/>
      <c r="O50" s="208"/>
    </row>
    <row r="51" spans="1:15" s="177" customFormat="1" x14ac:dyDescent="0.25">
      <c r="A51" s="212"/>
      <c r="B51" s="959" t="s">
        <v>167</v>
      </c>
      <c r="C51" s="213"/>
      <c r="D51" s="214"/>
      <c r="E51" s="215" t="s">
        <v>172</v>
      </c>
      <c r="F51" s="216" t="s">
        <v>186</v>
      </c>
      <c r="G51" s="214"/>
      <c r="H51" s="214"/>
      <c r="I51" s="214"/>
      <c r="J51" s="217"/>
      <c r="K51" s="218" t="s">
        <v>68</v>
      </c>
      <c r="L51" s="219"/>
      <c r="M51" s="214"/>
      <c r="N51" s="219"/>
      <c r="O51" s="217"/>
    </row>
    <row r="52" spans="1:15" s="177" customFormat="1" outlineLevel="1" x14ac:dyDescent="0.25">
      <c r="A52" s="196">
        <v>41542.773935185185</v>
      </c>
      <c r="B52" s="846" t="s">
        <v>1210</v>
      </c>
      <c r="C52" s="845"/>
      <c r="D52" s="190"/>
      <c r="E52" s="199" t="s">
        <v>168</v>
      </c>
      <c r="F52" s="861" t="str">
        <f>TOCmatch!B17</f>
        <v>SFacc</v>
      </c>
      <c r="G52" s="190"/>
      <c r="H52" s="190"/>
      <c r="I52" s="190"/>
      <c r="J52" s="191"/>
      <c r="K52" s="192" t="str">
        <f>TOCmatch!B12</f>
        <v>Список клиентов 1C</v>
      </c>
      <c r="L52" s="195"/>
      <c r="M52" s="190"/>
      <c r="N52" s="195"/>
      <c r="O52" s="191"/>
    </row>
    <row r="53" spans="1:15" outlineLevel="1" x14ac:dyDescent="0.25">
      <c r="A53" s="183">
        <v>41542.775648148148</v>
      </c>
      <c r="B53" s="184" t="s">
        <v>181</v>
      </c>
      <c r="C53" s="185"/>
      <c r="D53" s="198"/>
      <c r="E53" s="223" t="s">
        <v>168</v>
      </c>
      <c r="F53" s="192" t="str">
        <f>F15</f>
        <v>LOAD_1C_P</v>
      </c>
      <c r="G53" s="195"/>
      <c r="H53" s="202"/>
      <c r="I53" s="202"/>
      <c r="J53" s="203"/>
      <c r="K53" s="192" t="str">
        <f>K51</f>
        <v>SFacc</v>
      </c>
      <c r="L53" s="195" t="str">
        <f>TOCmatch!B8</f>
        <v>Платежи</v>
      </c>
      <c r="M53" s="195"/>
      <c r="N53" s="202"/>
      <c r="O53" s="203"/>
    </row>
    <row r="54" spans="1:15" outlineLevel="1" x14ac:dyDescent="0.25">
      <c r="A54" s="183">
        <v>41542.775914351849</v>
      </c>
      <c r="B54" s="184" t="s">
        <v>181</v>
      </c>
      <c r="C54" s="185"/>
      <c r="D54" s="198"/>
      <c r="E54" s="223" t="s">
        <v>168</v>
      </c>
      <c r="F54" s="192" t="str">
        <f>F24</f>
        <v>LOAD_1C_DOG</v>
      </c>
      <c r="G54" s="195"/>
      <c r="H54" s="202"/>
      <c r="I54" s="202"/>
      <c r="J54" s="203"/>
      <c r="K54" s="192" t="str">
        <f>K51</f>
        <v>SFacc</v>
      </c>
      <c r="L54" s="195" t="str">
        <f>TOCmatch!B10</f>
        <v>Договоры</v>
      </c>
      <c r="M54" s="195"/>
      <c r="N54" s="202"/>
      <c r="O54" s="203"/>
    </row>
    <row r="55" spans="1:15" outlineLevel="1" x14ac:dyDescent="0.25">
      <c r="A55" s="183">
        <v>41542.776180555556</v>
      </c>
      <c r="B55" s="184" t="s">
        <v>181</v>
      </c>
      <c r="C55" s="185"/>
      <c r="D55" s="198"/>
      <c r="E55" s="223" t="s">
        <v>168</v>
      </c>
      <c r="F55" s="192" t="str">
        <f>F32</f>
        <v>LOAD_1C_ACC</v>
      </c>
      <c r="G55" s="195"/>
      <c r="H55" s="202"/>
      <c r="I55" s="202"/>
      <c r="J55" s="203"/>
      <c r="K55" s="192" t="str">
        <f>K51</f>
        <v>SFacc</v>
      </c>
      <c r="L55" s="195" t="str">
        <f>TOCmatch!B12</f>
        <v>Список клиентов 1C</v>
      </c>
      <c r="M55" s="195"/>
      <c r="N55" s="202"/>
      <c r="O55" s="203"/>
    </row>
    <row r="56" spans="1:15" s="180" customFormat="1" outlineLevel="1" x14ac:dyDescent="0.25">
      <c r="A56" s="196">
        <v>41507.01185185185</v>
      </c>
      <c r="B56" s="197" t="s">
        <v>32</v>
      </c>
      <c r="C56" s="318"/>
      <c r="D56" s="248"/>
      <c r="E56" s="199" t="s">
        <v>168</v>
      </c>
      <c r="F56" s="319"/>
      <c r="G56" s="190"/>
      <c r="H56" s="190"/>
      <c r="I56" s="190"/>
      <c r="J56" s="191"/>
      <c r="K56" s="192"/>
      <c r="L56" s="195"/>
      <c r="M56" s="190"/>
      <c r="N56" s="195"/>
      <c r="O56" s="191"/>
    </row>
    <row r="57" spans="1:15" s="323" customFormat="1" x14ac:dyDescent="0.25">
      <c r="A57" s="212"/>
      <c r="B57" s="857" t="s">
        <v>167</v>
      </c>
      <c r="C57" s="213"/>
      <c r="D57" s="214"/>
      <c r="E57" s="215"/>
      <c r="F57" s="928" t="s">
        <v>1258</v>
      </c>
      <c r="G57" s="214"/>
      <c r="H57" s="214"/>
      <c r="I57" s="214"/>
      <c r="J57" s="217"/>
      <c r="K57" s="218" t="str">
        <f>TOCmatch!B23</f>
        <v>SF_DicAccSyn</v>
      </c>
      <c r="L57" s="219"/>
      <c r="M57" s="214"/>
      <c r="N57" s="219"/>
      <c r="O57" s="217"/>
    </row>
    <row r="58" spans="1:15" outlineLevel="1" x14ac:dyDescent="0.25">
      <c r="A58" s="183">
        <v>41542.772175925929</v>
      </c>
      <c r="B58" s="854" t="s">
        <v>1252</v>
      </c>
      <c r="C58" s="941" t="s">
        <v>66</v>
      </c>
      <c r="D58" s="198"/>
      <c r="E58" s="223" t="s">
        <v>168</v>
      </c>
      <c r="F58" s="935" t="str">
        <f>TOCmatch!B43</f>
        <v>DicAccSynonims</v>
      </c>
      <c r="G58" s="195"/>
      <c r="H58" s="202"/>
      <c r="I58" s="202"/>
      <c r="J58" s="203"/>
      <c r="K58" s="192" t="str">
        <f>K57</f>
        <v>SF_DicAccSyn</v>
      </c>
      <c r="L58" s="195"/>
      <c r="M58" s="195"/>
      <c r="N58" s="32"/>
      <c r="O58" s="203"/>
    </row>
    <row r="59" spans="1:15" s="233" customFormat="1" ht="15.75" outlineLevel="1" thickBot="1" x14ac:dyDescent="0.3">
      <c r="A59" s="942">
        <v>41507.01185185185</v>
      </c>
      <c r="B59" s="943" t="s">
        <v>32</v>
      </c>
      <c r="C59" s="848"/>
      <c r="D59" s="226"/>
      <c r="E59" s="227" t="s">
        <v>168</v>
      </c>
      <c r="F59" s="228"/>
      <c r="G59" s="229"/>
      <c r="H59" s="229"/>
      <c r="I59" s="229"/>
      <c r="J59" s="230"/>
      <c r="K59" s="231"/>
      <c r="L59" s="232"/>
      <c r="M59" s="229"/>
      <c r="N59" s="232"/>
      <c r="O59" s="230"/>
    </row>
    <row r="60" spans="1:15" s="177" customFormat="1" ht="15.75" thickTop="1" x14ac:dyDescent="0.25">
      <c r="A60" s="175"/>
      <c r="B60" s="176" t="s">
        <v>167</v>
      </c>
      <c r="C60" s="175"/>
      <c r="E60" s="178"/>
      <c r="F60" s="179" t="s">
        <v>104</v>
      </c>
      <c r="G60" s="180"/>
      <c r="H60" s="180"/>
      <c r="I60" s="180"/>
      <c r="J60" s="181"/>
      <c r="K60" s="182" t="s">
        <v>99</v>
      </c>
      <c r="L60" s="180"/>
      <c r="M60" s="180"/>
      <c r="N60" s="180"/>
      <c r="O60" s="181"/>
    </row>
    <row r="61" spans="1:15" s="177" customFormat="1" outlineLevel="1" x14ac:dyDescent="0.25">
      <c r="A61" s="183">
        <v>41473.017916666664</v>
      </c>
      <c r="B61" s="184" t="s">
        <v>187</v>
      </c>
      <c r="C61" s="185" t="s">
        <v>66</v>
      </c>
      <c r="D61" s="186"/>
      <c r="E61" s="187" t="s">
        <v>168</v>
      </c>
      <c r="F61" s="254" t="s">
        <v>188</v>
      </c>
      <c r="G61" s="194"/>
      <c r="H61" s="190"/>
      <c r="I61" s="190"/>
      <c r="J61" s="191"/>
      <c r="K61" s="192" t="str">
        <f>K60</f>
        <v>Заказы</v>
      </c>
      <c r="L61" s="195"/>
      <c r="M61" s="190"/>
      <c r="N61" s="195"/>
      <c r="O61" s="191"/>
    </row>
    <row r="62" spans="1:15" s="177" customFormat="1" outlineLevel="1" x14ac:dyDescent="0.25">
      <c r="A62" s="183">
        <v>41473.017928240741</v>
      </c>
      <c r="B62" s="184" t="s">
        <v>84</v>
      </c>
      <c r="C62" s="200" t="str">
        <f>B61</f>
        <v>RowDel</v>
      </c>
      <c r="D62" s="186"/>
      <c r="E62" s="187" t="s">
        <v>168</v>
      </c>
      <c r="F62" s="192" t="s">
        <v>189</v>
      </c>
      <c r="G62" s="189"/>
      <c r="H62" s="190"/>
      <c r="I62" s="190"/>
      <c r="J62" s="191"/>
      <c r="K62" s="192" t="str">
        <f>K60</f>
        <v>Заказы</v>
      </c>
      <c r="L62" s="195"/>
      <c r="M62" s="190"/>
      <c r="N62" s="195"/>
      <c r="O62" s="191"/>
    </row>
    <row r="63" spans="1:15" s="177" customFormat="1" outlineLevel="1" x14ac:dyDescent="0.25">
      <c r="A63" s="245">
        <v>41506.983391203707</v>
      </c>
      <c r="B63" s="186" t="s">
        <v>100</v>
      </c>
      <c r="C63" s="255" t="str">
        <f>B62</f>
        <v>InsMyCol</v>
      </c>
      <c r="D63" s="186"/>
      <c r="E63" s="187" t="s">
        <v>172</v>
      </c>
      <c r="F63" s="179" t="s">
        <v>189</v>
      </c>
      <c r="G63" s="194"/>
      <c r="H63" s="194"/>
      <c r="I63" s="194"/>
      <c r="J63" s="256"/>
      <c r="K63" s="192" t="str">
        <f>K61</f>
        <v>Заказы</v>
      </c>
      <c r="L63" s="195" t="s">
        <v>31</v>
      </c>
      <c r="M63" s="190"/>
      <c r="N63" s="193" t="s">
        <v>79</v>
      </c>
      <c r="O63" s="191"/>
    </row>
    <row r="64" spans="1:15" s="211" customFormat="1" ht="15.75" outlineLevel="1" thickBot="1" x14ac:dyDescent="0.3">
      <c r="A64" s="249">
        <v>41506.983391203707</v>
      </c>
      <c r="B64" s="204" t="s">
        <v>32</v>
      </c>
      <c r="C64" s="250"/>
      <c r="D64" s="204"/>
      <c r="E64" s="205" t="s">
        <v>168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7" customFormat="1" ht="16.5" thickTop="1" thickBot="1" x14ac:dyDescent="0.3">
      <c r="A65" s="175"/>
      <c r="B65" s="176" t="s">
        <v>167</v>
      </c>
      <c r="C65" s="175"/>
      <c r="E65" s="257" t="s">
        <v>65</v>
      </c>
      <c r="F65" s="179" t="s">
        <v>88</v>
      </c>
      <c r="G65" s="180"/>
      <c r="H65" s="180"/>
      <c r="I65" s="180"/>
      <c r="J65" s="181"/>
      <c r="K65" s="182" t="s">
        <v>82</v>
      </c>
      <c r="L65" s="180"/>
      <c r="M65" s="180"/>
      <c r="N65" s="180"/>
      <c r="O65" s="181"/>
    </row>
    <row r="66" spans="1:16" s="177" customFormat="1" ht="15.75" outlineLevel="1" thickTop="1" x14ac:dyDescent="0.25">
      <c r="A66" s="245"/>
      <c r="B66" s="186" t="s">
        <v>187</v>
      </c>
      <c r="C66" s="246" t="s">
        <v>66</v>
      </c>
      <c r="D66" s="186"/>
      <c r="E66" s="187" t="s">
        <v>172</v>
      </c>
      <c r="F66" s="254" t="s">
        <v>190</v>
      </c>
      <c r="G66" s="194"/>
      <c r="H66" s="190"/>
      <c r="I66" s="190"/>
      <c r="J66" s="191"/>
      <c r="K66" s="258" t="str">
        <f>K65</f>
        <v>Склад</v>
      </c>
      <c r="L66" s="195"/>
      <c r="M66" s="190"/>
      <c r="N66" s="195"/>
      <c r="O66" s="191"/>
    </row>
    <row r="67" spans="1:16" s="177" customFormat="1" outlineLevel="1" x14ac:dyDescent="0.25">
      <c r="A67" s="245"/>
      <c r="B67" s="186" t="s">
        <v>84</v>
      </c>
      <c r="C67" s="255" t="str">
        <f>B66</f>
        <v>RowDel</v>
      </c>
      <c r="D67" s="186"/>
      <c r="E67" s="187" t="s">
        <v>172</v>
      </c>
      <c r="F67" s="192" t="s">
        <v>191</v>
      </c>
      <c r="G67" s="194"/>
      <c r="H67" s="190"/>
      <c r="I67" s="190"/>
      <c r="J67" s="191"/>
      <c r="K67" s="192" t="str">
        <f>K65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192</v>
      </c>
      <c r="C68" s="259"/>
      <c r="D68" s="186"/>
      <c r="E68" s="187" t="s">
        <v>172</v>
      </c>
      <c r="F68" s="254" t="s">
        <v>168</v>
      </c>
      <c r="G68" s="194" t="s">
        <v>193</v>
      </c>
      <c r="H68" s="190"/>
      <c r="I68" s="190"/>
      <c r="J68" s="191"/>
      <c r="K68" s="192"/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100</v>
      </c>
      <c r="C69" s="255" t="str">
        <f>B67</f>
        <v>InsMyCol</v>
      </c>
      <c r="D69" s="186"/>
      <c r="E69" s="187" t="s">
        <v>172</v>
      </c>
      <c r="F69" s="179" t="str">
        <f>F67</f>
        <v>Stock_MyCol</v>
      </c>
      <c r="G69" s="194"/>
      <c r="H69" s="190"/>
      <c r="I69" s="190"/>
      <c r="J69" s="191"/>
      <c r="K69" s="192" t="str">
        <f>K65</f>
        <v>Склад</v>
      </c>
      <c r="L69" s="195" t="str">
        <f>L162</f>
        <v>Платежи</v>
      </c>
      <c r="M69" s="190"/>
      <c r="N69" s="193" t="s">
        <v>57</v>
      </c>
      <c r="O69" s="191"/>
    </row>
    <row r="70" spans="1:16" s="211" customFormat="1" ht="15.75" outlineLevel="1" thickBot="1" x14ac:dyDescent="0.3">
      <c r="A70" s="249"/>
      <c r="B70" s="204" t="s">
        <v>32</v>
      </c>
      <c r="C70" s="250"/>
      <c r="D70" s="204"/>
      <c r="E70" s="205" t="s">
        <v>172</v>
      </c>
      <c r="F70" s="206"/>
      <c r="G70" s="207"/>
      <c r="H70" s="207"/>
      <c r="I70" s="207"/>
      <c r="J70" s="208"/>
      <c r="K70" s="209"/>
      <c r="L70" s="210"/>
      <c r="M70" s="207"/>
      <c r="N70" s="210"/>
      <c r="O70" s="208"/>
    </row>
    <row r="71" spans="1:16" s="177" customFormat="1" ht="16.5" thickTop="1" thickBot="1" x14ac:dyDescent="0.3">
      <c r="A71" s="234"/>
      <c r="B71" s="235" t="s">
        <v>167</v>
      </c>
      <c r="C71" s="236"/>
      <c r="D71" s="237"/>
      <c r="E71" s="257" t="s">
        <v>65</v>
      </c>
      <c r="F71" s="239" t="s">
        <v>194</v>
      </c>
      <c r="G71" s="237"/>
      <c r="H71" s="237"/>
      <c r="I71" s="237"/>
      <c r="J71" s="240"/>
      <c r="K71" s="260" t="s">
        <v>31</v>
      </c>
      <c r="L71" s="242"/>
      <c r="M71" s="237"/>
      <c r="N71" s="242"/>
      <c r="O71" s="240"/>
      <c r="P71" s="868"/>
    </row>
    <row r="72" spans="1:16" ht="15.75" thickTop="1" x14ac:dyDescent="0.25">
      <c r="A72" s="245">
        <v>41543.027812499997</v>
      </c>
      <c r="B72" s="186" t="s">
        <v>181</v>
      </c>
      <c r="C72" s="246"/>
      <c r="D72" s="198"/>
      <c r="E72" s="187" t="s">
        <v>172</v>
      </c>
      <c r="F72" s="192" t="str">
        <f>F15</f>
        <v>LOAD_1C_P</v>
      </c>
      <c r="G72" s="195"/>
      <c r="H72" s="202"/>
      <c r="I72" s="202"/>
      <c r="J72" s="203"/>
      <c r="K72" s="192" t="str">
        <f>K71</f>
        <v>Платежи</v>
      </c>
      <c r="L72" s="193" t="str">
        <f>TOCmatch!B14</f>
        <v>SF</v>
      </c>
      <c r="O72" s="203"/>
      <c r="P72" s="869"/>
    </row>
    <row r="73" spans="1:16" x14ac:dyDescent="0.25">
      <c r="A73" s="183">
        <v>41543.030671296299</v>
      </c>
      <c r="B73" s="846" t="s">
        <v>1214</v>
      </c>
      <c r="C73" s="200"/>
      <c r="D73" s="198"/>
      <c r="E73" s="187" t="s">
        <v>168</v>
      </c>
      <c r="F73" s="192"/>
      <c r="G73" s="195"/>
      <c r="H73" s="202"/>
      <c r="I73" s="202"/>
      <c r="J73" s="243"/>
      <c r="K73" s="244" t="s">
        <v>31</v>
      </c>
      <c r="L73" s="193" t="str">
        <f>TOCmatch!B15</f>
        <v>SFD</v>
      </c>
      <c r="M73" s="193" t="str">
        <f>TOCmatch!B16</f>
        <v>SFopp</v>
      </c>
      <c r="N73" s="202" t="str">
        <f>TOCmatch!B10</f>
        <v>Договоры</v>
      </c>
      <c r="O73" s="243"/>
      <c r="P73" s="873"/>
    </row>
    <row r="74" spans="1:16" s="177" customFormat="1" x14ac:dyDescent="0.25">
      <c r="A74" s="183">
        <v>41543.030671296299</v>
      </c>
      <c r="B74" s="197" t="s">
        <v>135</v>
      </c>
      <c r="C74" s="277" t="str">
        <f>B73</f>
        <v>Paid1C</v>
      </c>
      <c r="D74" s="186"/>
      <c r="E74" s="187" t="s">
        <v>168</v>
      </c>
      <c r="F74" s="275" t="str">
        <f>TOCmatch!B46</f>
        <v>NewContract</v>
      </c>
      <c r="G74" s="195" t="s">
        <v>202</v>
      </c>
      <c r="H74" s="202" t="s">
        <v>210</v>
      </c>
      <c r="I74" s="202" t="s">
        <v>211</v>
      </c>
      <c r="J74" s="191"/>
      <c r="K74" s="267" t="str">
        <f>F74</f>
        <v>NewContract</v>
      </c>
      <c r="M74" s="190"/>
      <c r="N74" s="195"/>
      <c r="O74" s="191"/>
      <c r="P74" s="869"/>
    </row>
    <row r="75" spans="1:16" x14ac:dyDescent="0.25">
      <c r="A75" s="183">
        <v>41543.030682870369</v>
      </c>
      <c r="B75" s="197" t="s">
        <v>135</v>
      </c>
      <c r="C75" s="200" t="str">
        <f>B73</f>
        <v>Paid1C</v>
      </c>
      <c r="D75" s="198"/>
      <c r="E75" s="223" t="s">
        <v>168</v>
      </c>
      <c r="F75" s="275" t="str">
        <f>TOCmatch!B45</f>
        <v>NewPayment</v>
      </c>
      <c r="G75" s="195" t="s">
        <v>202</v>
      </c>
      <c r="H75" s="202" t="s">
        <v>203</v>
      </c>
      <c r="I75" s="202" t="s">
        <v>204</v>
      </c>
      <c r="J75" s="191"/>
      <c r="K75" s="267" t="str">
        <f>F75</f>
        <v>NewPayment</v>
      </c>
      <c r="L75" s="202"/>
      <c r="M75" s="202"/>
      <c r="N75" s="202"/>
      <c r="O75" s="243"/>
      <c r="P75" s="869"/>
    </row>
    <row r="76" spans="1:16" x14ac:dyDescent="0.25">
      <c r="A76" s="183">
        <v>41543.030694444446</v>
      </c>
      <c r="B76" s="197" t="s">
        <v>135</v>
      </c>
      <c r="C76" s="200" t="str">
        <f>B73</f>
        <v>Paid1C</v>
      </c>
      <c r="D76" s="198"/>
      <c r="E76" s="223" t="s">
        <v>168</v>
      </c>
      <c r="F76" s="275" t="str">
        <f>TOCmatch!B47</f>
        <v>NewOpp</v>
      </c>
      <c r="G76" s="195" t="s">
        <v>202</v>
      </c>
      <c r="H76" s="895" t="s">
        <v>217</v>
      </c>
      <c r="I76" s="895" t="s">
        <v>218</v>
      </c>
      <c r="J76" s="191"/>
      <c r="K76" s="267" t="str">
        <f>F76</f>
        <v>NewOpp</v>
      </c>
      <c r="L76" s="202"/>
      <c r="M76" s="202"/>
      <c r="N76" s="202"/>
      <c r="O76" s="243"/>
      <c r="P76" s="869"/>
    </row>
    <row r="77" spans="1:16" x14ac:dyDescent="0.25">
      <c r="A77" s="183">
        <v>41543.030694444446</v>
      </c>
      <c r="B77" s="197" t="s">
        <v>135</v>
      </c>
      <c r="C77" s="200" t="str">
        <f>B73</f>
        <v>Paid1C</v>
      </c>
      <c r="D77" s="198"/>
      <c r="E77" s="223" t="s">
        <v>168</v>
      </c>
      <c r="F77" s="275" t="str">
        <f>TOCmatch!B50</f>
        <v>ContractUpdate</v>
      </c>
      <c r="G77" s="195" t="s">
        <v>202</v>
      </c>
      <c r="H77" s="895" t="s">
        <v>1241</v>
      </c>
      <c r="I77" s="895" t="s">
        <v>1242</v>
      </c>
      <c r="J77" s="191"/>
      <c r="K77" s="267" t="str">
        <f>F77</f>
        <v>ContractUpdate</v>
      </c>
      <c r="L77" s="202"/>
      <c r="M77" s="202"/>
      <c r="N77" s="202"/>
      <c r="O77" s="243"/>
      <c r="P77" s="869"/>
    </row>
    <row r="78" spans="1:16" s="211" customFormat="1" ht="15.75" thickBot="1" x14ac:dyDescent="0.3">
      <c r="A78" s="249"/>
      <c r="B78" s="204" t="s">
        <v>32</v>
      </c>
      <c r="C78" s="250">
        <v>1</v>
      </c>
      <c r="D78" s="204"/>
      <c r="E78" s="205" t="s">
        <v>172</v>
      </c>
      <c r="F78" s="206"/>
      <c r="G78" s="207"/>
      <c r="H78" s="207"/>
      <c r="I78" s="207"/>
      <c r="J78" s="208"/>
      <c r="K78" s="209"/>
      <c r="L78" s="210"/>
      <c r="M78" s="207"/>
      <c r="N78" s="210"/>
      <c r="O78" s="208"/>
      <c r="P78" s="870"/>
    </row>
    <row r="79" spans="1:16" s="177" customFormat="1" ht="16.5" thickTop="1" thickBot="1" x14ac:dyDescent="0.3">
      <c r="A79" s="245"/>
      <c r="B79" s="186" t="s">
        <v>167</v>
      </c>
      <c r="C79" s="263"/>
      <c r="D79" s="264"/>
      <c r="E79" s="257" t="s">
        <v>65</v>
      </c>
      <c r="F79" s="944" t="s">
        <v>1257</v>
      </c>
      <c r="G79" s="190"/>
      <c r="H79" s="190"/>
      <c r="I79" s="190"/>
      <c r="J79" s="191"/>
      <c r="K79" s="182" t="s">
        <v>31</v>
      </c>
      <c r="L79" s="195"/>
      <c r="M79" s="190"/>
      <c r="N79" s="195"/>
      <c r="O79" s="191"/>
    </row>
    <row r="80" spans="1:16" s="177" customFormat="1" ht="15.75" thickTop="1" x14ac:dyDescent="0.25">
      <c r="A80" s="245"/>
      <c r="B80" s="186" t="s">
        <v>192</v>
      </c>
      <c r="C80" s="259"/>
      <c r="D80" s="186"/>
      <c r="E80" s="187" t="s">
        <v>172</v>
      </c>
      <c r="F80" s="254" t="s">
        <v>168</v>
      </c>
      <c r="G80" s="194"/>
      <c r="H80" s="190"/>
      <c r="I80" s="190"/>
      <c r="J80" s="191"/>
      <c r="K80" s="192"/>
      <c r="L80" s="195"/>
      <c r="M80" s="190"/>
      <c r="N80" s="195"/>
      <c r="O80" s="191"/>
    </row>
    <row r="81" spans="1:16" s="177" customFormat="1" x14ac:dyDescent="0.25">
      <c r="A81" s="245"/>
      <c r="B81" s="186" t="s">
        <v>200</v>
      </c>
      <c r="C81" s="263"/>
      <c r="D81" s="264"/>
      <c r="E81" s="187" t="s">
        <v>172</v>
      </c>
      <c r="F81" s="267" t="s">
        <v>134</v>
      </c>
      <c r="G81" s="190"/>
      <c r="H81" s="190"/>
      <c r="I81" s="190"/>
      <c r="J81" s="191"/>
      <c r="K81" s="267" t="str">
        <f>F81</f>
        <v>NewPayment</v>
      </c>
      <c r="L81" s="195"/>
      <c r="M81" s="190"/>
      <c r="N81" s="195"/>
      <c r="O81" s="191"/>
    </row>
    <row r="82" spans="1:16" s="177" customFormat="1" x14ac:dyDescent="0.25">
      <c r="A82" s="245"/>
      <c r="B82" s="186" t="s">
        <v>201</v>
      </c>
      <c r="C82" s="268" t="str">
        <f>B81</f>
        <v>NewSheet</v>
      </c>
      <c r="D82" s="186"/>
      <c r="E82" s="187" t="s">
        <v>172</v>
      </c>
      <c r="F82" s="254"/>
      <c r="G82" s="194"/>
      <c r="H82" s="190"/>
      <c r="I82" s="190"/>
      <c r="J82" s="191"/>
      <c r="K82" s="192" t="str">
        <f>K79</f>
        <v>Платежи</v>
      </c>
      <c r="L82" s="193" t="s">
        <v>64</v>
      </c>
      <c r="M82" s="190"/>
      <c r="N82" s="195"/>
      <c r="O82" s="191"/>
    </row>
    <row r="83" spans="1:16" s="177" customFormat="1" x14ac:dyDescent="0.25">
      <c r="A83" s="245"/>
      <c r="B83" s="248" t="s">
        <v>135</v>
      </c>
      <c r="C83" s="268" t="str">
        <f>B82</f>
        <v>NewPaidOpp</v>
      </c>
      <c r="D83" s="186"/>
      <c r="E83" s="187" t="s">
        <v>172</v>
      </c>
      <c r="F83" s="267" t="s">
        <v>134</v>
      </c>
      <c r="G83" s="195" t="s">
        <v>202</v>
      </c>
      <c r="H83" s="202" t="s">
        <v>203</v>
      </c>
      <c r="I83" s="202" t="s">
        <v>204</v>
      </c>
      <c r="J83" s="191"/>
      <c r="K83" s="192"/>
      <c r="L83" s="195"/>
      <c r="M83" s="190"/>
      <c r="N83" s="195"/>
      <c r="O83" s="191"/>
    </row>
    <row r="84" spans="1:16" s="211" customFormat="1" ht="15.75" thickBot="1" x14ac:dyDescent="0.3">
      <c r="A84" s="249"/>
      <c r="B84" s="204" t="s">
        <v>32</v>
      </c>
      <c r="C84" s="250">
        <v>224</v>
      </c>
      <c r="D84" s="204"/>
      <c r="E84" s="205" t="s">
        <v>172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</row>
    <row r="85" spans="1:16" s="177" customFormat="1" ht="16.5" thickTop="1" thickBot="1" x14ac:dyDescent="0.3">
      <c r="A85" s="245"/>
      <c r="B85" s="186" t="s">
        <v>167</v>
      </c>
      <c r="C85" s="263"/>
      <c r="D85" s="264"/>
      <c r="E85" s="257" t="s">
        <v>65</v>
      </c>
      <c r="F85" s="265" t="s">
        <v>199</v>
      </c>
      <c r="G85" s="190"/>
      <c r="H85" s="190"/>
      <c r="I85" s="190"/>
      <c r="J85" s="191"/>
      <c r="K85" s="182" t="s">
        <v>31</v>
      </c>
      <c r="L85" s="195"/>
      <c r="M85" s="190"/>
      <c r="N85" s="195"/>
      <c r="O85" s="191"/>
    </row>
    <row r="86" spans="1:16" s="177" customFormat="1" ht="15.75" thickTop="1" x14ac:dyDescent="0.25">
      <c r="A86" s="245"/>
      <c r="B86" s="186" t="s">
        <v>192</v>
      </c>
      <c r="C86" s="259"/>
      <c r="D86" s="186"/>
      <c r="E86" s="187" t="s">
        <v>172</v>
      </c>
      <c r="F86" s="254" t="s">
        <v>168</v>
      </c>
      <c r="G86" s="194"/>
      <c r="H86" s="190"/>
      <c r="I86" s="190"/>
      <c r="J86" s="191"/>
      <c r="K86" s="192"/>
      <c r="L86" s="195"/>
      <c r="M86" s="190"/>
      <c r="N86" s="195"/>
      <c r="O86" s="191"/>
    </row>
    <row r="87" spans="1:16" s="177" customFormat="1" x14ac:dyDescent="0.25">
      <c r="A87" s="245"/>
      <c r="B87" s="186" t="s">
        <v>200</v>
      </c>
      <c r="C87" s="263"/>
      <c r="D87" s="264"/>
      <c r="E87" s="187" t="s">
        <v>172</v>
      </c>
      <c r="F87" s="267" t="s">
        <v>134</v>
      </c>
      <c r="G87" s="190"/>
      <c r="H87" s="190"/>
      <c r="I87" s="190"/>
      <c r="J87" s="191"/>
      <c r="K87" s="267" t="str">
        <f>F87</f>
        <v>NewPayment</v>
      </c>
      <c r="L87" s="195"/>
      <c r="M87" s="190"/>
      <c r="N87" s="195"/>
      <c r="O87" s="191"/>
    </row>
    <row r="88" spans="1:16" s="177" customFormat="1" x14ac:dyDescent="0.25">
      <c r="A88" s="245"/>
      <c r="B88" s="186" t="s">
        <v>201</v>
      </c>
      <c r="C88" s="268" t="str">
        <f>B87</f>
        <v>NewSheet</v>
      </c>
      <c r="D88" s="186"/>
      <c r="E88" s="187" t="s">
        <v>172</v>
      </c>
      <c r="F88" s="254"/>
      <c r="G88" s="194"/>
      <c r="H88" s="190"/>
      <c r="I88" s="190"/>
      <c r="J88" s="191"/>
      <c r="K88" s="192" t="str">
        <f>K85</f>
        <v>Платежи</v>
      </c>
      <c r="L88" s="193" t="s">
        <v>64</v>
      </c>
      <c r="M88" s="190"/>
      <c r="N88" s="195"/>
      <c r="O88" s="191"/>
    </row>
    <row r="89" spans="1:16" s="177" customFormat="1" x14ac:dyDescent="0.25">
      <c r="A89" s="245"/>
      <c r="B89" s="248" t="s">
        <v>135</v>
      </c>
      <c r="C89" s="268" t="str">
        <f>B88</f>
        <v>NewPaidOpp</v>
      </c>
      <c r="D89" s="186"/>
      <c r="E89" s="187" t="s">
        <v>172</v>
      </c>
      <c r="F89" s="267" t="s">
        <v>134</v>
      </c>
      <c r="G89" s="195" t="s">
        <v>202</v>
      </c>
      <c r="H89" s="202" t="s">
        <v>203</v>
      </c>
      <c r="I89" s="202" t="s">
        <v>204</v>
      </c>
      <c r="J89" s="191"/>
      <c r="K89" s="192"/>
      <c r="L89" s="195"/>
      <c r="M89" s="190"/>
      <c r="N89" s="195"/>
      <c r="O89" s="191"/>
    </row>
    <row r="90" spans="1:16" s="211" customFormat="1" ht="15.75" thickBot="1" x14ac:dyDescent="0.3">
      <c r="A90" s="249"/>
      <c r="B90" s="204" t="s">
        <v>32</v>
      </c>
      <c r="C90" s="250">
        <v>224</v>
      </c>
      <c r="D90" s="204"/>
      <c r="E90" s="205" t="s">
        <v>172</v>
      </c>
      <c r="F90" s="206"/>
      <c r="G90" s="207"/>
      <c r="H90" s="207"/>
      <c r="I90" s="207"/>
      <c r="J90" s="208"/>
      <c r="K90" s="209"/>
      <c r="L90" s="210"/>
      <c r="M90" s="207"/>
      <c r="N90" s="210"/>
      <c r="O90" s="208"/>
    </row>
    <row r="91" spans="1:16" s="177" customFormat="1" ht="16.5" thickTop="1" thickBot="1" x14ac:dyDescent="0.3">
      <c r="A91" s="245"/>
      <c r="B91" s="186" t="s">
        <v>167</v>
      </c>
      <c r="C91" s="263"/>
      <c r="D91" s="264"/>
      <c r="E91" s="257" t="s">
        <v>65</v>
      </c>
      <c r="F91" s="265" t="s">
        <v>205</v>
      </c>
      <c r="G91" s="190"/>
      <c r="H91" s="190"/>
      <c r="I91" s="190"/>
      <c r="J91" s="191"/>
      <c r="K91" s="182" t="s">
        <v>31</v>
      </c>
      <c r="L91" s="195"/>
      <c r="M91" s="190"/>
      <c r="N91" s="195"/>
      <c r="O91" s="191"/>
      <c r="P91" s="269"/>
    </row>
    <row r="92" spans="1:16" s="177" customFormat="1" ht="15.75" thickTop="1" x14ac:dyDescent="0.25">
      <c r="A92" s="245">
        <v>41506.038622685184</v>
      </c>
      <c r="B92" s="186" t="s">
        <v>100</v>
      </c>
      <c r="C92" s="270" t="str">
        <f>F15&amp;"/"&amp;B19</f>
        <v>LOAD_1C_P/PaymentPaint</v>
      </c>
      <c r="D92" s="186"/>
      <c r="E92" s="187" t="s">
        <v>172</v>
      </c>
      <c r="F92" s="862" t="s">
        <v>206</v>
      </c>
      <c r="G92" s="271" t="str">
        <f>K92</f>
        <v>Платежи</v>
      </c>
      <c r="H92" s="272" t="str">
        <f>F93</f>
        <v>NewPayment</v>
      </c>
      <c r="I92" s="190"/>
      <c r="J92" s="191"/>
      <c r="K92" s="192" t="str">
        <f>K91</f>
        <v>Платежи</v>
      </c>
      <c r="L92" s="193" t="s">
        <v>64</v>
      </c>
      <c r="N92" s="195"/>
      <c r="O92" s="191"/>
      <c r="P92" s="269"/>
    </row>
    <row r="93" spans="1:16" s="177" customFormat="1" x14ac:dyDescent="0.25">
      <c r="A93" s="245">
        <v>41506.038622685184</v>
      </c>
      <c r="B93" s="248" t="s">
        <v>135</v>
      </c>
      <c r="C93" s="268" t="str">
        <f>B92</f>
        <v>Adapt</v>
      </c>
      <c r="D93" s="186"/>
      <c r="E93" s="187" t="s">
        <v>172</v>
      </c>
      <c r="F93" s="267" t="s">
        <v>134</v>
      </c>
      <c r="G93" s="195" t="s">
        <v>202</v>
      </c>
      <c r="H93" s="202" t="s">
        <v>203</v>
      </c>
      <c r="I93" s="202" t="s">
        <v>204</v>
      </c>
      <c r="J93" s="191"/>
      <c r="K93" s="267" t="str">
        <f>F93</f>
        <v>NewPayment</v>
      </c>
      <c r="M93" s="190"/>
      <c r="N93" s="195"/>
      <c r="O93" s="191"/>
      <c r="P93" s="269"/>
    </row>
    <row r="94" spans="1:16" s="211" customFormat="1" ht="15.75" thickBot="1" x14ac:dyDescent="0.3">
      <c r="A94" s="249">
        <v>41506.038634259261</v>
      </c>
      <c r="B94" s="204" t="s">
        <v>32</v>
      </c>
      <c r="C94" s="273">
        <v>67</v>
      </c>
      <c r="D94" s="204"/>
      <c r="E94" s="199" t="s">
        <v>168</v>
      </c>
      <c r="F94" s="206"/>
      <c r="G94" s="207"/>
      <c r="H94" s="207"/>
      <c r="I94" s="207"/>
      <c r="J94" s="208"/>
      <c r="K94" s="209"/>
      <c r="L94" s="210"/>
      <c r="M94" s="207"/>
      <c r="N94" s="210"/>
      <c r="O94" s="208"/>
      <c r="P94" s="274"/>
    </row>
    <row r="95" spans="1:16" s="177" customFormat="1" ht="16.5" thickTop="1" thickBot="1" x14ac:dyDescent="0.3">
      <c r="A95" s="245"/>
      <c r="B95" s="186" t="s">
        <v>167</v>
      </c>
      <c r="C95" s="263"/>
      <c r="D95" s="264"/>
      <c r="E95" s="257" t="s">
        <v>65</v>
      </c>
      <c r="F95" s="265" t="s">
        <v>207</v>
      </c>
      <c r="G95" s="190"/>
      <c r="H95" s="190"/>
      <c r="I95" s="190"/>
      <c r="J95" s="191"/>
      <c r="K95" s="182" t="s">
        <v>31</v>
      </c>
      <c r="L95" s="195"/>
      <c r="M95" s="190"/>
      <c r="N95" s="195"/>
      <c r="O95" s="191"/>
    </row>
    <row r="96" spans="1:16" s="177" customFormat="1" ht="15.75" thickTop="1" x14ac:dyDescent="0.25">
      <c r="A96" s="245">
        <v>41522.105624999997</v>
      </c>
      <c r="B96" s="875" t="s">
        <v>208</v>
      </c>
      <c r="C96" s="270" t="str">
        <f>F15&amp;"/"&amp;B19</f>
        <v>LOAD_1C_P/PaymentPaint</v>
      </c>
      <c r="D96" s="186"/>
      <c r="E96" s="187" t="s">
        <v>172</v>
      </c>
      <c r="F96" s="267" t="s">
        <v>134</v>
      </c>
      <c r="G96" s="194"/>
      <c r="H96" s="190"/>
      <c r="I96" s="190"/>
      <c r="J96" s="191"/>
      <c r="K96" s="192" t="str">
        <f>K95</f>
        <v>Платежи</v>
      </c>
      <c r="L96" s="193" t="s">
        <v>62</v>
      </c>
      <c r="M96" s="193" t="s">
        <v>64</v>
      </c>
      <c r="N96" s="195"/>
      <c r="O96" s="191"/>
    </row>
    <row r="97" spans="1:16" s="177" customFormat="1" x14ac:dyDescent="0.25">
      <c r="A97" s="245">
        <v>41522.105636574073</v>
      </c>
      <c r="B97" s="248" t="s">
        <v>135</v>
      </c>
      <c r="C97" s="268" t="str">
        <f>B96</f>
        <v>PaidContr</v>
      </c>
      <c r="D97" s="186"/>
      <c r="E97" s="187" t="s">
        <v>172</v>
      </c>
      <c r="F97" s="275" t="str">
        <f>F96</f>
        <v>NewPayment</v>
      </c>
      <c r="G97" s="195" t="s">
        <v>202</v>
      </c>
      <c r="H97" s="202" t="s">
        <v>203</v>
      </c>
      <c r="I97" s="202" t="s">
        <v>204</v>
      </c>
      <c r="J97" s="191"/>
      <c r="K97" s="267" t="str">
        <f>F97</f>
        <v>NewPayment</v>
      </c>
      <c r="M97" s="190"/>
      <c r="N97" s="195"/>
      <c r="O97" s="191"/>
    </row>
    <row r="98" spans="1:16" s="211" customFormat="1" ht="15.75" thickBot="1" x14ac:dyDescent="0.3">
      <c r="A98" s="249"/>
      <c r="B98" s="204" t="s">
        <v>32</v>
      </c>
      <c r="C98" s="273">
        <v>0</v>
      </c>
      <c r="D98" s="204"/>
      <c r="E98" s="199" t="s">
        <v>172</v>
      </c>
      <c r="F98" s="206"/>
      <c r="G98" s="207"/>
      <c r="H98" s="207"/>
      <c r="I98" s="207"/>
      <c r="J98" s="208"/>
      <c r="K98" s="209"/>
      <c r="L98" s="210"/>
      <c r="M98" s="207"/>
      <c r="N98" s="210"/>
      <c r="O98" s="208"/>
    </row>
    <row r="99" spans="1:16" s="177" customFormat="1" ht="16.5" thickTop="1" thickBot="1" x14ac:dyDescent="0.3">
      <c r="A99" s="245"/>
      <c r="B99" s="186" t="s">
        <v>167</v>
      </c>
      <c r="C99" s="263"/>
      <c r="D99" s="264"/>
      <c r="E99" s="257" t="s">
        <v>65</v>
      </c>
      <c r="F99" s="276" t="s">
        <v>209</v>
      </c>
      <c r="G99" s="190"/>
      <c r="H99" s="190"/>
      <c r="I99" s="190"/>
      <c r="J99" s="191"/>
      <c r="K99" s="182" t="str">
        <f>K24</f>
        <v>Договоры</v>
      </c>
      <c r="L99" s="195"/>
      <c r="M99" s="190"/>
      <c r="N99" s="195"/>
      <c r="O99" s="191"/>
    </row>
    <row r="100" spans="1:16" s="177" customFormat="1" ht="15.75" thickTop="1" x14ac:dyDescent="0.25">
      <c r="A100" s="245">
        <v>41538.042337962965</v>
      </c>
      <c r="B100" s="186" t="s">
        <v>42</v>
      </c>
      <c r="C100" s="270" t="str">
        <f>F24&amp;"/"&amp;B25</f>
        <v>LOAD_1C_DOG/InsMyCol</v>
      </c>
      <c r="D100" s="186"/>
      <c r="E100" s="187" t="s">
        <v>172</v>
      </c>
      <c r="F100" s="267" t="s">
        <v>137</v>
      </c>
      <c r="G100" s="194"/>
      <c r="H100" s="190"/>
      <c r="I100" s="190"/>
      <c r="J100" s="191"/>
      <c r="K100" s="192" t="str">
        <f>K99</f>
        <v>Договоры</v>
      </c>
      <c r="L100" s="193" t="s">
        <v>62</v>
      </c>
      <c r="M100" s="193" t="s">
        <v>68</v>
      </c>
      <c r="N100" s="195"/>
      <c r="O100" s="191"/>
    </row>
    <row r="101" spans="1:16" s="177" customFormat="1" x14ac:dyDescent="0.25">
      <c r="A101" s="245">
        <v>41538.042349537034</v>
      </c>
      <c r="B101" s="248" t="s">
        <v>135</v>
      </c>
      <c r="C101" s="268" t="str">
        <f>B100</f>
        <v>NewContr</v>
      </c>
      <c r="D101" s="186"/>
      <c r="E101" s="187" t="s">
        <v>172</v>
      </c>
      <c r="F101" s="275" t="str">
        <f>F100</f>
        <v>NewContract</v>
      </c>
      <c r="G101" s="195" t="s">
        <v>202</v>
      </c>
      <c r="H101" s="202" t="s">
        <v>210</v>
      </c>
      <c r="I101" s="202" t="s">
        <v>211</v>
      </c>
      <c r="J101" s="191"/>
      <c r="K101" s="267" t="str">
        <f>F101</f>
        <v>NewContract</v>
      </c>
      <c r="M101" s="190"/>
      <c r="N101" s="195"/>
      <c r="O101" s="191"/>
    </row>
    <row r="102" spans="1:16" s="211" customFormat="1" ht="15.75" thickBot="1" x14ac:dyDescent="0.3">
      <c r="A102" s="249"/>
      <c r="B102" s="204" t="s">
        <v>32</v>
      </c>
      <c r="C102" s="273">
        <v>41</v>
      </c>
      <c r="D102" s="204"/>
      <c r="E102" s="205" t="s">
        <v>172</v>
      </c>
      <c r="F102" s="206"/>
      <c r="G102" s="207"/>
      <c r="H102" s="207"/>
      <c r="I102" s="207"/>
      <c r="J102" s="208"/>
      <c r="K102" s="209"/>
      <c r="L102" s="210"/>
      <c r="M102" s="207"/>
      <c r="N102" s="210"/>
      <c r="O102" s="208"/>
    </row>
    <row r="103" spans="1:16" s="177" customFormat="1" ht="16.5" thickTop="1" thickBot="1" x14ac:dyDescent="0.3">
      <c r="A103" s="245"/>
      <c r="B103" s="186" t="s">
        <v>167</v>
      </c>
      <c r="C103" s="263"/>
      <c r="D103" s="264"/>
      <c r="E103" s="257" t="s">
        <v>65</v>
      </c>
      <c r="F103" s="276" t="s">
        <v>212</v>
      </c>
      <c r="G103" s="190"/>
      <c r="H103" s="190"/>
      <c r="I103" s="190"/>
      <c r="J103" s="191"/>
      <c r="K103" s="182" t="s">
        <v>99</v>
      </c>
      <c r="L103" s="195"/>
      <c r="M103" s="190"/>
      <c r="N103" s="195"/>
      <c r="O103" s="191"/>
      <c r="P103" s="278"/>
    </row>
    <row r="104" spans="1:16" s="177" customFormat="1" ht="15.75" thickTop="1" x14ac:dyDescent="0.25">
      <c r="A104" s="245">
        <v>41430.738321759258</v>
      </c>
      <c r="B104" s="186" t="s">
        <v>142</v>
      </c>
      <c r="C104" s="270" t="str">
        <f>F60&amp;"/"&amp;B63</f>
        <v>LOAD_Order/Adapt</v>
      </c>
      <c r="D104" s="186"/>
      <c r="E104" s="187" t="s">
        <v>172</v>
      </c>
      <c r="F104" s="267" t="s">
        <v>142</v>
      </c>
      <c r="G104" s="194"/>
      <c r="H104" s="190"/>
      <c r="I104" s="190"/>
      <c r="J104" s="191"/>
      <c r="K104" s="192" t="str">
        <f>K103</f>
        <v>Заказы</v>
      </c>
      <c r="L104" s="24" t="s">
        <v>31</v>
      </c>
      <c r="M104" s="193" t="s">
        <v>79</v>
      </c>
      <c r="N104" s="193" t="s">
        <v>57</v>
      </c>
      <c r="O104" s="191"/>
      <c r="P104" s="278"/>
    </row>
    <row r="105" spans="1:16" s="177" customFormat="1" x14ac:dyDescent="0.25">
      <c r="A105" s="245">
        <v>41430.738321759258</v>
      </c>
      <c r="B105" s="248" t="s">
        <v>135</v>
      </c>
      <c r="C105" s="268" t="str">
        <f>B104</f>
        <v>NewOrder</v>
      </c>
      <c r="D105" s="186"/>
      <c r="E105" s="187" t="s">
        <v>172</v>
      </c>
      <c r="F105" s="275" t="str">
        <f>F104</f>
        <v>NewOrder</v>
      </c>
      <c r="G105" s="195" t="s">
        <v>202</v>
      </c>
      <c r="H105" s="202" t="s">
        <v>213</v>
      </c>
      <c r="I105" s="202" t="s">
        <v>214</v>
      </c>
      <c r="J105" s="191"/>
      <c r="K105" s="267" t="str">
        <f>F105</f>
        <v>NewOrder</v>
      </c>
      <c r="M105" s="190"/>
      <c r="N105" s="195"/>
      <c r="O105" s="191"/>
      <c r="P105" s="278"/>
    </row>
    <row r="106" spans="1:16" s="211" customFormat="1" ht="15.75" thickBot="1" x14ac:dyDescent="0.3">
      <c r="A106" s="249"/>
      <c r="B106" s="204" t="s">
        <v>32</v>
      </c>
      <c r="C106" s="273">
        <v>0</v>
      </c>
      <c r="D106" s="204"/>
      <c r="E106" s="205" t="s">
        <v>172</v>
      </c>
      <c r="F106" s="206"/>
      <c r="G106" s="207"/>
      <c r="H106" s="207"/>
      <c r="I106" s="207"/>
      <c r="J106" s="208"/>
      <c r="K106" s="209"/>
      <c r="L106" s="210"/>
      <c r="M106" s="207"/>
      <c r="N106" s="210"/>
      <c r="O106" s="208"/>
      <c r="P106" s="279"/>
    </row>
    <row r="107" spans="1:16" s="177" customFormat="1" ht="16.5" thickTop="1" thickBot="1" x14ac:dyDescent="0.3">
      <c r="A107" s="245"/>
      <c r="B107" s="186" t="s">
        <v>167</v>
      </c>
      <c r="C107" s="263"/>
      <c r="D107" s="264"/>
      <c r="E107" s="257" t="s">
        <v>65</v>
      </c>
      <c r="F107" s="276" t="s">
        <v>215</v>
      </c>
      <c r="G107" s="190"/>
      <c r="H107" s="190"/>
      <c r="I107" s="190"/>
      <c r="J107" s="191"/>
      <c r="K107" s="182" t="s">
        <v>31</v>
      </c>
      <c r="L107" s="195"/>
      <c r="M107" s="190"/>
      <c r="N107" s="195"/>
      <c r="O107" s="191"/>
      <c r="P107" s="280"/>
    </row>
    <row r="108" spans="1:16" s="177" customFormat="1" ht="30.75" thickTop="1" x14ac:dyDescent="0.25">
      <c r="A108" s="245">
        <v>41344.979027777779</v>
      </c>
      <c r="B108" s="186" t="s">
        <v>100</v>
      </c>
      <c r="C108" s="281" t="str">
        <f>F99&amp;"/"&amp;B101</f>
        <v>HANDL_NewContract/WrCSV</v>
      </c>
      <c r="D108" s="186"/>
      <c r="E108" s="187" t="s">
        <v>172</v>
      </c>
      <c r="F108" s="282" t="s">
        <v>216</v>
      </c>
      <c r="G108" s="268" t="s">
        <v>31</v>
      </c>
      <c r="H108" s="283" t="str">
        <f>F109</f>
        <v>NewOpp</v>
      </c>
      <c r="I108" s="190"/>
      <c r="J108" s="191"/>
      <c r="K108" s="267" t="s">
        <v>139</v>
      </c>
      <c r="L108" s="195" t="s">
        <v>31</v>
      </c>
      <c r="M108" s="193" t="s">
        <v>62</v>
      </c>
      <c r="N108" s="193" t="s">
        <v>64</v>
      </c>
      <c r="O108" s="191"/>
      <c r="P108" s="280"/>
    </row>
    <row r="109" spans="1:16" s="177" customFormat="1" x14ac:dyDescent="0.25">
      <c r="A109" s="245">
        <v>41344.938113425924</v>
      </c>
      <c r="B109" s="248" t="s">
        <v>135</v>
      </c>
      <c r="C109" s="268" t="str">
        <f>B108</f>
        <v>Adapt</v>
      </c>
      <c r="D109" s="186"/>
      <c r="E109" s="187" t="s">
        <v>172</v>
      </c>
      <c r="F109" s="275" t="str">
        <f>K108</f>
        <v>NewOpp</v>
      </c>
      <c r="G109" s="195" t="s">
        <v>202</v>
      </c>
      <c r="H109" s="202" t="s">
        <v>217</v>
      </c>
      <c r="I109" s="202" t="s">
        <v>218</v>
      </c>
      <c r="J109" s="191"/>
      <c r="K109" s="267" t="str">
        <f>F109</f>
        <v>NewOpp</v>
      </c>
      <c r="M109" s="190"/>
      <c r="N109" s="195"/>
      <c r="O109" s="191"/>
      <c r="P109" s="280"/>
    </row>
    <row r="110" spans="1:16" s="211" customFormat="1" x14ac:dyDescent="0.25">
      <c r="A110" s="249"/>
      <c r="B110" s="204" t="s">
        <v>32</v>
      </c>
      <c r="C110" s="273">
        <v>217</v>
      </c>
      <c r="D110" s="204"/>
      <c r="E110" s="205" t="s">
        <v>172</v>
      </c>
      <c r="F110" s="206"/>
      <c r="G110" s="207"/>
      <c r="H110" s="207"/>
      <c r="I110" s="207"/>
      <c r="J110" s="208"/>
      <c r="K110" s="209"/>
      <c r="L110" s="210"/>
      <c r="M110" s="207"/>
      <c r="N110" s="210"/>
      <c r="O110" s="208"/>
      <c r="P110" s="284"/>
    </row>
    <row r="111" spans="1:16" s="177" customFormat="1" x14ac:dyDescent="0.25">
      <c r="A111" s="183"/>
      <c r="B111" s="184" t="s">
        <v>167</v>
      </c>
      <c r="C111" s="266"/>
      <c r="D111" s="264"/>
      <c r="E111" s="187" t="s">
        <v>172</v>
      </c>
      <c r="F111" s="265" t="s">
        <v>219</v>
      </c>
      <c r="G111" s="190"/>
      <c r="H111" s="190"/>
      <c r="I111" s="190"/>
      <c r="J111" s="191"/>
      <c r="K111" s="182" t="s">
        <v>40</v>
      </c>
      <c r="L111" s="195"/>
      <c r="M111" s="190"/>
      <c r="N111" s="195"/>
      <c r="O111" s="191"/>
    </row>
    <row r="112" spans="1:16" x14ac:dyDescent="0.25">
      <c r="A112" s="261"/>
      <c r="B112" s="248" t="s">
        <v>220</v>
      </c>
      <c r="C112" s="246" t="s">
        <v>42</v>
      </c>
      <c r="D112" s="198"/>
      <c r="E112" s="223" t="s">
        <v>172</v>
      </c>
      <c r="F112" s="192"/>
      <c r="G112" s="195"/>
      <c r="H112" s="202"/>
      <c r="I112" s="202"/>
      <c r="J112" s="243"/>
      <c r="K112" s="244" t="s">
        <v>40</v>
      </c>
      <c r="L112" s="202"/>
      <c r="M112" s="202"/>
      <c r="N112" s="202"/>
      <c r="O112" s="243"/>
    </row>
    <row r="113" spans="1:16" x14ac:dyDescent="0.25">
      <c r="A113" s="261"/>
      <c r="B113" s="248" t="s">
        <v>135</v>
      </c>
      <c r="C113" s="262" t="s">
        <v>220</v>
      </c>
      <c r="D113" s="198"/>
      <c r="E113" s="223"/>
      <c r="F113" s="192" t="s">
        <v>221</v>
      </c>
      <c r="G113" s="195" t="s">
        <v>196</v>
      </c>
      <c r="H113" s="202" t="s">
        <v>197</v>
      </c>
      <c r="I113" s="202" t="s">
        <v>198</v>
      </c>
      <c r="J113" s="243"/>
      <c r="K113" s="244"/>
      <c r="L113" s="202"/>
      <c r="M113" s="202"/>
      <c r="N113" s="202"/>
      <c r="O113" s="243"/>
    </row>
    <row r="114" spans="1:16" s="233" customFormat="1" ht="15.75" thickBot="1" x14ac:dyDescent="0.3">
      <c r="A114" s="285"/>
      <c r="B114" s="226" t="s">
        <v>32</v>
      </c>
      <c r="C114" s="285"/>
      <c r="D114" s="226"/>
      <c r="E114" s="227" t="s">
        <v>172</v>
      </c>
      <c r="F114" s="228"/>
      <c r="G114" s="229"/>
      <c r="H114" s="229"/>
      <c r="I114" s="229"/>
      <c r="J114" s="230"/>
      <c r="K114" s="231"/>
      <c r="L114" s="232"/>
      <c r="M114" s="229"/>
      <c r="N114" s="232"/>
      <c r="O114" s="230"/>
    </row>
    <row r="115" spans="1:16" s="177" customFormat="1" ht="16.5" thickTop="1" thickBot="1" x14ac:dyDescent="0.3">
      <c r="A115" s="245"/>
      <c r="B115" s="186" t="s">
        <v>167</v>
      </c>
      <c r="C115" s="263"/>
      <c r="D115" s="264"/>
      <c r="E115" s="257" t="s">
        <v>65</v>
      </c>
      <c r="F115" s="265" t="s">
        <v>222</v>
      </c>
      <c r="G115" s="190"/>
      <c r="H115" s="190"/>
      <c r="I115" s="190"/>
      <c r="J115" s="191"/>
      <c r="K115" s="182" t="s">
        <v>48</v>
      </c>
      <c r="L115" s="195"/>
      <c r="M115" s="190"/>
      <c r="N115" s="195"/>
      <c r="O115" s="191"/>
    </row>
    <row r="116" spans="1:16" ht="15.75" thickTop="1" x14ac:dyDescent="0.25">
      <c r="A116" s="245">
        <v>41237.062696759262</v>
      </c>
      <c r="B116" s="248" t="s">
        <v>223</v>
      </c>
      <c r="C116" s="39" t="str">
        <f>F32&amp;"/"&amp;B34</f>
        <v>LOAD_1C_ACC/InsMyCol</v>
      </c>
      <c r="D116" s="198"/>
      <c r="E116" s="223" t="s">
        <v>172</v>
      </c>
      <c r="F116" s="192" t="s">
        <v>127</v>
      </c>
      <c r="G116" s="195"/>
      <c r="H116" s="202"/>
      <c r="I116" s="202"/>
      <c r="J116" s="243"/>
      <c r="K116" s="2" t="str">
        <f>K115</f>
        <v>Список клиентов 1C</v>
      </c>
      <c r="L116" s="202"/>
      <c r="M116" s="202"/>
      <c r="N116" s="193" t="s">
        <v>68</v>
      </c>
      <c r="O116" s="243"/>
    </row>
    <row r="117" spans="1:16" s="211" customFormat="1" ht="15.75" thickBot="1" x14ac:dyDescent="0.3">
      <c r="A117" s="249"/>
      <c r="B117" s="204" t="s">
        <v>32</v>
      </c>
      <c r="C117" s="250"/>
      <c r="D117" s="204"/>
      <c r="E117" s="205" t="s">
        <v>172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6" s="177" customFormat="1" ht="16.5" thickTop="1" thickBot="1" x14ac:dyDescent="0.3">
      <c r="A118" s="245"/>
      <c r="B118" s="186" t="s">
        <v>167</v>
      </c>
      <c r="C118" s="263"/>
      <c r="D118" s="264"/>
      <c r="E118" s="257" t="s">
        <v>65</v>
      </c>
      <c r="F118" s="265" t="s">
        <v>224</v>
      </c>
      <c r="G118" s="190"/>
      <c r="H118" s="190"/>
      <c r="I118" s="190"/>
      <c r="J118" s="191"/>
      <c r="K118" s="182" t="s">
        <v>112</v>
      </c>
      <c r="L118" s="195"/>
      <c r="M118" s="190"/>
      <c r="N118" s="195"/>
      <c r="O118" s="191"/>
      <c r="P118" s="286"/>
    </row>
    <row r="119" spans="1:16" ht="15.75" thickTop="1" x14ac:dyDescent="0.25">
      <c r="A119" s="245">
        <v>41410.835046296299</v>
      </c>
      <c r="B119" s="248" t="s">
        <v>225</v>
      </c>
      <c r="C119" s="39" t="s">
        <v>66</v>
      </c>
      <c r="D119" s="198"/>
      <c r="E119" s="223" t="s">
        <v>172</v>
      </c>
      <c r="F119" s="287" t="s">
        <v>131</v>
      </c>
      <c r="G119" s="195"/>
      <c r="H119" s="202"/>
      <c r="I119" s="202"/>
      <c r="J119" s="243"/>
      <c r="K119" s="89" t="s">
        <v>99</v>
      </c>
      <c r="L119" s="288" t="s">
        <v>112</v>
      </c>
      <c r="M119" s="193" t="s">
        <v>79</v>
      </c>
      <c r="N119" s="193" t="s">
        <v>71</v>
      </c>
      <c r="O119" s="243"/>
      <c r="P119" s="289"/>
    </row>
    <row r="120" spans="1:16" s="177" customFormat="1" x14ac:dyDescent="0.25">
      <c r="A120" s="245"/>
      <c r="B120" s="248" t="s">
        <v>135</v>
      </c>
      <c r="C120" s="268" t="str">
        <f>B119</f>
        <v>BTO_Mail_track</v>
      </c>
      <c r="D120" s="186"/>
      <c r="E120" s="187" t="s">
        <v>172</v>
      </c>
      <c r="F120" s="287" t="str">
        <f>F119</f>
        <v>BTOlog</v>
      </c>
      <c r="G120" s="195" t="s">
        <v>202</v>
      </c>
      <c r="H120" s="202" t="s">
        <v>226</v>
      </c>
      <c r="I120" s="202" t="s">
        <v>227</v>
      </c>
      <c r="J120" s="191"/>
      <c r="K120" s="287" t="str">
        <f>F120</f>
        <v>BTOlog</v>
      </c>
      <c r="M120" s="190"/>
      <c r="N120" s="195"/>
      <c r="O120" s="191"/>
      <c r="P120" s="289"/>
    </row>
    <row r="121" spans="1:16" s="211" customFormat="1" ht="15.75" thickBot="1" x14ac:dyDescent="0.3">
      <c r="A121" s="249"/>
      <c r="B121" s="204" t="s">
        <v>32</v>
      </c>
      <c r="C121" s="250"/>
      <c r="D121" s="204"/>
      <c r="E121" s="205" t="s">
        <v>172</v>
      </c>
      <c r="F121" s="206"/>
      <c r="G121" s="207"/>
      <c r="H121" s="207"/>
      <c r="I121" s="207"/>
      <c r="J121" s="208"/>
      <c r="K121" s="209"/>
      <c r="L121" s="210"/>
      <c r="M121" s="207"/>
      <c r="N121" s="210"/>
      <c r="O121" s="208"/>
      <c r="P121" s="290"/>
    </row>
    <row r="122" spans="1:16" s="177" customFormat="1" ht="16.5" thickTop="1" thickBot="1" x14ac:dyDescent="0.3">
      <c r="A122" s="245"/>
      <c r="B122" s="186" t="s">
        <v>167</v>
      </c>
      <c r="C122" s="263"/>
      <c r="D122" s="264"/>
      <c r="E122" s="257" t="s">
        <v>65</v>
      </c>
      <c r="F122" s="265" t="s">
        <v>228</v>
      </c>
      <c r="G122" s="190"/>
      <c r="H122" s="190"/>
      <c r="I122" s="190"/>
      <c r="J122" s="191"/>
      <c r="K122" s="182" t="s">
        <v>71</v>
      </c>
      <c r="L122" s="195"/>
      <c r="M122" s="190"/>
      <c r="N122" s="195"/>
      <c r="O122" s="191"/>
      <c r="P122" s="291"/>
    </row>
    <row r="123" spans="1:16" ht="15.75" thickTop="1" x14ac:dyDescent="0.25">
      <c r="A123" s="245">
        <v>41499.705324074072</v>
      </c>
      <c r="B123" s="248" t="s">
        <v>100</v>
      </c>
      <c r="C123" s="39"/>
      <c r="D123" s="198"/>
      <c r="E123" s="223" t="s">
        <v>172</v>
      </c>
      <c r="F123" s="292" t="s">
        <v>148</v>
      </c>
      <c r="G123" s="293" t="str">
        <f>K122</f>
        <v>ADSKfrSF</v>
      </c>
      <c r="H123" s="294" t="s">
        <v>147</v>
      </c>
      <c r="J123" s="243"/>
      <c r="K123" s="294" t="str">
        <f>H123</f>
        <v>A_SN_1</v>
      </c>
      <c r="L123" s="56" t="str">
        <f>K122</f>
        <v>ADSKfrSF</v>
      </c>
      <c r="N123" s="195"/>
      <c r="O123" s="243"/>
      <c r="P123" s="295"/>
    </row>
    <row r="124" spans="1:16" x14ac:dyDescent="0.25">
      <c r="A124" s="245">
        <v>41502.225694444445</v>
      </c>
      <c r="B124" s="248" t="s">
        <v>72</v>
      </c>
      <c r="C124" s="39" t="str">
        <f>B123</f>
        <v>Adapt</v>
      </c>
      <c r="D124" s="198"/>
      <c r="E124" s="223" t="s">
        <v>172</v>
      </c>
      <c r="F124" s="296"/>
      <c r="G124" s="195"/>
      <c r="H124" s="202"/>
      <c r="I124" s="202"/>
      <c r="J124" s="243"/>
      <c r="K124" s="56" t="str">
        <f>L123</f>
        <v>ADSKfrSF</v>
      </c>
      <c r="L124" s="294" t="s">
        <v>149</v>
      </c>
      <c r="M124" s="294" t="s">
        <v>152</v>
      </c>
      <c r="N124" s="195"/>
      <c r="O124" s="243"/>
      <c r="P124" s="295"/>
    </row>
    <row r="125" spans="1:16" s="177" customFormat="1" x14ac:dyDescent="0.25">
      <c r="A125" s="245"/>
      <c r="B125" s="186" t="s">
        <v>192</v>
      </c>
      <c r="C125" s="259"/>
      <c r="D125" s="186"/>
      <c r="E125" s="187" t="s">
        <v>172</v>
      </c>
      <c r="F125" s="254" t="s">
        <v>168</v>
      </c>
      <c r="G125" s="194"/>
      <c r="H125" s="190"/>
      <c r="I125" s="190"/>
      <c r="J125" s="191"/>
      <c r="K125" s="192"/>
      <c r="L125" s="195"/>
      <c r="M125" s="190"/>
      <c r="N125" s="195"/>
      <c r="O125" s="191"/>
      <c r="P125" s="291"/>
    </row>
    <row r="126" spans="1:16" s="177" customFormat="1" x14ac:dyDescent="0.25">
      <c r="A126" s="245"/>
      <c r="B126" s="248" t="s">
        <v>135</v>
      </c>
      <c r="C126" s="268" t="str">
        <f>B123</f>
        <v>Adapt</v>
      </c>
      <c r="D126" s="186"/>
      <c r="E126" s="187" t="s">
        <v>172</v>
      </c>
      <c r="F126" s="296" t="str">
        <f>M124</f>
        <v>A_SN_3</v>
      </c>
      <c r="G126" s="195" t="s">
        <v>202</v>
      </c>
      <c r="H126" s="297" t="s">
        <v>226</v>
      </c>
      <c r="I126" s="297" t="s">
        <v>227</v>
      </c>
      <c r="J126" s="191"/>
      <c r="K126" s="296" t="str">
        <f>F126</f>
        <v>A_SN_3</v>
      </c>
      <c r="M126" s="190"/>
      <c r="N126" s="195"/>
      <c r="O126" s="191"/>
      <c r="P126" s="295"/>
    </row>
    <row r="127" spans="1:16" s="211" customFormat="1" ht="15.75" thickBot="1" x14ac:dyDescent="0.3">
      <c r="A127" s="249"/>
      <c r="B127" s="204" t="s">
        <v>32</v>
      </c>
      <c r="C127" s="250"/>
      <c r="D127" s="204"/>
      <c r="E127" s="205" t="s">
        <v>172</v>
      </c>
      <c r="F127" s="206"/>
      <c r="G127" s="207"/>
      <c r="H127" s="207"/>
      <c r="I127" s="207"/>
      <c r="J127" s="208"/>
      <c r="K127" s="209"/>
      <c r="L127" s="210"/>
      <c r="M127" s="207"/>
      <c r="N127" s="210"/>
      <c r="O127" s="208"/>
      <c r="P127" s="298"/>
    </row>
    <row r="128" spans="1:16" s="301" customFormat="1" ht="16.5" thickTop="1" thickBot="1" x14ac:dyDescent="0.3">
      <c r="A128" s="234">
        <v>41201.045671296299</v>
      </c>
      <c r="B128" s="235" t="s">
        <v>167</v>
      </c>
      <c r="C128" s="236"/>
      <c r="D128" s="237"/>
      <c r="E128" s="299" t="s">
        <v>65</v>
      </c>
      <c r="F128" s="300" t="s">
        <v>229</v>
      </c>
      <c r="G128" s="237"/>
      <c r="H128" s="237"/>
      <c r="I128" s="237"/>
      <c r="J128" s="240"/>
      <c r="K128" s="260" t="str">
        <f>K15</f>
        <v>Платежи</v>
      </c>
      <c r="L128" s="242"/>
      <c r="M128" s="237"/>
      <c r="N128" s="242"/>
      <c r="O128" s="240"/>
    </row>
    <row r="129" spans="1:15" s="177" customFormat="1" ht="16.5" thickTop="1" thickBot="1" x14ac:dyDescent="0.3">
      <c r="A129" s="183">
        <v>41289.96565972222</v>
      </c>
      <c r="B129" s="197" t="s">
        <v>230</v>
      </c>
      <c r="C129" s="302"/>
      <c r="D129" s="186"/>
      <c r="E129" s="201" t="s">
        <v>168</v>
      </c>
      <c r="F129" s="192" t="str">
        <f>F99</f>
        <v>HANDL_NewContract</v>
      </c>
      <c r="G129" s="303" t="str">
        <f>F128</f>
        <v>WP_PaidOpp</v>
      </c>
      <c r="H129" s="303" t="str">
        <f>B135</f>
        <v>WP_Paid</v>
      </c>
      <c r="I129" s="304">
        <v>7</v>
      </c>
      <c r="J129" s="191"/>
      <c r="K129" s="192"/>
      <c r="L129" s="195"/>
      <c r="M129" s="190"/>
      <c r="N129" s="195"/>
      <c r="O129" s="191"/>
    </row>
    <row r="130" spans="1:15" s="177" customFormat="1" x14ac:dyDescent="0.25">
      <c r="A130" s="183">
        <v>41289.96565972222</v>
      </c>
      <c r="B130" s="184" t="s">
        <v>231</v>
      </c>
      <c r="C130" s="277" t="str">
        <f>B129</f>
        <v>ProcReset</v>
      </c>
      <c r="D130" s="186"/>
      <c r="E130" s="187" t="s">
        <v>168</v>
      </c>
      <c r="F130" s="305">
        <f>C102</f>
        <v>41</v>
      </c>
      <c r="G130" s="194"/>
      <c r="H130" s="190"/>
      <c r="I130" s="190"/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41289.965682870374</v>
      </c>
      <c r="B131" s="197" t="s">
        <v>230</v>
      </c>
      <c r="C131" s="302"/>
      <c r="D131" s="186"/>
      <c r="E131" s="201" t="s">
        <v>168</v>
      </c>
      <c r="F131" s="192" t="str">
        <f>F95</f>
        <v>HANDL_PaidContr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245"/>
      <c r="B132" s="186" t="s">
        <v>231</v>
      </c>
      <c r="C132" s="268" t="str">
        <f>B130</f>
        <v>CheckProc0</v>
      </c>
      <c r="D132" s="186"/>
      <c r="E132" s="187" t="s">
        <v>172</v>
      </c>
      <c r="F132" s="306">
        <f>C98</f>
        <v>0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200</v>
      </c>
      <c r="C133" s="263"/>
      <c r="D133" s="264"/>
      <c r="E133" s="187" t="s">
        <v>172</v>
      </c>
      <c r="F133" s="267" t="s">
        <v>139</v>
      </c>
      <c r="G133" s="190"/>
      <c r="H133" s="190"/>
      <c r="I133" s="190"/>
      <c r="J133" s="191"/>
      <c r="K133" s="267" t="str">
        <f>F133</f>
        <v>NewOpp</v>
      </c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134</v>
      </c>
      <c r="G134" s="190"/>
      <c r="H134" s="190"/>
      <c r="I134" s="190"/>
      <c r="J134" s="191"/>
      <c r="K134" s="267" t="str">
        <f>F134</f>
        <v>NewPayment</v>
      </c>
      <c r="L134" s="195"/>
      <c r="M134" s="190"/>
      <c r="N134" s="195"/>
      <c r="O134" s="191"/>
    </row>
    <row r="135" spans="1:15" s="177" customFormat="1" ht="15.75" thickBot="1" x14ac:dyDescent="0.3">
      <c r="A135" s="307"/>
      <c r="B135" s="308" t="s">
        <v>232</v>
      </c>
      <c r="C135" s="309" t="str">
        <f>B130</f>
        <v>CheckProc0</v>
      </c>
      <c r="D135" s="308"/>
      <c r="E135" s="310" t="s">
        <v>172</v>
      </c>
      <c r="F135" s="311" t="s">
        <v>233</v>
      </c>
      <c r="G135" s="312" t="s">
        <v>172</v>
      </c>
      <c r="H135" s="313"/>
      <c r="I135" s="313"/>
      <c r="J135" s="314"/>
      <c r="K135" s="315" t="str">
        <f>K128</f>
        <v>Платежи</v>
      </c>
      <c r="L135" s="316" t="s">
        <v>68</v>
      </c>
      <c r="M135" s="316" t="s">
        <v>64</v>
      </c>
      <c r="N135" s="316" t="s">
        <v>62</v>
      </c>
      <c r="O135" s="314"/>
    </row>
    <row r="136" spans="1:15" s="177" customFormat="1" ht="15.75" thickTop="1" x14ac:dyDescent="0.25">
      <c r="A136" s="245"/>
      <c r="B136" s="248" t="s">
        <v>135</v>
      </c>
      <c r="C136" s="268" t="str">
        <f>B135</f>
        <v>WP_Paid</v>
      </c>
      <c r="D136" s="186"/>
      <c r="E136" s="187" t="s">
        <v>172</v>
      </c>
      <c r="F136" s="267" t="s">
        <v>139</v>
      </c>
      <c r="G136" s="195" t="s">
        <v>202</v>
      </c>
      <c r="H136" s="202" t="s">
        <v>217</v>
      </c>
      <c r="I136" s="202" t="s">
        <v>218</v>
      </c>
      <c r="J136" s="191"/>
      <c r="K136" s="267" t="str">
        <f>F136</f>
        <v>NewOpp</v>
      </c>
      <c r="L136" s="195"/>
      <c r="M136" s="190"/>
      <c r="N136" s="195"/>
      <c r="O136" s="191"/>
    </row>
    <row r="137" spans="1:15" s="177" customFormat="1" x14ac:dyDescent="0.25">
      <c r="A137" s="245"/>
      <c r="B137" s="248" t="s">
        <v>135</v>
      </c>
      <c r="C137" s="268" t="str">
        <f>B135</f>
        <v>WP_Paid</v>
      </c>
      <c r="D137" s="186"/>
      <c r="E137" s="187" t="s">
        <v>172</v>
      </c>
      <c r="F137" s="267" t="s">
        <v>134</v>
      </c>
      <c r="G137" s="195" t="s">
        <v>202</v>
      </c>
      <c r="H137" s="202" t="s">
        <v>203</v>
      </c>
      <c r="I137" s="202" t="s">
        <v>204</v>
      </c>
      <c r="J137" s="191"/>
      <c r="K137" s="267" t="str">
        <f>F137</f>
        <v>NewPayment</v>
      </c>
      <c r="L137" s="195"/>
      <c r="M137" s="190"/>
      <c r="N137" s="195"/>
      <c r="O137" s="191"/>
    </row>
    <row r="138" spans="1:15" s="180" customFormat="1" x14ac:dyDescent="0.25">
      <c r="A138" s="317"/>
      <c r="B138" s="248" t="s">
        <v>32</v>
      </c>
      <c r="C138" s="318">
        <v>0</v>
      </c>
      <c r="D138" s="248"/>
      <c r="E138" s="199" t="s">
        <v>172</v>
      </c>
      <c r="F138" s="319"/>
      <c r="G138" s="190"/>
      <c r="H138" s="190"/>
      <c r="I138" s="190"/>
      <c r="J138" s="191"/>
      <c r="K138" s="192"/>
      <c r="L138" s="195"/>
      <c r="M138" s="190"/>
      <c r="N138" s="195"/>
      <c r="O138" s="191"/>
    </row>
    <row r="139" spans="1:15" s="323" customFormat="1" ht="15.75" thickBot="1" x14ac:dyDescent="0.3">
      <c r="A139" s="251">
        <v>41201.045671296299</v>
      </c>
      <c r="B139" s="252" t="s">
        <v>167</v>
      </c>
      <c r="C139" s="253"/>
      <c r="D139" s="214"/>
      <c r="E139" s="320" t="s">
        <v>65</v>
      </c>
      <c r="F139" s="321" t="s">
        <v>234</v>
      </c>
      <c r="G139" s="214"/>
      <c r="H139" s="214"/>
      <c r="I139" s="214"/>
      <c r="J139" s="217"/>
      <c r="K139" s="322" t="s">
        <v>31</v>
      </c>
      <c r="L139" s="219"/>
      <c r="M139" s="214"/>
      <c r="N139" s="219"/>
      <c r="O139" s="217"/>
    </row>
    <row r="140" spans="1:15" s="177" customFormat="1" ht="15.75" thickTop="1" x14ac:dyDescent="0.25">
      <c r="A140" s="183">
        <v>41218.822870370372</v>
      </c>
      <c r="B140" s="184" t="s">
        <v>200</v>
      </c>
      <c r="C140" s="266"/>
      <c r="D140" s="264"/>
      <c r="E140" s="187"/>
      <c r="F140" s="267" t="s">
        <v>141</v>
      </c>
      <c r="G140" s="190"/>
      <c r="H140" s="190"/>
      <c r="I140" s="190"/>
      <c r="J140" s="191"/>
      <c r="K140" s="267" t="str">
        <f>F140</f>
        <v>NewAcc</v>
      </c>
      <c r="L140" s="195"/>
      <c r="M140" s="190"/>
      <c r="N140" s="195"/>
      <c r="O140" s="191"/>
    </row>
    <row r="141" spans="1:15" s="177" customFormat="1" x14ac:dyDescent="0.25">
      <c r="A141" s="183"/>
      <c r="B141" s="184" t="s">
        <v>235</v>
      </c>
      <c r="C141" s="268" t="str">
        <f>B140</f>
        <v>NewSheet</v>
      </c>
      <c r="D141" s="264"/>
      <c r="E141" s="187"/>
      <c r="F141" s="324"/>
      <c r="G141" s="190"/>
      <c r="H141" s="190"/>
      <c r="I141" s="190"/>
      <c r="J141" s="191"/>
      <c r="K141" s="267"/>
      <c r="L141" s="195"/>
      <c r="M141" s="190"/>
      <c r="N141" s="195"/>
      <c r="O141" s="191"/>
    </row>
    <row r="142" spans="1:15" s="177" customFormat="1" x14ac:dyDescent="0.25">
      <c r="A142" s="245"/>
      <c r="B142" s="186" t="s">
        <v>192</v>
      </c>
      <c r="C142" s="259"/>
      <c r="D142" s="186"/>
      <c r="E142" s="187" t="s">
        <v>172</v>
      </c>
      <c r="F142" s="254" t="s">
        <v>65</v>
      </c>
      <c r="G142" s="194" t="s">
        <v>193</v>
      </c>
      <c r="H142" s="190"/>
      <c r="I142" s="190"/>
      <c r="J142" s="191"/>
      <c r="K142" s="192"/>
      <c r="L142" s="195"/>
      <c r="M142" s="190"/>
      <c r="N142" s="195"/>
      <c r="O142" s="191"/>
    </row>
    <row r="143" spans="1:15" s="177" customFormat="1" ht="15.75" thickBot="1" x14ac:dyDescent="0.3">
      <c r="A143" s="307">
        <v>41218.824293981481</v>
      </c>
      <c r="B143" s="308" t="s">
        <v>232</v>
      </c>
      <c r="C143" s="309" t="str">
        <f>B141</f>
        <v>SFaccDicBuild</v>
      </c>
      <c r="D143" s="308"/>
      <c r="E143" s="310" t="s">
        <v>172</v>
      </c>
      <c r="F143" s="311" t="s">
        <v>236</v>
      </c>
      <c r="G143" s="325"/>
      <c r="H143" s="313"/>
      <c r="I143" s="313"/>
      <c r="J143" s="314"/>
      <c r="K143" s="315" t="str">
        <f>K139</f>
        <v>Платежи</v>
      </c>
      <c r="L143" s="316">
        <v>0</v>
      </c>
      <c r="M143" s="316">
        <v>0</v>
      </c>
      <c r="N143" s="316">
        <v>0</v>
      </c>
      <c r="O143" s="314"/>
    </row>
    <row r="144" spans="1:15" s="177" customFormat="1" ht="15.75" thickTop="1" x14ac:dyDescent="0.25">
      <c r="A144" s="245">
        <v>41218.824293981481</v>
      </c>
      <c r="B144" s="248" t="s">
        <v>135</v>
      </c>
      <c r="C144" s="268" t="str">
        <f>B143</f>
        <v>WP_Paid</v>
      </c>
      <c r="D144" s="186"/>
      <c r="E144" s="187" t="s">
        <v>172</v>
      </c>
      <c r="F144" s="267" t="str">
        <f>F140</f>
        <v>NewAcc</v>
      </c>
      <c r="G144" s="195" t="s">
        <v>202</v>
      </c>
      <c r="H144" s="202" t="s">
        <v>217</v>
      </c>
      <c r="I144" s="202" t="s">
        <v>218</v>
      </c>
      <c r="J144" s="191"/>
      <c r="K144" s="267" t="str">
        <f>F144</f>
        <v>NewAcc</v>
      </c>
      <c r="L144" s="195"/>
      <c r="M144" s="190"/>
      <c r="N144" s="195"/>
      <c r="O144" s="191"/>
    </row>
    <row r="145" spans="1:15" s="211" customFormat="1" x14ac:dyDescent="0.25">
      <c r="A145" s="249"/>
      <c r="B145" s="204" t="s">
        <v>32</v>
      </c>
      <c r="C145" s="250">
        <v>5</v>
      </c>
      <c r="D145" s="204"/>
      <c r="E145" s="205" t="s">
        <v>172</v>
      </c>
      <c r="F145" s="206"/>
      <c r="G145" s="207"/>
      <c r="H145" s="207"/>
      <c r="I145" s="207"/>
      <c r="J145" s="208"/>
      <c r="K145" s="209"/>
      <c r="L145" s="210"/>
      <c r="M145" s="207"/>
      <c r="N145" s="210"/>
      <c r="O145" s="208"/>
    </row>
    <row r="146" spans="1:15" s="177" customFormat="1" x14ac:dyDescent="0.25">
      <c r="A146" s="245"/>
      <c r="B146" s="186" t="s">
        <v>167</v>
      </c>
      <c r="C146" s="263"/>
      <c r="D146" s="264"/>
      <c r="E146" s="187" t="s">
        <v>172</v>
      </c>
      <c r="F146" s="265" t="s">
        <v>237</v>
      </c>
      <c r="G146" s="190"/>
      <c r="H146" s="190"/>
      <c r="I146" s="190"/>
      <c r="J146" s="191"/>
      <c r="K146" s="182" t="s">
        <v>31</v>
      </c>
      <c r="L146" s="195"/>
      <c r="M146" s="190"/>
      <c r="N146" s="195"/>
      <c r="O146" s="191"/>
    </row>
    <row r="147" spans="1:15" s="177" customFormat="1" x14ac:dyDescent="0.25">
      <c r="A147" s="261"/>
      <c r="B147" s="186" t="s">
        <v>192</v>
      </c>
      <c r="C147" s="259"/>
      <c r="D147" s="186"/>
      <c r="E147" s="187"/>
      <c r="F147" s="254" t="s">
        <v>168</v>
      </c>
      <c r="G147" s="194"/>
      <c r="H147" s="190"/>
      <c r="I147" s="190"/>
      <c r="J147" s="191"/>
      <c r="K147" s="192"/>
      <c r="L147" s="195"/>
      <c r="M147" s="190"/>
      <c r="N147" s="195"/>
      <c r="O147" s="191"/>
    </row>
    <row r="148" spans="1:15" ht="30" x14ac:dyDescent="0.25">
      <c r="A148" s="261"/>
      <c r="B148" s="248" t="s">
        <v>238</v>
      </c>
      <c r="C148" s="246" t="s">
        <v>195</v>
      </c>
      <c r="D148" s="198"/>
      <c r="E148" s="223" t="s">
        <v>172</v>
      </c>
      <c r="F148" s="192"/>
      <c r="G148" s="195"/>
      <c r="H148" s="202"/>
      <c r="I148" s="202"/>
      <c r="J148" s="243"/>
      <c r="K148" s="244" t="s">
        <v>31</v>
      </c>
      <c r="L148" s="202" t="s">
        <v>64</v>
      </c>
      <c r="M148" s="202"/>
      <c r="N148" s="202"/>
      <c r="O148" s="243"/>
    </row>
    <row r="149" spans="1:15" s="211" customFormat="1" x14ac:dyDescent="0.25">
      <c r="A149" s="249"/>
      <c r="B149" s="204" t="s">
        <v>32</v>
      </c>
      <c r="C149" s="250"/>
      <c r="D149" s="204"/>
      <c r="E149" s="205" t="s">
        <v>172</v>
      </c>
      <c r="F149" s="206"/>
      <c r="G149" s="207"/>
      <c r="H149" s="207"/>
      <c r="I149" s="207"/>
      <c r="J149" s="208"/>
      <c r="K149" s="209"/>
      <c r="L149" s="210"/>
      <c r="M149" s="207"/>
      <c r="N149" s="210"/>
      <c r="O149" s="208"/>
    </row>
    <row r="150" spans="1:15" s="22" customFormat="1" x14ac:dyDescent="0.25">
      <c r="A150" s="326"/>
      <c r="B150" s="327" t="s">
        <v>118</v>
      </c>
      <c r="C150" s="328" t="s">
        <v>119</v>
      </c>
      <c r="D150" s="252"/>
      <c r="E150" s="329"/>
      <c r="F150" s="330"/>
      <c r="G150" s="331"/>
      <c r="H150" s="331"/>
      <c r="I150" s="331"/>
      <c r="J150" s="332"/>
      <c r="K150" s="330" t="s">
        <v>239</v>
      </c>
      <c r="L150" s="331"/>
      <c r="M150" s="331"/>
      <c r="N150" s="331"/>
      <c r="O150" s="332"/>
    </row>
    <row r="151" spans="1:15" x14ac:dyDescent="0.25">
      <c r="A151" s="333"/>
      <c r="B151" s="334">
        <v>1043</v>
      </c>
      <c r="C151" s="335"/>
      <c r="D151" s="198"/>
      <c r="E151" s="187"/>
      <c r="F151" s="247"/>
      <c r="G151" s="202"/>
      <c r="H151" s="202"/>
      <c r="I151" s="202"/>
      <c r="J151" s="203"/>
      <c r="K151" s="247" t="s">
        <v>239</v>
      </c>
      <c r="L151" s="202"/>
      <c r="M151" s="202"/>
      <c r="N151" s="202"/>
      <c r="O151" s="203"/>
    </row>
    <row r="152" spans="1:15" s="22" customFormat="1" ht="15.75" thickBot="1" x14ac:dyDescent="0.3">
      <c r="A152" s="72"/>
      <c r="B152" s="336" t="s">
        <v>118</v>
      </c>
      <c r="C152" s="337" t="s">
        <v>119</v>
      </c>
      <c r="D152" s="70"/>
      <c r="E152" s="338"/>
      <c r="F152" s="339"/>
      <c r="G152" s="340"/>
      <c r="H152" s="340"/>
      <c r="I152" s="340"/>
      <c r="J152" s="341"/>
      <c r="K152" s="339" t="s">
        <v>120</v>
      </c>
      <c r="L152" s="340"/>
      <c r="M152" s="340"/>
      <c r="N152" s="340"/>
      <c r="O152" s="341"/>
    </row>
    <row r="153" spans="1:15" x14ac:dyDescent="0.25">
      <c r="A153" s="41"/>
    </row>
    <row r="154" spans="1:15" s="177" customFormat="1" x14ac:dyDescent="0.25">
      <c r="A154" s="245"/>
      <c r="B154" s="186" t="s">
        <v>192</v>
      </c>
      <c r="C154" s="259"/>
      <c r="D154" s="186"/>
      <c r="E154" s="187" t="s">
        <v>172</v>
      </c>
      <c r="F154" s="254" t="s">
        <v>65</v>
      </c>
      <c r="G154" s="194" t="s">
        <v>193</v>
      </c>
      <c r="H154" s="190"/>
      <c r="I154" s="190"/>
      <c r="J154" s="191"/>
      <c r="K154" s="192"/>
      <c r="L154" s="195"/>
      <c r="M154" s="190"/>
      <c r="N154" s="195"/>
      <c r="O154" s="191"/>
    </row>
    <row r="156" spans="1:15" ht="45" outlineLevel="1" x14ac:dyDescent="0.25">
      <c r="A156" s="245">
        <v>41217.705717592595</v>
      </c>
      <c r="B156" s="186" t="s">
        <v>240</v>
      </c>
      <c r="C156" s="246" t="s">
        <v>241</v>
      </c>
      <c r="D156" s="202"/>
      <c r="E156" s="223" t="s">
        <v>172</v>
      </c>
      <c r="F156" s="254" t="s">
        <v>62</v>
      </c>
      <c r="G156" s="195" t="s">
        <v>40</v>
      </c>
      <c r="H156" s="194" t="s">
        <v>164</v>
      </c>
      <c r="I156" s="194" t="s">
        <v>185</v>
      </c>
      <c r="J156" s="243"/>
      <c r="L156" s="193" t="s">
        <v>62</v>
      </c>
      <c r="M156" s="202"/>
      <c r="N156" s="202"/>
      <c r="O156" s="243"/>
    </row>
    <row r="159" spans="1:15" s="32" customFormat="1" outlineLevel="1" x14ac:dyDescent="0.25">
      <c r="A159" s="245">
        <v>41217.684374999997</v>
      </c>
      <c r="B159" s="186" t="s">
        <v>84</v>
      </c>
      <c r="C159" s="246" t="s">
        <v>66</v>
      </c>
      <c r="D159" s="186"/>
      <c r="E159" s="187" t="s">
        <v>172</v>
      </c>
      <c r="F159" s="188" t="s">
        <v>173</v>
      </c>
      <c r="G159" s="189" t="s">
        <v>174</v>
      </c>
      <c r="H159" s="190"/>
      <c r="I159" s="190"/>
      <c r="J159" s="203"/>
      <c r="K159" s="192">
        <v>0</v>
      </c>
      <c r="L159" s="193" t="s">
        <v>68</v>
      </c>
      <c r="M159" s="193" t="s">
        <v>62</v>
      </c>
      <c r="N159" s="202"/>
      <c r="O159" s="203"/>
    </row>
    <row r="162" spans="1:15" s="32" customFormat="1" outlineLevel="1" x14ac:dyDescent="0.25">
      <c r="A162" s="245">
        <v>41227.065937500003</v>
      </c>
      <c r="B162" s="186" t="s">
        <v>242</v>
      </c>
      <c r="C162" s="255" t="str">
        <f>B67</f>
        <v>InsMyCol</v>
      </c>
      <c r="D162" s="186"/>
      <c r="E162" s="187" t="s">
        <v>172</v>
      </c>
      <c r="F162" s="254" t="s">
        <v>185</v>
      </c>
      <c r="G162" s="194" t="s">
        <v>59</v>
      </c>
      <c r="H162" s="194" t="s">
        <v>243</v>
      </c>
      <c r="I162" s="194" t="s">
        <v>244</v>
      </c>
      <c r="J162" s="256"/>
      <c r="K162" s="258" t="str">
        <f>K65</f>
        <v>Склад</v>
      </c>
      <c r="L162" s="195" t="s">
        <v>31</v>
      </c>
      <c r="M162" s="202"/>
      <c r="N162" s="177"/>
      <c r="O162" s="191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0" t="s">
        <v>400</v>
      </c>
      <c r="I53" s="971"/>
      <c r="J53" s="971"/>
      <c r="K53" s="972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3" t="s">
        <v>400</v>
      </c>
      <c r="N54" s="974"/>
      <c r="O54" s="974"/>
      <c r="P54" s="974"/>
      <c r="Q54" s="975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977"/>
  <sheetViews>
    <sheetView topLeftCell="A3465" workbookViewId="0">
      <selection activeCell="C3474" sqref="C347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3977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50" t="s">
        <v>1262</v>
      </c>
    </row>
    <row r="125" spans="1:3" ht="45" x14ac:dyDescent="0.25">
      <c r="A125" s="417">
        <v>41535</v>
      </c>
      <c r="B125" s="418">
        <v>0.67802083333333341</v>
      </c>
      <c r="C125" s="950" t="s">
        <v>1263</v>
      </c>
    </row>
    <row r="126" spans="1:3" ht="45" x14ac:dyDescent="0.25">
      <c r="A126" s="417">
        <v>41535</v>
      </c>
      <c r="B126" s="418">
        <v>0.70467592592592598</v>
      </c>
      <c r="C126" s="950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50" t="s">
        <v>1266</v>
      </c>
    </row>
    <row r="129" spans="1:3" ht="45" x14ac:dyDescent="0.25">
      <c r="A129" s="417">
        <v>41536</v>
      </c>
      <c r="B129" s="418">
        <v>0.38254629629629627</v>
      </c>
      <c r="C129" s="950" t="s">
        <v>1267</v>
      </c>
    </row>
    <row r="130" spans="1:3" ht="45" x14ac:dyDescent="0.25">
      <c r="A130" s="417">
        <v>41536</v>
      </c>
      <c r="B130" s="418">
        <v>0.3835648148148148</v>
      </c>
      <c r="C130" s="950" t="s">
        <v>1268</v>
      </c>
    </row>
    <row r="131" spans="1:3" ht="45" x14ac:dyDescent="0.25">
      <c r="A131" s="417">
        <v>41536</v>
      </c>
      <c r="B131" s="418">
        <v>0.38391203703703702</v>
      </c>
      <c r="C131" s="950" t="s">
        <v>1269</v>
      </c>
    </row>
    <row r="132" spans="1:3" ht="30" x14ac:dyDescent="0.25">
      <c r="A132" s="417">
        <v>41536</v>
      </c>
      <c r="B132" s="418">
        <v>0.38409722222222226</v>
      </c>
      <c r="C132" s="950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50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50" t="s">
        <v>1273</v>
      </c>
    </row>
    <row r="137" spans="1:3" ht="30" x14ac:dyDescent="0.25">
      <c r="A137" s="417">
        <v>41538</v>
      </c>
      <c r="B137" s="418">
        <v>3.3032407407407406E-2</v>
      </c>
      <c r="C137" s="950" t="s">
        <v>1274</v>
      </c>
    </row>
    <row r="138" spans="1:3" ht="45" x14ac:dyDescent="0.25">
      <c r="A138" s="417">
        <v>41538</v>
      </c>
      <c r="B138" s="418">
        <v>3.4131944444444444E-2</v>
      </c>
      <c r="C138" s="950" t="s">
        <v>1275</v>
      </c>
    </row>
    <row r="139" spans="1:3" ht="45" x14ac:dyDescent="0.25">
      <c r="A139" s="417">
        <v>41538</v>
      </c>
      <c r="B139" s="418">
        <v>3.4490740740740738E-2</v>
      </c>
      <c r="C139" s="950" t="s">
        <v>1276</v>
      </c>
    </row>
    <row r="140" spans="1:3" ht="30" x14ac:dyDescent="0.25">
      <c r="A140" s="417">
        <v>41538</v>
      </c>
      <c r="B140" s="418">
        <v>3.4606481481481481E-2</v>
      </c>
      <c r="C140" s="950" t="s">
        <v>1277</v>
      </c>
    </row>
    <row r="141" spans="1:3" ht="45" x14ac:dyDescent="0.25">
      <c r="A141" s="417">
        <v>41538</v>
      </c>
      <c r="B141" s="418">
        <v>3.4699074074074077E-2</v>
      </c>
      <c r="C141" s="950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50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50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50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50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50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50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50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50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50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50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50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50" t="s">
        <v>1299</v>
      </c>
    </row>
    <row r="166" spans="1:3" ht="30" x14ac:dyDescent="0.25">
      <c r="A166" s="417">
        <v>41538</v>
      </c>
      <c r="B166" s="418">
        <v>6.2291666666666669E-2</v>
      </c>
      <c r="C166" s="950" t="s">
        <v>1300</v>
      </c>
    </row>
    <row r="167" spans="1:3" ht="45" x14ac:dyDescent="0.25">
      <c r="A167" s="417">
        <v>41538</v>
      </c>
      <c r="B167" s="418">
        <v>6.3715277777777787E-2</v>
      </c>
      <c r="C167" s="950" t="s">
        <v>1301</v>
      </c>
    </row>
    <row r="168" spans="1:3" ht="30" x14ac:dyDescent="0.25">
      <c r="A168" s="417">
        <v>41538</v>
      </c>
      <c r="B168" s="418">
        <v>6.3819444444444443E-2</v>
      </c>
      <c r="C168" s="950" t="s">
        <v>1302</v>
      </c>
    </row>
    <row r="169" spans="1:3" ht="45" x14ac:dyDescent="0.25">
      <c r="A169" s="417">
        <v>41538</v>
      </c>
      <c r="B169" s="418">
        <v>6.3912037037037031E-2</v>
      </c>
      <c r="C169" s="950" t="s">
        <v>1303</v>
      </c>
    </row>
    <row r="170" spans="1:3" ht="45" x14ac:dyDescent="0.25">
      <c r="A170" s="417">
        <v>41538</v>
      </c>
      <c r="B170" s="418">
        <v>7.5902777777777777E-2</v>
      </c>
      <c r="C170" s="950" t="s">
        <v>1304</v>
      </c>
    </row>
    <row r="171" spans="1:3" ht="30" x14ac:dyDescent="0.25">
      <c r="A171" s="417">
        <v>41538</v>
      </c>
      <c r="B171" s="418">
        <v>7.604166666666666E-2</v>
      </c>
      <c r="C171" s="950" t="s">
        <v>1305</v>
      </c>
    </row>
    <row r="172" spans="1:3" ht="45" x14ac:dyDescent="0.25">
      <c r="A172" s="417">
        <v>41538</v>
      </c>
      <c r="B172" s="418">
        <v>7.6145833333333343E-2</v>
      </c>
      <c r="C172" s="950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50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50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50" t="s">
        <v>1333</v>
      </c>
    </row>
    <row r="328" spans="1:3" ht="75" x14ac:dyDescent="0.25">
      <c r="A328" s="417">
        <v>41538</v>
      </c>
      <c r="B328" s="418">
        <v>0.74744212962962964</v>
      </c>
      <c r="C328" s="950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50" t="s">
        <v>1334</v>
      </c>
    </row>
    <row r="333" spans="1:3" ht="30" x14ac:dyDescent="0.25">
      <c r="A333" s="417">
        <v>41538</v>
      </c>
      <c r="B333" s="418">
        <v>0.75494212962962959</v>
      </c>
      <c r="C333" s="950" t="s">
        <v>1335</v>
      </c>
    </row>
    <row r="334" spans="1:3" ht="45" x14ac:dyDescent="0.25">
      <c r="A334" s="417">
        <v>41538</v>
      </c>
      <c r="B334" s="418">
        <v>0.75503472222222223</v>
      </c>
      <c r="C334" s="950" t="s">
        <v>1336</v>
      </c>
    </row>
    <row r="335" spans="1:3" ht="30" x14ac:dyDescent="0.25">
      <c r="A335" s="417">
        <v>41538</v>
      </c>
      <c r="B335" s="418">
        <v>0.75623842592592594</v>
      </c>
      <c r="C335" s="950" t="s">
        <v>1337</v>
      </c>
    </row>
    <row r="336" spans="1:3" ht="45" x14ac:dyDescent="0.25">
      <c r="A336" s="417">
        <v>41538</v>
      </c>
      <c r="B336" s="418">
        <v>0.75689814814814815</v>
      </c>
      <c r="C336" s="950" t="s">
        <v>1338</v>
      </c>
    </row>
    <row r="337" spans="1:3" ht="30" x14ac:dyDescent="0.25">
      <c r="A337" s="417">
        <v>41538</v>
      </c>
      <c r="B337" s="418">
        <v>0.75719907407407405</v>
      </c>
      <c r="C337" s="950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50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50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50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50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50" t="s">
        <v>1288</v>
      </c>
    </row>
    <row r="410" spans="1:3" ht="75" x14ac:dyDescent="0.25">
      <c r="A410" s="417">
        <v>41538</v>
      </c>
      <c r="B410" s="418">
        <v>0.77016203703703701</v>
      </c>
      <c r="C410" s="950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50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50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50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50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50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50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50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50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50" t="s">
        <v>1456</v>
      </c>
    </row>
    <row r="588" spans="1:3" ht="30" x14ac:dyDescent="0.25">
      <c r="A588" s="417">
        <v>41538</v>
      </c>
      <c r="B588" s="418">
        <v>0.78567129629629628</v>
      </c>
      <c r="C588" s="950" t="s">
        <v>1457</v>
      </c>
    </row>
    <row r="589" spans="1:3" ht="45" x14ac:dyDescent="0.25">
      <c r="A589" s="417">
        <v>41538</v>
      </c>
      <c r="B589" s="418">
        <v>0.78575231481481478</v>
      </c>
      <c r="C589" s="950" t="s">
        <v>1458</v>
      </c>
    </row>
    <row r="590" spans="1:3" ht="45" x14ac:dyDescent="0.25">
      <c r="A590" s="417">
        <v>41538</v>
      </c>
      <c r="B590" s="418">
        <v>0.78688657407407403</v>
      </c>
      <c r="C590" s="950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50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50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50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50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50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50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50" t="s">
        <v>1465</v>
      </c>
    </row>
    <row r="843" spans="1:3" ht="45" x14ac:dyDescent="0.25">
      <c r="A843" s="417">
        <v>41538</v>
      </c>
      <c r="B843" s="418">
        <v>0.81020833333333331</v>
      </c>
      <c r="C843" s="950" t="s">
        <v>1466</v>
      </c>
    </row>
    <row r="844" spans="1:3" ht="45" x14ac:dyDescent="0.25">
      <c r="A844" s="417">
        <v>41538</v>
      </c>
      <c r="B844" s="418">
        <v>0.81114583333333334</v>
      </c>
      <c r="C844" s="950" t="s">
        <v>1467</v>
      </c>
    </row>
    <row r="845" spans="1:3" ht="45" x14ac:dyDescent="0.25">
      <c r="A845" s="417">
        <v>41538</v>
      </c>
      <c r="B845" s="418">
        <v>0.81134259259259256</v>
      </c>
      <c r="C845" s="950" t="s">
        <v>1468</v>
      </c>
    </row>
    <row r="846" spans="1:3" ht="30" x14ac:dyDescent="0.25">
      <c r="A846" s="417">
        <v>41538</v>
      </c>
      <c r="B846" s="418">
        <v>0.81150462962962966</v>
      </c>
      <c r="C846" s="950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50" t="s">
        <v>1470</v>
      </c>
    </row>
    <row r="916" spans="1:3" ht="30" x14ac:dyDescent="0.25">
      <c r="A916" s="417">
        <v>41539</v>
      </c>
      <c r="B916" s="418">
        <v>0.69497685185185187</v>
      </c>
      <c r="C916" s="950" t="s">
        <v>1471</v>
      </c>
    </row>
    <row r="917" spans="1:3" ht="45" x14ac:dyDescent="0.25">
      <c r="A917" s="417">
        <v>41539</v>
      </c>
      <c r="B917" s="418">
        <v>0.72667824074074072</v>
      </c>
      <c r="C917" s="950" t="s">
        <v>1472</v>
      </c>
    </row>
    <row r="918" spans="1:3" ht="45" x14ac:dyDescent="0.25">
      <c r="A918" s="417">
        <v>41539</v>
      </c>
      <c r="B918" s="418">
        <v>0.72763888888888895</v>
      </c>
      <c r="C918" s="950" t="s">
        <v>1473</v>
      </c>
    </row>
    <row r="919" spans="1:3" ht="45" x14ac:dyDescent="0.25">
      <c r="A919" s="417">
        <v>41539</v>
      </c>
      <c r="B919" s="418">
        <v>0.72854166666666664</v>
      </c>
      <c r="C919" s="950" t="s">
        <v>1474</v>
      </c>
    </row>
    <row r="920" spans="1:3" ht="30" x14ac:dyDescent="0.25">
      <c r="A920" s="417">
        <v>41539</v>
      </c>
      <c r="B920" s="418">
        <v>0.72942129629629626</v>
      </c>
      <c r="C920" s="950" t="s">
        <v>1475</v>
      </c>
    </row>
    <row r="921" spans="1:3" ht="45" x14ac:dyDescent="0.25">
      <c r="A921" s="417">
        <v>41539</v>
      </c>
      <c r="B921" s="418">
        <v>0.73506944444444444</v>
      </c>
      <c r="C921" s="950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50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50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50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50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50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50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50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50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50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50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50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50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50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50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50" t="s">
        <v>1513</v>
      </c>
    </row>
    <row r="1433" spans="1:3" ht="45" x14ac:dyDescent="0.25">
      <c r="A1433" s="417">
        <v>41540</v>
      </c>
      <c r="B1433" s="418">
        <v>0.21069444444444443</v>
      </c>
      <c r="C1433" s="950" t="s">
        <v>1514</v>
      </c>
    </row>
    <row r="1434" spans="1:3" ht="45" x14ac:dyDescent="0.25">
      <c r="A1434" s="417">
        <v>41540</v>
      </c>
      <c r="B1434" s="418">
        <v>0.21255787037037036</v>
      </c>
      <c r="C1434" s="950" t="s">
        <v>1513</v>
      </c>
    </row>
    <row r="1435" spans="1:3" ht="45" x14ac:dyDescent="0.25">
      <c r="A1435" s="417">
        <v>41540</v>
      </c>
      <c r="B1435" s="418">
        <v>0.21724537037037037</v>
      </c>
      <c r="C1435" s="950" t="s">
        <v>1515</v>
      </c>
    </row>
    <row r="1436" spans="1:3" ht="45" x14ac:dyDescent="0.25">
      <c r="A1436" s="417">
        <v>41540</v>
      </c>
      <c r="B1436" s="418">
        <v>0.21753472222222223</v>
      </c>
      <c r="C1436" s="950" t="s">
        <v>1516</v>
      </c>
    </row>
    <row r="1437" spans="1:3" ht="45" x14ac:dyDescent="0.25">
      <c r="A1437" s="417">
        <v>41540</v>
      </c>
      <c r="B1437" s="418">
        <v>0.21819444444444444</v>
      </c>
      <c r="C1437" s="950" t="s">
        <v>1513</v>
      </c>
    </row>
    <row r="1438" spans="1:3" ht="45" x14ac:dyDescent="0.25">
      <c r="A1438" s="417">
        <v>41540</v>
      </c>
      <c r="B1438" s="418">
        <v>0.21875</v>
      </c>
      <c r="C1438" s="950" t="s">
        <v>1517</v>
      </c>
    </row>
    <row r="1439" spans="1:3" ht="45" x14ac:dyDescent="0.25">
      <c r="A1439" s="417">
        <v>41540</v>
      </c>
      <c r="B1439" s="418">
        <v>0.21898148148148147</v>
      </c>
      <c r="C1439" s="950" t="s">
        <v>1513</v>
      </c>
    </row>
    <row r="1440" spans="1:3" ht="45" x14ac:dyDescent="0.25">
      <c r="A1440" s="417">
        <v>41540</v>
      </c>
      <c r="B1440" s="418">
        <v>0.2212962962962963</v>
      </c>
      <c r="C1440" s="950" t="s">
        <v>1515</v>
      </c>
    </row>
    <row r="1441" spans="1:3" ht="45" x14ac:dyDescent="0.25">
      <c r="A1441" s="417">
        <v>41540</v>
      </c>
      <c r="B1441" s="418">
        <v>0.22207175925925926</v>
      </c>
      <c r="C1441" s="950" t="s">
        <v>1518</v>
      </c>
    </row>
    <row r="1442" spans="1:3" ht="45" x14ac:dyDescent="0.25">
      <c r="A1442" s="417">
        <v>41540</v>
      </c>
      <c r="B1442" s="418">
        <v>0.23118055555555558</v>
      </c>
      <c r="C1442" s="950" t="s">
        <v>1519</v>
      </c>
    </row>
    <row r="1443" spans="1:3" ht="45" x14ac:dyDescent="0.25">
      <c r="A1443" s="417">
        <v>41540</v>
      </c>
      <c r="B1443" s="418">
        <v>0.23155092592592594</v>
      </c>
      <c r="C1443" s="950" t="s">
        <v>1520</v>
      </c>
    </row>
    <row r="1444" spans="1:3" ht="45" x14ac:dyDescent="0.25">
      <c r="A1444" s="417">
        <v>41540</v>
      </c>
      <c r="B1444" s="418">
        <v>0.24371527777777779</v>
      </c>
      <c r="C1444" s="950" t="s">
        <v>1521</v>
      </c>
    </row>
    <row r="1445" spans="1:3" ht="45" x14ac:dyDescent="0.25">
      <c r="A1445" s="417">
        <v>41540</v>
      </c>
      <c r="B1445" s="418">
        <v>0.26680555555555557</v>
      </c>
      <c r="C1445" s="950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50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50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50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50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50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50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50" t="s">
        <v>1523</v>
      </c>
    </row>
    <row r="1688" spans="1:3" ht="45" x14ac:dyDescent="0.25">
      <c r="A1688" s="417">
        <v>41540</v>
      </c>
      <c r="B1688" s="418">
        <v>0.765162037037037</v>
      </c>
      <c r="C1688" s="950" t="s">
        <v>1524</v>
      </c>
    </row>
    <row r="1689" spans="1:3" ht="45" x14ac:dyDescent="0.25">
      <c r="A1689" s="417">
        <v>41540</v>
      </c>
      <c r="B1689" s="418">
        <v>0.76635416666666656</v>
      </c>
      <c r="C1689" s="950" t="s">
        <v>1525</v>
      </c>
    </row>
    <row r="1690" spans="1:3" ht="45" x14ac:dyDescent="0.25">
      <c r="A1690" s="417">
        <v>41540</v>
      </c>
      <c r="B1690" s="418">
        <v>0.76637731481481486</v>
      </c>
      <c r="C1690" s="950" t="s">
        <v>1526</v>
      </c>
    </row>
    <row r="1691" spans="1:3" ht="30" x14ac:dyDescent="0.25">
      <c r="A1691" s="417">
        <v>41540</v>
      </c>
      <c r="B1691" s="418">
        <v>0.76641203703703698</v>
      </c>
      <c r="C1691" s="950" t="s">
        <v>1527</v>
      </c>
    </row>
    <row r="1692" spans="1:3" ht="30" x14ac:dyDescent="0.25">
      <c r="A1692" s="417">
        <v>41540</v>
      </c>
      <c r="B1692" s="418">
        <v>0.77068287037037031</v>
      </c>
      <c r="C1692" s="950" t="s">
        <v>1528</v>
      </c>
    </row>
    <row r="1693" spans="1:3" ht="45" x14ac:dyDescent="0.25">
      <c r="A1693" s="417">
        <v>41540</v>
      </c>
      <c r="B1693" s="418">
        <v>0.77180555555555552</v>
      </c>
      <c r="C1693" s="950" t="s">
        <v>1529</v>
      </c>
    </row>
    <row r="1694" spans="1:3" ht="30" x14ac:dyDescent="0.25">
      <c r="A1694" s="417">
        <v>41540</v>
      </c>
      <c r="B1694" s="418">
        <v>0.77256944444444453</v>
      </c>
      <c r="C1694" s="950" t="s">
        <v>1530</v>
      </c>
    </row>
    <row r="1695" spans="1:3" ht="45" x14ac:dyDescent="0.25">
      <c r="A1695" s="417">
        <v>41540</v>
      </c>
      <c r="B1695" s="418">
        <v>0.78092592592592591</v>
      </c>
      <c r="C1695" s="950" t="s">
        <v>1531</v>
      </c>
    </row>
    <row r="1696" spans="1:3" ht="45" x14ac:dyDescent="0.25">
      <c r="A1696" s="417">
        <v>41540</v>
      </c>
      <c r="B1696" s="418">
        <v>0.78204861111111112</v>
      </c>
      <c r="C1696" s="950" t="s">
        <v>1532</v>
      </c>
    </row>
    <row r="1697" spans="1:3" ht="30" x14ac:dyDescent="0.25">
      <c r="A1697" s="417">
        <v>41540</v>
      </c>
      <c r="B1697" s="418">
        <v>0.78217592592592589</v>
      </c>
      <c r="C1697" s="950" t="s">
        <v>1533</v>
      </c>
    </row>
    <row r="1698" spans="1:3" ht="45" x14ac:dyDescent="0.25">
      <c r="A1698" s="417">
        <v>41540</v>
      </c>
      <c r="B1698" s="418">
        <v>0.78236111111111117</v>
      </c>
      <c r="C1698" s="950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50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50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50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50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50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50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50" t="s">
        <v>1532</v>
      </c>
    </row>
    <row r="1926" spans="1:3" ht="30" x14ac:dyDescent="0.25">
      <c r="A1926" s="417">
        <v>41540</v>
      </c>
      <c r="B1926" s="418">
        <v>0.83437499999999998</v>
      </c>
      <c r="C1926" s="950" t="s">
        <v>1572</v>
      </c>
    </row>
    <row r="1927" spans="1:3" ht="45" x14ac:dyDescent="0.25">
      <c r="A1927" s="417">
        <v>41540</v>
      </c>
      <c r="B1927" s="418">
        <v>0.83447916666666666</v>
      </c>
      <c r="C1927" s="950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50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50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50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50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50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50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50" t="s">
        <v>1574</v>
      </c>
    </row>
    <row r="2270" spans="1:3" ht="45" x14ac:dyDescent="0.25">
      <c r="A2270" s="417">
        <v>41540</v>
      </c>
      <c r="B2270" s="418">
        <v>0.91075231481481478</v>
      </c>
      <c r="C2270" s="950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50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50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50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50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50" t="s">
        <v>1579</v>
      </c>
    </row>
    <row r="2356" spans="1:3" ht="30" x14ac:dyDescent="0.25">
      <c r="A2356" s="417">
        <v>41541</v>
      </c>
      <c r="B2356" s="418">
        <v>0.95306712962962958</v>
      </c>
      <c r="C2356" s="950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50" t="s">
        <v>1532</v>
      </c>
    </row>
    <row r="2383" spans="1:3" ht="30" x14ac:dyDescent="0.25">
      <c r="A2383" s="417">
        <v>41542</v>
      </c>
      <c r="B2383" s="418">
        <v>5.724537037037037E-2</v>
      </c>
      <c r="C2383" s="950" t="s">
        <v>1584</v>
      </c>
    </row>
    <row r="2384" spans="1:3" ht="45" x14ac:dyDescent="0.25">
      <c r="A2384" s="417">
        <v>41542</v>
      </c>
      <c r="B2384" s="418">
        <v>5.7349537037037039E-2</v>
      </c>
      <c r="C2384" s="950" t="s">
        <v>1585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50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50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50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50" t="s">
        <v>1586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50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50" t="s">
        <v>1587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50" t="s">
        <v>1588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50" t="s">
        <v>1589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50" t="s">
        <v>1590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50" t="s">
        <v>1591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50" t="s">
        <v>1592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50" t="s">
        <v>1593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50" t="s">
        <v>1594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50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1595</v>
      </c>
    </row>
    <row r="2493" spans="1:3" ht="60" x14ac:dyDescent="0.25">
      <c r="A2493" s="417">
        <v>41542</v>
      </c>
      <c r="B2493" s="418">
        <v>6.3263888888888883E-2</v>
      </c>
      <c r="C2493" s="950" t="s">
        <v>1596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50" t="s">
        <v>1597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50" t="s">
        <v>1598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50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50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50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50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50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50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50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1599</v>
      </c>
    </row>
    <row r="2731" spans="1:3" ht="30" x14ac:dyDescent="0.25">
      <c r="A2731" s="417">
        <v>41542</v>
      </c>
      <c r="B2731" s="418">
        <v>7.0381944444444441E-2</v>
      </c>
      <c r="C2731" s="950" t="s">
        <v>1600</v>
      </c>
    </row>
    <row r="2732" spans="1:3" ht="45" x14ac:dyDescent="0.25">
      <c r="A2732" s="417">
        <v>41542</v>
      </c>
      <c r="B2732" s="418">
        <v>7.1157407407407405E-2</v>
      </c>
      <c r="C2732" s="950" t="s">
        <v>1601</v>
      </c>
    </row>
    <row r="2733" spans="1:3" ht="30" x14ac:dyDescent="0.25">
      <c r="A2733" s="417">
        <v>41542</v>
      </c>
      <c r="B2733" s="418">
        <v>7.1550925925925921E-2</v>
      </c>
      <c r="C2733" s="950" t="s">
        <v>1602</v>
      </c>
    </row>
    <row r="2734" spans="1:3" ht="45" x14ac:dyDescent="0.25">
      <c r="A2734" s="417">
        <v>41542</v>
      </c>
      <c r="B2734" s="418">
        <v>0.75708333333333344</v>
      </c>
      <c r="C2734" s="950" t="s">
        <v>1603</v>
      </c>
    </row>
    <row r="2735" spans="1:3" ht="45" x14ac:dyDescent="0.25">
      <c r="A2735" s="417">
        <v>41542</v>
      </c>
      <c r="B2735" s="418">
        <v>0.75710648148148152</v>
      </c>
      <c r="C2735" s="950" t="s">
        <v>1604</v>
      </c>
    </row>
    <row r="2736" spans="1:3" ht="45" x14ac:dyDescent="0.25">
      <c r="A2736" s="417">
        <v>41542</v>
      </c>
      <c r="B2736" s="418">
        <v>0.75765046296296301</v>
      </c>
      <c r="C2736" s="950" t="s">
        <v>1605</v>
      </c>
    </row>
    <row r="2737" spans="1:3" ht="45" x14ac:dyDescent="0.25">
      <c r="A2737" s="417">
        <v>41542</v>
      </c>
      <c r="B2737" s="418">
        <v>0.75766203703703694</v>
      </c>
      <c r="C2737" s="950" t="s">
        <v>1606</v>
      </c>
    </row>
    <row r="2738" spans="1:3" ht="45" x14ac:dyDescent="0.25">
      <c r="A2738" s="417">
        <v>41542</v>
      </c>
      <c r="B2738" s="418">
        <v>0.77177083333333341</v>
      </c>
      <c r="C2738" s="950" t="s">
        <v>1607</v>
      </c>
    </row>
    <row r="2739" spans="1:3" ht="45" x14ac:dyDescent="0.25">
      <c r="A2739" s="417">
        <v>41542</v>
      </c>
      <c r="B2739" s="418">
        <v>0.77393518518518523</v>
      </c>
      <c r="C2739" s="950" t="s">
        <v>1608</v>
      </c>
    </row>
    <row r="2740" spans="1:3" ht="45" x14ac:dyDescent="0.25">
      <c r="A2740" s="417">
        <v>41542</v>
      </c>
      <c r="B2740" s="418">
        <v>0.775324074074074</v>
      </c>
      <c r="C2740" s="950" t="s">
        <v>1609</v>
      </c>
    </row>
    <row r="2741" spans="1:3" ht="45" x14ac:dyDescent="0.25">
      <c r="A2741" s="417">
        <v>41542</v>
      </c>
      <c r="B2741" s="418">
        <v>0.7758449074074073</v>
      </c>
      <c r="C2741" s="950" t="s">
        <v>1610</v>
      </c>
    </row>
    <row r="2742" spans="1:3" ht="30" x14ac:dyDescent="0.25">
      <c r="A2742" s="417">
        <v>41542</v>
      </c>
      <c r="B2742" s="418">
        <v>0.77613425925925927</v>
      </c>
      <c r="C2742" s="950" t="s">
        <v>1611</v>
      </c>
    </row>
    <row r="2743" spans="1:3" ht="45" x14ac:dyDescent="0.25">
      <c r="A2743" s="417">
        <v>41542</v>
      </c>
      <c r="B2743" s="418">
        <v>0.77694444444444455</v>
      </c>
      <c r="C2743" s="950" t="s">
        <v>1532</v>
      </c>
    </row>
    <row r="2744" spans="1:3" ht="30" x14ac:dyDescent="0.25">
      <c r="A2744" s="417">
        <v>41542</v>
      </c>
      <c r="B2744" s="418">
        <v>0.77712962962962961</v>
      </c>
      <c r="C2744" s="950" t="s">
        <v>1612</v>
      </c>
    </row>
    <row r="2745" spans="1:3" ht="45" x14ac:dyDescent="0.25">
      <c r="A2745" s="417">
        <v>41542</v>
      </c>
      <c r="B2745" s="418">
        <v>0.77733796296296298</v>
      </c>
      <c r="C2745" s="950" t="s">
        <v>1613</v>
      </c>
    </row>
    <row r="2746" spans="1:3" ht="45" x14ac:dyDescent="0.25">
      <c r="A2746" s="417">
        <v>41542</v>
      </c>
      <c r="B2746" s="418">
        <v>0.77840277777777767</v>
      </c>
      <c r="C2746" s="950" t="s">
        <v>1614</v>
      </c>
    </row>
    <row r="2747" spans="1:3" ht="30" x14ac:dyDescent="0.25">
      <c r="A2747" s="417">
        <v>41542</v>
      </c>
      <c r="B2747" s="418">
        <v>0.78011574074074075</v>
      </c>
      <c r="C2747" s="950" t="s">
        <v>1615</v>
      </c>
    </row>
    <row r="2748" spans="1:3" ht="45" x14ac:dyDescent="0.25">
      <c r="A2748" s="417">
        <v>41542</v>
      </c>
      <c r="B2748" s="418">
        <v>0.78158564814814813</v>
      </c>
      <c r="C2748" s="950" t="s">
        <v>1616</v>
      </c>
    </row>
    <row r="2749" spans="1:3" ht="30" x14ac:dyDescent="0.25">
      <c r="A2749" s="417">
        <v>41542</v>
      </c>
      <c r="B2749" s="418">
        <v>0.78270833333333334</v>
      </c>
      <c r="C2749" s="950" t="s">
        <v>1617</v>
      </c>
    </row>
    <row r="2750" spans="1:3" x14ac:dyDescent="0.25">
      <c r="A2750" s="417">
        <v>41542</v>
      </c>
      <c r="B2750" s="418">
        <v>0.78590277777777784</v>
      </c>
      <c r="C2750" s="421" t="s">
        <v>1618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50" t="s">
        <v>1619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50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50" t="s">
        <v>1620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50" t="s">
        <v>1621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50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1622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1623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1624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1625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1626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1627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50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1628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1629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1630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1631</v>
      </c>
    </row>
    <row r="2971" spans="1:3" x14ac:dyDescent="0.25">
      <c r="A2971" s="417">
        <v>41542</v>
      </c>
      <c r="B2971" s="418">
        <v>0.78628472222222223</v>
      </c>
      <c r="C2971" s="421" t="s">
        <v>1632</v>
      </c>
    </row>
    <row r="2972" spans="1:3" x14ac:dyDescent="0.25">
      <c r="A2972" s="417">
        <v>41542</v>
      </c>
      <c r="B2972" s="418">
        <v>0.78628472222222223</v>
      </c>
      <c r="C2972" s="421" t="s">
        <v>1633</v>
      </c>
    </row>
    <row r="2973" spans="1:3" x14ac:dyDescent="0.25">
      <c r="A2973" s="417">
        <v>41542</v>
      </c>
      <c r="B2973" s="418">
        <v>0.78628472222222223</v>
      </c>
      <c r="C2973" s="421" t="s">
        <v>1618</v>
      </c>
    </row>
    <row r="2974" spans="1:3" x14ac:dyDescent="0.25">
      <c r="A2974" s="417">
        <v>41542</v>
      </c>
      <c r="B2974" s="418">
        <v>0.78628472222222223</v>
      </c>
      <c r="C2974" s="421" t="s">
        <v>1634</v>
      </c>
    </row>
    <row r="2975" spans="1:3" x14ac:dyDescent="0.25">
      <c r="A2975" s="417">
        <v>41542</v>
      </c>
      <c r="B2975" s="418">
        <v>0.78628472222222223</v>
      </c>
      <c r="C2975" s="421" t="s">
        <v>1635</v>
      </c>
    </row>
    <row r="2976" spans="1:3" x14ac:dyDescent="0.25">
      <c r="A2976" s="417">
        <v>41542</v>
      </c>
      <c r="B2976" s="418">
        <v>0.78628472222222223</v>
      </c>
      <c r="C2976" s="421" t="s">
        <v>1634</v>
      </c>
    </row>
    <row r="2977" spans="1:3" x14ac:dyDescent="0.25">
      <c r="A2977" s="417">
        <v>41542</v>
      </c>
      <c r="B2977" s="418">
        <v>0.78628472222222223</v>
      </c>
      <c r="C2977" s="421" t="s">
        <v>1635</v>
      </c>
    </row>
    <row r="2978" spans="1:3" x14ac:dyDescent="0.25">
      <c r="A2978" s="417">
        <v>41542</v>
      </c>
      <c r="B2978" s="418">
        <v>0.78641203703703699</v>
      </c>
      <c r="C2978" s="421" t="s">
        <v>1636</v>
      </c>
    </row>
    <row r="2979" spans="1:3" x14ac:dyDescent="0.25">
      <c r="A2979" s="417">
        <v>41542</v>
      </c>
      <c r="B2979" s="418">
        <v>0.78642361111111114</v>
      </c>
      <c r="C2979" s="421" t="s">
        <v>1637</v>
      </c>
    </row>
    <row r="2980" spans="1:3" ht="45" x14ac:dyDescent="0.25">
      <c r="A2980" s="417">
        <v>41542</v>
      </c>
      <c r="B2980" s="418">
        <v>0.91321759259259261</v>
      </c>
      <c r="C2980" s="950" t="s">
        <v>1639</v>
      </c>
    </row>
    <row r="2981" spans="1:3" x14ac:dyDescent="0.25">
      <c r="A2981" s="417">
        <v>41542</v>
      </c>
      <c r="B2981" s="418">
        <v>0.91434027777777782</v>
      </c>
      <c r="C2981" s="421" t="s">
        <v>1618</v>
      </c>
    </row>
    <row r="2982" spans="1:3" x14ac:dyDescent="0.25">
      <c r="A2982" s="417">
        <v>41542</v>
      </c>
      <c r="B2982" s="418">
        <v>0.91435185185185175</v>
      </c>
      <c r="C2982" s="421" t="s">
        <v>1238</v>
      </c>
    </row>
    <row r="2983" spans="1:3" x14ac:dyDescent="0.25">
      <c r="A2983" s="417">
        <v>41542</v>
      </c>
      <c r="B2983" s="418">
        <v>0.91435185185185175</v>
      </c>
      <c r="C2983" s="421" t="s">
        <v>1307</v>
      </c>
    </row>
    <row r="2984" spans="1:3" x14ac:dyDescent="0.25">
      <c r="A2984" s="417">
        <v>41542</v>
      </c>
      <c r="B2984" s="418">
        <v>0.91435185185185175</v>
      </c>
      <c r="C2984" s="421" t="s">
        <v>1308</v>
      </c>
    </row>
    <row r="2985" spans="1:3" x14ac:dyDescent="0.25">
      <c r="A2985" s="417">
        <v>41542</v>
      </c>
      <c r="B2985" s="418">
        <v>0.91435185185185175</v>
      </c>
      <c r="C2985" s="421" t="s">
        <v>1309</v>
      </c>
    </row>
    <row r="2986" spans="1:3" x14ac:dyDescent="0.25">
      <c r="A2986" s="417">
        <v>41542</v>
      </c>
      <c r="B2986" s="418">
        <v>0.91435185185185175</v>
      </c>
      <c r="C2986" s="421" t="s">
        <v>1310</v>
      </c>
    </row>
    <row r="2987" spans="1:3" x14ac:dyDescent="0.25">
      <c r="A2987" s="417">
        <v>41542</v>
      </c>
      <c r="B2987" s="418">
        <v>0.91435185185185175</v>
      </c>
      <c r="C2987" s="421" t="s">
        <v>1311</v>
      </c>
    </row>
    <row r="2988" spans="1:3" x14ac:dyDescent="0.25">
      <c r="A2988" s="417">
        <v>41542</v>
      </c>
      <c r="B2988" s="418">
        <v>0.91435185185185175</v>
      </c>
      <c r="C2988" s="421" t="s">
        <v>1312</v>
      </c>
    </row>
    <row r="2989" spans="1:3" x14ac:dyDescent="0.25">
      <c r="A2989" s="417">
        <v>41542</v>
      </c>
      <c r="B2989" s="418">
        <v>0.91435185185185175</v>
      </c>
      <c r="C2989" s="421" t="s">
        <v>1313</v>
      </c>
    </row>
    <row r="2990" spans="1:3" x14ac:dyDescent="0.25">
      <c r="A2990" s="417">
        <v>41542</v>
      </c>
      <c r="B2990" s="418">
        <v>0.91435185185185175</v>
      </c>
      <c r="C2990" s="421" t="s">
        <v>1310</v>
      </c>
    </row>
    <row r="2991" spans="1:3" x14ac:dyDescent="0.25">
      <c r="A2991" s="417">
        <v>41542</v>
      </c>
      <c r="B2991" s="418">
        <v>0.91435185185185175</v>
      </c>
      <c r="C2991" s="421" t="s">
        <v>1314</v>
      </c>
    </row>
    <row r="2992" spans="1:3" x14ac:dyDescent="0.25">
      <c r="A2992" s="417">
        <v>41542</v>
      </c>
      <c r="B2992" s="418">
        <v>0.91435185185185175</v>
      </c>
      <c r="C2992" s="421" t="s">
        <v>1315</v>
      </c>
    </row>
    <row r="2993" spans="1:3" x14ac:dyDescent="0.25">
      <c r="A2993" s="417">
        <v>41542</v>
      </c>
      <c r="B2993" s="418">
        <v>0.91435185185185175</v>
      </c>
      <c r="C2993" s="421" t="s">
        <v>1460</v>
      </c>
    </row>
    <row r="2994" spans="1:3" x14ac:dyDescent="0.25">
      <c r="A2994" s="417">
        <v>41542</v>
      </c>
      <c r="B2994" s="418">
        <v>0.91435185185185175</v>
      </c>
      <c r="C2994" s="421" t="s">
        <v>1461</v>
      </c>
    </row>
    <row r="2995" spans="1:3" x14ac:dyDescent="0.25">
      <c r="A2995" s="417">
        <v>41542</v>
      </c>
      <c r="B2995" s="418">
        <v>0.91435185185185175</v>
      </c>
      <c r="C2995" s="421" t="s">
        <v>1310</v>
      </c>
    </row>
    <row r="2996" spans="1:3" x14ac:dyDescent="0.25">
      <c r="A2996" s="417">
        <v>41542</v>
      </c>
      <c r="B2996" s="418">
        <v>0.91435185185185175</v>
      </c>
      <c r="C2996" s="421" t="s">
        <v>1238</v>
      </c>
    </row>
    <row r="2997" spans="1:3" x14ac:dyDescent="0.25">
      <c r="A2997" s="417">
        <v>41542</v>
      </c>
      <c r="B2997" s="418">
        <v>0.91435185185185175</v>
      </c>
      <c r="C2997" s="421" t="s">
        <v>1462</v>
      </c>
    </row>
    <row r="2998" spans="1:3" x14ac:dyDescent="0.25">
      <c r="A2998" s="417">
        <v>41542</v>
      </c>
      <c r="B2998" s="418">
        <v>0.91435185185185175</v>
      </c>
      <c r="C2998" s="421" t="s">
        <v>1316</v>
      </c>
    </row>
    <row r="2999" spans="1:3" x14ac:dyDescent="0.25">
      <c r="A2999" s="417">
        <v>41542</v>
      </c>
      <c r="B2999" s="418">
        <v>0.91435185185185175</v>
      </c>
      <c r="C2999" s="421" t="s">
        <v>1316</v>
      </c>
    </row>
    <row r="3000" spans="1:3" x14ac:dyDescent="0.25">
      <c r="A3000" s="417">
        <v>41542</v>
      </c>
      <c r="B3000" s="418">
        <v>0.91435185185185175</v>
      </c>
      <c r="C3000" s="421" t="s">
        <v>1317</v>
      </c>
    </row>
    <row r="3001" spans="1:3" x14ac:dyDescent="0.25">
      <c r="A3001" s="417">
        <v>41542</v>
      </c>
      <c r="B3001" s="418">
        <v>0.91435185185185175</v>
      </c>
      <c r="C3001" s="421" t="s">
        <v>1309</v>
      </c>
    </row>
    <row r="3002" spans="1:3" x14ac:dyDescent="0.25">
      <c r="A3002" s="417">
        <v>41542</v>
      </c>
      <c r="B3002" s="418">
        <v>0.91435185185185175</v>
      </c>
      <c r="C3002" s="421" t="s">
        <v>1318</v>
      </c>
    </row>
    <row r="3003" spans="1:3" x14ac:dyDescent="0.25">
      <c r="A3003" s="417">
        <v>41542</v>
      </c>
      <c r="B3003" s="418">
        <v>0.91435185185185175</v>
      </c>
      <c r="C3003" s="421" t="s">
        <v>1319</v>
      </c>
    </row>
    <row r="3004" spans="1:3" x14ac:dyDescent="0.25">
      <c r="A3004" s="417">
        <v>41542</v>
      </c>
      <c r="B3004" s="418">
        <v>0.91435185185185175</v>
      </c>
      <c r="C3004" s="421" t="s">
        <v>1320</v>
      </c>
    </row>
    <row r="3005" spans="1:3" x14ac:dyDescent="0.25">
      <c r="A3005" s="417">
        <v>41542</v>
      </c>
      <c r="B3005" s="418">
        <v>0.91435185185185175</v>
      </c>
      <c r="C3005" s="421" t="s">
        <v>1318</v>
      </c>
    </row>
    <row r="3006" spans="1:3" x14ac:dyDescent="0.25">
      <c r="A3006" s="417">
        <v>41542</v>
      </c>
      <c r="B3006" s="418">
        <v>0.91435185185185175</v>
      </c>
      <c r="C3006" s="421" t="s">
        <v>1307</v>
      </c>
    </row>
    <row r="3007" spans="1:3" x14ac:dyDescent="0.25">
      <c r="A3007" s="417">
        <v>41542</v>
      </c>
      <c r="B3007" s="418">
        <v>0.91435185185185175</v>
      </c>
      <c r="C3007" s="421" t="s">
        <v>1321</v>
      </c>
    </row>
    <row r="3008" spans="1:3" x14ac:dyDescent="0.25">
      <c r="A3008" s="417">
        <v>41542</v>
      </c>
      <c r="B3008" s="418">
        <v>0.91435185185185175</v>
      </c>
      <c r="C3008" s="421" t="s">
        <v>1322</v>
      </c>
    </row>
    <row r="3009" spans="1:3" x14ac:dyDescent="0.25">
      <c r="A3009" s="417">
        <v>41542</v>
      </c>
      <c r="B3009" s="418">
        <v>0.91435185185185175</v>
      </c>
      <c r="C3009" s="421" t="s">
        <v>1322</v>
      </c>
    </row>
    <row r="3010" spans="1:3" x14ac:dyDescent="0.25">
      <c r="A3010" s="417">
        <v>41542</v>
      </c>
      <c r="B3010" s="418">
        <v>0.91435185185185175</v>
      </c>
      <c r="C3010" s="421" t="s">
        <v>1323</v>
      </c>
    </row>
    <row r="3011" spans="1:3" x14ac:dyDescent="0.25">
      <c r="A3011" s="417">
        <v>41542</v>
      </c>
      <c r="B3011" s="418">
        <v>0.91435185185185175</v>
      </c>
      <c r="C3011" s="421" t="s">
        <v>1324</v>
      </c>
    </row>
    <row r="3012" spans="1:3" x14ac:dyDescent="0.25">
      <c r="A3012" s="417">
        <v>41542</v>
      </c>
      <c r="B3012" s="418">
        <v>0.91435185185185175</v>
      </c>
      <c r="C3012" s="421" t="s">
        <v>1310</v>
      </c>
    </row>
    <row r="3013" spans="1:3" x14ac:dyDescent="0.25">
      <c r="A3013" s="417">
        <v>41542</v>
      </c>
      <c r="B3013" s="418">
        <v>0.91435185185185175</v>
      </c>
      <c r="C3013" s="421" t="s">
        <v>1325</v>
      </c>
    </row>
    <row r="3014" spans="1:3" x14ac:dyDescent="0.25">
      <c r="A3014" s="417">
        <v>41542</v>
      </c>
      <c r="B3014" s="418">
        <v>0.91435185185185175</v>
      </c>
      <c r="C3014" s="421" t="s">
        <v>1326</v>
      </c>
    </row>
    <row r="3015" spans="1:3" x14ac:dyDescent="0.25">
      <c r="A3015" s="417">
        <v>41542</v>
      </c>
      <c r="B3015" s="418">
        <v>0.91435185185185175</v>
      </c>
      <c r="C3015" s="421" t="s">
        <v>1327</v>
      </c>
    </row>
    <row r="3016" spans="1:3" x14ac:dyDescent="0.25">
      <c r="A3016" s="417">
        <v>41542</v>
      </c>
      <c r="B3016" s="418">
        <v>0.91435185185185175</v>
      </c>
      <c r="C3016" s="421" t="s">
        <v>1328</v>
      </c>
    </row>
    <row r="3017" spans="1:3" ht="60" x14ac:dyDescent="0.25">
      <c r="A3017" s="417">
        <v>41542</v>
      </c>
      <c r="B3017" s="418">
        <v>0.91435185185185175</v>
      </c>
      <c r="C3017" s="950" t="s">
        <v>1619</v>
      </c>
    </row>
    <row r="3018" spans="1:3" x14ac:dyDescent="0.25">
      <c r="A3018" s="417">
        <v>41542</v>
      </c>
      <c r="B3018" s="418">
        <v>0.91447916666666673</v>
      </c>
      <c r="C3018" s="421" t="s">
        <v>1323</v>
      </c>
    </row>
    <row r="3019" spans="1:3" x14ac:dyDescent="0.25">
      <c r="A3019" s="417">
        <v>41542</v>
      </c>
      <c r="B3019" s="418">
        <v>0.91447916666666673</v>
      </c>
      <c r="C3019" s="421" t="s">
        <v>1342</v>
      </c>
    </row>
    <row r="3020" spans="1:3" x14ac:dyDescent="0.25">
      <c r="A3020" s="417">
        <v>41542</v>
      </c>
      <c r="B3020" s="418">
        <v>0.91447916666666673</v>
      </c>
      <c r="C3020" s="421" t="s">
        <v>1343</v>
      </c>
    </row>
    <row r="3021" spans="1:3" x14ac:dyDescent="0.25">
      <c r="A3021" s="417">
        <v>41542</v>
      </c>
      <c r="B3021" s="418">
        <v>0.91447916666666673</v>
      </c>
      <c r="C3021" s="421" t="s">
        <v>1344</v>
      </c>
    </row>
    <row r="3022" spans="1:3" x14ac:dyDescent="0.25">
      <c r="A3022" s="417">
        <v>41542</v>
      </c>
      <c r="B3022" s="418">
        <v>0.91447916666666673</v>
      </c>
      <c r="C3022" s="421" t="s">
        <v>1344</v>
      </c>
    </row>
    <row r="3023" spans="1:3" x14ac:dyDescent="0.25">
      <c r="A3023" s="417">
        <v>41542</v>
      </c>
      <c r="B3023" s="418">
        <v>0.91447916666666673</v>
      </c>
      <c r="C3023" s="421" t="s">
        <v>1310</v>
      </c>
    </row>
    <row r="3024" spans="1:3" x14ac:dyDescent="0.25">
      <c r="A3024" s="417">
        <v>41542</v>
      </c>
      <c r="B3024" s="418">
        <v>0.91447916666666673</v>
      </c>
      <c r="C3024" s="421" t="s">
        <v>1345</v>
      </c>
    </row>
    <row r="3025" spans="1:3" x14ac:dyDescent="0.25">
      <c r="A3025" s="417">
        <v>41542</v>
      </c>
      <c r="B3025" s="418">
        <v>0.91447916666666673</v>
      </c>
      <c r="C3025" s="421" t="s">
        <v>1346</v>
      </c>
    </row>
    <row r="3026" spans="1:3" x14ac:dyDescent="0.25">
      <c r="A3026" s="417">
        <v>41542</v>
      </c>
      <c r="B3026" s="418">
        <v>0.91447916666666673</v>
      </c>
      <c r="C3026" s="421" t="s">
        <v>1347</v>
      </c>
    </row>
    <row r="3027" spans="1:3" x14ac:dyDescent="0.25">
      <c r="A3027" s="417">
        <v>41542</v>
      </c>
      <c r="B3027" s="418">
        <v>0.91447916666666673</v>
      </c>
      <c r="C3027" s="421" t="s">
        <v>1348</v>
      </c>
    </row>
    <row r="3028" spans="1:3" x14ac:dyDescent="0.25">
      <c r="A3028" s="417">
        <v>41542</v>
      </c>
      <c r="B3028" s="418">
        <v>0.91447916666666673</v>
      </c>
      <c r="C3028" s="421" t="s">
        <v>1349</v>
      </c>
    </row>
    <row r="3029" spans="1:3" x14ac:dyDescent="0.25">
      <c r="A3029" s="417">
        <v>41542</v>
      </c>
      <c r="B3029" s="418">
        <v>0.91447916666666673</v>
      </c>
      <c r="C3029" s="421" t="s">
        <v>1349</v>
      </c>
    </row>
    <row r="3030" spans="1:3" x14ac:dyDescent="0.25">
      <c r="A3030" s="417">
        <v>41542</v>
      </c>
      <c r="B3030" s="418">
        <v>0.91447916666666673</v>
      </c>
      <c r="C3030" s="421" t="s">
        <v>1348</v>
      </c>
    </row>
    <row r="3031" spans="1:3" x14ac:dyDescent="0.25">
      <c r="A3031" s="417">
        <v>41542</v>
      </c>
      <c r="B3031" s="418">
        <v>0.91447916666666673</v>
      </c>
      <c r="C3031" s="421" t="s">
        <v>1350</v>
      </c>
    </row>
    <row r="3032" spans="1:3" x14ac:dyDescent="0.25">
      <c r="A3032" s="417">
        <v>41542</v>
      </c>
      <c r="B3032" s="418">
        <v>0.91447916666666673</v>
      </c>
      <c r="C3032" s="421" t="s">
        <v>1351</v>
      </c>
    </row>
    <row r="3033" spans="1:3" x14ac:dyDescent="0.25">
      <c r="A3033" s="417">
        <v>41542</v>
      </c>
      <c r="B3033" s="418">
        <v>0.91447916666666673</v>
      </c>
      <c r="C3033" s="421" t="s">
        <v>1352</v>
      </c>
    </row>
    <row r="3034" spans="1:3" x14ac:dyDescent="0.25">
      <c r="A3034" s="417">
        <v>41542</v>
      </c>
      <c r="B3034" s="418">
        <v>0.91447916666666673</v>
      </c>
      <c r="C3034" s="421" t="s">
        <v>1287</v>
      </c>
    </row>
    <row r="3035" spans="1:3" ht="60" x14ac:dyDescent="0.25">
      <c r="A3035" s="417">
        <v>41542</v>
      </c>
      <c r="B3035" s="418">
        <v>0.91447916666666673</v>
      </c>
      <c r="C3035" s="950" t="s">
        <v>1288</v>
      </c>
    </row>
    <row r="3036" spans="1:3" x14ac:dyDescent="0.25">
      <c r="A3036" s="417">
        <v>41542</v>
      </c>
      <c r="B3036" s="418">
        <v>0.91450231481481481</v>
      </c>
      <c r="C3036" s="421" t="s">
        <v>1353</v>
      </c>
    </row>
    <row r="3037" spans="1:3" x14ac:dyDescent="0.25">
      <c r="A3037" s="417">
        <v>41542</v>
      </c>
      <c r="B3037" s="418">
        <v>0.91450231481481481</v>
      </c>
      <c r="C3037" s="421" t="s">
        <v>1354</v>
      </c>
    </row>
    <row r="3038" spans="1:3" x14ac:dyDescent="0.25">
      <c r="A3038" s="417">
        <v>41542</v>
      </c>
      <c r="B3038" s="418">
        <v>0.91450231481481481</v>
      </c>
      <c r="C3038" s="421" t="s">
        <v>1355</v>
      </c>
    </row>
    <row r="3039" spans="1:3" x14ac:dyDescent="0.25">
      <c r="A3039" s="417">
        <v>41542</v>
      </c>
      <c r="B3039" s="418">
        <v>0.91450231481481481</v>
      </c>
      <c r="C3039" s="421" t="s">
        <v>1357</v>
      </c>
    </row>
    <row r="3040" spans="1:3" x14ac:dyDescent="0.25">
      <c r="A3040" s="417">
        <v>41542</v>
      </c>
      <c r="B3040" s="418">
        <v>0.91450231481481481</v>
      </c>
      <c r="C3040" s="421" t="s">
        <v>1358</v>
      </c>
    </row>
    <row r="3041" spans="1:3" x14ac:dyDescent="0.25">
      <c r="A3041" s="417">
        <v>41542</v>
      </c>
      <c r="B3041" s="418">
        <v>0.91450231481481481</v>
      </c>
      <c r="C3041" s="421" t="s">
        <v>1359</v>
      </c>
    </row>
    <row r="3042" spans="1:3" x14ac:dyDescent="0.25">
      <c r="A3042" s="417">
        <v>41542</v>
      </c>
      <c r="B3042" s="418">
        <v>0.91450231481481481</v>
      </c>
      <c r="C3042" s="421" t="s">
        <v>1360</v>
      </c>
    </row>
    <row r="3043" spans="1:3" x14ac:dyDescent="0.25">
      <c r="A3043" s="417">
        <v>41542</v>
      </c>
      <c r="B3043" s="418">
        <v>0.91450231481481481</v>
      </c>
      <c r="C3043" s="421" t="s">
        <v>1361</v>
      </c>
    </row>
    <row r="3044" spans="1:3" x14ac:dyDescent="0.25">
      <c r="A3044" s="417">
        <v>41542</v>
      </c>
      <c r="B3044" s="418">
        <v>0.91450231481481481</v>
      </c>
      <c r="C3044" s="421" t="s">
        <v>1317</v>
      </c>
    </row>
    <row r="3045" spans="1:3" x14ac:dyDescent="0.25">
      <c r="A3045" s="417">
        <v>41542</v>
      </c>
      <c r="B3045" s="418">
        <v>0.91450231481481481</v>
      </c>
      <c r="C3045" s="421" t="s">
        <v>1537</v>
      </c>
    </row>
    <row r="3046" spans="1:3" x14ac:dyDescent="0.25">
      <c r="A3046" s="417">
        <v>41542</v>
      </c>
      <c r="B3046" s="418">
        <v>0.91450231481481481</v>
      </c>
      <c r="C3046" s="421" t="s">
        <v>1362</v>
      </c>
    </row>
    <row r="3047" spans="1:3" x14ac:dyDescent="0.25">
      <c r="A3047" s="417">
        <v>41542</v>
      </c>
      <c r="B3047" s="418">
        <v>0.91450231481481481</v>
      </c>
      <c r="C3047" s="421" t="s">
        <v>1355</v>
      </c>
    </row>
    <row r="3048" spans="1:3" x14ac:dyDescent="0.25">
      <c r="A3048" s="417">
        <v>41542</v>
      </c>
      <c r="B3048" s="418">
        <v>0.91450231481481481</v>
      </c>
      <c r="C3048" s="421" t="s">
        <v>1363</v>
      </c>
    </row>
    <row r="3049" spans="1:3" x14ac:dyDescent="0.25">
      <c r="A3049" s="417">
        <v>41542</v>
      </c>
      <c r="B3049" s="418">
        <v>0.91450231481481481</v>
      </c>
      <c r="C3049" s="421" t="s">
        <v>1364</v>
      </c>
    </row>
    <row r="3050" spans="1:3" x14ac:dyDescent="0.25">
      <c r="A3050" s="417">
        <v>41542</v>
      </c>
      <c r="B3050" s="418">
        <v>0.91450231481481481</v>
      </c>
      <c r="C3050" s="421" t="s">
        <v>1365</v>
      </c>
    </row>
    <row r="3051" spans="1:3" x14ac:dyDescent="0.25">
      <c r="A3051" s="417">
        <v>41542</v>
      </c>
      <c r="B3051" s="418">
        <v>0.91450231481481481</v>
      </c>
      <c r="C3051" s="421" t="s">
        <v>1365</v>
      </c>
    </row>
    <row r="3052" spans="1:3" x14ac:dyDescent="0.25">
      <c r="A3052" s="417">
        <v>41542</v>
      </c>
      <c r="B3052" s="418">
        <v>0.91450231481481481</v>
      </c>
      <c r="C3052" s="421" t="s">
        <v>1366</v>
      </c>
    </row>
    <row r="3053" spans="1:3" x14ac:dyDescent="0.25">
      <c r="A3053" s="417">
        <v>41542</v>
      </c>
      <c r="B3053" s="418">
        <v>0.91450231481481481</v>
      </c>
      <c r="C3053" s="421" t="s">
        <v>1320</v>
      </c>
    </row>
    <row r="3054" spans="1:3" x14ac:dyDescent="0.25">
      <c r="A3054" s="417">
        <v>41542</v>
      </c>
      <c r="B3054" s="418">
        <v>0.91450231481481481</v>
      </c>
      <c r="C3054" s="421" t="s">
        <v>1367</v>
      </c>
    </row>
    <row r="3055" spans="1:3" x14ac:dyDescent="0.25">
      <c r="A3055" s="417">
        <v>41542</v>
      </c>
      <c r="B3055" s="418">
        <v>0.91450231481481481</v>
      </c>
      <c r="C3055" s="421" t="s">
        <v>1344</v>
      </c>
    </row>
    <row r="3056" spans="1:3" x14ac:dyDescent="0.25">
      <c r="A3056" s="417">
        <v>41542</v>
      </c>
      <c r="B3056" s="418">
        <v>0.91450231481481481</v>
      </c>
      <c r="C3056" s="421" t="s">
        <v>1368</v>
      </c>
    </row>
    <row r="3057" spans="1:3" x14ac:dyDescent="0.25">
      <c r="A3057" s="417">
        <v>41542</v>
      </c>
      <c r="B3057" s="418">
        <v>0.91450231481481481</v>
      </c>
      <c r="C3057" s="421" t="s">
        <v>1369</v>
      </c>
    </row>
    <row r="3058" spans="1:3" x14ac:dyDescent="0.25">
      <c r="A3058" s="417">
        <v>41542</v>
      </c>
      <c r="B3058" s="418">
        <v>0.91450231481481481</v>
      </c>
      <c r="C3058" s="421" t="s">
        <v>1307</v>
      </c>
    </row>
    <row r="3059" spans="1:3" x14ac:dyDescent="0.25">
      <c r="A3059" s="417">
        <v>41542</v>
      </c>
      <c r="B3059" s="418">
        <v>0.91450231481481481</v>
      </c>
      <c r="C3059" s="421" t="s">
        <v>1370</v>
      </c>
    </row>
    <row r="3060" spans="1:3" x14ac:dyDescent="0.25">
      <c r="A3060" s="417">
        <v>41542</v>
      </c>
      <c r="B3060" s="418">
        <v>0.91450231481481481</v>
      </c>
      <c r="C3060" s="421" t="s">
        <v>1371</v>
      </c>
    </row>
    <row r="3061" spans="1:3" x14ac:dyDescent="0.25">
      <c r="A3061" s="417">
        <v>41542</v>
      </c>
      <c r="B3061" s="418">
        <v>0.91450231481481481</v>
      </c>
      <c r="C3061" s="421" t="s">
        <v>1344</v>
      </c>
    </row>
    <row r="3062" spans="1:3" x14ac:dyDescent="0.25">
      <c r="A3062" s="417">
        <v>41542</v>
      </c>
      <c r="B3062" s="418">
        <v>0.91450231481481481</v>
      </c>
      <c r="C3062" s="421" t="s">
        <v>1317</v>
      </c>
    </row>
    <row r="3063" spans="1:3" x14ac:dyDescent="0.25">
      <c r="A3063" s="417">
        <v>41542</v>
      </c>
      <c r="B3063" s="418">
        <v>0.91450231481481481</v>
      </c>
      <c r="C3063" s="421" t="s">
        <v>1463</v>
      </c>
    </row>
    <row r="3064" spans="1:3" x14ac:dyDescent="0.25">
      <c r="A3064" s="417">
        <v>41542</v>
      </c>
      <c r="B3064" s="418">
        <v>0.91450231481481481</v>
      </c>
      <c r="C3064" s="421" t="s">
        <v>1378</v>
      </c>
    </row>
    <row r="3065" spans="1:3" ht="60" x14ac:dyDescent="0.25">
      <c r="A3065" s="417">
        <v>41542</v>
      </c>
      <c r="B3065" s="418">
        <v>0.91450231481481481</v>
      </c>
      <c r="C3065" s="950" t="s">
        <v>1620</v>
      </c>
    </row>
    <row r="3066" spans="1:3" x14ac:dyDescent="0.25">
      <c r="A3066" s="417">
        <v>41542</v>
      </c>
      <c r="B3066" s="418">
        <v>0.91451388888888896</v>
      </c>
      <c r="C3066" s="421" t="s">
        <v>1373</v>
      </c>
    </row>
    <row r="3067" spans="1:3" x14ac:dyDescent="0.25">
      <c r="A3067" s="417">
        <v>41542</v>
      </c>
      <c r="B3067" s="418">
        <v>0.91451388888888896</v>
      </c>
      <c r="C3067" s="421" t="s">
        <v>1308</v>
      </c>
    </row>
    <row r="3068" spans="1:3" x14ac:dyDescent="0.25">
      <c r="A3068" s="417">
        <v>41542</v>
      </c>
      <c r="B3068" s="418">
        <v>0.91451388888888896</v>
      </c>
      <c r="C3068" s="421" t="s">
        <v>1374</v>
      </c>
    </row>
    <row r="3069" spans="1:3" x14ac:dyDescent="0.25">
      <c r="A3069" s="417">
        <v>41542</v>
      </c>
      <c r="B3069" s="418">
        <v>0.91451388888888896</v>
      </c>
      <c r="C3069" s="421" t="s">
        <v>1375</v>
      </c>
    </row>
    <row r="3070" spans="1:3" x14ac:dyDescent="0.25">
      <c r="A3070" s="417">
        <v>41542</v>
      </c>
      <c r="B3070" s="418">
        <v>0.91451388888888896</v>
      </c>
      <c r="C3070" s="421" t="s">
        <v>1376</v>
      </c>
    </row>
    <row r="3071" spans="1:3" x14ac:dyDescent="0.25">
      <c r="A3071" s="417">
        <v>41542</v>
      </c>
      <c r="B3071" s="418">
        <v>0.91451388888888896</v>
      </c>
      <c r="C3071" s="421" t="s">
        <v>1377</v>
      </c>
    </row>
    <row r="3072" spans="1:3" x14ac:dyDescent="0.25">
      <c r="A3072" s="417">
        <v>41542</v>
      </c>
      <c r="B3072" s="418">
        <v>0.91451388888888896</v>
      </c>
      <c r="C3072" s="421" t="s">
        <v>1326</v>
      </c>
    </row>
    <row r="3073" spans="1:3" x14ac:dyDescent="0.25">
      <c r="A3073" s="417">
        <v>41542</v>
      </c>
      <c r="B3073" s="418">
        <v>0.91451388888888896</v>
      </c>
      <c r="C3073" s="421" t="s">
        <v>1378</v>
      </c>
    </row>
    <row r="3074" spans="1:3" ht="60" x14ac:dyDescent="0.25">
      <c r="A3074" s="417">
        <v>41542</v>
      </c>
      <c r="B3074" s="418">
        <v>0.91451388888888896</v>
      </c>
      <c r="C3074" s="950" t="s">
        <v>1621</v>
      </c>
    </row>
    <row r="3075" spans="1:3" x14ac:dyDescent="0.25">
      <c r="A3075" s="417">
        <v>41542</v>
      </c>
      <c r="B3075" s="418">
        <v>0.914525462962963</v>
      </c>
      <c r="C3075" s="421" t="s">
        <v>1380</v>
      </c>
    </row>
    <row r="3076" spans="1:3" x14ac:dyDescent="0.25">
      <c r="A3076" s="417">
        <v>41542</v>
      </c>
      <c r="B3076" s="418">
        <v>0.914525462962963</v>
      </c>
      <c r="C3076" s="421" t="s">
        <v>1381</v>
      </c>
    </row>
    <row r="3077" spans="1:3" x14ac:dyDescent="0.25">
      <c r="A3077" s="417">
        <v>41542</v>
      </c>
      <c r="B3077" s="418">
        <v>0.914525462962963</v>
      </c>
      <c r="C3077" s="421" t="s">
        <v>1382</v>
      </c>
    </row>
    <row r="3078" spans="1:3" x14ac:dyDescent="0.25">
      <c r="A3078" s="417">
        <v>41542</v>
      </c>
      <c r="B3078" s="418">
        <v>0.914525462962963</v>
      </c>
      <c r="C3078" s="421" t="s">
        <v>1383</v>
      </c>
    </row>
    <row r="3079" spans="1:3" x14ac:dyDescent="0.25">
      <c r="A3079" s="417">
        <v>41542</v>
      </c>
      <c r="B3079" s="418">
        <v>0.914525462962963</v>
      </c>
      <c r="C3079" s="421" t="s">
        <v>1352</v>
      </c>
    </row>
    <row r="3080" spans="1:3" x14ac:dyDescent="0.25">
      <c r="A3080" s="417">
        <v>41542</v>
      </c>
      <c r="B3080" s="418">
        <v>0.914525462962963</v>
      </c>
      <c r="C3080" s="421" t="s">
        <v>1384</v>
      </c>
    </row>
    <row r="3081" spans="1:3" x14ac:dyDescent="0.25">
      <c r="A3081" s="417">
        <v>41542</v>
      </c>
      <c r="B3081" s="418">
        <v>0.914525462962963</v>
      </c>
      <c r="C3081" s="421" t="s">
        <v>1385</v>
      </c>
    </row>
    <row r="3082" spans="1:3" x14ac:dyDescent="0.25">
      <c r="A3082" s="417">
        <v>41542</v>
      </c>
      <c r="B3082" s="418">
        <v>0.914525462962963</v>
      </c>
      <c r="C3082" s="421" t="s">
        <v>1385</v>
      </c>
    </row>
    <row r="3083" spans="1:3" x14ac:dyDescent="0.25">
      <c r="A3083" s="417">
        <v>41542</v>
      </c>
      <c r="B3083" s="418">
        <v>0.914525462962963</v>
      </c>
      <c r="C3083" s="421" t="s">
        <v>1386</v>
      </c>
    </row>
    <row r="3084" spans="1:3" x14ac:dyDescent="0.25">
      <c r="A3084" s="417">
        <v>41542</v>
      </c>
      <c r="B3084" s="418">
        <v>0.914525462962963</v>
      </c>
      <c r="C3084" s="421" t="s">
        <v>1387</v>
      </c>
    </row>
    <row r="3085" spans="1:3" x14ac:dyDescent="0.25">
      <c r="A3085" s="417">
        <v>41542</v>
      </c>
      <c r="B3085" s="418">
        <v>0.914525462962963</v>
      </c>
      <c r="C3085" s="421" t="s">
        <v>1387</v>
      </c>
    </row>
    <row r="3086" spans="1:3" x14ac:dyDescent="0.25">
      <c r="A3086" s="417">
        <v>41542</v>
      </c>
      <c r="B3086" s="418">
        <v>0.914525462962963</v>
      </c>
      <c r="C3086" s="421" t="s">
        <v>1318</v>
      </c>
    </row>
    <row r="3087" spans="1:3" x14ac:dyDescent="0.25">
      <c r="A3087" s="417">
        <v>41542</v>
      </c>
      <c r="B3087" s="418">
        <v>0.914525462962963</v>
      </c>
      <c r="C3087" s="421" t="s">
        <v>1388</v>
      </c>
    </row>
    <row r="3088" spans="1:3" x14ac:dyDescent="0.25">
      <c r="A3088" s="417">
        <v>41542</v>
      </c>
      <c r="B3088" s="418">
        <v>0.914525462962963</v>
      </c>
      <c r="C3088" s="421" t="s">
        <v>1390</v>
      </c>
    </row>
    <row r="3089" spans="1:3" x14ac:dyDescent="0.25">
      <c r="A3089" s="417">
        <v>41542</v>
      </c>
      <c r="B3089" s="418">
        <v>0.914525462962963</v>
      </c>
      <c r="C3089" s="421" t="s">
        <v>1391</v>
      </c>
    </row>
    <row r="3090" spans="1:3" x14ac:dyDescent="0.25">
      <c r="A3090" s="417">
        <v>41542</v>
      </c>
      <c r="B3090" s="418">
        <v>0.914525462962963</v>
      </c>
      <c r="C3090" s="421" t="s">
        <v>1392</v>
      </c>
    </row>
    <row r="3091" spans="1:3" x14ac:dyDescent="0.25">
      <c r="A3091" s="417">
        <v>41542</v>
      </c>
      <c r="B3091" s="418">
        <v>0.914525462962963</v>
      </c>
      <c r="C3091" s="421" t="s">
        <v>1294</v>
      </c>
    </row>
    <row r="3092" spans="1:3" ht="60" x14ac:dyDescent="0.25">
      <c r="A3092" s="417">
        <v>41542</v>
      </c>
      <c r="B3092" s="418">
        <v>0.914525462962963</v>
      </c>
      <c r="C3092" s="950" t="s">
        <v>1295</v>
      </c>
    </row>
    <row r="3093" spans="1:3" x14ac:dyDescent="0.25">
      <c r="A3093" s="417">
        <v>41542</v>
      </c>
      <c r="B3093" s="418">
        <v>0.91453703703703704</v>
      </c>
      <c r="C3093" s="421" t="s">
        <v>1393</v>
      </c>
    </row>
    <row r="3094" spans="1:3" x14ac:dyDescent="0.25">
      <c r="A3094" s="417">
        <v>41542</v>
      </c>
      <c r="B3094" s="418">
        <v>0.91453703703703704</v>
      </c>
      <c r="C3094" s="421" t="s">
        <v>1394</v>
      </c>
    </row>
    <row r="3095" spans="1:3" x14ac:dyDescent="0.25">
      <c r="A3095" s="417">
        <v>41542</v>
      </c>
      <c r="B3095" s="418">
        <v>0.91453703703703704</v>
      </c>
      <c r="C3095" s="421" t="s">
        <v>1392</v>
      </c>
    </row>
    <row r="3096" spans="1:3" x14ac:dyDescent="0.25">
      <c r="A3096" s="417">
        <v>41542</v>
      </c>
      <c r="B3096" s="418">
        <v>0.91453703703703704</v>
      </c>
      <c r="C3096" s="421" t="s">
        <v>1395</v>
      </c>
    </row>
    <row r="3097" spans="1:3" x14ac:dyDescent="0.25">
      <c r="A3097" s="417">
        <v>41542</v>
      </c>
      <c r="B3097" s="418">
        <v>0.91453703703703704</v>
      </c>
      <c r="C3097" s="421" t="s">
        <v>1396</v>
      </c>
    </row>
    <row r="3098" spans="1:3" x14ac:dyDescent="0.25">
      <c r="A3098" s="417">
        <v>41542</v>
      </c>
      <c r="B3098" s="418">
        <v>0.91453703703703704</v>
      </c>
      <c r="C3098" s="421" t="s">
        <v>1363</v>
      </c>
    </row>
    <row r="3099" spans="1:3" x14ac:dyDescent="0.25">
      <c r="A3099" s="417">
        <v>41542</v>
      </c>
      <c r="B3099" s="418">
        <v>0.91453703703703704</v>
      </c>
      <c r="C3099" s="421" t="s">
        <v>1362</v>
      </c>
    </row>
    <row r="3100" spans="1:3" x14ac:dyDescent="0.25">
      <c r="A3100" s="417">
        <v>41542</v>
      </c>
      <c r="B3100" s="418">
        <v>0.91453703703703704</v>
      </c>
      <c r="C3100" s="421" t="s">
        <v>1397</v>
      </c>
    </row>
    <row r="3101" spans="1:3" x14ac:dyDescent="0.25">
      <c r="A3101" s="417">
        <v>41542</v>
      </c>
      <c r="B3101" s="418">
        <v>0.91453703703703704</v>
      </c>
      <c r="C3101" s="421" t="s">
        <v>1381</v>
      </c>
    </row>
    <row r="3102" spans="1:3" x14ac:dyDescent="0.25">
      <c r="A3102" s="417">
        <v>41542</v>
      </c>
      <c r="B3102" s="418">
        <v>0.91453703703703704</v>
      </c>
      <c r="C3102" s="421" t="s">
        <v>1398</v>
      </c>
    </row>
    <row r="3103" spans="1:3" x14ac:dyDescent="0.25">
      <c r="A3103" s="417">
        <v>41542</v>
      </c>
      <c r="B3103" s="418">
        <v>0.91453703703703704</v>
      </c>
      <c r="C3103" s="421" t="s">
        <v>1399</v>
      </c>
    </row>
    <row r="3104" spans="1:3" x14ac:dyDescent="0.25">
      <c r="A3104" s="417">
        <v>41542</v>
      </c>
      <c r="B3104" s="418">
        <v>0.91453703703703704</v>
      </c>
      <c r="C3104" s="421" t="s">
        <v>1400</v>
      </c>
    </row>
    <row r="3105" spans="1:3" x14ac:dyDescent="0.25">
      <c r="A3105" s="417">
        <v>41542</v>
      </c>
      <c r="B3105" s="418">
        <v>0.91453703703703704</v>
      </c>
      <c r="C3105" s="421" t="s">
        <v>1400</v>
      </c>
    </row>
    <row r="3106" spans="1:3" x14ac:dyDescent="0.25">
      <c r="A3106" s="417">
        <v>41542</v>
      </c>
      <c r="B3106" s="418">
        <v>0.91453703703703704</v>
      </c>
      <c r="C3106" s="421" t="s">
        <v>1373</v>
      </c>
    </row>
    <row r="3107" spans="1:3" x14ac:dyDescent="0.25">
      <c r="A3107" s="417">
        <v>41542</v>
      </c>
      <c r="B3107" s="418">
        <v>0.91453703703703704</v>
      </c>
      <c r="C3107" s="421" t="s">
        <v>1353</v>
      </c>
    </row>
    <row r="3108" spans="1:3" x14ac:dyDescent="0.25">
      <c r="A3108" s="417">
        <v>41542</v>
      </c>
      <c r="B3108" s="418">
        <v>0.91453703703703704</v>
      </c>
      <c r="C3108" s="421" t="s">
        <v>1353</v>
      </c>
    </row>
    <row r="3109" spans="1:3" x14ac:dyDescent="0.25">
      <c r="A3109" s="417">
        <v>41542</v>
      </c>
      <c r="B3109" s="418">
        <v>0.91453703703703704</v>
      </c>
      <c r="C3109" s="421" t="s">
        <v>1401</v>
      </c>
    </row>
    <row r="3110" spans="1:3" x14ac:dyDescent="0.25">
      <c r="A3110" s="417">
        <v>41542</v>
      </c>
      <c r="B3110" s="418">
        <v>0.91453703703703704</v>
      </c>
      <c r="C3110" s="421" t="s">
        <v>1392</v>
      </c>
    </row>
    <row r="3111" spans="1:3" x14ac:dyDescent="0.25">
      <c r="A3111" s="417">
        <v>41542</v>
      </c>
      <c r="B3111" s="418">
        <v>0.91453703703703704</v>
      </c>
      <c r="C3111" s="421" t="s">
        <v>1403</v>
      </c>
    </row>
    <row r="3112" spans="1:3" x14ac:dyDescent="0.25">
      <c r="A3112" s="417">
        <v>41542</v>
      </c>
      <c r="B3112" s="418">
        <v>0.91453703703703704</v>
      </c>
      <c r="C3112" s="421" t="s">
        <v>1403</v>
      </c>
    </row>
    <row r="3113" spans="1:3" x14ac:dyDescent="0.25">
      <c r="A3113" s="417">
        <v>41542</v>
      </c>
      <c r="B3113" s="418">
        <v>0.91453703703703704</v>
      </c>
      <c r="C3113" s="421" t="s">
        <v>1403</v>
      </c>
    </row>
    <row r="3114" spans="1:3" x14ac:dyDescent="0.25">
      <c r="A3114" s="417">
        <v>41542</v>
      </c>
      <c r="B3114" s="418">
        <v>0.91453703703703704</v>
      </c>
      <c r="C3114" s="421" t="s">
        <v>1362</v>
      </c>
    </row>
    <row r="3115" spans="1:3" x14ac:dyDescent="0.25">
      <c r="A3115" s="417">
        <v>41542</v>
      </c>
      <c r="B3115" s="418">
        <v>0.91453703703703704</v>
      </c>
      <c r="C3115" s="421" t="s">
        <v>1364</v>
      </c>
    </row>
    <row r="3116" spans="1:3" x14ac:dyDescent="0.25">
      <c r="A3116" s="417">
        <v>41542</v>
      </c>
      <c r="B3116" s="418">
        <v>0.91453703703703704</v>
      </c>
      <c r="C3116" s="421" t="s">
        <v>1364</v>
      </c>
    </row>
    <row r="3117" spans="1:3" x14ac:dyDescent="0.25">
      <c r="A3117" s="417">
        <v>41542</v>
      </c>
      <c r="B3117" s="418">
        <v>0.91453703703703704</v>
      </c>
      <c r="C3117" s="421" t="s">
        <v>1381</v>
      </c>
    </row>
    <row r="3118" spans="1:3" x14ac:dyDescent="0.25">
      <c r="A3118" s="417">
        <v>41542</v>
      </c>
      <c r="B3118" s="418">
        <v>0.91453703703703704</v>
      </c>
      <c r="C3118" s="421" t="s">
        <v>1364</v>
      </c>
    </row>
    <row r="3119" spans="1:3" x14ac:dyDescent="0.25">
      <c r="A3119" s="417">
        <v>41542</v>
      </c>
      <c r="B3119" s="418">
        <v>0.91453703703703704</v>
      </c>
      <c r="C3119" s="421" t="s">
        <v>1480</v>
      </c>
    </row>
    <row r="3120" spans="1:3" x14ac:dyDescent="0.25">
      <c r="A3120" s="417">
        <v>41542</v>
      </c>
      <c r="B3120" s="418">
        <v>0.91453703703703704</v>
      </c>
      <c r="C3120" s="421" t="s">
        <v>1480</v>
      </c>
    </row>
    <row r="3121" spans="1:3" x14ac:dyDescent="0.25">
      <c r="A3121" s="417">
        <v>41542</v>
      </c>
      <c r="B3121" s="418">
        <v>0.91453703703703704</v>
      </c>
      <c r="C3121" s="421" t="s">
        <v>1480</v>
      </c>
    </row>
    <row r="3122" spans="1:3" x14ac:dyDescent="0.25">
      <c r="A3122" s="417">
        <v>41542</v>
      </c>
      <c r="B3122" s="418">
        <v>0.91453703703703704</v>
      </c>
      <c r="C3122" s="421" t="s">
        <v>1622</v>
      </c>
    </row>
    <row r="3123" spans="1:3" x14ac:dyDescent="0.25">
      <c r="A3123" s="417">
        <v>41542</v>
      </c>
      <c r="B3123" s="418">
        <v>0.91453703703703704</v>
      </c>
      <c r="C3123" s="421" t="s">
        <v>1541</v>
      </c>
    </row>
    <row r="3124" spans="1:3" x14ac:dyDescent="0.25">
      <c r="A3124" s="417">
        <v>41542</v>
      </c>
      <c r="B3124" s="418">
        <v>0.91453703703703704</v>
      </c>
      <c r="C3124" s="421" t="s">
        <v>1346</v>
      </c>
    </row>
    <row r="3125" spans="1:3" x14ac:dyDescent="0.25">
      <c r="A3125" s="417">
        <v>41542</v>
      </c>
      <c r="B3125" s="418">
        <v>0.91453703703703704</v>
      </c>
      <c r="C3125" s="421" t="s">
        <v>1405</v>
      </c>
    </row>
    <row r="3126" spans="1:3" x14ac:dyDescent="0.25">
      <c r="A3126" s="417">
        <v>41542</v>
      </c>
      <c r="B3126" s="418">
        <v>0.91453703703703704</v>
      </c>
      <c r="C3126" s="421" t="s">
        <v>1406</v>
      </c>
    </row>
    <row r="3127" spans="1:3" x14ac:dyDescent="0.25">
      <c r="A3127" s="417">
        <v>41542</v>
      </c>
      <c r="B3127" s="418">
        <v>0.91453703703703704</v>
      </c>
      <c r="C3127" s="421" t="s">
        <v>1362</v>
      </c>
    </row>
    <row r="3128" spans="1:3" x14ac:dyDescent="0.25">
      <c r="A3128" s="417">
        <v>41542</v>
      </c>
      <c r="B3128" s="418">
        <v>0.91453703703703704</v>
      </c>
      <c r="C3128" s="421" t="s">
        <v>1623</v>
      </c>
    </row>
    <row r="3129" spans="1:3" x14ac:dyDescent="0.25">
      <c r="A3129" s="417">
        <v>41542</v>
      </c>
      <c r="B3129" s="418">
        <v>0.91454861111111108</v>
      </c>
      <c r="C3129" s="421" t="s">
        <v>1318</v>
      </c>
    </row>
    <row r="3130" spans="1:3" x14ac:dyDescent="0.25">
      <c r="A3130" s="417">
        <v>41542</v>
      </c>
      <c r="B3130" s="418">
        <v>0.91454861111111108</v>
      </c>
      <c r="C3130" s="421" t="s">
        <v>1368</v>
      </c>
    </row>
    <row r="3131" spans="1:3" x14ac:dyDescent="0.25">
      <c r="A3131" s="417">
        <v>41542</v>
      </c>
      <c r="B3131" s="418">
        <v>0.91454861111111108</v>
      </c>
      <c r="C3131" s="421" t="s">
        <v>1368</v>
      </c>
    </row>
    <row r="3132" spans="1:3" x14ac:dyDescent="0.25">
      <c r="A3132" s="417">
        <v>41542</v>
      </c>
      <c r="B3132" s="418">
        <v>0.91454861111111108</v>
      </c>
      <c r="C3132" s="421" t="s">
        <v>1368</v>
      </c>
    </row>
    <row r="3133" spans="1:3" x14ac:dyDescent="0.25">
      <c r="A3133" s="417">
        <v>41542</v>
      </c>
      <c r="B3133" s="418">
        <v>0.91454861111111108</v>
      </c>
      <c r="C3133" s="421" t="s">
        <v>1368</v>
      </c>
    </row>
    <row r="3134" spans="1:3" x14ac:dyDescent="0.25">
      <c r="A3134" s="417">
        <v>41542</v>
      </c>
      <c r="B3134" s="418">
        <v>0.91454861111111108</v>
      </c>
      <c r="C3134" s="421" t="s">
        <v>1368</v>
      </c>
    </row>
    <row r="3135" spans="1:3" x14ac:dyDescent="0.25">
      <c r="A3135" s="417">
        <v>41542</v>
      </c>
      <c r="B3135" s="418">
        <v>0.91454861111111108</v>
      </c>
      <c r="C3135" s="421" t="s">
        <v>1409</v>
      </c>
    </row>
    <row r="3136" spans="1:3" x14ac:dyDescent="0.25">
      <c r="A3136" s="417">
        <v>41542</v>
      </c>
      <c r="B3136" s="418">
        <v>0.91454861111111108</v>
      </c>
      <c r="C3136" s="421" t="s">
        <v>1308</v>
      </c>
    </row>
    <row r="3137" spans="1:3" x14ac:dyDescent="0.25">
      <c r="A3137" s="417">
        <v>41542</v>
      </c>
      <c r="B3137" s="418">
        <v>0.91454861111111108</v>
      </c>
      <c r="C3137" s="421" t="s">
        <v>1410</v>
      </c>
    </row>
    <row r="3138" spans="1:3" x14ac:dyDescent="0.25">
      <c r="A3138" s="417">
        <v>41542</v>
      </c>
      <c r="B3138" s="418">
        <v>0.91454861111111108</v>
      </c>
      <c r="C3138" s="421" t="s">
        <v>1410</v>
      </c>
    </row>
    <row r="3139" spans="1:3" x14ac:dyDescent="0.25">
      <c r="A3139" s="417">
        <v>41542</v>
      </c>
      <c r="B3139" s="418">
        <v>0.91454861111111108</v>
      </c>
      <c r="C3139" s="421" t="s">
        <v>1411</v>
      </c>
    </row>
    <row r="3140" spans="1:3" x14ac:dyDescent="0.25">
      <c r="A3140" s="417">
        <v>41542</v>
      </c>
      <c r="B3140" s="418">
        <v>0.91454861111111108</v>
      </c>
      <c r="C3140" s="421" t="s">
        <v>1624</v>
      </c>
    </row>
    <row r="3141" spans="1:3" x14ac:dyDescent="0.25">
      <c r="A3141" s="417">
        <v>41542</v>
      </c>
      <c r="B3141" s="418">
        <v>0.91454861111111108</v>
      </c>
      <c r="C3141" s="421" t="s">
        <v>1413</v>
      </c>
    </row>
    <row r="3142" spans="1:3" x14ac:dyDescent="0.25">
      <c r="A3142" s="417">
        <v>41542</v>
      </c>
      <c r="B3142" s="418">
        <v>0.91454861111111108</v>
      </c>
      <c r="C3142" s="421" t="s">
        <v>1414</v>
      </c>
    </row>
    <row r="3143" spans="1:3" x14ac:dyDescent="0.25">
      <c r="A3143" s="417">
        <v>41542</v>
      </c>
      <c r="B3143" s="418">
        <v>0.91454861111111108</v>
      </c>
      <c r="C3143" s="421" t="s">
        <v>1373</v>
      </c>
    </row>
    <row r="3144" spans="1:3" x14ac:dyDescent="0.25">
      <c r="A3144" s="417">
        <v>41542</v>
      </c>
      <c r="B3144" s="418">
        <v>0.91454861111111108</v>
      </c>
      <c r="C3144" s="421" t="s">
        <v>1625</v>
      </c>
    </row>
    <row r="3145" spans="1:3" x14ac:dyDescent="0.25">
      <c r="A3145" s="417">
        <v>41542</v>
      </c>
      <c r="B3145" s="418">
        <v>0.91456018518518523</v>
      </c>
      <c r="C3145" s="421" t="s">
        <v>1409</v>
      </c>
    </row>
    <row r="3146" spans="1:3" x14ac:dyDescent="0.25">
      <c r="A3146" s="417">
        <v>41542</v>
      </c>
      <c r="B3146" s="418">
        <v>0.91456018518518523</v>
      </c>
      <c r="C3146" s="421" t="s">
        <v>1416</v>
      </c>
    </row>
    <row r="3147" spans="1:3" x14ac:dyDescent="0.25">
      <c r="A3147" s="417">
        <v>41542</v>
      </c>
      <c r="B3147" s="418">
        <v>0.91456018518518523</v>
      </c>
      <c r="C3147" s="421" t="s">
        <v>1626</v>
      </c>
    </row>
    <row r="3148" spans="1:3" x14ac:dyDescent="0.25">
      <c r="A3148" s="417">
        <v>41542</v>
      </c>
      <c r="B3148" s="418">
        <v>0.91456018518518523</v>
      </c>
      <c r="C3148" s="421" t="s">
        <v>1348</v>
      </c>
    </row>
    <row r="3149" spans="1:3" x14ac:dyDescent="0.25">
      <c r="A3149" s="417">
        <v>41542</v>
      </c>
      <c r="B3149" s="418">
        <v>0.91456018518518523</v>
      </c>
      <c r="C3149" s="421" t="s">
        <v>1419</v>
      </c>
    </row>
    <row r="3150" spans="1:3" x14ac:dyDescent="0.25">
      <c r="A3150" s="417">
        <v>41542</v>
      </c>
      <c r="B3150" s="418">
        <v>0.91456018518518523</v>
      </c>
      <c r="C3150" s="421" t="s">
        <v>1419</v>
      </c>
    </row>
    <row r="3151" spans="1:3" x14ac:dyDescent="0.25">
      <c r="A3151" s="417">
        <v>41542</v>
      </c>
      <c r="B3151" s="418">
        <v>0.91456018518518523</v>
      </c>
      <c r="C3151" s="421" t="s">
        <v>1420</v>
      </c>
    </row>
    <row r="3152" spans="1:3" x14ac:dyDescent="0.25">
      <c r="A3152" s="417">
        <v>41542</v>
      </c>
      <c r="B3152" s="418">
        <v>0.91456018518518523</v>
      </c>
      <c r="C3152" s="421" t="s">
        <v>1627</v>
      </c>
    </row>
    <row r="3153" spans="1:3" x14ac:dyDescent="0.25">
      <c r="A3153" s="417">
        <v>41542</v>
      </c>
      <c r="B3153" s="418">
        <v>0.91456018518518523</v>
      </c>
      <c r="C3153" s="421" t="s">
        <v>1485</v>
      </c>
    </row>
    <row r="3154" spans="1:3" x14ac:dyDescent="0.25">
      <c r="A3154" s="417">
        <v>41542</v>
      </c>
      <c r="B3154" s="418">
        <v>0.91456018518518523</v>
      </c>
      <c r="C3154" s="421" t="s">
        <v>1486</v>
      </c>
    </row>
    <row r="3155" spans="1:3" x14ac:dyDescent="0.25">
      <c r="A3155" s="417">
        <v>41542</v>
      </c>
      <c r="B3155" s="418">
        <v>0.91456018518518523</v>
      </c>
      <c r="C3155" s="421" t="s">
        <v>1488</v>
      </c>
    </row>
    <row r="3156" spans="1:3" x14ac:dyDescent="0.25">
      <c r="A3156" s="417">
        <v>41542</v>
      </c>
      <c r="B3156" s="418">
        <v>0.91456018518518523</v>
      </c>
      <c r="C3156" s="421" t="s">
        <v>1489</v>
      </c>
    </row>
    <row r="3157" spans="1:3" x14ac:dyDescent="0.25">
      <c r="A3157" s="417">
        <v>41542</v>
      </c>
      <c r="B3157" s="418">
        <v>0.91456018518518523</v>
      </c>
      <c r="C3157" s="421" t="s">
        <v>1490</v>
      </c>
    </row>
    <row r="3158" spans="1:3" x14ac:dyDescent="0.25">
      <c r="A3158" s="417">
        <v>41542</v>
      </c>
      <c r="B3158" s="418">
        <v>0.91456018518518523</v>
      </c>
      <c r="C3158" s="421" t="s">
        <v>1491</v>
      </c>
    </row>
    <row r="3159" spans="1:3" x14ac:dyDescent="0.25">
      <c r="A3159" s="417">
        <v>41542</v>
      </c>
      <c r="B3159" s="418">
        <v>0.91456018518518523</v>
      </c>
      <c r="C3159" s="421" t="s">
        <v>1492</v>
      </c>
    </row>
    <row r="3160" spans="1:3" x14ac:dyDescent="0.25">
      <c r="A3160" s="417">
        <v>41542</v>
      </c>
      <c r="B3160" s="418">
        <v>0.91456018518518523</v>
      </c>
      <c r="C3160" s="421" t="s">
        <v>1320</v>
      </c>
    </row>
    <row r="3161" spans="1:3" x14ac:dyDescent="0.25">
      <c r="A3161" s="417">
        <v>41542</v>
      </c>
      <c r="B3161" s="418">
        <v>0.91456018518518523</v>
      </c>
      <c r="C3161" s="421" t="s">
        <v>1429</v>
      </c>
    </row>
    <row r="3162" spans="1:3" x14ac:dyDescent="0.25">
      <c r="A3162" s="417">
        <v>41542</v>
      </c>
      <c r="B3162" s="418">
        <v>0.91456018518518523</v>
      </c>
      <c r="C3162" s="421" t="s">
        <v>1430</v>
      </c>
    </row>
    <row r="3163" spans="1:3" x14ac:dyDescent="0.25">
      <c r="A3163" s="417">
        <v>41542</v>
      </c>
      <c r="B3163" s="418">
        <v>0.91456018518518523</v>
      </c>
      <c r="C3163" s="421" t="s">
        <v>1493</v>
      </c>
    </row>
    <row r="3164" spans="1:3" x14ac:dyDescent="0.25">
      <c r="A3164" s="417">
        <v>41542</v>
      </c>
      <c r="B3164" s="418">
        <v>0.91456018518518523</v>
      </c>
      <c r="C3164" s="421" t="s">
        <v>1308</v>
      </c>
    </row>
    <row r="3165" spans="1:3" x14ac:dyDescent="0.25">
      <c r="A3165" s="417">
        <v>41542</v>
      </c>
      <c r="B3165" s="418">
        <v>0.91456018518518523</v>
      </c>
      <c r="C3165" s="421" t="s">
        <v>1360</v>
      </c>
    </row>
    <row r="3166" spans="1:3" x14ac:dyDescent="0.25">
      <c r="A3166" s="417">
        <v>41542</v>
      </c>
      <c r="B3166" s="418">
        <v>0.91456018518518523</v>
      </c>
      <c r="C3166" s="421" t="s">
        <v>1432</v>
      </c>
    </row>
    <row r="3167" spans="1:3" x14ac:dyDescent="0.25">
      <c r="A3167" s="417">
        <v>41542</v>
      </c>
      <c r="B3167" s="418">
        <v>0.91456018518518523</v>
      </c>
      <c r="C3167" s="421" t="s">
        <v>1432</v>
      </c>
    </row>
    <row r="3168" spans="1:3" x14ac:dyDescent="0.25">
      <c r="A3168" s="417">
        <v>41542</v>
      </c>
      <c r="B3168" s="418">
        <v>0.91456018518518523</v>
      </c>
      <c r="C3168" s="421" t="s">
        <v>1432</v>
      </c>
    </row>
    <row r="3169" spans="1:3" x14ac:dyDescent="0.25">
      <c r="A3169" s="417">
        <v>41542</v>
      </c>
      <c r="B3169" s="418">
        <v>0.91456018518518523</v>
      </c>
      <c r="C3169" s="421" t="s">
        <v>1281</v>
      </c>
    </row>
    <row r="3170" spans="1:3" ht="60" x14ac:dyDescent="0.25">
      <c r="A3170" s="417">
        <v>41542</v>
      </c>
      <c r="B3170" s="418">
        <v>0.91456018518518523</v>
      </c>
      <c r="C3170" s="950" t="s">
        <v>1282</v>
      </c>
    </row>
    <row r="3171" spans="1:3" x14ac:dyDescent="0.25">
      <c r="A3171" s="417">
        <v>41542</v>
      </c>
      <c r="B3171" s="418">
        <v>0.9145833333333333</v>
      </c>
      <c r="C3171" s="421" t="s">
        <v>1413</v>
      </c>
    </row>
    <row r="3172" spans="1:3" x14ac:dyDescent="0.25">
      <c r="A3172" s="417">
        <v>41542</v>
      </c>
      <c r="B3172" s="418">
        <v>0.9145833333333333</v>
      </c>
      <c r="C3172" s="421" t="s">
        <v>1494</v>
      </c>
    </row>
    <row r="3173" spans="1:3" x14ac:dyDescent="0.25">
      <c r="A3173" s="417">
        <v>41542</v>
      </c>
      <c r="B3173" s="418">
        <v>0.9145833333333333</v>
      </c>
      <c r="C3173" s="421" t="s">
        <v>1495</v>
      </c>
    </row>
    <row r="3174" spans="1:3" x14ac:dyDescent="0.25">
      <c r="A3174" s="417">
        <v>41542</v>
      </c>
      <c r="B3174" s="418">
        <v>0.9145833333333333</v>
      </c>
      <c r="C3174" s="421" t="s">
        <v>1496</v>
      </c>
    </row>
    <row r="3175" spans="1:3" x14ac:dyDescent="0.25">
      <c r="A3175" s="417">
        <v>41542</v>
      </c>
      <c r="B3175" s="418">
        <v>0.9145833333333333</v>
      </c>
      <c r="C3175" s="421" t="s">
        <v>1497</v>
      </c>
    </row>
    <row r="3176" spans="1:3" x14ac:dyDescent="0.25">
      <c r="A3176" s="417">
        <v>41542</v>
      </c>
      <c r="B3176" s="418">
        <v>0.9145833333333333</v>
      </c>
      <c r="C3176" s="421" t="s">
        <v>1498</v>
      </c>
    </row>
    <row r="3177" spans="1:3" x14ac:dyDescent="0.25">
      <c r="A3177" s="417">
        <v>41542</v>
      </c>
      <c r="B3177" s="418">
        <v>0.9145833333333333</v>
      </c>
      <c r="C3177" s="421" t="s">
        <v>1499</v>
      </c>
    </row>
    <row r="3178" spans="1:3" x14ac:dyDescent="0.25">
      <c r="A3178" s="417">
        <v>41542</v>
      </c>
      <c r="B3178" s="418">
        <v>0.9145833333333333</v>
      </c>
      <c r="C3178" s="421" t="s">
        <v>1500</v>
      </c>
    </row>
    <row r="3179" spans="1:3" x14ac:dyDescent="0.25">
      <c r="A3179" s="417">
        <v>41542</v>
      </c>
      <c r="B3179" s="418">
        <v>0.9145833333333333</v>
      </c>
      <c r="C3179" s="421" t="s">
        <v>1628</v>
      </c>
    </row>
    <row r="3180" spans="1:3" x14ac:dyDescent="0.25">
      <c r="A3180" s="417">
        <v>41542</v>
      </c>
      <c r="B3180" s="418">
        <v>0.9145833333333333</v>
      </c>
      <c r="C3180" s="421" t="s">
        <v>1439</v>
      </c>
    </row>
    <row r="3181" spans="1:3" x14ac:dyDescent="0.25">
      <c r="A3181" s="417">
        <v>41542</v>
      </c>
      <c r="B3181" s="418">
        <v>0.9145833333333333</v>
      </c>
      <c r="C3181" s="421" t="s">
        <v>1320</v>
      </c>
    </row>
    <row r="3182" spans="1:3" x14ac:dyDescent="0.25">
      <c r="A3182" s="417">
        <v>41542</v>
      </c>
      <c r="B3182" s="418">
        <v>0.9145833333333333</v>
      </c>
      <c r="C3182" s="421" t="s">
        <v>1503</v>
      </c>
    </row>
    <row r="3183" spans="1:3" x14ac:dyDescent="0.25">
      <c r="A3183" s="417">
        <v>41542</v>
      </c>
      <c r="B3183" s="418">
        <v>0.9145833333333333</v>
      </c>
      <c r="C3183" s="421" t="s">
        <v>1504</v>
      </c>
    </row>
    <row r="3184" spans="1:3" x14ac:dyDescent="0.25">
      <c r="A3184" s="417">
        <v>41542</v>
      </c>
      <c r="B3184" s="418">
        <v>0.9145833333333333</v>
      </c>
      <c r="C3184" s="421" t="s">
        <v>1505</v>
      </c>
    </row>
    <row r="3185" spans="1:3" x14ac:dyDescent="0.25">
      <c r="A3185" s="417">
        <v>41542</v>
      </c>
      <c r="B3185" s="418">
        <v>0.9145833333333333</v>
      </c>
      <c r="C3185" s="421" t="s">
        <v>1629</v>
      </c>
    </row>
    <row r="3186" spans="1:3" x14ac:dyDescent="0.25">
      <c r="A3186" s="417">
        <v>41542</v>
      </c>
      <c r="B3186" s="418">
        <v>0.9145833333333333</v>
      </c>
      <c r="C3186" s="421" t="s">
        <v>1446</v>
      </c>
    </row>
    <row r="3187" spans="1:3" x14ac:dyDescent="0.25">
      <c r="A3187" s="417">
        <v>41542</v>
      </c>
      <c r="B3187" s="418">
        <v>0.9145833333333333</v>
      </c>
      <c r="C3187" s="421" t="s">
        <v>1238</v>
      </c>
    </row>
    <row r="3188" spans="1:3" x14ac:dyDescent="0.25">
      <c r="A3188" s="417">
        <v>41542</v>
      </c>
      <c r="B3188" s="418">
        <v>0.9145833333333333</v>
      </c>
      <c r="C3188" s="421" t="s">
        <v>1630</v>
      </c>
    </row>
    <row r="3189" spans="1:3" x14ac:dyDescent="0.25">
      <c r="A3189" s="417">
        <v>41542</v>
      </c>
      <c r="B3189" s="418">
        <v>0.9145833333333333</v>
      </c>
      <c r="C3189" s="421" t="s">
        <v>1389</v>
      </c>
    </row>
    <row r="3190" spans="1:3" x14ac:dyDescent="0.25">
      <c r="A3190" s="417">
        <v>41542</v>
      </c>
      <c r="B3190" s="418">
        <v>0.9145833333333333</v>
      </c>
      <c r="C3190" s="421" t="s">
        <v>1448</v>
      </c>
    </row>
    <row r="3191" spans="1:3" x14ac:dyDescent="0.25">
      <c r="A3191" s="417">
        <v>41542</v>
      </c>
      <c r="B3191" s="418">
        <v>0.9145833333333333</v>
      </c>
      <c r="C3191" s="421" t="s">
        <v>1450</v>
      </c>
    </row>
    <row r="3192" spans="1:3" x14ac:dyDescent="0.25">
      <c r="A3192" s="417">
        <v>41542</v>
      </c>
      <c r="B3192" s="418">
        <v>0.9145833333333333</v>
      </c>
      <c r="C3192" s="421" t="s">
        <v>1450</v>
      </c>
    </row>
    <row r="3193" spans="1:3" x14ac:dyDescent="0.25">
      <c r="A3193" s="417">
        <v>41542</v>
      </c>
      <c r="B3193" s="418">
        <v>0.9145833333333333</v>
      </c>
      <c r="C3193" s="421" t="s">
        <v>1450</v>
      </c>
    </row>
    <row r="3194" spans="1:3" x14ac:dyDescent="0.25">
      <c r="A3194" s="417">
        <v>41542</v>
      </c>
      <c r="B3194" s="418">
        <v>0.9145833333333333</v>
      </c>
      <c r="C3194" s="421" t="s">
        <v>1450</v>
      </c>
    </row>
    <row r="3195" spans="1:3" x14ac:dyDescent="0.25">
      <c r="A3195" s="417">
        <v>41542</v>
      </c>
      <c r="B3195" s="418">
        <v>0.9145833333333333</v>
      </c>
      <c r="C3195" s="421" t="s">
        <v>1450</v>
      </c>
    </row>
    <row r="3196" spans="1:3" x14ac:dyDescent="0.25">
      <c r="A3196" s="417">
        <v>41542</v>
      </c>
      <c r="B3196" s="418">
        <v>0.9145833333333333</v>
      </c>
      <c r="C3196" s="421" t="s">
        <v>1450</v>
      </c>
    </row>
    <row r="3197" spans="1:3" x14ac:dyDescent="0.25">
      <c r="A3197" s="417">
        <v>41542</v>
      </c>
      <c r="B3197" s="418">
        <v>0.9145833333333333</v>
      </c>
      <c r="C3197" s="421" t="s">
        <v>1450</v>
      </c>
    </row>
    <row r="3198" spans="1:3" x14ac:dyDescent="0.25">
      <c r="A3198" s="417">
        <v>41542</v>
      </c>
      <c r="B3198" s="418">
        <v>0.9145833333333333</v>
      </c>
      <c r="C3198" s="421" t="s">
        <v>1448</v>
      </c>
    </row>
    <row r="3199" spans="1:3" x14ac:dyDescent="0.25">
      <c r="A3199" s="417">
        <v>41542</v>
      </c>
      <c r="B3199" s="418">
        <v>0.9145833333333333</v>
      </c>
      <c r="C3199" s="421" t="s">
        <v>1399</v>
      </c>
    </row>
    <row r="3200" spans="1:3" x14ac:dyDescent="0.25">
      <c r="A3200" s="417">
        <v>41542</v>
      </c>
      <c r="B3200" s="418">
        <v>0.9145833333333333</v>
      </c>
      <c r="C3200" s="421" t="s">
        <v>1309</v>
      </c>
    </row>
    <row r="3201" spans="1:3" x14ac:dyDescent="0.25">
      <c r="A3201" s="417">
        <v>41542</v>
      </c>
      <c r="B3201" s="418">
        <v>0.91459490740740745</v>
      </c>
      <c r="C3201" s="421" t="s">
        <v>1631</v>
      </c>
    </row>
    <row r="3202" spans="1:3" x14ac:dyDescent="0.25">
      <c r="A3202" s="417">
        <v>41542</v>
      </c>
      <c r="B3202" s="418">
        <v>0.91459490740740745</v>
      </c>
      <c r="C3202" s="421" t="s">
        <v>1632</v>
      </c>
    </row>
    <row r="3203" spans="1:3" x14ac:dyDescent="0.25">
      <c r="A3203" s="417">
        <v>41542</v>
      </c>
      <c r="B3203" s="418">
        <v>0.91459490740740745</v>
      </c>
      <c r="C3203" s="421" t="s">
        <v>1633</v>
      </c>
    </row>
    <row r="3204" spans="1:3" x14ac:dyDescent="0.25">
      <c r="A3204" s="417">
        <v>41542</v>
      </c>
      <c r="B3204" s="418">
        <v>0.91459490740740745</v>
      </c>
      <c r="C3204" s="421" t="s">
        <v>1618</v>
      </c>
    </row>
    <row r="3205" spans="1:3" x14ac:dyDescent="0.25">
      <c r="A3205" s="417">
        <v>41542</v>
      </c>
      <c r="B3205" s="418">
        <v>0.91459490740740745</v>
      </c>
      <c r="C3205" s="421" t="s">
        <v>1634</v>
      </c>
    </row>
    <row r="3206" spans="1:3" x14ac:dyDescent="0.25">
      <c r="A3206" s="417">
        <v>41542</v>
      </c>
      <c r="B3206" s="418">
        <v>0.91459490740740745</v>
      </c>
      <c r="C3206" s="421" t="s">
        <v>1635</v>
      </c>
    </row>
    <row r="3207" spans="1:3" x14ac:dyDescent="0.25">
      <c r="A3207" s="417">
        <v>41542</v>
      </c>
      <c r="B3207" s="418">
        <v>0.91459490740740745</v>
      </c>
      <c r="C3207" s="421" t="s">
        <v>1634</v>
      </c>
    </row>
    <row r="3208" spans="1:3" x14ac:dyDescent="0.25">
      <c r="A3208" s="417">
        <v>41542</v>
      </c>
      <c r="B3208" s="418">
        <v>0.91459490740740745</v>
      </c>
      <c r="C3208" s="421" t="s">
        <v>1635</v>
      </c>
    </row>
    <row r="3209" spans="1:3" x14ac:dyDescent="0.25">
      <c r="A3209" s="417">
        <v>41542</v>
      </c>
      <c r="B3209" s="418">
        <v>0.91465277777777787</v>
      </c>
      <c r="C3209" s="421" t="s">
        <v>1636</v>
      </c>
    </row>
    <row r="3210" spans="1:3" x14ac:dyDescent="0.25">
      <c r="A3210" s="417">
        <v>41542</v>
      </c>
      <c r="B3210" s="418">
        <v>0.9146643518518518</v>
      </c>
      <c r="C3210" s="421" t="s">
        <v>1637</v>
      </c>
    </row>
    <row r="3211" spans="1:3" ht="45" x14ac:dyDescent="0.25">
      <c r="A3211" s="417">
        <v>41542</v>
      </c>
      <c r="B3211" s="418">
        <v>0.91806712962962955</v>
      </c>
      <c r="C3211" s="950" t="s">
        <v>1640</v>
      </c>
    </row>
    <row r="3212" spans="1:3" ht="30" x14ac:dyDescent="0.25">
      <c r="A3212" s="417">
        <v>41542</v>
      </c>
      <c r="B3212" s="418">
        <v>0.91818287037037039</v>
      </c>
      <c r="C3212" s="950" t="s">
        <v>1641</v>
      </c>
    </row>
    <row r="3213" spans="1:3" ht="45" x14ac:dyDescent="0.25">
      <c r="A3213" s="417">
        <v>41542</v>
      </c>
      <c r="B3213" s="418">
        <v>0.91828703703703696</v>
      </c>
      <c r="C3213" s="950" t="s">
        <v>1642</v>
      </c>
    </row>
    <row r="3214" spans="1:3" ht="30" x14ac:dyDescent="0.25">
      <c r="A3214" s="417">
        <v>41542</v>
      </c>
      <c r="B3214" s="418">
        <v>0.92001157407407408</v>
      </c>
      <c r="C3214" s="950" t="s">
        <v>1643</v>
      </c>
    </row>
    <row r="3215" spans="1:3" ht="45" x14ac:dyDescent="0.25">
      <c r="A3215" s="417">
        <v>41542</v>
      </c>
      <c r="B3215" s="418">
        <v>0.92084490740740732</v>
      </c>
      <c r="C3215" s="950" t="s">
        <v>1644</v>
      </c>
    </row>
    <row r="3216" spans="1:3" ht="30" x14ac:dyDescent="0.25">
      <c r="A3216" s="417">
        <v>41542</v>
      </c>
      <c r="B3216" s="418">
        <v>0.92122685185185194</v>
      </c>
      <c r="C3216" s="950" t="s">
        <v>1645</v>
      </c>
    </row>
    <row r="3217" spans="1:3" x14ac:dyDescent="0.25">
      <c r="A3217" s="417">
        <v>41542</v>
      </c>
      <c r="B3217" s="418">
        <v>0.92232638888888896</v>
      </c>
      <c r="C3217" s="421" t="s">
        <v>1618</v>
      </c>
    </row>
    <row r="3218" spans="1:3" x14ac:dyDescent="0.25">
      <c r="A3218" s="417">
        <v>41542</v>
      </c>
      <c r="B3218" s="418">
        <v>0.92232638888888896</v>
      </c>
      <c r="C3218" s="421" t="s">
        <v>1238</v>
      </c>
    </row>
    <row r="3219" spans="1:3" x14ac:dyDescent="0.25">
      <c r="A3219" s="417">
        <v>41542</v>
      </c>
      <c r="B3219" s="418">
        <v>0.92232638888888896</v>
      </c>
      <c r="C3219" s="421" t="s">
        <v>1307</v>
      </c>
    </row>
    <row r="3220" spans="1:3" x14ac:dyDescent="0.25">
      <c r="A3220" s="417">
        <v>41542</v>
      </c>
      <c r="B3220" s="418">
        <v>0.92232638888888896</v>
      </c>
      <c r="C3220" s="421" t="s">
        <v>1308</v>
      </c>
    </row>
    <row r="3221" spans="1:3" x14ac:dyDescent="0.25">
      <c r="A3221" s="417">
        <v>41542</v>
      </c>
      <c r="B3221" s="418">
        <v>0.92232638888888896</v>
      </c>
      <c r="C3221" s="421" t="s">
        <v>1309</v>
      </c>
    </row>
    <row r="3222" spans="1:3" x14ac:dyDescent="0.25">
      <c r="A3222" s="417">
        <v>41542</v>
      </c>
      <c r="B3222" s="418">
        <v>0.92232638888888896</v>
      </c>
      <c r="C3222" s="421" t="s">
        <v>1310</v>
      </c>
    </row>
    <row r="3223" spans="1:3" x14ac:dyDescent="0.25">
      <c r="A3223" s="417">
        <v>41542</v>
      </c>
      <c r="B3223" s="418">
        <v>0.92232638888888896</v>
      </c>
      <c r="C3223" s="421" t="s">
        <v>1311</v>
      </c>
    </row>
    <row r="3224" spans="1:3" x14ac:dyDescent="0.25">
      <c r="A3224" s="417">
        <v>41542</v>
      </c>
      <c r="B3224" s="418">
        <v>0.92232638888888896</v>
      </c>
      <c r="C3224" s="421" t="s">
        <v>1312</v>
      </c>
    </row>
    <row r="3225" spans="1:3" x14ac:dyDescent="0.25">
      <c r="A3225" s="417">
        <v>41542</v>
      </c>
      <c r="B3225" s="418">
        <v>0.92232638888888896</v>
      </c>
      <c r="C3225" s="421" t="s">
        <v>1313</v>
      </c>
    </row>
    <row r="3226" spans="1:3" x14ac:dyDescent="0.25">
      <c r="A3226" s="417">
        <v>41542</v>
      </c>
      <c r="B3226" s="418">
        <v>0.92232638888888896</v>
      </c>
      <c r="C3226" s="421" t="s">
        <v>1310</v>
      </c>
    </row>
    <row r="3227" spans="1:3" x14ac:dyDescent="0.25">
      <c r="A3227" s="417">
        <v>41542</v>
      </c>
      <c r="B3227" s="418">
        <v>0.92232638888888896</v>
      </c>
      <c r="C3227" s="421" t="s">
        <v>1314</v>
      </c>
    </row>
    <row r="3228" spans="1:3" x14ac:dyDescent="0.25">
      <c r="A3228" s="417">
        <v>41542</v>
      </c>
      <c r="B3228" s="418">
        <v>0.92232638888888896</v>
      </c>
      <c r="C3228" s="421" t="s">
        <v>1315</v>
      </c>
    </row>
    <row r="3229" spans="1:3" x14ac:dyDescent="0.25">
      <c r="A3229" s="417">
        <v>41542</v>
      </c>
      <c r="B3229" s="418">
        <v>0.92232638888888896</v>
      </c>
      <c r="C3229" s="421" t="s">
        <v>1460</v>
      </c>
    </row>
    <row r="3230" spans="1:3" x14ac:dyDescent="0.25">
      <c r="A3230" s="417">
        <v>41542</v>
      </c>
      <c r="B3230" s="418">
        <v>0.92232638888888896</v>
      </c>
      <c r="C3230" s="421" t="s">
        <v>1461</v>
      </c>
    </row>
    <row r="3231" spans="1:3" x14ac:dyDescent="0.25">
      <c r="A3231" s="417">
        <v>41542</v>
      </c>
      <c r="B3231" s="418">
        <v>0.92232638888888896</v>
      </c>
      <c r="C3231" s="421" t="s">
        <v>1310</v>
      </c>
    </row>
    <row r="3232" spans="1:3" x14ac:dyDescent="0.25">
      <c r="A3232" s="417">
        <v>41542</v>
      </c>
      <c r="B3232" s="418">
        <v>0.92232638888888896</v>
      </c>
      <c r="C3232" s="421" t="s">
        <v>1238</v>
      </c>
    </row>
    <row r="3233" spans="1:3" x14ac:dyDescent="0.25">
      <c r="A3233" s="417">
        <v>41542</v>
      </c>
      <c r="B3233" s="418">
        <v>0.922337962962963</v>
      </c>
      <c r="C3233" s="421" t="s">
        <v>1462</v>
      </c>
    </row>
    <row r="3234" spans="1:3" x14ac:dyDescent="0.25">
      <c r="A3234" s="417">
        <v>41542</v>
      </c>
      <c r="B3234" s="418">
        <v>0.922337962962963</v>
      </c>
      <c r="C3234" s="421" t="s">
        <v>1316</v>
      </c>
    </row>
    <row r="3235" spans="1:3" x14ac:dyDescent="0.25">
      <c r="A3235" s="417">
        <v>41542</v>
      </c>
      <c r="B3235" s="418">
        <v>0.922337962962963</v>
      </c>
      <c r="C3235" s="421" t="s">
        <v>1316</v>
      </c>
    </row>
    <row r="3236" spans="1:3" x14ac:dyDescent="0.25">
      <c r="A3236" s="417">
        <v>41542</v>
      </c>
      <c r="B3236" s="418">
        <v>0.922337962962963</v>
      </c>
      <c r="C3236" s="421" t="s">
        <v>1317</v>
      </c>
    </row>
    <row r="3237" spans="1:3" x14ac:dyDescent="0.25">
      <c r="A3237" s="417">
        <v>41542</v>
      </c>
      <c r="B3237" s="418">
        <v>0.922337962962963</v>
      </c>
      <c r="C3237" s="421" t="s">
        <v>1309</v>
      </c>
    </row>
    <row r="3238" spans="1:3" x14ac:dyDescent="0.25">
      <c r="A3238" s="417">
        <v>41542</v>
      </c>
      <c r="B3238" s="418">
        <v>0.922337962962963</v>
      </c>
      <c r="C3238" s="421" t="s">
        <v>1318</v>
      </c>
    </row>
    <row r="3239" spans="1:3" x14ac:dyDescent="0.25">
      <c r="A3239" s="417">
        <v>41542</v>
      </c>
      <c r="B3239" s="418">
        <v>0.922337962962963</v>
      </c>
      <c r="C3239" s="421" t="s">
        <v>1319</v>
      </c>
    </row>
    <row r="3240" spans="1:3" x14ac:dyDescent="0.25">
      <c r="A3240" s="417">
        <v>41542</v>
      </c>
      <c r="B3240" s="418">
        <v>0.922337962962963</v>
      </c>
      <c r="C3240" s="421" t="s">
        <v>1320</v>
      </c>
    </row>
    <row r="3241" spans="1:3" x14ac:dyDescent="0.25">
      <c r="A3241" s="417">
        <v>41542</v>
      </c>
      <c r="B3241" s="418">
        <v>0.922337962962963</v>
      </c>
      <c r="C3241" s="421" t="s">
        <v>1318</v>
      </c>
    </row>
    <row r="3242" spans="1:3" x14ac:dyDescent="0.25">
      <c r="A3242" s="417">
        <v>41542</v>
      </c>
      <c r="B3242" s="418">
        <v>0.922337962962963</v>
      </c>
      <c r="C3242" s="421" t="s">
        <v>1307</v>
      </c>
    </row>
    <row r="3243" spans="1:3" x14ac:dyDescent="0.25">
      <c r="A3243" s="417">
        <v>41542</v>
      </c>
      <c r="B3243" s="418">
        <v>0.922337962962963</v>
      </c>
      <c r="C3243" s="421" t="s">
        <v>1321</v>
      </c>
    </row>
    <row r="3244" spans="1:3" x14ac:dyDescent="0.25">
      <c r="A3244" s="417">
        <v>41542</v>
      </c>
      <c r="B3244" s="418">
        <v>0.922337962962963</v>
      </c>
      <c r="C3244" s="421" t="s">
        <v>1322</v>
      </c>
    </row>
    <row r="3245" spans="1:3" x14ac:dyDescent="0.25">
      <c r="A3245" s="417">
        <v>41542</v>
      </c>
      <c r="B3245" s="418">
        <v>0.922337962962963</v>
      </c>
      <c r="C3245" s="421" t="s">
        <v>1322</v>
      </c>
    </row>
    <row r="3246" spans="1:3" x14ac:dyDescent="0.25">
      <c r="A3246" s="417">
        <v>41542</v>
      </c>
      <c r="B3246" s="418">
        <v>0.922337962962963</v>
      </c>
      <c r="C3246" s="421" t="s">
        <v>1323</v>
      </c>
    </row>
    <row r="3247" spans="1:3" x14ac:dyDescent="0.25">
      <c r="A3247" s="417">
        <v>41542</v>
      </c>
      <c r="B3247" s="418">
        <v>0.922337962962963</v>
      </c>
      <c r="C3247" s="421" t="s">
        <v>1324</v>
      </c>
    </row>
    <row r="3248" spans="1:3" x14ac:dyDescent="0.25">
      <c r="A3248" s="417">
        <v>41542</v>
      </c>
      <c r="B3248" s="418">
        <v>0.922337962962963</v>
      </c>
      <c r="C3248" s="421" t="s">
        <v>1310</v>
      </c>
    </row>
    <row r="3249" spans="1:3" x14ac:dyDescent="0.25">
      <c r="A3249" s="417">
        <v>41542</v>
      </c>
      <c r="B3249" s="418">
        <v>0.922337962962963</v>
      </c>
      <c r="C3249" s="421" t="s">
        <v>1325</v>
      </c>
    </row>
    <row r="3250" spans="1:3" x14ac:dyDescent="0.25">
      <c r="A3250" s="417">
        <v>41542</v>
      </c>
      <c r="B3250" s="418">
        <v>0.922337962962963</v>
      </c>
      <c r="C3250" s="421" t="s">
        <v>1326</v>
      </c>
    </row>
    <row r="3251" spans="1:3" x14ac:dyDescent="0.25">
      <c r="A3251" s="417">
        <v>41542</v>
      </c>
      <c r="B3251" s="418">
        <v>0.922337962962963</v>
      </c>
      <c r="C3251" s="421" t="s">
        <v>1238</v>
      </c>
    </row>
    <row r="3252" spans="1:3" x14ac:dyDescent="0.25">
      <c r="A3252" s="417">
        <v>41542</v>
      </c>
      <c r="B3252" s="418">
        <v>0.922337962962963</v>
      </c>
      <c r="C3252" s="421" t="s">
        <v>1327</v>
      </c>
    </row>
    <row r="3253" spans="1:3" x14ac:dyDescent="0.25">
      <c r="A3253" s="417">
        <v>41542</v>
      </c>
      <c r="B3253" s="418">
        <v>0.922337962962963</v>
      </c>
      <c r="C3253" s="421" t="s">
        <v>1328</v>
      </c>
    </row>
    <row r="3254" spans="1:3" ht="60" x14ac:dyDescent="0.25">
      <c r="A3254" s="417">
        <v>41542</v>
      </c>
      <c r="B3254" s="418">
        <v>0.922337962962963</v>
      </c>
      <c r="C3254" s="950" t="s">
        <v>1646</v>
      </c>
    </row>
    <row r="3255" spans="1:3" x14ac:dyDescent="0.25">
      <c r="A3255" s="417">
        <v>41542</v>
      </c>
      <c r="B3255" s="418">
        <v>0.92251157407407414</v>
      </c>
      <c r="C3255" s="421" t="s">
        <v>1323</v>
      </c>
    </row>
    <row r="3256" spans="1:3" x14ac:dyDescent="0.25">
      <c r="A3256" s="417">
        <v>41542</v>
      </c>
      <c r="B3256" s="418">
        <v>0.92251157407407414</v>
      </c>
      <c r="C3256" s="421" t="s">
        <v>1342</v>
      </c>
    </row>
    <row r="3257" spans="1:3" x14ac:dyDescent="0.25">
      <c r="A3257" s="417">
        <v>41542</v>
      </c>
      <c r="B3257" s="418">
        <v>0.92251157407407414</v>
      </c>
      <c r="C3257" s="421" t="s">
        <v>1343</v>
      </c>
    </row>
    <row r="3258" spans="1:3" x14ac:dyDescent="0.25">
      <c r="A3258" s="417">
        <v>41542</v>
      </c>
      <c r="B3258" s="418">
        <v>0.92251157407407414</v>
      </c>
      <c r="C3258" s="421" t="s">
        <v>1344</v>
      </c>
    </row>
    <row r="3259" spans="1:3" x14ac:dyDescent="0.25">
      <c r="A3259" s="417">
        <v>41542</v>
      </c>
      <c r="B3259" s="418">
        <v>0.92251157407407414</v>
      </c>
      <c r="C3259" s="421" t="s">
        <v>1344</v>
      </c>
    </row>
    <row r="3260" spans="1:3" x14ac:dyDescent="0.25">
      <c r="A3260" s="417">
        <v>41542</v>
      </c>
      <c r="B3260" s="418">
        <v>0.92251157407407414</v>
      </c>
      <c r="C3260" s="421" t="s">
        <v>1310</v>
      </c>
    </row>
    <row r="3261" spans="1:3" x14ac:dyDescent="0.25">
      <c r="A3261" s="417">
        <v>41542</v>
      </c>
      <c r="B3261" s="418">
        <v>0.92251157407407414</v>
      </c>
      <c r="C3261" s="421" t="s">
        <v>1345</v>
      </c>
    </row>
    <row r="3262" spans="1:3" x14ac:dyDescent="0.25">
      <c r="A3262" s="417">
        <v>41542</v>
      </c>
      <c r="B3262" s="418">
        <v>0.92251157407407414</v>
      </c>
      <c r="C3262" s="421" t="s">
        <v>1346</v>
      </c>
    </row>
    <row r="3263" spans="1:3" x14ac:dyDescent="0.25">
      <c r="A3263" s="417">
        <v>41542</v>
      </c>
      <c r="B3263" s="418">
        <v>0.92251157407407414</v>
      </c>
      <c r="C3263" s="421" t="s">
        <v>1347</v>
      </c>
    </row>
    <row r="3264" spans="1:3" x14ac:dyDescent="0.25">
      <c r="A3264" s="417">
        <v>41542</v>
      </c>
      <c r="B3264" s="418">
        <v>0.92251157407407414</v>
      </c>
      <c r="C3264" s="421" t="s">
        <v>1348</v>
      </c>
    </row>
    <row r="3265" spans="1:3" x14ac:dyDescent="0.25">
      <c r="A3265" s="417">
        <v>41542</v>
      </c>
      <c r="B3265" s="418">
        <v>0.92251157407407414</v>
      </c>
      <c r="C3265" s="421" t="s">
        <v>1349</v>
      </c>
    </row>
    <row r="3266" spans="1:3" x14ac:dyDescent="0.25">
      <c r="A3266" s="417">
        <v>41542</v>
      </c>
      <c r="B3266" s="418">
        <v>0.92251157407407414</v>
      </c>
      <c r="C3266" s="421" t="s">
        <v>1349</v>
      </c>
    </row>
    <row r="3267" spans="1:3" x14ac:dyDescent="0.25">
      <c r="A3267" s="417">
        <v>41542</v>
      </c>
      <c r="B3267" s="418">
        <v>0.92251157407407414</v>
      </c>
      <c r="C3267" s="421" t="s">
        <v>1348</v>
      </c>
    </row>
    <row r="3268" spans="1:3" x14ac:dyDescent="0.25">
      <c r="A3268" s="417">
        <v>41542</v>
      </c>
      <c r="B3268" s="418">
        <v>0.92251157407407414</v>
      </c>
      <c r="C3268" s="421" t="s">
        <v>1350</v>
      </c>
    </row>
    <row r="3269" spans="1:3" x14ac:dyDescent="0.25">
      <c r="A3269" s="417">
        <v>41542</v>
      </c>
      <c r="B3269" s="418">
        <v>0.92251157407407414</v>
      </c>
      <c r="C3269" s="421" t="s">
        <v>1351</v>
      </c>
    </row>
    <row r="3270" spans="1:3" x14ac:dyDescent="0.25">
      <c r="A3270" s="417">
        <v>41542</v>
      </c>
      <c r="B3270" s="418">
        <v>0.92251157407407414</v>
      </c>
      <c r="C3270" s="421" t="s">
        <v>1352</v>
      </c>
    </row>
    <row r="3271" spans="1:3" x14ac:dyDescent="0.25">
      <c r="A3271" s="417">
        <v>41542</v>
      </c>
      <c r="B3271" s="418">
        <v>0.92251157407407414</v>
      </c>
      <c r="C3271" s="421" t="s">
        <v>1287</v>
      </c>
    </row>
    <row r="3272" spans="1:3" ht="60" x14ac:dyDescent="0.25">
      <c r="A3272" s="417">
        <v>41542</v>
      </c>
      <c r="B3272" s="418">
        <v>0.92251157407407414</v>
      </c>
      <c r="C3272" s="950" t="s">
        <v>1288</v>
      </c>
    </row>
    <row r="3273" spans="1:3" x14ac:dyDescent="0.25">
      <c r="A3273" s="417">
        <v>41542</v>
      </c>
      <c r="B3273" s="418">
        <v>0.92252314814814806</v>
      </c>
      <c r="C3273" s="421" t="s">
        <v>1647</v>
      </c>
    </row>
    <row r="3274" spans="1:3" x14ac:dyDescent="0.25">
      <c r="A3274" s="417">
        <v>41542</v>
      </c>
      <c r="B3274" s="418">
        <v>0.92253472222222221</v>
      </c>
      <c r="C3274" s="421" t="s">
        <v>1353</v>
      </c>
    </row>
    <row r="3275" spans="1:3" x14ac:dyDescent="0.25">
      <c r="A3275" s="417">
        <v>41542</v>
      </c>
      <c r="B3275" s="418">
        <v>0.92253472222222221</v>
      </c>
      <c r="C3275" s="421" t="s">
        <v>1354</v>
      </c>
    </row>
    <row r="3276" spans="1:3" x14ac:dyDescent="0.25">
      <c r="A3276" s="417">
        <v>41542</v>
      </c>
      <c r="B3276" s="418">
        <v>0.92253472222222221</v>
      </c>
      <c r="C3276" s="421" t="s">
        <v>1355</v>
      </c>
    </row>
    <row r="3277" spans="1:3" x14ac:dyDescent="0.25">
      <c r="A3277" s="417">
        <v>41542</v>
      </c>
      <c r="B3277" s="418">
        <v>0.92253472222222221</v>
      </c>
      <c r="C3277" s="421" t="s">
        <v>1357</v>
      </c>
    </row>
    <row r="3278" spans="1:3" x14ac:dyDescent="0.25">
      <c r="A3278" s="417">
        <v>41542</v>
      </c>
      <c r="B3278" s="418">
        <v>0.92253472222222221</v>
      </c>
      <c r="C3278" s="421" t="s">
        <v>1358</v>
      </c>
    </row>
    <row r="3279" spans="1:3" x14ac:dyDescent="0.25">
      <c r="A3279" s="417">
        <v>41542</v>
      </c>
      <c r="B3279" s="418">
        <v>0.92253472222222221</v>
      </c>
      <c r="C3279" s="421" t="s">
        <v>1359</v>
      </c>
    </row>
    <row r="3280" spans="1:3" x14ac:dyDescent="0.25">
      <c r="A3280" s="417">
        <v>41542</v>
      </c>
      <c r="B3280" s="418">
        <v>0.92253472222222221</v>
      </c>
      <c r="C3280" s="421" t="s">
        <v>1360</v>
      </c>
    </row>
    <row r="3281" spans="1:3" x14ac:dyDescent="0.25">
      <c r="A3281" s="417">
        <v>41542</v>
      </c>
      <c r="B3281" s="418">
        <v>0.92253472222222221</v>
      </c>
      <c r="C3281" s="421" t="s">
        <v>1361</v>
      </c>
    </row>
    <row r="3282" spans="1:3" x14ac:dyDescent="0.25">
      <c r="A3282" s="417">
        <v>41542</v>
      </c>
      <c r="B3282" s="418">
        <v>0.92253472222222221</v>
      </c>
      <c r="C3282" s="421" t="s">
        <v>1317</v>
      </c>
    </row>
    <row r="3283" spans="1:3" x14ac:dyDescent="0.25">
      <c r="A3283" s="417">
        <v>41542</v>
      </c>
      <c r="B3283" s="418">
        <v>0.92253472222222221</v>
      </c>
      <c r="C3283" s="421" t="s">
        <v>1537</v>
      </c>
    </row>
    <row r="3284" spans="1:3" x14ac:dyDescent="0.25">
      <c r="A3284" s="417">
        <v>41542</v>
      </c>
      <c r="B3284" s="418">
        <v>0.92253472222222221</v>
      </c>
      <c r="C3284" s="421" t="s">
        <v>1362</v>
      </c>
    </row>
    <row r="3285" spans="1:3" x14ac:dyDescent="0.25">
      <c r="A3285" s="417">
        <v>41542</v>
      </c>
      <c r="B3285" s="418">
        <v>0.92253472222222221</v>
      </c>
      <c r="C3285" s="421" t="s">
        <v>1355</v>
      </c>
    </row>
    <row r="3286" spans="1:3" x14ac:dyDescent="0.25">
      <c r="A3286" s="417">
        <v>41542</v>
      </c>
      <c r="B3286" s="418">
        <v>0.92253472222222221</v>
      </c>
      <c r="C3286" s="421" t="s">
        <v>1363</v>
      </c>
    </row>
    <row r="3287" spans="1:3" x14ac:dyDescent="0.25">
      <c r="A3287" s="417">
        <v>41542</v>
      </c>
      <c r="B3287" s="418">
        <v>0.92253472222222221</v>
      </c>
      <c r="C3287" s="421" t="s">
        <v>1364</v>
      </c>
    </row>
    <row r="3288" spans="1:3" x14ac:dyDescent="0.25">
      <c r="A3288" s="417">
        <v>41542</v>
      </c>
      <c r="B3288" s="418">
        <v>0.92253472222222221</v>
      </c>
      <c r="C3288" s="421" t="s">
        <v>1365</v>
      </c>
    </row>
    <row r="3289" spans="1:3" x14ac:dyDescent="0.25">
      <c r="A3289" s="417">
        <v>41542</v>
      </c>
      <c r="B3289" s="418">
        <v>0.92253472222222221</v>
      </c>
      <c r="C3289" s="421" t="s">
        <v>1365</v>
      </c>
    </row>
    <row r="3290" spans="1:3" x14ac:dyDescent="0.25">
      <c r="A3290" s="417">
        <v>41542</v>
      </c>
      <c r="B3290" s="418">
        <v>0.92253472222222221</v>
      </c>
      <c r="C3290" s="421" t="s">
        <v>1366</v>
      </c>
    </row>
    <row r="3291" spans="1:3" x14ac:dyDescent="0.25">
      <c r="A3291" s="417">
        <v>41542</v>
      </c>
      <c r="B3291" s="418">
        <v>0.92253472222222221</v>
      </c>
      <c r="C3291" s="421" t="s">
        <v>1320</v>
      </c>
    </row>
    <row r="3292" spans="1:3" x14ac:dyDescent="0.25">
      <c r="A3292" s="417">
        <v>41542</v>
      </c>
      <c r="B3292" s="418">
        <v>0.92253472222222221</v>
      </c>
      <c r="C3292" s="421" t="s">
        <v>1367</v>
      </c>
    </row>
    <row r="3293" spans="1:3" x14ac:dyDescent="0.25">
      <c r="A3293" s="417">
        <v>41542</v>
      </c>
      <c r="B3293" s="418">
        <v>0.92253472222222221</v>
      </c>
      <c r="C3293" s="421" t="s">
        <v>1344</v>
      </c>
    </row>
    <row r="3294" spans="1:3" x14ac:dyDescent="0.25">
      <c r="A3294" s="417">
        <v>41542</v>
      </c>
      <c r="B3294" s="418">
        <v>0.92253472222222221</v>
      </c>
      <c r="C3294" s="421" t="s">
        <v>1368</v>
      </c>
    </row>
    <row r="3295" spans="1:3" x14ac:dyDescent="0.25">
      <c r="A3295" s="417">
        <v>41542</v>
      </c>
      <c r="B3295" s="418">
        <v>0.92253472222222221</v>
      </c>
      <c r="C3295" s="421" t="s">
        <v>1369</v>
      </c>
    </row>
    <row r="3296" spans="1:3" x14ac:dyDescent="0.25">
      <c r="A3296" s="417">
        <v>41542</v>
      </c>
      <c r="B3296" s="418">
        <v>0.92253472222222221</v>
      </c>
      <c r="C3296" s="421" t="s">
        <v>1307</v>
      </c>
    </row>
    <row r="3297" spans="1:3" x14ac:dyDescent="0.25">
      <c r="A3297" s="417">
        <v>41542</v>
      </c>
      <c r="B3297" s="418">
        <v>0.92253472222222221</v>
      </c>
      <c r="C3297" s="421" t="s">
        <v>1370</v>
      </c>
    </row>
    <row r="3298" spans="1:3" x14ac:dyDescent="0.25">
      <c r="A3298" s="417">
        <v>41542</v>
      </c>
      <c r="B3298" s="418">
        <v>0.92253472222222221</v>
      </c>
      <c r="C3298" s="421" t="s">
        <v>1371</v>
      </c>
    </row>
    <row r="3299" spans="1:3" x14ac:dyDescent="0.25">
      <c r="A3299" s="417">
        <v>41542</v>
      </c>
      <c r="B3299" s="418">
        <v>0.92253472222222221</v>
      </c>
      <c r="C3299" s="421" t="s">
        <v>1344</v>
      </c>
    </row>
    <row r="3300" spans="1:3" x14ac:dyDescent="0.25">
      <c r="A3300" s="417">
        <v>41542</v>
      </c>
      <c r="B3300" s="418">
        <v>0.92253472222222221</v>
      </c>
      <c r="C3300" s="421" t="s">
        <v>1317</v>
      </c>
    </row>
    <row r="3301" spans="1:3" x14ac:dyDescent="0.25">
      <c r="A3301" s="417">
        <v>41542</v>
      </c>
      <c r="B3301" s="418">
        <v>0.92253472222222221</v>
      </c>
      <c r="C3301" s="421" t="s">
        <v>1463</v>
      </c>
    </row>
    <row r="3302" spans="1:3" x14ac:dyDescent="0.25">
      <c r="A3302" s="417">
        <v>41542</v>
      </c>
      <c r="B3302" s="418">
        <v>0.92253472222222221</v>
      </c>
      <c r="C3302" s="421" t="s">
        <v>1378</v>
      </c>
    </row>
    <row r="3303" spans="1:3" ht="60" x14ac:dyDescent="0.25">
      <c r="A3303" s="417">
        <v>41542</v>
      </c>
      <c r="B3303" s="418">
        <v>0.92253472222222221</v>
      </c>
      <c r="C3303" s="950" t="s">
        <v>1648</v>
      </c>
    </row>
    <row r="3304" spans="1:3" x14ac:dyDescent="0.25">
      <c r="A3304" s="417">
        <v>41542</v>
      </c>
      <c r="B3304" s="418">
        <v>0.92256944444444444</v>
      </c>
      <c r="C3304" s="421" t="s">
        <v>1373</v>
      </c>
    </row>
    <row r="3305" spans="1:3" x14ac:dyDescent="0.25">
      <c r="A3305" s="417">
        <v>41542</v>
      </c>
      <c r="B3305" s="418">
        <v>0.92256944444444444</v>
      </c>
      <c r="C3305" s="421" t="s">
        <v>1308</v>
      </c>
    </row>
    <row r="3306" spans="1:3" x14ac:dyDescent="0.25">
      <c r="A3306" s="417">
        <v>41542</v>
      </c>
      <c r="B3306" s="418">
        <v>0.92256944444444444</v>
      </c>
      <c r="C3306" s="421" t="s">
        <v>1374</v>
      </c>
    </row>
    <row r="3307" spans="1:3" x14ac:dyDescent="0.25">
      <c r="A3307" s="417">
        <v>41542</v>
      </c>
      <c r="B3307" s="418">
        <v>0.92256944444444444</v>
      </c>
      <c r="C3307" s="421" t="s">
        <v>1375</v>
      </c>
    </row>
    <row r="3308" spans="1:3" x14ac:dyDescent="0.25">
      <c r="A3308" s="417">
        <v>41542</v>
      </c>
      <c r="B3308" s="418">
        <v>0.92256944444444444</v>
      </c>
      <c r="C3308" s="421" t="s">
        <v>1376</v>
      </c>
    </row>
    <row r="3309" spans="1:3" x14ac:dyDescent="0.25">
      <c r="A3309" s="417">
        <v>41542</v>
      </c>
      <c r="B3309" s="418">
        <v>0.92256944444444444</v>
      </c>
      <c r="C3309" s="421" t="s">
        <v>1377</v>
      </c>
    </row>
    <row r="3310" spans="1:3" x14ac:dyDescent="0.25">
      <c r="A3310" s="417">
        <v>41542</v>
      </c>
      <c r="B3310" s="418">
        <v>0.92256944444444444</v>
      </c>
      <c r="C3310" s="421" t="s">
        <v>1326</v>
      </c>
    </row>
    <row r="3311" spans="1:3" x14ac:dyDescent="0.25">
      <c r="A3311" s="417">
        <v>41542</v>
      </c>
      <c r="B3311" s="418">
        <v>0.92256944444444444</v>
      </c>
      <c r="C3311" s="421" t="s">
        <v>1378</v>
      </c>
    </row>
    <row r="3312" spans="1:3" ht="60" x14ac:dyDescent="0.25">
      <c r="A3312" s="417">
        <v>41542</v>
      </c>
      <c r="B3312" s="418">
        <v>0.92256944444444444</v>
      </c>
      <c r="C3312" s="950" t="s">
        <v>1649</v>
      </c>
    </row>
    <row r="3313" spans="1:3" x14ac:dyDescent="0.25">
      <c r="A3313" s="417">
        <v>41542</v>
      </c>
      <c r="B3313" s="418">
        <v>0.92259259259259263</v>
      </c>
      <c r="C3313" s="421" t="s">
        <v>1380</v>
      </c>
    </row>
    <row r="3314" spans="1:3" x14ac:dyDescent="0.25">
      <c r="A3314" s="417">
        <v>41542</v>
      </c>
      <c r="B3314" s="418">
        <v>0.92259259259259263</v>
      </c>
      <c r="C3314" s="421" t="s">
        <v>1381</v>
      </c>
    </row>
    <row r="3315" spans="1:3" x14ac:dyDescent="0.25">
      <c r="A3315" s="417">
        <v>41542</v>
      </c>
      <c r="B3315" s="418">
        <v>0.92259259259259263</v>
      </c>
      <c r="C3315" s="421" t="s">
        <v>1382</v>
      </c>
    </row>
    <row r="3316" spans="1:3" x14ac:dyDescent="0.25">
      <c r="A3316" s="417">
        <v>41542</v>
      </c>
      <c r="B3316" s="418">
        <v>0.92259259259259263</v>
      </c>
      <c r="C3316" s="421" t="s">
        <v>1383</v>
      </c>
    </row>
    <row r="3317" spans="1:3" x14ac:dyDescent="0.25">
      <c r="A3317" s="417">
        <v>41542</v>
      </c>
      <c r="B3317" s="418">
        <v>0.92259259259259263</v>
      </c>
      <c r="C3317" s="421" t="s">
        <v>1352</v>
      </c>
    </row>
    <row r="3318" spans="1:3" x14ac:dyDescent="0.25">
      <c r="A3318" s="417">
        <v>41542</v>
      </c>
      <c r="B3318" s="418">
        <v>0.92259259259259263</v>
      </c>
      <c r="C3318" s="421" t="s">
        <v>1384</v>
      </c>
    </row>
    <row r="3319" spans="1:3" x14ac:dyDescent="0.25">
      <c r="A3319" s="417">
        <v>41542</v>
      </c>
      <c r="B3319" s="418">
        <v>0.92259259259259263</v>
      </c>
      <c r="C3319" s="421" t="s">
        <v>1385</v>
      </c>
    </row>
    <row r="3320" spans="1:3" x14ac:dyDescent="0.25">
      <c r="A3320" s="417">
        <v>41542</v>
      </c>
      <c r="B3320" s="418">
        <v>0.92259259259259263</v>
      </c>
      <c r="C3320" s="421" t="s">
        <v>1385</v>
      </c>
    </row>
    <row r="3321" spans="1:3" x14ac:dyDescent="0.25">
      <c r="A3321" s="417">
        <v>41542</v>
      </c>
      <c r="B3321" s="418">
        <v>0.92259259259259263</v>
      </c>
      <c r="C3321" s="421" t="s">
        <v>1386</v>
      </c>
    </row>
    <row r="3322" spans="1:3" x14ac:dyDescent="0.25">
      <c r="A3322" s="417">
        <v>41542</v>
      </c>
      <c r="B3322" s="418">
        <v>0.92259259259259263</v>
      </c>
      <c r="C3322" s="421" t="s">
        <v>1387</v>
      </c>
    </row>
    <row r="3323" spans="1:3" x14ac:dyDescent="0.25">
      <c r="A3323" s="417">
        <v>41542</v>
      </c>
      <c r="B3323" s="418">
        <v>0.92259259259259263</v>
      </c>
      <c r="C3323" s="421" t="s">
        <v>1387</v>
      </c>
    </row>
    <row r="3324" spans="1:3" x14ac:dyDescent="0.25">
      <c r="A3324" s="417">
        <v>41542</v>
      </c>
      <c r="B3324" s="418">
        <v>0.92259259259259263</v>
      </c>
      <c r="C3324" s="421" t="s">
        <v>1318</v>
      </c>
    </row>
    <row r="3325" spans="1:3" x14ac:dyDescent="0.25">
      <c r="A3325" s="417">
        <v>41542</v>
      </c>
      <c r="B3325" s="418">
        <v>0.92259259259259263</v>
      </c>
      <c r="C3325" s="421" t="s">
        <v>1388</v>
      </c>
    </row>
    <row r="3326" spans="1:3" x14ac:dyDescent="0.25">
      <c r="A3326" s="417">
        <v>41542</v>
      </c>
      <c r="B3326" s="418">
        <v>0.92259259259259263</v>
      </c>
      <c r="C3326" s="421" t="s">
        <v>1390</v>
      </c>
    </row>
    <row r="3327" spans="1:3" x14ac:dyDescent="0.25">
      <c r="A3327" s="417">
        <v>41542</v>
      </c>
      <c r="B3327" s="418">
        <v>0.92259259259259263</v>
      </c>
      <c r="C3327" s="421" t="s">
        <v>1391</v>
      </c>
    </row>
    <row r="3328" spans="1:3" x14ac:dyDescent="0.25">
      <c r="A3328" s="417">
        <v>41542</v>
      </c>
      <c r="B3328" s="418">
        <v>0.92259259259259263</v>
      </c>
      <c r="C3328" s="421" t="s">
        <v>1392</v>
      </c>
    </row>
    <row r="3329" spans="1:3" x14ac:dyDescent="0.25">
      <c r="A3329" s="417">
        <v>41542</v>
      </c>
      <c r="B3329" s="418">
        <v>0.92259259259259263</v>
      </c>
      <c r="C3329" s="421" t="s">
        <v>1294</v>
      </c>
    </row>
    <row r="3330" spans="1:3" ht="60" x14ac:dyDescent="0.25">
      <c r="A3330" s="417">
        <v>41542</v>
      </c>
      <c r="B3330" s="418">
        <v>0.92259259259259263</v>
      </c>
      <c r="C3330" s="950" t="s">
        <v>1295</v>
      </c>
    </row>
    <row r="3331" spans="1:3" x14ac:dyDescent="0.25">
      <c r="A3331" s="417">
        <v>41542</v>
      </c>
      <c r="B3331" s="418">
        <v>0.92260416666666656</v>
      </c>
      <c r="C3331" s="421" t="s">
        <v>1393</v>
      </c>
    </row>
    <row r="3332" spans="1:3" x14ac:dyDescent="0.25">
      <c r="A3332" s="417">
        <v>41542</v>
      </c>
      <c r="B3332" s="418">
        <v>0.92260416666666656</v>
      </c>
      <c r="C3332" s="421" t="s">
        <v>1394</v>
      </c>
    </row>
    <row r="3333" spans="1:3" x14ac:dyDescent="0.25">
      <c r="A3333" s="417">
        <v>41542</v>
      </c>
      <c r="B3333" s="418">
        <v>0.92260416666666656</v>
      </c>
      <c r="C3333" s="421" t="s">
        <v>1392</v>
      </c>
    </row>
    <row r="3334" spans="1:3" x14ac:dyDescent="0.25">
      <c r="A3334" s="417">
        <v>41542</v>
      </c>
      <c r="B3334" s="418">
        <v>0.92260416666666656</v>
      </c>
      <c r="C3334" s="421" t="s">
        <v>1395</v>
      </c>
    </row>
    <row r="3335" spans="1:3" x14ac:dyDescent="0.25">
      <c r="A3335" s="417">
        <v>41542</v>
      </c>
      <c r="B3335" s="418">
        <v>0.92260416666666656</v>
      </c>
      <c r="C3335" s="421" t="s">
        <v>1396</v>
      </c>
    </row>
    <row r="3336" spans="1:3" x14ac:dyDescent="0.25">
      <c r="A3336" s="417">
        <v>41542</v>
      </c>
      <c r="B3336" s="418">
        <v>0.92260416666666656</v>
      </c>
      <c r="C3336" s="421" t="s">
        <v>1363</v>
      </c>
    </row>
    <row r="3337" spans="1:3" x14ac:dyDescent="0.25">
      <c r="A3337" s="417">
        <v>41542</v>
      </c>
      <c r="B3337" s="418">
        <v>0.92260416666666656</v>
      </c>
      <c r="C3337" s="421" t="s">
        <v>1362</v>
      </c>
    </row>
    <row r="3338" spans="1:3" x14ac:dyDescent="0.25">
      <c r="A3338" s="417">
        <v>41542</v>
      </c>
      <c r="B3338" s="418">
        <v>0.92260416666666656</v>
      </c>
      <c r="C3338" s="421" t="s">
        <v>1397</v>
      </c>
    </row>
    <row r="3339" spans="1:3" x14ac:dyDescent="0.25">
      <c r="A3339" s="417">
        <v>41542</v>
      </c>
      <c r="B3339" s="418">
        <v>0.92260416666666656</v>
      </c>
      <c r="C3339" s="421" t="s">
        <v>1381</v>
      </c>
    </row>
    <row r="3340" spans="1:3" x14ac:dyDescent="0.25">
      <c r="A3340" s="417">
        <v>41542</v>
      </c>
      <c r="B3340" s="418">
        <v>0.92260416666666656</v>
      </c>
      <c r="C3340" s="421" t="s">
        <v>1398</v>
      </c>
    </row>
    <row r="3341" spans="1:3" x14ac:dyDescent="0.25">
      <c r="A3341" s="417">
        <v>41542</v>
      </c>
      <c r="B3341" s="418">
        <v>0.92260416666666656</v>
      </c>
      <c r="C3341" s="421" t="s">
        <v>1399</v>
      </c>
    </row>
    <row r="3342" spans="1:3" x14ac:dyDescent="0.25">
      <c r="A3342" s="417">
        <v>41542</v>
      </c>
      <c r="B3342" s="418">
        <v>0.92260416666666656</v>
      </c>
      <c r="C3342" s="421" t="s">
        <v>1400</v>
      </c>
    </row>
    <row r="3343" spans="1:3" x14ac:dyDescent="0.25">
      <c r="A3343" s="417">
        <v>41542</v>
      </c>
      <c r="B3343" s="418">
        <v>0.92260416666666656</v>
      </c>
      <c r="C3343" s="421" t="s">
        <v>1400</v>
      </c>
    </row>
    <row r="3344" spans="1:3" x14ac:dyDescent="0.25">
      <c r="A3344" s="417">
        <v>41542</v>
      </c>
      <c r="B3344" s="418">
        <v>0.92260416666666656</v>
      </c>
      <c r="C3344" s="421" t="s">
        <v>1373</v>
      </c>
    </row>
    <row r="3345" spans="1:3" x14ac:dyDescent="0.25">
      <c r="A3345" s="417">
        <v>41542</v>
      </c>
      <c r="B3345" s="418">
        <v>0.92260416666666656</v>
      </c>
      <c r="C3345" s="421" t="s">
        <v>1353</v>
      </c>
    </row>
    <row r="3346" spans="1:3" x14ac:dyDescent="0.25">
      <c r="A3346" s="417">
        <v>41542</v>
      </c>
      <c r="B3346" s="418">
        <v>0.92260416666666656</v>
      </c>
      <c r="C3346" s="421" t="s">
        <v>1353</v>
      </c>
    </row>
    <row r="3347" spans="1:3" x14ac:dyDescent="0.25">
      <c r="A3347" s="417">
        <v>41542</v>
      </c>
      <c r="B3347" s="418">
        <v>0.92260416666666656</v>
      </c>
      <c r="C3347" s="421" t="s">
        <v>1401</v>
      </c>
    </row>
    <row r="3348" spans="1:3" x14ac:dyDescent="0.25">
      <c r="A3348" s="417">
        <v>41542</v>
      </c>
      <c r="B3348" s="418">
        <v>0.92260416666666656</v>
      </c>
      <c r="C3348" s="421" t="s">
        <v>1392</v>
      </c>
    </row>
    <row r="3349" spans="1:3" x14ac:dyDescent="0.25">
      <c r="A3349" s="417">
        <v>41542</v>
      </c>
      <c r="B3349" s="418">
        <v>0.92260416666666656</v>
      </c>
      <c r="C3349" s="421" t="s">
        <v>1403</v>
      </c>
    </row>
    <row r="3350" spans="1:3" x14ac:dyDescent="0.25">
      <c r="A3350" s="417">
        <v>41542</v>
      </c>
      <c r="B3350" s="418">
        <v>0.92260416666666656</v>
      </c>
      <c r="C3350" s="421" t="s">
        <v>1403</v>
      </c>
    </row>
    <row r="3351" spans="1:3" x14ac:dyDescent="0.25">
      <c r="A3351" s="417">
        <v>41542</v>
      </c>
      <c r="B3351" s="418">
        <v>0.92260416666666656</v>
      </c>
      <c r="C3351" s="421" t="s">
        <v>1403</v>
      </c>
    </row>
    <row r="3352" spans="1:3" x14ac:dyDescent="0.25">
      <c r="A3352" s="417">
        <v>41542</v>
      </c>
      <c r="B3352" s="418">
        <v>0.92260416666666656</v>
      </c>
      <c r="C3352" s="421" t="s">
        <v>1362</v>
      </c>
    </row>
    <row r="3353" spans="1:3" x14ac:dyDescent="0.25">
      <c r="A3353" s="417">
        <v>41542</v>
      </c>
      <c r="B3353" s="418">
        <v>0.92260416666666656</v>
      </c>
      <c r="C3353" s="421" t="s">
        <v>1364</v>
      </c>
    </row>
    <row r="3354" spans="1:3" x14ac:dyDescent="0.25">
      <c r="A3354" s="417">
        <v>41542</v>
      </c>
      <c r="B3354" s="418">
        <v>0.92260416666666656</v>
      </c>
      <c r="C3354" s="421" t="s">
        <v>1364</v>
      </c>
    </row>
    <row r="3355" spans="1:3" x14ac:dyDescent="0.25">
      <c r="A3355" s="417">
        <v>41542</v>
      </c>
      <c r="B3355" s="418">
        <v>0.92260416666666656</v>
      </c>
      <c r="C3355" s="421" t="s">
        <v>1381</v>
      </c>
    </row>
    <row r="3356" spans="1:3" x14ac:dyDescent="0.25">
      <c r="A3356" s="417">
        <v>41542</v>
      </c>
      <c r="B3356" s="418">
        <v>0.92260416666666656</v>
      </c>
      <c r="C3356" s="421" t="s">
        <v>1364</v>
      </c>
    </row>
    <row r="3357" spans="1:3" x14ac:dyDescent="0.25">
      <c r="A3357" s="417">
        <v>41542</v>
      </c>
      <c r="B3357" s="418">
        <v>0.92260416666666656</v>
      </c>
      <c r="C3357" s="421" t="s">
        <v>1480</v>
      </c>
    </row>
    <row r="3358" spans="1:3" x14ac:dyDescent="0.25">
      <c r="A3358" s="417">
        <v>41542</v>
      </c>
      <c r="B3358" s="418">
        <v>0.92260416666666656</v>
      </c>
      <c r="C3358" s="421" t="s">
        <v>1480</v>
      </c>
    </row>
    <row r="3359" spans="1:3" x14ac:dyDescent="0.25">
      <c r="A3359" s="417">
        <v>41542</v>
      </c>
      <c r="B3359" s="418">
        <v>0.92260416666666656</v>
      </c>
      <c r="C3359" s="421" t="s">
        <v>1480</v>
      </c>
    </row>
    <row r="3360" spans="1:3" x14ac:dyDescent="0.25">
      <c r="A3360" s="417">
        <v>41542</v>
      </c>
      <c r="B3360" s="418">
        <v>0.92260416666666656</v>
      </c>
      <c r="C3360" s="421" t="s">
        <v>1481</v>
      </c>
    </row>
    <row r="3361" spans="1:3" x14ac:dyDescent="0.25">
      <c r="A3361" s="417">
        <v>41542</v>
      </c>
      <c r="B3361" s="418">
        <v>0.92260416666666656</v>
      </c>
      <c r="C3361" s="421" t="s">
        <v>1541</v>
      </c>
    </row>
    <row r="3362" spans="1:3" x14ac:dyDescent="0.25">
      <c r="A3362" s="417">
        <v>41542</v>
      </c>
      <c r="B3362" s="418">
        <v>0.92260416666666656</v>
      </c>
      <c r="C3362" s="421" t="s">
        <v>1346</v>
      </c>
    </row>
    <row r="3363" spans="1:3" x14ac:dyDescent="0.25">
      <c r="A3363" s="417">
        <v>41542</v>
      </c>
      <c r="B3363" s="418">
        <v>0.92260416666666656</v>
      </c>
      <c r="C3363" s="421" t="s">
        <v>1405</v>
      </c>
    </row>
    <row r="3364" spans="1:3" x14ac:dyDescent="0.25">
      <c r="A3364" s="417">
        <v>41542</v>
      </c>
      <c r="B3364" s="418">
        <v>0.92260416666666656</v>
      </c>
      <c r="C3364" s="421" t="s">
        <v>1406</v>
      </c>
    </row>
    <row r="3365" spans="1:3" x14ac:dyDescent="0.25">
      <c r="A3365" s="417">
        <v>41542</v>
      </c>
      <c r="B3365" s="418">
        <v>0.92260416666666656</v>
      </c>
      <c r="C3365" s="421" t="s">
        <v>1362</v>
      </c>
    </row>
    <row r="3366" spans="1:3" x14ac:dyDescent="0.25">
      <c r="A3366" s="417">
        <v>41542</v>
      </c>
      <c r="B3366" s="418">
        <v>0.92260416666666656</v>
      </c>
      <c r="C3366" s="421" t="s">
        <v>1482</v>
      </c>
    </row>
    <row r="3367" spans="1:3" x14ac:dyDescent="0.25">
      <c r="A3367" s="417">
        <v>41542</v>
      </c>
      <c r="B3367" s="418">
        <v>0.92261574074074071</v>
      </c>
      <c r="C3367" s="421" t="s">
        <v>1318</v>
      </c>
    </row>
    <row r="3368" spans="1:3" x14ac:dyDescent="0.25">
      <c r="A3368" s="417">
        <v>41542</v>
      </c>
      <c r="B3368" s="418">
        <v>0.92261574074074071</v>
      </c>
      <c r="C3368" s="421" t="s">
        <v>1368</v>
      </c>
    </row>
    <row r="3369" spans="1:3" x14ac:dyDescent="0.25">
      <c r="A3369" s="417">
        <v>41542</v>
      </c>
      <c r="B3369" s="418">
        <v>0.92261574074074071</v>
      </c>
      <c r="C3369" s="421" t="s">
        <v>1368</v>
      </c>
    </row>
    <row r="3370" spans="1:3" x14ac:dyDescent="0.25">
      <c r="A3370" s="417">
        <v>41542</v>
      </c>
      <c r="B3370" s="418">
        <v>0.92261574074074071</v>
      </c>
      <c r="C3370" s="421" t="s">
        <v>1368</v>
      </c>
    </row>
    <row r="3371" spans="1:3" x14ac:dyDescent="0.25">
      <c r="A3371" s="417">
        <v>41542</v>
      </c>
      <c r="B3371" s="418">
        <v>0.92261574074074071</v>
      </c>
      <c r="C3371" s="421" t="s">
        <v>1368</v>
      </c>
    </row>
    <row r="3372" spans="1:3" x14ac:dyDescent="0.25">
      <c r="A3372" s="417">
        <v>41542</v>
      </c>
      <c r="B3372" s="418">
        <v>0.92261574074074071</v>
      </c>
      <c r="C3372" s="421" t="s">
        <v>1368</v>
      </c>
    </row>
    <row r="3373" spans="1:3" x14ac:dyDescent="0.25">
      <c r="A3373" s="417">
        <v>41542</v>
      </c>
      <c r="B3373" s="418">
        <v>0.92261574074074071</v>
      </c>
      <c r="C3373" s="421" t="s">
        <v>1409</v>
      </c>
    </row>
    <row r="3374" spans="1:3" x14ac:dyDescent="0.25">
      <c r="A3374" s="417">
        <v>41542</v>
      </c>
      <c r="B3374" s="418">
        <v>0.92261574074074071</v>
      </c>
      <c r="C3374" s="421" t="s">
        <v>1308</v>
      </c>
    </row>
    <row r="3375" spans="1:3" x14ac:dyDescent="0.25">
      <c r="A3375" s="417">
        <v>41542</v>
      </c>
      <c r="B3375" s="418">
        <v>0.92261574074074071</v>
      </c>
      <c r="C3375" s="421" t="s">
        <v>1410</v>
      </c>
    </row>
    <row r="3376" spans="1:3" x14ac:dyDescent="0.25">
      <c r="A3376" s="417">
        <v>41542</v>
      </c>
      <c r="B3376" s="418">
        <v>0.92261574074074071</v>
      </c>
      <c r="C3376" s="421" t="s">
        <v>1410</v>
      </c>
    </row>
    <row r="3377" spans="1:3" x14ac:dyDescent="0.25">
      <c r="A3377" s="417">
        <v>41542</v>
      </c>
      <c r="B3377" s="418">
        <v>0.92261574074074071</v>
      </c>
      <c r="C3377" s="421" t="s">
        <v>1411</v>
      </c>
    </row>
    <row r="3378" spans="1:3" x14ac:dyDescent="0.25">
      <c r="A3378" s="417">
        <v>41542</v>
      </c>
      <c r="B3378" s="418">
        <v>0.92261574074074071</v>
      </c>
      <c r="C3378" s="421" t="s">
        <v>1483</v>
      </c>
    </row>
    <row r="3379" spans="1:3" x14ac:dyDescent="0.25">
      <c r="A3379" s="417">
        <v>41542</v>
      </c>
      <c r="B3379" s="418">
        <v>0.92261574074074071</v>
      </c>
      <c r="C3379" s="421" t="s">
        <v>1413</v>
      </c>
    </row>
    <row r="3380" spans="1:3" x14ac:dyDescent="0.25">
      <c r="A3380" s="417">
        <v>41542</v>
      </c>
      <c r="B3380" s="418">
        <v>0.92261574074074071</v>
      </c>
      <c r="C3380" s="421" t="s">
        <v>1414</v>
      </c>
    </row>
    <row r="3381" spans="1:3" x14ac:dyDescent="0.25">
      <c r="A3381" s="417">
        <v>41542</v>
      </c>
      <c r="B3381" s="418">
        <v>0.92261574074074071</v>
      </c>
      <c r="C3381" s="421" t="s">
        <v>1373</v>
      </c>
    </row>
    <row r="3382" spans="1:3" x14ac:dyDescent="0.25">
      <c r="A3382" s="417">
        <v>41542</v>
      </c>
      <c r="B3382" s="418">
        <v>0.92261574074074071</v>
      </c>
      <c r="C3382" s="421" t="s">
        <v>1484</v>
      </c>
    </row>
    <row r="3383" spans="1:3" x14ac:dyDescent="0.25">
      <c r="A3383" s="417">
        <v>41542</v>
      </c>
      <c r="B3383" s="418">
        <v>0.92262731481481486</v>
      </c>
      <c r="C3383" s="421" t="s">
        <v>1409</v>
      </c>
    </row>
    <row r="3384" spans="1:3" x14ac:dyDescent="0.25">
      <c r="A3384" s="417">
        <v>41542</v>
      </c>
      <c r="B3384" s="418">
        <v>0.92262731481481486</v>
      </c>
      <c r="C3384" s="421" t="s">
        <v>1416</v>
      </c>
    </row>
    <row r="3385" spans="1:3" x14ac:dyDescent="0.25">
      <c r="A3385" s="417">
        <v>41542</v>
      </c>
      <c r="B3385" s="418">
        <v>0.92262731481481486</v>
      </c>
      <c r="C3385" s="421" t="s">
        <v>1650</v>
      </c>
    </row>
    <row r="3386" spans="1:3" x14ac:dyDescent="0.25">
      <c r="A3386" s="417">
        <v>41542</v>
      </c>
      <c r="B3386" s="418">
        <v>0.92262731481481486</v>
      </c>
      <c r="C3386" s="421" t="s">
        <v>1348</v>
      </c>
    </row>
    <row r="3387" spans="1:3" x14ac:dyDescent="0.25">
      <c r="A3387" s="417">
        <v>41542</v>
      </c>
      <c r="B3387" s="418">
        <v>0.92262731481481486</v>
      </c>
      <c r="C3387" s="421" t="s">
        <v>1419</v>
      </c>
    </row>
    <row r="3388" spans="1:3" x14ac:dyDescent="0.25">
      <c r="A3388" s="417">
        <v>41542</v>
      </c>
      <c r="B3388" s="418">
        <v>0.92262731481481486</v>
      </c>
      <c r="C3388" s="421" t="s">
        <v>1419</v>
      </c>
    </row>
    <row r="3389" spans="1:3" x14ac:dyDescent="0.25">
      <c r="A3389" s="417">
        <v>41542</v>
      </c>
      <c r="B3389" s="418">
        <v>0.92262731481481486</v>
      </c>
      <c r="C3389" s="421" t="s">
        <v>1420</v>
      </c>
    </row>
    <row r="3390" spans="1:3" x14ac:dyDescent="0.25">
      <c r="A3390" s="417">
        <v>41542</v>
      </c>
      <c r="B3390" s="418">
        <v>0.92262731481481486</v>
      </c>
      <c r="C3390" s="421" t="s">
        <v>1651</v>
      </c>
    </row>
    <row r="3391" spans="1:3" x14ac:dyDescent="0.25">
      <c r="A3391" s="417">
        <v>41542</v>
      </c>
      <c r="B3391" s="418">
        <v>0.92262731481481486</v>
      </c>
      <c r="C3391" s="421" t="s">
        <v>1627</v>
      </c>
    </row>
    <row r="3392" spans="1:3" x14ac:dyDescent="0.25">
      <c r="A3392" s="417">
        <v>41542</v>
      </c>
      <c r="B3392" s="418">
        <v>0.92262731481481486</v>
      </c>
      <c r="C3392" s="421" t="s">
        <v>1485</v>
      </c>
    </row>
    <row r="3393" spans="1:3" x14ac:dyDescent="0.25">
      <c r="A3393" s="417">
        <v>41542</v>
      </c>
      <c r="B3393" s="418">
        <v>0.92262731481481486</v>
      </c>
      <c r="C3393" s="421" t="s">
        <v>1652</v>
      </c>
    </row>
    <row r="3394" spans="1:3" x14ac:dyDescent="0.25">
      <c r="A3394" s="417">
        <v>41542</v>
      </c>
      <c r="B3394" s="418">
        <v>0.92262731481481486</v>
      </c>
      <c r="C3394" s="421" t="s">
        <v>1653</v>
      </c>
    </row>
    <row r="3395" spans="1:3" x14ac:dyDescent="0.25">
      <c r="A3395" s="417">
        <v>41542</v>
      </c>
      <c r="B3395" s="418">
        <v>0.92262731481481486</v>
      </c>
      <c r="C3395" s="421" t="s">
        <v>1654</v>
      </c>
    </row>
    <row r="3396" spans="1:3" x14ac:dyDescent="0.25">
      <c r="A3396" s="417">
        <v>41542</v>
      </c>
      <c r="B3396" s="418">
        <v>0.92262731481481486</v>
      </c>
      <c r="C3396" s="421" t="s">
        <v>1655</v>
      </c>
    </row>
    <row r="3397" spans="1:3" x14ac:dyDescent="0.25">
      <c r="A3397" s="417">
        <v>41542</v>
      </c>
      <c r="B3397" s="418">
        <v>0.92262731481481486</v>
      </c>
      <c r="C3397" s="421" t="s">
        <v>1491</v>
      </c>
    </row>
    <row r="3398" spans="1:3" x14ac:dyDescent="0.25">
      <c r="A3398" s="417">
        <v>41542</v>
      </c>
      <c r="B3398" s="418">
        <v>0.92262731481481486</v>
      </c>
      <c r="C3398" s="421" t="s">
        <v>1320</v>
      </c>
    </row>
    <row r="3399" spans="1:3" x14ac:dyDescent="0.25">
      <c r="A3399" s="417">
        <v>41542</v>
      </c>
      <c r="B3399" s="418">
        <v>0.92262731481481486</v>
      </c>
      <c r="C3399" s="421" t="s">
        <v>1429</v>
      </c>
    </row>
    <row r="3400" spans="1:3" x14ac:dyDescent="0.25">
      <c r="A3400" s="417">
        <v>41542</v>
      </c>
      <c r="B3400" s="418">
        <v>0.92262731481481486</v>
      </c>
      <c r="C3400" s="421" t="s">
        <v>1430</v>
      </c>
    </row>
    <row r="3401" spans="1:3" x14ac:dyDescent="0.25">
      <c r="A3401" s="417">
        <v>41542</v>
      </c>
      <c r="B3401" s="418">
        <v>0.92262731481481486</v>
      </c>
      <c r="C3401" s="421" t="s">
        <v>1656</v>
      </c>
    </row>
    <row r="3402" spans="1:3" x14ac:dyDescent="0.25">
      <c r="A3402" s="417">
        <v>41542</v>
      </c>
      <c r="B3402" s="418">
        <v>0.92262731481481486</v>
      </c>
      <c r="C3402" s="421" t="s">
        <v>1308</v>
      </c>
    </row>
    <row r="3403" spans="1:3" x14ac:dyDescent="0.25">
      <c r="A3403" s="417">
        <v>41542</v>
      </c>
      <c r="B3403" s="418">
        <v>0.92262731481481486</v>
      </c>
      <c r="C3403" s="421" t="s">
        <v>1360</v>
      </c>
    </row>
    <row r="3404" spans="1:3" x14ac:dyDescent="0.25">
      <c r="A3404" s="417">
        <v>41542</v>
      </c>
      <c r="B3404" s="418">
        <v>0.92262731481481486</v>
      </c>
      <c r="C3404" s="421" t="s">
        <v>1432</v>
      </c>
    </row>
    <row r="3405" spans="1:3" x14ac:dyDescent="0.25">
      <c r="A3405" s="417">
        <v>41542</v>
      </c>
      <c r="B3405" s="418">
        <v>0.92262731481481486</v>
      </c>
      <c r="C3405" s="421" t="s">
        <v>1432</v>
      </c>
    </row>
    <row r="3406" spans="1:3" x14ac:dyDescent="0.25">
      <c r="A3406" s="417">
        <v>41542</v>
      </c>
      <c r="B3406" s="418">
        <v>0.92262731481481486</v>
      </c>
      <c r="C3406" s="421" t="s">
        <v>1432</v>
      </c>
    </row>
    <row r="3407" spans="1:3" x14ac:dyDescent="0.25">
      <c r="A3407" s="417">
        <v>41542</v>
      </c>
      <c r="B3407" s="418">
        <v>0.92262731481481486</v>
      </c>
      <c r="C3407" s="421" t="s">
        <v>1281</v>
      </c>
    </row>
    <row r="3408" spans="1:3" ht="60" x14ac:dyDescent="0.25">
      <c r="A3408" s="417">
        <v>41542</v>
      </c>
      <c r="B3408" s="418">
        <v>0.92262731481481486</v>
      </c>
      <c r="C3408" s="950" t="s">
        <v>1282</v>
      </c>
    </row>
    <row r="3409" spans="1:3" x14ac:dyDescent="0.25">
      <c r="A3409" s="417">
        <v>41542</v>
      </c>
      <c r="B3409" s="418">
        <v>0.92267361111111112</v>
      </c>
      <c r="C3409" s="421" t="s">
        <v>1413</v>
      </c>
    </row>
    <row r="3410" spans="1:3" x14ac:dyDescent="0.25">
      <c r="A3410" s="417">
        <v>41542</v>
      </c>
      <c r="B3410" s="418">
        <v>0.92267361111111112</v>
      </c>
      <c r="C3410" s="421" t="s">
        <v>1657</v>
      </c>
    </row>
    <row r="3411" spans="1:3" x14ac:dyDescent="0.25">
      <c r="A3411" s="417">
        <v>41542</v>
      </c>
      <c r="B3411" s="418">
        <v>0.92268518518518527</v>
      </c>
      <c r="C3411" s="421" t="s">
        <v>1658</v>
      </c>
    </row>
    <row r="3412" spans="1:3" x14ac:dyDescent="0.25">
      <c r="A3412" s="417">
        <v>41542</v>
      </c>
      <c r="B3412" s="418">
        <v>0.92268518518518527</v>
      </c>
      <c r="C3412" s="421" t="s">
        <v>1495</v>
      </c>
    </row>
    <row r="3413" spans="1:3" x14ac:dyDescent="0.25">
      <c r="A3413" s="417">
        <v>41542</v>
      </c>
      <c r="B3413" s="418">
        <v>0.92268518518518527</v>
      </c>
      <c r="C3413" s="421" t="s">
        <v>1496</v>
      </c>
    </row>
    <row r="3414" spans="1:3" x14ac:dyDescent="0.25">
      <c r="A3414" s="417">
        <v>41542</v>
      </c>
      <c r="B3414" s="418">
        <v>0.92268518518518527</v>
      </c>
      <c r="C3414" s="421" t="s">
        <v>1497</v>
      </c>
    </row>
    <row r="3415" spans="1:3" x14ac:dyDescent="0.25">
      <c r="A3415" s="417">
        <v>41542</v>
      </c>
      <c r="B3415" s="418">
        <v>0.92268518518518527</v>
      </c>
      <c r="C3415" s="421" t="s">
        <v>1659</v>
      </c>
    </row>
    <row r="3416" spans="1:3" x14ac:dyDescent="0.25">
      <c r="A3416" s="417">
        <v>41542</v>
      </c>
      <c r="B3416" s="418">
        <v>0.92268518518518527</v>
      </c>
      <c r="C3416" s="421" t="s">
        <v>1660</v>
      </c>
    </row>
    <row r="3417" spans="1:3" x14ac:dyDescent="0.25">
      <c r="A3417" s="417">
        <v>41542</v>
      </c>
      <c r="B3417" s="418">
        <v>0.92268518518518527</v>
      </c>
      <c r="C3417" s="421" t="s">
        <v>1661</v>
      </c>
    </row>
    <row r="3418" spans="1:3" x14ac:dyDescent="0.25">
      <c r="A3418" s="417">
        <v>41542</v>
      </c>
      <c r="B3418" s="418">
        <v>0.92268518518518527</v>
      </c>
      <c r="C3418" s="421" t="s">
        <v>1662</v>
      </c>
    </row>
    <row r="3419" spans="1:3" x14ac:dyDescent="0.25">
      <c r="A3419" s="417">
        <v>41542</v>
      </c>
      <c r="B3419" s="418">
        <v>0.92268518518518527</v>
      </c>
      <c r="C3419" s="421" t="s">
        <v>1320</v>
      </c>
    </row>
    <row r="3420" spans="1:3" x14ac:dyDescent="0.25">
      <c r="A3420" s="417">
        <v>41542</v>
      </c>
      <c r="B3420" s="418">
        <v>0.92268518518518527</v>
      </c>
      <c r="C3420" s="421" t="s">
        <v>1502</v>
      </c>
    </row>
    <row r="3421" spans="1:3" x14ac:dyDescent="0.25">
      <c r="A3421" s="417">
        <v>41542</v>
      </c>
      <c r="B3421" s="418">
        <v>0.92268518518518527</v>
      </c>
      <c r="C3421" s="421" t="s">
        <v>1503</v>
      </c>
    </row>
    <row r="3422" spans="1:3" x14ac:dyDescent="0.25">
      <c r="A3422" s="417">
        <v>41542</v>
      </c>
      <c r="B3422" s="418">
        <v>0.92268518518518527</v>
      </c>
      <c r="C3422" s="421" t="s">
        <v>1504</v>
      </c>
    </row>
    <row r="3423" spans="1:3" x14ac:dyDescent="0.25">
      <c r="A3423" s="417">
        <v>41542</v>
      </c>
      <c r="B3423" s="418">
        <v>0.92268518518518527</v>
      </c>
      <c r="C3423" s="421" t="s">
        <v>1505</v>
      </c>
    </row>
    <row r="3424" spans="1:3" x14ac:dyDescent="0.25">
      <c r="A3424" s="417">
        <v>41542</v>
      </c>
      <c r="B3424" s="418">
        <v>0.92268518518518527</v>
      </c>
      <c r="C3424" s="421" t="s">
        <v>1446</v>
      </c>
    </row>
    <row r="3425" spans="1:3" x14ac:dyDescent="0.25">
      <c r="A3425" s="417">
        <v>41542</v>
      </c>
      <c r="B3425" s="418">
        <v>0.92268518518518527</v>
      </c>
      <c r="C3425" s="421" t="s">
        <v>1238</v>
      </c>
    </row>
    <row r="3426" spans="1:3" x14ac:dyDescent="0.25">
      <c r="A3426" s="417">
        <v>41542</v>
      </c>
      <c r="B3426" s="418">
        <v>0.92268518518518527</v>
      </c>
      <c r="C3426" s="421" t="s">
        <v>1663</v>
      </c>
    </row>
    <row r="3427" spans="1:3" x14ac:dyDescent="0.25">
      <c r="A3427" s="417">
        <v>41542</v>
      </c>
      <c r="B3427" s="418">
        <v>0.92268518518518527</v>
      </c>
      <c r="C3427" s="421" t="s">
        <v>1389</v>
      </c>
    </row>
    <row r="3428" spans="1:3" x14ac:dyDescent="0.25">
      <c r="A3428" s="417">
        <v>41542</v>
      </c>
      <c r="B3428" s="418">
        <v>0.92268518518518527</v>
      </c>
      <c r="C3428" s="421" t="s">
        <v>1448</v>
      </c>
    </row>
    <row r="3429" spans="1:3" x14ac:dyDescent="0.25">
      <c r="A3429" s="417">
        <v>41542</v>
      </c>
      <c r="B3429" s="418">
        <v>0.92268518518518527</v>
      </c>
      <c r="C3429" s="421" t="s">
        <v>1450</v>
      </c>
    </row>
    <row r="3430" spans="1:3" x14ac:dyDescent="0.25">
      <c r="A3430" s="417">
        <v>41542</v>
      </c>
      <c r="B3430" s="418">
        <v>0.92268518518518527</v>
      </c>
      <c r="C3430" s="421" t="s">
        <v>1450</v>
      </c>
    </row>
    <row r="3431" spans="1:3" x14ac:dyDescent="0.25">
      <c r="A3431" s="417">
        <v>41542</v>
      </c>
      <c r="B3431" s="418">
        <v>0.92268518518518527</v>
      </c>
      <c r="C3431" s="421" t="s">
        <v>1450</v>
      </c>
    </row>
    <row r="3432" spans="1:3" x14ac:dyDescent="0.25">
      <c r="A3432" s="417">
        <v>41542</v>
      </c>
      <c r="B3432" s="418">
        <v>0.92268518518518527</v>
      </c>
      <c r="C3432" s="421" t="s">
        <v>1450</v>
      </c>
    </row>
    <row r="3433" spans="1:3" x14ac:dyDescent="0.25">
      <c r="A3433" s="417">
        <v>41542</v>
      </c>
      <c r="B3433" s="418">
        <v>0.92268518518518527</v>
      </c>
      <c r="C3433" s="421" t="s">
        <v>1450</v>
      </c>
    </row>
    <row r="3434" spans="1:3" x14ac:dyDescent="0.25">
      <c r="A3434" s="417">
        <v>41542</v>
      </c>
      <c r="B3434" s="418">
        <v>0.92268518518518527</v>
      </c>
      <c r="C3434" s="421" t="s">
        <v>1450</v>
      </c>
    </row>
    <row r="3435" spans="1:3" x14ac:dyDescent="0.25">
      <c r="A3435" s="417">
        <v>41542</v>
      </c>
      <c r="B3435" s="418">
        <v>0.92268518518518527</v>
      </c>
      <c r="C3435" s="421" t="s">
        <v>1450</v>
      </c>
    </row>
    <row r="3436" spans="1:3" x14ac:dyDescent="0.25">
      <c r="A3436" s="417">
        <v>41542</v>
      </c>
      <c r="B3436" s="418">
        <v>0.92268518518518527</v>
      </c>
      <c r="C3436" s="421" t="s">
        <v>1448</v>
      </c>
    </row>
    <row r="3437" spans="1:3" x14ac:dyDescent="0.25">
      <c r="A3437" s="417">
        <v>41542</v>
      </c>
      <c r="B3437" s="418">
        <v>0.92268518518518527</v>
      </c>
      <c r="C3437" s="421" t="s">
        <v>1399</v>
      </c>
    </row>
    <row r="3438" spans="1:3" x14ac:dyDescent="0.25">
      <c r="A3438" s="417">
        <v>41542</v>
      </c>
      <c r="B3438" s="418">
        <v>0.92268518518518527</v>
      </c>
      <c r="C3438" s="421" t="s">
        <v>1309</v>
      </c>
    </row>
    <row r="3439" spans="1:3" x14ac:dyDescent="0.25">
      <c r="A3439" s="417">
        <v>41542</v>
      </c>
      <c r="B3439" s="418">
        <v>0.92268518518518527</v>
      </c>
      <c r="C3439" s="421" t="s">
        <v>1631</v>
      </c>
    </row>
    <row r="3440" spans="1:3" x14ac:dyDescent="0.25">
      <c r="A3440" s="417">
        <v>41542</v>
      </c>
      <c r="B3440" s="418">
        <v>0.92268518518518527</v>
      </c>
      <c r="C3440" s="421" t="s">
        <v>1632</v>
      </c>
    </row>
    <row r="3441" spans="1:3" x14ac:dyDescent="0.25">
      <c r="A3441" s="417">
        <v>41542</v>
      </c>
      <c r="B3441" s="418">
        <v>0.92268518518518527</v>
      </c>
      <c r="C3441" s="421" t="s">
        <v>1633</v>
      </c>
    </row>
    <row r="3442" spans="1:3" x14ac:dyDescent="0.25">
      <c r="A3442" s="417">
        <v>41542</v>
      </c>
      <c r="B3442" s="418">
        <v>0.92268518518518527</v>
      </c>
      <c r="C3442" s="421" t="s">
        <v>1618</v>
      </c>
    </row>
    <row r="3443" spans="1:3" x14ac:dyDescent="0.25">
      <c r="A3443" s="417">
        <v>41542</v>
      </c>
      <c r="B3443" s="418">
        <v>0.92268518518518527</v>
      </c>
      <c r="C3443" s="421" t="s">
        <v>1634</v>
      </c>
    </row>
    <row r="3444" spans="1:3" x14ac:dyDescent="0.25">
      <c r="A3444" s="417">
        <v>41542</v>
      </c>
      <c r="B3444" s="418">
        <v>0.92268518518518527</v>
      </c>
      <c r="C3444" s="421" t="s">
        <v>1635</v>
      </c>
    </row>
    <row r="3445" spans="1:3" x14ac:dyDescent="0.25">
      <c r="A3445" s="417">
        <v>41542</v>
      </c>
      <c r="B3445" s="418">
        <v>0.92268518518518527</v>
      </c>
      <c r="C3445" s="421" t="s">
        <v>1634</v>
      </c>
    </row>
    <row r="3446" spans="1:3" x14ac:dyDescent="0.25">
      <c r="A3446" s="417">
        <v>41542</v>
      </c>
      <c r="B3446" s="418">
        <v>0.92268518518518527</v>
      </c>
      <c r="C3446" s="421" t="s">
        <v>1635</v>
      </c>
    </row>
    <row r="3447" spans="1:3" ht="45" x14ac:dyDescent="0.25">
      <c r="A3447" s="417">
        <v>41542</v>
      </c>
      <c r="B3447" s="418">
        <v>0.93483796296296295</v>
      </c>
      <c r="C3447" s="950" t="s">
        <v>1664</v>
      </c>
    </row>
    <row r="3448" spans="1:3" ht="45" x14ac:dyDescent="0.25">
      <c r="A3448" s="417">
        <v>41542</v>
      </c>
      <c r="B3448" s="418">
        <v>0.94094907407407413</v>
      </c>
      <c r="C3448" s="950" t="s">
        <v>1665</v>
      </c>
    </row>
    <row r="3449" spans="1:3" ht="30" x14ac:dyDescent="0.25">
      <c r="A3449" s="417">
        <v>41542</v>
      </c>
      <c r="B3449" s="418">
        <v>0.94106481481481474</v>
      </c>
      <c r="C3449" s="950" t="s">
        <v>1666</v>
      </c>
    </row>
    <row r="3450" spans="1:3" ht="45" x14ac:dyDescent="0.25">
      <c r="A3450" s="417">
        <v>41542</v>
      </c>
      <c r="B3450" s="418">
        <v>0.94116898148148154</v>
      </c>
      <c r="C3450" s="950" t="s">
        <v>1667</v>
      </c>
    </row>
    <row r="3451" spans="1:3" x14ac:dyDescent="0.25">
      <c r="A3451" s="417">
        <v>41542</v>
      </c>
      <c r="B3451" s="418">
        <v>0.94848379629629631</v>
      </c>
      <c r="C3451" s="421" t="s">
        <v>1238</v>
      </c>
    </row>
    <row r="3452" spans="1:3" x14ac:dyDescent="0.25">
      <c r="A3452" s="417">
        <v>41542</v>
      </c>
      <c r="B3452" s="418">
        <v>0.95486111111111116</v>
      </c>
      <c r="C3452" s="421" t="s">
        <v>1307</v>
      </c>
    </row>
    <row r="3453" spans="1:3" x14ac:dyDescent="0.25">
      <c r="A3453" s="417">
        <v>41542</v>
      </c>
      <c r="B3453" s="418">
        <v>0.95494212962962965</v>
      </c>
      <c r="C3453" s="421" t="s">
        <v>1308</v>
      </c>
    </row>
    <row r="3454" spans="1:3" x14ac:dyDescent="0.25">
      <c r="A3454" s="417">
        <v>41542</v>
      </c>
      <c r="B3454" s="418">
        <v>0.95494212962962965</v>
      </c>
      <c r="C3454" s="421" t="s">
        <v>1309</v>
      </c>
    </row>
    <row r="3455" spans="1:3" x14ac:dyDescent="0.25">
      <c r="A3455" s="417">
        <v>41542</v>
      </c>
      <c r="B3455" s="418">
        <v>0.9549537037037038</v>
      </c>
      <c r="C3455" s="421" t="s">
        <v>1310</v>
      </c>
    </row>
    <row r="3456" spans="1:3" x14ac:dyDescent="0.25">
      <c r="A3456" s="417">
        <v>41542</v>
      </c>
      <c r="B3456" s="418">
        <v>0.95516203703703706</v>
      </c>
      <c r="C3456" s="421" t="s">
        <v>1311</v>
      </c>
    </row>
    <row r="3457" spans="1:3" x14ac:dyDescent="0.25">
      <c r="A3457" s="417">
        <v>41542</v>
      </c>
      <c r="B3457" s="418">
        <v>0.95516203703703706</v>
      </c>
      <c r="C3457" s="421" t="s">
        <v>1312</v>
      </c>
    </row>
    <row r="3458" spans="1:3" x14ac:dyDescent="0.25">
      <c r="A3458" s="417">
        <v>41542</v>
      </c>
      <c r="B3458" s="418">
        <v>0.95516203703703706</v>
      </c>
      <c r="C3458" s="421" t="s">
        <v>1313</v>
      </c>
    </row>
    <row r="3459" spans="1:3" x14ac:dyDescent="0.25">
      <c r="A3459" s="417">
        <v>41542</v>
      </c>
      <c r="B3459" s="418">
        <v>0.95516203703703706</v>
      </c>
      <c r="C3459" s="421" t="s">
        <v>1310</v>
      </c>
    </row>
    <row r="3460" spans="1:3" x14ac:dyDescent="0.25">
      <c r="A3460" s="417">
        <v>41542</v>
      </c>
      <c r="B3460" s="418">
        <v>0.95516203703703706</v>
      </c>
      <c r="C3460" s="421" t="s">
        <v>1314</v>
      </c>
    </row>
    <row r="3461" spans="1:3" x14ac:dyDescent="0.25">
      <c r="A3461" s="417">
        <v>41542</v>
      </c>
      <c r="B3461" s="418">
        <v>0.95516203703703706</v>
      </c>
      <c r="C3461" s="421" t="s">
        <v>1315</v>
      </c>
    </row>
    <row r="3462" spans="1:3" x14ac:dyDescent="0.25">
      <c r="A3462" s="417">
        <v>41542</v>
      </c>
      <c r="B3462" s="418">
        <v>0.95516203703703706</v>
      </c>
      <c r="C3462" s="421" t="s">
        <v>1460</v>
      </c>
    </row>
    <row r="3463" spans="1:3" x14ac:dyDescent="0.25">
      <c r="A3463" s="417">
        <v>41542</v>
      </c>
      <c r="B3463" s="418">
        <v>0.95516203703703706</v>
      </c>
      <c r="C3463" s="421" t="s">
        <v>1461</v>
      </c>
    </row>
    <row r="3464" spans="1:3" x14ac:dyDescent="0.25">
      <c r="A3464" s="417">
        <v>41542</v>
      </c>
      <c r="B3464" s="418">
        <v>0.95516203703703706</v>
      </c>
      <c r="C3464" s="421" t="s">
        <v>1310</v>
      </c>
    </row>
    <row r="3465" spans="1:3" x14ac:dyDescent="0.25">
      <c r="A3465" s="417">
        <v>41542</v>
      </c>
      <c r="B3465" s="418">
        <v>0.95516203703703706</v>
      </c>
      <c r="C3465" s="421" t="s">
        <v>1238</v>
      </c>
    </row>
    <row r="3466" spans="1:3" x14ac:dyDescent="0.25">
      <c r="A3466" s="417">
        <v>41542</v>
      </c>
      <c r="B3466" s="418">
        <v>0.95516203703703706</v>
      </c>
      <c r="C3466" s="421" t="s">
        <v>1462</v>
      </c>
    </row>
    <row r="3467" spans="1:3" x14ac:dyDescent="0.25">
      <c r="A3467" s="417">
        <v>41542</v>
      </c>
      <c r="B3467" s="418">
        <v>0.95516203703703706</v>
      </c>
      <c r="C3467" s="421" t="s">
        <v>1316</v>
      </c>
    </row>
    <row r="3468" spans="1:3" x14ac:dyDescent="0.25">
      <c r="A3468" s="417">
        <v>41542</v>
      </c>
      <c r="B3468" s="418">
        <v>0.95516203703703706</v>
      </c>
      <c r="C3468" s="421" t="s">
        <v>1316</v>
      </c>
    </row>
    <row r="3469" spans="1:3" x14ac:dyDescent="0.25">
      <c r="A3469" s="417">
        <v>41542</v>
      </c>
      <c r="B3469" s="418">
        <v>0.95516203703703706</v>
      </c>
      <c r="C3469" s="421" t="s">
        <v>1317</v>
      </c>
    </row>
    <row r="3470" spans="1:3" x14ac:dyDescent="0.25">
      <c r="A3470" s="417">
        <v>41542</v>
      </c>
      <c r="B3470" s="418">
        <v>0.95516203703703706</v>
      </c>
      <c r="C3470" s="421" t="s">
        <v>1309</v>
      </c>
    </row>
    <row r="3471" spans="1:3" x14ac:dyDescent="0.25">
      <c r="A3471" s="417">
        <v>41542</v>
      </c>
      <c r="B3471" s="418">
        <v>0.95516203703703706</v>
      </c>
      <c r="C3471" s="421" t="s">
        <v>1318</v>
      </c>
    </row>
    <row r="3472" spans="1:3" x14ac:dyDescent="0.25">
      <c r="A3472" s="417">
        <v>41542</v>
      </c>
      <c r="B3472" s="418">
        <v>0.95849537037037036</v>
      </c>
      <c r="C3472" s="421" t="s">
        <v>1668</v>
      </c>
    </row>
    <row r="3473" spans="1:3" ht="60" x14ac:dyDescent="0.25">
      <c r="A3473" s="417">
        <v>41542</v>
      </c>
      <c r="B3473" s="418">
        <v>0.95849537037037036</v>
      </c>
      <c r="C3473" s="950" t="s">
        <v>1669</v>
      </c>
    </row>
    <row r="3474" spans="1:3" x14ac:dyDescent="0.25">
      <c r="A3474" s="417">
        <v>41542</v>
      </c>
      <c r="B3474" s="418">
        <v>0.96534722222222225</v>
      </c>
      <c r="C3474" s="871" t="s">
        <v>1668</v>
      </c>
    </row>
    <row r="3475" spans="1:3" ht="60" x14ac:dyDescent="0.25">
      <c r="A3475" s="417">
        <v>41542</v>
      </c>
      <c r="B3475" s="418">
        <v>0.96863425925925928</v>
      </c>
      <c r="C3475" s="950" t="s">
        <v>1669</v>
      </c>
    </row>
    <row r="3476" spans="1:3" x14ac:dyDescent="0.25">
      <c r="A3476" s="417">
        <v>41543</v>
      </c>
      <c r="B3476" s="418">
        <v>6.7592592592592591E-3</v>
      </c>
      <c r="C3476" s="421" t="s">
        <v>1238</v>
      </c>
    </row>
    <row r="3477" spans="1:3" x14ac:dyDescent="0.25">
      <c r="A3477" s="417">
        <v>41543</v>
      </c>
      <c r="B3477" s="418">
        <v>6.7592592592592591E-3</v>
      </c>
      <c r="C3477" s="421" t="s">
        <v>1307</v>
      </c>
    </row>
    <row r="3478" spans="1:3" x14ac:dyDescent="0.25">
      <c r="A3478" s="417">
        <v>41543</v>
      </c>
      <c r="B3478" s="418">
        <v>6.7592592592592591E-3</v>
      </c>
      <c r="C3478" s="421" t="s">
        <v>1308</v>
      </c>
    </row>
    <row r="3479" spans="1:3" x14ac:dyDescent="0.25">
      <c r="A3479" s="417">
        <v>41543</v>
      </c>
      <c r="B3479" s="418">
        <v>6.7592592592592591E-3</v>
      </c>
      <c r="C3479" s="421" t="s">
        <v>1309</v>
      </c>
    </row>
    <row r="3480" spans="1:3" x14ac:dyDescent="0.25">
      <c r="A3480" s="417">
        <v>41543</v>
      </c>
      <c r="B3480" s="418">
        <v>6.7592592592592591E-3</v>
      </c>
      <c r="C3480" s="421" t="s">
        <v>1310</v>
      </c>
    </row>
    <row r="3481" spans="1:3" x14ac:dyDescent="0.25">
      <c r="A3481" s="417">
        <v>41543</v>
      </c>
      <c r="B3481" s="418">
        <v>6.7592592592592591E-3</v>
      </c>
      <c r="C3481" s="421" t="s">
        <v>1311</v>
      </c>
    </row>
    <row r="3482" spans="1:3" x14ac:dyDescent="0.25">
      <c r="A3482" s="417">
        <v>41543</v>
      </c>
      <c r="B3482" s="418">
        <v>6.7592592592592591E-3</v>
      </c>
      <c r="C3482" s="421" t="s">
        <v>1312</v>
      </c>
    </row>
    <row r="3483" spans="1:3" x14ac:dyDescent="0.25">
      <c r="A3483" s="417">
        <v>41543</v>
      </c>
      <c r="B3483" s="418">
        <v>6.7592592592592591E-3</v>
      </c>
      <c r="C3483" s="421" t="s">
        <v>1313</v>
      </c>
    </row>
    <row r="3484" spans="1:3" x14ac:dyDescent="0.25">
      <c r="A3484" s="417">
        <v>41543</v>
      </c>
      <c r="B3484" s="418">
        <v>6.7592592592592591E-3</v>
      </c>
      <c r="C3484" s="421" t="s">
        <v>1310</v>
      </c>
    </row>
    <row r="3485" spans="1:3" x14ac:dyDescent="0.25">
      <c r="A3485" s="417">
        <v>41543</v>
      </c>
      <c r="B3485" s="418">
        <v>6.7592592592592591E-3</v>
      </c>
      <c r="C3485" s="421" t="s">
        <v>1314</v>
      </c>
    </row>
    <row r="3486" spans="1:3" x14ac:dyDescent="0.25">
      <c r="A3486" s="417">
        <v>41543</v>
      </c>
      <c r="B3486" s="418">
        <v>6.7592592592592591E-3</v>
      </c>
      <c r="C3486" s="421" t="s">
        <v>1315</v>
      </c>
    </row>
    <row r="3487" spans="1:3" x14ac:dyDescent="0.25">
      <c r="A3487" s="417">
        <v>41543</v>
      </c>
      <c r="B3487" s="418">
        <v>6.7592592592592591E-3</v>
      </c>
      <c r="C3487" s="421" t="s">
        <v>1460</v>
      </c>
    </row>
    <row r="3488" spans="1:3" x14ac:dyDescent="0.25">
      <c r="A3488" s="417">
        <v>41543</v>
      </c>
      <c r="B3488" s="418">
        <v>6.7592592592592591E-3</v>
      </c>
      <c r="C3488" s="421" t="s">
        <v>1461</v>
      </c>
    </row>
    <row r="3489" spans="1:3" x14ac:dyDescent="0.25">
      <c r="A3489" s="417">
        <v>41543</v>
      </c>
      <c r="B3489" s="418">
        <v>6.7592592592592591E-3</v>
      </c>
      <c r="C3489" s="421" t="s">
        <v>1310</v>
      </c>
    </row>
    <row r="3490" spans="1:3" x14ac:dyDescent="0.25">
      <c r="A3490" s="417">
        <v>41543</v>
      </c>
      <c r="B3490" s="418">
        <v>6.7592592592592591E-3</v>
      </c>
      <c r="C3490" s="421" t="s">
        <v>1238</v>
      </c>
    </row>
    <row r="3491" spans="1:3" x14ac:dyDescent="0.25">
      <c r="A3491" s="417">
        <v>41543</v>
      </c>
      <c r="B3491" s="418">
        <v>6.7592592592592591E-3</v>
      </c>
      <c r="C3491" s="421" t="s">
        <v>1462</v>
      </c>
    </row>
    <row r="3492" spans="1:3" x14ac:dyDescent="0.25">
      <c r="A3492" s="417">
        <v>41543</v>
      </c>
      <c r="B3492" s="418">
        <v>6.7592592592592591E-3</v>
      </c>
      <c r="C3492" s="421" t="s">
        <v>1316</v>
      </c>
    </row>
    <row r="3493" spans="1:3" x14ac:dyDescent="0.25">
      <c r="A3493" s="417">
        <v>41543</v>
      </c>
      <c r="B3493" s="418">
        <v>6.7592592592592591E-3</v>
      </c>
      <c r="C3493" s="421" t="s">
        <v>1316</v>
      </c>
    </row>
    <row r="3494" spans="1:3" x14ac:dyDescent="0.25">
      <c r="A3494" s="417">
        <v>41543</v>
      </c>
      <c r="B3494" s="418">
        <v>6.7592592592592591E-3</v>
      </c>
      <c r="C3494" s="421" t="s">
        <v>1317</v>
      </c>
    </row>
    <row r="3495" spans="1:3" x14ac:dyDescent="0.25">
      <c r="A3495" s="417">
        <v>41543</v>
      </c>
      <c r="B3495" s="418">
        <v>6.7592592592592591E-3</v>
      </c>
      <c r="C3495" s="421" t="s">
        <v>1309</v>
      </c>
    </row>
    <row r="3496" spans="1:3" x14ac:dyDescent="0.25">
      <c r="A3496" s="417">
        <v>41543</v>
      </c>
      <c r="B3496" s="418">
        <v>6.7592592592592591E-3</v>
      </c>
      <c r="C3496" s="421" t="s">
        <v>1318</v>
      </c>
    </row>
    <row r="3497" spans="1:3" x14ac:dyDescent="0.25">
      <c r="A3497" s="417">
        <v>41543</v>
      </c>
      <c r="B3497" s="418">
        <v>6.8981481481481489E-3</v>
      </c>
      <c r="C3497" s="421" t="s">
        <v>1319</v>
      </c>
    </row>
    <row r="3498" spans="1:3" x14ac:dyDescent="0.25">
      <c r="A3498" s="417">
        <v>41543</v>
      </c>
      <c r="B3498" s="418">
        <v>6.8981481481481489E-3</v>
      </c>
      <c r="C3498" s="421" t="s">
        <v>1320</v>
      </c>
    </row>
    <row r="3499" spans="1:3" x14ac:dyDescent="0.25">
      <c r="A3499" s="417">
        <v>41543</v>
      </c>
      <c r="B3499" s="418">
        <v>6.8981481481481489E-3</v>
      </c>
      <c r="C3499" s="421" t="s">
        <v>1318</v>
      </c>
    </row>
    <row r="3500" spans="1:3" x14ac:dyDescent="0.25">
      <c r="A3500" s="417">
        <v>41543</v>
      </c>
      <c r="B3500" s="418">
        <v>7.0023148148148154E-3</v>
      </c>
      <c r="C3500" s="421" t="s">
        <v>1307</v>
      </c>
    </row>
    <row r="3501" spans="1:3" x14ac:dyDescent="0.25">
      <c r="A3501" s="417">
        <v>41543</v>
      </c>
      <c r="B3501" s="418">
        <v>7.0023148148148154E-3</v>
      </c>
      <c r="C3501" s="421" t="s">
        <v>1321</v>
      </c>
    </row>
    <row r="3502" spans="1:3" x14ac:dyDescent="0.25">
      <c r="A3502" s="417">
        <v>41543</v>
      </c>
      <c r="B3502" s="418">
        <v>7.0023148148148154E-3</v>
      </c>
      <c r="C3502" s="421" t="s">
        <v>1322</v>
      </c>
    </row>
    <row r="3503" spans="1:3" x14ac:dyDescent="0.25">
      <c r="A3503" s="417">
        <v>41543</v>
      </c>
      <c r="B3503" s="418">
        <v>7.0023148148148154E-3</v>
      </c>
      <c r="C3503" s="421" t="s">
        <v>1322</v>
      </c>
    </row>
    <row r="3504" spans="1:3" x14ac:dyDescent="0.25">
      <c r="A3504" s="417">
        <v>41543</v>
      </c>
      <c r="B3504" s="418">
        <v>7.0023148148148154E-3</v>
      </c>
      <c r="C3504" s="421" t="s">
        <v>1323</v>
      </c>
    </row>
    <row r="3505" spans="1:3" x14ac:dyDescent="0.25">
      <c r="A3505" s="417">
        <v>41543</v>
      </c>
      <c r="B3505" s="418">
        <v>7.0023148148148154E-3</v>
      </c>
      <c r="C3505" s="421" t="s">
        <v>1324</v>
      </c>
    </row>
    <row r="3506" spans="1:3" x14ac:dyDescent="0.25">
      <c r="A3506" s="417">
        <v>41543</v>
      </c>
      <c r="B3506" s="418">
        <v>7.0023148148148154E-3</v>
      </c>
      <c r="C3506" s="421" t="s">
        <v>1310</v>
      </c>
    </row>
    <row r="3507" spans="1:3" x14ac:dyDescent="0.25">
      <c r="A3507" s="417">
        <v>41543</v>
      </c>
      <c r="B3507" s="418">
        <v>7.0023148148148154E-3</v>
      </c>
      <c r="C3507" s="421" t="s">
        <v>1325</v>
      </c>
    </row>
    <row r="3508" spans="1:3" x14ac:dyDescent="0.25">
      <c r="A3508" s="417">
        <v>41543</v>
      </c>
      <c r="B3508" s="418">
        <v>7.0023148148148154E-3</v>
      </c>
      <c r="C3508" s="421" t="s">
        <v>1326</v>
      </c>
    </row>
    <row r="3509" spans="1:3" x14ac:dyDescent="0.25">
      <c r="A3509" s="417">
        <v>41543</v>
      </c>
      <c r="B3509" s="418">
        <v>7.0023148148148154E-3</v>
      </c>
      <c r="C3509" s="421" t="s">
        <v>1238</v>
      </c>
    </row>
    <row r="3510" spans="1:3" x14ac:dyDescent="0.25">
      <c r="A3510" s="417">
        <v>41543</v>
      </c>
      <c r="B3510" s="418">
        <v>7.0023148148148154E-3</v>
      </c>
      <c r="C3510" s="421" t="s">
        <v>1327</v>
      </c>
    </row>
    <row r="3511" spans="1:3" x14ac:dyDescent="0.25">
      <c r="A3511" s="417">
        <v>41543</v>
      </c>
      <c r="B3511" s="418">
        <v>7.0023148148148154E-3</v>
      </c>
      <c r="C3511" s="421" t="s">
        <v>1328</v>
      </c>
    </row>
    <row r="3512" spans="1:3" ht="60" x14ac:dyDescent="0.25">
      <c r="A3512" s="417">
        <v>41543</v>
      </c>
      <c r="B3512" s="418">
        <v>7.0023148148148154E-3</v>
      </c>
      <c r="C3512" s="950" t="s">
        <v>1646</v>
      </c>
    </row>
    <row r="3513" spans="1:3" x14ac:dyDescent="0.25">
      <c r="A3513" s="417">
        <v>41543</v>
      </c>
      <c r="B3513" s="418">
        <v>7.083333333333333E-3</v>
      </c>
      <c r="C3513" s="421" t="s">
        <v>1323</v>
      </c>
    </row>
    <row r="3514" spans="1:3" x14ac:dyDescent="0.25">
      <c r="A3514" s="417">
        <v>41543</v>
      </c>
      <c r="B3514" s="418">
        <v>7.083333333333333E-3</v>
      </c>
      <c r="C3514" s="421" t="s">
        <v>1342</v>
      </c>
    </row>
    <row r="3515" spans="1:3" x14ac:dyDescent="0.25">
      <c r="A3515" s="417">
        <v>41543</v>
      </c>
      <c r="B3515" s="418">
        <v>7.083333333333333E-3</v>
      </c>
      <c r="C3515" s="421" t="s">
        <v>1343</v>
      </c>
    </row>
    <row r="3516" spans="1:3" x14ac:dyDescent="0.25">
      <c r="A3516" s="417">
        <v>41543</v>
      </c>
      <c r="B3516" s="418">
        <v>7.083333333333333E-3</v>
      </c>
      <c r="C3516" s="421" t="s">
        <v>1344</v>
      </c>
    </row>
    <row r="3517" spans="1:3" x14ac:dyDescent="0.25">
      <c r="A3517" s="417">
        <v>41543</v>
      </c>
      <c r="B3517" s="418">
        <v>7.083333333333333E-3</v>
      </c>
      <c r="C3517" s="421" t="s">
        <v>1344</v>
      </c>
    </row>
    <row r="3518" spans="1:3" x14ac:dyDescent="0.25">
      <c r="A3518" s="417">
        <v>41543</v>
      </c>
      <c r="B3518" s="418">
        <v>7.083333333333333E-3</v>
      </c>
      <c r="C3518" s="421" t="s">
        <v>1310</v>
      </c>
    </row>
    <row r="3519" spans="1:3" x14ac:dyDescent="0.25">
      <c r="A3519" s="417">
        <v>41543</v>
      </c>
      <c r="B3519" s="418">
        <v>7.083333333333333E-3</v>
      </c>
      <c r="C3519" s="421" t="s">
        <v>1345</v>
      </c>
    </row>
    <row r="3520" spans="1:3" x14ac:dyDescent="0.25">
      <c r="A3520" s="417">
        <v>41543</v>
      </c>
      <c r="B3520" s="418">
        <v>7.083333333333333E-3</v>
      </c>
      <c r="C3520" s="421" t="s">
        <v>1346</v>
      </c>
    </row>
    <row r="3521" spans="1:3" x14ac:dyDescent="0.25">
      <c r="A3521" s="417">
        <v>41543</v>
      </c>
      <c r="B3521" s="418">
        <v>7.083333333333333E-3</v>
      </c>
      <c r="C3521" s="421" t="s">
        <v>1347</v>
      </c>
    </row>
    <row r="3522" spans="1:3" x14ac:dyDescent="0.25">
      <c r="A3522" s="417">
        <v>41543</v>
      </c>
      <c r="B3522" s="418">
        <v>7.083333333333333E-3</v>
      </c>
      <c r="C3522" s="421" t="s">
        <v>1348</v>
      </c>
    </row>
    <row r="3523" spans="1:3" x14ac:dyDescent="0.25">
      <c r="A3523" s="417">
        <v>41543</v>
      </c>
      <c r="B3523" s="418">
        <v>7.083333333333333E-3</v>
      </c>
      <c r="C3523" s="421" t="s">
        <v>1349</v>
      </c>
    </row>
    <row r="3524" spans="1:3" x14ac:dyDescent="0.25">
      <c r="A3524" s="417">
        <v>41543</v>
      </c>
      <c r="B3524" s="418">
        <v>7.083333333333333E-3</v>
      </c>
      <c r="C3524" s="421" t="s">
        <v>1349</v>
      </c>
    </row>
    <row r="3525" spans="1:3" x14ac:dyDescent="0.25">
      <c r="A3525" s="417">
        <v>41543</v>
      </c>
      <c r="B3525" s="418">
        <v>7.083333333333333E-3</v>
      </c>
      <c r="C3525" s="421" t="s">
        <v>1348</v>
      </c>
    </row>
    <row r="3526" spans="1:3" x14ac:dyDescent="0.25">
      <c r="A3526" s="417">
        <v>41543</v>
      </c>
      <c r="B3526" s="418">
        <v>7.083333333333333E-3</v>
      </c>
      <c r="C3526" s="421" t="s">
        <v>1350</v>
      </c>
    </row>
    <row r="3527" spans="1:3" x14ac:dyDescent="0.25">
      <c r="A3527" s="417">
        <v>41543</v>
      </c>
      <c r="B3527" s="418">
        <v>7.083333333333333E-3</v>
      </c>
      <c r="C3527" s="421" t="s">
        <v>1351</v>
      </c>
    </row>
    <row r="3528" spans="1:3" x14ac:dyDescent="0.25">
      <c r="A3528" s="417">
        <v>41543</v>
      </c>
      <c r="B3528" s="418">
        <v>7.083333333333333E-3</v>
      </c>
      <c r="C3528" s="421" t="s">
        <v>1352</v>
      </c>
    </row>
    <row r="3529" spans="1:3" x14ac:dyDescent="0.25">
      <c r="A3529" s="417">
        <v>41543</v>
      </c>
      <c r="B3529" s="418">
        <v>7.083333333333333E-3</v>
      </c>
      <c r="C3529" s="421" t="s">
        <v>1287</v>
      </c>
    </row>
    <row r="3530" spans="1:3" ht="60" x14ac:dyDescent="0.25">
      <c r="A3530" s="417">
        <v>41543</v>
      </c>
      <c r="B3530" s="418">
        <v>7.083333333333333E-3</v>
      </c>
      <c r="C3530" s="950" t="s">
        <v>1288</v>
      </c>
    </row>
    <row r="3531" spans="1:3" x14ac:dyDescent="0.25">
      <c r="A3531" s="417">
        <v>41543</v>
      </c>
      <c r="B3531" s="418">
        <v>7.0949074074074074E-3</v>
      </c>
      <c r="C3531" s="421" t="s">
        <v>1647</v>
      </c>
    </row>
    <row r="3532" spans="1:3" x14ac:dyDescent="0.25">
      <c r="A3532" s="417">
        <v>41543</v>
      </c>
      <c r="B3532" s="418">
        <v>7.106481481481481E-3</v>
      </c>
      <c r="C3532" s="421" t="s">
        <v>1353</v>
      </c>
    </row>
    <row r="3533" spans="1:3" x14ac:dyDescent="0.25">
      <c r="A3533" s="417">
        <v>41543</v>
      </c>
      <c r="B3533" s="418">
        <v>7.106481481481481E-3</v>
      </c>
      <c r="C3533" s="421" t="s">
        <v>1354</v>
      </c>
    </row>
    <row r="3534" spans="1:3" x14ac:dyDescent="0.25">
      <c r="A3534" s="417">
        <v>41543</v>
      </c>
      <c r="B3534" s="418">
        <v>7.106481481481481E-3</v>
      </c>
      <c r="C3534" s="421" t="s">
        <v>1355</v>
      </c>
    </row>
    <row r="3535" spans="1:3" x14ac:dyDescent="0.25">
      <c r="A3535" s="417">
        <v>41543</v>
      </c>
      <c r="B3535" s="418">
        <v>7.106481481481481E-3</v>
      </c>
      <c r="C3535" s="421" t="s">
        <v>1357</v>
      </c>
    </row>
    <row r="3536" spans="1:3" x14ac:dyDescent="0.25">
      <c r="A3536" s="417">
        <v>41543</v>
      </c>
      <c r="B3536" s="418">
        <v>7.106481481481481E-3</v>
      </c>
      <c r="C3536" s="421" t="s">
        <v>1358</v>
      </c>
    </row>
    <row r="3537" spans="1:3" x14ac:dyDescent="0.25">
      <c r="A3537" s="417">
        <v>41543</v>
      </c>
      <c r="B3537" s="418">
        <v>7.106481481481481E-3</v>
      </c>
      <c r="C3537" s="421" t="s">
        <v>1359</v>
      </c>
    </row>
    <row r="3538" spans="1:3" x14ac:dyDescent="0.25">
      <c r="A3538" s="417">
        <v>41543</v>
      </c>
      <c r="B3538" s="418">
        <v>7.106481481481481E-3</v>
      </c>
      <c r="C3538" s="421" t="s">
        <v>1360</v>
      </c>
    </row>
    <row r="3539" spans="1:3" x14ac:dyDescent="0.25">
      <c r="A3539" s="417">
        <v>41543</v>
      </c>
      <c r="B3539" s="418">
        <v>7.1180555555555554E-3</v>
      </c>
      <c r="C3539" s="421" t="s">
        <v>1361</v>
      </c>
    </row>
    <row r="3540" spans="1:3" x14ac:dyDescent="0.25">
      <c r="A3540" s="417">
        <v>41543</v>
      </c>
      <c r="B3540" s="418">
        <v>7.1180555555555554E-3</v>
      </c>
      <c r="C3540" s="421" t="s">
        <v>1317</v>
      </c>
    </row>
    <row r="3541" spans="1:3" x14ac:dyDescent="0.25">
      <c r="A3541" s="417">
        <v>41543</v>
      </c>
      <c r="B3541" s="418">
        <v>7.1180555555555554E-3</v>
      </c>
      <c r="C3541" s="421" t="s">
        <v>1537</v>
      </c>
    </row>
    <row r="3542" spans="1:3" x14ac:dyDescent="0.25">
      <c r="A3542" s="417">
        <v>41543</v>
      </c>
      <c r="B3542" s="418">
        <v>7.1180555555555554E-3</v>
      </c>
      <c r="C3542" s="421" t="s">
        <v>1362</v>
      </c>
    </row>
    <row r="3543" spans="1:3" x14ac:dyDescent="0.25">
      <c r="A3543" s="417">
        <v>41543</v>
      </c>
      <c r="B3543" s="418">
        <v>7.1180555555555554E-3</v>
      </c>
      <c r="C3543" s="421" t="s">
        <v>1355</v>
      </c>
    </row>
    <row r="3544" spans="1:3" x14ac:dyDescent="0.25">
      <c r="A3544" s="417">
        <v>41543</v>
      </c>
      <c r="B3544" s="418">
        <v>7.1180555555555554E-3</v>
      </c>
      <c r="C3544" s="421" t="s">
        <v>1363</v>
      </c>
    </row>
    <row r="3545" spans="1:3" x14ac:dyDescent="0.25">
      <c r="A3545" s="417">
        <v>41543</v>
      </c>
      <c r="B3545" s="418">
        <v>7.1180555555555554E-3</v>
      </c>
      <c r="C3545" s="421" t="s">
        <v>1364</v>
      </c>
    </row>
    <row r="3546" spans="1:3" x14ac:dyDescent="0.25">
      <c r="A3546" s="417">
        <v>41543</v>
      </c>
      <c r="B3546" s="418">
        <v>7.1180555555555554E-3</v>
      </c>
      <c r="C3546" s="421" t="s">
        <v>1365</v>
      </c>
    </row>
    <row r="3547" spans="1:3" x14ac:dyDescent="0.25">
      <c r="A3547" s="417">
        <v>41543</v>
      </c>
      <c r="B3547" s="418">
        <v>7.1180555555555554E-3</v>
      </c>
      <c r="C3547" s="421" t="s">
        <v>1365</v>
      </c>
    </row>
    <row r="3548" spans="1:3" x14ac:dyDescent="0.25">
      <c r="A3548" s="417">
        <v>41543</v>
      </c>
      <c r="B3548" s="418">
        <v>7.1296296296296307E-3</v>
      </c>
      <c r="C3548" s="421" t="s">
        <v>1366</v>
      </c>
    </row>
    <row r="3549" spans="1:3" x14ac:dyDescent="0.25">
      <c r="A3549" s="417">
        <v>41543</v>
      </c>
      <c r="B3549" s="418">
        <v>7.1296296296296307E-3</v>
      </c>
      <c r="C3549" s="421" t="s">
        <v>1320</v>
      </c>
    </row>
    <row r="3550" spans="1:3" x14ac:dyDescent="0.25">
      <c r="A3550" s="417">
        <v>41543</v>
      </c>
      <c r="B3550" s="418">
        <v>7.1296296296296307E-3</v>
      </c>
      <c r="C3550" s="421" t="s">
        <v>1367</v>
      </c>
    </row>
    <row r="3551" spans="1:3" x14ac:dyDescent="0.25">
      <c r="A3551" s="417">
        <v>41543</v>
      </c>
      <c r="B3551" s="418">
        <v>7.1296296296296307E-3</v>
      </c>
      <c r="C3551" s="421" t="s">
        <v>1344</v>
      </c>
    </row>
    <row r="3552" spans="1:3" x14ac:dyDescent="0.25">
      <c r="A3552" s="417">
        <v>41543</v>
      </c>
      <c r="B3552" s="418">
        <v>7.1296296296296307E-3</v>
      </c>
      <c r="C3552" s="421" t="s">
        <v>1368</v>
      </c>
    </row>
    <row r="3553" spans="1:3" x14ac:dyDescent="0.25">
      <c r="A3553" s="417">
        <v>41543</v>
      </c>
      <c r="B3553" s="418">
        <v>7.1296296296296307E-3</v>
      </c>
      <c r="C3553" s="421" t="s">
        <v>1369</v>
      </c>
    </row>
    <row r="3554" spans="1:3" x14ac:dyDescent="0.25">
      <c r="A3554" s="417">
        <v>41543</v>
      </c>
      <c r="B3554" s="418">
        <v>7.1296296296296307E-3</v>
      </c>
      <c r="C3554" s="421" t="s">
        <v>1307</v>
      </c>
    </row>
    <row r="3555" spans="1:3" x14ac:dyDescent="0.25">
      <c r="A3555" s="417">
        <v>41543</v>
      </c>
      <c r="B3555" s="418">
        <v>7.1296296296296307E-3</v>
      </c>
      <c r="C3555" s="421" t="s">
        <v>1370</v>
      </c>
    </row>
    <row r="3556" spans="1:3" x14ac:dyDescent="0.25">
      <c r="A3556" s="417">
        <v>41543</v>
      </c>
      <c r="B3556" s="418">
        <v>7.1296296296296307E-3</v>
      </c>
      <c r="C3556" s="421" t="s">
        <v>1371</v>
      </c>
    </row>
    <row r="3557" spans="1:3" x14ac:dyDescent="0.25">
      <c r="A3557" s="417">
        <v>41543</v>
      </c>
      <c r="B3557" s="418">
        <v>7.1296296296296307E-3</v>
      </c>
      <c r="C3557" s="421" t="s">
        <v>1344</v>
      </c>
    </row>
    <row r="3558" spans="1:3" x14ac:dyDescent="0.25">
      <c r="A3558" s="417">
        <v>41543</v>
      </c>
      <c r="B3558" s="418">
        <v>7.1296296296296307E-3</v>
      </c>
      <c r="C3558" s="421" t="s">
        <v>1317</v>
      </c>
    </row>
    <row r="3559" spans="1:3" x14ac:dyDescent="0.25">
      <c r="A3559" s="417">
        <v>41543</v>
      </c>
      <c r="B3559" s="418">
        <v>7.1296296296296307E-3</v>
      </c>
      <c r="C3559" s="421" t="s">
        <v>1463</v>
      </c>
    </row>
    <row r="3560" spans="1:3" x14ac:dyDescent="0.25">
      <c r="A3560" s="417">
        <v>41543</v>
      </c>
      <c r="B3560" s="418">
        <v>7.1296296296296307E-3</v>
      </c>
      <c r="C3560" s="421" t="s">
        <v>1378</v>
      </c>
    </row>
    <row r="3561" spans="1:3" ht="60" x14ac:dyDescent="0.25">
      <c r="A3561" s="417">
        <v>41543</v>
      </c>
      <c r="B3561" s="418">
        <v>7.1296296296296307E-3</v>
      </c>
      <c r="C3561" s="950" t="s">
        <v>1648</v>
      </c>
    </row>
    <row r="3562" spans="1:3" x14ac:dyDescent="0.25">
      <c r="A3562" s="417">
        <v>41543</v>
      </c>
      <c r="B3562" s="418">
        <v>7.1527777777777787E-3</v>
      </c>
      <c r="C3562" s="421" t="s">
        <v>1373</v>
      </c>
    </row>
    <row r="3563" spans="1:3" x14ac:dyDescent="0.25">
      <c r="A3563" s="417">
        <v>41543</v>
      </c>
      <c r="B3563" s="418">
        <v>7.1527777777777787E-3</v>
      </c>
      <c r="C3563" s="421" t="s">
        <v>1308</v>
      </c>
    </row>
    <row r="3564" spans="1:3" x14ac:dyDescent="0.25">
      <c r="A3564" s="417">
        <v>41543</v>
      </c>
      <c r="B3564" s="418">
        <v>7.1527777777777787E-3</v>
      </c>
      <c r="C3564" s="421" t="s">
        <v>1374</v>
      </c>
    </row>
    <row r="3565" spans="1:3" x14ac:dyDescent="0.25">
      <c r="A3565" s="417">
        <v>41543</v>
      </c>
      <c r="B3565" s="418">
        <v>7.1527777777777787E-3</v>
      </c>
      <c r="C3565" s="421" t="s">
        <v>1375</v>
      </c>
    </row>
    <row r="3566" spans="1:3" x14ac:dyDescent="0.25">
      <c r="A3566" s="417">
        <v>41543</v>
      </c>
      <c r="B3566" s="418">
        <v>7.1527777777777787E-3</v>
      </c>
      <c r="C3566" s="421" t="s">
        <v>1376</v>
      </c>
    </row>
    <row r="3567" spans="1:3" x14ac:dyDescent="0.25">
      <c r="A3567" s="417">
        <v>41543</v>
      </c>
      <c r="B3567" s="418">
        <v>7.1527777777777787E-3</v>
      </c>
      <c r="C3567" s="421" t="s">
        <v>1377</v>
      </c>
    </row>
    <row r="3568" spans="1:3" x14ac:dyDescent="0.25">
      <c r="A3568" s="417">
        <v>41543</v>
      </c>
      <c r="B3568" s="418">
        <v>7.1527777777777787E-3</v>
      </c>
      <c r="C3568" s="421" t="s">
        <v>1326</v>
      </c>
    </row>
    <row r="3569" spans="1:3" x14ac:dyDescent="0.25">
      <c r="A3569" s="417">
        <v>41543</v>
      </c>
      <c r="B3569" s="418">
        <v>7.1527777777777787E-3</v>
      </c>
      <c r="C3569" s="421" t="s">
        <v>1378</v>
      </c>
    </row>
    <row r="3570" spans="1:3" ht="60" x14ac:dyDescent="0.25">
      <c r="A3570" s="417">
        <v>41543</v>
      </c>
      <c r="B3570" s="418">
        <v>7.1527777777777787E-3</v>
      </c>
      <c r="C3570" s="950" t="s">
        <v>1649</v>
      </c>
    </row>
    <row r="3571" spans="1:3" x14ac:dyDescent="0.25">
      <c r="A3571" s="417">
        <v>41543</v>
      </c>
      <c r="B3571" s="418">
        <v>7.1759259259259259E-3</v>
      </c>
      <c r="C3571" s="421" t="s">
        <v>1380</v>
      </c>
    </row>
    <row r="3572" spans="1:3" x14ac:dyDescent="0.25">
      <c r="A3572" s="417">
        <v>41543</v>
      </c>
      <c r="B3572" s="418">
        <v>7.1874999999999994E-3</v>
      </c>
      <c r="C3572" s="421" t="s">
        <v>1381</v>
      </c>
    </row>
    <row r="3573" spans="1:3" x14ac:dyDescent="0.25">
      <c r="A3573" s="417">
        <v>41543</v>
      </c>
      <c r="B3573" s="418">
        <v>7.1874999999999994E-3</v>
      </c>
      <c r="C3573" s="421" t="s">
        <v>1382</v>
      </c>
    </row>
    <row r="3574" spans="1:3" x14ac:dyDescent="0.25">
      <c r="A3574" s="417">
        <v>41543</v>
      </c>
      <c r="B3574" s="418">
        <v>7.1874999999999994E-3</v>
      </c>
      <c r="C3574" s="421" t="s">
        <v>1383</v>
      </c>
    </row>
    <row r="3575" spans="1:3" x14ac:dyDescent="0.25">
      <c r="A3575" s="417">
        <v>41543</v>
      </c>
      <c r="B3575" s="418">
        <v>7.1874999999999994E-3</v>
      </c>
      <c r="C3575" s="421" t="s">
        <v>1352</v>
      </c>
    </row>
    <row r="3576" spans="1:3" x14ac:dyDescent="0.25">
      <c r="A3576" s="417">
        <v>41543</v>
      </c>
      <c r="B3576" s="418">
        <v>7.1874999999999994E-3</v>
      </c>
      <c r="C3576" s="421" t="s">
        <v>1384</v>
      </c>
    </row>
    <row r="3577" spans="1:3" x14ac:dyDescent="0.25">
      <c r="A3577" s="417">
        <v>41543</v>
      </c>
      <c r="B3577" s="418">
        <v>7.1874999999999994E-3</v>
      </c>
      <c r="C3577" s="421" t="s">
        <v>1385</v>
      </c>
    </row>
    <row r="3578" spans="1:3" x14ac:dyDescent="0.25">
      <c r="A3578" s="417">
        <v>41543</v>
      </c>
      <c r="B3578" s="418">
        <v>7.1874999999999994E-3</v>
      </c>
      <c r="C3578" s="421" t="s">
        <v>1385</v>
      </c>
    </row>
    <row r="3579" spans="1:3" x14ac:dyDescent="0.25">
      <c r="A3579" s="417">
        <v>41543</v>
      </c>
      <c r="B3579" s="418">
        <v>7.1990740740740739E-3</v>
      </c>
      <c r="C3579" s="421" t="s">
        <v>1386</v>
      </c>
    </row>
    <row r="3580" spans="1:3" x14ac:dyDescent="0.25">
      <c r="A3580" s="417">
        <v>41543</v>
      </c>
      <c r="B3580" s="418">
        <v>7.1990740740740739E-3</v>
      </c>
      <c r="C3580" s="421" t="s">
        <v>1387</v>
      </c>
    </row>
    <row r="3581" spans="1:3" x14ac:dyDescent="0.25">
      <c r="A3581" s="417">
        <v>41543</v>
      </c>
      <c r="B3581" s="418">
        <v>7.1990740740740739E-3</v>
      </c>
      <c r="C3581" s="421" t="s">
        <v>1387</v>
      </c>
    </row>
    <row r="3582" spans="1:3" x14ac:dyDescent="0.25">
      <c r="A3582" s="417">
        <v>41543</v>
      </c>
      <c r="B3582" s="418">
        <v>7.1990740740740739E-3</v>
      </c>
      <c r="C3582" s="421" t="s">
        <v>1318</v>
      </c>
    </row>
    <row r="3583" spans="1:3" x14ac:dyDescent="0.25">
      <c r="A3583" s="417">
        <v>41543</v>
      </c>
      <c r="B3583" s="418">
        <v>7.2106481481481475E-3</v>
      </c>
      <c r="C3583" s="421" t="s">
        <v>1388</v>
      </c>
    </row>
    <row r="3584" spans="1:3" x14ac:dyDescent="0.25">
      <c r="A3584" s="417">
        <v>41543</v>
      </c>
      <c r="B3584" s="418">
        <v>7.2222222222222228E-3</v>
      </c>
      <c r="C3584" s="421" t="s">
        <v>1390</v>
      </c>
    </row>
    <row r="3585" spans="1:3" x14ac:dyDescent="0.25">
      <c r="A3585" s="417">
        <v>41543</v>
      </c>
      <c r="B3585" s="418">
        <v>7.2337962962962963E-3</v>
      </c>
      <c r="C3585" s="421" t="s">
        <v>1391</v>
      </c>
    </row>
    <row r="3586" spans="1:3" x14ac:dyDescent="0.25">
      <c r="A3586" s="417">
        <v>41543</v>
      </c>
      <c r="B3586" s="418">
        <v>7.2337962962962963E-3</v>
      </c>
      <c r="C3586" s="421" t="s">
        <v>1392</v>
      </c>
    </row>
    <row r="3587" spans="1:3" x14ac:dyDescent="0.25">
      <c r="A3587" s="417">
        <v>41543</v>
      </c>
      <c r="B3587" s="418">
        <v>7.2337962962962963E-3</v>
      </c>
      <c r="C3587" s="421" t="s">
        <v>1294</v>
      </c>
    </row>
    <row r="3588" spans="1:3" ht="60" x14ac:dyDescent="0.25">
      <c r="A3588" s="417">
        <v>41543</v>
      </c>
      <c r="B3588" s="418">
        <v>7.2337962962962963E-3</v>
      </c>
      <c r="C3588" s="950" t="s">
        <v>1295</v>
      </c>
    </row>
    <row r="3589" spans="1:3" x14ac:dyDescent="0.25">
      <c r="A3589" s="417">
        <v>41543</v>
      </c>
      <c r="B3589" s="418">
        <v>7.3032407407407412E-3</v>
      </c>
      <c r="C3589" s="421" t="s">
        <v>1393</v>
      </c>
    </row>
    <row r="3590" spans="1:3" x14ac:dyDescent="0.25">
      <c r="A3590" s="417">
        <v>41543</v>
      </c>
      <c r="B3590" s="418">
        <v>7.3032407407407412E-3</v>
      </c>
      <c r="C3590" s="421" t="s">
        <v>1394</v>
      </c>
    </row>
    <row r="3591" spans="1:3" x14ac:dyDescent="0.25">
      <c r="A3591" s="417">
        <v>41543</v>
      </c>
      <c r="B3591" s="418">
        <v>7.3032407407407412E-3</v>
      </c>
      <c r="C3591" s="421" t="s">
        <v>1392</v>
      </c>
    </row>
    <row r="3592" spans="1:3" x14ac:dyDescent="0.25">
      <c r="A3592" s="417">
        <v>41543</v>
      </c>
      <c r="B3592" s="418">
        <v>7.3032407407407412E-3</v>
      </c>
      <c r="C3592" s="421" t="s">
        <v>1395</v>
      </c>
    </row>
    <row r="3593" spans="1:3" x14ac:dyDescent="0.25">
      <c r="A3593" s="417">
        <v>41543</v>
      </c>
      <c r="B3593" s="418">
        <v>7.3032407407407412E-3</v>
      </c>
      <c r="C3593" s="421" t="s">
        <v>1396</v>
      </c>
    </row>
    <row r="3594" spans="1:3" x14ac:dyDescent="0.25">
      <c r="A3594" s="417">
        <v>41543</v>
      </c>
      <c r="B3594" s="418">
        <v>7.3032407407407412E-3</v>
      </c>
      <c r="C3594" s="421" t="s">
        <v>1363</v>
      </c>
    </row>
    <row r="3595" spans="1:3" x14ac:dyDescent="0.25">
      <c r="A3595" s="417">
        <v>41543</v>
      </c>
      <c r="B3595" s="418">
        <v>7.3148148148148148E-3</v>
      </c>
      <c r="C3595" s="421" t="s">
        <v>1362</v>
      </c>
    </row>
    <row r="3596" spans="1:3" x14ac:dyDescent="0.25">
      <c r="A3596" s="417">
        <v>41543</v>
      </c>
      <c r="B3596" s="418">
        <v>7.3148148148148148E-3</v>
      </c>
      <c r="C3596" s="421" t="s">
        <v>1397</v>
      </c>
    </row>
    <row r="3597" spans="1:3" x14ac:dyDescent="0.25">
      <c r="A3597" s="417">
        <v>41543</v>
      </c>
      <c r="B3597" s="418">
        <v>7.3148148148148148E-3</v>
      </c>
      <c r="C3597" s="421" t="s">
        <v>1381</v>
      </c>
    </row>
    <row r="3598" spans="1:3" x14ac:dyDescent="0.25">
      <c r="A3598" s="417">
        <v>41543</v>
      </c>
      <c r="B3598" s="418">
        <v>7.3379629629629628E-3</v>
      </c>
      <c r="C3598" s="421" t="s">
        <v>1398</v>
      </c>
    </row>
    <row r="3599" spans="1:3" x14ac:dyDescent="0.25">
      <c r="A3599" s="417">
        <v>41543</v>
      </c>
      <c r="B3599" s="418">
        <v>7.3379629629629628E-3</v>
      </c>
      <c r="C3599" s="421" t="s">
        <v>1399</v>
      </c>
    </row>
    <row r="3600" spans="1:3" x14ac:dyDescent="0.25">
      <c r="A3600" s="417">
        <v>41543</v>
      </c>
      <c r="B3600" s="418">
        <v>7.3379629629629628E-3</v>
      </c>
      <c r="C3600" s="421" t="s">
        <v>1400</v>
      </c>
    </row>
    <row r="3601" spans="1:3" x14ac:dyDescent="0.25">
      <c r="A3601" s="417">
        <v>41543</v>
      </c>
      <c r="B3601" s="418">
        <v>7.3379629629629628E-3</v>
      </c>
      <c r="C3601" s="421" t="s">
        <v>1400</v>
      </c>
    </row>
    <row r="3602" spans="1:3" x14ac:dyDescent="0.25">
      <c r="A3602" s="417">
        <v>41543</v>
      </c>
      <c r="B3602" s="418">
        <v>7.3495370370370372E-3</v>
      </c>
      <c r="C3602" s="421" t="s">
        <v>1373</v>
      </c>
    </row>
    <row r="3603" spans="1:3" x14ac:dyDescent="0.25">
      <c r="A3603" s="417">
        <v>41543</v>
      </c>
      <c r="B3603" s="418">
        <v>7.3611111111111108E-3</v>
      </c>
      <c r="C3603" s="421" t="s">
        <v>1353</v>
      </c>
    </row>
    <row r="3604" spans="1:3" x14ac:dyDescent="0.25">
      <c r="A3604" s="417">
        <v>41543</v>
      </c>
      <c r="B3604" s="418">
        <v>7.3611111111111108E-3</v>
      </c>
      <c r="C3604" s="421" t="s">
        <v>1353</v>
      </c>
    </row>
    <row r="3605" spans="1:3" x14ac:dyDescent="0.25">
      <c r="A3605" s="417">
        <v>41543</v>
      </c>
      <c r="B3605" s="418">
        <v>7.3726851851851861E-3</v>
      </c>
      <c r="C3605" s="421" t="s">
        <v>1401</v>
      </c>
    </row>
    <row r="3606" spans="1:3" x14ac:dyDescent="0.25">
      <c r="A3606" s="417">
        <v>41543</v>
      </c>
      <c r="B3606" s="418">
        <v>7.3842592592592597E-3</v>
      </c>
      <c r="C3606" s="421" t="s">
        <v>1392</v>
      </c>
    </row>
    <row r="3607" spans="1:3" x14ac:dyDescent="0.25">
      <c r="A3607" s="417">
        <v>41543</v>
      </c>
      <c r="B3607" s="418">
        <v>7.3958333333333341E-3</v>
      </c>
      <c r="C3607" s="421" t="s">
        <v>1403</v>
      </c>
    </row>
    <row r="3608" spans="1:3" x14ac:dyDescent="0.25">
      <c r="A3608" s="417">
        <v>41543</v>
      </c>
      <c r="B3608" s="418">
        <v>7.3958333333333341E-3</v>
      </c>
      <c r="C3608" s="421" t="s">
        <v>1403</v>
      </c>
    </row>
    <row r="3609" spans="1:3" x14ac:dyDescent="0.25">
      <c r="A3609" s="417">
        <v>41543</v>
      </c>
      <c r="B3609" s="418">
        <v>7.3958333333333341E-3</v>
      </c>
      <c r="C3609" s="421" t="s">
        <v>1403</v>
      </c>
    </row>
    <row r="3610" spans="1:3" x14ac:dyDescent="0.25">
      <c r="A3610" s="417">
        <v>41543</v>
      </c>
      <c r="B3610" s="418">
        <v>7.4189814814814813E-3</v>
      </c>
      <c r="C3610" s="421" t="s">
        <v>1362</v>
      </c>
    </row>
    <row r="3611" spans="1:3" x14ac:dyDescent="0.25">
      <c r="A3611" s="417">
        <v>41543</v>
      </c>
      <c r="B3611" s="418">
        <v>7.4189814814814813E-3</v>
      </c>
      <c r="C3611" s="421" t="s">
        <v>1364</v>
      </c>
    </row>
    <row r="3612" spans="1:3" x14ac:dyDescent="0.25">
      <c r="A3612" s="417">
        <v>41543</v>
      </c>
      <c r="B3612" s="418">
        <v>7.4189814814814813E-3</v>
      </c>
      <c r="C3612" s="421" t="s">
        <v>1364</v>
      </c>
    </row>
    <row r="3613" spans="1:3" x14ac:dyDescent="0.25">
      <c r="A3613" s="417">
        <v>41543</v>
      </c>
      <c r="B3613" s="418">
        <v>7.4305555555555548E-3</v>
      </c>
      <c r="C3613" s="421" t="s">
        <v>1381</v>
      </c>
    </row>
    <row r="3614" spans="1:3" x14ac:dyDescent="0.25">
      <c r="A3614" s="417">
        <v>41543</v>
      </c>
      <c r="B3614" s="418">
        <v>7.4421296296296293E-3</v>
      </c>
      <c r="C3614" s="421" t="s">
        <v>1364</v>
      </c>
    </row>
    <row r="3615" spans="1:3" x14ac:dyDescent="0.25">
      <c r="A3615" s="417">
        <v>41543</v>
      </c>
      <c r="B3615" s="418">
        <v>7.4537037037037028E-3</v>
      </c>
      <c r="C3615" s="421" t="s">
        <v>1480</v>
      </c>
    </row>
    <row r="3616" spans="1:3" x14ac:dyDescent="0.25">
      <c r="A3616" s="417">
        <v>41543</v>
      </c>
      <c r="B3616" s="418">
        <v>7.4537037037037028E-3</v>
      </c>
      <c r="C3616" s="421" t="s">
        <v>1480</v>
      </c>
    </row>
    <row r="3617" spans="1:3" x14ac:dyDescent="0.25">
      <c r="A3617" s="417">
        <v>41543</v>
      </c>
      <c r="B3617" s="418">
        <v>7.4537037037037028E-3</v>
      </c>
      <c r="C3617" s="421" t="s">
        <v>1480</v>
      </c>
    </row>
    <row r="3618" spans="1:3" x14ac:dyDescent="0.25">
      <c r="A3618" s="417">
        <v>41543</v>
      </c>
      <c r="B3618" s="418">
        <v>7.4537037037037028E-3</v>
      </c>
      <c r="C3618" s="421" t="s">
        <v>1481</v>
      </c>
    </row>
    <row r="3619" spans="1:3" x14ac:dyDescent="0.25">
      <c r="A3619" s="417">
        <v>41543</v>
      </c>
      <c r="B3619" s="418">
        <v>7.4537037037037028E-3</v>
      </c>
      <c r="C3619" s="421" t="s">
        <v>1541</v>
      </c>
    </row>
    <row r="3620" spans="1:3" x14ac:dyDescent="0.25">
      <c r="A3620" s="417">
        <v>41543</v>
      </c>
      <c r="B3620" s="418">
        <v>7.4652777777777781E-3</v>
      </c>
      <c r="C3620" s="421" t="s">
        <v>1346</v>
      </c>
    </row>
    <row r="3621" spans="1:3" x14ac:dyDescent="0.25">
      <c r="A3621" s="417">
        <v>41543</v>
      </c>
      <c r="B3621" s="418">
        <v>7.4652777777777781E-3</v>
      </c>
      <c r="C3621" s="421" t="s">
        <v>1405</v>
      </c>
    </row>
    <row r="3622" spans="1:3" x14ac:dyDescent="0.25">
      <c r="A3622" s="417">
        <v>41543</v>
      </c>
      <c r="B3622" s="418">
        <v>7.4652777777777781E-3</v>
      </c>
      <c r="C3622" s="421" t="s">
        <v>1406</v>
      </c>
    </row>
    <row r="3623" spans="1:3" x14ac:dyDescent="0.25">
      <c r="A3623" s="417">
        <v>41543</v>
      </c>
      <c r="B3623" s="418">
        <v>7.4768518518518526E-3</v>
      </c>
      <c r="C3623" s="421" t="s">
        <v>1362</v>
      </c>
    </row>
    <row r="3624" spans="1:3" x14ac:dyDescent="0.25">
      <c r="A3624" s="417">
        <v>41543</v>
      </c>
      <c r="B3624" s="418">
        <v>7.5115740740740742E-3</v>
      </c>
      <c r="C3624" s="421" t="s">
        <v>1482</v>
      </c>
    </row>
    <row r="3625" spans="1:3" x14ac:dyDescent="0.25">
      <c r="A3625" s="417">
        <v>41543</v>
      </c>
      <c r="B3625" s="418">
        <v>7.5115740740740742E-3</v>
      </c>
      <c r="C3625" s="421" t="s">
        <v>1318</v>
      </c>
    </row>
    <row r="3626" spans="1:3" x14ac:dyDescent="0.25">
      <c r="A3626" s="417">
        <v>41543</v>
      </c>
      <c r="B3626" s="418">
        <v>7.5462962962962966E-3</v>
      </c>
      <c r="C3626" s="421" t="s">
        <v>1368</v>
      </c>
    </row>
    <row r="3627" spans="1:3" x14ac:dyDescent="0.25">
      <c r="A3627" s="417">
        <v>41543</v>
      </c>
      <c r="B3627" s="418">
        <v>7.5462962962962966E-3</v>
      </c>
      <c r="C3627" s="421" t="s">
        <v>1368</v>
      </c>
    </row>
    <row r="3628" spans="1:3" x14ac:dyDescent="0.25">
      <c r="A3628" s="417">
        <v>41543</v>
      </c>
      <c r="B3628" s="418">
        <v>7.5462962962962966E-3</v>
      </c>
      <c r="C3628" s="421" t="s">
        <v>1368</v>
      </c>
    </row>
    <row r="3629" spans="1:3" x14ac:dyDescent="0.25">
      <c r="A3629" s="417">
        <v>41543</v>
      </c>
      <c r="B3629" s="418">
        <v>7.5462962962962966E-3</v>
      </c>
      <c r="C3629" s="421" t="s">
        <v>1368</v>
      </c>
    </row>
    <row r="3630" spans="1:3" x14ac:dyDescent="0.25">
      <c r="A3630" s="417">
        <v>41543</v>
      </c>
      <c r="B3630" s="418">
        <v>7.5462962962962966E-3</v>
      </c>
      <c r="C3630" s="421" t="s">
        <v>1368</v>
      </c>
    </row>
    <row r="3631" spans="1:3" x14ac:dyDescent="0.25">
      <c r="A3631" s="417">
        <v>41543</v>
      </c>
      <c r="B3631" s="418">
        <v>7.5462962962962966E-3</v>
      </c>
      <c r="C3631" s="421" t="s">
        <v>1409</v>
      </c>
    </row>
    <row r="3632" spans="1:3" x14ac:dyDescent="0.25">
      <c r="A3632" s="417">
        <v>41543</v>
      </c>
      <c r="B3632" s="418">
        <v>7.5462962962962966E-3</v>
      </c>
      <c r="C3632" s="421" t="s">
        <v>1308</v>
      </c>
    </row>
    <row r="3633" spans="1:3" x14ac:dyDescent="0.25">
      <c r="A3633" s="417">
        <v>41543</v>
      </c>
      <c r="B3633" s="418">
        <v>7.5694444444444446E-3</v>
      </c>
      <c r="C3633" s="421" t="s">
        <v>1410</v>
      </c>
    </row>
    <row r="3634" spans="1:3" x14ac:dyDescent="0.25">
      <c r="A3634" s="417">
        <v>41543</v>
      </c>
      <c r="B3634" s="418">
        <v>7.5694444444444446E-3</v>
      </c>
      <c r="C3634" s="421" t="s">
        <v>1410</v>
      </c>
    </row>
    <row r="3635" spans="1:3" x14ac:dyDescent="0.25">
      <c r="A3635" s="417">
        <v>41543</v>
      </c>
      <c r="B3635" s="418">
        <v>7.5694444444444446E-3</v>
      </c>
      <c r="C3635" s="421" t="s">
        <v>1411</v>
      </c>
    </row>
    <row r="3636" spans="1:3" x14ac:dyDescent="0.25">
      <c r="A3636" s="417">
        <v>41543</v>
      </c>
      <c r="B3636" s="418">
        <v>7.5925925925925926E-3</v>
      </c>
      <c r="C3636" s="421" t="s">
        <v>1483</v>
      </c>
    </row>
    <row r="3637" spans="1:3" x14ac:dyDescent="0.25">
      <c r="A3637" s="417">
        <v>41543</v>
      </c>
      <c r="B3637" s="418">
        <v>7.6041666666666662E-3</v>
      </c>
      <c r="C3637" s="421" t="s">
        <v>1413</v>
      </c>
    </row>
    <row r="3638" spans="1:3" x14ac:dyDescent="0.25">
      <c r="A3638" s="417">
        <v>41543</v>
      </c>
      <c r="B3638" s="418">
        <v>7.6041666666666662E-3</v>
      </c>
      <c r="C3638" s="421" t="s">
        <v>1414</v>
      </c>
    </row>
    <row r="3639" spans="1:3" x14ac:dyDescent="0.25">
      <c r="A3639" s="417">
        <v>41543</v>
      </c>
      <c r="B3639" s="418">
        <v>7.6273148148148151E-3</v>
      </c>
      <c r="C3639" s="421" t="s">
        <v>1373</v>
      </c>
    </row>
    <row r="3640" spans="1:3" x14ac:dyDescent="0.25">
      <c r="A3640" s="417">
        <v>41543</v>
      </c>
      <c r="B3640" s="418">
        <v>7.6388888888888886E-3</v>
      </c>
      <c r="C3640" s="421" t="s">
        <v>1484</v>
      </c>
    </row>
    <row r="3641" spans="1:3" x14ac:dyDescent="0.25">
      <c r="A3641" s="417">
        <v>41543</v>
      </c>
      <c r="B3641" s="418">
        <v>7.69675925925926E-3</v>
      </c>
      <c r="C3641" s="421" t="s">
        <v>1409</v>
      </c>
    </row>
    <row r="3642" spans="1:3" x14ac:dyDescent="0.25">
      <c r="A3642" s="417">
        <v>41543</v>
      </c>
      <c r="B3642" s="418">
        <v>7.7083333333333335E-3</v>
      </c>
      <c r="C3642" s="421" t="s">
        <v>1416</v>
      </c>
    </row>
    <row r="3643" spans="1:3" x14ac:dyDescent="0.25">
      <c r="A3643" s="417">
        <v>41543</v>
      </c>
      <c r="B3643" s="418">
        <v>7.7083333333333335E-3</v>
      </c>
      <c r="C3643" s="421" t="s">
        <v>1650</v>
      </c>
    </row>
    <row r="3644" spans="1:3" x14ac:dyDescent="0.25">
      <c r="A3644" s="417">
        <v>41543</v>
      </c>
      <c r="B3644" s="418">
        <v>7.719907407407408E-3</v>
      </c>
      <c r="C3644" s="421" t="s">
        <v>1348</v>
      </c>
    </row>
    <row r="3645" spans="1:3" x14ac:dyDescent="0.25">
      <c r="A3645" s="417">
        <v>41543</v>
      </c>
      <c r="B3645" s="418">
        <v>7.719907407407408E-3</v>
      </c>
      <c r="C3645" s="421" t="s">
        <v>1419</v>
      </c>
    </row>
    <row r="3646" spans="1:3" x14ac:dyDescent="0.25">
      <c r="A3646" s="417">
        <v>41543</v>
      </c>
      <c r="B3646" s="418">
        <v>7.719907407407408E-3</v>
      </c>
      <c r="C3646" s="421" t="s">
        <v>1419</v>
      </c>
    </row>
    <row r="3647" spans="1:3" x14ac:dyDescent="0.25">
      <c r="A3647" s="417">
        <v>41543</v>
      </c>
      <c r="B3647" s="418">
        <v>7.719907407407408E-3</v>
      </c>
      <c r="C3647" s="421" t="s">
        <v>1420</v>
      </c>
    </row>
    <row r="3648" spans="1:3" x14ac:dyDescent="0.25">
      <c r="A3648" s="417">
        <v>41543</v>
      </c>
      <c r="B3648" s="418">
        <v>7.7546296296296287E-3</v>
      </c>
      <c r="C3648" s="421" t="s">
        <v>1651</v>
      </c>
    </row>
    <row r="3649" spans="1:3" x14ac:dyDescent="0.25">
      <c r="A3649" s="417">
        <v>41543</v>
      </c>
      <c r="B3649" s="418">
        <v>7.7546296296296287E-3</v>
      </c>
      <c r="C3649" s="421" t="s">
        <v>1627</v>
      </c>
    </row>
    <row r="3650" spans="1:3" x14ac:dyDescent="0.25">
      <c r="A3650" s="417">
        <v>41543</v>
      </c>
      <c r="B3650" s="418">
        <v>7.7546296296296287E-3</v>
      </c>
      <c r="C3650" s="421" t="s">
        <v>1485</v>
      </c>
    </row>
    <row r="3651" spans="1:3" x14ac:dyDescent="0.25">
      <c r="A3651" s="417">
        <v>41543</v>
      </c>
      <c r="B3651" s="418">
        <v>7.7662037037037031E-3</v>
      </c>
      <c r="C3651" s="421" t="s">
        <v>1652</v>
      </c>
    </row>
    <row r="3652" spans="1:3" x14ac:dyDescent="0.25">
      <c r="A3652" s="417">
        <v>41543</v>
      </c>
      <c r="B3652" s="418">
        <v>7.7777777777777767E-3</v>
      </c>
      <c r="C3652" s="421" t="s">
        <v>1653</v>
      </c>
    </row>
    <row r="3653" spans="1:3" x14ac:dyDescent="0.25">
      <c r="A3653" s="417">
        <v>41543</v>
      </c>
      <c r="B3653" s="418">
        <v>7.7777777777777767E-3</v>
      </c>
      <c r="C3653" s="421" t="s">
        <v>1654</v>
      </c>
    </row>
    <row r="3654" spans="1:3" x14ac:dyDescent="0.25">
      <c r="A3654" s="417">
        <v>41543</v>
      </c>
      <c r="B3654" s="418">
        <v>7.7777777777777767E-3</v>
      </c>
      <c r="C3654" s="421" t="s">
        <v>1655</v>
      </c>
    </row>
    <row r="3655" spans="1:3" x14ac:dyDescent="0.25">
      <c r="A3655" s="417">
        <v>41543</v>
      </c>
      <c r="B3655" s="418">
        <v>7.7777777777777767E-3</v>
      </c>
      <c r="C3655" s="421" t="s">
        <v>1491</v>
      </c>
    </row>
    <row r="3656" spans="1:3" x14ac:dyDescent="0.25">
      <c r="A3656" s="417">
        <v>41543</v>
      </c>
      <c r="B3656" s="418">
        <v>7.789351851851852E-3</v>
      </c>
      <c r="C3656" s="421" t="s">
        <v>1320</v>
      </c>
    </row>
    <row r="3657" spans="1:3" x14ac:dyDescent="0.25">
      <c r="A3657" s="417">
        <v>41543</v>
      </c>
      <c r="B3657" s="418">
        <v>7.8009259259259256E-3</v>
      </c>
      <c r="C3657" s="421" t="s">
        <v>1429</v>
      </c>
    </row>
    <row r="3658" spans="1:3" x14ac:dyDescent="0.25">
      <c r="A3658" s="417">
        <v>41543</v>
      </c>
      <c r="B3658" s="418">
        <v>7.8125E-3</v>
      </c>
      <c r="C3658" s="421" t="s">
        <v>1430</v>
      </c>
    </row>
    <row r="3659" spans="1:3" x14ac:dyDescent="0.25">
      <c r="A3659" s="417">
        <v>41543</v>
      </c>
      <c r="B3659" s="418">
        <v>7.8240740740740753E-3</v>
      </c>
      <c r="C3659" s="421" t="s">
        <v>1656</v>
      </c>
    </row>
    <row r="3660" spans="1:3" x14ac:dyDescent="0.25">
      <c r="A3660" s="417">
        <v>41543</v>
      </c>
      <c r="B3660" s="418">
        <v>7.8819444444444432E-3</v>
      </c>
      <c r="C3660" s="421" t="s">
        <v>1308</v>
      </c>
    </row>
    <row r="3661" spans="1:3" x14ac:dyDescent="0.25">
      <c r="A3661" s="417">
        <v>41543</v>
      </c>
      <c r="B3661" s="418">
        <v>7.8819444444444432E-3</v>
      </c>
      <c r="C3661" s="421" t="s">
        <v>1360</v>
      </c>
    </row>
    <row r="3662" spans="1:3" x14ac:dyDescent="0.25">
      <c r="A3662" s="417">
        <v>41543</v>
      </c>
      <c r="B3662" s="418">
        <v>7.8935185185185185E-3</v>
      </c>
      <c r="C3662" s="421" t="s">
        <v>1432</v>
      </c>
    </row>
    <row r="3663" spans="1:3" x14ac:dyDescent="0.25">
      <c r="A3663" s="417">
        <v>41543</v>
      </c>
      <c r="B3663" s="418">
        <v>7.8935185185185185E-3</v>
      </c>
      <c r="C3663" s="421" t="s">
        <v>1432</v>
      </c>
    </row>
    <row r="3664" spans="1:3" x14ac:dyDescent="0.25">
      <c r="A3664" s="417">
        <v>41543</v>
      </c>
      <c r="B3664" s="418">
        <v>7.8935185185185185E-3</v>
      </c>
      <c r="C3664" s="421" t="s">
        <v>1432</v>
      </c>
    </row>
    <row r="3665" spans="1:3" x14ac:dyDescent="0.25">
      <c r="A3665" s="417">
        <v>41543</v>
      </c>
      <c r="B3665" s="418">
        <v>7.8935185185185185E-3</v>
      </c>
      <c r="C3665" s="421" t="s">
        <v>1281</v>
      </c>
    </row>
    <row r="3666" spans="1:3" ht="60" x14ac:dyDescent="0.25">
      <c r="A3666" s="417">
        <v>41543</v>
      </c>
      <c r="B3666" s="418">
        <v>7.8935185185185185E-3</v>
      </c>
      <c r="C3666" s="950" t="s">
        <v>1282</v>
      </c>
    </row>
    <row r="3667" spans="1:3" x14ac:dyDescent="0.25">
      <c r="A3667" s="417">
        <v>41543</v>
      </c>
      <c r="B3667" s="418">
        <v>7.9629629629629634E-3</v>
      </c>
      <c r="C3667" s="421" t="s">
        <v>1413</v>
      </c>
    </row>
    <row r="3668" spans="1:3" x14ac:dyDescent="0.25">
      <c r="A3668" s="417">
        <v>41543</v>
      </c>
      <c r="B3668" s="418">
        <v>7.9745370370370369E-3</v>
      </c>
      <c r="C3668" s="421" t="s">
        <v>1657</v>
      </c>
    </row>
    <row r="3669" spans="1:3" x14ac:dyDescent="0.25">
      <c r="A3669" s="417">
        <v>41543</v>
      </c>
      <c r="B3669" s="418">
        <v>7.9745370370370369E-3</v>
      </c>
      <c r="C3669" s="421" t="s">
        <v>1658</v>
      </c>
    </row>
    <row r="3670" spans="1:3" x14ac:dyDescent="0.25">
      <c r="A3670" s="417">
        <v>41543</v>
      </c>
      <c r="B3670" s="418">
        <v>7.9745370370370369E-3</v>
      </c>
      <c r="C3670" s="421" t="s">
        <v>1495</v>
      </c>
    </row>
    <row r="3671" spans="1:3" x14ac:dyDescent="0.25">
      <c r="A3671" s="417">
        <v>41543</v>
      </c>
      <c r="B3671" s="418">
        <v>7.9745370370370369E-3</v>
      </c>
      <c r="C3671" s="421" t="s">
        <v>1496</v>
      </c>
    </row>
    <row r="3672" spans="1:3" x14ac:dyDescent="0.25">
      <c r="A3672" s="417">
        <v>41543</v>
      </c>
      <c r="B3672" s="418">
        <v>7.9745370370370369E-3</v>
      </c>
      <c r="C3672" s="421" t="s">
        <v>1497</v>
      </c>
    </row>
    <row r="3673" spans="1:3" x14ac:dyDescent="0.25">
      <c r="A3673" s="417">
        <v>41543</v>
      </c>
      <c r="B3673" s="418">
        <v>7.9745370370370369E-3</v>
      </c>
      <c r="C3673" s="421" t="s">
        <v>1659</v>
      </c>
    </row>
    <row r="3674" spans="1:3" x14ac:dyDescent="0.25">
      <c r="A3674" s="417">
        <v>41543</v>
      </c>
      <c r="B3674" s="418">
        <v>7.9976851851851858E-3</v>
      </c>
      <c r="C3674" s="421" t="s">
        <v>1660</v>
      </c>
    </row>
    <row r="3675" spans="1:3" x14ac:dyDescent="0.25">
      <c r="A3675" s="417">
        <v>41543</v>
      </c>
      <c r="B3675" s="418">
        <v>8.0208333333333329E-3</v>
      </c>
      <c r="C3675" s="421" t="s">
        <v>1661</v>
      </c>
    </row>
    <row r="3676" spans="1:3" x14ac:dyDescent="0.25">
      <c r="A3676" s="417">
        <v>41543</v>
      </c>
      <c r="B3676" s="418">
        <v>8.0787037037037043E-3</v>
      </c>
      <c r="C3676" s="421" t="s">
        <v>1662</v>
      </c>
    </row>
    <row r="3677" spans="1:3" x14ac:dyDescent="0.25">
      <c r="A3677" s="417">
        <v>41543</v>
      </c>
      <c r="B3677" s="418">
        <v>8.1018518518518514E-3</v>
      </c>
      <c r="C3677" s="421" t="s">
        <v>1320</v>
      </c>
    </row>
    <row r="3678" spans="1:3" x14ac:dyDescent="0.25">
      <c r="A3678" s="417">
        <v>41543</v>
      </c>
      <c r="B3678" s="418">
        <v>8.1944444444444452E-3</v>
      </c>
      <c r="C3678" s="421" t="s">
        <v>1502</v>
      </c>
    </row>
    <row r="3679" spans="1:3" x14ac:dyDescent="0.25">
      <c r="A3679" s="417">
        <v>41543</v>
      </c>
      <c r="B3679" s="418">
        <v>8.1944444444444452E-3</v>
      </c>
      <c r="C3679" s="421" t="s">
        <v>1503</v>
      </c>
    </row>
    <row r="3680" spans="1:3" x14ac:dyDescent="0.25">
      <c r="A3680" s="417">
        <v>41543</v>
      </c>
      <c r="B3680" s="418">
        <v>8.1944444444444452E-3</v>
      </c>
      <c r="C3680" s="421" t="s">
        <v>1504</v>
      </c>
    </row>
    <row r="3681" spans="1:3" x14ac:dyDescent="0.25">
      <c r="A3681" s="417">
        <v>41543</v>
      </c>
      <c r="B3681" s="418">
        <v>8.1944444444444452E-3</v>
      </c>
      <c r="C3681" s="421" t="s">
        <v>1505</v>
      </c>
    </row>
    <row r="3682" spans="1:3" x14ac:dyDescent="0.25">
      <c r="A3682" s="417">
        <v>41543</v>
      </c>
      <c r="B3682" s="418">
        <v>8.217592592592594E-3</v>
      </c>
      <c r="C3682" s="421" t="s">
        <v>1446</v>
      </c>
    </row>
    <row r="3683" spans="1:3" x14ac:dyDescent="0.25">
      <c r="A3683" s="417">
        <v>41543</v>
      </c>
      <c r="B3683" s="418">
        <v>8.2291666666666659E-3</v>
      </c>
      <c r="C3683" s="421" t="s">
        <v>1238</v>
      </c>
    </row>
    <row r="3684" spans="1:3" x14ac:dyDescent="0.25">
      <c r="A3684" s="417">
        <v>41543</v>
      </c>
      <c r="B3684" s="418">
        <v>8.3449074074074085E-3</v>
      </c>
      <c r="C3684" s="421" t="s">
        <v>1663</v>
      </c>
    </row>
    <row r="3685" spans="1:3" x14ac:dyDescent="0.25">
      <c r="A3685" s="417">
        <v>41543</v>
      </c>
      <c r="B3685" s="418">
        <v>8.3564814814814804E-3</v>
      </c>
      <c r="C3685" s="421" t="s">
        <v>1389</v>
      </c>
    </row>
    <row r="3686" spans="1:3" x14ac:dyDescent="0.25">
      <c r="A3686" s="417">
        <v>41543</v>
      </c>
      <c r="B3686" s="418">
        <v>8.3680555555555557E-3</v>
      </c>
      <c r="C3686" s="421" t="s">
        <v>1448</v>
      </c>
    </row>
    <row r="3687" spans="1:3" x14ac:dyDescent="0.25">
      <c r="A3687" s="417">
        <v>41543</v>
      </c>
      <c r="B3687" s="418">
        <v>8.3796296296296292E-3</v>
      </c>
      <c r="C3687" s="421" t="s">
        <v>1450</v>
      </c>
    </row>
    <row r="3688" spans="1:3" x14ac:dyDescent="0.25">
      <c r="A3688" s="417">
        <v>41543</v>
      </c>
      <c r="B3688" s="418">
        <v>8.3796296296296292E-3</v>
      </c>
      <c r="C3688" s="421" t="s">
        <v>1450</v>
      </c>
    </row>
    <row r="3689" spans="1:3" x14ac:dyDescent="0.25">
      <c r="A3689" s="417">
        <v>41543</v>
      </c>
      <c r="B3689" s="418">
        <v>8.3796296296296292E-3</v>
      </c>
      <c r="C3689" s="421" t="s">
        <v>1450</v>
      </c>
    </row>
    <row r="3690" spans="1:3" x14ac:dyDescent="0.25">
      <c r="A3690" s="417">
        <v>41543</v>
      </c>
      <c r="B3690" s="418">
        <v>8.3796296296296292E-3</v>
      </c>
      <c r="C3690" s="421" t="s">
        <v>1450</v>
      </c>
    </row>
    <row r="3691" spans="1:3" x14ac:dyDescent="0.25">
      <c r="A3691" s="417">
        <v>41543</v>
      </c>
      <c r="B3691" s="418">
        <v>8.3796296296296292E-3</v>
      </c>
      <c r="C3691" s="421" t="s">
        <v>1450</v>
      </c>
    </row>
    <row r="3692" spans="1:3" x14ac:dyDescent="0.25">
      <c r="A3692" s="417">
        <v>41543</v>
      </c>
      <c r="B3692" s="418">
        <v>8.3796296296296292E-3</v>
      </c>
      <c r="C3692" s="421" t="s">
        <v>1450</v>
      </c>
    </row>
    <row r="3693" spans="1:3" x14ac:dyDescent="0.25">
      <c r="A3693" s="417">
        <v>41543</v>
      </c>
      <c r="B3693" s="418">
        <v>8.3796296296296292E-3</v>
      </c>
      <c r="C3693" s="421" t="s">
        <v>1450</v>
      </c>
    </row>
    <row r="3694" spans="1:3" x14ac:dyDescent="0.25">
      <c r="A3694" s="417">
        <v>41543</v>
      </c>
      <c r="B3694" s="418">
        <v>9.2245370370370363E-3</v>
      </c>
      <c r="C3694" s="421" t="s">
        <v>1448</v>
      </c>
    </row>
    <row r="3695" spans="1:3" x14ac:dyDescent="0.25">
      <c r="A3695" s="417">
        <v>41543</v>
      </c>
      <c r="B3695" s="418">
        <v>9.2708333333333341E-3</v>
      </c>
      <c r="C3695" s="421" t="s">
        <v>1399</v>
      </c>
    </row>
    <row r="3696" spans="1:3" x14ac:dyDescent="0.25">
      <c r="A3696" s="417">
        <v>41543</v>
      </c>
      <c r="B3696" s="418">
        <v>9.3055555555555548E-3</v>
      </c>
      <c r="C3696" s="421" t="s">
        <v>1309</v>
      </c>
    </row>
    <row r="3697" spans="1:3" x14ac:dyDescent="0.25">
      <c r="A3697" s="417">
        <v>41543</v>
      </c>
      <c r="B3697" s="418">
        <v>9.3055555555555548E-3</v>
      </c>
      <c r="C3697" s="421" t="s">
        <v>1631</v>
      </c>
    </row>
    <row r="3698" spans="1:3" x14ac:dyDescent="0.25">
      <c r="A3698" s="417">
        <v>41543</v>
      </c>
      <c r="B3698" s="418">
        <v>9.3055555555555548E-3</v>
      </c>
      <c r="C3698" s="421" t="s">
        <v>1632</v>
      </c>
    </row>
    <row r="3699" spans="1:3" x14ac:dyDescent="0.25">
      <c r="A3699" s="417">
        <v>41543</v>
      </c>
      <c r="B3699" s="418">
        <v>9.3055555555555548E-3</v>
      </c>
      <c r="C3699" s="421" t="s">
        <v>1633</v>
      </c>
    </row>
    <row r="3700" spans="1:3" x14ac:dyDescent="0.25">
      <c r="A3700" s="417">
        <v>41543</v>
      </c>
      <c r="B3700" s="418">
        <v>9.3055555555555548E-3</v>
      </c>
      <c r="C3700" s="421" t="s">
        <v>1618</v>
      </c>
    </row>
    <row r="3701" spans="1:3" x14ac:dyDescent="0.25">
      <c r="A3701" s="417">
        <v>41543</v>
      </c>
      <c r="B3701" s="418">
        <v>9.7337962962962977E-3</v>
      </c>
      <c r="C3701" s="421" t="s">
        <v>1670</v>
      </c>
    </row>
    <row r="3702" spans="1:3" x14ac:dyDescent="0.25">
      <c r="A3702" s="417">
        <v>41543</v>
      </c>
      <c r="B3702" s="418">
        <v>9.7337962962962977E-3</v>
      </c>
      <c r="C3702" s="421" t="s">
        <v>1671</v>
      </c>
    </row>
    <row r="3703" spans="1:3" x14ac:dyDescent="0.25">
      <c r="A3703" s="417">
        <v>41543</v>
      </c>
      <c r="B3703" s="418">
        <v>9.7453703703703713E-3</v>
      </c>
      <c r="C3703" s="421" t="s">
        <v>1672</v>
      </c>
    </row>
    <row r="3704" spans="1:3" ht="30" x14ac:dyDescent="0.25">
      <c r="A3704" s="417">
        <v>41543</v>
      </c>
      <c r="B3704" s="418">
        <v>1.4953703703703705E-2</v>
      </c>
      <c r="C3704" s="950" t="s">
        <v>1673</v>
      </c>
    </row>
    <row r="3705" spans="1:3" ht="45" x14ac:dyDescent="0.25">
      <c r="A3705" s="417">
        <v>41543</v>
      </c>
      <c r="B3705" s="418">
        <v>1.5717592592592592E-2</v>
      </c>
      <c r="C3705" s="950" t="s">
        <v>1674</v>
      </c>
    </row>
    <row r="3706" spans="1:3" ht="30" x14ac:dyDescent="0.25">
      <c r="A3706" s="417">
        <v>41543</v>
      </c>
      <c r="B3706" s="418">
        <v>1.6180555555555556E-2</v>
      </c>
      <c r="C3706" s="950" t="s">
        <v>1675</v>
      </c>
    </row>
    <row r="3707" spans="1:3" ht="45" x14ac:dyDescent="0.25">
      <c r="A3707" s="417">
        <v>41543</v>
      </c>
      <c r="B3707" s="418">
        <v>1.7141203703703704E-2</v>
      </c>
      <c r="C3707" s="950" t="s">
        <v>1665</v>
      </c>
    </row>
    <row r="3708" spans="1:3" ht="30" x14ac:dyDescent="0.25">
      <c r="A3708" s="417">
        <v>41543</v>
      </c>
      <c r="B3708" s="418">
        <v>1.7233796296296296E-2</v>
      </c>
      <c r="C3708" s="950" t="s">
        <v>1676</v>
      </c>
    </row>
    <row r="3709" spans="1:3" ht="45" x14ac:dyDescent="0.25">
      <c r="A3709" s="417">
        <v>41543</v>
      </c>
      <c r="B3709" s="418">
        <v>1.7337962962962961E-2</v>
      </c>
      <c r="C3709" s="950" t="s">
        <v>1677</v>
      </c>
    </row>
    <row r="3710" spans="1:3" ht="45" x14ac:dyDescent="0.25">
      <c r="A3710" s="417">
        <v>41543</v>
      </c>
      <c r="B3710" s="418">
        <v>2.7106481481481481E-2</v>
      </c>
      <c r="C3710" s="950" t="s">
        <v>1678</v>
      </c>
    </row>
    <row r="3711" spans="1:3" x14ac:dyDescent="0.25">
      <c r="A3711" s="417">
        <v>41543</v>
      </c>
      <c r="B3711" s="418">
        <v>2.7592592592592596E-2</v>
      </c>
      <c r="C3711" s="421" t="s">
        <v>1238</v>
      </c>
    </row>
    <row r="3712" spans="1:3" x14ac:dyDescent="0.25">
      <c r="A3712" s="417">
        <v>41543</v>
      </c>
      <c r="B3712" s="418">
        <v>2.7592592592592596E-2</v>
      </c>
      <c r="C3712" s="421" t="s">
        <v>1307</v>
      </c>
    </row>
    <row r="3713" spans="1:3" x14ac:dyDescent="0.25">
      <c r="A3713" s="417">
        <v>41543</v>
      </c>
      <c r="B3713" s="418">
        <v>2.7592592592592596E-2</v>
      </c>
      <c r="C3713" s="421" t="s">
        <v>1308</v>
      </c>
    </row>
    <row r="3714" spans="1:3" x14ac:dyDescent="0.25">
      <c r="A3714" s="417">
        <v>41543</v>
      </c>
      <c r="B3714" s="418">
        <v>2.7592592592592596E-2</v>
      </c>
      <c r="C3714" s="421" t="s">
        <v>1309</v>
      </c>
    </row>
    <row r="3715" spans="1:3" x14ac:dyDescent="0.25">
      <c r="A3715" s="417">
        <v>41543</v>
      </c>
      <c r="B3715" s="418">
        <v>2.7592592592592596E-2</v>
      </c>
      <c r="C3715" s="421" t="s">
        <v>1310</v>
      </c>
    </row>
    <row r="3716" spans="1:3" x14ac:dyDescent="0.25">
      <c r="A3716" s="417">
        <v>41543</v>
      </c>
      <c r="B3716" s="418">
        <v>2.7592592592592596E-2</v>
      </c>
      <c r="C3716" s="421" t="s">
        <v>1311</v>
      </c>
    </row>
    <row r="3717" spans="1:3" x14ac:dyDescent="0.25">
      <c r="A3717" s="417">
        <v>41543</v>
      </c>
      <c r="B3717" s="418">
        <v>2.7592592592592596E-2</v>
      </c>
      <c r="C3717" s="421" t="s">
        <v>1312</v>
      </c>
    </row>
    <row r="3718" spans="1:3" x14ac:dyDescent="0.25">
      <c r="A3718" s="417">
        <v>41543</v>
      </c>
      <c r="B3718" s="418">
        <v>2.7592592592592596E-2</v>
      </c>
      <c r="C3718" s="421" t="s">
        <v>1313</v>
      </c>
    </row>
    <row r="3719" spans="1:3" x14ac:dyDescent="0.25">
      <c r="A3719" s="417">
        <v>41543</v>
      </c>
      <c r="B3719" s="418">
        <v>2.7592592592592596E-2</v>
      </c>
      <c r="C3719" s="421" t="s">
        <v>1310</v>
      </c>
    </row>
    <row r="3720" spans="1:3" x14ac:dyDescent="0.25">
      <c r="A3720" s="417">
        <v>41543</v>
      </c>
      <c r="B3720" s="418">
        <v>2.7592592592592596E-2</v>
      </c>
      <c r="C3720" s="421" t="s">
        <v>1314</v>
      </c>
    </row>
    <row r="3721" spans="1:3" x14ac:dyDescent="0.25">
      <c r="A3721" s="417">
        <v>41543</v>
      </c>
      <c r="B3721" s="418">
        <v>2.7592592592592596E-2</v>
      </c>
      <c r="C3721" s="421" t="s">
        <v>1315</v>
      </c>
    </row>
    <row r="3722" spans="1:3" x14ac:dyDescent="0.25">
      <c r="A3722" s="417">
        <v>41543</v>
      </c>
      <c r="B3722" s="418">
        <v>2.7592592592592596E-2</v>
      </c>
      <c r="C3722" s="421" t="s">
        <v>1460</v>
      </c>
    </row>
    <row r="3723" spans="1:3" x14ac:dyDescent="0.25">
      <c r="A3723" s="417">
        <v>41543</v>
      </c>
      <c r="B3723" s="418">
        <v>2.7592592592592596E-2</v>
      </c>
      <c r="C3723" s="421" t="s">
        <v>1461</v>
      </c>
    </row>
    <row r="3724" spans="1:3" x14ac:dyDescent="0.25">
      <c r="A3724" s="417">
        <v>41543</v>
      </c>
      <c r="B3724" s="418">
        <v>2.7592592592592596E-2</v>
      </c>
      <c r="C3724" s="421" t="s">
        <v>1310</v>
      </c>
    </row>
    <row r="3725" spans="1:3" x14ac:dyDescent="0.25">
      <c r="A3725" s="417">
        <v>41543</v>
      </c>
      <c r="B3725" s="418">
        <v>2.7592592592592596E-2</v>
      </c>
      <c r="C3725" s="421" t="s">
        <v>1238</v>
      </c>
    </row>
    <row r="3726" spans="1:3" x14ac:dyDescent="0.25">
      <c r="A3726" s="417">
        <v>41543</v>
      </c>
      <c r="B3726" s="418">
        <v>2.7592592592592596E-2</v>
      </c>
      <c r="C3726" s="421" t="s">
        <v>1462</v>
      </c>
    </row>
    <row r="3727" spans="1:3" x14ac:dyDescent="0.25">
      <c r="A3727" s="417">
        <v>41543</v>
      </c>
      <c r="B3727" s="418">
        <v>2.7592592592592596E-2</v>
      </c>
      <c r="C3727" s="421" t="s">
        <v>1316</v>
      </c>
    </row>
    <row r="3728" spans="1:3" x14ac:dyDescent="0.25">
      <c r="A3728" s="417">
        <v>41543</v>
      </c>
      <c r="B3728" s="418">
        <v>2.7592592592592596E-2</v>
      </c>
      <c r="C3728" s="421" t="s">
        <v>1316</v>
      </c>
    </row>
    <row r="3729" spans="1:3" x14ac:dyDescent="0.25">
      <c r="A3729" s="417">
        <v>41543</v>
      </c>
      <c r="B3729" s="418">
        <v>2.7592592592592596E-2</v>
      </c>
      <c r="C3729" s="421" t="s">
        <v>1317</v>
      </c>
    </row>
    <row r="3730" spans="1:3" x14ac:dyDescent="0.25">
      <c r="A3730" s="417">
        <v>41543</v>
      </c>
      <c r="B3730" s="418">
        <v>2.7592592592592596E-2</v>
      </c>
      <c r="C3730" s="421" t="s">
        <v>1309</v>
      </c>
    </row>
    <row r="3731" spans="1:3" x14ac:dyDescent="0.25">
      <c r="A3731" s="417">
        <v>41543</v>
      </c>
      <c r="B3731" s="418">
        <v>2.7592592592592596E-2</v>
      </c>
      <c r="C3731" s="421" t="s">
        <v>1318</v>
      </c>
    </row>
    <row r="3732" spans="1:3" x14ac:dyDescent="0.25">
      <c r="A3732" s="417">
        <v>41543</v>
      </c>
      <c r="B3732" s="418">
        <v>2.7592592592592596E-2</v>
      </c>
      <c r="C3732" s="421" t="s">
        <v>1319</v>
      </c>
    </row>
    <row r="3733" spans="1:3" x14ac:dyDescent="0.25">
      <c r="A3733" s="417">
        <v>41543</v>
      </c>
      <c r="B3733" s="418">
        <v>2.7592592592592596E-2</v>
      </c>
      <c r="C3733" s="421" t="s">
        <v>1320</v>
      </c>
    </row>
    <row r="3734" spans="1:3" x14ac:dyDescent="0.25">
      <c r="A3734" s="417">
        <v>41543</v>
      </c>
      <c r="B3734" s="418">
        <v>2.7592592592592596E-2</v>
      </c>
      <c r="C3734" s="421" t="s">
        <v>1318</v>
      </c>
    </row>
    <row r="3735" spans="1:3" x14ac:dyDescent="0.25">
      <c r="A3735" s="417">
        <v>41543</v>
      </c>
      <c r="B3735" s="418">
        <v>2.7592592592592596E-2</v>
      </c>
      <c r="C3735" s="421" t="s">
        <v>1307</v>
      </c>
    </row>
    <row r="3736" spans="1:3" x14ac:dyDescent="0.25">
      <c r="A3736" s="417">
        <v>41543</v>
      </c>
      <c r="B3736" s="418">
        <v>2.7592592592592596E-2</v>
      </c>
      <c r="C3736" s="421" t="s">
        <v>1321</v>
      </c>
    </row>
    <row r="3737" spans="1:3" x14ac:dyDescent="0.25">
      <c r="A3737" s="417">
        <v>41543</v>
      </c>
      <c r="B3737" s="418">
        <v>2.7592592592592596E-2</v>
      </c>
      <c r="C3737" s="421" t="s">
        <v>1322</v>
      </c>
    </row>
    <row r="3738" spans="1:3" x14ac:dyDescent="0.25">
      <c r="A3738" s="417">
        <v>41543</v>
      </c>
      <c r="B3738" s="418">
        <v>2.7592592592592596E-2</v>
      </c>
      <c r="C3738" s="421" t="s">
        <v>1322</v>
      </c>
    </row>
    <row r="3739" spans="1:3" x14ac:dyDescent="0.25">
      <c r="A3739" s="417">
        <v>41543</v>
      </c>
      <c r="B3739" s="418">
        <v>2.7592592592592596E-2</v>
      </c>
      <c r="C3739" s="421" t="s">
        <v>1323</v>
      </c>
    </row>
    <row r="3740" spans="1:3" x14ac:dyDescent="0.25">
      <c r="A3740" s="417">
        <v>41543</v>
      </c>
      <c r="B3740" s="418">
        <v>2.7592592592592596E-2</v>
      </c>
      <c r="C3740" s="421" t="s">
        <v>1324</v>
      </c>
    </row>
    <row r="3741" spans="1:3" x14ac:dyDescent="0.25">
      <c r="A3741" s="417">
        <v>41543</v>
      </c>
      <c r="B3741" s="418">
        <v>2.7592592592592596E-2</v>
      </c>
      <c r="C3741" s="421" t="s">
        <v>1310</v>
      </c>
    </row>
    <row r="3742" spans="1:3" x14ac:dyDescent="0.25">
      <c r="A3742" s="417">
        <v>41543</v>
      </c>
      <c r="B3742" s="418">
        <v>2.7592592592592596E-2</v>
      </c>
      <c r="C3742" s="421" t="s">
        <v>1325</v>
      </c>
    </row>
    <row r="3743" spans="1:3" x14ac:dyDescent="0.25">
      <c r="A3743" s="417">
        <v>41543</v>
      </c>
      <c r="B3743" s="418">
        <v>2.7592592592592596E-2</v>
      </c>
      <c r="C3743" s="421" t="s">
        <v>1326</v>
      </c>
    </row>
    <row r="3744" spans="1:3" x14ac:dyDescent="0.25">
      <c r="A3744" s="417">
        <v>41543</v>
      </c>
      <c r="B3744" s="418">
        <v>2.7592592592592596E-2</v>
      </c>
      <c r="C3744" s="421" t="s">
        <v>1238</v>
      </c>
    </row>
    <row r="3745" spans="1:3" x14ac:dyDescent="0.25">
      <c r="A3745" s="417">
        <v>41543</v>
      </c>
      <c r="B3745" s="418">
        <v>2.7592592592592596E-2</v>
      </c>
      <c r="C3745" s="421" t="s">
        <v>1327</v>
      </c>
    </row>
    <row r="3746" spans="1:3" x14ac:dyDescent="0.25">
      <c r="A3746" s="417">
        <v>41543</v>
      </c>
      <c r="B3746" s="418">
        <v>2.7592592592592596E-2</v>
      </c>
      <c r="C3746" s="421" t="s">
        <v>1328</v>
      </c>
    </row>
    <row r="3747" spans="1:3" ht="60" x14ac:dyDescent="0.25">
      <c r="A3747" s="417">
        <v>41543</v>
      </c>
      <c r="B3747" s="418">
        <v>2.7592592592592596E-2</v>
      </c>
      <c r="C3747" s="950" t="s">
        <v>1679</v>
      </c>
    </row>
    <row r="3748" spans="1:3" x14ac:dyDescent="0.25">
      <c r="A3748" s="417">
        <v>41543</v>
      </c>
      <c r="B3748" s="418">
        <v>2.7893518518518515E-2</v>
      </c>
      <c r="C3748" s="421" t="s">
        <v>1238</v>
      </c>
    </row>
    <row r="3749" spans="1:3" x14ac:dyDescent="0.25">
      <c r="A3749" s="417">
        <v>41543</v>
      </c>
      <c r="B3749" s="418">
        <v>2.7893518518518515E-2</v>
      </c>
      <c r="C3749" s="421" t="s">
        <v>1307</v>
      </c>
    </row>
    <row r="3750" spans="1:3" x14ac:dyDescent="0.25">
      <c r="A3750" s="417">
        <v>41543</v>
      </c>
      <c r="B3750" s="418">
        <v>2.7893518518518515E-2</v>
      </c>
      <c r="C3750" s="421" t="s">
        <v>1308</v>
      </c>
    </row>
    <row r="3751" spans="1:3" x14ac:dyDescent="0.25">
      <c r="A3751" s="417">
        <v>41543</v>
      </c>
      <c r="B3751" s="418">
        <v>2.7893518518518515E-2</v>
      </c>
      <c r="C3751" s="421" t="s">
        <v>1309</v>
      </c>
    </row>
    <row r="3752" spans="1:3" x14ac:dyDescent="0.25">
      <c r="A3752" s="417">
        <v>41543</v>
      </c>
      <c r="B3752" s="418">
        <v>2.7893518518518515E-2</v>
      </c>
      <c r="C3752" s="421" t="s">
        <v>1310</v>
      </c>
    </row>
    <row r="3753" spans="1:3" x14ac:dyDescent="0.25">
      <c r="A3753" s="417">
        <v>41543</v>
      </c>
      <c r="B3753" s="418">
        <v>2.7893518518518515E-2</v>
      </c>
      <c r="C3753" s="421" t="s">
        <v>1311</v>
      </c>
    </row>
    <row r="3754" spans="1:3" x14ac:dyDescent="0.25">
      <c r="A3754" s="417">
        <v>41543</v>
      </c>
      <c r="B3754" s="418">
        <v>2.7893518518518515E-2</v>
      </c>
      <c r="C3754" s="421" t="s">
        <v>1312</v>
      </c>
    </row>
    <row r="3755" spans="1:3" x14ac:dyDescent="0.25">
      <c r="A3755" s="417">
        <v>41543</v>
      </c>
      <c r="B3755" s="418">
        <v>2.7893518518518515E-2</v>
      </c>
      <c r="C3755" s="421" t="s">
        <v>1313</v>
      </c>
    </row>
    <row r="3756" spans="1:3" x14ac:dyDescent="0.25">
      <c r="A3756" s="417">
        <v>41543</v>
      </c>
      <c r="B3756" s="418">
        <v>2.7893518518518515E-2</v>
      </c>
      <c r="C3756" s="421" t="s">
        <v>1310</v>
      </c>
    </row>
    <row r="3757" spans="1:3" x14ac:dyDescent="0.25">
      <c r="A3757" s="417">
        <v>41543</v>
      </c>
      <c r="B3757" s="418">
        <v>2.7893518518518515E-2</v>
      </c>
      <c r="C3757" s="421" t="s">
        <v>1314</v>
      </c>
    </row>
    <row r="3758" spans="1:3" x14ac:dyDescent="0.25">
      <c r="A3758" s="417">
        <v>41543</v>
      </c>
      <c r="B3758" s="418">
        <v>2.7893518518518515E-2</v>
      </c>
      <c r="C3758" s="421" t="s">
        <v>1315</v>
      </c>
    </row>
    <row r="3759" spans="1:3" x14ac:dyDescent="0.25">
      <c r="A3759" s="417">
        <v>41543</v>
      </c>
      <c r="B3759" s="418">
        <v>2.7893518518518515E-2</v>
      </c>
      <c r="C3759" s="421" t="s">
        <v>1460</v>
      </c>
    </row>
    <row r="3760" spans="1:3" x14ac:dyDescent="0.25">
      <c r="A3760" s="417">
        <v>41543</v>
      </c>
      <c r="B3760" s="418">
        <v>2.7893518518518515E-2</v>
      </c>
      <c r="C3760" s="421" t="s">
        <v>1461</v>
      </c>
    </row>
    <row r="3761" spans="1:3" x14ac:dyDescent="0.25">
      <c r="A3761" s="417">
        <v>41543</v>
      </c>
      <c r="B3761" s="418">
        <v>2.7893518518518515E-2</v>
      </c>
      <c r="C3761" s="421" t="s">
        <v>1310</v>
      </c>
    </row>
    <row r="3762" spans="1:3" x14ac:dyDescent="0.25">
      <c r="A3762" s="417">
        <v>41543</v>
      </c>
      <c r="B3762" s="418">
        <v>2.7893518518518515E-2</v>
      </c>
      <c r="C3762" s="421" t="s">
        <v>1238</v>
      </c>
    </row>
    <row r="3763" spans="1:3" x14ac:dyDescent="0.25">
      <c r="A3763" s="417">
        <v>41543</v>
      </c>
      <c r="B3763" s="418">
        <v>2.7893518518518515E-2</v>
      </c>
      <c r="C3763" s="421" t="s">
        <v>1462</v>
      </c>
    </row>
    <row r="3764" spans="1:3" x14ac:dyDescent="0.25">
      <c r="A3764" s="417">
        <v>41543</v>
      </c>
      <c r="B3764" s="418">
        <v>2.7893518518518515E-2</v>
      </c>
      <c r="C3764" s="421" t="s">
        <v>1316</v>
      </c>
    </row>
    <row r="3765" spans="1:3" x14ac:dyDescent="0.25">
      <c r="A3765" s="417">
        <v>41543</v>
      </c>
      <c r="B3765" s="418">
        <v>2.7893518518518515E-2</v>
      </c>
      <c r="C3765" s="421" t="s">
        <v>1316</v>
      </c>
    </row>
    <row r="3766" spans="1:3" x14ac:dyDescent="0.25">
      <c r="A3766" s="417">
        <v>41543</v>
      </c>
      <c r="B3766" s="418">
        <v>2.7893518518518515E-2</v>
      </c>
      <c r="C3766" s="421" t="s">
        <v>1317</v>
      </c>
    </row>
    <row r="3767" spans="1:3" x14ac:dyDescent="0.25">
      <c r="A3767" s="417">
        <v>41543</v>
      </c>
      <c r="B3767" s="418">
        <v>2.7893518518518515E-2</v>
      </c>
      <c r="C3767" s="421" t="s">
        <v>1309</v>
      </c>
    </row>
    <row r="3768" spans="1:3" x14ac:dyDescent="0.25">
      <c r="A3768" s="417">
        <v>41543</v>
      </c>
      <c r="B3768" s="418">
        <v>2.7893518518518515E-2</v>
      </c>
      <c r="C3768" s="421" t="s">
        <v>1318</v>
      </c>
    </row>
    <row r="3769" spans="1:3" x14ac:dyDescent="0.25">
      <c r="A3769" s="417">
        <v>41543</v>
      </c>
      <c r="B3769" s="418">
        <v>2.7893518518518515E-2</v>
      </c>
      <c r="C3769" s="421" t="s">
        <v>1319</v>
      </c>
    </row>
    <row r="3770" spans="1:3" x14ac:dyDescent="0.25">
      <c r="A3770" s="417">
        <v>41543</v>
      </c>
      <c r="B3770" s="418">
        <v>2.7893518518518515E-2</v>
      </c>
      <c r="C3770" s="421" t="s">
        <v>1320</v>
      </c>
    </row>
    <row r="3771" spans="1:3" x14ac:dyDescent="0.25">
      <c r="A3771" s="417">
        <v>41543</v>
      </c>
      <c r="B3771" s="418">
        <v>2.7893518518518515E-2</v>
      </c>
      <c r="C3771" s="421" t="s">
        <v>1318</v>
      </c>
    </row>
    <row r="3772" spans="1:3" x14ac:dyDescent="0.25">
      <c r="A3772" s="417">
        <v>41543</v>
      </c>
      <c r="B3772" s="418">
        <v>2.7893518518518515E-2</v>
      </c>
      <c r="C3772" s="421" t="s">
        <v>1307</v>
      </c>
    </row>
    <row r="3773" spans="1:3" x14ac:dyDescent="0.25">
      <c r="A3773" s="417">
        <v>41543</v>
      </c>
      <c r="B3773" s="418">
        <v>2.7893518518518515E-2</v>
      </c>
      <c r="C3773" s="421" t="s">
        <v>1321</v>
      </c>
    </row>
    <row r="3774" spans="1:3" x14ac:dyDescent="0.25">
      <c r="A3774" s="417">
        <v>41543</v>
      </c>
      <c r="B3774" s="418">
        <v>2.7893518518518515E-2</v>
      </c>
      <c r="C3774" s="421" t="s">
        <v>1322</v>
      </c>
    </row>
    <row r="3775" spans="1:3" x14ac:dyDescent="0.25">
      <c r="A3775" s="417">
        <v>41543</v>
      </c>
      <c r="B3775" s="418">
        <v>2.7893518518518515E-2</v>
      </c>
      <c r="C3775" s="421" t="s">
        <v>1322</v>
      </c>
    </row>
    <row r="3776" spans="1:3" x14ac:dyDescent="0.25">
      <c r="A3776" s="417">
        <v>41543</v>
      </c>
      <c r="B3776" s="418">
        <v>2.7893518518518515E-2</v>
      </c>
      <c r="C3776" s="421" t="s">
        <v>1323</v>
      </c>
    </row>
    <row r="3777" spans="1:3" x14ac:dyDescent="0.25">
      <c r="A3777" s="417">
        <v>41543</v>
      </c>
      <c r="B3777" s="418">
        <v>2.7893518518518515E-2</v>
      </c>
      <c r="C3777" s="421" t="s">
        <v>1324</v>
      </c>
    </row>
    <row r="3778" spans="1:3" x14ac:dyDescent="0.25">
      <c r="A3778" s="417">
        <v>41543</v>
      </c>
      <c r="B3778" s="418">
        <v>2.7893518518518515E-2</v>
      </c>
      <c r="C3778" s="421" t="s">
        <v>1310</v>
      </c>
    </row>
    <row r="3779" spans="1:3" x14ac:dyDescent="0.25">
      <c r="A3779" s="417">
        <v>41543</v>
      </c>
      <c r="B3779" s="418">
        <v>2.7893518518518515E-2</v>
      </c>
      <c r="C3779" s="421" t="s">
        <v>1325</v>
      </c>
    </row>
    <row r="3780" spans="1:3" x14ac:dyDescent="0.25">
      <c r="A3780" s="417">
        <v>41543</v>
      </c>
      <c r="B3780" s="418">
        <v>2.7893518518518515E-2</v>
      </c>
      <c r="C3780" s="421" t="s">
        <v>1326</v>
      </c>
    </row>
    <row r="3781" spans="1:3" x14ac:dyDescent="0.25">
      <c r="A3781" s="417">
        <v>41543</v>
      </c>
      <c r="B3781" s="418">
        <v>2.7893518518518515E-2</v>
      </c>
      <c r="C3781" s="421" t="s">
        <v>1238</v>
      </c>
    </row>
    <row r="3782" spans="1:3" x14ac:dyDescent="0.25">
      <c r="A3782" s="417">
        <v>41543</v>
      </c>
      <c r="B3782" s="418">
        <v>2.7893518518518515E-2</v>
      </c>
      <c r="C3782" s="421" t="s">
        <v>1327</v>
      </c>
    </row>
    <row r="3783" spans="1:3" x14ac:dyDescent="0.25">
      <c r="A3783" s="417">
        <v>41543</v>
      </c>
      <c r="B3783" s="418">
        <v>2.7893518518518515E-2</v>
      </c>
      <c r="C3783" s="421" t="s">
        <v>1328</v>
      </c>
    </row>
    <row r="3784" spans="1:3" ht="60" x14ac:dyDescent="0.25">
      <c r="A3784" s="417">
        <v>41543</v>
      </c>
      <c r="B3784" s="418">
        <v>2.7893518518518515E-2</v>
      </c>
      <c r="C3784" s="950" t="s">
        <v>1679</v>
      </c>
    </row>
    <row r="3785" spans="1:3" x14ac:dyDescent="0.25">
      <c r="A3785" s="417">
        <v>41543</v>
      </c>
      <c r="B3785" s="418">
        <v>2.7928240740740743E-2</v>
      </c>
      <c r="C3785" s="421" t="s">
        <v>1323</v>
      </c>
    </row>
    <row r="3786" spans="1:3" x14ac:dyDescent="0.25">
      <c r="A3786" s="417">
        <v>41543</v>
      </c>
      <c r="B3786" s="418">
        <v>2.7928240740740743E-2</v>
      </c>
      <c r="C3786" s="421" t="s">
        <v>1342</v>
      </c>
    </row>
    <row r="3787" spans="1:3" x14ac:dyDescent="0.25">
      <c r="A3787" s="417">
        <v>41543</v>
      </c>
      <c r="B3787" s="418">
        <v>2.7928240740740743E-2</v>
      </c>
      <c r="C3787" s="421" t="s">
        <v>1343</v>
      </c>
    </row>
    <row r="3788" spans="1:3" x14ac:dyDescent="0.25">
      <c r="A3788" s="417">
        <v>41543</v>
      </c>
      <c r="B3788" s="418">
        <v>2.7928240740740743E-2</v>
      </c>
      <c r="C3788" s="421" t="s">
        <v>1344</v>
      </c>
    </row>
    <row r="3789" spans="1:3" x14ac:dyDescent="0.25">
      <c r="A3789" s="417">
        <v>41543</v>
      </c>
      <c r="B3789" s="418">
        <v>2.7928240740740743E-2</v>
      </c>
      <c r="C3789" s="421" t="s">
        <v>1344</v>
      </c>
    </row>
    <row r="3790" spans="1:3" x14ac:dyDescent="0.25">
      <c r="A3790" s="417">
        <v>41543</v>
      </c>
      <c r="B3790" s="418">
        <v>2.7928240740740743E-2</v>
      </c>
      <c r="C3790" s="421" t="s">
        <v>1310</v>
      </c>
    </row>
    <row r="3791" spans="1:3" x14ac:dyDescent="0.25">
      <c r="A3791" s="417">
        <v>41543</v>
      </c>
      <c r="B3791" s="418">
        <v>2.7928240740740743E-2</v>
      </c>
      <c r="C3791" s="421" t="s">
        <v>1345</v>
      </c>
    </row>
    <row r="3792" spans="1:3" x14ac:dyDescent="0.25">
      <c r="A3792" s="417">
        <v>41543</v>
      </c>
      <c r="B3792" s="418">
        <v>2.7928240740740743E-2</v>
      </c>
      <c r="C3792" s="421" t="s">
        <v>1346</v>
      </c>
    </row>
    <row r="3793" spans="1:3" x14ac:dyDescent="0.25">
      <c r="A3793" s="417">
        <v>41543</v>
      </c>
      <c r="B3793" s="418">
        <v>2.7928240740740743E-2</v>
      </c>
      <c r="C3793" s="421" t="s">
        <v>1347</v>
      </c>
    </row>
    <row r="3794" spans="1:3" x14ac:dyDescent="0.25">
      <c r="A3794" s="417">
        <v>41543</v>
      </c>
      <c r="B3794" s="418">
        <v>2.7928240740740743E-2</v>
      </c>
      <c r="C3794" s="421" t="s">
        <v>1348</v>
      </c>
    </row>
    <row r="3795" spans="1:3" x14ac:dyDescent="0.25">
      <c r="A3795" s="417">
        <v>41543</v>
      </c>
      <c r="B3795" s="418">
        <v>2.7928240740740743E-2</v>
      </c>
      <c r="C3795" s="421" t="s">
        <v>1349</v>
      </c>
    </row>
    <row r="3796" spans="1:3" x14ac:dyDescent="0.25">
      <c r="A3796" s="417">
        <v>41543</v>
      </c>
      <c r="B3796" s="418">
        <v>2.7928240740740743E-2</v>
      </c>
      <c r="C3796" s="421" t="s">
        <v>1349</v>
      </c>
    </row>
    <row r="3797" spans="1:3" x14ac:dyDescent="0.25">
      <c r="A3797" s="417">
        <v>41543</v>
      </c>
      <c r="B3797" s="418">
        <v>2.7928240740740743E-2</v>
      </c>
      <c r="C3797" s="421" t="s">
        <v>1348</v>
      </c>
    </row>
    <row r="3798" spans="1:3" x14ac:dyDescent="0.25">
      <c r="A3798" s="417">
        <v>41543</v>
      </c>
      <c r="B3798" s="418">
        <v>2.7928240740740743E-2</v>
      </c>
      <c r="C3798" s="421" t="s">
        <v>1350</v>
      </c>
    </row>
    <row r="3799" spans="1:3" x14ac:dyDescent="0.25">
      <c r="A3799" s="417">
        <v>41543</v>
      </c>
      <c r="B3799" s="418">
        <v>2.7928240740740743E-2</v>
      </c>
      <c r="C3799" s="421" t="s">
        <v>1351</v>
      </c>
    </row>
    <row r="3800" spans="1:3" x14ac:dyDescent="0.25">
      <c r="A3800" s="417">
        <v>41543</v>
      </c>
      <c r="B3800" s="418">
        <v>2.7928240740740743E-2</v>
      </c>
      <c r="C3800" s="421" t="s">
        <v>1352</v>
      </c>
    </row>
    <row r="3801" spans="1:3" x14ac:dyDescent="0.25">
      <c r="A3801" s="417">
        <v>41543</v>
      </c>
      <c r="B3801" s="418">
        <v>2.7928240740740743E-2</v>
      </c>
      <c r="C3801" s="421" t="s">
        <v>1287</v>
      </c>
    </row>
    <row r="3802" spans="1:3" ht="60" x14ac:dyDescent="0.25">
      <c r="A3802" s="417">
        <v>41543</v>
      </c>
      <c r="B3802" s="418">
        <v>2.7928240740740743E-2</v>
      </c>
      <c r="C3802" s="950" t="s">
        <v>1288</v>
      </c>
    </row>
    <row r="3803" spans="1:3" x14ac:dyDescent="0.25">
      <c r="A3803" s="417">
        <v>41543</v>
      </c>
      <c r="B3803" s="418">
        <v>2.7951388888888887E-2</v>
      </c>
      <c r="C3803" s="421" t="s">
        <v>1647</v>
      </c>
    </row>
    <row r="3804" spans="1:3" x14ac:dyDescent="0.25">
      <c r="A3804" s="417">
        <v>41543</v>
      </c>
      <c r="B3804" s="418">
        <v>2.7951388888888887E-2</v>
      </c>
      <c r="C3804" s="421" t="s">
        <v>1353</v>
      </c>
    </row>
    <row r="3805" spans="1:3" x14ac:dyDescent="0.25">
      <c r="A3805" s="417">
        <v>41543</v>
      </c>
      <c r="B3805" s="418">
        <v>2.7951388888888887E-2</v>
      </c>
      <c r="C3805" s="421" t="s">
        <v>1354</v>
      </c>
    </row>
    <row r="3806" spans="1:3" x14ac:dyDescent="0.25">
      <c r="A3806" s="417">
        <v>41543</v>
      </c>
      <c r="B3806" s="418">
        <v>2.7951388888888887E-2</v>
      </c>
      <c r="C3806" s="421" t="s">
        <v>1355</v>
      </c>
    </row>
    <row r="3807" spans="1:3" x14ac:dyDescent="0.25">
      <c r="A3807" s="417">
        <v>41543</v>
      </c>
      <c r="B3807" s="418">
        <v>2.7962962962962964E-2</v>
      </c>
      <c r="C3807" s="421" t="s">
        <v>1357</v>
      </c>
    </row>
    <row r="3808" spans="1:3" x14ac:dyDescent="0.25">
      <c r="A3808" s="417">
        <v>41543</v>
      </c>
      <c r="B3808" s="418">
        <v>2.7962962962962964E-2</v>
      </c>
      <c r="C3808" s="421" t="s">
        <v>1358</v>
      </c>
    </row>
    <row r="3809" spans="1:3" x14ac:dyDescent="0.25">
      <c r="A3809" s="417">
        <v>41543</v>
      </c>
      <c r="B3809" s="418">
        <v>2.7962962962962964E-2</v>
      </c>
      <c r="C3809" s="421" t="s">
        <v>1359</v>
      </c>
    </row>
    <row r="3810" spans="1:3" x14ac:dyDescent="0.25">
      <c r="A3810" s="417">
        <v>41543</v>
      </c>
      <c r="B3810" s="418">
        <v>2.7962962962962964E-2</v>
      </c>
      <c r="C3810" s="421" t="s">
        <v>1360</v>
      </c>
    </row>
    <row r="3811" spans="1:3" x14ac:dyDescent="0.25">
      <c r="A3811" s="417">
        <v>41543</v>
      </c>
      <c r="B3811" s="418">
        <v>2.7962962962962964E-2</v>
      </c>
      <c r="C3811" s="421" t="s">
        <v>1361</v>
      </c>
    </row>
    <row r="3812" spans="1:3" x14ac:dyDescent="0.25">
      <c r="A3812" s="417">
        <v>41543</v>
      </c>
      <c r="B3812" s="418">
        <v>2.7962962962962964E-2</v>
      </c>
      <c r="C3812" s="421" t="s">
        <v>1317</v>
      </c>
    </row>
    <row r="3813" spans="1:3" x14ac:dyDescent="0.25">
      <c r="A3813" s="417">
        <v>41543</v>
      </c>
      <c r="B3813" s="418">
        <v>2.7962962962962964E-2</v>
      </c>
      <c r="C3813" s="421" t="s">
        <v>1537</v>
      </c>
    </row>
    <row r="3814" spans="1:3" x14ac:dyDescent="0.25">
      <c r="A3814" s="417">
        <v>41543</v>
      </c>
      <c r="B3814" s="418">
        <v>2.7962962962962964E-2</v>
      </c>
      <c r="C3814" s="421" t="s">
        <v>1362</v>
      </c>
    </row>
    <row r="3815" spans="1:3" x14ac:dyDescent="0.25">
      <c r="A3815" s="417">
        <v>41543</v>
      </c>
      <c r="B3815" s="418">
        <v>2.7962962962962964E-2</v>
      </c>
      <c r="C3815" s="421" t="s">
        <v>1355</v>
      </c>
    </row>
    <row r="3816" spans="1:3" x14ac:dyDescent="0.25">
      <c r="A3816" s="417">
        <v>41543</v>
      </c>
      <c r="B3816" s="418">
        <v>2.7962962962962964E-2</v>
      </c>
      <c r="C3816" s="421" t="s">
        <v>1363</v>
      </c>
    </row>
    <row r="3817" spans="1:3" x14ac:dyDescent="0.25">
      <c r="A3817" s="417">
        <v>41543</v>
      </c>
      <c r="B3817" s="418">
        <v>2.7962962962962964E-2</v>
      </c>
      <c r="C3817" s="421" t="s">
        <v>1364</v>
      </c>
    </row>
    <row r="3818" spans="1:3" x14ac:dyDescent="0.25">
      <c r="A3818" s="417">
        <v>41543</v>
      </c>
      <c r="B3818" s="418">
        <v>2.7962962962962964E-2</v>
      </c>
      <c r="C3818" s="421" t="s">
        <v>1365</v>
      </c>
    </row>
    <row r="3819" spans="1:3" x14ac:dyDescent="0.25">
      <c r="A3819" s="417">
        <v>41543</v>
      </c>
      <c r="B3819" s="418">
        <v>2.7962962962962964E-2</v>
      </c>
      <c r="C3819" s="421" t="s">
        <v>1365</v>
      </c>
    </row>
    <row r="3820" spans="1:3" x14ac:dyDescent="0.25">
      <c r="A3820" s="417">
        <v>41543</v>
      </c>
      <c r="B3820" s="418">
        <v>2.7962962962962964E-2</v>
      </c>
      <c r="C3820" s="421" t="s">
        <v>1366</v>
      </c>
    </row>
    <row r="3821" spans="1:3" x14ac:dyDescent="0.25">
      <c r="A3821" s="417">
        <v>41543</v>
      </c>
      <c r="B3821" s="418">
        <v>2.7962962962962964E-2</v>
      </c>
      <c r="C3821" s="421" t="s">
        <v>1320</v>
      </c>
    </row>
    <row r="3822" spans="1:3" x14ac:dyDescent="0.25">
      <c r="A3822" s="417">
        <v>41543</v>
      </c>
      <c r="B3822" s="418">
        <v>2.7962962962962964E-2</v>
      </c>
      <c r="C3822" s="421" t="s">
        <v>1367</v>
      </c>
    </row>
    <row r="3823" spans="1:3" x14ac:dyDescent="0.25">
      <c r="A3823" s="417">
        <v>41543</v>
      </c>
      <c r="B3823" s="418">
        <v>2.7962962962962964E-2</v>
      </c>
      <c r="C3823" s="421" t="s">
        <v>1344</v>
      </c>
    </row>
    <row r="3824" spans="1:3" x14ac:dyDescent="0.25">
      <c r="A3824" s="417">
        <v>41543</v>
      </c>
      <c r="B3824" s="418">
        <v>2.7962962962962964E-2</v>
      </c>
      <c r="C3824" s="421" t="s">
        <v>1368</v>
      </c>
    </row>
    <row r="3825" spans="1:3" x14ac:dyDescent="0.25">
      <c r="A3825" s="417">
        <v>41543</v>
      </c>
      <c r="B3825" s="418">
        <v>2.7962962962962964E-2</v>
      </c>
      <c r="C3825" s="421" t="s">
        <v>1369</v>
      </c>
    </row>
    <row r="3826" spans="1:3" x14ac:dyDescent="0.25">
      <c r="A3826" s="417">
        <v>41543</v>
      </c>
      <c r="B3826" s="418">
        <v>2.7974537037037034E-2</v>
      </c>
      <c r="C3826" s="421" t="s">
        <v>1307</v>
      </c>
    </row>
    <row r="3827" spans="1:3" x14ac:dyDescent="0.25">
      <c r="A3827" s="417">
        <v>41543</v>
      </c>
      <c r="B3827" s="418">
        <v>2.7974537037037034E-2</v>
      </c>
      <c r="C3827" s="421" t="s">
        <v>1370</v>
      </c>
    </row>
    <row r="3828" spans="1:3" x14ac:dyDescent="0.25">
      <c r="A3828" s="417">
        <v>41543</v>
      </c>
      <c r="B3828" s="418">
        <v>2.7974537037037034E-2</v>
      </c>
      <c r="C3828" s="421" t="s">
        <v>1371</v>
      </c>
    </row>
    <row r="3829" spans="1:3" x14ac:dyDescent="0.25">
      <c r="A3829" s="417">
        <v>41543</v>
      </c>
      <c r="B3829" s="418">
        <v>2.7974537037037034E-2</v>
      </c>
      <c r="C3829" s="421" t="s">
        <v>1344</v>
      </c>
    </row>
    <row r="3830" spans="1:3" x14ac:dyDescent="0.25">
      <c r="A3830" s="417">
        <v>41543</v>
      </c>
      <c r="B3830" s="418">
        <v>2.7974537037037034E-2</v>
      </c>
      <c r="C3830" s="421" t="s">
        <v>1317</v>
      </c>
    </row>
    <row r="3831" spans="1:3" x14ac:dyDescent="0.25">
      <c r="A3831" s="417">
        <v>41543</v>
      </c>
      <c r="B3831" s="418">
        <v>2.7974537037037034E-2</v>
      </c>
      <c r="C3831" s="421" t="s">
        <v>1463</v>
      </c>
    </row>
    <row r="3832" spans="1:3" x14ac:dyDescent="0.25">
      <c r="A3832" s="417">
        <v>41543</v>
      </c>
      <c r="B3832" s="418">
        <v>2.7974537037037034E-2</v>
      </c>
      <c r="C3832" s="421" t="s">
        <v>1378</v>
      </c>
    </row>
    <row r="3833" spans="1:3" ht="60" x14ac:dyDescent="0.25">
      <c r="A3833" s="417">
        <v>41543</v>
      </c>
      <c r="B3833" s="418">
        <v>2.7974537037037034E-2</v>
      </c>
      <c r="C3833" s="950" t="s">
        <v>1680</v>
      </c>
    </row>
    <row r="3834" spans="1:3" x14ac:dyDescent="0.25">
      <c r="A3834" s="417">
        <v>41543</v>
      </c>
      <c r="B3834" s="418">
        <v>2.8020833333333332E-2</v>
      </c>
      <c r="C3834" s="421" t="s">
        <v>1373</v>
      </c>
    </row>
    <row r="3835" spans="1:3" x14ac:dyDescent="0.25">
      <c r="A3835" s="417">
        <v>41543</v>
      </c>
      <c r="B3835" s="418">
        <v>2.8020833333333332E-2</v>
      </c>
      <c r="C3835" s="421" t="s">
        <v>1308</v>
      </c>
    </row>
    <row r="3836" spans="1:3" x14ac:dyDescent="0.25">
      <c r="A3836" s="417">
        <v>41543</v>
      </c>
      <c r="B3836" s="418">
        <v>2.8020833333333332E-2</v>
      </c>
      <c r="C3836" s="421" t="s">
        <v>1374</v>
      </c>
    </row>
    <row r="3837" spans="1:3" x14ac:dyDescent="0.25">
      <c r="A3837" s="417">
        <v>41543</v>
      </c>
      <c r="B3837" s="418">
        <v>2.8020833333333332E-2</v>
      </c>
      <c r="C3837" s="421" t="s">
        <v>1375</v>
      </c>
    </row>
    <row r="3838" spans="1:3" x14ac:dyDescent="0.25">
      <c r="A3838" s="417">
        <v>41543</v>
      </c>
      <c r="B3838" s="418">
        <v>2.8020833333333332E-2</v>
      </c>
      <c r="C3838" s="421" t="s">
        <v>1376</v>
      </c>
    </row>
    <row r="3839" spans="1:3" x14ac:dyDescent="0.25">
      <c r="A3839" s="417">
        <v>41543</v>
      </c>
      <c r="B3839" s="418">
        <v>2.8020833333333332E-2</v>
      </c>
      <c r="C3839" s="421" t="s">
        <v>1377</v>
      </c>
    </row>
    <row r="3840" spans="1:3" x14ac:dyDescent="0.25">
      <c r="A3840" s="417">
        <v>41543</v>
      </c>
      <c r="B3840" s="418">
        <v>2.8020833333333332E-2</v>
      </c>
      <c r="C3840" s="421" t="s">
        <v>1326</v>
      </c>
    </row>
    <row r="3841" spans="1:3" x14ac:dyDescent="0.25">
      <c r="A3841" s="417">
        <v>41543</v>
      </c>
      <c r="B3841" s="418">
        <v>2.8020833333333332E-2</v>
      </c>
      <c r="C3841" s="421" t="s">
        <v>1378</v>
      </c>
    </row>
    <row r="3842" spans="1:3" ht="60" x14ac:dyDescent="0.25">
      <c r="A3842" s="417">
        <v>41543</v>
      </c>
      <c r="B3842" s="418">
        <v>2.8020833333333332E-2</v>
      </c>
      <c r="C3842" s="950" t="s">
        <v>1681</v>
      </c>
    </row>
    <row r="3843" spans="1:3" x14ac:dyDescent="0.25">
      <c r="A3843" s="417">
        <v>41543</v>
      </c>
      <c r="B3843" s="418">
        <v>2.8032407407407409E-2</v>
      </c>
      <c r="C3843" s="421" t="s">
        <v>1380</v>
      </c>
    </row>
    <row r="3844" spans="1:3" x14ac:dyDescent="0.25">
      <c r="A3844" s="417">
        <v>41543</v>
      </c>
      <c r="B3844" s="418">
        <v>2.8043981481481479E-2</v>
      </c>
      <c r="C3844" s="421" t="s">
        <v>1381</v>
      </c>
    </row>
    <row r="3845" spans="1:3" x14ac:dyDescent="0.25">
      <c r="A3845" s="417">
        <v>41543</v>
      </c>
      <c r="B3845" s="418">
        <v>2.8043981481481479E-2</v>
      </c>
      <c r="C3845" s="421" t="s">
        <v>1382</v>
      </c>
    </row>
    <row r="3846" spans="1:3" x14ac:dyDescent="0.25">
      <c r="A3846" s="417">
        <v>41543</v>
      </c>
      <c r="B3846" s="418">
        <v>2.8043981481481479E-2</v>
      </c>
      <c r="C3846" s="421" t="s">
        <v>1383</v>
      </c>
    </row>
    <row r="3847" spans="1:3" x14ac:dyDescent="0.25">
      <c r="A3847" s="417">
        <v>41543</v>
      </c>
      <c r="B3847" s="418">
        <v>2.8043981481481479E-2</v>
      </c>
      <c r="C3847" s="421" t="s">
        <v>1352</v>
      </c>
    </row>
    <row r="3848" spans="1:3" x14ac:dyDescent="0.25">
      <c r="A3848" s="417">
        <v>41543</v>
      </c>
      <c r="B3848" s="418">
        <v>2.8043981481481479E-2</v>
      </c>
      <c r="C3848" s="421" t="s">
        <v>1384</v>
      </c>
    </row>
    <row r="3849" spans="1:3" x14ac:dyDescent="0.25">
      <c r="A3849" s="417">
        <v>41543</v>
      </c>
      <c r="B3849" s="418">
        <v>2.8043981481481479E-2</v>
      </c>
      <c r="C3849" s="421" t="s">
        <v>1385</v>
      </c>
    </row>
    <row r="3850" spans="1:3" x14ac:dyDescent="0.25">
      <c r="A3850" s="417">
        <v>41543</v>
      </c>
      <c r="B3850" s="418">
        <v>2.8043981481481479E-2</v>
      </c>
      <c r="C3850" s="421" t="s">
        <v>1385</v>
      </c>
    </row>
    <row r="3851" spans="1:3" x14ac:dyDescent="0.25">
      <c r="A3851" s="417">
        <v>41543</v>
      </c>
      <c r="B3851" s="418">
        <v>2.8055555555555556E-2</v>
      </c>
      <c r="C3851" s="421" t="s">
        <v>1386</v>
      </c>
    </row>
    <row r="3852" spans="1:3" x14ac:dyDescent="0.25">
      <c r="A3852" s="417">
        <v>41543</v>
      </c>
      <c r="B3852" s="418">
        <v>2.8055555555555556E-2</v>
      </c>
      <c r="C3852" s="421" t="s">
        <v>1387</v>
      </c>
    </row>
    <row r="3853" spans="1:3" x14ac:dyDescent="0.25">
      <c r="A3853" s="417">
        <v>41543</v>
      </c>
      <c r="B3853" s="418">
        <v>2.8055555555555556E-2</v>
      </c>
      <c r="C3853" s="421" t="s">
        <v>1387</v>
      </c>
    </row>
    <row r="3854" spans="1:3" x14ac:dyDescent="0.25">
      <c r="A3854" s="417">
        <v>41543</v>
      </c>
      <c r="B3854" s="418">
        <v>2.8055555555555556E-2</v>
      </c>
      <c r="C3854" s="421" t="s">
        <v>1318</v>
      </c>
    </row>
    <row r="3855" spans="1:3" x14ac:dyDescent="0.25">
      <c r="A3855" s="417">
        <v>41543</v>
      </c>
      <c r="B3855" s="418">
        <v>2.8067129629629626E-2</v>
      </c>
      <c r="C3855" s="421" t="s">
        <v>1388</v>
      </c>
    </row>
    <row r="3856" spans="1:3" x14ac:dyDescent="0.25">
      <c r="A3856" s="417">
        <v>41543</v>
      </c>
      <c r="B3856" s="418">
        <v>2.8078703703703703E-2</v>
      </c>
      <c r="C3856" s="421" t="s">
        <v>1390</v>
      </c>
    </row>
    <row r="3857" spans="1:3" x14ac:dyDescent="0.25">
      <c r="A3857" s="417">
        <v>41543</v>
      </c>
      <c r="B3857" s="418">
        <v>2.809027777777778E-2</v>
      </c>
      <c r="C3857" s="421" t="s">
        <v>1391</v>
      </c>
    </row>
    <row r="3858" spans="1:3" x14ac:dyDescent="0.25">
      <c r="A3858" s="417">
        <v>41543</v>
      </c>
      <c r="B3858" s="418">
        <v>2.809027777777778E-2</v>
      </c>
      <c r="C3858" s="421" t="s">
        <v>1392</v>
      </c>
    </row>
    <row r="3859" spans="1:3" x14ac:dyDescent="0.25">
      <c r="A3859" s="417">
        <v>41543</v>
      </c>
      <c r="B3859" s="418">
        <v>2.809027777777778E-2</v>
      </c>
      <c r="C3859" s="421" t="s">
        <v>1294</v>
      </c>
    </row>
    <row r="3860" spans="1:3" ht="60" x14ac:dyDescent="0.25">
      <c r="A3860" s="417">
        <v>41543</v>
      </c>
      <c r="B3860" s="418">
        <v>2.809027777777778E-2</v>
      </c>
      <c r="C3860" s="950" t="s">
        <v>1295</v>
      </c>
    </row>
    <row r="3861" spans="1:3" x14ac:dyDescent="0.25">
      <c r="A3861" s="417">
        <v>41543</v>
      </c>
      <c r="B3861" s="418">
        <v>2.8136574074074074E-2</v>
      </c>
      <c r="C3861" s="421" t="s">
        <v>1393</v>
      </c>
    </row>
    <row r="3862" spans="1:3" x14ac:dyDescent="0.25">
      <c r="A3862" s="417">
        <v>41543</v>
      </c>
      <c r="B3862" s="418">
        <v>2.8136574074074074E-2</v>
      </c>
      <c r="C3862" s="421" t="s">
        <v>1394</v>
      </c>
    </row>
    <row r="3863" spans="1:3" x14ac:dyDescent="0.25">
      <c r="A3863" s="417">
        <v>41543</v>
      </c>
      <c r="B3863" s="418">
        <v>2.8148148148148148E-2</v>
      </c>
      <c r="C3863" s="421" t="s">
        <v>1392</v>
      </c>
    </row>
    <row r="3864" spans="1:3" x14ac:dyDescent="0.25">
      <c r="A3864" s="417">
        <v>41543</v>
      </c>
      <c r="B3864" s="418">
        <v>2.8148148148148148E-2</v>
      </c>
      <c r="C3864" s="421" t="s">
        <v>1395</v>
      </c>
    </row>
    <row r="3865" spans="1:3" x14ac:dyDescent="0.25">
      <c r="A3865" s="417">
        <v>41543</v>
      </c>
      <c r="B3865" s="418">
        <v>2.8148148148148148E-2</v>
      </c>
      <c r="C3865" s="421" t="s">
        <v>1396</v>
      </c>
    </row>
    <row r="3866" spans="1:3" x14ac:dyDescent="0.25">
      <c r="A3866" s="417">
        <v>41543</v>
      </c>
      <c r="B3866" s="418">
        <v>2.8148148148148148E-2</v>
      </c>
      <c r="C3866" s="421" t="s">
        <v>1363</v>
      </c>
    </row>
    <row r="3867" spans="1:3" x14ac:dyDescent="0.25">
      <c r="A3867" s="417">
        <v>41543</v>
      </c>
      <c r="B3867" s="418">
        <v>2.8171296296296302E-2</v>
      </c>
      <c r="C3867" s="421" t="s">
        <v>1362</v>
      </c>
    </row>
    <row r="3868" spans="1:3" x14ac:dyDescent="0.25">
      <c r="A3868" s="417">
        <v>41543</v>
      </c>
      <c r="B3868" s="418">
        <v>2.8171296296296302E-2</v>
      </c>
      <c r="C3868" s="421" t="s">
        <v>1397</v>
      </c>
    </row>
    <row r="3869" spans="1:3" x14ac:dyDescent="0.25">
      <c r="A3869" s="417">
        <v>41543</v>
      </c>
      <c r="B3869" s="418">
        <v>2.8171296296296302E-2</v>
      </c>
      <c r="C3869" s="421" t="s">
        <v>1381</v>
      </c>
    </row>
    <row r="3870" spans="1:3" x14ac:dyDescent="0.25">
      <c r="A3870" s="417">
        <v>41543</v>
      </c>
      <c r="B3870" s="418">
        <v>2.8182870370370372E-2</v>
      </c>
      <c r="C3870" s="421" t="s">
        <v>1398</v>
      </c>
    </row>
    <row r="3871" spans="1:3" x14ac:dyDescent="0.25">
      <c r="A3871" s="417">
        <v>41543</v>
      </c>
      <c r="B3871" s="418">
        <v>2.8182870370370372E-2</v>
      </c>
      <c r="C3871" s="421" t="s">
        <v>1399</v>
      </c>
    </row>
    <row r="3872" spans="1:3" x14ac:dyDescent="0.25">
      <c r="A3872" s="417">
        <v>41543</v>
      </c>
      <c r="B3872" s="418">
        <v>2.8194444444444442E-2</v>
      </c>
      <c r="C3872" s="421" t="s">
        <v>1400</v>
      </c>
    </row>
    <row r="3873" spans="1:3" x14ac:dyDescent="0.25">
      <c r="A3873" s="417">
        <v>41543</v>
      </c>
      <c r="B3873" s="418">
        <v>2.8194444444444442E-2</v>
      </c>
      <c r="C3873" s="421" t="s">
        <v>1400</v>
      </c>
    </row>
    <row r="3874" spans="1:3" x14ac:dyDescent="0.25">
      <c r="A3874" s="417">
        <v>41543</v>
      </c>
      <c r="B3874" s="418">
        <v>2.8194444444444442E-2</v>
      </c>
      <c r="C3874" s="421" t="s">
        <v>1373</v>
      </c>
    </row>
    <row r="3875" spans="1:3" x14ac:dyDescent="0.25">
      <c r="A3875" s="417">
        <v>41543</v>
      </c>
      <c r="B3875" s="418">
        <v>2.8229166666666666E-2</v>
      </c>
      <c r="C3875" s="421" t="s">
        <v>1353</v>
      </c>
    </row>
    <row r="3876" spans="1:3" x14ac:dyDescent="0.25">
      <c r="A3876" s="417">
        <v>41543</v>
      </c>
      <c r="B3876" s="418">
        <v>2.8229166666666666E-2</v>
      </c>
      <c r="C3876" s="421" t="s">
        <v>1353</v>
      </c>
    </row>
    <row r="3877" spans="1:3" x14ac:dyDescent="0.25">
      <c r="A3877" s="417">
        <v>41543</v>
      </c>
      <c r="B3877" s="418">
        <v>2.8240740740740736E-2</v>
      </c>
      <c r="C3877" s="421" t="s">
        <v>1401</v>
      </c>
    </row>
    <row r="3878" spans="1:3" x14ac:dyDescent="0.25">
      <c r="A3878" s="417">
        <v>41543</v>
      </c>
      <c r="B3878" s="418">
        <v>2.826388888888889E-2</v>
      </c>
      <c r="C3878" s="421" t="s">
        <v>1392</v>
      </c>
    </row>
    <row r="3879" spans="1:3" x14ac:dyDescent="0.25">
      <c r="A3879" s="417">
        <v>41543</v>
      </c>
      <c r="B3879" s="418">
        <v>2.8287037037037038E-2</v>
      </c>
      <c r="C3879" s="421" t="s">
        <v>1403</v>
      </c>
    </row>
    <row r="3880" spans="1:3" x14ac:dyDescent="0.25">
      <c r="A3880" s="417">
        <v>41543</v>
      </c>
      <c r="B3880" s="418">
        <v>2.8287037037037038E-2</v>
      </c>
      <c r="C3880" s="421" t="s">
        <v>1403</v>
      </c>
    </row>
    <row r="3881" spans="1:3" x14ac:dyDescent="0.25">
      <c r="A3881" s="417">
        <v>41543</v>
      </c>
      <c r="B3881" s="418">
        <v>2.8287037037037038E-2</v>
      </c>
      <c r="C3881" s="421" t="s">
        <v>1403</v>
      </c>
    </row>
    <row r="3882" spans="1:3" x14ac:dyDescent="0.25">
      <c r="A3882" s="417">
        <v>41543</v>
      </c>
      <c r="B3882" s="418">
        <v>2.8333333333333332E-2</v>
      </c>
      <c r="C3882" s="421" t="s">
        <v>1362</v>
      </c>
    </row>
    <row r="3883" spans="1:3" x14ac:dyDescent="0.25">
      <c r="A3883" s="417">
        <v>41543</v>
      </c>
      <c r="B3883" s="418">
        <v>2.8333333333333332E-2</v>
      </c>
      <c r="C3883" s="421" t="s">
        <v>1364</v>
      </c>
    </row>
    <row r="3884" spans="1:3" x14ac:dyDescent="0.25">
      <c r="A3884" s="417">
        <v>41543</v>
      </c>
      <c r="B3884" s="418">
        <v>2.8333333333333332E-2</v>
      </c>
      <c r="C3884" s="421" t="s">
        <v>1364</v>
      </c>
    </row>
    <row r="3885" spans="1:3" x14ac:dyDescent="0.25">
      <c r="A3885" s="417">
        <v>41543</v>
      </c>
      <c r="B3885" s="418">
        <v>2.8356481481481483E-2</v>
      </c>
      <c r="C3885" s="421" t="s">
        <v>1381</v>
      </c>
    </row>
    <row r="3886" spans="1:3" x14ac:dyDescent="0.25">
      <c r="A3886" s="417">
        <v>41543</v>
      </c>
      <c r="B3886" s="418">
        <v>2.836805555555556E-2</v>
      </c>
      <c r="C3886" s="421" t="s">
        <v>1364</v>
      </c>
    </row>
    <row r="3887" spans="1:3" x14ac:dyDescent="0.25">
      <c r="A3887" s="417">
        <v>41543</v>
      </c>
      <c r="B3887" s="418">
        <v>2.837962962962963E-2</v>
      </c>
      <c r="C3887" s="421" t="s">
        <v>1480</v>
      </c>
    </row>
    <row r="3888" spans="1:3" x14ac:dyDescent="0.25">
      <c r="A3888" s="417">
        <v>41543</v>
      </c>
      <c r="B3888" s="418">
        <v>2.837962962962963E-2</v>
      </c>
      <c r="C3888" s="421" t="s">
        <v>1480</v>
      </c>
    </row>
    <row r="3889" spans="1:3" x14ac:dyDescent="0.25">
      <c r="A3889" s="417">
        <v>41543</v>
      </c>
      <c r="B3889" s="418">
        <v>2.837962962962963E-2</v>
      </c>
      <c r="C3889" s="421" t="s">
        <v>1480</v>
      </c>
    </row>
    <row r="3890" spans="1:3" x14ac:dyDescent="0.25">
      <c r="A3890" s="417">
        <v>41543</v>
      </c>
      <c r="B3890" s="418">
        <v>2.837962962962963E-2</v>
      </c>
      <c r="C3890" s="421" t="s">
        <v>1682</v>
      </c>
    </row>
    <row r="3891" spans="1:3" x14ac:dyDescent="0.25">
      <c r="A3891" s="417">
        <v>41543</v>
      </c>
      <c r="B3891" s="418">
        <v>2.837962962962963E-2</v>
      </c>
      <c r="C3891" s="421" t="s">
        <v>1541</v>
      </c>
    </row>
    <row r="3892" spans="1:3" x14ac:dyDescent="0.25">
      <c r="A3892" s="417">
        <v>41543</v>
      </c>
      <c r="B3892" s="418">
        <v>2.8391203703703707E-2</v>
      </c>
      <c r="C3892" s="421" t="s">
        <v>1346</v>
      </c>
    </row>
    <row r="3893" spans="1:3" x14ac:dyDescent="0.25">
      <c r="A3893" s="417">
        <v>41543</v>
      </c>
      <c r="B3893" s="418">
        <v>2.8391203703703707E-2</v>
      </c>
      <c r="C3893" s="421" t="s">
        <v>1405</v>
      </c>
    </row>
    <row r="3894" spans="1:3" x14ac:dyDescent="0.25">
      <c r="A3894" s="417">
        <v>41543</v>
      </c>
      <c r="B3894" s="418">
        <v>2.8391203703703707E-2</v>
      </c>
      <c r="C3894" s="421" t="s">
        <v>1406</v>
      </c>
    </row>
    <row r="3895" spans="1:3" x14ac:dyDescent="0.25">
      <c r="A3895" s="417">
        <v>41543</v>
      </c>
      <c r="B3895" s="418">
        <v>2.8425925925925924E-2</v>
      </c>
      <c r="C3895" s="421" t="s">
        <v>1362</v>
      </c>
    </row>
    <row r="3896" spans="1:3" x14ac:dyDescent="0.25">
      <c r="A3896" s="417">
        <v>41543</v>
      </c>
      <c r="B3896" s="418">
        <v>2.8483796296296295E-2</v>
      </c>
      <c r="C3896" s="421" t="s">
        <v>1683</v>
      </c>
    </row>
    <row r="3897" spans="1:3" x14ac:dyDescent="0.25">
      <c r="A3897" s="417">
        <v>41543</v>
      </c>
      <c r="B3897" s="418">
        <v>2.8495370370370369E-2</v>
      </c>
      <c r="C3897" s="421" t="s">
        <v>1318</v>
      </c>
    </row>
    <row r="3898" spans="1:3" x14ac:dyDescent="0.25">
      <c r="A3898" s="417">
        <v>41543</v>
      </c>
      <c r="B3898" s="418">
        <v>2.854166666666667E-2</v>
      </c>
      <c r="C3898" s="421" t="s">
        <v>1368</v>
      </c>
    </row>
    <row r="3899" spans="1:3" x14ac:dyDescent="0.25">
      <c r="A3899" s="417">
        <v>41543</v>
      </c>
      <c r="B3899" s="418">
        <v>2.854166666666667E-2</v>
      </c>
      <c r="C3899" s="421" t="s">
        <v>1368</v>
      </c>
    </row>
    <row r="3900" spans="1:3" x14ac:dyDescent="0.25">
      <c r="A3900" s="417">
        <v>41543</v>
      </c>
      <c r="B3900" s="418">
        <v>2.854166666666667E-2</v>
      </c>
      <c r="C3900" s="421" t="s">
        <v>1368</v>
      </c>
    </row>
    <row r="3901" spans="1:3" x14ac:dyDescent="0.25">
      <c r="A3901" s="417">
        <v>41543</v>
      </c>
      <c r="B3901" s="418">
        <v>2.854166666666667E-2</v>
      </c>
      <c r="C3901" s="421" t="s">
        <v>1368</v>
      </c>
    </row>
    <row r="3902" spans="1:3" x14ac:dyDescent="0.25">
      <c r="A3902" s="417">
        <v>41543</v>
      </c>
      <c r="B3902" s="418">
        <v>2.854166666666667E-2</v>
      </c>
      <c r="C3902" s="421" t="s">
        <v>1368</v>
      </c>
    </row>
    <row r="3903" spans="1:3" x14ac:dyDescent="0.25">
      <c r="A3903" s="417">
        <v>41543</v>
      </c>
      <c r="B3903" s="418">
        <v>2.854166666666667E-2</v>
      </c>
      <c r="C3903" s="421" t="s">
        <v>1409</v>
      </c>
    </row>
    <row r="3904" spans="1:3" x14ac:dyDescent="0.25">
      <c r="A3904" s="417">
        <v>41543</v>
      </c>
      <c r="B3904" s="418">
        <v>2.855324074074074E-2</v>
      </c>
      <c r="C3904" s="421" t="s">
        <v>1308</v>
      </c>
    </row>
    <row r="3905" spans="1:3" x14ac:dyDescent="0.25">
      <c r="A3905" s="417">
        <v>41543</v>
      </c>
      <c r="B3905" s="418">
        <v>2.8599537037037034E-2</v>
      </c>
      <c r="C3905" s="421" t="s">
        <v>1410</v>
      </c>
    </row>
    <row r="3906" spans="1:3" x14ac:dyDescent="0.25">
      <c r="A3906" s="417">
        <v>41543</v>
      </c>
      <c r="B3906" s="418">
        <v>2.8599537037037034E-2</v>
      </c>
      <c r="C3906" s="421" t="s">
        <v>1410</v>
      </c>
    </row>
    <row r="3907" spans="1:3" x14ac:dyDescent="0.25">
      <c r="A3907" s="417">
        <v>41543</v>
      </c>
      <c r="B3907" s="418">
        <v>2.8622685185185185E-2</v>
      </c>
      <c r="C3907" s="421" t="s">
        <v>1411</v>
      </c>
    </row>
    <row r="3908" spans="1:3" x14ac:dyDescent="0.25">
      <c r="A3908" s="417">
        <v>41543</v>
      </c>
      <c r="B3908" s="418">
        <v>2.8645833333333332E-2</v>
      </c>
      <c r="C3908" s="421" t="s">
        <v>1684</v>
      </c>
    </row>
    <row r="3909" spans="1:3" x14ac:dyDescent="0.25">
      <c r="A3909" s="417">
        <v>41543</v>
      </c>
      <c r="B3909" s="418">
        <v>2.8680555555555553E-2</v>
      </c>
      <c r="C3909" s="421" t="s">
        <v>1413</v>
      </c>
    </row>
    <row r="3910" spans="1:3" x14ac:dyDescent="0.25">
      <c r="A3910" s="417">
        <v>41543</v>
      </c>
      <c r="B3910" s="418">
        <v>2.8680555555555553E-2</v>
      </c>
      <c r="C3910" s="421" t="s">
        <v>1414</v>
      </c>
    </row>
    <row r="3911" spans="1:3" x14ac:dyDescent="0.25">
      <c r="A3911" s="417">
        <v>41543</v>
      </c>
      <c r="B3911" s="418">
        <v>2.8715277777777781E-2</v>
      </c>
      <c r="C3911" s="421" t="s">
        <v>1373</v>
      </c>
    </row>
    <row r="3912" spans="1:3" x14ac:dyDescent="0.25">
      <c r="A3912" s="417">
        <v>41543</v>
      </c>
      <c r="B3912" s="418">
        <v>2.8715277777777781E-2</v>
      </c>
      <c r="C3912" s="421" t="s">
        <v>1685</v>
      </c>
    </row>
    <row r="3913" spans="1:3" x14ac:dyDescent="0.25">
      <c r="A3913" s="417">
        <v>41543</v>
      </c>
      <c r="B3913" s="418">
        <v>2.8854166666666667E-2</v>
      </c>
      <c r="C3913" s="421" t="s">
        <v>1409</v>
      </c>
    </row>
    <row r="3914" spans="1:3" x14ac:dyDescent="0.25">
      <c r="A3914" s="417">
        <v>41543</v>
      </c>
      <c r="B3914" s="418">
        <v>2.8877314814814817E-2</v>
      </c>
      <c r="C3914" s="421" t="s">
        <v>1416</v>
      </c>
    </row>
    <row r="3915" spans="1:3" x14ac:dyDescent="0.25">
      <c r="A3915" s="417">
        <v>41543</v>
      </c>
      <c r="B3915" s="418">
        <v>2.8877314814814817E-2</v>
      </c>
      <c r="C3915" s="421" t="s">
        <v>1686</v>
      </c>
    </row>
    <row r="3916" spans="1:3" x14ac:dyDescent="0.25">
      <c r="A3916" s="417">
        <v>41543</v>
      </c>
      <c r="B3916" s="418">
        <v>2.8900462962962961E-2</v>
      </c>
      <c r="C3916" s="421" t="s">
        <v>1348</v>
      </c>
    </row>
    <row r="3917" spans="1:3" x14ac:dyDescent="0.25">
      <c r="A3917" s="417">
        <v>41543</v>
      </c>
      <c r="B3917" s="418">
        <v>2.8900462962962961E-2</v>
      </c>
      <c r="C3917" s="421" t="s">
        <v>1419</v>
      </c>
    </row>
    <row r="3918" spans="1:3" x14ac:dyDescent="0.25">
      <c r="A3918" s="417">
        <v>41543</v>
      </c>
      <c r="B3918" s="418">
        <v>2.8900462962962961E-2</v>
      </c>
      <c r="C3918" s="421" t="s">
        <v>1419</v>
      </c>
    </row>
    <row r="3919" spans="1:3" x14ac:dyDescent="0.25">
      <c r="A3919" s="417">
        <v>41543</v>
      </c>
      <c r="B3919" s="418">
        <v>2.8900462962962961E-2</v>
      </c>
      <c r="C3919" s="421" t="s">
        <v>1420</v>
      </c>
    </row>
    <row r="3920" spans="1:3" x14ac:dyDescent="0.25">
      <c r="A3920" s="417">
        <v>41543</v>
      </c>
      <c r="B3920" s="418">
        <v>2.8958333333333336E-2</v>
      </c>
      <c r="C3920" s="421" t="s">
        <v>1687</v>
      </c>
    </row>
    <row r="3921" spans="1:3" x14ac:dyDescent="0.25">
      <c r="A3921" s="417">
        <v>41543</v>
      </c>
      <c r="B3921" s="418">
        <v>2.8958333333333336E-2</v>
      </c>
      <c r="C3921" s="421" t="s">
        <v>1688</v>
      </c>
    </row>
    <row r="3922" spans="1:3" x14ac:dyDescent="0.25">
      <c r="A3922" s="417">
        <v>41543</v>
      </c>
      <c r="B3922" s="418">
        <v>2.8958333333333336E-2</v>
      </c>
      <c r="C3922" s="421" t="s">
        <v>1689</v>
      </c>
    </row>
    <row r="3923" spans="1:3" x14ac:dyDescent="0.25">
      <c r="A3923" s="417">
        <v>41543</v>
      </c>
      <c r="B3923" s="418">
        <v>2.8981481481481483E-2</v>
      </c>
      <c r="C3923" s="421" t="s">
        <v>1690</v>
      </c>
    </row>
    <row r="3924" spans="1:3" x14ac:dyDescent="0.25">
      <c r="A3924" s="417">
        <v>41543</v>
      </c>
      <c r="B3924" s="418">
        <v>2.8993055555555553E-2</v>
      </c>
      <c r="C3924" s="421" t="s">
        <v>1691</v>
      </c>
    </row>
    <row r="3925" spans="1:3" x14ac:dyDescent="0.25">
      <c r="A3925" s="417">
        <v>41543</v>
      </c>
      <c r="B3925" s="418">
        <v>2.900462962962963E-2</v>
      </c>
      <c r="C3925" s="421" t="s">
        <v>1692</v>
      </c>
    </row>
    <row r="3926" spans="1:3" x14ac:dyDescent="0.25">
      <c r="A3926" s="417">
        <v>41543</v>
      </c>
      <c r="B3926" s="418">
        <v>2.900462962962963E-2</v>
      </c>
      <c r="C3926" s="421" t="s">
        <v>1693</v>
      </c>
    </row>
    <row r="3927" spans="1:3" x14ac:dyDescent="0.25">
      <c r="A3927" s="417">
        <v>41543</v>
      </c>
      <c r="B3927" s="418">
        <v>2.900462962962963E-2</v>
      </c>
      <c r="C3927" s="421" t="s">
        <v>1694</v>
      </c>
    </row>
    <row r="3928" spans="1:3" x14ac:dyDescent="0.25">
      <c r="A3928" s="417">
        <v>41543</v>
      </c>
      <c r="B3928" s="418">
        <v>2.900462962962963E-2</v>
      </c>
      <c r="C3928" s="421" t="s">
        <v>1320</v>
      </c>
    </row>
    <row r="3929" spans="1:3" x14ac:dyDescent="0.25">
      <c r="A3929" s="417">
        <v>41543</v>
      </c>
      <c r="B3929" s="418">
        <v>2.9027777777777777E-2</v>
      </c>
      <c r="C3929" s="421" t="s">
        <v>1429</v>
      </c>
    </row>
    <row r="3930" spans="1:3" x14ac:dyDescent="0.25">
      <c r="A3930" s="417">
        <v>41543</v>
      </c>
      <c r="B3930" s="418">
        <v>2.9062500000000002E-2</v>
      </c>
      <c r="C3930" s="421" t="s">
        <v>1430</v>
      </c>
    </row>
    <row r="3931" spans="1:3" x14ac:dyDescent="0.25">
      <c r="A3931" s="417">
        <v>41543</v>
      </c>
      <c r="B3931" s="418">
        <v>2.9074074074074075E-2</v>
      </c>
      <c r="C3931" s="421" t="s">
        <v>1695</v>
      </c>
    </row>
    <row r="3932" spans="1:3" x14ac:dyDescent="0.25">
      <c r="A3932" s="417">
        <v>41543</v>
      </c>
      <c r="B3932" s="418">
        <v>2.9189814814814811E-2</v>
      </c>
      <c r="C3932" s="421" t="s">
        <v>1308</v>
      </c>
    </row>
    <row r="3933" spans="1:3" x14ac:dyDescent="0.25">
      <c r="A3933" s="417">
        <v>41543</v>
      </c>
      <c r="B3933" s="418">
        <v>2.9189814814814811E-2</v>
      </c>
      <c r="C3933" s="421" t="s">
        <v>1360</v>
      </c>
    </row>
    <row r="3934" spans="1:3" x14ac:dyDescent="0.25">
      <c r="A3934" s="417">
        <v>41543</v>
      </c>
      <c r="B3934" s="418">
        <v>2.9201388888888888E-2</v>
      </c>
      <c r="C3934" s="421" t="s">
        <v>1432</v>
      </c>
    </row>
    <row r="3935" spans="1:3" x14ac:dyDescent="0.25">
      <c r="A3935" s="417">
        <v>41543</v>
      </c>
      <c r="B3935" s="418">
        <v>2.9201388888888888E-2</v>
      </c>
      <c r="C3935" s="421" t="s">
        <v>1432</v>
      </c>
    </row>
    <row r="3936" spans="1:3" x14ac:dyDescent="0.25">
      <c r="A3936" s="417">
        <v>41543</v>
      </c>
      <c r="B3936" s="418">
        <v>2.9201388888888888E-2</v>
      </c>
      <c r="C3936" s="421" t="s">
        <v>1432</v>
      </c>
    </row>
    <row r="3937" spans="1:3" x14ac:dyDescent="0.25">
      <c r="A3937" s="417">
        <v>41543</v>
      </c>
      <c r="B3937" s="418">
        <v>2.9201388888888888E-2</v>
      </c>
      <c r="C3937" s="421" t="s">
        <v>1281</v>
      </c>
    </row>
    <row r="3938" spans="1:3" ht="60" x14ac:dyDescent="0.25">
      <c r="A3938" s="417">
        <v>41543</v>
      </c>
      <c r="B3938" s="418">
        <v>2.9201388888888888E-2</v>
      </c>
      <c r="C3938" s="950" t="s">
        <v>1282</v>
      </c>
    </row>
    <row r="3939" spans="1:3" x14ac:dyDescent="0.25">
      <c r="A3939" s="417">
        <v>41543</v>
      </c>
      <c r="B3939" s="418">
        <v>2.9571759259259259E-2</v>
      </c>
      <c r="C3939" s="421" t="s">
        <v>1413</v>
      </c>
    </row>
    <row r="3940" spans="1:3" x14ac:dyDescent="0.25">
      <c r="A3940" s="417">
        <v>41543</v>
      </c>
      <c r="B3940" s="418">
        <v>2.960648148148148E-2</v>
      </c>
      <c r="C3940" s="421" t="s">
        <v>1696</v>
      </c>
    </row>
    <row r="3941" spans="1:3" x14ac:dyDescent="0.25">
      <c r="A3941" s="417">
        <v>41543</v>
      </c>
      <c r="B3941" s="418">
        <v>2.9618055555555554E-2</v>
      </c>
      <c r="C3941" s="421" t="s">
        <v>1697</v>
      </c>
    </row>
    <row r="3942" spans="1:3" x14ac:dyDescent="0.25">
      <c r="A3942" s="417">
        <v>41543</v>
      </c>
      <c r="B3942" s="418">
        <v>2.9618055555555554E-2</v>
      </c>
      <c r="C3942" s="421" t="s">
        <v>1698</v>
      </c>
    </row>
    <row r="3943" spans="1:3" x14ac:dyDescent="0.25">
      <c r="A3943" s="417">
        <v>41543</v>
      </c>
      <c r="B3943" s="418">
        <v>2.9618055555555554E-2</v>
      </c>
      <c r="C3943" s="421" t="s">
        <v>1699</v>
      </c>
    </row>
    <row r="3944" spans="1:3" x14ac:dyDescent="0.25">
      <c r="A3944" s="417">
        <v>41543</v>
      </c>
      <c r="B3944" s="418">
        <v>2.9618055555555554E-2</v>
      </c>
      <c r="C3944" s="421" t="s">
        <v>1700</v>
      </c>
    </row>
    <row r="3945" spans="1:3" x14ac:dyDescent="0.25">
      <c r="A3945" s="417">
        <v>41543</v>
      </c>
      <c r="B3945" s="418">
        <v>2.9618055555555554E-2</v>
      </c>
      <c r="C3945" s="421" t="s">
        <v>1701</v>
      </c>
    </row>
    <row r="3946" spans="1:3" x14ac:dyDescent="0.25">
      <c r="A3946" s="417">
        <v>41543</v>
      </c>
      <c r="B3946" s="418">
        <v>2.9652777777777778E-2</v>
      </c>
      <c r="C3946" s="421" t="s">
        <v>1702</v>
      </c>
    </row>
    <row r="3947" spans="1:3" x14ac:dyDescent="0.25">
      <c r="A3947" s="417">
        <v>41543</v>
      </c>
      <c r="B3947" s="418">
        <v>2.9710648148148149E-2</v>
      </c>
      <c r="C3947" s="421" t="s">
        <v>1703</v>
      </c>
    </row>
    <row r="3948" spans="1:3" x14ac:dyDescent="0.25">
      <c r="A3948" s="417">
        <v>41543</v>
      </c>
      <c r="B3948" s="418">
        <v>2.9826388888888892E-2</v>
      </c>
      <c r="C3948" s="421" t="s">
        <v>1704</v>
      </c>
    </row>
    <row r="3949" spans="1:3" x14ac:dyDescent="0.25">
      <c r="A3949" s="417">
        <v>41543</v>
      </c>
      <c r="B3949" s="418">
        <v>2.9861111111111113E-2</v>
      </c>
      <c r="C3949" s="421" t="s">
        <v>1320</v>
      </c>
    </row>
    <row r="3950" spans="1:3" x14ac:dyDescent="0.25">
      <c r="A3950" s="417">
        <v>41543</v>
      </c>
      <c r="B3950" s="418">
        <v>3.0023148148148149E-2</v>
      </c>
      <c r="C3950" s="421" t="s">
        <v>1705</v>
      </c>
    </row>
    <row r="3951" spans="1:3" x14ac:dyDescent="0.25">
      <c r="A3951" s="417">
        <v>41543</v>
      </c>
      <c r="B3951" s="418">
        <v>3.0023148148148149E-2</v>
      </c>
      <c r="C3951" s="421" t="s">
        <v>1706</v>
      </c>
    </row>
    <row r="3952" spans="1:3" x14ac:dyDescent="0.25">
      <c r="A3952" s="417">
        <v>41543</v>
      </c>
      <c r="B3952" s="418">
        <v>3.0023148148148149E-2</v>
      </c>
      <c r="C3952" s="421" t="s">
        <v>1707</v>
      </c>
    </row>
    <row r="3953" spans="1:3" x14ac:dyDescent="0.25">
      <c r="A3953" s="417">
        <v>41543</v>
      </c>
      <c r="B3953" s="418">
        <v>3.0023148148148149E-2</v>
      </c>
      <c r="C3953" s="421" t="s">
        <v>1708</v>
      </c>
    </row>
    <row r="3954" spans="1:3" x14ac:dyDescent="0.25">
      <c r="A3954" s="417">
        <v>41543</v>
      </c>
      <c r="B3954" s="418">
        <v>3.005787037037037E-2</v>
      </c>
      <c r="C3954" s="421" t="s">
        <v>1446</v>
      </c>
    </row>
    <row r="3955" spans="1:3" x14ac:dyDescent="0.25">
      <c r="A3955" s="417">
        <v>41543</v>
      </c>
      <c r="B3955" s="418">
        <v>3.0092592592592591E-2</v>
      </c>
      <c r="C3955" s="421" t="s">
        <v>1238</v>
      </c>
    </row>
    <row r="3956" spans="1:3" x14ac:dyDescent="0.25">
      <c r="A3956" s="417">
        <v>41543</v>
      </c>
      <c r="B3956" s="418">
        <v>3.0231481481481481E-2</v>
      </c>
      <c r="C3956" s="421" t="s">
        <v>1709</v>
      </c>
    </row>
    <row r="3957" spans="1:3" x14ac:dyDescent="0.25">
      <c r="A3957" s="417">
        <v>41543</v>
      </c>
      <c r="B3957" s="418">
        <v>3.0243055555555554E-2</v>
      </c>
      <c r="C3957" s="421" t="s">
        <v>1389</v>
      </c>
    </row>
    <row r="3958" spans="1:3" x14ac:dyDescent="0.25">
      <c r="A3958" s="417">
        <v>41543</v>
      </c>
      <c r="B3958" s="418">
        <v>3.0243055555555554E-2</v>
      </c>
      <c r="C3958" s="421" t="s">
        <v>1448</v>
      </c>
    </row>
    <row r="3959" spans="1:3" x14ac:dyDescent="0.25">
      <c r="A3959" s="417">
        <v>41543</v>
      </c>
      <c r="B3959" s="418">
        <v>3.0254629629629631E-2</v>
      </c>
      <c r="C3959" s="421" t="s">
        <v>1450</v>
      </c>
    </row>
    <row r="3960" spans="1:3" x14ac:dyDescent="0.25">
      <c r="A3960" s="417">
        <v>41543</v>
      </c>
      <c r="B3960" s="418">
        <v>3.0254629629629631E-2</v>
      </c>
      <c r="C3960" s="421" t="s">
        <v>1450</v>
      </c>
    </row>
    <row r="3961" spans="1:3" x14ac:dyDescent="0.25">
      <c r="A3961" s="417">
        <v>41543</v>
      </c>
      <c r="B3961" s="418">
        <v>3.0254629629629631E-2</v>
      </c>
      <c r="C3961" s="421" t="s">
        <v>1450</v>
      </c>
    </row>
    <row r="3962" spans="1:3" x14ac:dyDescent="0.25">
      <c r="A3962" s="417">
        <v>41543</v>
      </c>
      <c r="B3962" s="418">
        <v>3.0254629629629631E-2</v>
      </c>
      <c r="C3962" s="421" t="s">
        <v>1450</v>
      </c>
    </row>
    <row r="3963" spans="1:3" x14ac:dyDescent="0.25">
      <c r="A3963" s="417">
        <v>41543</v>
      </c>
      <c r="B3963" s="418">
        <v>3.0254629629629631E-2</v>
      </c>
      <c r="C3963" s="421" t="s">
        <v>1450</v>
      </c>
    </row>
    <row r="3964" spans="1:3" x14ac:dyDescent="0.25">
      <c r="A3964" s="417">
        <v>41543</v>
      </c>
      <c r="B3964" s="418">
        <v>3.0254629629629631E-2</v>
      </c>
      <c r="C3964" s="421" t="s">
        <v>1450</v>
      </c>
    </row>
    <row r="3965" spans="1:3" x14ac:dyDescent="0.25">
      <c r="A3965" s="417">
        <v>41543</v>
      </c>
      <c r="B3965" s="418">
        <v>3.0254629629629631E-2</v>
      </c>
      <c r="C3965" s="421" t="s">
        <v>1450</v>
      </c>
    </row>
    <row r="3966" spans="1:3" x14ac:dyDescent="0.25">
      <c r="A3966" s="417">
        <v>41543</v>
      </c>
      <c r="B3966" s="418">
        <v>3.0439814814814819E-2</v>
      </c>
      <c r="C3966" s="421" t="s">
        <v>1448</v>
      </c>
    </row>
    <row r="3967" spans="1:3" x14ac:dyDescent="0.25">
      <c r="A3967" s="417">
        <v>41543</v>
      </c>
      <c r="B3967" s="418">
        <v>3.0474537037037036E-2</v>
      </c>
      <c r="C3967" s="421" t="s">
        <v>1399</v>
      </c>
    </row>
    <row r="3968" spans="1:3" x14ac:dyDescent="0.25">
      <c r="A3968" s="417">
        <v>41543</v>
      </c>
      <c r="B3968" s="418">
        <v>3.050925925925926E-2</v>
      </c>
      <c r="C3968" s="421" t="s">
        <v>1309</v>
      </c>
    </row>
    <row r="3969" spans="1:3" x14ac:dyDescent="0.25">
      <c r="A3969" s="417">
        <v>41543</v>
      </c>
      <c r="B3969" s="418">
        <v>3.050925925925926E-2</v>
      </c>
      <c r="C3969" s="421" t="s">
        <v>1236</v>
      </c>
    </row>
    <row r="3970" spans="1:3" x14ac:dyDescent="0.25">
      <c r="A3970" s="417">
        <v>41543</v>
      </c>
      <c r="B3970" s="418">
        <v>3.050925925925926E-2</v>
      </c>
      <c r="C3970" s="421" t="s">
        <v>1237</v>
      </c>
    </row>
    <row r="3971" spans="1:3" x14ac:dyDescent="0.25">
      <c r="A3971" s="417">
        <v>41543</v>
      </c>
      <c r="B3971" s="418">
        <v>3.050925925925926E-2</v>
      </c>
      <c r="C3971" s="421" t="s">
        <v>1238</v>
      </c>
    </row>
    <row r="3972" spans="1:3" x14ac:dyDescent="0.25">
      <c r="A3972" s="417">
        <v>41543</v>
      </c>
      <c r="B3972" s="418">
        <v>3.0682870370370371E-2</v>
      </c>
      <c r="C3972" s="421" t="s">
        <v>1710</v>
      </c>
    </row>
    <row r="3973" spans="1:3" x14ac:dyDescent="0.25">
      <c r="A3973" s="417">
        <v>41543</v>
      </c>
      <c r="B3973" s="418">
        <v>3.0682870370370371E-2</v>
      </c>
      <c r="C3973" s="421" t="s">
        <v>1711</v>
      </c>
    </row>
    <row r="3974" spans="1:3" x14ac:dyDescent="0.25">
      <c r="A3974" s="417">
        <v>41543</v>
      </c>
      <c r="B3974" s="418">
        <v>3.0694444444444444E-2</v>
      </c>
      <c r="C3974" s="421" t="s">
        <v>1672</v>
      </c>
    </row>
    <row r="3975" spans="1:3" ht="30" x14ac:dyDescent="0.25">
      <c r="A3975" s="417">
        <v>41543</v>
      </c>
      <c r="B3975" s="418">
        <v>3.3368055555555554E-2</v>
      </c>
      <c r="C3975" s="950" t="s">
        <v>1712</v>
      </c>
    </row>
    <row r="3976" spans="1:3" ht="45" x14ac:dyDescent="0.25">
      <c r="A3976" s="417">
        <v>41543</v>
      </c>
      <c r="B3976" s="418">
        <v>3.4143518518518517E-2</v>
      </c>
      <c r="C3976" s="950" t="s">
        <v>1713</v>
      </c>
    </row>
    <row r="3977" spans="1:3" ht="30" x14ac:dyDescent="0.25">
      <c r="A3977" s="417">
        <v>41543</v>
      </c>
      <c r="B3977" s="418">
        <v>3.4594907407407408E-2</v>
      </c>
      <c r="C3977" s="950" t="s">
        <v>1714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23" activePane="bottomRight" state="frozen"/>
      <selection pane="topRight" activeCell="B1" sqref="B1"/>
      <selection pane="bottomLeft" activeCell="A3" sqref="A3"/>
      <selection pane="bottomRight" activeCell="C160" sqref="C16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Process!F79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53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52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53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4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5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6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7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7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7"/>
      <c r="B60" s="425" t="s">
        <v>771</v>
      </c>
      <c r="C60" s="555">
        <v>2</v>
      </c>
      <c r="D60" s="555"/>
    </row>
    <row r="61" spans="1:11" s="550" customFormat="1" x14ac:dyDescent="0.25">
      <c r="A61" s="977"/>
      <c r="B61" s="425" t="s">
        <v>772</v>
      </c>
      <c r="C61" s="555"/>
      <c r="D61" s="555"/>
    </row>
    <row r="62" spans="1:11" s="550" customFormat="1" ht="15.75" thickBot="1" x14ac:dyDescent="0.3">
      <c r="A62" s="978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6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7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7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7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7"/>
      <c r="B74" s="425" t="s">
        <v>772</v>
      </c>
      <c r="C74" s="436"/>
      <c r="D74" s="436"/>
    </row>
    <row r="75" spans="1:8" s="423" customFormat="1" ht="15.75" thickBot="1" x14ac:dyDescent="0.3">
      <c r="A75" s="978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79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80"/>
      <c r="B157" s="430" t="s">
        <v>916</v>
      </c>
      <c r="C157" s="647" t="s">
        <v>984</v>
      </c>
      <c r="D157" s="879" t="s">
        <v>985</v>
      </c>
      <c r="E157" s="956" t="s">
        <v>986</v>
      </c>
      <c r="F157" s="882" t="s">
        <v>364</v>
      </c>
      <c r="G157" s="883" t="s">
        <v>367</v>
      </c>
      <c r="H157" s="649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80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80"/>
      <c r="B159" s="425" t="s">
        <v>926</v>
      </c>
      <c r="C159" s="878" t="s">
        <v>168</v>
      </c>
      <c r="D159" s="619" t="s">
        <v>929</v>
      </c>
      <c r="E159" s="880" t="s">
        <v>1583</v>
      </c>
      <c r="F159" s="878" t="s">
        <v>928</v>
      </c>
      <c r="G159" s="878" t="s">
        <v>1230</v>
      </c>
      <c r="H159" s="614" t="s">
        <v>928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80"/>
      <c r="B160" s="425" t="s">
        <v>930</v>
      </c>
      <c r="C160" s="773"/>
      <c r="D160" s="885"/>
      <c r="E160" s="957"/>
      <c r="F160" s="951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80"/>
      <c r="B161" s="425" t="s">
        <v>933</v>
      </c>
      <c r="D161" s="624"/>
      <c r="E161" s="620"/>
      <c r="G161" s="623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79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80"/>
      <c r="B174" s="430" t="s">
        <v>916</v>
      </c>
      <c r="C174" s="613"/>
      <c r="D174" s="613"/>
    </row>
    <row r="175" spans="1:25" x14ac:dyDescent="0.25">
      <c r="A175" s="980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80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80"/>
      <c r="B177" s="425" t="s">
        <v>930</v>
      </c>
      <c r="C177" s="621" t="s">
        <v>932</v>
      </c>
    </row>
    <row r="178" spans="1:22" x14ac:dyDescent="0.25">
      <c r="A178" s="980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81" t="s">
        <v>1250</v>
      </c>
      <c r="B194" s="425" t="s">
        <v>913</v>
      </c>
      <c r="C194" s="939" t="s">
        <v>1254</v>
      </c>
      <c r="D194" s="940" t="s">
        <v>1248</v>
      </c>
      <c r="L194" s="673"/>
    </row>
    <row r="195" spans="1:14" x14ac:dyDescent="0.25">
      <c r="A195" s="982"/>
      <c r="B195" s="430" t="s">
        <v>916</v>
      </c>
      <c r="C195" s="937" t="s">
        <v>768</v>
      </c>
      <c r="D195" s="938" t="s">
        <v>768</v>
      </c>
    </row>
    <row r="196" spans="1:14" x14ac:dyDescent="0.25">
      <c r="A196" s="982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2"/>
      <c r="B197" s="425" t="s">
        <v>926</v>
      </c>
      <c r="C197" s="619" t="s">
        <v>929</v>
      </c>
      <c r="D197" s="936" t="s">
        <v>165</v>
      </c>
    </row>
    <row r="198" spans="1:14" x14ac:dyDescent="0.25">
      <c r="A198" s="982"/>
      <c r="B198" s="425" t="s">
        <v>930</v>
      </c>
      <c r="C198" s="621"/>
    </row>
    <row r="199" spans="1:14" x14ac:dyDescent="0.25">
      <c r="A199" s="982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6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93" t="s">
        <v>752</v>
      </c>
      <c r="S11" s="994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7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95"/>
      <c r="S12" s="996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7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7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7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8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6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3" t="s">
        <v>1155</v>
      </c>
      <c r="S17" s="984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7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5"/>
      <c r="M18" s="802"/>
      <c r="N18" s="803"/>
      <c r="O18" s="803"/>
      <c r="P18" s="946"/>
      <c r="Q18" s="802"/>
      <c r="R18" s="985"/>
      <c r="S18" s="986"/>
      <c r="T18" s="804"/>
      <c r="W18" s="897"/>
      <c r="X18" s="796"/>
    </row>
    <row r="19" spans="1:37" x14ac:dyDescent="0.25">
      <c r="A19" s="977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7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7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8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6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87" t="s">
        <v>869</v>
      </c>
      <c r="M23" s="988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7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1">
        <f>HYPERLINK("https://eu1.salesforce.com/"&amp;F24,G24)</f>
        <v>0</v>
      </c>
      <c r="M24" s="992"/>
      <c r="N24" s="613"/>
      <c r="O24" s="947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7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8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7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9" t="s">
        <v>1259</v>
      </c>
      <c r="I26" s="949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7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78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6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93" t="s">
        <v>752</v>
      </c>
      <c r="S37" s="994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7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95"/>
      <c r="S38" s="996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7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7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7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8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6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3" t="s">
        <v>1155</v>
      </c>
      <c r="S43" s="984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7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5"/>
      <c r="S44" s="986"/>
      <c r="T44" s="804"/>
      <c r="W44" s="805"/>
      <c r="X44" s="796"/>
    </row>
    <row r="45" spans="1:35" x14ac:dyDescent="0.25">
      <c r="A45" s="977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7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7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8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6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87" t="s">
        <v>869</v>
      </c>
      <c r="M49" s="988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7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89">
        <f>HYPERLINK("https://eu1.salesforce.com/"&amp;F50,G50)</f>
        <v>0</v>
      </c>
      <c r="M50" s="990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7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7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7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8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2013-09-25T20:51:08Z</dcterms:modified>
</cp:coreProperties>
</file>