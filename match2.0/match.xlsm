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0" windowWidth="13725" windowHeight="1339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externalReferences>
    <externalReference r:id="rId7"/>
  </externalReferences>
  <definedNames>
    <definedName name="_xlnm._FilterDatabase" localSheetId="3" hidden="1">Log!$A$1:$D$1</definedName>
    <definedName name="_xlnm._FilterDatabase" localSheetId="1" hidden="1">Process!$A$4:$O$128</definedName>
    <definedName name="_xlnm._FilterDatabase" localSheetId="2" hidden="1">We!$A$1:$I$1</definedName>
    <definedName name="Acc1C_MyCol" comment="2.11.12 Acc1C_MyCol 1C.xlsm колонка -- для связки Организаций 1С с SFacc">Header!$B$34:$B$39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Header!$B$17:$AA$22</definedName>
    <definedName name="HDR_1C_Contract_Summary" comment="11.9.12 HDR_1C_Contract_Summary">Header!$A$26:$W$31</definedName>
    <definedName name="HDR_1C_Payment_MyCol" comment="11.9.12 HDR_1C_Payment_MyCol">Header!$B$5:$AL$10</definedName>
    <definedName name="HDR_1C_Payment_Summary" comment="11.9.12 HDR_1C_Payment_Summary">Header!$A$13:$AC$13</definedName>
    <definedName name="HDR_A_SN_1" comment="11.8.13 шаблон для Registered SN из ADSKfrSF">Header!$B$191:$C$196</definedName>
    <definedName name="HDR_A_SN_2" comment="Sheet_для_загрузки_output.csv_с_SN_из_License_Inquiry_PartnerCenter.Autodesk">Header!$B$199:$R$205</definedName>
    <definedName name="HDR_A_SN_3" comment="16.08.13 HDR_A_SN_3 - Sheet для Upsert данных по SN Autodesk в SF -- SN_UPDATE">Header!$B$207:$R$213</definedName>
    <definedName name="HDR_AccntUpd" comment="18.6.12 HDR_AccntUpd шапка изменений Организаций SF, включая связь с 1С">Header!$A$161:$N$161</definedName>
    <definedName name="HDR_AdAcc" comment="11.6.12 - Шапка полей новой Организации">Header!$A$158:$V$158</definedName>
    <definedName name="HDR_BTOlog" comment="7.4.13 HDR_BTOlog шапка для журнала писем БТО">Header!$B$183:$N$188</definedName>
    <definedName name="HDR_ContractUpdate">Header!$A$152:$B$152</definedName>
    <definedName name="HDR_ContrLnk" comment="18.3.12 шапка для листа C_ContrLnk - связка Договора с Проектом">Header!$A$152:$B$152</definedName>
    <definedName name="HDR_DicAcc" comment="19.6.12 HDR_AccDic - шапка Словаря Организаций">Header!$A$164:$C$165</definedName>
    <definedName name="HDR_NewContract" comment="25.3.12 HDR_NewContract - шапка &quot;голубого&quot; листа в NewContract">Header!$B$128:$V$132</definedName>
    <definedName name="HDR_NewOpp" comment="28.10.12 HDR_NewOpp - создание Проектов SF. Они записываются в файл OppInsert.csv и загружаются в SF Data Loader'ом">Header!$C$136:$N$141</definedName>
    <definedName name="HDR_NewOppByPaidContr">Header!$C$144:$N$149</definedName>
    <definedName name="HDR_NewOrder" comment="25.4.12 HDR_NewOrder - шапка для новых Заказов">Header!$B$168:$N$173</definedName>
    <definedName name="HDR_NewPayment" comment="26.9.12  занесение Платежей в SF. Они записываются в файл Payment.csv и загружаются в SF Data Loader'ом">Header!$B$112:$J$117</definedName>
    <definedName name="HDR_NewSN" comment="6.6.12 шапки для занесения новыз SN в SF -- 2PASS">Header!$A$180:$C$180</definedName>
    <definedName name="HDR_P_ADSKlink" comment="14/5/12 новые связи Платежей и Контрактов ADSK">Header!$A$177:$C$177</definedName>
    <definedName name="HDR_PaidBalky" comment="23/1/2003">Header!$B$120:$J$125</definedName>
    <definedName name="HDR_PaymentUpd" comment="11.3.12 Update Платежа - связывание существующего Платежа с Договором">Header!$A$155:$B$155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Header!$C$136:$L$136</definedName>
    <definedName name="OppTypeRng" comment="22.3.12">We!$A$52:$D$65</definedName>
    <definedName name="Orders_MyCol" comment="1.10.12 Orders_MyCol  - шаблон для колонок листа Заказов">Header!$B$76:$AK$81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Header!$C$45:$D$50</definedName>
    <definedName name="SF_Summary" comment="14.7.12 SF_Summary SFDC.xlsm SF  -- пятка. Фильтрует обороты CSIT">Header!$A$53:$F$54</definedName>
    <definedName name="SFD_MyCol" comment="4.11.12 SFD_MyCol SFDC.xlsm SFD формулы -- для связки с Договорами 1С">Header!$C$58:$D$63</definedName>
    <definedName name="SFD_Summary" comment="14.7.12 SF_Summary SFDC.xlsm SFD  -- пятка">Header!$A$67</definedName>
    <definedName name="Stock_MyCol" comment="1.10.12 Stock_MyCol  - шаблон для колонок листа Stock">Header!$C$92:$Y$97</definedName>
    <definedName name="Team">We!$A$16:$E$43</definedName>
    <definedName name="TOCmatch" comment="11.7.12 TOCmatch - Оглавление по всем отчетам в базе данных" localSheetId="1">Process!$A$126:$L$129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3" i="6" l="1"/>
  <c r="AA13" i="6"/>
  <c r="R13" i="6"/>
  <c r="C20" i="3" l="1"/>
  <c r="C12" i="3" l="1"/>
  <c r="K12" i="3" l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193" i="6"/>
  <c r="C1193" i="6"/>
  <c r="D1193" i="6" s="1"/>
  <c r="J1192" i="6"/>
  <c r="C1192" i="6"/>
  <c r="D1192" i="6" s="1"/>
  <c r="J1191" i="6"/>
  <c r="C1191" i="6"/>
  <c r="J1190" i="6"/>
  <c r="C1190" i="6"/>
  <c r="D1190" i="6" s="1"/>
  <c r="V1189" i="6"/>
  <c r="U1189" i="6"/>
  <c r="C1189" i="6"/>
  <c r="C1194" i="6" s="1"/>
  <c r="AS249" i="6"/>
  <c r="AR249" i="6"/>
  <c r="AQ249" i="6"/>
  <c r="AP249" i="6"/>
  <c r="AO249" i="6"/>
  <c r="AN249" i="6"/>
  <c r="AM249" i="6"/>
  <c r="AL249" i="6"/>
  <c r="AK249" i="6"/>
  <c r="AJ249" i="6"/>
  <c r="AI249" i="6"/>
  <c r="AH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F249" i="6"/>
  <c r="E249" i="6"/>
  <c r="D249" i="6"/>
  <c r="C249" i="6"/>
  <c r="AU248" i="6"/>
  <c r="AT248" i="6"/>
  <c r="AG248" i="6"/>
  <c r="T248" i="6"/>
  <c r="G248" i="6"/>
  <c r="AT247" i="6"/>
  <c r="AG247" i="6"/>
  <c r="T247" i="6"/>
  <c r="AU247" i="6" s="1"/>
  <c r="G247" i="6"/>
  <c r="AU246" i="6"/>
  <c r="AT246" i="6"/>
  <c r="AG246" i="6"/>
  <c r="T246" i="6"/>
  <c r="G246" i="6"/>
  <c r="AT245" i="6"/>
  <c r="AG245" i="6"/>
  <c r="T245" i="6"/>
  <c r="G245" i="6"/>
  <c r="AU245" i="6" s="1"/>
  <c r="AT244" i="6"/>
  <c r="AG244" i="6"/>
  <c r="T244" i="6"/>
  <c r="G244" i="6"/>
  <c r="AU244" i="6" s="1"/>
  <c r="AT243" i="6"/>
  <c r="AG243" i="6"/>
  <c r="T243" i="6"/>
  <c r="G243" i="6"/>
  <c r="AU243" i="6" s="1"/>
  <c r="AT242" i="6"/>
  <c r="AG242" i="6"/>
  <c r="T242" i="6"/>
  <c r="G242" i="6"/>
  <c r="AU242" i="6" s="1"/>
  <c r="AT241" i="6"/>
  <c r="AG241" i="6"/>
  <c r="T241" i="6"/>
  <c r="G241" i="6"/>
  <c r="AU241" i="6" s="1"/>
  <c r="AU240" i="6"/>
  <c r="AT240" i="6"/>
  <c r="AG240" i="6"/>
  <c r="T240" i="6"/>
  <c r="G240" i="6"/>
  <c r="AT239" i="6"/>
  <c r="AG239" i="6"/>
  <c r="T239" i="6"/>
  <c r="AU239" i="6" s="1"/>
  <c r="G239" i="6"/>
  <c r="AU238" i="6"/>
  <c r="AT238" i="6"/>
  <c r="AG238" i="6"/>
  <c r="T238" i="6"/>
  <c r="G238" i="6"/>
  <c r="AT237" i="6"/>
  <c r="AG237" i="6"/>
  <c r="T237" i="6"/>
  <c r="G237" i="6"/>
  <c r="AU237" i="6" s="1"/>
  <c r="AT236" i="6"/>
  <c r="AG236" i="6"/>
  <c r="T236" i="6"/>
  <c r="G236" i="6"/>
  <c r="AU236" i="6" s="1"/>
  <c r="AT235" i="6"/>
  <c r="AG235" i="6"/>
  <c r="T235" i="6"/>
  <c r="G235" i="6"/>
  <c r="AU235" i="6" s="1"/>
  <c r="AT234" i="6"/>
  <c r="AG234" i="6"/>
  <c r="T234" i="6"/>
  <c r="G234" i="6"/>
  <c r="AU234" i="6" s="1"/>
  <c r="AT233" i="6"/>
  <c r="AG233" i="6"/>
  <c r="T233" i="6"/>
  <c r="G233" i="6"/>
  <c r="AU233" i="6" s="1"/>
  <c r="AU232" i="6"/>
  <c r="AT232" i="6"/>
  <c r="AG232" i="6"/>
  <c r="T232" i="6"/>
  <c r="G232" i="6"/>
  <c r="AT231" i="6"/>
  <c r="AG231" i="6"/>
  <c r="T231" i="6"/>
  <c r="AU231" i="6" s="1"/>
  <c r="G231" i="6"/>
  <c r="AU230" i="6"/>
  <c r="AT230" i="6"/>
  <c r="AG230" i="6"/>
  <c r="T230" i="6"/>
  <c r="G230" i="6"/>
  <c r="AT229" i="6"/>
  <c r="AG229" i="6"/>
  <c r="T229" i="6"/>
  <c r="G229" i="6"/>
  <c r="AU229" i="6" s="1"/>
  <c r="AT228" i="6"/>
  <c r="AG228" i="6"/>
  <c r="T228" i="6"/>
  <c r="G228" i="6"/>
  <c r="AU228" i="6" s="1"/>
  <c r="AT227" i="6"/>
  <c r="AG227" i="6"/>
  <c r="T227" i="6"/>
  <c r="G227" i="6"/>
  <c r="AU227" i="6" s="1"/>
  <c r="AT226" i="6"/>
  <c r="AG226" i="6"/>
  <c r="T226" i="6"/>
  <c r="G226" i="6"/>
  <c r="AU226" i="6" s="1"/>
  <c r="AT225" i="6"/>
  <c r="AG225" i="6"/>
  <c r="T225" i="6"/>
  <c r="G225" i="6"/>
  <c r="AU225" i="6" s="1"/>
  <c r="AU224" i="6"/>
  <c r="AT224" i="6"/>
  <c r="AG224" i="6"/>
  <c r="T224" i="6"/>
  <c r="G224" i="6"/>
  <c r="AT223" i="6"/>
  <c r="AG223" i="6"/>
  <c r="T223" i="6"/>
  <c r="AU223" i="6" s="1"/>
  <c r="G223" i="6"/>
  <c r="AU222" i="6"/>
  <c r="AT222" i="6"/>
  <c r="AG222" i="6"/>
  <c r="T222" i="6"/>
  <c r="G222" i="6"/>
  <c r="AT221" i="6"/>
  <c r="AG221" i="6"/>
  <c r="T221" i="6"/>
  <c r="G221" i="6"/>
  <c r="AU221" i="6" s="1"/>
  <c r="AT220" i="6"/>
  <c r="AG220" i="6"/>
  <c r="T220" i="6"/>
  <c r="G220" i="6"/>
  <c r="AU220" i="6" s="1"/>
  <c r="AT219" i="6"/>
  <c r="AG219" i="6"/>
  <c r="T219" i="6"/>
  <c r="G219" i="6"/>
  <c r="AU219" i="6" s="1"/>
  <c r="AT218" i="6"/>
  <c r="AG218" i="6"/>
  <c r="T218" i="6"/>
  <c r="G218" i="6"/>
  <c r="AU218" i="6" s="1"/>
  <c r="AT217" i="6"/>
  <c r="AT249" i="6" s="1"/>
  <c r="AG217" i="6"/>
  <c r="T217" i="6"/>
  <c r="T249" i="6" s="1"/>
  <c r="G217" i="6"/>
  <c r="AU217" i="6" s="1"/>
  <c r="AU216" i="6"/>
  <c r="AU249" i="6" s="1"/>
  <c r="AT216" i="6"/>
  <c r="AG216" i="6"/>
  <c r="AG249" i="6" s="1"/>
  <c r="T216" i="6"/>
  <c r="G216" i="6"/>
  <c r="G249" i="6" s="1"/>
  <c r="L184" i="6"/>
  <c r="G176" i="6"/>
  <c r="C176" i="6"/>
  <c r="I103" i="6"/>
  <c r="F85" i="6"/>
  <c r="F77" i="6"/>
  <c r="I73" i="6"/>
  <c r="F60" i="6"/>
  <c r="F63" i="6" s="1"/>
  <c r="D59" i="6"/>
  <c r="C59" i="6"/>
  <c r="F54" i="6"/>
  <c r="A54" i="6"/>
  <c r="F53" i="6"/>
  <c r="A53" i="6"/>
  <c r="A67" i="6" s="1"/>
  <c r="D46" i="6"/>
  <c r="J30" i="6"/>
  <c r="C30" i="6"/>
  <c r="J29" i="6"/>
  <c r="C29" i="6"/>
  <c r="J28" i="6"/>
  <c r="C28" i="6"/>
  <c r="J27" i="6"/>
  <c r="C27" i="6"/>
  <c r="V26" i="6"/>
  <c r="U26" i="6"/>
  <c r="T26" i="6"/>
  <c r="J1189" i="6" s="1"/>
  <c r="J26" i="6"/>
  <c r="C26" i="6"/>
  <c r="I18" i="6"/>
  <c r="G18" i="6"/>
  <c r="F18" i="6"/>
  <c r="AB13" i="6"/>
  <c r="AC13" i="6" s="1"/>
  <c r="F6" i="6"/>
  <c r="C6" i="6"/>
  <c r="M62" i="4"/>
  <c r="M63" i="4" s="1"/>
  <c r="M58" i="4"/>
  <c r="M59" i="4" s="1"/>
  <c r="P57" i="4"/>
  <c r="P61" i="4" s="1"/>
  <c r="M56" i="4"/>
  <c r="L138" i="3"/>
  <c r="C138" i="3"/>
  <c r="M135" i="3"/>
  <c r="L135" i="3"/>
  <c r="K135" i="3"/>
  <c r="L132" i="3"/>
  <c r="K120" i="3"/>
  <c r="F120" i="3"/>
  <c r="C120" i="3"/>
  <c r="N119" i="3"/>
  <c r="M119" i="3"/>
  <c r="L119" i="3"/>
  <c r="C119" i="3"/>
  <c r="C117" i="3"/>
  <c r="K116" i="3"/>
  <c r="K115" i="3"/>
  <c r="K119" i="3" s="1"/>
  <c r="K113" i="3"/>
  <c r="C113" i="3"/>
  <c r="K112" i="3"/>
  <c r="C112" i="3"/>
  <c r="N111" i="3"/>
  <c r="M111" i="3"/>
  <c r="L111" i="3"/>
  <c r="K111" i="3"/>
  <c r="C111" i="3"/>
  <c r="K110" i="3"/>
  <c r="K109" i="3"/>
  <c r="F108" i="3"/>
  <c r="C108" i="3"/>
  <c r="F107" i="3"/>
  <c r="F106" i="3"/>
  <c r="C106" i="3"/>
  <c r="H105" i="3"/>
  <c r="G105" i="3"/>
  <c r="F105" i="3"/>
  <c r="K104" i="3"/>
  <c r="F102" i="3"/>
  <c r="K102" i="3" s="1"/>
  <c r="C102" i="3"/>
  <c r="K100" i="3"/>
  <c r="C100" i="3"/>
  <c r="L99" i="3"/>
  <c r="K99" i="3"/>
  <c r="G99" i="3"/>
  <c r="C96" i="3"/>
  <c r="N95" i="3"/>
  <c r="M95" i="3"/>
  <c r="L95" i="3"/>
  <c r="K95" i="3"/>
  <c r="F95" i="3"/>
  <c r="F96" i="3" s="1"/>
  <c r="K96" i="3" s="1"/>
  <c r="N92" i="3"/>
  <c r="C92" i="3"/>
  <c r="K91" i="3"/>
  <c r="K92" i="3" s="1"/>
  <c r="K87" i="3"/>
  <c r="C85" i="3"/>
  <c r="N84" i="3"/>
  <c r="M84" i="3"/>
  <c r="L84" i="3"/>
  <c r="K84" i="3"/>
  <c r="F85" i="3" s="1"/>
  <c r="H84" i="3" s="1"/>
  <c r="G84" i="3"/>
  <c r="C84" i="3"/>
  <c r="K83" i="3"/>
  <c r="C81" i="3"/>
  <c r="N80" i="3"/>
  <c r="M80" i="3"/>
  <c r="L80" i="3"/>
  <c r="F80" i="3"/>
  <c r="F81" i="3" s="1"/>
  <c r="K81" i="3" s="1"/>
  <c r="C80" i="3"/>
  <c r="K79" i="3"/>
  <c r="K80" i="3" s="1"/>
  <c r="K77" i="3"/>
  <c r="F77" i="3"/>
  <c r="C77" i="3"/>
  <c r="M76" i="3"/>
  <c r="L76" i="3"/>
  <c r="C76" i="3"/>
  <c r="K73" i="3"/>
  <c r="F73" i="3"/>
  <c r="C73" i="3"/>
  <c r="M72" i="3"/>
  <c r="L72" i="3"/>
  <c r="C72" i="3"/>
  <c r="K71" i="3"/>
  <c r="K72" i="3" s="1"/>
  <c r="K69" i="3"/>
  <c r="C69" i="3"/>
  <c r="L68" i="3"/>
  <c r="H68" i="3"/>
  <c r="C68" i="3"/>
  <c r="K67" i="3"/>
  <c r="K68" i="3" s="1"/>
  <c r="G68" i="3" s="1"/>
  <c r="C65" i="3"/>
  <c r="L64" i="3"/>
  <c r="C64" i="3"/>
  <c r="K63" i="3"/>
  <c r="K61" i="3"/>
  <c r="K64" i="3" s="1"/>
  <c r="N54" i="3"/>
  <c r="L54" i="3"/>
  <c r="F54" i="3"/>
  <c r="C54" i="3"/>
  <c r="C52" i="3"/>
  <c r="K50" i="3"/>
  <c r="K138" i="3" s="1"/>
  <c r="N48" i="3"/>
  <c r="L48" i="3"/>
  <c r="C48" i="3"/>
  <c r="C47" i="3"/>
  <c r="K45" i="3"/>
  <c r="K47" i="3" s="1"/>
  <c r="F43" i="3"/>
  <c r="F42" i="3"/>
  <c r="F41" i="3"/>
  <c r="K40" i="3"/>
  <c r="K43" i="3" s="1"/>
  <c r="F38" i="3"/>
  <c r="C38" i="3"/>
  <c r="F37" i="3"/>
  <c r="C37" i="3"/>
  <c r="N36" i="3"/>
  <c r="L36" i="3"/>
  <c r="F36" i="3"/>
  <c r="C36" i="3"/>
  <c r="F32" i="3"/>
  <c r="C32" i="3"/>
  <c r="F31" i="3"/>
  <c r="L30" i="3"/>
  <c r="N26" i="3"/>
  <c r="C26" i="3"/>
  <c r="N25" i="3"/>
  <c r="F25" i="3"/>
  <c r="C25" i="3"/>
  <c r="C24" i="3"/>
  <c r="K22" i="3"/>
  <c r="K24" i="3" s="1"/>
  <c r="N19" i="3"/>
  <c r="C19" i="3"/>
  <c r="L18" i="3"/>
  <c r="K18" i="3"/>
  <c r="C18" i="3"/>
  <c r="K17" i="3"/>
  <c r="C17" i="3"/>
  <c r="M16" i="3"/>
  <c r="L16" i="3"/>
  <c r="F16" i="3"/>
  <c r="C16" i="3"/>
  <c r="K15" i="3"/>
  <c r="K14" i="3"/>
  <c r="N11" i="3"/>
  <c r="K11" i="3"/>
  <c r="C11" i="3"/>
  <c r="K10" i="3"/>
  <c r="C10" i="3"/>
  <c r="K9" i="3"/>
  <c r="F9" i="3"/>
  <c r="C9" i="3"/>
  <c r="N8" i="3"/>
  <c r="M8" i="3"/>
  <c r="L8" i="3"/>
  <c r="K8" i="3"/>
  <c r="C8" i="3"/>
  <c r="K7" i="3"/>
  <c r="I41" i="2"/>
  <c r="T34" i="2"/>
  <c r="I29" i="2"/>
  <c r="I23" i="2"/>
  <c r="H22" i="2"/>
  <c r="H21" i="2"/>
  <c r="H20" i="2"/>
  <c r="H19" i="2"/>
  <c r="H18" i="2"/>
  <c r="T17" i="2"/>
  <c r="H17" i="2"/>
  <c r="H16" i="2"/>
  <c r="T15" i="2"/>
  <c r="H15" i="2"/>
  <c r="T14" i="2"/>
  <c r="H14" i="2"/>
  <c r="K75" i="3" l="1"/>
  <c r="K76" i="3" s="1"/>
  <c r="K20" i="3"/>
  <c r="K19" i="3"/>
  <c r="K54" i="3"/>
  <c r="K16" i="3"/>
  <c r="K41" i="3"/>
  <c r="K42" i="3"/>
  <c r="J1194" i="6"/>
  <c r="L1190" i="6" s="1"/>
  <c r="L1189" i="6"/>
  <c r="D1191" i="6"/>
  <c r="D26" i="6"/>
  <c r="D1189" i="6"/>
  <c r="C31" i="6"/>
  <c r="J31" i="6"/>
  <c r="L26" i="6" s="1"/>
  <c r="K25" i="3"/>
  <c r="K46" i="3"/>
  <c r="K48" i="3" s="1"/>
  <c r="K51" i="3"/>
  <c r="K23" i="3"/>
  <c r="K52" i="3"/>
  <c r="K26" i="3"/>
  <c r="K85" i="3"/>
  <c r="L1192" i="6" l="1"/>
  <c r="L1193" i="6"/>
  <c r="L1191" i="6"/>
  <c r="L27" i="6"/>
  <c r="L29" i="6"/>
  <c r="L30" i="6"/>
  <c r="L28" i="6"/>
  <c r="D28" i="6"/>
  <c r="D30" i="6"/>
  <c r="D29" i="6"/>
  <c r="D27" i="6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<sst xmlns="http://schemas.openxmlformats.org/spreadsheetml/2006/main" count="2847" uniqueCount="1240">
  <si>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</si>
  <si>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C:\Users\Pavel_Khrapkin\Documents\Pavel\match\DBs\</t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</si>
  <si>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</si>
  <si>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</si>
  <si>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</si>
  <si>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</si>
  <si>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</si>
  <si>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</si>
  <si>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</si>
  <si>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</si>
  <si>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</si>
  <si>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</si>
  <si>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</si>
  <si>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</si>
  <si>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</si>
  <si>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</si>
  <si>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</si>
  <si>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</si>
  <si>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</si>
  <si>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</si>
  <si>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</si>
  <si>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</si>
  <si>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</si>
  <si>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</si>
  <si>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</si>
  <si>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</si>
  <si>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</si>
  <si>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</si>
  <si>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</si>
  <si>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</si>
  <si>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</si>
  <si>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</si>
  <si>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</si>
  <si>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</si>
  <si>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</si>
  <si>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</si>
  <si>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</si>
  <si>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</si>
  <si>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</si>
  <si>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</si>
  <si>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</si>
  <si>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</si>
  <si>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</si>
  <si>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</si>
  <si>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</si>
  <si>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</si>
  <si>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</si>
  <si>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</si>
  <si>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</si>
  <si>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</si>
  <si>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</si>
  <si>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</si>
  <si>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</si>
  <si>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</si>
  <si>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</si>
  <si>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</si>
  <si>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</si>
  <si>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</si>
  <si>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</si>
  <si>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</si>
  <si>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</si>
  <si>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</si>
  <si>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</si>
  <si>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</si>
  <si>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</si>
  <si>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</si>
  <si>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</si>
  <si>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</si>
  <si>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</si>
  <si>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</si>
  <si>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</si>
  <si>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</si>
  <si>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</si>
  <si>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</si>
  <si>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</si>
  <si>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</si>
  <si>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</si>
  <si>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</si>
  <si>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</si>
  <si>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</si>
  <si>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</si>
  <si>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</si>
  <si>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</si>
  <si>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</si>
  <si>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</si>
  <si>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</si>
  <si>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</si>
  <si>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</si>
  <si>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</si>
  <si>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</si>
  <si>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</si>
  <si>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</si>
  <si>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</si>
  <si>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</si>
  <si>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</si>
  <si>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</si>
  <si>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</si>
  <si>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</si>
  <si>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</si>
  <si>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</si>
  <si>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</si>
  <si>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</si>
  <si>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</si>
  <si>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</si>
  <si>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</si>
  <si>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</si>
  <si>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</si>
  <si>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</si>
  <si>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</si>
  <si>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</si>
  <si>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</si>
  <si>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</si>
  <si>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</si>
  <si>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</si>
  <si>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</si>
  <si>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</si>
  <si>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</si>
  <si>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</si>
  <si>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</si>
  <si>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</si>
  <si>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</si>
  <si>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</si>
  <si>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</si>
  <si>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</si>
  <si>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</si>
  <si>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</si>
  <si>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</si>
  <si>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</si>
  <si>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</si>
  <si>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</si>
  <si>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</si>
  <si>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</si>
  <si>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</si>
  <si>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</si>
  <si>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</si>
  <si>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</si>
  <si>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</si>
  <si>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</si>
  <si>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</si>
  <si>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</si>
  <si>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</si>
  <si>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</si>
  <si>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</si>
  <si>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</si>
  <si>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</si>
  <si>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</si>
  <si>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</si>
  <si>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UpdateContract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</si>
  <si>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</si>
  <si>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</si>
  <si>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</si>
  <si>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</si>
  <si>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</si>
  <si>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</si>
  <si>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</si>
  <si>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</si>
  <si>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</si>
  <si>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</si>
  <si>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</si>
  <si>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</si>
  <si>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</si>
  <si>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</si>
  <si>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</si>
  <si>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</si>
  <si>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</si>
  <si>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</si>
  <si>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</si>
  <si>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</si>
  <si>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</si>
  <si>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</si>
  <si>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</si>
  <si>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</si>
  <si>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</si>
  <si>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</si>
  <si>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</si>
  <si>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</si>
  <si>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</si>
  <si>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</si>
  <si>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</si>
  <si>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</si>
  <si>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Acc1C_MyCol</t>
  </si>
  <si>
    <t>LOAD_SF</t>
  </si>
  <si>
    <t xml:space="preserve"> SF_MyCol</t>
  </si>
  <si>
    <t>SF_Summary</t>
  </si>
  <si>
    <t>InsMyCol, LOAD_1C_P/SFlnkFill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</si>
  <si>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</si>
  <si>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</si>
  <si>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</si>
  <si>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</si>
  <si>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</si>
  <si>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</si>
  <si>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</si>
  <si>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</si>
  <si>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</si>
  <si>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</si>
  <si>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</si>
  <si>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</si>
  <si>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</si>
  <si>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</si>
  <si>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PaidHandling</t>
  </si>
  <si>
    <t>LOAD_1C_P/PaymentPaint</t>
  </si>
  <si>
    <t>PaymentPaid</t>
  </si>
  <si>
    <t>P_Paid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</si>
  <si>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</si>
  <si>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</si>
  <si>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</si>
  <si>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</si>
  <si>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</si>
  <si>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</si>
  <si>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</si>
  <si>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</si>
  <si>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</si>
  <si>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</si>
  <si>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</si>
  <si>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</si>
  <si>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</si>
  <si>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</si>
  <si>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</si>
  <si>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</si>
  <si>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</si>
  <si>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</si>
  <si>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</si>
  <si>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</si>
  <si>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</si>
  <si>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</si>
  <si>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</si>
  <si>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</si>
  <si>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</si>
  <si>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</si>
  <si>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</si>
  <si>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</si>
  <si>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</si>
  <si>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</si>
  <si>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</si>
  <si>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</si>
  <si>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</si>
  <si>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</si>
  <si>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</si>
  <si>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</si>
  <si>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</si>
  <si>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</si>
  <si>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</si>
  <si>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</si>
  <si>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</si>
  <si>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</si>
  <si>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</si>
  <si>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</si>
  <si>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</si>
  <si>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</si>
  <si>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</si>
  <si>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</si>
  <si>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</si>
  <si>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</si>
  <si>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</si>
  <si>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</si>
  <si>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</si>
  <si>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</si>
  <si>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</si>
  <si>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</si>
  <si>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</si>
  <si>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</si>
  <si>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</si>
  <si>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</si>
  <si>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</si>
  <si>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</si>
  <si>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</si>
  <si>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</si>
  <si>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</si>
  <si>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</si>
  <si>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</si>
  <si>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</si>
  <si>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</si>
  <si>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</si>
  <si>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</si>
  <si>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</si>
  <si>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</si>
  <si>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</si>
  <si>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</si>
  <si>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</si>
  <si>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</si>
  <si>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</si>
  <si>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</si>
  <si>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</si>
  <si>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</si>
  <si>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</si>
  <si>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</si>
  <si>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</si>
  <si>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</si>
  <si>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</si>
  <si>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</si>
  <si>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</si>
  <si>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</si>
  <si>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</si>
  <si>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</si>
  <si>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</si>
  <si>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</si>
  <si>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</si>
  <si>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</si>
  <si>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</si>
  <si>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</si>
  <si>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</si>
  <si>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</si>
  <si>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</si>
  <si>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</si>
  <si>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</si>
  <si>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</si>
  <si>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</si>
  <si>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</si>
  <si>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</si>
  <si>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</si>
  <si>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</si>
  <si>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</si>
  <si>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</si>
  <si>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</si>
  <si>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</si>
  <si>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</si>
  <si>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</si>
  <si>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</si>
  <si>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</si>
  <si>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</si>
  <si>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</si>
  <si>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</si>
  <si>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</si>
  <si>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</si>
  <si>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</si>
  <si>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</si>
  <si>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</si>
  <si>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</si>
  <si>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</si>
  <si>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</si>
  <si>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</si>
  <si>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</si>
  <si>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</si>
  <si>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</si>
  <si>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</si>
  <si>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</si>
  <si>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</si>
  <si>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</si>
  <si>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</si>
  <si>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</si>
  <si>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</si>
  <si>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</si>
  <si>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</si>
  <si>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</si>
  <si>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</si>
  <si>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</si>
  <si>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</si>
  <si>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</si>
  <si>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</si>
  <si>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</si>
  <si>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</si>
  <si>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</si>
  <si>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</si>
  <si>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</si>
  <si>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</si>
  <si>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</si>
  <si>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</si>
  <si>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</si>
  <si>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</si>
  <si>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</si>
  <si>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</si>
  <si>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</si>
  <si>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</si>
  <si>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</si>
  <si>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</si>
  <si>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</si>
  <si>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</si>
  <si>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</si>
  <si>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</si>
  <si>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</si>
  <si>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</si>
  <si>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</si>
  <si>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</si>
  <si>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</si>
  <si>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</si>
  <si>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</si>
  <si>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</si>
  <si>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</si>
  <si>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</si>
  <si>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</si>
  <si>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</si>
  <si>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</si>
  <si>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</si>
  <si>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</si>
  <si>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</si>
  <si>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</si>
  <si>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</si>
  <si>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</si>
  <si>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</si>
  <si>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</si>
  <si>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</si>
  <si>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</si>
  <si>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</si>
  <si>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</si>
  <si>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</si>
  <si>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</si>
  <si>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</si>
  <si>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</si>
  <si>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</si>
  <si>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</si>
  <si>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</si>
  <si>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</si>
  <si>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</si>
  <si>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</si>
  <si>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</si>
  <si>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</si>
  <si>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</si>
  <si>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</si>
  <si>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</si>
  <si>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</si>
  <si>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</si>
  <si>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</si>
  <si>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</si>
  <si>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</si>
  <si>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</si>
  <si>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</si>
  <si>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</si>
  <si>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</si>
  <si>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</si>
  <si>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</si>
  <si>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</si>
  <si>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</si>
  <si>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</si>
  <si>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</si>
  <si>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</si>
  <si>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</si>
  <si>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</si>
  <si>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</si>
  <si>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</si>
  <si>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</si>
  <si>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</si>
  <si>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</si>
  <si>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</si>
  <si>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</si>
  <si>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</si>
  <si>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</si>
  <si>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</si>
  <si>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</si>
  <si>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</si>
  <si>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</si>
  <si>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</si>
  <si>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</si>
  <si>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</si>
  <si>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</si>
  <si>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</si>
  <si>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</si>
  <si>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</si>
  <si>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</si>
  <si>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</si>
  <si>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</si>
  <si>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</si>
  <si>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</si>
  <si>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</si>
  <si>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</si>
  <si>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</si>
  <si>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</si>
  <si>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</si>
  <si>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</si>
  <si>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</si>
  <si>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</si>
  <si>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</si>
  <si>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</si>
  <si>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</si>
  <si>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</si>
  <si>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</si>
  <si>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</si>
  <si>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</si>
  <si>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</si>
  <si>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</si>
  <si>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</si>
  <si>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</si>
  <si>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</si>
  <si>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</si>
  <si>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</si>
  <si>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</si>
  <si>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</si>
  <si>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</si>
  <si>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</si>
  <si>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</si>
  <si>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</si>
  <si>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</si>
  <si>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</si>
  <si>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</si>
  <si>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</si>
  <si>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</si>
  <si>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</si>
  <si>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</si>
  <si>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</si>
  <si>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</si>
  <si>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</si>
  <si>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</si>
  <si>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</si>
  <si>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</si>
  <si>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</si>
  <si>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</si>
  <si>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</si>
  <si>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</si>
  <si>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</si>
  <si>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</si>
  <si>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</si>
  <si>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</si>
  <si>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</si>
  <si>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</si>
  <si>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</si>
  <si>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</si>
  <si>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</si>
  <si>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</si>
  <si>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</si>
  <si>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</si>
  <si>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</si>
  <si>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</si>
  <si>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</si>
  <si>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</si>
  <si>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</si>
  <si>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</si>
  <si>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</si>
  <si>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</si>
  <si>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</si>
  <si>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</si>
  <si>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</si>
  <si>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</si>
  <si>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</si>
  <si>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</si>
  <si>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</si>
  <si>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</si>
  <si>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</si>
  <si>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</si>
  <si>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</si>
  <si>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</si>
  <si>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</si>
  <si>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</si>
  <si>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</si>
  <si>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</si>
  <si>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</si>
  <si>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</si>
  <si>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</si>
  <si>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</si>
  <si>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</si>
  <si>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</si>
  <si>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</si>
  <si>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</si>
  <si>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</si>
  <si>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</si>
  <si>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</si>
  <si>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</si>
  <si>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</si>
  <si>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</si>
  <si>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</si>
  <si>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</si>
  <si>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</si>
  <si>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</si>
  <si>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</si>
  <si>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</si>
  <si>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</si>
  <si>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</si>
  <si>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</si>
  <si>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</si>
  <si>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</si>
  <si>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</si>
  <si>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</si>
  <si>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</si>
  <si>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</si>
  <si>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</si>
  <si>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</si>
  <si>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</si>
  <si>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</si>
  <si>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</si>
  <si>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</si>
  <si>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</si>
  <si>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</si>
  <si>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</si>
  <si>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</si>
  <si>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</si>
  <si>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</si>
  <si>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</si>
  <si>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</si>
  <si>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</si>
  <si>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</si>
  <si>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</si>
  <si>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</si>
  <si>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</si>
  <si>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</si>
  <si>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</si>
  <si>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</si>
  <si>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</si>
  <si>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</si>
  <si>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</si>
  <si>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</si>
  <si>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</si>
  <si>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</si>
  <si>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</si>
  <si>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</si>
  <si>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</si>
  <si>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</si>
  <si>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</si>
  <si>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</si>
  <si>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</si>
  <si>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</si>
  <si>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</si>
  <si>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</si>
  <si>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</si>
  <si>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</si>
  <si>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</si>
  <si>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</si>
  <si>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</si>
  <si>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</si>
  <si>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</si>
  <si>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</si>
  <si>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</si>
  <si>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</si>
  <si>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</si>
  <si>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</si>
  <si>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</si>
  <si>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</si>
  <si>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</si>
  <si>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</si>
  <si>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</si>
  <si>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</si>
  <si>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</si>
  <si>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</si>
  <si>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</si>
  <si>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</si>
  <si>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</si>
  <si>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</si>
  <si>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</si>
  <si>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</si>
  <si>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</si>
  <si>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</si>
  <si>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</si>
  <si>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</si>
  <si>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</si>
  <si>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</si>
  <si>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</si>
  <si>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</si>
  <si>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</si>
  <si>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</si>
  <si>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</si>
  <si>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</si>
  <si>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</si>
  <si>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</si>
  <si>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</si>
  <si>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</si>
  <si>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</si>
  <si>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</si>
  <si>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</si>
  <si>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</si>
  <si>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</si>
  <si>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</si>
  <si>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</si>
  <si>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</si>
  <si>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</si>
  <si>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</si>
  <si>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</si>
  <si>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</si>
  <si>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</si>
  <si>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</si>
  <si>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</si>
  <si>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</si>
  <si>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</si>
  <si>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</si>
  <si>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</si>
  <si>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</si>
  <si>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</si>
  <si>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</si>
  <si>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</si>
  <si>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</si>
  <si>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</si>
  <si>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</si>
  <si>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</si>
  <si>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</si>
  <si>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</si>
  <si>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</si>
  <si>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</si>
  <si>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</si>
  <si>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</si>
  <si>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</si>
  <si>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</si>
  <si>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</si>
  <si>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</si>
  <si>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</si>
  <si>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</si>
  <si>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</si>
  <si>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</si>
  <si>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</si>
  <si>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</si>
  <si>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</si>
  <si>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</si>
  <si>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</si>
  <si>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</si>
  <si>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</si>
  <si>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</si>
  <si>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</si>
  <si>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</si>
  <si>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</si>
  <si>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</si>
  <si>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</si>
  <si>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</si>
  <si>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</si>
  <si>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</si>
  <si>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</si>
  <si>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</si>
  <si>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</si>
  <si>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</si>
  <si>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</si>
  <si>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</si>
  <si>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</si>
  <si>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</si>
  <si>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</si>
  <si>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</si>
  <si>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</si>
  <si>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</si>
  <si>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</si>
  <si>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</si>
  <si>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</si>
  <si>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</si>
  <si>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</si>
  <si>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</si>
  <si>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</si>
  <si>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</si>
  <si>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</si>
  <si>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</si>
  <si>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</si>
  <si>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</si>
  <si>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</si>
  <si>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</si>
  <si>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</si>
  <si>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</si>
  <si>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</si>
  <si>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</si>
  <si>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</si>
  <si>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</si>
  <si>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</si>
  <si>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</si>
  <si>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</si>
  <si>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</si>
  <si>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</si>
  <si>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</si>
  <si>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</si>
  <si>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</si>
  <si>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</si>
  <si>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</si>
  <si>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</si>
  <si>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</si>
  <si>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</si>
  <si>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</si>
  <si>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</si>
  <si>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</si>
  <si>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</si>
  <si>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</si>
  <si>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</si>
  <si>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</si>
  <si>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</si>
  <si>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</si>
  <si>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</si>
  <si>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</si>
  <si>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</si>
  <si>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</si>
  <si>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</si>
  <si>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</si>
  <si>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</si>
  <si>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</si>
  <si>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</si>
  <si>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</si>
  <si>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</si>
  <si>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</si>
  <si>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</si>
  <si>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</si>
  <si>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</si>
  <si>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</si>
  <si>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</si>
  <si>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</si>
  <si>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</si>
  <si>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</si>
  <si>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</si>
  <si>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</si>
  <si>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</si>
  <si>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</si>
  <si>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</si>
  <si>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</si>
  <si>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</si>
  <si>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</si>
  <si>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</si>
  <si>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</si>
  <si>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</si>
  <si>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</si>
  <si>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</si>
  <si>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</si>
  <si>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</si>
  <si>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</si>
  <si>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</si>
  <si>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</si>
  <si>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</si>
  <si>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</si>
  <si>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</si>
  <si>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</si>
  <si>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</si>
  <si>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</si>
  <si>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</si>
  <si>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</si>
  <si>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</si>
  <si>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</si>
  <si>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</si>
  <si>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</si>
  <si>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</si>
  <si>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</si>
  <si>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</si>
  <si>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</si>
  <si>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</si>
  <si>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</si>
  <si>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</si>
  <si>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</si>
  <si>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</si>
  <si>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</si>
  <si>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</si>
  <si>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</si>
  <si>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</si>
  <si>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</si>
  <si>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</si>
  <si>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</si>
  <si>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</si>
  <si>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</si>
  <si>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</si>
  <si>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</si>
  <si>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</si>
  <si>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</si>
  <si>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</si>
  <si>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</si>
  <si>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</si>
  <si>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</si>
  <si>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</si>
  <si>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</si>
  <si>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</si>
  <si>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</si>
  <si>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</si>
  <si>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</si>
  <si>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</si>
  <si>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</si>
  <si>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</si>
  <si>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</si>
  <si>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</si>
  <si>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</si>
  <si>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</si>
  <si>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</si>
  <si>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</si>
  <si>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</si>
  <si>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</si>
  <si>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</si>
  <si>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</si>
  <si>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</si>
  <si>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</si>
  <si>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</si>
  <si>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</si>
  <si>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</si>
  <si>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</si>
  <si>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</si>
  <si>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</si>
  <si>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</si>
  <si>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</si>
  <si>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</si>
  <si>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</si>
  <si>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</si>
  <si>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</si>
  <si>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</si>
  <si>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</si>
  <si>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</si>
  <si>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</si>
  <si>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</si>
  <si>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</si>
  <si>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</si>
  <si>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</si>
  <si>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</si>
  <si>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</si>
  <si>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</si>
  <si>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</si>
  <si>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</si>
  <si>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</si>
  <si>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</si>
  <si>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</si>
  <si>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</si>
  <si>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</si>
  <si>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</si>
  <si>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</si>
  <si>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</si>
  <si>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</si>
  <si>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</si>
  <si>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</si>
  <si>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</si>
  <si>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</si>
  <si>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</si>
  <si>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</si>
  <si>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</si>
  <si>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</si>
  <si>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</si>
  <si>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</si>
  <si>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</si>
  <si>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</si>
  <si>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</si>
  <si>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</si>
  <si>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</si>
  <si>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</si>
  <si>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</si>
  <si>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</si>
  <si>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</si>
  <si>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</si>
  <si>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</si>
  <si>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</si>
  <si>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</si>
  <si>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</si>
  <si>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</si>
  <si>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</si>
  <si>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</si>
  <si>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</si>
  <si>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</si>
  <si>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</si>
  <si>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</si>
  <si>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</si>
  <si>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</si>
  <si>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</si>
  <si>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</si>
  <si>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</si>
  <si>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</si>
  <si>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</si>
  <si>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</si>
  <si>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</si>
  <si>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</si>
  <si>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</si>
  <si>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</si>
  <si>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</si>
  <si>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</si>
  <si>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</si>
  <si>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</si>
  <si>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</si>
  <si>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</si>
  <si>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</si>
  <si>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</si>
  <si>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</si>
  <si>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</si>
  <si>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</si>
  <si>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</si>
  <si>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</si>
  <si>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</si>
  <si>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</si>
  <si>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</si>
  <si>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</si>
  <si>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</si>
  <si>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</si>
  <si>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</si>
  <si>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</si>
  <si>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</si>
  <si>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</si>
  <si>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</si>
  <si>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</si>
  <si>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</si>
  <si>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</si>
  <si>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</si>
  <si>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</si>
  <si>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</si>
  <si>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</si>
  <si>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</si>
  <si>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</si>
  <si>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</si>
  <si>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</si>
  <si>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</si>
  <si>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</si>
  <si>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</si>
  <si>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</si>
  <si>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</si>
  <si>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</si>
  <si>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</si>
  <si>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</si>
  <si>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</si>
  <si>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</si>
  <si>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</si>
  <si>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</si>
  <si>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</si>
  <si>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</si>
  <si>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</si>
  <si>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</si>
  <si>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</si>
  <si>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</si>
  <si>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</si>
  <si>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</si>
  <si>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</si>
  <si>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</si>
  <si>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</si>
  <si>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</si>
  <si>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</si>
  <si>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</si>
  <si>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</si>
  <si>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</si>
  <si>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</si>
  <si>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</si>
  <si>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</si>
  <si>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</si>
  <si>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</si>
  <si>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</si>
  <si>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</si>
  <si>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</si>
  <si>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</si>
  <si>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</si>
  <si>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</si>
  <si>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</si>
  <si>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</si>
  <si>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</si>
  <si>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</si>
  <si>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</si>
  <si>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</si>
  <si>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</si>
  <si>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</si>
  <si>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30.12.12 NewOppByContract по Платежам  - создание Проектов SF. Они записываются в файл OppInsert.csv и загружаются в SF Data Loader'ом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</si>
  <si>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</si>
  <si>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</si>
  <si>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</si>
  <si>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</si>
  <si>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</si>
  <si>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</si>
  <si>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</si>
  <si>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</si>
  <si>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</si>
  <si>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</si>
  <si>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</si>
  <si>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</si>
  <si>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</si>
  <si>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t>EmptyBuddy/3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</si>
  <si>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</si>
  <si>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</si>
  <si>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</si>
  <si>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</si>
  <si>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</si>
  <si>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</si>
  <si>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</si>
  <si>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</si>
  <si>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</si>
  <si>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</si>
  <si>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</si>
  <si>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</si>
  <si>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</si>
  <si>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</si>
  <si>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</si>
  <si>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</si>
  <si>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</si>
  <si>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</si>
  <si>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</si>
  <si>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</si>
  <si>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</si>
  <si>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</si>
  <si>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</si>
  <si>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</si>
  <si>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</si>
  <si>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</si>
  <si>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</si>
  <si>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</si>
  <si>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</si>
  <si>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</si>
  <si>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</si>
  <si>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</si>
  <si>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</si>
  <si>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</si>
  <si>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</si>
  <si>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</si>
  <si>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</si>
  <si>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</si>
  <si>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</si>
  <si>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</si>
  <si>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</si>
  <si>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</si>
  <si>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</si>
  <si>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</si>
  <si>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</si>
  <si>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</si>
  <si>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</si>
  <si>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</si>
  <si>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</si>
  <si>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</si>
  <si>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</si>
  <si>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</si>
  <si>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</si>
  <si>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</si>
  <si>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</si>
  <si>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</si>
  <si>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</si>
  <si>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</si>
  <si>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</si>
  <si>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</si>
  <si>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</si>
  <si>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</si>
  <si>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</si>
  <si>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</si>
  <si>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</si>
  <si>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</si>
  <si>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</si>
  <si>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</si>
  <si>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</si>
  <si>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</si>
  <si>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</si>
  <si>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</si>
  <si>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</si>
  <si>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</si>
  <si>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</si>
  <si>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</si>
  <si>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</si>
  <si>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</si>
  <si>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</si>
  <si>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</si>
  <si>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</si>
  <si>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</si>
  <si>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</si>
  <si>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</si>
  <si>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</si>
  <si>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</si>
  <si>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</si>
  <si>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</si>
  <si>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</si>
  <si>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</si>
  <si>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</si>
  <si>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</si>
  <si>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</si>
  <si>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</si>
  <si>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</si>
  <si>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</si>
  <si>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</si>
  <si>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</si>
  <si>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</si>
  <si>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</si>
  <si>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</si>
  <si>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</si>
  <si>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</si>
  <si>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</si>
  <si>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</si>
  <si>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</si>
  <si>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</si>
  <si>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</si>
  <si>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</si>
  <si>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</si>
  <si>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</si>
  <si>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</si>
  <si>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</si>
  <si>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</si>
  <si>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</si>
  <si>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</si>
  <si>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</si>
  <si>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</si>
  <si>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</si>
  <si>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</si>
  <si>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</si>
  <si>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</si>
  <si>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</si>
  <si>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</si>
  <si>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</si>
  <si>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</si>
  <si>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</si>
  <si>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</si>
  <si>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</si>
  <si>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</si>
  <si>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</si>
  <si>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</si>
  <si>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</si>
  <si>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</si>
  <si>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</si>
  <si>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</si>
  <si>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</si>
  <si>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</si>
  <si>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</si>
  <si>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</si>
  <si>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</si>
  <si>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</si>
  <si>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</si>
  <si>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</si>
  <si>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</si>
  <si>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</si>
  <si>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</si>
  <si>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</si>
  <si>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</si>
  <si>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</si>
  <si>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</si>
  <si>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</si>
  <si>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</si>
  <si>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</si>
  <si>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</si>
  <si>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</si>
  <si>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</si>
  <si>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</si>
  <si>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</si>
  <si>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</si>
  <si>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</si>
  <si>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</si>
  <si>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</si>
  <si>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</si>
  <si>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</si>
  <si>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</si>
  <si>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</si>
  <si>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</si>
  <si>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</si>
  <si>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</si>
  <si>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</si>
  <si>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</si>
  <si>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</si>
  <si>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</si>
  <si>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OppFilter/20,6,11,17,14,21,22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</si>
  <si>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</si>
  <si>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</si>
  <si>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</si>
  <si>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</si>
  <si>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</si>
  <si>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</si>
  <si>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MoveToMatch: В файл 'SFDC.xlsx' загружен новый отчет 'SFopp'; EOL=3531 строк, в прежнем 3529_x000D_
Это ПОЛНЫЙ документ.</t>
  </si>
  <si>
    <t>&lt;! ERROR !&gt; MoveToMatch:  не дата в ячейке ToDate='  .  .  '_x000D_
Входной документ P1Cpart.xlsx</t>
  </si>
  <si>
    <t>MoveToMatch: В файл '1C.xlsx' загружен новый отчет 'Платежи'; EOL=102 строк, в прежнем 5756_x000D_
Это изменяемая ЧАСТЬ данных.</t>
  </si>
  <si>
    <t>adapt profile: total = 1,10_x000D_
By steps =  0,25 0,00 0,20 0,03 0,00 0,00 0,00 0,00 0,00 0,00 0,00 0,00 0,00 0,00 0,00 0,00 0,00 0,00 0,00 0,00 0,00 0,00 0,00 0,00 0,00 0,00 0,00 0,00 0,00 0,01 0,12 0,05 0,07 0,07 0,06 0,10 0,11</t>
  </si>
  <si>
    <t>MoveToMatch: В файл '1C.xlsx' загружен новый отчет 'Платежи'; EOL=24 строк, в прежнем 5756_x000D_
Это изменяемая ЧАСТЬ данных.</t>
  </si>
  <si>
    <t>adapt profile: total = 3,95_x000D_
By steps =  0,09 0,00 0,11 0,50 0,00 0,00 0,00 0,00 0,00 0,00 0,00 0,00 0,00 0,00 0,00 0,00 0,00 0,00 0,00 0,00 0,00 0,00 0,00 0,00 0,00 0,00 0,00 0,00 0,00 0,01 0,02 0,29 0,66 0,72 0,72 0,73 0,07</t>
  </si>
  <si>
    <t>MoveToMatch: В файл 'SFDC.xlsx' загружен новый отчет 'SF'; EOL=4854 строк, в прежнем 4845_x000D_
Это ПОЛНЫЙ документ.</t>
  </si>
  <si>
    <t>adapt profile: total = 7,61_x000D_
By steps =  6,71 0,03</t>
  </si>
  <si>
    <t>adapt profile: total = 38,49_x000D_
By steps =  3,55 0,03 8,78 2,31 0,04 0,01 0,02 0,01 0,01 0,01 0,01 0,01 0,01 0,01 0,01 0,01 0,01 0,01 0,01 0,01 0,01 0,01 0,01 0,01 0,01 0,01 0,01 0,01 0,00 0,56 2,90 2,72 2,65 2,66 2,64 4,15 4,08</t>
  </si>
  <si>
    <t>MoveToMatch: В файл '1C.xlsx' загружен новый отчет 'Договоры'; EOL=45 строк, в прежнем 1380_x000D_
Это изменяемая ЧАСТЬ данных.</t>
  </si>
  <si>
    <t>adapt profile: total = 0,10_x000D_
By steps =  0,03 0,03 0,01 0,00 0,00 0,00 0,01 0,00 0,00 0,00 0,00 0,00 0,00 0,00 0,00 0,00 0,00 0,00 0,00 0,00 0,00 0,00 0,00 0,00 0,00 0,00</t>
  </si>
  <si>
    <t>MoveToMatch: В файл '1C.xlsx' загружен новый отчет 'Платежи'; EOL=24 строк, в прежнем 5770_x000D_
Это изменяемая ЧАСТЬ данных.</t>
  </si>
  <si>
    <t>adapt profile: total = 3,99_x000D_
By steps =  0,07 0,00 0,09 0,55 0,00 0,00 0,00 0,00 0,00 0,00 0,00 0,00 0,00 0,00 0,00 0,00 0,00 0,00 0,00 0,00 0,00 0,00 0,00 0,00 0,00 0,00 0,00 0,00 0,00 0,01 0,02 0,30 0,65 0,73 0,73 0,75 0,07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</si>
  <si>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</si>
  <si>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</si>
  <si>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</si>
  <si>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</si>
  <si>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</si>
  <si>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</si>
  <si>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</si>
  <si>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</si>
  <si>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t>HDR_Acc1C</t>
  </si>
  <si>
    <t>HDR_Acc1C_Summary</t>
  </si>
  <si>
    <t>MoveToMatch: В файл '1C.xlsx' загружен новый отчет 'Платежи'; EOL=12 строк, в прежнем 5770_x000D_
Это изменяемая ЧАСТЬ данных.</t>
  </si>
  <si>
    <t>adapt profile: total = 0,13_x000D_
By steps =  0,02 0,00 0,03 0,00 0,00 0,00 0,00 0,00 0,00 0,00 0,00 0,00 0,00 0,00 0,00 0,00 0,00 0,00 0,00 0,00 0,00 0,00 0,00 0,00 0,00 0,00 0,00 0,00 0,00 0,00 0,02 0,01 0,01 0,01 0,01 0,01 0,01</t>
  </si>
  <si>
    <t>MoveToMatch: В файл '1C.xlsx' загружен новый отчет 'Договоры'; EOL=8 строк, в прежнем 1395_x000D_
Это изменяемая ЧАСТЬ данных.</t>
  </si>
  <si>
    <t>adapt profile: total = 0,01_x000D_
By steps =  0,01 0,00 0,00 0,00 0,00 0,00 0,00 0,00 0,00 0,00 0,00 0,00 0,00 0,00 0,00 0,00 0,00 0,00 0,00 0,00 0,00 0,00 0,00 0,00 0,00 0,00</t>
  </si>
  <si>
    <t>MoveToMatch: В файл '1C.xlsx' загружен новый отчет 'Договоры'; EOL=8 строк, в прежнем 8_x000D_
Это изменяемая ЧАСТЬ данных.</t>
  </si>
  <si>
    <t>adapt profile: total = 0,02_x000D_
By steps =  0,01 0,00 0,00 0,00 0,00 0,00 0,00 0,00 0,00 0,00 0,00 0,00 0,00 0,00 0,00 0,00 0,00 0,00 0,00 0,00 0,00 0,00 0,00 0,00 0,00 0,00</t>
  </si>
  <si>
    <t>MoveToMatch: В файл '1C.xlsx' загружен новый отчет 'Платежи'; EOL=17 строк, в прежнем 5778_x000D_
Это изменяемая ЧАСТЬ данных.</t>
  </si>
  <si>
    <t>ВНИМАНИЕ:Это файл базы данных match! Его не надо загружать.</t>
  </si>
  <si>
    <t>MoveToMatch: В файл '1C.xlsx' загружен новый отчет 'Платежи'; EOL=17 строк, в прежнем 17_x000D_
Это изменяемая ЧАСТЬ данных.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</si>
  <si>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</si>
  <si>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adapt profile: total = 3,02_x000D_
By steps =  0,07 0,00 0,07 0,37 0,00 0,00 0,00 0,00 0,00 0,00 0,00 0,00 0,00 0,00 0,00 0,00 0,00 0,00 0,00 0,00 0,00 0,00 0,00 0,00 0,00 0,00 0,00 0,00 0,00 0,07 0,08 0,37 0,43 0,49 0,50 0,52 0,04</t>
  </si>
  <si>
    <t>adapt profile: total = 49,47_x000D_
By steps =  12,27 0,03 9,41 2,52 0,00 0,00 0,00 0,03 0,02 0,03 0,03 0,00 0,02 0,00 0,03 0,00 0,00 0,02 0,00 0,00 0,00 0,00 0,05 0,02 0,00 0,00 0,00 0,02 0,00 0,69 3,23 2,80 2,77 2,78 2,94 4,16 4,23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</si>
</sst>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6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</fills>
  <borders count="8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0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</cellStyleXfs>
  <cellXfs count="908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65" fontId="1" fillId="0" borderId="3" xfId="1" applyNumberFormat="1" applyFill="1" applyBorder="1" applyAlignment="1">
      <alignment horizontal="center"/>
    </xf>
    <xf numFmtId="19" fontId="1" fillId="0" borderId="3" xfId="1" applyNumberFormat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" fillId="8" borderId="2" xfId="1" applyFill="1" applyBorder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4" fontId="1" fillId="9" borderId="0" xfId="1" applyFill="1" applyBorder="1"/>
    <xf numFmtId="165" fontId="1" fillId="0" borderId="3" xfId="1" applyNumberFormat="1" applyBorder="1" applyAlignment="1">
      <alignment horizontal="center"/>
    </xf>
    <xf numFmtId="1" fontId="11" fillId="9" borderId="0" xfId="7" quotePrefix="1" applyNumberFormat="1" applyFill="1" applyBorder="1"/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5" fontId="1" fillId="4" borderId="5" xfId="1" applyNumberFormat="1" applyFill="1" applyBorder="1"/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5" fontId="1" fillId="4" borderId="8" xfId="1" applyNumberFormat="1" applyFill="1" applyBorder="1" applyAlignment="1">
      <alignment horizontal="center"/>
    </xf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15" borderId="8" xfId="1" applyFill="1" applyBorder="1"/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left" vertical="center" wrapText="1"/>
    </xf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165" fontId="1" fillId="20" borderId="28" xfId="1" applyNumberFormat="1" applyFill="1" applyBorder="1" applyAlignment="1">
      <alignment horizontal="center" vertical="center"/>
    </xf>
    <xf numFmtId="49" fontId="1" fillId="20" borderId="28" xfId="1" applyNumberFormat="1" applyFill="1" applyBorder="1" applyAlignment="1">
      <alignment horizontal="center" vertical="center"/>
    </xf>
    <xf numFmtId="49" fontId="8" fillId="20" borderId="28" xfId="1" applyNumberFormat="1" applyFont="1" applyFill="1" applyBorder="1" applyAlignment="1">
      <alignment horizontal="left" vertical="center" wrapText="1"/>
    </xf>
    <xf numFmtId="164" fontId="8" fillId="0" borderId="28" xfId="1" applyFont="1" applyFill="1" applyBorder="1" applyAlignment="1">
      <alignment vertical="center"/>
    </xf>
    <xf numFmtId="49" fontId="0" fillId="2" borderId="28" xfId="1" applyNumberFormat="1" applyFont="1" applyFill="1" applyBorder="1" applyAlignment="1">
      <alignment vertical="center"/>
    </xf>
    <xf numFmtId="164" fontId="1" fillId="0" borderId="29" xfId="1" applyBorder="1" applyAlignment="1">
      <alignment horizontal="left" vertical="center"/>
    </xf>
    <xf numFmtId="164" fontId="8" fillId="0" borderId="30" xfId="1" applyFont="1" applyFill="1" applyBorder="1" applyAlignment="1">
      <alignment vertical="center"/>
    </xf>
    <xf numFmtId="164" fontId="0" fillId="0" borderId="29" xfId="1" applyFont="1" applyFill="1" applyBorder="1" applyAlignment="1">
      <alignment vertical="center"/>
    </xf>
    <xf numFmtId="164" fontId="0" fillId="0" borderId="28" xfId="1" applyFont="1" applyFill="1" applyBorder="1" applyAlignment="1">
      <alignment vertical="center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31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1" fillId="0" borderId="16" xfId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32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32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3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4" xfId="1" applyFill="1" applyBorder="1" applyAlignment="1">
      <alignment horizontal="left" vertical="center"/>
    </xf>
    <xf numFmtId="0" fontId="1" fillId="13" borderId="35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6" xfId="1" applyNumberFormat="1" applyFill="1" applyBorder="1" applyAlignment="1">
      <alignment horizontal="center" vertical="center"/>
    </xf>
    <xf numFmtId="49" fontId="1" fillId="0" borderId="36" xfId="1" applyNumberFormat="1" applyFill="1" applyBorder="1" applyAlignment="1">
      <alignment horizontal="center" vertical="center"/>
    </xf>
    <xf numFmtId="164" fontId="1" fillId="0" borderId="36" xfId="1" applyFill="1" applyBorder="1" applyAlignment="1">
      <alignment horizontal="left" vertical="center"/>
    </xf>
    <xf numFmtId="49" fontId="0" fillId="2" borderId="36" xfId="1" applyNumberFormat="1" applyFont="1" applyFill="1" applyBorder="1" applyAlignment="1">
      <alignment vertical="center"/>
    </xf>
    <xf numFmtId="49" fontId="1" fillId="0" borderId="37" xfId="1" applyNumberFormat="1" applyBorder="1" applyAlignment="1">
      <alignment horizontal="center" vertical="center"/>
    </xf>
    <xf numFmtId="49" fontId="1" fillId="13" borderId="38" xfId="1" applyNumberFormat="1" applyFill="1" applyBorder="1" applyAlignment="1">
      <alignment horizontal="center" vertical="center"/>
    </xf>
    <xf numFmtId="164" fontId="8" fillId="0" borderId="36" xfId="1" applyFont="1" applyFill="1" applyBorder="1" applyAlignment="1">
      <alignment vertical="center"/>
    </xf>
    <xf numFmtId="164" fontId="8" fillId="0" borderId="39" xfId="1" applyFont="1" applyFill="1" applyBorder="1" applyAlignment="1">
      <alignment vertical="center"/>
    </xf>
    <xf numFmtId="164" fontId="0" fillId="0" borderId="37" xfId="1" applyFont="1" applyFill="1" applyBorder="1" applyAlignment="1">
      <alignment vertical="center"/>
    </xf>
    <xf numFmtId="164" fontId="0" fillId="8" borderId="36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40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6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41" xfId="1" applyNumberFormat="1" applyFill="1" applyBorder="1" applyAlignment="1">
      <alignment horizontal="center"/>
    </xf>
    <xf numFmtId="164" fontId="1" fillId="0" borderId="42" xfId="1" applyBorder="1"/>
    <xf numFmtId="164" fontId="1" fillId="0" borderId="43" xfId="1" applyBorder="1"/>
    <xf numFmtId="164" fontId="16" fillId="0" borderId="44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4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5" xfId="8" applyFont="1" applyBorder="1"/>
    <xf numFmtId="49" fontId="1" fillId="0" borderId="46" xfId="8" applyNumberFormat="1" applyBorder="1"/>
    <xf numFmtId="164" fontId="2" fillId="2" borderId="45" xfId="8" applyFont="1" applyFill="1" applyBorder="1"/>
    <xf numFmtId="164" fontId="2" fillId="0" borderId="46" xfId="8" applyFont="1" applyBorder="1"/>
    <xf numFmtId="164" fontId="1" fillId="0" borderId="46" xfId="8" applyBorder="1"/>
    <xf numFmtId="164" fontId="1" fillId="0" borderId="47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4" xfId="15" applyNumberFormat="1" applyFont="1" applyFill="1" applyBorder="1" applyAlignment="1">
      <alignment horizontal="center"/>
    </xf>
    <xf numFmtId="169" fontId="25" fillId="23" borderId="48" xfId="16" applyNumberFormat="1" applyFont="1" applyFill="1" applyBorder="1" applyAlignment="1">
      <alignment horizontal="center"/>
    </xf>
    <xf numFmtId="169" fontId="25" fillId="3" borderId="49" xfId="16" applyNumberFormat="1" applyFont="1" applyFill="1" applyBorder="1" applyAlignment="1">
      <alignment horizontal="center"/>
    </xf>
    <xf numFmtId="49" fontId="26" fillId="0" borderId="1" xfId="14" applyNumberFormat="1" applyFont="1" applyBorder="1" applyAlignment="1">
      <alignment horizontal="center" vertical="top" wrapText="1"/>
    </xf>
    <xf numFmtId="171" fontId="26" fillId="0" borderId="1" xfId="14" applyNumberFormat="1" applyFont="1" applyBorder="1" applyAlignment="1">
      <alignment horizontal="center" vertical="top" wrapText="1"/>
    </xf>
    <xf numFmtId="0" fontId="26" fillId="0" borderId="1" xfId="14" applyFont="1" applyBorder="1" applyAlignment="1">
      <alignment horizontal="center" vertical="top" wrapText="1"/>
    </xf>
    <xf numFmtId="4" fontId="26" fillId="0" borderId="1" xfId="14" applyNumberFormat="1" applyFont="1" applyBorder="1" applyAlignment="1">
      <alignment horizontal="center" vertical="top" wrapText="1"/>
    </xf>
    <xf numFmtId="4" fontId="26" fillId="24" borderId="1" xfId="14" applyNumberFormat="1" applyFont="1" applyFill="1" applyBorder="1" applyAlignment="1">
      <alignment horizontal="center" vertical="top" wrapText="1"/>
    </xf>
    <xf numFmtId="0" fontId="26" fillId="0" borderId="50" xfId="14" applyFont="1" applyBorder="1" applyAlignment="1">
      <alignment horizontal="center" vertical="top" wrapText="1"/>
    </xf>
    <xf numFmtId="0" fontId="9" fillId="3" borderId="1" xfId="14" applyFill="1" applyBorder="1"/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50" xfId="18" applyFont="1" applyBorder="1" applyAlignment="1">
      <alignment horizontal="right"/>
    </xf>
    <xf numFmtId="9" fontId="6" fillId="0" borderId="51" xfId="21" applyFont="1" applyBorder="1" applyAlignment="1">
      <alignment horizontal="center" vertical="center"/>
    </xf>
    <xf numFmtId="9" fontId="6" fillId="2" borderId="49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52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5" xfId="25" applyFont="1" applyFill="1" applyBorder="1" applyAlignment="1">
      <alignment horizontal="left"/>
    </xf>
    <xf numFmtId="173" fontId="38" fillId="10" borderId="47" xfId="16" applyNumberFormat="1" applyFont="1" applyFill="1" applyBorder="1" applyAlignment="1">
      <alignment horizontal="center"/>
    </xf>
    <xf numFmtId="9" fontId="38" fillId="10" borderId="47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52" xfId="17" applyNumberFormat="1" applyFont="1" applyFill="1" applyBorder="1" applyAlignment="1">
      <alignment vertical="top"/>
    </xf>
    <xf numFmtId="49" fontId="20" fillId="10" borderId="46" xfId="26" applyNumberFormat="1" applyFont="1" applyFill="1" applyBorder="1"/>
    <xf numFmtId="172" fontId="20" fillId="10" borderId="47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3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3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3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50" xfId="25" applyFont="1" applyFill="1" applyBorder="1" applyAlignment="1">
      <alignment horizontal="left" vertical="center"/>
    </xf>
    <xf numFmtId="173" fontId="40" fillId="2" borderId="54" xfId="16" applyNumberFormat="1" applyFont="1" applyFill="1" applyBorder="1" applyAlignment="1">
      <alignment horizontal="center" vertical="center"/>
    </xf>
    <xf numFmtId="9" fontId="40" fillId="2" borderId="54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5" xfId="17" applyNumberFormat="1" applyFont="1" applyFill="1" applyBorder="1" applyAlignment="1">
      <alignment vertical="center"/>
    </xf>
    <xf numFmtId="49" fontId="20" fillId="2" borderId="56" xfId="26" applyNumberFormat="1" applyFont="1" applyFill="1" applyBorder="1" applyAlignment="1">
      <alignment vertical="center"/>
    </xf>
    <xf numFmtId="172" fontId="40" fillId="2" borderId="57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52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5" xfId="31" applyFont="1" applyFill="1" applyBorder="1" applyAlignment="1">
      <alignment horizontal="right"/>
    </xf>
    <xf numFmtId="176" fontId="6" fillId="15" borderId="47" xfId="32" applyNumberFormat="1" applyFont="1" applyFill="1" applyBorder="1" applyAlignment="1"/>
    <xf numFmtId="173" fontId="2" fillId="6" borderId="61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62" xfId="33" applyFont="1" applyFill="1" applyBorder="1" applyAlignment="1">
      <alignment horizontal="center" vertical="center" wrapText="1"/>
    </xf>
    <xf numFmtId="164" fontId="45" fillId="8" borderId="62" xfId="33" applyFont="1" applyFill="1" applyBorder="1" applyAlignment="1">
      <alignment horizontal="center" vertical="center" wrapText="1"/>
    </xf>
    <xf numFmtId="164" fontId="45" fillId="8" borderId="62" xfId="33" applyFont="1" applyFill="1" applyBorder="1" applyAlignment="1">
      <alignment vertical="center" wrapText="1"/>
    </xf>
    <xf numFmtId="49" fontId="45" fillId="8" borderId="62" xfId="33" applyNumberFormat="1" applyFont="1" applyFill="1" applyBorder="1" applyAlignment="1">
      <alignment horizontal="center" vertical="center" wrapText="1"/>
    </xf>
    <xf numFmtId="164" fontId="43" fillId="0" borderId="62" xfId="33" applyFont="1" applyBorder="1" applyAlignment="1">
      <alignment vertical="center" wrapText="1"/>
    </xf>
    <xf numFmtId="164" fontId="46" fillId="0" borderId="62" xfId="33" applyFont="1" applyBorder="1" applyAlignment="1">
      <alignment horizontal="center" vertical="center" wrapText="1"/>
    </xf>
    <xf numFmtId="164" fontId="47" fillId="0" borderId="62" xfId="33" applyFont="1" applyBorder="1" applyAlignment="1">
      <alignment horizontal="center" vertical="center" wrapText="1"/>
    </xf>
    <xf numFmtId="164" fontId="43" fillId="0" borderId="62" xfId="33" applyBorder="1" applyAlignment="1">
      <alignment horizontal="center" vertical="center" wrapText="1"/>
    </xf>
    <xf numFmtId="0" fontId="48" fillId="31" borderId="62" xfId="34" applyFont="1" applyFill="1" applyBorder="1" applyAlignment="1">
      <alignment horizontal="center" vertical="center" wrapText="1"/>
    </xf>
    <xf numFmtId="164" fontId="43" fillId="32" borderId="62" xfId="33" applyFill="1" applyBorder="1" applyAlignment="1">
      <alignment horizontal="center" vertical="center" wrapText="1"/>
    </xf>
    <xf numFmtId="164" fontId="43" fillId="0" borderId="62" xfId="33" applyBorder="1" applyAlignment="1">
      <alignment horizontal="left" vertical="center" wrapText="1"/>
    </xf>
    <xf numFmtId="166" fontId="46" fillId="0" borderId="62" xfId="33" applyNumberFormat="1" applyFont="1" applyBorder="1" applyAlignment="1">
      <alignment horizontal="center" vertical="center" wrapText="1"/>
    </xf>
    <xf numFmtId="164" fontId="49" fillId="0" borderId="62" xfId="33" applyFont="1" applyBorder="1" applyAlignment="1">
      <alignment horizontal="center" vertical="center" wrapText="1"/>
    </xf>
    <xf numFmtId="165" fontId="43" fillId="0" borderId="62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62" xfId="33" applyNumberFormat="1" applyBorder="1" applyAlignment="1">
      <alignment horizontal="center" vertical="center" wrapText="1"/>
    </xf>
    <xf numFmtId="164" fontId="50" fillId="0" borderId="62" xfId="33" applyFont="1" applyBorder="1" applyAlignment="1">
      <alignment horizontal="center" vertical="center" wrapText="1"/>
    </xf>
    <xf numFmtId="164" fontId="43" fillId="0" borderId="62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8" xfId="11" applyNumberFormat="1" applyFont="1" applyFill="1" applyBorder="1" applyAlignment="1">
      <alignment horizontal="center" vertical="center"/>
    </xf>
    <xf numFmtId="49" fontId="51" fillId="19" borderId="63" xfId="11" applyNumberFormat="1" applyFont="1" applyFill="1" applyBorder="1" applyAlignment="1">
      <alignment horizontal="center" vertical="center"/>
    </xf>
    <xf numFmtId="164" fontId="44" fillId="8" borderId="62" xfId="33" applyFont="1" applyFill="1" applyBorder="1" applyAlignment="1">
      <alignment vertical="center" wrapText="1"/>
    </xf>
    <xf numFmtId="164" fontId="44" fillId="33" borderId="62" xfId="33" applyFont="1" applyFill="1" applyBorder="1" applyAlignment="1">
      <alignment horizontal="center" vertical="center" wrapText="1"/>
    </xf>
    <xf numFmtId="164" fontId="52" fillId="33" borderId="62" xfId="33" applyFont="1" applyFill="1" applyBorder="1" applyAlignment="1">
      <alignment horizontal="center" vertical="center" wrapText="1"/>
    </xf>
    <xf numFmtId="164" fontId="53" fillId="33" borderId="62" xfId="33" applyFont="1" applyFill="1" applyBorder="1" applyAlignment="1">
      <alignment horizontal="center" vertical="center" wrapText="1"/>
    </xf>
    <xf numFmtId="167" fontId="8" fillId="19" borderId="59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56" fillId="0" borderId="0" xfId="11" applyFont="1"/>
    <xf numFmtId="164" fontId="17" fillId="0" borderId="0" xfId="11" applyFont="1"/>
    <xf numFmtId="49" fontId="0" fillId="19" borderId="53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62" xfId="33" applyFont="1" applyFill="1" applyBorder="1" applyAlignment="1">
      <alignment horizontal="center" vertical="center"/>
    </xf>
    <xf numFmtId="0" fontId="43" fillId="10" borderId="62" xfId="34" applyFont="1" applyFill="1" applyBorder="1" applyAlignment="1">
      <alignment horizontal="center" vertical="center" wrapText="1"/>
    </xf>
    <xf numFmtId="164" fontId="43" fillId="10" borderId="62" xfId="33" applyFont="1" applyFill="1" applyBorder="1" applyAlignment="1">
      <alignment horizontal="center" vertical="center" wrapText="1"/>
    </xf>
    <xf numFmtId="164" fontId="43" fillId="32" borderId="64" xfId="33" applyFont="1" applyFill="1" applyBorder="1" applyAlignment="1">
      <alignment horizontal="center" vertical="center" wrapText="1"/>
    </xf>
    <xf numFmtId="164" fontId="43" fillId="10" borderId="62" xfId="33" applyFont="1" applyFill="1" applyBorder="1" applyAlignment="1">
      <alignment horizontal="left" vertical="center" wrapText="1"/>
    </xf>
    <xf numFmtId="166" fontId="46" fillId="10" borderId="62" xfId="33" applyNumberFormat="1" applyFont="1" applyFill="1" applyBorder="1" applyAlignment="1">
      <alignment horizontal="center" vertical="center" wrapText="1"/>
    </xf>
    <xf numFmtId="166" fontId="46" fillId="10" borderId="64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62" xfId="33" applyFont="1" applyFill="1" applyBorder="1" applyAlignment="1">
      <alignment horizontal="center" vertical="center"/>
    </xf>
    <xf numFmtId="164" fontId="44" fillId="16" borderId="62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62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50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7" xfId="11" applyNumberFormat="1" applyFont="1" applyBorder="1" applyAlignment="1">
      <alignment textRotation="90"/>
    </xf>
    <xf numFmtId="164" fontId="2" fillId="36" borderId="47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5" xfId="11" applyNumberFormat="1" applyBorder="1"/>
    <xf numFmtId="1" fontId="1" fillId="0" borderId="66" xfId="11" applyNumberFormat="1" applyBorder="1"/>
    <xf numFmtId="1" fontId="1" fillId="36" borderId="52" xfId="11" applyNumberFormat="1" applyFill="1" applyBorder="1"/>
    <xf numFmtId="1" fontId="1" fillId="27" borderId="17" xfId="11" applyNumberFormat="1" applyFill="1" applyBorder="1"/>
    <xf numFmtId="1" fontId="1" fillId="0" borderId="67" xfId="11" applyNumberFormat="1" applyBorder="1"/>
    <xf numFmtId="1" fontId="1" fillId="0" borderId="68" xfId="11" applyNumberFormat="1" applyBorder="1"/>
    <xf numFmtId="1" fontId="1" fillId="36" borderId="53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61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9" xfId="11" applyNumberFormat="1" applyBorder="1"/>
    <xf numFmtId="1" fontId="1" fillId="0" borderId="70" xfId="11" applyNumberFormat="1" applyBorder="1"/>
    <xf numFmtId="1" fontId="1" fillId="36" borderId="61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62" xfId="17" applyNumberFormat="1" applyFill="1" applyBorder="1"/>
    <xf numFmtId="164" fontId="1" fillId="0" borderId="0" xfId="17" applyFill="1"/>
    <xf numFmtId="164" fontId="2" fillId="15" borderId="71" xfId="17" applyFont="1" applyFill="1" applyBorder="1" applyAlignment="1">
      <alignment horizontal="center"/>
    </xf>
    <xf numFmtId="0" fontId="59" fillId="2" borderId="71" xfId="17" quotePrefix="1" applyNumberFormat="1" applyFont="1" applyFill="1" applyBorder="1" applyAlignment="1">
      <alignment horizontal="center"/>
    </xf>
    <xf numFmtId="164" fontId="2" fillId="6" borderId="71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72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3" xfId="11" applyNumberFormat="1" applyFont="1" applyFill="1" applyBorder="1" applyAlignment="1">
      <alignment horizontal="left" vertical="center"/>
    </xf>
    <xf numFmtId="49" fontId="8" fillId="7" borderId="63" xfId="11" applyNumberFormat="1" applyFont="1" applyFill="1" applyBorder="1" applyAlignment="1">
      <alignment horizontal="center" vertical="center"/>
    </xf>
    <xf numFmtId="49" fontId="8" fillId="5" borderId="63" xfId="11" applyNumberFormat="1" applyFont="1" applyFill="1" applyBorder="1" applyAlignment="1">
      <alignment horizontal="left" vertical="center"/>
    </xf>
    <xf numFmtId="49" fontId="8" fillId="5" borderId="74" xfId="11" applyNumberFormat="1" applyFont="1" applyFill="1" applyBorder="1" applyAlignment="1">
      <alignment horizontal="left" vertical="center"/>
    </xf>
    <xf numFmtId="49" fontId="9" fillId="23" borderId="35" xfId="15" applyNumberFormat="1" applyFont="1" applyFill="1" applyBorder="1" applyAlignment="1">
      <alignment horizontal="center"/>
    </xf>
    <xf numFmtId="169" fontId="60" fillId="23" borderId="48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72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62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3" xfId="11" applyNumberFormat="1" applyFont="1" applyFill="1" applyBorder="1" applyAlignment="1">
      <alignment horizontal="left" vertical="center"/>
    </xf>
    <xf numFmtId="49" fontId="8" fillId="5" borderId="76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8" xfId="16" applyNumberFormat="1" applyFont="1" applyFill="1" applyBorder="1" applyAlignment="1">
      <alignment horizontal="center" vertical="center"/>
    </xf>
    <xf numFmtId="169" fontId="25" fillId="40" borderId="48" xfId="16" applyNumberFormat="1" applyFont="1" applyFill="1" applyBorder="1" applyAlignment="1">
      <alignment horizontal="center" vertical="center"/>
    </xf>
    <xf numFmtId="169" fontId="25" fillId="6" borderId="48" xfId="16" applyNumberFormat="1" applyFont="1" applyFill="1" applyBorder="1" applyAlignment="1">
      <alignment horizontal="center" vertical="center"/>
    </xf>
    <xf numFmtId="169" fontId="25" fillId="0" borderId="68" xfId="16" applyNumberFormat="1" applyFont="1" applyFill="1" applyBorder="1" applyAlignment="1">
      <alignment horizontal="center" vertical="center"/>
    </xf>
    <xf numFmtId="0" fontId="2" fillId="30" borderId="62" xfId="11" applyNumberFormat="1" applyFont="1" applyFill="1" applyBorder="1" applyAlignment="1">
      <alignment horizontal="center" vertical="center" wrapText="1"/>
    </xf>
    <xf numFmtId="0" fontId="8" fillId="30" borderId="62" xfId="11" applyNumberFormat="1" applyFont="1" applyFill="1" applyBorder="1" applyAlignment="1">
      <alignment horizontal="center" vertical="center"/>
    </xf>
    <xf numFmtId="0" fontId="2" fillId="30" borderId="62" xfId="11" applyNumberFormat="1" applyFont="1" applyFill="1" applyBorder="1" applyAlignment="1">
      <alignment vertical="center"/>
    </xf>
    <xf numFmtId="0" fontId="2" fillId="30" borderId="62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3" xfId="17" applyNumberFormat="1" applyFont="1" applyFill="1" applyBorder="1" applyAlignment="1">
      <alignment horizontal="left" vertical="center"/>
    </xf>
    <xf numFmtId="49" fontId="8" fillId="5" borderId="76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3" xfId="11" applyNumberFormat="1" applyFont="1" applyFill="1" applyBorder="1" applyAlignment="1">
      <alignment horizontal="center" vertical="center"/>
    </xf>
    <xf numFmtId="169" fontId="25" fillId="40" borderId="48" xfId="16" applyNumberFormat="1" applyFont="1" applyFill="1" applyBorder="1" applyAlignment="1">
      <alignment horizontal="center" wrapText="1"/>
    </xf>
    <xf numFmtId="169" fontId="25" fillId="6" borderId="48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9" xfId="11" applyNumberFormat="1" applyFont="1" applyFill="1" applyBorder="1" applyAlignment="1">
      <alignment horizontal="center" wrapText="1"/>
    </xf>
    <xf numFmtId="0" fontId="0" fillId="30" borderId="79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72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72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8" xfId="16" applyNumberFormat="1" applyFont="1" applyFill="1" applyBorder="1" applyAlignment="1">
      <alignment horizontal="center"/>
    </xf>
    <xf numFmtId="14" fontId="0" fillId="0" borderId="0" xfId="11" applyNumberFormat="1" applyFont="1"/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64" fontId="7" fillId="0" borderId="0" xfId="1" applyFont="1" applyAlignment="1">
      <alignment textRotation="90"/>
    </xf>
    <xf numFmtId="164" fontId="1" fillId="0" borderId="0" xfId="1" applyAlignment="1"/>
    <xf numFmtId="164" fontId="7" fillId="0" borderId="0" xfId="1" applyFont="1" applyAlignment="1">
      <alignment horizontal="center" textRotation="90" wrapText="1"/>
    </xf>
    <xf numFmtId="164" fontId="1" fillId="0" borderId="0" xfId="1" applyAlignment="1">
      <alignment horizontal="center"/>
    </xf>
    <xf numFmtId="164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8" xfId="11" applyNumberFormat="1" applyFont="1" applyFill="1" applyBorder="1" applyAlignment="1">
      <alignment horizontal="center" vertical="center"/>
    </xf>
    <xf numFmtId="49" fontId="8" fillId="19" borderId="59" xfId="11" applyNumberFormat="1" applyFont="1" applyFill="1" applyBorder="1" applyAlignment="1">
      <alignment horizontal="center" vertical="center"/>
    </xf>
    <xf numFmtId="164" fontId="1" fillId="0" borderId="60" xfId="11" applyBorder="1" applyAlignment="1">
      <alignment horizontal="center" vertical="center"/>
    </xf>
    <xf numFmtId="0" fontId="26" fillId="18" borderId="50" xfId="14" applyFont="1" applyFill="1" applyBorder="1" applyAlignment="1">
      <alignment horizontal="center" vertical="center" wrapText="1"/>
    </xf>
    <xf numFmtId="164" fontId="1" fillId="18" borderId="54" xfId="11" applyFill="1" applyBorder="1" applyAlignment="1">
      <alignment horizontal="center" vertical="center" wrapText="1"/>
    </xf>
    <xf numFmtId="164" fontId="1" fillId="37" borderId="75" xfId="17" applyFill="1" applyBorder="1" applyAlignment="1">
      <alignment vertical="center" wrapText="1"/>
    </xf>
    <xf numFmtId="164" fontId="1" fillId="37" borderId="46" xfId="11" applyFill="1" applyBorder="1" applyAlignment="1">
      <alignment vertical="center" wrapText="1"/>
    </xf>
    <xf numFmtId="0" fontId="2" fillId="30" borderId="62" xfId="11" applyNumberFormat="1" applyFont="1" applyFill="1" applyBorder="1" applyAlignment="1">
      <alignment horizontal="center" vertical="center" wrapText="1"/>
    </xf>
    <xf numFmtId="164" fontId="2" fillId="0" borderId="62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7" xfId="11" applyNumberFormat="1" applyFont="1" applyFill="1" applyBorder="1" applyAlignment="1">
      <alignment horizontal="center" vertical="center"/>
    </xf>
    <xf numFmtId="164" fontId="1" fillId="0" borderId="78" xfId="11" applyBorder="1" applyAlignment="1">
      <alignment horizontal="center" vertical="center"/>
    </xf>
    <xf numFmtId="0" fontId="11" fillId="0" borderId="80" xfId="7" applyNumberFormat="1" applyBorder="1" applyAlignment="1">
      <alignment horizontal="left" vertical="center"/>
    </xf>
    <xf numFmtId="0" fontId="1" fillId="0" borderId="80" xfId="11" applyNumberFormat="1" applyBorder="1" applyAlignment="1">
      <alignment horizontal="left" vertical="center"/>
    </xf>
  </cellXfs>
  <cellStyles count="40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51" xfId="23"/>
    <cellStyle name="Normal 54" xfId="10"/>
    <cellStyle name="Normal 61" xfId="17"/>
    <cellStyle name="Normal 61 2" xfId="31"/>
    <cellStyle name="Normal 69" xfId="2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1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91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91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91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91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90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91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91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91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tchSA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match"/>
      <sheetName val="Process"/>
      <sheetName val="We"/>
      <sheetName val="Log"/>
      <sheetName val="Header"/>
      <sheetName val="WP_Prototype"/>
      <sheetName val="matchSAV"/>
    </sheetNames>
    <definedNames>
      <definedName name="LogReset"/>
    </definedNames>
    <sheetDataSet>
      <sheetData sheetId="0">
        <row r="8">
          <cell r="B8" t="str">
            <v>Платежи</v>
          </cell>
          <cell r="I8" t="str">
            <v>Платежи</v>
          </cell>
        </row>
        <row r="9">
          <cell r="B9" t="str">
            <v>Платежи</v>
          </cell>
        </row>
        <row r="10">
          <cell r="B10" t="str">
            <v>Договоры</v>
          </cell>
        </row>
        <row r="12">
          <cell r="B12" t="str">
            <v>Список клиентов 1C</v>
          </cell>
        </row>
        <row r="14">
          <cell r="B14" t="str">
            <v>SF</v>
          </cell>
        </row>
        <row r="15">
          <cell r="B15" t="str">
            <v>SFD</v>
          </cell>
        </row>
        <row r="16">
          <cell r="B16" t="str">
            <v>SFopp</v>
          </cell>
        </row>
        <row r="17">
          <cell r="B17" t="str">
            <v>SFacc</v>
          </cell>
        </row>
        <row r="19">
          <cell r="B19" t="str">
            <v>ADSKfrSF</v>
          </cell>
        </row>
        <row r="21">
          <cell r="B21" t="str">
            <v>SF_PA</v>
          </cell>
        </row>
        <row r="22">
          <cell r="B22" t="str">
            <v>SForders</v>
          </cell>
        </row>
        <row r="23">
          <cell r="B23" t="str">
            <v>Склад</v>
          </cell>
        </row>
        <row r="29">
          <cell r="B29" t="str">
            <v>Заказы</v>
          </cell>
          <cell r="I29" t="str">
            <v>Заказы</v>
          </cell>
        </row>
        <row r="34">
          <cell r="B34" t="str">
            <v>BTOmails</v>
          </cell>
        </row>
        <row r="42">
          <cell r="B42" t="str">
            <v>BTOlog</v>
          </cell>
        </row>
        <row r="45">
          <cell r="B45" t="str">
            <v>NewOpp</v>
          </cell>
        </row>
        <row r="47">
          <cell r="I47" t="str">
            <v>NewOrder</v>
          </cell>
        </row>
      </sheetData>
      <sheetData sheetId="1">
        <row r="26">
          <cell r="F26" t="str">
            <v>LOAD_SF</v>
          </cell>
        </row>
        <row r="32">
          <cell r="F32" t="str">
            <v>LOAD_SFD</v>
          </cell>
        </row>
        <row r="38">
          <cell r="F38" t="str">
            <v>LOAD_SFacc</v>
          </cell>
        </row>
        <row r="92">
          <cell r="F92" t="str">
            <v>HANDL_BTOmails</v>
          </cell>
        </row>
      </sheetData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Q8" sqref="Q8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9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41510.432939814818</v>
      </c>
      <c r="C1" s="3" t="s">
        <v>0</v>
      </c>
      <c r="J1" s="4" t="s">
        <v>1</v>
      </c>
      <c r="K1" s="5"/>
      <c r="L1" s="6"/>
      <c r="M1" s="6"/>
      <c r="N1" s="6"/>
      <c r="O1" s="877" t="s">
        <v>2</v>
      </c>
      <c r="P1" s="879" t="s">
        <v>1225</v>
      </c>
      <c r="Q1" s="879" t="s">
        <v>1224</v>
      </c>
      <c r="R1" s="881" t="s">
        <v>3</v>
      </c>
      <c r="S1" s="881" t="s">
        <v>4</v>
      </c>
      <c r="V1" s="881" t="s">
        <v>1219</v>
      </c>
      <c r="W1" s="881" t="s">
        <v>1220</v>
      </c>
      <c r="X1" s="881" t="s">
        <v>1221</v>
      </c>
      <c r="Y1" s="881" t="s">
        <v>1222</v>
      </c>
      <c r="Z1" s="881" t="s">
        <v>1223</v>
      </c>
    </row>
    <row r="2" spans="1:27" ht="29.25" customHeight="1" x14ac:dyDescent="0.25">
      <c r="O2" s="878"/>
      <c r="P2" s="880"/>
      <c r="Q2" s="880"/>
      <c r="R2" s="880"/>
      <c r="S2" s="880"/>
      <c r="V2" s="880"/>
      <c r="W2" s="880"/>
      <c r="X2" s="880"/>
      <c r="Y2" s="880"/>
      <c r="Z2" s="880"/>
    </row>
    <row r="3" spans="1:27" s="8" customFormat="1" x14ac:dyDescent="0.25">
      <c r="A3" s="8" t="s">
        <v>5</v>
      </c>
      <c r="B3" s="8" t="s">
        <v>6</v>
      </c>
      <c r="C3" s="9" t="s">
        <v>7</v>
      </c>
      <c r="D3" s="8" t="s">
        <v>8</v>
      </c>
      <c r="E3" s="8" t="s">
        <v>9</v>
      </c>
      <c r="F3" s="8" t="s">
        <v>10</v>
      </c>
      <c r="G3" s="8" t="s">
        <v>11</v>
      </c>
      <c r="H3" s="8" t="s">
        <v>12</v>
      </c>
      <c r="I3" s="8" t="s">
        <v>13</v>
      </c>
      <c r="J3" s="10" t="s">
        <v>14</v>
      </c>
      <c r="K3" s="11" t="s">
        <v>15</v>
      </c>
      <c r="L3" s="10" t="s">
        <v>16</v>
      </c>
      <c r="M3" s="10" t="s">
        <v>17</v>
      </c>
      <c r="N3" s="9" t="s">
        <v>18</v>
      </c>
      <c r="O3" s="8" t="s">
        <v>19</v>
      </c>
      <c r="T3" s="8" t="s">
        <v>20</v>
      </c>
      <c r="V3" s="878"/>
      <c r="W3" s="878"/>
      <c r="X3" s="878"/>
      <c r="Y3" s="878"/>
      <c r="Z3" s="878"/>
    </row>
    <row r="4" spans="1:27" s="15" customFormat="1" x14ac:dyDescent="0.25">
      <c r="A4" s="12"/>
      <c r="B4" s="13" t="s">
        <v>21</v>
      </c>
      <c r="C4" s="14">
        <v>52</v>
      </c>
      <c r="H4" s="13" t="s">
        <v>22</v>
      </c>
      <c r="I4" s="13" t="s">
        <v>21</v>
      </c>
      <c r="J4" s="13" t="s">
        <v>21</v>
      </c>
      <c r="K4" s="16" t="s">
        <v>23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24</v>
      </c>
      <c r="C5" s="14" t="s">
        <v>25</v>
      </c>
      <c r="H5" s="13" t="s">
        <v>22</v>
      </c>
      <c r="I5" s="13" t="s">
        <v>24</v>
      </c>
      <c r="J5" s="13" t="s">
        <v>24</v>
      </c>
      <c r="K5" s="16" t="s">
        <v>23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26</v>
      </c>
      <c r="C6" s="14" t="s">
        <v>7</v>
      </c>
      <c r="H6" s="13" t="s">
        <v>27</v>
      </c>
      <c r="I6" s="13"/>
      <c r="J6" s="13" t="s">
        <v>28</v>
      </c>
      <c r="K6" s="16" t="s">
        <v>23</v>
      </c>
      <c r="L6" s="17">
        <v>3</v>
      </c>
      <c r="M6" s="17">
        <v>1</v>
      </c>
      <c r="N6" s="18">
        <v>41112.947581018518</v>
      </c>
      <c r="O6" s="13" t="s">
        <v>29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30</v>
      </c>
      <c r="K7" s="16" t="s">
        <v>31</v>
      </c>
      <c r="L7" s="17">
        <v>6</v>
      </c>
      <c r="M7" s="17">
        <v>1</v>
      </c>
      <c r="N7" s="18"/>
    </row>
    <row r="8" spans="1:27" s="22" customFormat="1" x14ac:dyDescent="0.25">
      <c r="A8" s="21">
        <v>41510.432939814818</v>
      </c>
      <c r="B8" s="22" t="s">
        <v>32</v>
      </c>
      <c r="C8" s="23">
        <v>5778</v>
      </c>
      <c r="D8" s="23">
        <v>5</v>
      </c>
      <c r="E8" s="23">
        <v>2</v>
      </c>
      <c r="F8" s="2" t="s">
        <v>33</v>
      </c>
      <c r="G8" s="23" t="s">
        <v>34</v>
      </c>
      <c r="H8" s="22" t="s">
        <v>35</v>
      </c>
      <c r="I8" s="24" t="s">
        <v>32</v>
      </c>
      <c r="J8" s="25" t="s">
        <v>36</v>
      </c>
      <c r="K8" s="26" t="s">
        <v>31</v>
      </c>
      <c r="L8" s="27">
        <v>1</v>
      </c>
      <c r="M8" s="27" t="s">
        <v>37</v>
      </c>
      <c r="N8" s="28">
        <v>41510</v>
      </c>
      <c r="O8" s="29" t="s">
        <v>29</v>
      </c>
      <c r="P8" s="30" t="s">
        <v>171</v>
      </c>
      <c r="Q8" s="30" t="s">
        <v>172</v>
      </c>
      <c r="R8" s="30">
        <v>40057</v>
      </c>
      <c r="S8" s="30">
        <v>41508</v>
      </c>
      <c r="T8" s="22" t="s">
        <v>38</v>
      </c>
      <c r="V8" s="27">
        <v>2</v>
      </c>
      <c r="W8" s="27" t="s">
        <v>7</v>
      </c>
      <c r="X8" s="27">
        <v>2</v>
      </c>
      <c r="Y8" s="30">
        <v>41506</v>
      </c>
      <c r="Z8" s="30">
        <v>41508</v>
      </c>
    </row>
    <row r="9" spans="1:27" s="32" customFormat="1" x14ac:dyDescent="0.25">
      <c r="A9" s="31"/>
      <c r="B9" s="32" t="s">
        <v>32</v>
      </c>
      <c r="C9" s="33"/>
      <c r="D9" s="33"/>
      <c r="E9" s="33"/>
      <c r="J9" s="34" t="s">
        <v>39</v>
      </c>
      <c r="K9" s="35" t="s">
        <v>31</v>
      </c>
      <c r="L9" s="17">
        <v>1</v>
      </c>
      <c r="M9" s="17" t="s">
        <v>40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41510.332696759258</v>
      </c>
      <c r="B10" s="2" t="s">
        <v>41</v>
      </c>
      <c r="C10" s="41">
        <v>1402</v>
      </c>
      <c r="D10" s="42">
        <v>8</v>
      </c>
      <c r="E10" s="41" t="s">
        <v>42</v>
      </c>
      <c r="F10" s="2" t="s">
        <v>33</v>
      </c>
      <c r="G10" s="33" t="s">
        <v>34</v>
      </c>
      <c r="H10" s="2" t="s">
        <v>35</v>
      </c>
      <c r="I10" s="43" t="s">
        <v>41</v>
      </c>
      <c r="J10" s="44" t="s">
        <v>44</v>
      </c>
      <c r="K10" s="45" t="s">
        <v>31</v>
      </c>
      <c r="L10" s="17">
        <v>1</v>
      </c>
      <c r="M10" s="17" t="s">
        <v>45</v>
      </c>
      <c r="N10" s="46">
        <v>41510</v>
      </c>
      <c r="O10" s="47" t="s">
        <v>29</v>
      </c>
      <c r="P10" s="875" t="s">
        <v>175</v>
      </c>
      <c r="Q10" s="199" t="s">
        <v>176</v>
      </c>
      <c r="R10" s="48">
        <v>40058</v>
      </c>
      <c r="S10" s="48">
        <v>41508</v>
      </c>
      <c r="T10" s="2" t="s">
        <v>46</v>
      </c>
      <c r="V10" s="17">
        <v>2</v>
      </c>
      <c r="W10" s="17" t="s">
        <v>7</v>
      </c>
      <c r="X10" s="17">
        <v>4</v>
      </c>
      <c r="Y10" s="38">
        <v>41508</v>
      </c>
      <c r="Z10" s="38">
        <v>41508</v>
      </c>
    </row>
    <row r="11" spans="1:27" x14ac:dyDescent="0.25">
      <c r="A11" s="31"/>
      <c r="B11" s="2" t="s">
        <v>41</v>
      </c>
      <c r="C11" s="41"/>
      <c r="D11" s="42"/>
      <c r="E11" s="42"/>
      <c r="G11" s="32"/>
      <c r="I11" s="32"/>
      <c r="J11" s="44" t="s">
        <v>47</v>
      </c>
      <c r="K11" s="45" t="s">
        <v>31</v>
      </c>
      <c r="L11" s="17">
        <v>1</v>
      </c>
      <c r="M11" s="17" t="s">
        <v>48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41507.01185185185</v>
      </c>
      <c r="B12" s="2" t="s">
        <v>49</v>
      </c>
      <c r="C12" s="41">
        <v>1772</v>
      </c>
      <c r="D12" s="41">
        <v>1</v>
      </c>
      <c r="E12" s="41">
        <v>0</v>
      </c>
      <c r="F12" s="2" t="s">
        <v>50</v>
      </c>
      <c r="G12" s="33" t="s">
        <v>51</v>
      </c>
      <c r="H12" s="2" t="s">
        <v>35</v>
      </c>
      <c r="I12" s="51" t="s">
        <v>49</v>
      </c>
      <c r="J12" s="44" t="s">
        <v>52</v>
      </c>
      <c r="K12" s="45" t="s">
        <v>31</v>
      </c>
      <c r="L12" s="17" t="s">
        <v>53</v>
      </c>
      <c r="M12" s="17" t="s">
        <v>54</v>
      </c>
      <c r="N12" s="46">
        <v>41503</v>
      </c>
      <c r="O12" s="47" t="s">
        <v>29</v>
      </c>
      <c r="P12" s="875" t="s">
        <v>1226</v>
      </c>
      <c r="Q12" s="876" t="s">
        <v>1227</v>
      </c>
      <c r="R12" s="48">
        <v>39356</v>
      </c>
      <c r="S12" s="48">
        <v>41503</v>
      </c>
      <c r="T12" s="2" t="s">
        <v>55</v>
      </c>
      <c r="V12" s="40"/>
      <c r="W12" s="40"/>
      <c r="X12" s="40"/>
    </row>
    <row r="13" spans="1:27" x14ac:dyDescent="0.25">
      <c r="A13" s="31"/>
      <c r="B13" s="2" t="s">
        <v>49</v>
      </c>
      <c r="C13" s="41"/>
      <c r="D13" s="41"/>
      <c r="E13" s="41"/>
      <c r="G13" s="52"/>
      <c r="I13" s="32"/>
      <c r="J13" s="44" t="s">
        <v>56</v>
      </c>
      <c r="K13" s="45" t="s">
        <v>31</v>
      </c>
      <c r="L13" s="17" t="s">
        <v>53</v>
      </c>
      <c r="M13" s="17" t="s">
        <v>57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41509.159907407404</v>
      </c>
      <c r="B14" s="22" t="s">
        <v>58</v>
      </c>
      <c r="C14" s="23">
        <v>4854</v>
      </c>
      <c r="D14" s="23">
        <v>2</v>
      </c>
      <c r="E14" s="23">
        <v>6</v>
      </c>
      <c r="F14" s="22" t="s">
        <v>59</v>
      </c>
      <c r="G14" s="23" t="s">
        <v>60</v>
      </c>
      <c r="H14" s="22" t="str">
        <f t="shared" ref="H14:H22" si="0">H$6</f>
        <v>SFDC.xlsx</v>
      </c>
      <c r="I14" s="54" t="s">
        <v>58</v>
      </c>
      <c r="J14" s="25" t="s">
        <v>61</v>
      </c>
      <c r="K14" s="26" t="s">
        <v>31</v>
      </c>
      <c r="L14" s="27">
        <v>2</v>
      </c>
      <c r="M14" s="27" t="s">
        <v>62</v>
      </c>
      <c r="N14" s="55">
        <v>41509.158333333333</v>
      </c>
      <c r="O14" s="29"/>
      <c r="P14" s="29"/>
      <c r="Q14" s="29"/>
      <c r="T14" s="22" t="str">
        <f>[1]Process!F26</f>
        <v>LOAD_SF</v>
      </c>
      <c r="Y14" s="56"/>
      <c r="Z14" s="56"/>
      <c r="AA14" s="57"/>
    </row>
    <row r="15" spans="1:27" ht="15.75" customHeight="1" x14ac:dyDescent="0.25">
      <c r="A15" s="12">
        <v>41507.005069444444</v>
      </c>
      <c r="B15" s="2" t="s">
        <v>63</v>
      </c>
      <c r="C15" s="41">
        <v>1145</v>
      </c>
      <c r="D15" s="42">
        <v>2</v>
      </c>
      <c r="E15" s="42">
        <v>6</v>
      </c>
      <c r="F15" s="2" t="s">
        <v>59</v>
      </c>
      <c r="G15" s="33" t="s">
        <v>60</v>
      </c>
      <c r="H15" s="2" t="str">
        <f t="shared" si="0"/>
        <v>SFDC.xlsx</v>
      </c>
      <c r="I15" s="58" t="s">
        <v>63</v>
      </c>
      <c r="J15" s="44" t="s">
        <v>64</v>
      </c>
      <c r="K15" s="45" t="s">
        <v>31</v>
      </c>
      <c r="L15" s="40">
        <v>2</v>
      </c>
      <c r="M15" s="40" t="s">
        <v>62</v>
      </c>
      <c r="N15" s="59">
        <v>41507.00277777778</v>
      </c>
      <c r="O15" s="47"/>
      <c r="Q15" s="47"/>
      <c r="T15" s="32" t="str">
        <f>[1]Process!F32</f>
        <v>LOAD_SFD</v>
      </c>
      <c r="Y15" s="60"/>
      <c r="Z15" s="60"/>
      <c r="AA15" s="61"/>
    </row>
    <row r="16" spans="1:27" ht="15.75" x14ac:dyDescent="0.3">
      <c r="A16" s="12">
        <v>41509.046377314815</v>
      </c>
      <c r="B16" s="2" t="s">
        <v>65</v>
      </c>
      <c r="C16" s="41">
        <v>3531</v>
      </c>
      <c r="D16" s="42" t="s">
        <v>66</v>
      </c>
      <c r="E16" s="42">
        <v>6</v>
      </c>
      <c r="F16" s="2" t="s">
        <v>67</v>
      </c>
      <c r="G16" s="33" t="s">
        <v>60</v>
      </c>
      <c r="H16" s="2" t="str">
        <f t="shared" si="0"/>
        <v>SFDC.xlsx</v>
      </c>
      <c r="I16" s="58" t="s">
        <v>65</v>
      </c>
      <c r="J16" s="62" t="s">
        <v>68</v>
      </c>
      <c r="K16" s="45" t="s">
        <v>31</v>
      </c>
      <c r="L16" s="40">
        <v>2</v>
      </c>
      <c r="M16" s="40">
        <v>1</v>
      </c>
      <c r="N16" s="59">
        <v>41509.004861111112</v>
      </c>
      <c r="O16" s="47"/>
      <c r="Q16" s="47"/>
      <c r="Y16" s="60"/>
      <c r="Z16" s="60"/>
      <c r="AA16" s="61"/>
    </row>
    <row r="17" spans="1:27" ht="15.75" x14ac:dyDescent="0.3">
      <c r="A17" s="12">
        <v>41507.010347222225</v>
      </c>
      <c r="B17" s="2" t="s">
        <v>69</v>
      </c>
      <c r="C17" s="41">
        <v>4425</v>
      </c>
      <c r="D17" s="42" t="s">
        <v>66</v>
      </c>
      <c r="E17" s="42">
        <v>6</v>
      </c>
      <c r="F17" s="2" t="s">
        <v>67</v>
      </c>
      <c r="G17" s="33" t="s">
        <v>60</v>
      </c>
      <c r="H17" s="2" t="str">
        <f t="shared" si="0"/>
        <v>SFDC.xlsx</v>
      </c>
      <c r="I17" s="58" t="s">
        <v>69</v>
      </c>
      <c r="J17" s="63" t="s">
        <v>69</v>
      </c>
      <c r="K17" s="45" t="s">
        <v>31</v>
      </c>
      <c r="L17" s="40">
        <v>2</v>
      </c>
      <c r="M17" s="40">
        <v>1</v>
      </c>
      <c r="N17" s="59">
        <v>41507.009722222225</v>
      </c>
      <c r="O17" s="47"/>
      <c r="Q17" s="47"/>
      <c r="T17" s="2" t="str">
        <f>[1]Process!F38</f>
        <v>LOAD_SFacc</v>
      </c>
      <c r="Y17" s="60"/>
      <c r="Z17" s="60"/>
      <c r="AA17" s="61"/>
    </row>
    <row r="18" spans="1:27" ht="15.75" x14ac:dyDescent="0.3">
      <c r="A18" s="12">
        <v>41506.961967592593</v>
      </c>
      <c r="B18" s="2" t="s">
        <v>70</v>
      </c>
      <c r="C18" s="41">
        <v>8630</v>
      </c>
      <c r="D18" s="42" t="s">
        <v>66</v>
      </c>
      <c r="E18" s="42">
        <v>6</v>
      </c>
      <c r="F18" s="2" t="s">
        <v>67</v>
      </c>
      <c r="G18" s="33" t="s">
        <v>51</v>
      </c>
      <c r="H18" s="2" t="str">
        <f t="shared" si="0"/>
        <v>SFDC.xlsx</v>
      </c>
      <c r="I18" s="58" t="s">
        <v>70</v>
      </c>
      <c r="J18" s="63" t="s">
        <v>71</v>
      </c>
      <c r="K18" s="45" t="s">
        <v>31</v>
      </c>
      <c r="L18" s="40">
        <v>2</v>
      </c>
      <c r="M18" s="40">
        <v>1</v>
      </c>
      <c r="N18" s="59">
        <v>41506.960416666669</v>
      </c>
      <c r="O18" s="47"/>
      <c r="Q18" s="47"/>
      <c r="Y18" s="60"/>
      <c r="Z18" s="60"/>
      <c r="AA18" s="61"/>
    </row>
    <row r="19" spans="1:27" ht="15.75" x14ac:dyDescent="0.3">
      <c r="A19" s="12">
        <v>41502.225694444445</v>
      </c>
      <c r="B19" s="2" t="s">
        <v>72</v>
      </c>
      <c r="C19" s="41">
        <v>2200</v>
      </c>
      <c r="D19" s="42" t="s">
        <v>66</v>
      </c>
      <c r="E19" s="42">
        <v>6</v>
      </c>
      <c r="F19" s="2" t="s">
        <v>73</v>
      </c>
      <c r="G19" s="33" t="s">
        <v>51</v>
      </c>
      <c r="H19" s="2" t="str">
        <f t="shared" si="0"/>
        <v>SFDC.xlsx</v>
      </c>
      <c r="I19" s="58" t="s">
        <v>72</v>
      </c>
      <c r="J19" s="64" t="s">
        <v>74</v>
      </c>
      <c r="K19" s="45" t="s">
        <v>31</v>
      </c>
      <c r="L19" s="40">
        <v>2</v>
      </c>
      <c r="M19" s="40">
        <v>1</v>
      </c>
      <c r="N19" s="59">
        <v>41499.544444444444</v>
      </c>
      <c r="O19" s="47"/>
      <c r="Q19" s="47"/>
      <c r="Y19" s="60"/>
      <c r="Z19" s="60"/>
      <c r="AA19" s="61"/>
    </row>
    <row r="20" spans="1:27" ht="15.75" x14ac:dyDescent="0.3">
      <c r="A20" s="65">
        <v>41469.565416666665</v>
      </c>
      <c r="B20" s="2" t="s">
        <v>75</v>
      </c>
      <c r="C20" s="41">
        <v>106</v>
      </c>
      <c r="D20" s="42" t="s">
        <v>66</v>
      </c>
      <c r="E20" s="42">
        <v>6</v>
      </c>
      <c r="F20" s="2" t="s">
        <v>67</v>
      </c>
      <c r="G20" s="33" t="s">
        <v>51</v>
      </c>
      <c r="H20" s="2" t="str">
        <f t="shared" si="0"/>
        <v>SFDC.xlsx</v>
      </c>
      <c r="I20" s="58" t="s">
        <v>75</v>
      </c>
      <c r="J20" s="64" t="s">
        <v>76</v>
      </c>
      <c r="K20" s="45" t="s">
        <v>31</v>
      </c>
      <c r="L20" s="40">
        <v>2</v>
      </c>
      <c r="M20" s="40">
        <v>1</v>
      </c>
      <c r="N20" s="59">
        <v>41469.551388888889</v>
      </c>
      <c r="O20" s="47"/>
      <c r="Q20" s="47"/>
      <c r="Y20" s="61"/>
      <c r="Z20" s="61"/>
      <c r="AA20" s="61"/>
    </row>
    <row r="21" spans="1:27" ht="15.75" x14ac:dyDescent="0.3">
      <c r="A21" s="65">
        <v>41469.568298611113</v>
      </c>
      <c r="B21" s="2" t="s">
        <v>77</v>
      </c>
      <c r="C21" s="41">
        <v>191</v>
      </c>
      <c r="D21" s="42" t="s">
        <v>66</v>
      </c>
      <c r="E21" s="42">
        <v>6</v>
      </c>
      <c r="F21" s="2" t="s">
        <v>67</v>
      </c>
      <c r="G21" s="33" t="s">
        <v>78</v>
      </c>
      <c r="H21" s="2" t="str">
        <f t="shared" si="0"/>
        <v>SFDC.xlsx</v>
      </c>
      <c r="I21" s="58" t="s">
        <v>77</v>
      </c>
      <c r="J21" s="66" t="s">
        <v>79</v>
      </c>
      <c r="K21" s="45" t="s">
        <v>31</v>
      </c>
      <c r="L21" s="40">
        <v>2</v>
      </c>
      <c r="M21" s="40">
        <v>1</v>
      </c>
      <c r="N21" s="59">
        <v>41469.549305555556</v>
      </c>
      <c r="O21" s="47"/>
      <c r="Q21" s="47"/>
      <c r="Y21" s="61"/>
      <c r="Z21" s="61"/>
      <c r="AA21" s="61"/>
    </row>
    <row r="22" spans="1:27" ht="15.75" x14ac:dyDescent="0.3">
      <c r="A22" s="12">
        <v>41504.096979166665</v>
      </c>
      <c r="B22" s="2" t="s">
        <v>80</v>
      </c>
      <c r="C22" s="41">
        <v>777</v>
      </c>
      <c r="D22" s="42" t="s">
        <v>66</v>
      </c>
      <c r="E22" s="42">
        <v>6</v>
      </c>
      <c r="F22" s="2" t="s">
        <v>67</v>
      </c>
      <c r="G22" s="33" t="s">
        <v>81</v>
      </c>
      <c r="H22" s="2" t="str">
        <f t="shared" si="0"/>
        <v>SFDC.xlsx</v>
      </c>
      <c r="I22" s="67" t="s">
        <v>80</v>
      </c>
      <c r="J22" s="68" t="s">
        <v>82</v>
      </c>
      <c r="K22" s="69" t="s">
        <v>31</v>
      </c>
      <c r="L22" s="40">
        <v>2</v>
      </c>
      <c r="M22" s="40">
        <v>1</v>
      </c>
      <c r="N22" s="70">
        <v>41504.054166666669</v>
      </c>
      <c r="O22" s="71"/>
      <c r="P22" s="72"/>
      <c r="Q22" s="71"/>
      <c r="R22" s="72"/>
      <c r="S22" s="72"/>
      <c r="Y22" s="61"/>
      <c r="Z22" s="61"/>
      <c r="AA22" s="61"/>
    </row>
    <row r="23" spans="1:27" s="22" customFormat="1" x14ac:dyDescent="0.25">
      <c r="A23" s="73">
        <v>41369.796909722223</v>
      </c>
      <c r="B23" s="22" t="s">
        <v>83</v>
      </c>
      <c r="C23" s="74">
        <v>9955</v>
      </c>
      <c r="D23" s="74" t="s">
        <v>84</v>
      </c>
      <c r="E23" s="74" t="s">
        <v>66</v>
      </c>
      <c r="F23" s="22" t="s">
        <v>85</v>
      </c>
      <c r="G23" s="75">
        <v>10</v>
      </c>
      <c r="H23" s="22" t="s">
        <v>86</v>
      </c>
      <c r="I23" s="76" t="str">
        <f>B23</f>
        <v>Склад</v>
      </c>
      <c r="J23" s="25" t="s">
        <v>52</v>
      </c>
      <c r="K23" s="35" t="s">
        <v>23</v>
      </c>
      <c r="L23" s="27" t="s">
        <v>62</v>
      </c>
      <c r="M23" s="27" t="s">
        <v>87</v>
      </c>
      <c r="N23" s="77">
        <v>41349.908078703702</v>
      </c>
      <c r="O23" s="37" t="s">
        <v>29</v>
      </c>
      <c r="P23" s="39"/>
      <c r="Q23" s="78" t="s">
        <v>88</v>
      </c>
      <c r="R23" s="79"/>
      <c r="S23" s="39"/>
      <c r="T23" s="22" t="s">
        <v>89</v>
      </c>
      <c r="Y23" s="57"/>
      <c r="Z23" s="57"/>
      <c r="AA23" s="57"/>
    </row>
    <row r="24" spans="1:27" s="32" customFormat="1" x14ac:dyDescent="0.25">
      <c r="A24" s="80"/>
      <c r="C24" s="81"/>
      <c r="D24" s="81"/>
      <c r="E24" s="81"/>
      <c r="I24" s="39"/>
      <c r="J24" s="34" t="s">
        <v>90</v>
      </c>
      <c r="K24" s="35" t="s">
        <v>31</v>
      </c>
      <c r="L24" s="17" t="s">
        <v>62</v>
      </c>
      <c r="M24" s="17" t="s">
        <v>91</v>
      </c>
      <c r="N24" s="82"/>
      <c r="O24" s="37" t="s">
        <v>29</v>
      </c>
      <c r="Q24" s="37"/>
      <c r="R24" s="79"/>
    </row>
    <row r="25" spans="1:27" s="32" customFormat="1" x14ac:dyDescent="0.25">
      <c r="A25" s="80"/>
      <c r="C25" s="81"/>
      <c r="D25" s="81"/>
      <c r="E25" s="81"/>
      <c r="I25" s="39"/>
      <c r="J25" s="34" t="s">
        <v>92</v>
      </c>
      <c r="K25" s="35" t="s">
        <v>31</v>
      </c>
      <c r="L25" s="17" t="s">
        <v>62</v>
      </c>
      <c r="M25" s="17" t="s">
        <v>93</v>
      </c>
      <c r="N25" s="82"/>
      <c r="O25" s="37" t="s">
        <v>29</v>
      </c>
      <c r="Q25" s="37"/>
      <c r="R25" s="79"/>
    </row>
    <row r="26" spans="1:27" s="32" customFormat="1" x14ac:dyDescent="0.25">
      <c r="A26" s="80"/>
      <c r="C26" s="81"/>
      <c r="D26" s="81"/>
      <c r="E26" s="81"/>
      <c r="I26" s="39"/>
      <c r="J26" s="34" t="s">
        <v>94</v>
      </c>
      <c r="K26" s="35" t="s">
        <v>31</v>
      </c>
      <c r="L26" s="17" t="s">
        <v>62</v>
      </c>
      <c r="M26" s="17" t="s">
        <v>95</v>
      </c>
      <c r="N26" s="82"/>
      <c r="O26" s="37" t="s">
        <v>29</v>
      </c>
      <c r="Q26" s="37"/>
      <c r="R26" s="79"/>
    </row>
    <row r="27" spans="1:27" s="32" customFormat="1" x14ac:dyDescent="0.25">
      <c r="A27" s="80"/>
      <c r="C27" s="81"/>
      <c r="D27" s="81"/>
      <c r="E27" s="81"/>
      <c r="I27" s="39"/>
      <c r="J27" s="34" t="s">
        <v>96</v>
      </c>
      <c r="K27" s="35" t="s">
        <v>31</v>
      </c>
      <c r="L27" s="17" t="s">
        <v>62</v>
      </c>
      <c r="M27" s="17" t="s">
        <v>97</v>
      </c>
      <c r="N27" s="82"/>
      <c r="O27" s="37" t="s">
        <v>29</v>
      </c>
      <c r="Q27" s="37"/>
      <c r="R27" s="79"/>
    </row>
    <row r="28" spans="1:27" s="84" customFormat="1" x14ac:dyDescent="0.25">
      <c r="A28" s="83"/>
      <c r="C28" s="85"/>
      <c r="D28" s="85"/>
      <c r="E28" s="85"/>
      <c r="I28" s="39"/>
      <c r="J28" s="86" t="s">
        <v>98</v>
      </c>
      <c r="K28" s="87" t="s">
        <v>31</v>
      </c>
      <c r="L28" s="88" t="s">
        <v>62</v>
      </c>
      <c r="M28" s="88" t="s">
        <v>99</v>
      </c>
      <c r="N28" s="89"/>
      <c r="O28" s="90"/>
      <c r="Q28" s="90"/>
      <c r="R28" s="91"/>
    </row>
    <row r="29" spans="1:27" s="93" customFormat="1" x14ac:dyDescent="0.25">
      <c r="A29" s="92">
        <v>41506.983391203707</v>
      </c>
      <c r="B29" s="93" t="s">
        <v>100</v>
      </c>
      <c r="C29" s="94">
        <v>339</v>
      </c>
      <c r="D29" s="95">
        <v>8</v>
      </c>
      <c r="E29" s="95">
        <v>19</v>
      </c>
      <c r="F29" s="93" t="s">
        <v>101</v>
      </c>
      <c r="G29" s="95">
        <v>10</v>
      </c>
      <c r="H29" s="93" t="s">
        <v>86</v>
      </c>
      <c r="I29" s="96" t="str">
        <f>B29</f>
        <v>Заказы</v>
      </c>
      <c r="J29" s="97" t="s">
        <v>102</v>
      </c>
      <c r="K29" s="98" t="s">
        <v>31</v>
      </c>
      <c r="L29" s="99" t="s">
        <v>62</v>
      </c>
      <c r="M29" s="99" t="s">
        <v>103</v>
      </c>
      <c r="N29" s="100">
        <v>41463.504687499997</v>
      </c>
      <c r="O29" s="93" t="s">
        <v>29</v>
      </c>
      <c r="P29" s="101"/>
      <c r="Q29" s="102" t="s">
        <v>104</v>
      </c>
      <c r="R29" s="32"/>
      <c r="S29" s="32"/>
      <c r="T29" s="93" t="s">
        <v>105</v>
      </c>
    </row>
    <row r="30" spans="1:27" s="32" customFormat="1" x14ac:dyDescent="0.25">
      <c r="A30" s="103"/>
      <c r="C30" s="81"/>
      <c r="J30" s="34" t="s">
        <v>106</v>
      </c>
      <c r="K30" s="35" t="s">
        <v>31</v>
      </c>
      <c r="L30" s="17" t="s">
        <v>62</v>
      </c>
      <c r="M30" s="17" t="s">
        <v>107</v>
      </c>
      <c r="N30" s="82"/>
      <c r="O30" s="32" t="s">
        <v>29</v>
      </c>
      <c r="P30" s="104"/>
    </row>
    <row r="31" spans="1:27" x14ac:dyDescent="0.25">
      <c r="A31" s="105"/>
      <c r="C31" s="106"/>
      <c r="H31" s="32"/>
      <c r="I31" s="32"/>
      <c r="J31" s="34" t="s">
        <v>52</v>
      </c>
      <c r="K31" s="35" t="s">
        <v>31</v>
      </c>
      <c r="L31" s="17" t="s">
        <v>62</v>
      </c>
      <c r="M31" s="17" t="s">
        <v>108</v>
      </c>
      <c r="N31" s="82"/>
      <c r="O31" s="2" t="s">
        <v>29</v>
      </c>
      <c r="P31" s="104"/>
    </row>
    <row r="32" spans="1:27" x14ac:dyDescent="0.25">
      <c r="A32" s="105"/>
      <c r="C32" s="106"/>
      <c r="H32" s="32"/>
      <c r="I32" s="32"/>
      <c r="J32" s="34" t="s">
        <v>109</v>
      </c>
      <c r="K32" s="35" t="s">
        <v>31</v>
      </c>
      <c r="L32" s="17" t="s">
        <v>62</v>
      </c>
      <c r="M32" s="17" t="s">
        <v>110</v>
      </c>
      <c r="N32" s="82"/>
      <c r="O32" s="2" t="s">
        <v>29</v>
      </c>
      <c r="P32" s="104"/>
    </row>
    <row r="33" spans="1:20" x14ac:dyDescent="0.25">
      <c r="A33" s="105"/>
      <c r="C33" s="106"/>
      <c r="H33" s="32"/>
      <c r="I33" s="32"/>
      <c r="J33" s="34" t="s">
        <v>111</v>
      </c>
      <c r="K33" s="35" t="s">
        <v>31</v>
      </c>
      <c r="L33" s="17" t="s">
        <v>62</v>
      </c>
      <c r="M33" s="17" t="s">
        <v>112</v>
      </c>
      <c r="N33" s="82"/>
      <c r="P33" s="104"/>
    </row>
    <row r="34" spans="1:20" s="93" customFormat="1" x14ac:dyDescent="0.25">
      <c r="A34" s="107">
        <v>41370.590057870373</v>
      </c>
      <c r="B34" s="93" t="s">
        <v>113</v>
      </c>
      <c r="C34" s="94" t="s">
        <v>114</v>
      </c>
      <c r="F34" s="93" t="s">
        <v>67</v>
      </c>
      <c r="G34" s="95">
        <v>10</v>
      </c>
      <c r="H34" s="93" t="s">
        <v>86</v>
      </c>
      <c r="I34" s="108" t="s">
        <v>113</v>
      </c>
      <c r="J34" s="97" t="s">
        <v>115</v>
      </c>
      <c r="K34" s="98" t="s">
        <v>23</v>
      </c>
      <c r="L34" s="99">
        <v>2</v>
      </c>
      <c r="M34" s="99">
        <v>1</v>
      </c>
      <c r="N34" s="100">
        <v>41370.585509259261</v>
      </c>
      <c r="O34" s="29" t="s">
        <v>29</v>
      </c>
      <c r="P34" s="101"/>
      <c r="T34" s="93" t="str">
        <f>[1]Process!F92</f>
        <v>HANDL_BTOmails</v>
      </c>
    </row>
    <row r="35" spans="1:20" s="32" customFormat="1" x14ac:dyDescent="0.25">
      <c r="A35" s="103"/>
      <c r="C35" s="81"/>
      <c r="J35" s="34" t="s">
        <v>116</v>
      </c>
      <c r="K35" s="35" t="s">
        <v>23</v>
      </c>
      <c r="L35" s="17">
        <v>3</v>
      </c>
      <c r="M35" s="17">
        <v>1</v>
      </c>
      <c r="N35" s="82"/>
      <c r="O35" s="2" t="s">
        <v>29</v>
      </c>
      <c r="P35" s="104"/>
    </row>
    <row r="36" spans="1:20" s="32" customFormat="1" x14ac:dyDescent="0.25">
      <c r="A36" s="103"/>
      <c r="C36" s="81"/>
      <c r="J36" s="34" t="s">
        <v>117</v>
      </c>
      <c r="K36" s="35" t="s">
        <v>23</v>
      </c>
      <c r="L36" s="17">
        <v>4</v>
      </c>
      <c r="M36" s="17">
        <v>1</v>
      </c>
      <c r="N36" s="82"/>
      <c r="P36" s="104"/>
    </row>
    <row r="37" spans="1:20" s="22" customFormat="1" x14ac:dyDescent="0.25">
      <c r="A37" s="21"/>
      <c r="B37" s="22" t="s">
        <v>118</v>
      </c>
      <c r="C37" s="74" t="s">
        <v>119</v>
      </c>
      <c r="D37" s="74" t="s">
        <v>120</v>
      </c>
      <c r="E37" s="74"/>
      <c r="F37" s="109"/>
      <c r="H37" s="22" t="s">
        <v>121</v>
      </c>
      <c r="I37" s="110" t="s">
        <v>122</v>
      </c>
      <c r="J37" s="25" t="s">
        <v>123</v>
      </c>
      <c r="K37" s="26" t="s">
        <v>31</v>
      </c>
      <c r="L37" s="27">
        <v>3</v>
      </c>
      <c r="M37" s="27">
        <v>1</v>
      </c>
      <c r="N37" s="77"/>
      <c r="O37" s="29" t="s">
        <v>29</v>
      </c>
      <c r="Q37" s="29"/>
      <c r="R37" s="111"/>
      <c r="T37" s="22" t="s">
        <v>124</v>
      </c>
    </row>
    <row r="38" spans="1:20" x14ac:dyDescent="0.25">
      <c r="A38" s="31"/>
      <c r="I38" s="32"/>
      <c r="J38" s="34" t="s">
        <v>125</v>
      </c>
      <c r="K38" s="35" t="s">
        <v>31</v>
      </c>
      <c r="L38" s="17">
        <v>3</v>
      </c>
      <c r="M38" s="17">
        <v>3</v>
      </c>
      <c r="O38" s="2" t="s">
        <v>29</v>
      </c>
    </row>
    <row r="39" spans="1:20" x14ac:dyDescent="0.25">
      <c r="A39" s="31"/>
      <c r="I39" s="32"/>
      <c r="J39" s="34" t="s">
        <v>126</v>
      </c>
      <c r="K39" s="35" t="s">
        <v>31</v>
      </c>
      <c r="L39" s="17">
        <v>3</v>
      </c>
      <c r="M39" s="17">
        <v>9</v>
      </c>
      <c r="O39" s="2" t="s">
        <v>29</v>
      </c>
    </row>
    <row r="40" spans="1:20" s="72" customFormat="1" x14ac:dyDescent="0.25">
      <c r="A40" s="112"/>
      <c r="C40" s="113"/>
      <c r="J40" s="114" t="s">
        <v>127</v>
      </c>
      <c r="K40" s="69" t="s">
        <v>31</v>
      </c>
      <c r="L40" s="115">
        <v>3</v>
      </c>
      <c r="M40" s="115">
        <v>21</v>
      </c>
    </row>
    <row r="41" spans="1:20" s="117" customFormat="1" x14ac:dyDescent="0.25">
      <c r="A41" s="116">
        <v>0</v>
      </c>
      <c r="B41" s="117" t="s">
        <v>128</v>
      </c>
      <c r="C41" s="118">
        <v>1</v>
      </c>
      <c r="D41" s="118"/>
      <c r="E41" s="118"/>
      <c r="H41" s="117" t="s">
        <v>129</v>
      </c>
      <c r="I41" s="119" t="str">
        <f>B41</f>
        <v>DicAcc</v>
      </c>
      <c r="J41" s="120"/>
      <c r="K41" s="121" t="s">
        <v>130</v>
      </c>
      <c r="L41" s="122"/>
      <c r="M41" s="122"/>
      <c r="N41" s="123">
        <v>41237.062407407408</v>
      </c>
      <c r="O41" s="124"/>
      <c r="P41" s="117" t="s">
        <v>131</v>
      </c>
      <c r="Q41" s="124"/>
      <c r="R41" s="125"/>
    </row>
    <row r="42" spans="1:20" s="127" customFormat="1" x14ac:dyDescent="0.25">
      <c r="A42" s="126">
        <v>0</v>
      </c>
      <c r="B42" s="127" t="s">
        <v>132</v>
      </c>
      <c r="C42" s="128">
        <v>76</v>
      </c>
      <c r="D42" s="128"/>
      <c r="E42" s="128"/>
      <c r="F42" s="127" t="s">
        <v>133</v>
      </c>
      <c r="H42" s="127" t="s">
        <v>129</v>
      </c>
      <c r="I42" s="129" t="s">
        <v>132</v>
      </c>
      <c r="J42" s="130"/>
      <c r="K42" s="131" t="s">
        <v>130</v>
      </c>
      <c r="L42" s="132"/>
      <c r="M42" s="132"/>
      <c r="N42" s="133">
        <v>41410.834999999999</v>
      </c>
      <c r="O42" s="134"/>
      <c r="P42" s="127" t="s">
        <v>134</v>
      </c>
      <c r="Q42" s="134"/>
      <c r="R42" s="135"/>
    </row>
    <row r="43" spans="1:20" s="32" customFormat="1" x14ac:dyDescent="0.25">
      <c r="A43" s="136">
        <v>41507.012986111113</v>
      </c>
      <c r="B43" s="32" t="s">
        <v>135</v>
      </c>
      <c r="C43" s="81">
        <v>16</v>
      </c>
      <c r="D43" s="81"/>
      <c r="E43" s="81"/>
      <c r="F43" s="32" t="s">
        <v>136</v>
      </c>
      <c r="H43" s="32" t="s">
        <v>129</v>
      </c>
      <c r="I43" s="137" t="s">
        <v>135</v>
      </c>
      <c r="J43" s="34"/>
      <c r="K43" s="35" t="s">
        <v>130</v>
      </c>
      <c r="L43" s="17"/>
      <c r="M43" s="17"/>
      <c r="N43" s="82">
        <v>41507.01290509259</v>
      </c>
      <c r="O43" s="37"/>
      <c r="P43" s="32" t="s">
        <v>137</v>
      </c>
      <c r="Q43" s="37"/>
      <c r="R43" s="79"/>
    </row>
    <row r="44" spans="1:20" s="32" customFormat="1" x14ac:dyDescent="0.25">
      <c r="A44" s="136">
        <v>41507.017268518517</v>
      </c>
      <c r="B44" s="32" t="s">
        <v>138</v>
      </c>
      <c r="C44" s="81">
        <v>2</v>
      </c>
      <c r="D44" s="81"/>
      <c r="E44" s="81"/>
      <c r="F44" s="32" t="s">
        <v>136</v>
      </c>
      <c r="H44" s="32" t="s">
        <v>129</v>
      </c>
      <c r="I44" s="137" t="s">
        <v>138</v>
      </c>
      <c r="J44" s="34"/>
      <c r="K44" s="35" t="s">
        <v>130</v>
      </c>
      <c r="L44" s="17"/>
      <c r="M44" s="17"/>
      <c r="N44" s="82">
        <v>41507.017245370371</v>
      </c>
      <c r="O44" s="37"/>
      <c r="P44" s="32" t="s">
        <v>139</v>
      </c>
      <c r="Q44" s="37"/>
      <c r="R44" s="79"/>
    </row>
    <row r="45" spans="1:20" s="32" customFormat="1" x14ac:dyDescent="0.25">
      <c r="A45" s="136">
        <v>41344.979027777779</v>
      </c>
      <c r="B45" s="32" t="s">
        <v>140</v>
      </c>
      <c r="C45" s="81">
        <v>1</v>
      </c>
      <c r="D45" s="81"/>
      <c r="E45" s="81"/>
      <c r="F45" s="32" t="s">
        <v>101</v>
      </c>
      <c r="H45" s="32" t="s">
        <v>129</v>
      </c>
      <c r="I45" s="137" t="s">
        <v>140</v>
      </c>
      <c r="J45" s="34"/>
      <c r="K45" s="35" t="s">
        <v>130</v>
      </c>
      <c r="L45" s="17"/>
      <c r="M45" s="17"/>
      <c r="N45" s="82">
        <v>41344.97896990741</v>
      </c>
      <c r="O45" s="37"/>
      <c r="P45" s="32" t="s">
        <v>141</v>
      </c>
      <c r="Q45" s="37"/>
      <c r="R45" s="79"/>
    </row>
    <row r="46" spans="1:20" s="32" customFormat="1" x14ac:dyDescent="0.25">
      <c r="A46" s="80"/>
      <c r="B46" s="32" t="s">
        <v>142</v>
      </c>
      <c r="C46" s="81" t="s">
        <v>60</v>
      </c>
      <c r="D46" s="81"/>
      <c r="E46" s="81"/>
      <c r="H46" s="32" t="s">
        <v>129</v>
      </c>
      <c r="I46" s="137" t="s">
        <v>142</v>
      </c>
      <c r="J46" s="34"/>
      <c r="K46" s="35" t="s">
        <v>130</v>
      </c>
      <c r="L46" s="17"/>
      <c r="M46" s="17"/>
      <c r="N46" s="82"/>
      <c r="O46" s="37"/>
      <c r="P46" s="138"/>
      <c r="Q46" s="139"/>
      <c r="R46" s="140"/>
      <c r="S46" s="138"/>
      <c r="T46" s="138"/>
    </row>
    <row r="47" spans="1:20" s="32" customFormat="1" x14ac:dyDescent="0.25">
      <c r="A47" s="136">
        <v>41430.738321759258</v>
      </c>
      <c r="B47" s="32" t="s">
        <v>143</v>
      </c>
      <c r="C47" s="81">
        <v>1</v>
      </c>
      <c r="D47" s="81"/>
      <c r="E47" s="81"/>
      <c r="F47" s="32" t="s">
        <v>136</v>
      </c>
      <c r="H47" s="32" t="s">
        <v>129</v>
      </c>
      <c r="I47" s="137" t="s">
        <v>143</v>
      </c>
      <c r="J47" s="34"/>
      <c r="K47" s="35" t="s">
        <v>130</v>
      </c>
      <c r="L47" s="17"/>
      <c r="M47" s="17"/>
      <c r="N47" s="82">
        <v>41430.73814814815</v>
      </c>
      <c r="O47" s="141"/>
      <c r="P47" s="39" t="s">
        <v>144</v>
      </c>
      <c r="Q47" s="141"/>
      <c r="R47" s="79"/>
      <c r="S47" s="39"/>
      <c r="T47" s="39"/>
    </row>
    <row r="48" spans="1:20" s="143" customFormat="1" x14ac:dyDescent="0.25">
      <c r="A48" s="142"/>
      <c r="B48" s="143" t="s">
        <v>145</v>
      </c>
      <c r="C48" s="144" t="s">
        <v>146</v>
      </c>
      <c r="D48" s="144"/>
      <c r="E48" s="144"/>
      <c r="H48" s="143" t="s">
        <v>129</v>
      </c>
      <c r="I48" s="145" t="s">
        <v>147</v>
      </c>
      <c r="J48" s="146"/>
      <c r="K48" s="147" t="s">
        <v>130</v>
      </c>
      <c r="L48" s="148"/>
      <c r="M48" s="148"/>
      <c r="N48" s="149"/>
      <c r="O48" s="150"/>
      <c r="P48" s="151" t="s">
        <v>148</v>
      </c>
      <c r="Q48" s="152"/>
      <c r="R48" s="153"/>
      <c r="S48" s="151"/>
      <c r="T48" s="151"/>
    </row>
    <row r="49" spans="1:20" s="155" customFormat="1" x14ac:dyDescent="0.25">
      <c r="A49" s="154">
        <v>41499.705324074072</v>
      </c>
      <c r="B49" s="155" t="s">
        <v>149</v>
      </c>
      <c r="C49" s="156">
        <v>804</v>
      </c>
      <c r="D49" s="156"/>
      <c r="E49" s="156"/>
      <c r="F49" s="155" t="s">
        <v>101</v>
      </c>
      <c r="H49" s="155" t="s">
        <v>129</v>
      </c>
      <c r="I49" s="157" t="s">
        <v>149</v>
      </c>
      <c r="J49" s="158"/>
      <c r="K49" s="159" t="s">
        <v>130</v>
      </c>
      <c r="L49" s="160"/>
      <c r="M49" s="160"/>
      <c r="N49" s="161">
        <v>41499.704513888886</v>
      </c>
      <c r="O49" s="162"/>
      <c r="P49" s="163" t="s">
        <v>150</v>
      </c>
      <c r="Q49" s="164"/>
      <c r="R49" s="165"/>
      <c r="S49" s="163"/>
      <c r="T49" s="163"/>
    </row>
    <row r="50" spans="1:20" s="32" customFormat="1" x14ac:dyDescent="0.25">
      <c r="A50" s="136">
        <v>41502.225682870368</v>
      </c>
      <c r="B50" s="32" t="s">
        <v>151</v>
      </c>
      <c r="C50" s="81">
        <v>2</v>
      </c>
      <c r="D50" s="81"/>
      <c r="E50" s="81"/>
      <c r="F50" s="32" t="s">
        <v>152</v>
      </c>
      <c r="H50" s="32" t="s">
        <v>129</v>
      </c>
      <c r="I50" s="166" t="s">
        <v>151</v>
      </c>
      <c r="J50" s="34"/>
      <c r="K50" s="35" t="s">
        <v>130</v>
      </c>
      <c r="L50" s="17"/>
      <c r="M50" s="17"/>
      <c r="N50" s="82">
        <v>41502.225682870368</v>
      </c>
      <c r="O50" s="37"/>
      <c r="P50" s="163" t="s">
        <v>153</v>
      </c>
      <c r="Q50" s="164"/>
      <c r="R50" s="140"/>
      <c r="S50" s="138"/>
      <c r="T50" s="138"/>
    </row>
    <row r="51" spans="1:20" s="143" customFormat="1" x14ac:dyDescent="0.25">
      <c r="A51" s="167">
        <v>41502.225682870368</v>
      </c>
      <c r="B51" s="143" t="s">
        <v>154</v>
      </c>
      <c r="C51" s="144">
        <v>794</v>
      </c>
      <c r="D51" s="144"/>
      <c r="E51" s="144"/>
      <c r="F51" s="143" t="s">
        <v>155</v>
      </c>
      <c r="H51" s="143" t="s">
        <v>129</v>
      </c>
      <c r="I51" s="168" t="s">
        <v>154</v>
      </c>
      <c r="J51" s="146"/>
      <c r="K51" s="147" t="s">
        <v>130</v>
      </c>
      <c r="L51" s="148"/>
      <c r="M51" s="148"/>
      <c r="N51" s="149">
        <v>41502.225682870368</v>
      </c>
      <c r="O51" s="150"/>
      <c r="P51" s="138" t="s">
        <v>156</v>
      </c>
      <c r="Q51" s="139"/>
      <c r="R51" s="153"/>
      <c r="S51" s="151"/>
      <c r="T51" s="151"/>
    </row>
    <row r="52" spans="1:20" s="72" customFormat="1" x14ac:dyDescent="0.25">
      <c r="A52" s="169"/>
      <c r="B52" s="72" t="s">
        <v>157</v>
      </c>
      <c r="C52" s="170" t="s">
        <v>158</v>
      </c>
      <c r="D52" s="170"/>
      <c r="E52" s="170"/>
      <c r="H52" s="72" t="s">
        <v>129</v>
      </c>
      <c r="I52" s="171" t="s">
        <v>157</v>
      </c>
      <c r="J52" s="114"/>
      <c r="K52" s="69" t="s">
        <v>130</v>
      </c>
      <c r="L52" s="115"/>
      <c r="M52" s="115"/>
      <c r="N52" s="172"/>
      <c r="O52" s="71"/>
      <c r="P52" s="72" t="s">
        <v>159</v>
      </c>
      <c r="Q52" s="71"/>
      <c r="R52" s="173"/>
    </row>
    <row r="53" spans="1:20" x14ac:dyDescent="0.25">
      <c r="A53" s="31"/>
    </row>
    <row r="54" spans="1:20" x14ac:dyDescent="0.25">
      <c r="A54" s="31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9"/>
  <sheetViews>
    <sheetView tabSelected="1" zoomScale="90" zoomScaleNormal="90" workbookViewId="0">
      <selection activeCell="B6" sqref="B6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74" customWidth="1"/>
    <col min="6" max="6" width="19.57031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140625" style="2" bestFit="1" customWidth="1"/>
    <col min="15" max="15" width="2" style="2" bestFit="1" customWidth="1"/>
    <col min="16" max="16384" width="9.140625" style="2"/>
  </cols>
  <sheetData>
    <row r="1" spans="1:15" ht="19.5" customHeight="1" thickBot="1" x14ac:dyDescent="0.35">
      <c r="A1" s="1">
        <v>41510.432939814818</v>
      </c>
      <c r="C1" s="3" t="s">
        <v>160</v>
      </c>
      <c r="D1" s="3"/>
      <c r="G1" s="175" t="s">
        <v>38</v>
      </c>
      <c r="H1" s="175"/>
      <c r="I1" s="175"/>
    </row>
    <row r="2" spans="1:15" ht="15" customHeight="1" thickBot="1" x14ac:dyDescent="0.35">
      <c r="B2" s="3"/>
    </row>
    <row r="3" spans="1:15" ht="15.75" customHeight="1" x14ac:dyDescent="0.25">
      <c r="E3" s="882" t="s">
        <v>161</v>
      </c>
      <c r="F3" s="884" t="s">
        <v>162</v>
      </c>
      <c r="G3" s="885"/>
      <c r="H3" s="885"/>
      <c r="I3" s="885"/>
      <c r="J3" s="886"/>
      <c r="K3" s="884" t="s">
        <v>163</v>
      </c>
      <c r="L3" s="885"/>
      <c r="M3" s="885"/>
      <c r="N3" s="885"/>
      <c r="O3" s="886"/>
    </row>
    <row r="4" spans="1:15" s="8" customFormat="1" ht="15.75" thickBot="1" x14ac:dyDescent="0.3">
      <c r="B4" s="9" t="s">
        <v>164</v>
      </c>
      <c r="C4" s="8" t="s">
        <v>165</v>
      </c>
      <c r="E4" s="883"/>
      <c r="F4" s="176">
        <v>1</v>
      </c>
      <c r="G4" s="177" t="s">
        <v>166</v>
      </c>
      <c r="H4" s="177" t="s">
        <v>167</v>
      </c>
      <c r="I4" s="177" t="s">
        <v>168</v>
      </c>
      <c r="J4" s="178" t="s">
        <v>60</v>
      </c>
      <c r="K4" s="176">
        <v>1</v>
      </c>
      <c r="L4" s="177" t="s">
        <v>166</v>
      </c>
      <c r="M4" s="177" t="s">
        <v>167</v>
      </c>
      <c r="N4" s="177" t="s">
        <v>168</v>
      </c>
      <c r="O4" s="178" t="s">
        <v>60</v>
      </c>
    </row>
    <row r="5" spans="1:15" s="8" customFormat="1" ht="6" customHeight="1" x14ac:dyDescent="0.25">
      <c r="A5" s="179"/>
      <c r="B5" s="180" t="s">
        <v>67</v>
      </c>
      <c r="C5" s="179"/>
      <c r="D5" s="179"/>
      <c r="E5" s="181"/>
      <c r="F5" s="182"/>
      <c r="G5" s="183"/>
      <c r="H5" s="183"/>
      <c r="I5" s="183"/>
      <c r="J5" s="184"/>
      <c r="K5" s="182"/>
      <c r="L5" s="183"/>
      <c r="M5" s="183"/>
      <c r="N5" s="183"/>
      <c r="O5" s="184"/>
    </row>
    <row r="6" spans="1:15" s="187" customFormat="1" x14ac:dyDescent="0.25">
      <c r="A6" s="185"/>
      <c r="B6" s="873" t="s">
        <v>169</v>
      </c>
      <c r="C6" s="185"/>
      <c r="E6" s="188"/>
      <c r="F6" s="189" t="s">
        <v>38</v>
      </c>
      <c r="G6" s="190"/>
      <c r="H6" s="190"/>
      <c r="I6" s="190"/>
      <c r="J6" s="191"/>
      <c r="K6" s="192" t="s">
        <v>32</v>
      </c>
      <c r="L6" s="190"/>
      <c r="M6" s="190"/>
      <c r="N6" s="190"/>
      <c r="O6" s="191"/>
    </row>
    <row r="7" spans="1:15" s="187" customFormat="1" outlineLevel="1" x14ac:dyDescent="0.25">
      <c r="A7" s="193">
        <v>41510.395879629628</v>
      </c>
      <c r="B7" s="194" t="s">
        <v>85</v>
      </c>
      <c r="C7" s="195" t="s">
        <v>67</v>
      </c>
      <c r="D7" s="196"/>
      <c r="E7" s="197" t="s">
        <v>170</v>
      </c>
      <c r="F7" s="198"/>
      <c r="G7" s="199"/>
      <c r="H7" s="200"/>
      <c r="I7" s="200"/>
      <c r="J7" s="201"/>
      <c r="K7" s="202" t="str">
        <f>K6</f>
        <v>Платежи</v>
      </c>
      <c r="O7" s="201"/>
    </row>
    <row r="8" spans="1:15" s="187" customFormat="1" outlineLevel="1" x14ac:dyDescent="0.25">
      <c r="A8" s="193">
        <v>41510.432939814818</v>
      </c>
      <c r="B8" s="194" t="s">
        <v>101</v>
      </c>
      <c r="C8" s="195" t="str">
        <f>B7</f>
        <v>InsMyCol</v>
      </c>
      <c r="D8" s="196"/>
      <c r="E8" s="197" t="s">
        <v>170</v>
      </c>
      <c r="F8" s="198"/>
      <c r="G8" s="199"/>
      <c r="H8" s="200"/>
      <c r="I8" s="200"/>
      <c r="J8" s="201"/>
      <c r="K8" s="202" t="str">
        <f>K6</f>
        <v>Платежи</v>
      </c>
      <c r="L8" s="203" t="str">
        <f>[1]TOCmatch!B$17</f>
        <v>SFacc</v>
      </c>
      <c r="M8" s="203" t="str">
        <f>[1]TOCmatch!B$14</f>
        <v>SF</v>
      </c>
      <c r="N8" s="203" t="str">
        <f>[1]TOCmatch!B$21</f>
        <v>SF_PA</v>
      </c>
      <c r="O8" s="201"/>
    </row>
    <row r="9" spans="1:15" s="187" customFormat="1" outlineLevel="1" x14ac:dyDescent="0.25">
      <c r="A9" s="193">
        <v>41510.395914351851</v>
      </c>
      <c r="B9" s="194" t="s">
        <v>59</v>
      </c>
      <c r="C9" s="195" t="str">
        <f>B8</f>
        <v>Adapt</v>
      </c>
      <c r="D9" s="196"/>
      <c r="E9" s="197" t="s">
        <v>170</v>
      </c>
      <c r="F9" s="202" t="str">
        <f>K6</f>
        <v>Платежи</v>
      </c>
      <c r="G9" s="204" t="s">
        <v>34</v>
      </c>
      <c r="H9" s="200"/>
      <c r="I9" s="200"/>
      <c r="J9" s="201"/>
      <c r="K9" s="202" t="str">
        <f>K6</f>
        <v>Платежи</v>
      </c>
      <c r="L9" s="205"/>
      <c r="M9" s="200"/>
      <c r="N9" s="205"/>
      <c r="O9" s="201"/>
    </row>
    <row r="10" spans="1:15" s="190" customFormat="1" outlineLevel="1" x14ac:dyDescent="0.25">
      <c r="A10" s="206">
        <v>41510.395925925928</v>
      </c>
      <c r="B10" s="207" t="s">
        <v>173</v>
      </c>
      <c r="C10" s="195" t="str">
        <f>B9</f>
        <v>DateSort</v>
      </c>
      <c r="D10" s="208"/>
      <c r="E10" s="209" t="s">
        <v>170</v>
      </c>
      <c r="F10" s="202" t="s">
        <v>172</v>
      </c>
      <c r="G10" s="200"/>
      <c r="H10" s="200"/>
      <c r="I10" s="200"/>
      <c r="J10" s="201"/>
      <c r="K10" s="202" t="str">
        <f>K6</f>
        <v>Платежи</v>
      </c>
      <c r="L10" s="205"/>
      <c r="M10" s="200"/>
      <c r="N10" s="205"/>
      <c r="O10" s="201"/>
    </row>
    <row r="11" spans="1:15" outlineLevel="1" x14ac:dyDescent="0.25">
      <c r="A11" s="193">
        <v>41510.395925925928</v>
      </c>
      <c r="B11" s="194" t="s">
        <v>50</v>
      </c>
      <c r="C11" s="210" t="str">
        <f>B10</f>
        <v>PaymentPaint</v>
      </c>
      <c r="D11" s="208"/>
      <c r="E11" s="211" t="s">
        <v>170</v>
      </c>
      <c r="G11" s="205"/>
      <c r="H11" s="212"/>
      <c r="I11" s="212"/>
      <c r="J11" s="213"/>
      <c r="K11" s="202" t="str">
        <f>K6</f>
        <v>Платежи</v>
      </c>
      <c r="L11" s="205"/>
      <c r="M11" s="205"/>
      <c r="N11" s="203" t="str">
        <f>[1]TOCmatch!B17</f>
        <v>SFacc</v>
      </c>
      <c r="O11" s="213"/>
    </row>
    <row r="12" spans="1:15" outlineLevel="1" x14ac:dyDescent="0.25">
      <c r="A12" s="193">
        <v>41510.396192129629</v>
      </c>
      <c r="B12" s="874" t="s">
        <v>1218</v>
      </c>
      <c r="C12" s="210" t="str">
        <f>B11</f>
        <v>AccPaint</v>
      </c>
      <c r="D12" s="208"/>
      <c r="E12" s="211" t="s">
        <v>170</v>
      </c>
      <c r="G12" s="205"/>
      <c r="H12" s="212"/>
      <c r="I12" s="212"/>
      <c r="J12" s="213"/>
      <c r="K12" s="202" t="str">
        <f>K6</f>
        <v>Платежи</v>
      </c>
      <c r="L12" s="205"/>
      <c r="M12" s="205"/>
      <c r="N12" s="205"/>
      <c r="O12" s="213"/>
    </row>
    <row r="13" spans="1:15" s="223" customFormat="1" outlineLevel="1" x14ac:dyDescent="0.25">
      <c r="A13" s="214">
        <v>41509.164409722223</v>
      </c>
      <c r="B13" s="215" t="s">
        <v>33</v>
      </c>
      <c r="C13" s="266"/>
      <c r="D13" s="216"/>
      <c r="E13" s="217"/>
      <c r="F13" s="218"/>
      <c r="G13" s="219"/>
      <c r="H13" s="219"/>
      <c r="I13" s="219"/>
      <c r="J13" s="220"/>
      <c r="K13" s="221"/>
      <c r="L13" s="222"/>
      <c r="M13" s="219"/>
      <c r="N13" s="222"/>
      <c r="O13" s="220"/>
    </row>
    <row r="14" spans="1:15" s="187" customFormat="1" x14ac:dyDescent="0.25">
      <c r="A14" s="224"/>
      <c r="B14" s="225" t="s">
        <v>169</v>
      </c>
      <c r="C14" s="226"/>
      <c r="D14" s="227"/>
      <c r="E14" s="228" t="s">
        <v>174</v>
      </c>
      <c r="F14" s="229" t="s">
        <v>46</v>
      </c>
      <c r="G14" s="227"/>
      <c r="H14" s="227"/>
      <c r="I14" s="227"/>
      <c r="J14" s="230"/>
      <c r="K14" s="231" t="str">
        <f>[1]TOCmatch!B10</f>
        <v>Договоры</v>
      </c>
      <c r="L14" s="232"/>
      <c r="M14" s="227"/>
      <c r="N14" s="232"/>
      <c r="O14" s="230"/>
    </row>
    <row r="15" spans="1:15" s="32" customFormat="1" outlineLevel="1" x14ac:dyDescent="0.25">
      <c r="A15" s="193">
        <v>41510.319606481484</v>
      </c>
      <c r="B15" s="194" t="s">
        <v>85</v>
      </c>
      <c r="C15" s="195" t="s">
        <v>67</v>
      </c>
      <c r="D15" s="196"/>
      <c r="E15" s="197" t="s">
        <v>170</v>
      </c>
      <c r="F15" s="198" t="s">
        <v>175</v>
      </c>
      <c r="G15" s="199" t="s">
        <v>176</v>
      </c>
      <c r="H15" s="200"/>
      <c r="I15" s="200"/>
      <c r="J15" s="213"/>
      <c r="K15" s="202" t="str">
        <f>[1]TOCmatch!B10</f>
        <v>Договоры</v>
      </c>
      <c r="N15" s="212"/>
      <c r="O15" s="213"/>
    </row>
    <row r="16" spans="1:15" s="32" customFormat="1" outlineLevel="1" x14ac:dyDescent="0.25">
      <c r="A16" s="193">
        <v>41510.319618055553</v>
      </c>
      <c r="B16" s="194" t="s">
        <v>101</v>
      </c>
      <c r="C16" s="195" t="str">
        <f>B15</f>
        <v>InsMyCol</v>
      </c>
      <c r="D16" s="196"/>
      <c r="E16" s="197" t="s">
        <v>170</v>
      </c>
      <c r="F16" s="198" t="str">
        <f>F15</f>
        <v>HDR_1C_Contract_MyCol</v>
      </c>
      <c r="J16" s="213"/>
      <c r="K16" s="202" t="str">
        <f>K14</f>
        <v>Договоры</v>
      </c>
      <c r="L16" s="203" t="str">
        <f>[1]TOCmatch!B$17</f>
        <v>SFacc</v>
      </c>
      <c r="M16" s="203" t="str">
        <f>[1]TOCmatch!B$15</f>
        <v>SFD</v>
      </c>
      <c r="N16" s="212"/>
      <c r="O16" s="213"/>
    </row>
    <row r="17" spans="1:15" s="32" customFormat="1" outlineLevel="1" x14ac:dyDescent="0.25">
      <c r="A17" s="206">
        <v>41510.319618055553</v>
      </c>
      <c r="B17" s="194" t="s">
        <v>59</v>
      </c>
      <c r="C17" s="195" t="str">
        <f>B16</f>
        <v>Adapt</v>
      </c>
      <c r="D17" s="196"/>
      <c r="E17" s="197" t="s">
        <v>170</v>
      </c>
      <c r="F17" s="233" t="s">
        <v>41</v>
      </c>
      <c r="G17" s="204" t="s">
        <v>177</v>
      </c>
      <c r="H17" s="212"/>
      <c r="I17" s="212"/>
      <c r="J17" s="213"/>
      <c r="K17" s="202" t="str">
        <f>[1]TOCmatch!B10</f>
        <v>Договоры</v>
      </c>
      <c r="L17" s="212"/>
      <c r="M17" s="212"/>
      <c r="N17" s="212"/>
      <c r="O17" s="213"/>
    </row>
    <row r="18" spans="1:15" s="32" customFormat="1" outlineLevel="1" x14ac:dyDescent="0.25">
      <c r="A18" s="206">
        <v>41510.31962962963</v>
      </c>
      <c r="B18" s="207" t="s">
        <v>178</v>
      </c>
      <c r="C18" s="195" t="str">
        <f>B17</f>
        <v>DateSort</v>
      </c>
      <c r="D18" s="208"/>
      <c r="E18" s="234" t="s">
        <v>170</v>
      </c>
      <c r="F18" s="235"/>
      <c r="G18" s="212"/>
      <c r="H18" s="212"/>
      <c r="I18" s="212"/>
      <c r="J18" s="213"/>
      <c r="K18" s="202" t="str">
        <f>[1]TOCmatch!B10</f>
        <v>Договоры</v>
      </c>
      <c r="L18" s="203" t="str">
        <f>[1]TOCmatch!B15</f>
        <v>SFD</v>
      </c>
      <c r="N18" s="212"/>
      <c r="O18" s="213"/>
    </row>
    <row r="19" spans="1:15" outlineLevel="1" x14ac:dyDescent="0.25">
      <c r="A19" s="193">
        <v>41510.31962962963</v>
      </c>
      <c r="B19" s="194" t="s">
        <v>50</v>
      </c>
      <c r="C19" s="195" t="str">
        <f>B18</f>
        <v>ContractPaint</v>
      </c>
      <c r="D19" s="208"/>
      <c r="E19" s="236" t="s">
        <v>170</v>
      </c>
      <c r="F19" s="233"/>
      <c r="G19" s="205"/>
      <c r="H19" s="212"/>
      <c r="I19" s="212"/>
      <c r="J19" s="213"/>
      <c r="K19" s="202" t="str">
        <f>K14</f>
        <v>Договоры</v>
      </c>
      <c r="L19" s="205"/>
      <c r="M19" s="205"/>
      <c r="N19" s="203" t="str">
        <f>[1]TOCmatch!B17</f>
        <v>SFacc</v>
      </c>
      <c r="O19" s="213"/>
    </row>
    <row r="20" spans="1:15" outlineLevel="1" x14ac:dyDescent="0.25">
      <c r="A20" s="193">
        <v>41510.332696759258</v>
      </c>
      <c r="B20" s="874" t="s">
        <v>1218</v>
      </c>
      <c r="C20" s="210" t="str">
        <f>B19</f>
        <v>AccPaint</v>
      </c>
      <c r="D20" s="208"/>
      <c r="E20" s="211" t="s">
        <v>170</v>
      </c>
      <c r="G20" s="205"/>
      <c r="H20" s="212"/>
      <c r="I20" s="212"/>
      <c r="J20" s="213"/>
      <c r="K20" s="202" t="str">
        <f>K14</f>
        <v>Договоры</v>
      </c>
      <c r="L20" s="205"/>
      <c r="M20" s="205"/>
      <c r="N20" s="205"/>
      <c r="O20" s="213"/>
    </row>
    <row r="21" spans="1:15" s="223" customFormat="1" outlineLevel="1" x14ac:dyDescent="0.25">
      <c r="A21" s="214">
        <v>41509.162106481483</v>
      </c>
      <c r="B21" s="215" t="s">
        <v>33</v>
      </c>
      <c r="C21" s="266"/>
      <c r="D21" s="216"/>
      <c r="E21" s="217" t="s">
        <v>174</v>
      </c>
      <c r="F21" s="218"/>
      <c r="G21" s="219"/>
      <c r="H21" s="219"/>
      <c r="I21" s="219"/>
      <c r="J21" s="220"/>
      <c r="K21" s="221"/>
      <c r="L21" s="222"/>
      <c r="M21" s="219"/>
      <c r="N21" s="222"/>
      <c r="O21" s="220"/>
    </row>
    <row r="22" spans="1:15" s="187" customFormat="1" x14ac:dyDescent="0.25">
      <c r="A22" s="224"/>
      <c r="B22" s="225" t="s">
        <v>169</v>
      </c>
      <c r="C22" s="226"/>
      <c r="D22" s="227"/>
      <c r="E22" s="228"/>
      <c r="F22" s="237" t="s">
        <v>55</v>
      </c>
      <c r="G22" s="227"/>
      <c r="H22" s="227"/>
      <c r="I22" s="227"/>
      <c r="J22" s="230"/>
      <c r="K22" s="231" t="str">
        <f>[1]TOCmatch!B12</f>
        <v>Список клиентов 1C</v>
      </c>
      <c r="L22" s="232"/>
      <c r="M22" s="227"/>
      <c r="N22" s="232"/>
      <c r="O22" s="230"/>
    </row>
    <row r="23" spans="1:15" s="187" customFormat="1" outlineLevel="1" x14ac:dyDescent="0.25">
      <c r="A23" s="193">
        <v>41503.49722222222</v>
      </c>
      <c r="B23" s="194" t="s">
        <v>179</v>
      </c>
      <c r="C23" s="195" t="s">
        <v>67</v>
      </c>
      <c r="D23" s="208"/>
      <c r="E23" s="197" t="s">
        <v>170</v>
      </c>
      <c r="F23" s="233"/>
      <c r="G23" s="204"/>
      <c r="H23" s="200"/>
      <c r="I23" s="200"/>
      <c r="J23" s="201"/>
      <c r="K23" s="202" t="str">
        <f>K22</f>
        <v>Список клиентов 1C</v>
      </c>
      <c r="L23" s="205"/>
      <c r="M23" s="200"/>
      <c r="N23" s="205"/>
      <c r="O23" s="201"/>
    </row>
    <row r="24" spans="1:15" s="32" customFormat="1" outlineLevel="1" x14ac:dyDescent="0.25">
      <c r="A24" s="193">
        <v>41503.497233796297</v>
      </c>
      <c r="B24" s="194" t="s">
        <v>85</v>
      </c>
      <c r="C24" s="238" t="str">
        <f>B23</f>
        <v>Acc1C_Bottom</v>
      </c>
      <c r="D24" s="196"/>
      <c r="E24" s="197" t="s">
        <v>170</v>
      </c>
      <c r="F24" s="202" t="s">
        <v>180</v>
      </c>
      <c r="G24" s="205"/>
      <c r="H24" s="200"/>
      <c r="I24" s="200"/>
      <c r="J24" s="213"/>
      <c r="K24" s="202" t="str">
        <f>K22</f>
        <v>Список клиентов 1C</v>
      </c>
      <c r="L24" s="212"/>
      <c r="M24" s="212"/>
      <c r="O24" s="213"/>
    </row>
    <row r="25" spans="1:15" s="32" customFormat="1" outlineLevel="1" x14ac:dyDescent="0.25">
      <c r="A25" s="193">
        <v>41507.011840277781</v>
      </c>
      <c r="B25" s="194" t="s">
        <v>101</v>
      </c>
      <c r="C25" s="238" t="str">
        <f>B24</f>
        <v>InsMyCol</v>
      </c>
      <c r="D25" s="196"/>
      <c r="E25" s="197" t="s">
        <v>170</v>
      </c>
      <c r="F25" s="202" t="str">
        <f>F24</f>
        <v>Acc1C_MyCol</v>
      </c>
      <c r="G25" s="205"/>
      <c r="H25" s="200"/>
      <c r="I25" s="200"/>
      <c r="J25" s="213"/>
      <c r="K25" s="202" t="str">
        <f>K22</f>
        <v>Список клиентов 1C</v>
      </c>
      <c r="L25" s="212"/>
      <c r="M25" s="212"/>
      <c r="N25" s="203" t="str">
        <f>[1]TOCmatch!B$17</f>
        <v>SFacc</v>
      </c>
      <c r="O25" s="213"/>
    </row>
    <row r="26" spans="1:15" outlineLevel="1" x14ac:dyDescent="0.25">
      <c r="A26" s="193">
        <v>41507.01185185185</v>
      </c>
      <c r="B26" s="194" t="s">
        <v>50</v>
      </c>
      <c r="C26" s="238" t="str">
        <f>B25</f>
        <v>Adapt</v>
      </c>
      <c r="D26" s="208"/>
      <c r="E26" s="236" t="s">
        <v>170</v>
      </c>
      <c r="F26" s="202"/>
      <c r="G26" s="205"/>
      <c r="H26" s="212"/>
      <c r="I26" s="212"/>
      <c r="J26" s="213"/>
      <c r="K26" s="202" t="str">
        <f>K22</f>
        <v>Список клиентов 1C</v>
      </c>
      <c r="L26" s="205"/>
      <c r="M26" s="205"/>
      <c r="N26" s="203" t="str">
        <f>[1]TOCmatch!B17</f>
        <v>SFacc</v>
      </c>
      <c r="O26" s="213"/>
    </row>
    <row r="27" spans="1:15" s="249" customFormat="1" ht="15.75" outlineLevel="1" thickBot="1" x14ac:dyDescent="0.3">
      <c r="A27" s="239">
        <v>41507.01185185185</v>
      </c>
      <c r="B27" s="240" t="s">
        <v>33</v>
      </c>
      <c r="C27" s="241"/>
      <c r="D27" s="242"/>
      <c r="E27" s="243" t="s">
        <v>170</v>
      </c>
      <c r="F27" s="244"/>
      <c r="G27" s="245"/>
      <c r="H27" s="245"/>
      <c r="I27" s="245"/>
      <c r="J27" s="246"/>
      <c r="K27" s="247"/>
      <c r="L27" s="248"/>
      <c r="M27" s="245"/>
      <c r="N27" s="248"/>
      <c r="O27" s="246"/>
    </row>
    <row r="28" spans="1:15" s="187" customFormat="1" ht="15.75" thickTop="1" x14ac:dyDescent="0.25">
      <c r="A28" s="250"/>
      <c r="B28" s="251" t="s">
        <v>169</v>
      </c>
      <c r="C28" s="252"/>
      <c r="D28" s="253"/>
      <c r="E28" s="254" t="s">
        <v>174</v>
      </c>
      <c r="F28" s="255" t="s">
        <v>181</v>
      </c>
      <c r="G28" s="253"/>
      <c r="H28" s="253"/>
      <c r="I28" s="253"/>
      <c r="J28" s="256"/>
      <c r="K28" s="257" t="s">
        <v>58</v>
      </c>
      <c r="L28" s="258"/>
      <c r="M28" s="253"/>
      <c r="N28" s="258"/>
      <c r="O28" s="256"/>
    </row>
    <row r="29" spans="1:15" outlineLevel="1" x14ac:dyDescent="0.25">
      <c r="A29" s="193">
        <v>41509.159814814811</v>
      </c>
      <c r="B29" s="194" t="s">
        <v>85</v>
      </c>
      <c r="C29" s="195" t="s">
        <v>67</v>
      </c>
      <c r="D29" s="196"/>
      <c r="E29" s="197" t="s">
        <v>170</v>
      </c>
      <c r="F29" s="202" t="s">
        <v>182</v>
      </c>
      <c r="G29" s="205" t="s">
        <v>183</v>
      </c>
      <c r="H29" s="212"/>
      <c r="I29" s="212"/>
      <c r="J29" s="259"/>
      <c r="K29" s="260" t="s">
        <v>58</v>
      </c>
      <c r="L29" s="212"/>
      <c r="M29" s="212"/>
      <c r="N29" s="212"/>
      <c r="O29" s="259"/>
    </row>
    <row r="30" spans="1:15" ht="45" outlineLevel="1" x14ac:dyDescent="0.25">
      <c r="A30" s="261">
        <v>41509.159907407404</v>
      </c>
      <c r="B30" s="196" t="s">
        <v>101</v>
      </c>
      <c r="C30" s="262" t="s">
        <v>184</v>
      </c>
      <c r="D30" s="212"/>
      <c r="E30" s="236" t="s">
        <v>174</v>
      </c>
      <c r="F30" s="202" t="s">
        <v>182</v>
      </c>
      <c r="G30" s="205"/>
      <c r="H30" s="212"/>
      <c r="I30" s="212"/>
      <c r="J30" s="259"/>
      <c r="K30" s="260" t="s">
        <v>58</v>
      </c>
      <c r="L30" s="212" t="str">
        <f>[1]TOCmatch!B8</f>
        <v>Платежи</v>
      </c>
      <c r="M30" s="212"/>
      <c r="N30" s="212"/>
      <c r="O30" s="259"/>
    </row>
    <row r="31" spans="1:15" outlineLevel="1" x14ac:dyDescent="0.25">
      <c r="A31" s="193">
        <v>41509.159907407404</v>
      </c>
      <c r="B31" s="194" t="s">
        <v>59</v>
      </c>
      <c r="C31" s="195"/>
      <c r="D31" s="196"/>
      <c r="E31" s="197" t="s">
        <v>170</v>
      </c>
      <c r="F31" s="263" t="str">
        <f>K31</f>
        <v>SF</v>
      </c>
      <c r="G31" s="204" t="s">
        <v>60</v>
      </c>
      <c r="H31" s="212"/>
      <c r="I31" s="212"/>
      <c r="J31" s="213"/>
      <c r="K31" s="202" t="s">
        <v>58</v>
      </c>
      <c r="L31" s="212"/>
      <c r="M31" s="212"/>
      <c r="N31" s="212"/>
      <c r="O31" s="213"/>
    </row>
    <row r="32" spans="1:15" outlineLevel="1" x14ac:dyDescent="0.25">
      <c r="A32" s="261">
        <v>41509.160416666666</v>
      </c>
      <c r="B32" s="264" t="s">
        <v>185</v>
      </c>
      <c r="C32" s="39" t="str">
        <f>B31</f>
        <v>DateSort</v>
      </c>
      <c r="D32" s="208"/>
      <c r="E32" s="236" t="s">
        <v>174</v>
      </c>
      <c r="F32" s="202" t="str">
        <f>F6</f>
        <v>LOAD_1C_P</v>
      </c>
      <c r="G32" s="205"/>
      <c r="H32" s="212"/>
      <c r="I32" s="212"/>
      <c r="J32" s="259"/>
      <c r="K32" s="260" t="s">
        <v>32</v>
      </c>
      <c r="L32" s="212"/>
      <c r="M32" s="212"/>
      <c r="N32" s="212"/>
      <c r="O32" s="259"/>
    </row>
    <row r="33" spans="1:15" s="223" customFormat="1" outlineLevel="1" x14ac:dyDescent="0.25">
      <c r="A33" s="265">
        <v>41509.160416666666</v>
      </c>
      <c r="B33" s="216" t="s">
        <v>33</v>
      </c>
      <c r="C33" s="266"/>
      <c r="D33" s="216"/>
      <c r="E33" s="217" t="s">
        <v>170</v>
      </c>
      <c r="F33" s="218"/>
      <c r="G33" s="219"/>
      <c r="H33" s="219"/>
      <c r="I33" s="219"/>
      <c r="J33" s="220"/>
      <c r="K33" s="221" t="s">
        <v>58</v>
      </c>
      <c r="L33" s="222"/>
      <c r="M33" s="219"/>
      <c r="N33" s="222"/>
      <c r="O33" s="220"/>
    </row>
    <row r="34" spans="1:15" s="187" customFormat="1" x14ac:dyDescent="0.25">
      <c r="A34" s="267"/>
      <c r="B34" s="268" t="s">
        <v>169</v>
      </c>
      <c r="C34" s="269"/>
      <c r="D34" s="227"/>
      <c r="E34" s="228" t="s">
        <v>174</v>
      </c>
      <c r="F34" s="229" t="s">
        <v>186</v>
      </c>
      <c r="G34" s="227"/>
      <c r="H34" s="227"/>
      <c r="I34" s="227"/>
      <c r="J34" s="230"/>
      <c r="K34" s="231" t="s">
        <v>63</v>
      </c>
      <c r="L34" s="232"/>
      <c r="M34" s="227"/>
      <c r="N34" s="232"/>
      <c r="O34" s="230"/>
    </row>
    <row r="35" spans="1:15" hidden="1" outlineLevel="1" x14ac:dyDescent="0.25">
      <c r="A35" s="193">
        <v>41507.004999999997</v>
      </c>
      <c r="B35" s="194" t="s">
        <v>85</v>
      </c>
      <c r="C35" s="195" t="s">
        <v>67</v>
      </c>
      <c r="D35" s="196"/>
      <c r="E35" s="197" t="s">
        <v>170</v>
      </c>
      <c r="F35" s="202" t="s">
        <v>187</v>
      </c>
      <c r="G35" s="205" t="s">
        <v>188</v>
      </c>
      <c r="H35" s="212"/>
      <c r="I35" s="212"/>
      <c r="J35" s="259"/>
      <c r="K35" s="260" t="s">
        <v>63</v>
      </c>
      <c r="M35" s="212"/>
      <c r="N35" s="212"/>
      <c r="O35" s="259"/>
    </row>
    <row r="36" spans="1:15" hidden="1" outlineLevel="1" x14ac:dyDescent="0.25">
      <c r="A36" s="261">
        <v>41507.005057870374</v>
      </c>
      <c r="B36" s="196" t="s">
        <v>101</v>
      </c>
      <c r="C36" s="262" t="str">
        <f>B35</f>
        <v>InsMyCol</v>
      </c>
      <c r="D36" s="196"/>
      <c r="E36" s="197" t="s">
        <v>174</v>
      </c>
      <c r="F36" s="202" t="str">
        <f>F35</f>
        <v xml:space="preserve"> SFD_MyCol</v>
      </c>
      <c r="G36" s="205"/>
      <c r="H36" s="212"/>
      <c r="I36" s="212"/>
      <c r="J36" s="259"/>
      <c r="K36" s="260" t="s">
        <v>63</v>
      </c>
      <c r="L36" s="208" t="str">
        <f>[1]TOCmatch!B$10</f>
        <v>Договоры</v>
      </c>
      <c r="M36" s="212"/>
      <c r="N36" s="203" t="str">
        <f>[1]TOCmatch!B17</f>
        <v>SFacc</v>
      </c>
      <c r="O36" s="259"/>
    </row>
    <row r="37" spans="1:15" hidden="1" outlineLevel="1" x14ac:dyDescent="0.25">
      <c r="A37" s="261">
        <v>41507.005069444444</v>
      </c>
      <c r="B37" s="196" t="s">
        <v>59</v>
      </c>
      <c r="C37" s="262" t="str">
        <f>B36</f>
        <v>Adapt</v>
      </c>
      <c r="D37" s="196"/>
      <c r="E37" s="197" t="s">
        <v>174</v>
      </c>
      <c r="F37" s="263" t="str">
        <f>K37</f>
        <v>SFD</v>
      </c>
      <c r="G37" s="204" t="s">
        <v>189</v>
      </c>
      <c r="H37" s="212"/>
      <c r="I37" s="212"/>
      <c r="J37" s="213"/>
      <c r="K37" s="260" t="s">
        <v>63</v>
      </c>
      <c r="L37" s="212"/>
      <c r="M37" s="212"/>
      <c r="N37" s="212"/>
      <c r="O37" s="213"/>
    </row>
    <row r="38" spans="1:15" hidden="1" outlineLevel="1" x14ac:dyDescent="0.25">
      <c r="A38" s="261">
        <v>41507.005196759259</v>
      </c>
      <c r="B38" s="264" t="s">
        <v>185</v>
      </c>
      <c r="C38" s="39" t="str">
        <f>B37</f>
        <v>DateSort</v>
      </c>
      <c r="D38" s="208"/>
      <c r="E38" s="236" t="s">
        <v>174</v>
      </c>
      <c r="F38" s="202" t="str">
        <f>F14</f>
        <v>LOAD_1C_DOG</v>
      </c>
      <c r="G38" s="205"/>
      <c r="H38" s="212"/>
      <c r="I38" s="212"/>
      <c r="J38" s="259"/>
      <c r="K38" s="260" t="s">
        <v>41</v>
      </c>
      <c r="L38" s="212"/>
      <c r="M38" s="212"/>
      <c r="N38" s="212"/>
      <c r="O38" s="259"/>
    </row>
    <row r="39" spans="1:15" s="223" customFormat="1" hidden="1" outlineLevel="1" x14ac:dyDescent="0.25">
      <c r="A39" s="265">
        <v>41507.005196759259</v>
      </c>
      <c r="B39" s="216" t="s">
        <v>33</v>
      </c>
      <c r="C39" s="266"/>
      <c r="D39" s="216"/>
      <c r="E39" s="217" t="s">
        <v>170</v>
      </c>
      <c r="F39" s="218"/>
      <c r="G39" s="219"/>
      <c r="H39" s="219"/>
      <c r="I39" s="219"/>
      <c r="J39" s="220"/>
      <c r="K39" s="221"/>
      <c r="L39" s="222"/>
      <c r="M39" s="219"/>
      <c r="N39" s="222"/>
      <c r="O39" s="220"/>
    </row>
    <row r="40" spans="1:15" s="187" customFormat="1" collapsed="1" x14ac:dyDescent="0.25">
      <c r="A40" s="270"/>
      <c r="B40" s="271" t="s">
        <v>169</v>
      </c>
      <c r="C40" s="272"/>
      <c r="D40" s="273"/>
      <c r="E40" s="274" t="s">
        <v>174</v>
      </c>
      <c r="F40" s="275" t="s">
        <v>190</v>
      </c>
      <c r="G40" s="273"/>
      <c r="H40" s="273"/>
      <c r="I40" s="273"/>
      <c r="J40" s="276"/>
      <c r="K40" s="277" t="str">
        <f>[1]TOCmatch!B17</f>
        <v>SFacc</v>
      </c>
      <c r="L40" s="278"/>
      <c r="M40" s="273"/>
      <c r="N40" s="278"/>
      <c r="O40" s="276"/>
    </row>
    <row r="41" spans="1:15" hidden="1" outlineLevel="1" x14ac:dyDescent="0.25">
      <c r="A41" s="193">
        <v>41507.011689814812</v>
      </c>
      <c r="B41" s="194" t="s">
        <v>185</v>
      </c>
      <c r="C41" s="195"/>
      <c r="D41" s="208"/>
      <c r="E41" s="236" t="s">
        <v>170</v>
      </c>
      <c r="F41" s="202" t="str">
        <f>F6</f>
        <v>LOAD_1C_P</v>
      </c>
      <c r="G41" s="205"/>
      <c r="H41" s="212"/>
      <c r="I41" s="212"/>
      <c r="J41" s="213"/>
      <c r="K41" s="202" t="str">
        <f>K40</f>
        <v>SFacc</v>
      </c>
      <c r="L41" s="205"/>
      <c r="M41" s="205"/>
      <c r="N41" s="212"/>
      <c r="O41" s="213"/>
    </row>
    <row r="42" spans="1:15" hidden="1" outlineLevel="1" x14ac:dyDescent="0.25">
      <c r="A42" s="193">
        <v>41507.011805555558</v>
      </c>
      <c r="B42" s="194" t="s">
        <v>185</v>
      </c>
      <c r="C42" s="195"/>
      <c r="D42" s="208"/>
      <c r="E42" s="236" t="s">
        <v>170</v>
      </c>
      <c r="F42" s="202" t="str">
        <f>F14</f>
        <v>LOAD_1C_DOG</v>
      </c>
      <c r="G42" s="205"/>
      <c r="H42" s="212"/>
      <c r="I42" s="212"/>
      <c r="J42" s="213"/>
      <c r="K42" s="202" t="str">
        <f>K40</f>
        <v>SFacc</v>
      </c>
      <c r="L42" s="205"/>
      <c r="M42" s="205"/>
      <c r="N42" s="212"/>
      <c r="O42" s="213"/>
    </row>
    <row r="43" spans="1:15" hidden="1" outlineLevel="1" x14ac:dyDescent="0.25">
      <c r="A43" s="193">
        <v>41507.01185185185</v>
      </c>
      <c r="B43" s="194" t="s">
        <v>185</v>
      </c>
      <c r="C43" s="195"/>
      <c r="D43" s="208"/>
      <c r="E43" s="236" t="s">
        <v>170</v>
      </c>
      <c r="F43" s="202" t="str">
        <f>F22</f>
        <v>LOAD_1C_ACC</v>
      </c>
      <c r="G43" s="205"/>
      <c r="H43" s="212"/>
      <c r="I43" s="212"/>
      <c r="J43" s="213"/>
      <c r="K43" s="202" t="str">
        <f>K40</f>
        <v>SFacc</v>
      </c>
      <c r="L43" s="205"/>
      <c r="M43" s="205"/>
      <c r="N43" s="212"/>
      <c r="O43" s="213"/>
    </row>
    <row r="44" spans="1:15" s="249" customFormat="1" ht="15.75" hidden="1" outlineLevel="1" thickBot="1" x14ac:dyDescent="0.3">
      <c r="A44" s="239">
        <v>41507.01185185185</v>
      </c>
      <c r="B44" s="240" t="s">
        <v>33</v>
      </c>
      <c r="C44" s="241"/>
      <c r="D44" s="242"/>
      <c r="E44" s="243" t="s">
        <v>170</v>
      </c>
      <c r="F44" s="244"/>
      <c r="G44" s="245"/>
      <c r="H44" s="245"/>
      <c r="I44" s="245"/>
      <c r="J44" s="246"/>
      <c r="K44" s="247"/>
      <c r="L44" s="248"/>
      <c r="M44" s="245"/>
      <c r="N44" s="248"/>
      <c r="O44" s="246"/>
    </row>
    <row r="45" spans="1:15" s="187" customFormat="1" ht="15.75" collapsed="1" thickBot="1" x14ac:dyDescent="0.3">
      <c r="B45" s="106" t="s">
        <v>169</v>
      </c>
      <c r="E45" s="188"/>
      <c r="F45" s="189" t="s">
        <v>105</v>
      </c>
      <c r="G45" s="190"/>
      <c r="H45" s="190"/>
      <c r="I45" s="190"/>
      <c r="J45" s="191"/>
      <c r="K45" s="192" t="str">
        <f>[1]TOCmatch!B29</f>
        <v>Заказы</v>
      </c>
      <c r="L45" s="190"/>
      <c r="M45" s="190"/>
      <c r="N45" s="190"/>
      <c r="O45" s="191"/>
    </row>
    <row r="46" spans="1:15" s="187" customFormat="1" ht="15.75" hidden="1" outlineLevel="1" thickBot="1" x14ac:dyDescent="0.3">
      <c r="A46" s="193">
        <v>41473.017916666664</v>
      </c>
      <c r="B46" s="194" t="s">
        <v>191</v>
      </c>
      <c r="C46" s="195" t="s">
        <v>67</v>
      </c>
      <c r="D46" s="196"/>
      <c r="E46" s="197" t="s">
        <v>170</v>
      </c>
      <c r="F46" s="279" t="s">
        <v>192</v>
      </c>
      <c r="G46" s="204"/>
      <c r="H46" s="200"/>
      <c r="I46" s="200"/>
      <c r="J46" s="201"/>
      <c r="K46" s="202" t="str">
        <f>K45</f>
        <v>Заказы</v>
      </c>
      <c r="L46" s="205"/>
      <c r="M46" s="200"/>
      <c r="N46" s="205"/>
      <c r="O46" s="201"/>
    </row>
    <row r="47" spans="1:15" s="187" customFormat="1" ht="15.75" hidden="1" outlineLevel="1" thickBot="1" x14ac:dyDescent="0.3">
      <c r="A47" s="193">
        <v>41473.017928240741</v>
      </c>
      <c r="B47" s="194" t="s">
        <v>85</v>
      </c>
      <c r="C47" s="210" t="str">
        <f>B46</f>
        <v>RowDel</v>
      </c>
      <c r="D47" s="196"/>
      <c r="E47" s="197" t="s">
        <v>170</v>
      </c>
      <c r="F47" s="202" t="s">
        <v>193</v>
      </c>
      <c r="G47" s="199"/>
      <c r="H47" s="200"/>
      <c r="I47" s="200"/>
      <c r="J47" s="201"/>
      <c r="K47" s="202" t="str">
        <f>K45</f>
        <v>Заказы</v>
      </c>
      <c r="L47" s="205"/>
      <c r="M47" s="200"/>
      <c r="N47" s="205"/>
      <c r="O47" s="201"/>
    </row>
    <row r="48" spans="1:15" s="187" customFormat="1" ht="15.75" hidden="1" outlineLevel="1" thickBot="1" x14ac:dyDescent="0.3">
      <c r="A48" s="261">
        <v>41506.983391203707</v>
      </c>
      <c r="B48" s="196" t="s">
        <v>101</v>
      </c>
      <c r="C48" s="280" t="str">
        <f>B47</f>
        <v>InsMyCol</v>
      </c>
      <c r="D48" s="196"/>
      <c r="E48" s="197" t="s">
        <v>174</v>
      </c>
      <c r="F48" s="189" t="s">
        <v>193</v>
      </c>
      <c r="G48" s="204"/>
      <c r="H48" s="204"/>
      <c r="I48" s="204"/>
      <c r="J48" s="281"/>
      <c r="K48" s="202" t="str">
        <f>K46</f>
        <v>Заказы</v>
      </c>
      <c r="L48" s="205" t="str">
        <f>[1]TOCmatch!B9</f>
        <v>Платежи</v>
      </c>
      <c r="M48" s="200"/>
      <c r="N48" s="203" t="str">
        <f>[1]TOCmatch!B22</f>
        <v>SForders</v>
      </c>
      <c r="O48" s="201"/>
    </row>
    <row r="49" spans="1:15" s="223" customFormat="1" ht="15.75" hidden="1" outlineLevel="1" thickBot="1" x14ac:dyDescent="0.3">
      <c r="A49" s="265">
        <v>41506.983391203707</v>
      </c>
      <c r="B49" s="216" t="s">
        <v>33</v>
      </c>
      <c r="C49" s="266"/>
      <c r="D49" s="216"/>
      <c r="E49" s="217" t="s">
        <v>170</v>
      </c>
      <c r="F49" s="218"/>
      <c r="G49" s="219"/>
      <c r="H49" s="219"/>
      <c r="I49" s="219"/>
      <c r="J49" s="220"/>
      <c r="K49" s="221"/>
      <c r="L49" s="222"/>
      <c r="M49" s="219"/>
      <c r="N49" s="222"/>
      <c r="O49" s="220"/>
    </row>
    <row r="50" spans="1:15" s="187" customFormat="1" ht="16.5" collapsed="1" thickTop="1" thickBot="1" x14ac:dyDescent="0.3">
      <c r="A50" s="185"/>
      <c r="B50" s="186" t="s">
        <v>169</v>
      </c>
      <c r="C50" s="185"/>
      <c r="E50" s="282" t="s">
        <v>66</v>
      </c>
      <c r="F50" s="189" t="s">
        <v>89</v>
      </c>
      <c r="G50" s="190"/>
      <c r="H50" s="190"/>
      <c r="I50" s="190"/>
      <c r="J50" s="191"/>
      <c r="K50" s="192" t="str">
        <f>[1]TOCmatch!B23</f>
        <v>Склад</v>
      </c>
      <c r="L50" s="190"/>
      <c r="M50" s="190"/>
      <c r="N50" s="190"/>
      <c r="O50" s="191"/>
    </row>
    <row r="51" spans="1:15" s="187" customFormat="1" ht="15.75" hidden="1" outlineLevel="1" thickTop="1" x14ac:dyDescent="0.25">
      <c r="A51" s="193">
        <v>41369.796759259261</v>
      </c>
      <c r="B51" s="194" t="s">
        <v>191</v>
      </c>
      <c r="C51" s="195" t="s">
        <v>67</v>
      </c>
      <c r="D51" s="196"/>
      <c r="E51" s="197" t="s">
        <v>170</v>
      </c>
      <c r="F51" s="279" t="s">
        <v>194</v>
      </c>
      <c r="G51" s="204"/>
      <c r="H51" s="200"/>
      <c r="I51" s="200"/>
      <c r="J51" s="201"/>
      <c r="K51" s="283" t="str">
        <f>K50</f>
        <v>Склад</v>
      </c>
      <c r="L51" s="205"/>
      <c r="M51" s="200"/>
      <c r="N51" s="205"/>
      <c r="O51" s="201"/>
    </row>
    <row r="52" spans="1:15" s="187" customFormat="1" ht="15.75" hidden="1" outlineLevel="1" thickTop="1" x14ac:dyDescent="0.25">
      <c r="A52" s="193">
        <v>41369.796909722223</v>
      </c>
      <c r="B52" s="194" t="s">
        <v>85</v>
      </c>
      <c r="C52" s="210" t="str">
        <f>B51</f>
        <v>RowDel</v>
      </c>
      <c r="D52" s="196"/>
      <c r="E52" s="197" t="s">
        <v>170</v>
      </c>
      <c r="F52" s="202" t="s">
        <v>195</v>
      </c>
      <c r="G52" s="204"/>
      <c r="H52" s="200"/>
      <c r="I52" s="200"/>
      <c r="J52" s="201"/>
      <c r="K52" s="202" t="str">
        <f>K50</f>
        <v>Склад</v>
      </c>
      <c r="L52" s="205"/>
      <c r="M52" s="200"/>
      <c r="N52" s="205"/>
      <c r="O52" s="201"/>
    </row>
    <row r="53" spans="1:15" s="187" customFormat="1" ht="16.5" collapsed="1" thickTop="1" thickBot="1" x14ac:dyDescent="0.3">
      <c r="A53" s="261"/>
      <c r="B53" s="196" t="s">
        <v>196</v>
      </c>
      <c r="C53" s="284"/>
      <c r="D53" s="196"/>
      <c r="E53" s="197" t="s">
        <v>174</v>
      </c>
      <c r="F53" s="279" t="s">
        <v>170</v>
      </c>
      <c r="G53" s="204" t="s">
        <v>197</v>
      </c>
      <c r="H53" s="200"/>
      <c r="I53" s="200"/>
      <c r="J53" s="201"/>
      <c r="K53" s="202"/>
      <c r="L53" s="205"/>
      <c r="M53" s="200"/>
      <c r="N53" s="205"/>
      <c r="O53" s="201"/>
    </row>
    <row r="54" spans="1:15" s="187" customFormat="1" ht="15.75" hidden="1" outlineLevel="1" thickBot="1" x14ac:dyDescent="0.3">
      <c r="A54" s="261">
        <v>41249.044224537036</v>
      </c>
      <c r="B54" s="196" t="s">
        <v>101</v>
      </c>
      <c r="C54" s="280" t="str">
        <f>B52</f>
        <v>InsMyCol</v>
      </c>
      <c r="D54" s="196"/>
      <c r="E54" s="197" t="s">
        <v>174</v>
      </c>
      <c r="F54" s="189" t="str">
        <f>F52</f>
        <v>Stock_MyCol</v>
      </c>
      <c r="G54" s="204"/>
      <c r="H54" s="200"/>
      <c r="I54" s="200"/>
      <c r="J54" s="201"/>
      <c r="K54" s="202" t="str">
        <f>K50</f>
        <v>Склад</v>
      </c>
      <c r="L54" s="205" t="str">
        <f>L138</f>
        <v>Платежи</v>
      </c>
      <c r="M54" s="200"/>
      <c r="N54" s="203" t="str">
        <f>[1]TOCmatch!B14</f>
        <v>SF</v>
      </c>
      <c r="O54" s="201"/>
    </row>
    <row r="55" spans="1:15" s="223" customFormat="1" ht="15.75" hidden="1" outlineLevel="1" thickBot="1" x14ac:dyDescent="0.3">
      <c r="A55" s="265"/>
      <c r="B55" s="216" t="s">
        <v>33</v>
      </c>
      <c r="C55" s="266"/>
      <c r="D55" s="216"/>
      <c r="E55" s="217" t="s">
        <v>174</v>
      </c>
      <c r="F55" s="218"/>
      <c r="G55" s="219"/>
      <c r="H55" s="219"/>
      <c r="I55" s="219"/>
      <c r="J55" s="220"/>
      <c r="K55" s="221"/>
      <c r="L55" s="222"/>
      <c r="M55" s="219"/>
      <c r="N55" s="222"/>
      <c r="O55" s="220"/>
    </row>
    <row r="56" spans="1:15" s="187" customFormat="1" ht="15.75" collapsed="1" thickTop="1" x14ac:dyDescent="0.25">
      <c r="A56" s="285"/>
      <c r="B56" s="286" t="s">
        <v>169</v>
      </c>
      <c r="C56" s="287"/>
      <c r="D56" s="253"/>
      <c r="E56" s="254" t="s">
        <v>174</v>
      </c>
      <c r="F56" s="255" t="s">
        <v>198</v>
      </c>
      <c r="G56" s="253"/>
      <c r="H56" s="253"/>
      <c r="I56" s="253"/>
      <c r="J56" s="256"/>
      <c r="K56" s="288" t="s">
        <v>32</v>
      </c>
      <c r="L56" s="258"/>
      <c r="M56" s="253"/>
      <c r="N56" s="258"/>
      <c r="O56" s="256"/>
    </row>
    <row r="57" spans="1:15" s="187" customFormat="1" x14ac:dyDescent="0.25">
      <c r="A57" s="289"/>
      <c r="B57" s="196" t="s">
        <v>196</v>
      </c>
      <c r="C57" s="284"/>
      <c r="D57" s="196"/>
      <c r="E57" s="197"/>
      <c r="F57" s="279" t="s">
        <v>170</v>
      </c>
      <c r="G57" s="204"/>
      <c r="H57" s="200"/>
      <c r="I57" s="200"/>
      <c r="J57" s="201"/>
      <c r="K57" s="202"/>
      <c r="L57" s="205"/>
      <c r="M57" s="200"/>
      <c r="N57" s="205"/>
      <c r="O57" s="201"/>
    </row>
    <row r="58" spans="1:15" ht="30" x14ac:dyDescent="0.25">
      <c r="A58" s="289"/>
      <c r="B58" s="264" t="s">
        <v>199</v>
      </c>
      <c r="C58" s="262" t="s">
        <v>200</v>
      </c>
      <c r="D58" s="208"/>
      <c r="E58" s="236" t="s">
        <v>174</v>
      </c>
      <c r="F58" s="202"/>
      <c r="G58" s="205"/>
      <c r="H58" s="212"/>
      <c r="I58" s="212"/>
      <c r="J58" s="259"/>
      <c r="K58" s="260" t="s">
        <v>32</v>
      </c>
      <c r="L58" s="212"/>
      <c r="M58" s="212"/>
      <c r="N58" s="212"/>
      <c r="O58" s="259"/>
    </row>
    <row r="59" spans="1:15" x14ac:dyDescent="0.25">
      <c r="A59" s="289"/>
      <c r="B59" s="264" t="s">
        <v>136</v>
      </c>
      <c r="C59" s="290" t="s">
        <v>201</v>
      </c>
      <c r="D59" s="208"/>
      <c r="E59" s="236"/>
      <c r="F59" s="202" t="s">
        <v>202</v>
      </c>
      <c r="G59" s="205" t="s">
        <v>203</v>
      </c>
      <c r="H59" s="212" t="s">
        <v>204</v>
      </c>
      <c r="I59" s="212" t="s">
        <v>205</v>
      </c>
      <c r="J59" s="259"/>
      <c r="K59" s="260"/>
      <c r="L59" s="212"/>
      <c r="M59" s="212"/>
      <c r="N59" s="212"/>
      <c r="O59" s="259"/>
    </row>
    <row r="60" spans="1:15" s="223" customFormat="1" ht="15.75" thickBot="1" x14ac:dyDescent="0.3">
      <c r="A60" s="265"/>
      <c r="B60" s="216" t="s">
        <v>33</v>
      </c>
      <c r="C60" s="266"/>
      <c r="D60" s="216"/>
      <c r="E60" s="217" t="s">
        <v>174</v>
      </c>
      <c r="F60" s="218"/>
      <c r="G60" s="219"/>
      <c r="H60" s="219"/>
      <c r="I60" s="219"/>
      <c r="J60" s="220"/>
      <c r="K60" s="221"/>
      <c r="L60" s="222"/>
      <c r="M60" s="219"/>
      <c r="N60" s="222"/>
      <c r="O60" s="220"/>
    </row>
    <row r="61" spans="1:15" s="187" customFormat="1" ht="16.5" thickTop="1" thickBot="1" x14ac:dyDescent="0.3">
      <c r="A61" s="261"/>
      <c r="B61" s="196" t="s">
        <v>169</v>
      </c>
      <c r="C61" s="291"/>
      <c r="D61" s="292"/>
      <c r="E61" s="282" t="s">
        <v>66</v>
      </c>
      <c r="F61" s="293" t="s">
        <v>206</v>
      </c>
      <c r="G61" s="200"/>
      <c r="H61" s="200"/>
      <c r="I61" s="200"/>
      <c r="J61" s="201"/>
      <c r="K61" s="192" t="str">
        <f>[1]TOCmatch!B8</f>
        <v>Платежи</v>
      </c>
      <c r="L61" s="205"/>
      <c r="M61" s="200"/>
      <c r="N61" s="205"/>
      <c r="O61" s="201"/>
    </row>
    <row r="62" spans="1:15" s="187" customFormat="1" ht="15.75" thickTop="1" x14ac:dyDescent="0.25">
      <c r="A62" s="261"/>
      <c r="B62" s="196" t="s">
        <v>196</v>
      </c>
      <c r="C62" s="284"/>
      <c r="D62" s="196"/>
      <c r="E62" s="197" t="s">
        <v>174</v>
      </c>
      <c r="F62" s="279" t="s">
        <v>170</v>
      </c>
      <c r="G62" s="204"/>
      <c r="H62" s="200"/>
      <c r="I62" s="200"/>
      <c r="J62" s="201"/>
      <c r="K62" s="202"/>
      <c r="L62" s="205"/>
      <c r="M62" s="200"/>
      <c r="N62" s="205"/>
      <c r="O62" s="201"/>
    </row>
    <row r="63" spans="1:15" s="187" customFormat="1" x14ac:dyDescent="0.25">
      <c r="A63" s="193">
        <v>41260.062905092593</v>
      </c>
      <c r="B63" s="194" t="s">
        <v>207</v>
      </c>
      <c r="C63" s="294"/>
      <c r="D63" s="292"/>
      <c r="E63" s="197" t="s">
        <v>170</v>
      </c>
      <c r="F63" s="295" t="s">
        <v>135</v>
      </c>
      <c r="G63" s="200"/>
      <c r="H63" s="200"/>
      <c r="I63" s="200"/>
      <c r="J63" s="201"/>
      <c r="K63" s="295" t="str">
        <f>F63</f>
        <v>NewPayment</v>
      </c>
      <c r="L63" s="205"/>
      <c r="M63" s="200"/>
      <c r="N63" s="205"/>
      <c r="O63" s="201"/>
    </row>
    <row r="64" spans="1:15" s="187" customFormat="1" x14ac:dyDescent="0.25">
      <c r="A64" s="261"/>
      <c r="B64" s="196" t="s">
        <v>208</v>
      </c>
      <c r="C64" s="296" t="str">
        <f>B63</f>
        <v>NewSheet</v>
      </c>
      <c r="D64" s="196"/>
      <c r="E64" s="197" t="s">
        <v>174</v>
      </c>
      <c r="F64" s="279"/>
      <c r="G64" s="204"/>
      <c r="H64" s="200"/>
      <c r="I64" s="200"/>
      <c r="J64" s="201"/>
      <c r="K64" s="202" t="str">
        <f>K61</f>
        <v>Платежи</v>
      </c>
      <c r="L64" s="203" t="str">
        <f>[1]TOCmatch!B16</f>
        <v>SFopp</v>
      </c>
      <c r="M64" s="200"/>
      <c r="N64" s="205"/>
      <c r="O64" s="201"/>
    </row>
    <row r="65" spans="1:16" s="187" customFormat="1" x14ac:dyDescent="0.25">
      <c r="A65" s="261"/>
      <c r="B65" s="264" t="s">
        <v>136</v>
      </c>
      <c r="C65" s="296" t="str">
        <f>B64</f>
        <v>NewPaidOpp</v>
      </c>
      <c r="D65" s="196"/>
      <c r="E65" s="197" t="s">
        <v>174</v>
      </c>
      <c r="F65" s="295" t="s">
        <v>135</v>
      </c>
      <c r="G65" s="205" t="s">
        <v>209</v>
      </c>
      <c r="H65" s="212" t="s">
        <v>210</v>
      </c>
      <c r="I65" s="212" t="s">
        <v>211</v>
      </c>
      <c r="J65" s="201"/>
      <c r="K65" s="202"/>
      <c r="L65" s="205"/>
      <c r="M65" s="200"/>
      <c r="N65" s="205"/>
      <c r="O65" s="201"/>
    </row>
    <row r="66" spans="1:16" s="223" customFormat="1" ht="15.75" thickBot="1" x14ac:dyDescent="0.3">
      <c r="A66" s="265"/>
      <c r="B66" s="216" t="s">
        <v>33</v>
      </c>
      <c r="C66" s="266">
        <v>224</v>
      </c>
      <c r="D66" s="216"/>
      <c r="E66" s="217" t="s">
        <v>174</v>
      </c>
      <c r="F66" s="218"/>
      <c r="G66" s="219"/>
      <c r="H66" s="219"/>
      <c r="I66" s="219"/>
      <c r="J66" s="220"/>
      <c r="K66" s="221"/>
      <c r="L66" s="222"/>
      <c r="M66" s="219"/>
      <c r="N66" s="222"/>
      <c r="O66" s="220"/>
    </row>
    <row r="67" spans="1:16" s="187" customFormat="1" ht="16.5" thickTop="1" thickBot="1" x14ac:dyDescent="0.3">
      <c r="A67" s="261"/>
      <c r="B67" s="196" t="s">
        <v>169</v>
      </c>
      <c r="C67" s="291"/>
      <c r="D67" s="292"/>
      <c r="E67" s="282" t="s">
        <v>66</v>
      </c>
      <c r="F67" s="293" t="s">
        <v>212</v>
      </c>
      <c r="G67" s="200"/>
      <c r="H67" s="200"/>
      <c r="I67" s="200"/>
      <c r="J67" s="201"/>
      <c r="K67" s="192" t="str">
        <f>[1]TOCmatch!B8</f>
        <v>Платежи</v>
      </c>
      <c r="L67" s="205"/>
      <c r="M67" s="200"/>
      <c r="N67" s="205"/>
      <c r="O67" s="201"/>
      <c r="P67" s="297"/>
    </row>
    <row r="68" spans="1:16" s="187" customFormat="1" ht="15.75" thickTop="1" x14ac:dyDescent="0.25">
      <c r="A68" s="261">
        <v>41506.038622685184</v>
      </c>
      <c r="B68" s="196" t="s">
        <v>101</v>
      </c>
      <c r="C68" s="298" t="str">
        <f>F6&amp;"/"&amp;B10</f>
        <v>LOAD_1C_P/PaymentPaint</v>
      </c>
      <c r="D68" s="196"/>
      <c r="E68" s="197" t="s">
        <v>174</v>
      </c>
      <c r="F68" s="299" t="s">
        <v>213</v>
      </c>
      <c r="G68" s="300" t="str">
        <f>K68</f>
        <v>Платежи</v>
      </c>
      <c r="H68" s="301" t="str">
        <f>F69</f>
        <v>NewPayment</v>
      </c>
      <c r="I68" s="200"/>
      <c r="J68" s="201"/>
      <c r="K68" s="202" t="str">
        <f>K67</f>
        <v>Платежи</v>
      </c>
      <c r="L68" s="203" t="str">
        <f>[1]TOCmatch!B16</f>
        <v>SFopp</v>
      </c>
      <c r="N68" s="205"/>
      <c r="O68" s="201"/>
      <c r="P68" s="297"/>
    </row>
    <row r="69" spans="1:16" s="187" customFormat="1" x14ac:dyDescent="0.25">
      <c r="A69" s="261">
        <v>41506.038622685184</v>
      </c>
      <c r="B69" s="264" t="s">
        <v>136</v>
      </c>
      <c r="C69" s="296" t="str">
        <f>B68</f>
        <v>Adapt</v>
      </c>
      <c r="D69" s="196"/>
      <c r="E69" s="197" t="s">
        <v>174</v>
      </c>
      <c r="F69" s="295" t="s">
        <v>135</v>
      </c>
      <c r="G69" s="205" t="s">
        <v>209</v>
      </c>
      <c r="H69" s="212" t="s">
        <v>210</v>
      </c>
      <c r="I69" s="212" t="s">
        <v>211</v>
      </c>
      <c r="J69" s="201"/>
      <c r="K69" s="295" t="str">
        <f>F69</f>
        <v>NewPayment</v>
      </c>
      <c r="M69" s="200"/>
      <c r="N69" s="205"/>
      <c r="O69" s="201"/>
      <c r="P69" s="297"/>
    </row>
    <row r="70" spans="1:16" s="223" customFormat="1" ht="15.75" thickBot="1" x14ac:dyDescent="0.3">
      <c r="A70" s="265">
        <v>41506.038634259261</v>
      </c>
      <c r="B70" s="216" t="s">
        <v>33</v>
      </c>
      <c r="C70" s="302">
        <v>67</v>
      </c>
      <c r="D70" s="216"/>
      <c r="E70" s="209" t="s">
        <v>170</v>
      </c>
      <c r="F70" s="218"/>
      <c r="G70" s="219"/>
      <c r="H70" s="219"/>
      <c r="I70" s="219"/>
      <c r="J70" s="220"/>
      <c r="K70" s="221"/>
      <c r="L70" s="222"/>
      <c r="M70" s="219"/>
      <c r="N70" s="222"/>
      <c r="O70" s="220"/>
      <c r="P70" s="303"/>
    </row>
    <row r="71" spans="1:16" s="187" customFormat="1" ht="16.5" thickTop="1" thickBot="1" x14ac:dyDescent="0.3">
      <c r="A71" s="261"/>
      <c r="B71" s="196" t="s">
        <v>169</v>
      </c>
      <c r="C71" s="291"/>
      <c r="D71" s="292"/>
      <c r="E71" s="282" t="s">
        <v>66</v>
      </c>
      <c r="F71" s="293" t="s">
        <v>214</v>
      </c>
      <c r="G71" s="200"/>
      <c r="H71" s="200"/>
      <c r="I71" s="200"/>
      <c r="J71" s="201"/>
      <c r="K71" s="192" t="str">
        <f>[1]TOCmatch!B8</f>
        <v>Платежи</v>
      </c>
      <c r="L71" s="205"/>
      <c r="M71" s="200"/>
      <c r="N71" s="205"/>
      <c r="O71" s="201"/>
    </row>
    <row r="72" spans="1:16" s="187" customFormat="1" ht="15.75" thickTop="1" x14ac:dyDescent="0.25">
      <c r="A72" s="261">
        <v>41507.012986111113</v>
      </c>
      <c r="B72" s="196" t="s">
        <v>215</v>
      </c>
      <c r="C72" s="298" t="str">
        <f>F6&amp;"/"&amp;B10</f>
        <v>LOAD_1C_P/PaymentPaint</v>
      </c>
      <c r="D72" s="196"/>
      <c r="E72" s="197" t="s">
        <v>174</v>
      </c>
      <c r="F72" s="295" t="s">
        <v>135</v>
      </c>
      <c r="G72" s="204"/>
      <c r="H72" s="200"/>
      <c r="I72" s="200"/>
      <c r="J72" s="201"/>
      <c r="K72" s="202" t="str">
        <f>K71</f>
        <v>Платежи</v>
      </c>
      <c r="L72" s="203" t="str">
        <f>[1]TOCmatch!B15</f>
        <v>SFD</v>
      </c>
      <c r="M72" s="203" t="str">
        <f>[1]TOCmatch!B16</f>
        <v>SFopp</v>
      </c>
      <c r="N72" s="205"/>
      <c r="O72" s="201"/>
    </row>
    <row r="73" spans="1:16" s="187" customFormat="1" x14ac:dyDescent="0.25">
      <c r="A73" s="261">
        <v>41507.012986111113</v>
      </c>
      <c r="B73" s="264" t="s">
        <v>136</v>
      </c>
      <c r="C73" s="296" t="str">
        <f>B72</f>
        <v>PaidContr</v>
      </c>
      <c r="D73" s="196"/>
      <c r="E73" s="197" t="s">
        <v>174</v>
      </c>
      <c r="F73" s="304" t="str">
        <f>F72</f>
        <v>NewPayment</v>
      </c>
      <c r="G73" s="205" t="s">
        <v>209</v>
      </c>
      <c r="H73" s="212" t="s">
        <v>210</v>
      </c>
      <c r="I73" s="212" t="s">
        <v>211</v>
      </c>
      <c r="J73" s="201"/>
      <c r="K73" s="295" t="str">
        <f>F73</f>
        <v>NewPayment</v>
      </c>
      <c r="M73" s="200"/>
      <c r="N73" s="205"/>
      <c r="O73" s="201"/>
    </row>
    <row r="74" spans="1:16" s="223" customFormat="1" ht="15.75" thickBot="1" x14ac:dyDescent="0.3">
      <c r="A74" s="265">
        <v>41507.012986111113</v>
      </c>
      <c r="B74" s="216" t="s">
        <v>33</v>
      </c>
      <c r="C74" s="302">
        <v>15</v>
      </c>
      <c r="D74" s="216"/>
      <c r="E74" s="209" t="s">
        <v>170</v>
      </c>
      <c r="F74" s="218"/>
      <c r="G74" s="219"/>
      <c r="H74" s="219"/>
      <c r="I74" s="219"/>
      <c r="J74" s="220"/>
      <c r="K74" s="221"/>
      <c r="L74" s="222"/>
      <c r="M74" s="219"/>
      <c r="N74" s="222"/>
      <c r="O74" s="220"/>
    </row>
    <row r="75" spans="1:16" s="187" customFormat="1" ht="16.5" thickTop="1" thickBot="1" x14ac:dyDescent="0.3">
      <c r="A75" s="261"/>
      <c r="B75" s="196" t="s">
        <v>169</v>
      </c>
      <c r="C75" s="291"/>
      <c r="D75" s="292"/>
      <c r="E75" s="282" t="s">
        <v>66</v>
      </c>
      <c r="F75" s="305" t="s">
        <v>216</v>
      </c>
      <c r="G75" s="200"/>
      <c r="H75" s="200"/>
      <c r="I75" s="200"/>
      <c r="J75" s="201"/>
      <c r="K75" s="192" t="str">
        <f>K14</f>
        <v>Договоры</v>
      </c>
      <c r="L75" s="205"/>
      <c r="M75" s="200"/>
      <c r="N75" s="205"/>
      <c r="O75" s="201"/>
    </row>
    <row r="76" spans="1:16" s="187" customFormat="1" ht="15.75" thickTop="1" x14ac:dyDescent="0.25">
      <c r="A76" s="261">
        <v>41507.017268518517</v>
      </c>
      <c r="B76" s="196" t="s">
        <v>43</v>
      </c>
      <c r="C76" s="298" t="str">
        <f>F14&amp;"/"&amp;B15</f>
        <v>LOAD_1C_DOG/InsMyCol</v>
      </c>
      <c r="D76" s="196"/>
      <c r="E76" s="197" t="s">
        <v>174</v>
      </c>
      <c r="F76" s="295" t="s">
        <v>138</v>
      </c>
      <c r="G76" s="204"/>
      <c r="H76" s="200"/>
      <c r="I76" s="200"/>
      <c r="J76" s="201"/>
      <c r="K76" s="202" t="str">
        <f>K75</f>
        <v>Договоры</v>
      </c>
      <c r="L76" s="203" t="str">
        <f>[1]TOCmatch!B15</f>
        <v>SFD</v>
      </c>
      <c r="M76" s="203" t="str">
        <f>[1]TOCmatch!B17</f>
        <v>SFacc</v>
      </c>
      <c r="N76" s="205"/>
      <c r="O76" s="201"/>
    </row>
    <row r="77" spans="1:16" s="187" customFormat="1" x14ac:dyDescent="0.25">
      <c r="A77" s="261">
        <v>41507.017268518517</v>
      </c>
      <c r="B77" s="264" t="s">
        <v>136</v>
      </c>
      <c r="C77" s="296" t="str">
        <f>B76</f>
        <v>NewContr</v>
      </c>
      <c r="D77" s="196"/>
      <c r="E77" s="197" t="s">
        <v>174</v>
      </c>
      <c r="F77" s="304" t="str">
        <f>F76</f>
        <v>NewContract</v>
      </c>
      <c r="G77" s="205" t="s">
        <v>209</v>
      </c>
      <c r="H77" s="212" t="s">
        <v>217</v>
      </c>
      <c r="I77" s="212" t="s">
        <v>218</v>
      </c>
      <c r="J77" s="201"/>
      <c r="K77" s="295" t="str">
        <f>F77</f>
        <v>NewContract</v>
      </c>
      <c r="M77" s="200"/>
      <c r="N77" s="205"/>
      <c r="O77" s="201"/>
    </row>
    <row r="78" spans="1:16" s="223" customFormat="1" ht="15.75" thickBot="1" x14ac:dyDescent="0.3">
      <c r="A78" s="265">
        <v>41507.017268518517</v>
      </c>
      <c r="B78" s="216" t="s">
        <v>33</v>
      </c>
      <c r="C78" s="302">
        <v>1</v>
      </c>
      <c r="D78" s="216"/>
      <c r="E78" s="217" t="s">
        <v>170</v>
      </c>
      <c r="F78" s="218"/>
      <c r="G78" s="219"/>
      <c r="H78" s="219"/>
      <c r="I78" s="219"/>
      <c r="J78" s="220"/>
      <c r="K78" s="221"/>
      <c r="L78" s="222"/>
      <c r="M78" s="219"/>
      <c r="N78" s="222"/>
      <c r="O78" s="220"/>
    </row>
    <row r="79" spans="1:16" s="187" customFormat="1" ht="16.5" thickTop="1" thickBot="1" x14ac:dyDescent="0.3">
      <c r="A79" s="261"/>
      <c r="B79" s="196" t="s">
        <v>169</v>
      </c>
      <c r="C79" s="291"/>
      <c r="D79" s="292"/>
      <c r="E79" s="282" t="s">
        <v>66</v>
      </c>
      <c r="F79" s="305" t="s">
        <v>219</v>
      </c>
      <c r="G79" s="200"/>
      <c r="H79" s="200"/>
      <c r="I79" s="200"/>
      <c r="J79" s="201"/>
      <c r="K79" s="192" t="str">
        <f>[1]TOCmatch!I29</f>
        <v>Заказы</v>
      </c>
      <c r="L79" s="205"/>
      <c r="M79" s="200"/>
      <c r="N79" s="205"/>
      <c r="O79" s="201"/>
      <c r="P79" s="307"/>
    </row>
    <row r="80" spans="1:16" s="187" customFormat="1" ht="15.75" thickTop="1" x14ac:dyDescent="0.25">
      <c r="A80" s="261">
        <v>41430.738321759258</v>
      </c>
      <c r="B80" s="196" t="s">
        <v>143</v>
      </c>
      <c r="C80" s="298" t="str">
        <f>F45&amp;"/"&amp;B48</f>
        <v>LOAD_Order/Adapt</v>
      </c>
      <c r="D80" s="196"/>
      <c r="E80" s="197" t="s">
        <v>174</v>
      </c>
      <c r="F80" s="295" t="str">
        <f>[1]TOCmatch!I47</f>
        <v>NewOrder</v>
      </c>
      <c r="G80" s="204"/>
      <c r="H80" s="200"/>
      <c r="I80" s="200"/>
      <c r="J80" s="201"/>
      <c r="K80" s="202" t="str">
        <f>K79</f>
        <v>Заказы</v>
      </c>
      <c r="L80" s="24" t="str">
        <f>[1]TOCmatch!I8</f>
        <v>Платежи</v>
      </c>
      <c r="M80" s="203" t="str">
        <f>[1]TOCmatch!B22</f>
        <v>SForders</v>
      </c>
      <c r="N80" s="203" t="str">
        <f>[1]TOCmatch!B14</f>
        <v>SF</v>
      </c>
      <c r="O80" s="201"/>
      <c r="P80" s="307"/>
    </row>
    <row r="81" spans="1:16" s="187" customFormat="1" x14ac:dyDescent="0.25">
      <c r="A81" s="261">
        <v>41430.738321759258</v>
      </c>
      <c r="B81" s="264" t="s">
        <v>136</v>
      </c>
      <c r="C81" s="296" t="str">
        <f>B80</f>
        <v>NewOrder</v>
      </c>
      <c r="D81" s="196"/>
      <c r="E81" s="197" t="s">
        <v>174</v>
      </c>
      <c r="F81" s="304" t="str">
        <f>F80</f>
        <v>NewOrder</v>
      </c>
      <c r="G81" s="205" t="s">
        <v>209</v>
      </c>
      <c r="H81" s="212" t="s">
        <v>220</v>
      </c>
      <c r="I81" s="212" t="s">
        <v>221</v>
      </c>
      <c r="J81" s="201"/>
      <c r="K81" s="295" t="str">
        <f>F81</f>
        <v>NewOrder</v>
      </c>
      <c r="M81" s="200"/>
      <c r="N81" s="205"/>
      <c r="O81" s="201"/>
      <c r="P81" s="307"/>
    </row>
    <row r="82" spans="1:16" s="223" customFormat="1" ht="15.75" thickBot="1" x14ac:dyDescent="0.3">
      <c r="A82" s="265"/>
      <c r="B82" s="216" t="s">
        <v>33</v>
      </c>
      <c r="C82" s="302">
        <v>0</v>
      </c>
      <c r="D82" s="216"/>
      <c r="E82" s="217" t="s">
        <v>174</v>
      </c>
      <c r="F82" s="218"/>
      <c r="G82" s="219"/>
      <c r="H82" s="219"/>
      <c r="I82" s="219"/>
      <c r="J82" s="220"/>
      <c r="K82" s="221"/>
      <c r="L82" s="222"/>
      <c r="M82" s="219"/>
      <c r="N82" s="222"/>
      <c r="O82" s="220"/>
      <c r="P82" s="308"/>
    </row>
    <row r="83" spans="1:16" s="187" customFormat="1" ht="16.5" thickTop="1" thickBot="1" x14ac:dyDescent="0.3">
      <c r="A83" s="261"/>
      <c r="B83" s="196" t="s">
        <v>169</v>
      </c>
      <c r="C83" s="291"/>
      <c r="D83" s="292"/>
      <c r="E83" s="282" t="s">
        <v>66</v>
      </c>
      <c r="F83" s="305" t="s">
        <v>222</v>
      </c>
      <c r="G83" s="200"/>
      <c r="H83" s="200"/>
      <c r="I83" s="200"/>
      <c r="J83" s="201"/>
      <c r="K83" s="192" t="str">
        <f>[1]TOCmatch!B8</f>
        <v>Платежи</v>
      </c>
      <c r="L83" s="205"/>
      <c r="M83" s="200"/>
      <c r="N83" s="205"/>
      <c r="O83" s="201"/>
      <c r="P83" s="309"/>
    </row>
    <row r="84" spans="1:16" s="187" customFormat="1" ht="30.75" thickTop="1" x14ac:dyDescent="0.25">
      <c r="A84" s="261">
        <v>41344.979027777779</v>
      </c>
      <c r="B84" s="196" t="s">
        <v>101</v>
      </c>
      <c r="C84" s="310" t="str">
        <f>F75&amp;"/"&amp;B77</f>
        <v>HANDL_NewContract/WrCSV</v>
      </c>
      <c r="D84" s="196"/>
      <c r="E84" s="197" t="s">
        <v>174</v>
      </c>
      <c r="F84" s="311" t="s">
        <v>223</v>
      </c>
      <c r="G84" s="296" t="str">
        <f>[1]TOCmatch!B8</f>
        <v>Платежи</v>
      </c>
      <c r="H84" s="312" t="str">
        <f>F85</f>
        <v>NewOpp</v>
      </c>
      <c r="I84" s="200"/>
      <c r="J84" s="201"/>
      <c r="K84" s="295" t="str">
        <f>[1]TOCmatch!B45</f>
        <v>NewOpp</v>
      </c>
      <c r="L84" s="205" t="str">
        <f>[1]TOCmatch!B8</f>
        <v>Платежи</v>
      </c>
      <c r="M84" s="203" t="str">
        <f>[1]TOCmatch!B15</f>
        <v>SFD</v>
      </c>
      <c r="N84" s="203" t="str">
        <f>[1]TOCmatch!B16</f>
        <v>SFopp</v>
      </c>
      <c r="O84" s="201"/>
      <c r="P84" s="309"/>
    </row>
    <row r="85" spans="1:16" s="187" customFormat="1" x14ac:dyDescent="0.25">
      <c r="A85" s="261">
        <v>41344.938113425924</v>
      </c>
      <c r="B85" s="264" t="s">
        <v>136</v>
      </c>
      <c r="C85" s="296" t="str">
        <f>B84</f>
        <v>Adapt</v>
      </c>
      <c r="D85" s="196"/>
      <c r="E85" s="197" t="s">
        <v>174</v>
      </c>
      <c r="F85" s="304" t="str">
        <f>K84</f>
        <v>NewOpp</v>
      </c>
      <c r="G85" s="205" t="s">
        <v>209</v>
      </c>
      <c r="H85" s="212" t="s">
        <v>224</v>
      </c>
      <c r="I85" s="212" t="s">
        <v>225</v>
      </c>
      <c r="J85" s="201"/>
      <c r="K85" s="295" t="str">
        <f>F85</f>
        <v>NewOpp</v>
      </c>
      <c r="M85" s="200"/>
      <c r="N85" s="205"/>
      <c r="O85" s="201"/>
      <c r="P85" s="309"/>
    </row>
    <row r="86" spans="1:16" s="223" customFormat="1" x14ac:dyDescent="0.25">
      <c r="A86" s="265"/>
      <c r="B86" s="216" t="s">
        <v>33</v>
      </c>
      <c r="C86" s="302">
        <v>217</v>
      </c>
      <c r="D86" s="216"/>
      <c r="E86" s="217" t="s">
        <v>174</v>
      </c>
      <c r="F86" s="218"/>
      <c r="G86" s="219"/>
      <c r="H86" s="219"/>
      <c r="I86" s="219"/>
      <c r="J86" s="220"/>
      <c r="K86" s="221"/>
      <c r="L86" s="222"/>
      <c r="M86" s="219"/>
      <c r="N86" s="222"/>
      <c r="O86" s="220"/>
      <c r="P86" s="313"/>
    </row>
    <row r="87" spans="1:16" s="187" customFormat="1" x14ac:dyDescent="0.25">
      <c r="A87" s="193"/>
      <c r="B87" s="194" t="s">
        <v>169</v>
      </c>
      <c r="C87" s="294"/>
      <c r="D87" s="292"/>
      <c r="E87" s="197" t="s">
        <v>174</v>
      </c>
      <c r="F87" s="293" t="s">
        <v>226</v>
      </c>
      <c r="G87" s="200"/>
      <c r="H87" s="200"/>
      <c r="I87" s="200"/>
      <c r="J87" s="201"/>
      <c r="K87" s="192" t="str">
        <f>[1]TOCmatch!B10</f>
        <v>Договоры</v>
      </c>
      <c r="L87" s="205"/>
      <c r="M87" s="200"/>
      <c r="N87" s="205"/>
      <c r="O87" s="201"/>
    </row>
    <row r="88" spans="1:16" x14ac:dyDescent="0.25">
      <c r="A88" s="289"/>
      <c r="B88" s="264" t="s">
        <v>227</v>
      </c>
      <c r="C88" s="262" t="s">
        <v>43</v>
      </c>
      <c r="D88" s="208"/>
      <c r="E88" s="236" t="s">
        <v>174</v>
      </c>
      <c r="F88" s="202"/>
      <c r="G88" s="205"/>
      <c r="H88" s="212"/>
      <c r="I88" s="212"/>
      <c r="J88" s="259"/>
      <c r="K88" s="260" t="s">
        <v>41</v>
      </c>
      <c r="L88" s="212"/>
      <c r="M88" s="212"/>
      <c r="N88" s="212"/>
      <c r="O88" s="259"/>
    </row>
    <row r="89" spans="1:16" x14ac:dyDescent="0.25">
      <c r="A89" s="289"/>
      <c r="B89" s="264" t="s">
        <v>136</v>
      </c>
      <c r="C89" s="290" t="s">
        <v>227</v>
      </c>
      <c r="D89" s="208"/>
      <c r="E89" s="236"/>
      <c r="F89" s="202" t="s">
        <v>228</v>
      </c>
      <c r="G89" s="205" t="s">
        <v>203</v>
      </c>
      <c r="H89" s="212" t="s">
        <v>204</v>
      </c>
      <c r="I89" s="212" t="s">
        <v>205</v>
      </c>
      <c r="J89" s="259"/>
      <c r="K89" s="260"/>
      <c r="L89" s="212"/>
      <c r="M89" s="212"/>
      <c r="N89" s="212"/>
      <c r="O89" s="259"/>
    </row>
    <row r="90" spans="1:16" s="249" customFormat="1" ht="15.75" thickBot="1" x14ac:dyDescent="0.3">
      <c r="A90" s="314"/>
      <c r="B90" s="242" t="s">
        <v>33</v>
      </c>
      <c r="C90" s="314"/>
      <c r="D90" s="242"/>
      <c r="E90" s="243" t="s">
        <v>174</v>
      </c>
      <c r="F90" s="244"/>
      <c r="G90" s="245"/>
      <c r="H90" s="245"/>
      <c r="I90" s="245"/>
      <c r="J90" s="246"/>
      <c r="K90" s="247"/>
      <c r="L90" s="248"/>
      <c r="M90" s="245"/>
      <c r="N90" s="248"/>
      <c r="O90" s="246"/>
    </row>
    <row r="91" spans="1:16" s="187" customFormat="1" ht="16.5" thickTop="1" thickBot="1" x14ac:dyDescent="0.3">
      <c r="A91" s="261"/>
      <c r="B91" s="196" t="s">
        <v>169</v>
      </c>
      <c r="C91" s="291"/>
      <c r="D91" s="292"/>
      <c r="E91" s="282" t="s">
        <v>66</v>
      </c>
      <c r="F91" s="293" t="s">
        <v>229</v>
      </c>
      <c r="G91" s="200"/>
      <c r="H91" s="200"/>
      <c r="I91" s="200"/>
      <c r="J91" s="201"/>
      <c r="K91" s="192" t="str">
        <f>[1]TOCmatch!B12</f>
        <v>Список клиентов 1C</v>
      </c>
      <c r="L91" s="205"/>
      <c r="M91" s="200"/>
      <c r="N91" s="205"/>
      <c r="O91" s="201"/>
    </row>
    <row r="92" spans="1:16" ht="15.75" thickTop="1" x14ac:dyDescent="0.25">
      <c r="A92" s="261">
        <v>41237.062696759262</v>
      </c>
      <c r="B92" s="264" t="s">
        <v>230</v>
      </c>
      <c r="C92" s="39" t="str">
        <f>F22&amp;"/"&amp;B24</f>
        <v>LOAD_1C_ACC/InsMyCol</v>
      </c>
      <c r="D92" s="208"/>
      <c r="E92" s="236" t="s">
        <v>174</v>
      </c>
      <c r="F92" s="202" t="s">
        <v>128</v>
      </c>
      <c r="G92" s="205"/>
      <c r="H92" s="212"/>
      <c r="I92" s="212"/>
      <c r="J92" s="259"/>
      <c r="K92" s="2" t="str">
        <f>K91</f>
        <v>Список клиентов 1C</v>
      </c>
      <c r="L92" s="212"/>
      <c r="M92" s="212"/>
      <c r="N92" s="203" t="str">
        <f>[1]TOCmatch!B17</f>
        <v>SFacc</v>
      </c>
      <c r="O92" s="259"/>
    </row>
    <row r="93" spans="1:16" s="223" customFormat="1" ht="15.75" thickBot="1" x14ac:dyDescent="0.3">
      <c r="A93" s="265"/>
      <c r="B93" s="216" t="s">
        <v>33</v>
      </c>
      <c r="C93" s="266"/>
      <c r="D93" s="216"/>
      <c r="E93" s="217" t="s">
        <v>174</v>
      </c>
      <c r="F93" s="218"/>
      <c r="G93" s="219"/>
      <c r="H93" s="219"/>
      <c r="I93" s="219"/>
      <c r="J93" s="220"/>
      <c r="K93" s="221"/>
      <c r="L93" s="222"/>
      <c r="M93" s="219"/>
      <c r="N93" s="222"/>
      <c r="O93" s="220"/>
    </row>
    <row r="94" spans="1:16" s="187" customFormat="1" ht="16.5" thickTop="1" thickBot="1" x14ac:dyDescent="0.3">
      <c r="A94" s="261"/>
      <c r="B94" s="196" t="s">
        <v>169</v>
      </c>
      <c r="C94" s="291"/>
      <c r="D94" s="292"/>
      <c r="E94" s="282" t="s">
        <v>66</v>
      </c>
      <c r="F94" s="293" t="s">
        <v>231</v>
      </c>
      <c r="G94" s="200"/>
      <c r="H94" s="200"/>
      <c r="I94" s="200"/>
      <c r="J94" s="201"/>
      <c r="K94" s="192" t="s">
        <v>113</v>
      </c>
      <c r="L94" s="205"/>
      <c r="M94" s="200"/>
      <c r="N94" s="205"/>
      <c r="O94" s="201"/>
      <c r="P94" s="315"/>
    </row>
    <row r="95" spans="1:16" ht="15.75" thickTop="1" x14ac:dyDescent="0.25">
      <c r="A95" s="261">
        <v>41410.835046296299</v>
      </c>
      <c r="B95" s="264" t="s">
        <v>232</v>
      </c>
      <c r="C95" s="39" t="s">
        <v>67</v>
      </c>
      <c r="D95" s="208"/>
      <c r="E95" s="236" t="s">
        <v>174</v>
      </c>
      <c r="F95" s="316" t="str">
        <f>[1]TOCmatch!B42</f>
        <v>BTOlog</v>
      </c>
      <c r="G95" s="205"/>
      <c r="H95" s="212"/>
      <c r="I95" s="212"/>
      <c r="J95" s="259"/>
      <c r="K95" s="96" t="str">
        <f>[1]TOCmatch!I29</f>
        <v>Заказы</v>
      </c>
      <c r="L95" s="317" t="str">
        <f>[1]TOCmatch!B34</f>
        <v>BTOmails</v>
      </c>
      <c r="M95" s="203" t="str">
        <f>[1]TOCmatch!B22</f>
        <v>SForders</v>
      </c>
      <c r="N95" s="203" t="str">
        <f>[1]TOCmatch!B19</f>
        <v>ADSKfrSF</v>
      </c>
      <c r="O95" s="259"/>
      <c r="P95" s="318"/>
    </row>
    <row r="96" spans="1:16" s="187" customFormat="1" x14ac:dyDescent="0.25">
      <c r="A96" s="261"/>
      <c r="B96" s="264" t="s">
        <v>136</v>
      </c>
      <c r="C96" s="296" t="str">
        <f>B95</f>
        <v>BTO_Mail_track</v>
      </c>
      <c r="D96" s="196"/>
      <c r="E96" s="197" t="s">
        <v>174</v>
      </c>
      <c r="F96" s="316" t="str">
        <f>F95</f>
        <v>BTOlog</v>
      </c>
      <c r="G96" s="205" t="s">
        <v>209</v>
      </c>
      <c r="H96" s="212" t="s">
        <v>233</v>
      </c>
      <c r="I96" s="212" t="s">
        <v>234</v>
      </c>
      <c r="J96" s="201"/>
      <c r="K96" s="316" t="str">
        <f>F96</f>
        <v>BTOlog</v>
      </c>
      <c r="M96" s="200"/>
      <c r="N96" s="205"/>
      <c r="O96" s="201"/>
      <c r="P96" s="318"/>
    </row>
    <row r="97" spans="1:16" s="223" customFormat="1" ht="15.75" thickBot="1" x14ac:dyDescent="0.3">
      <c r="A97" s="265"/>
      <c r="B97" s="216" t="s">
        <v>33</v>
      </c>
      <c r="C97" s="266"/>
      <c r="D97" s="216"/>
      <c r="E97" s="217" t="s">
        <v>174</v>
      </c>
      <c r="F97" s="218"/>
      <c r="G97" s="219"/>
      <c r="H97" s="219"/>
      <c r="I97" s="219"/>
      <c r="J97" s="220"/>
      <c r="K97" s="221"/>
      <c r="L97" s="222"/>
      <c r="M97" s="219"/>
      <c r="N97" s="222"/>
      <c r="O97" s="220"/>
      <c r="P97" s="319"/>
    </row>
    <row r="98" spans="1:16" s="187" customFormat="1" ht="16.5" thickTop="1" thickBot="1" x14ac:dyDescent="0.3">
      <c r="A98" s="193"/>
      <c r="B98" s="194" t="s">
        <v>169</v>
      </c>
      <c r="C98" s="294"/>
      <c r="D98" s="292"/>
      <c r="E98" s="282" t="s">
        <v>66</v>
      </c>
      <c r="F98" s="293" t="s">
        <v>235</v>
      </c>
      <c r="G98" s="200"/>
      <c r="H98" s="200"/>
      <c r="I98" s="200"/>
      <c r="J98" s="201"/>
      <c r="K98" s="192" t="s">
        <v>72</v>
      </c>
      <c r="L98" s="205"/>
      <c r="M98" s="200"/>
      <c r="N98" s="205"/>
      <c r="O98" s="201"/>
      <c r="P98" s="320"/>
    </row>
    <row r="99" spans="1:16" ht="15.75" thickTop="1" x14ac:dyDescent="0.25">
      <c r="A99" s="193">
        <v>41499.705324074072</v>
      </c>
      <c r="B99" s="207" t="s">
        <v>101</v>
      </c>
      <c r="C99" s="238"/>
      <c r="D99" s="208"/>
      <c r="E99" s="236" t="s">
        <v>170</v>
      </c>
      <c r="F99" s="321" t="s">
        <v>150</v>
      </c>
      <c r="G99" s="322" t="str">
        <f>K98</f>
        <v>ADSKfrSF</v>
      </c>
      <c r="H99" s="323" t="s">
        <v>149</v>
      </c>
      <c r="J99" s="259"/>
      <c r="K99" s="323" t="str">
        <f>H99</f>
        <v>A_SN_1</v>
      </c>
      <c r="L99" s="58" t="str">
        <f>K98</f>
        <v>ADSKfrSF</v>
      </c>
      <c r="N99" s="205"/>
      <c r="O99" s="259"/>
      <c r="P99" s="324"/>
    </row>
    <row r="100" spans="1:16" x14ac:dyDescent="0.25">
      <c r="A100" s="193">
        <v>41502.225694444445</v>
      </c>
      <c r="B100" s="207" t="s">
        <v>73</v>
      </c>
      <c r="C100" s="238" t="str">
        <f>B99</f>
        <v>Adapt</v>
      </c>
      <c r="D100" s="208"/>
      <c r="E100" s="236" t="s">
        <v>170</v>
      </c>
      <c r="F100" s="325"/>
      <c r="G100" s="205"/>
      <c r="H100" s="212"/>
      <c r="I100" s="212"/>
      <c r="J100" s="259"/>
      <c r="K100" s="58" t="str">
        <f>L99</f>
        <v>ADSKfrSF</v>
      </c>
      <c r="L100" s="323" t="s">
        <v>151</v>
      </c>
      <c r="M100" s="323" t="s">
        <v>154</v>
      </c>
      <c r="N100" s="205"/>
      <c r="O100" s="259"/>
      <c r="P100" s="324"/>
    </row>
    <row r="101" spans="1:16" s="187" customFormat="1" x14ac:dyDescent="0.25">
      <c r="A101" s="261"/>
      <c r="B101" s="196" t="s">
        <v>196</v>
      </c>
      <c r="C101" s="284"/>
      <c r="D101" s="196"/>
      <c r="E101" s="197" t="s">
        <v>174</v>
      </c>
      <c r="F101" s="279" t="s">
        <v>170</v>
      </c>
      <c r="G101" s="204"/>
      <c r="H101" s="200"/>
      <c r="I101" s="200"/>
      <c r="J101" s="201"/>
      <c r="K101" s="202"/>
      <c r="L101" s="205"/>
      <c r="M101" s="200"/>
      <c r="N101" s="205"/>
      <c r="O101" s="201"/>
      <c r="P101" s="320"/>
    </row>
    <row r="102" spans="1:16" s="187" customFormat="1" x14ac:dyDescent="0.25">
      <c r="A102" s="261"/>
      <c r="B102" s="264" t="s">
        <v>136</v>
      </c>
      <c r="C102" s="296" t="str">
        <f>B99</f>
        <v>Adapt</v>
      </c>
      <c r="D102" s="196"/>
      <c r="E102" s="197" t="s">
        <v>174</v>
      </c>
      <c r="F102" s="325" t="str">
        <f>M100</f>
        <v>A_SN_3</v>
      </c>
      <c r="G102" s="205" t="s">
        <v>209</v>
      </c>
      <c r="H102" s="326" t="s">
        <v>233</v>
      </c>
      <c r="I102" s="326" t="s">
        <v>234</v>
      </c>
      <c r="J102" s="201"/>
      <c r="K102" s="325" t="str">
        <f>F102</f>
        <v>A_SN_3</v>
      </c>
      <c r="M102" s="200"/>
      <c r="N102" s="205"/>
      <c r="O102" s="201"/>
      <c r="P102" s="324"/>
    </row>
    <row r="103" spans="1:16" s="223" customFormat="1" ht="15.75" thickBot="1" x14ac:dyDescent="0.3">
      <c r="A103" s="265"/>
      <c r="B103" s="216" t="s">
        <v>33</v>
      </c>
      <c r="C103" s="266"/>
      <c r="D103" s="216"/>
      <c r="E103" s="217" t="s">
        <v>174</v>
      </c>
      <c r="F103" s="218"/>
      <c r="G103" s="219"/>
      <c r="H103" s="219"/>
      <c r="I103" s="219"/>
      <c r="J103" s="220"/>
      <c r="K103" s="221"/>
      <c r="L103" s="222"/>
      <c r="M103" s="219"/>
      <c r="N103" s="222"/>
      <c r="O103" s="220"/>
      <c r="P103" s="327"/>
    </row>
    <row r="104" spans="1:16" s="330" customFormat="1" ht="16.5" thickTop="1" thickBot="1" x14ac:dyDescent="0.3">
      <c r="A104" s="250">
        <v>41201.045671296299</v>
      </c>
      <c r="B104" s="251" t="s">
        <v>169</v>
      </c>
      <c r="C104" s="252"/>
      <c r="D104" s="253"/>
      <c r="E104" s="328" t="s">
        <v>66</v>
      </c>
      <c r="F104" s="329" t="s">
        <v>236</v>
      </c>
      <c r="G104" s="253"/>
      <c r="H104" s="253"/>
      <c r="I104" s="253"/>
      <c r="J104" s="256"/>
      <c r="K104" s="288" t="str">
        <f>K6</f>
        <v>Платежи</v>
      </c>
      <c r="L104" s="258"/>
      <c r="M104" s="253"/>
      <c r="N104" s="258"/>
      <c r="O104" s="256"/>
    </row>
    <row r="105" spans="1:16" s="187" customFormat="1" ht="16.5" thickTop="1" thickBot="1" x14ac:dyDescent="0.3">
      <c r="A105" s="193">
        <v>41289.96565972222</v>
      </c>
      <c r="B105" s="207" t="s">
        <v>237</v>
      </c>
      <c r="C105" s="331"/>
      <c r="D105" s="196"/>
      <c r="E105" s="211" t="s">
        <v>170</v>
      </c>
      <c r="F105" s="202" t="str">
        <f>F75</f>
        <v>HANDL_NewContract</v>
      </c>
      <c r="G105" s="332" t="str">
        <f>F104</f>
        <v>WP_PaidOpp</v>
      </c>
      <c r="H105" s="332" t="str">
        <f>B111</f>
        <v>WP_Paid</v>
      </c>
      <c r="I105" s="333">
        <v>7</v>
      </c>
      <c r="J105" s="201"/>
      <c r="K105" s="202"/>
      <c r="L105" s="205"/>
      <c r="M105" s="200"/>
      <c r="N105" s="205"/>
      <c r="O105" s="201"/>
    </row>
    <row r="106" spans="1:16" s="187" customFormat="1" x14ac:dyDescent="0.25">
      <c r="A106" s="193">
        <v>41289.96565972222</v>
      </c>
      <c r="B106" s="194" t="s">
        <v>238</v>
      </c>
      <c r="C106" s="306" t="str">
        <f>B105</f>
        <v>ProcReset</v>
      </c>
      <c r="D106" s="196"/>
      <c r="E106" s="197" t="s">
        <v>170</v>
      </c>
      <c r="F106" s="334">
        <f>C78</f>
        <v>1</v>
      </c>
      <c r="G106" s="204"/>
      <c r="H106" s="200"/>
      <c r="I106" s="200"/>
      <c r="J106" s="201"/>
      <c r="K106" s="202"/>
      <c r="L106" s="205"/>
      <c r="M106" s="200"/>
      <c r="N106" s="205"/>
      <c r="O106" s="201"/>
    </row>
    <row r="107" spans="1:16" s="187" customFormat="1" x14ac:dyDescent="0.25">
      <c r="A107" s="193">
        <v>41289.965682870374</v>
      </c>
      <c r="B107" s="207" t="s">
        <v>237</v>
      </c>
      <c r="C107" s="331"/>
      <c r="D107" s="196"/>
      <c r="E107" s="211" t="s">
        <v>170</v>
      </c>
      <c r="F107" s="202" t="str">
        <f>F71</f>
        <v>HANDL_PaidContr</v>
      </c>
      <c r="G107" s="204"/>
      <c r="H107" s="200"/>
      <c r="I107" s="200"/>
      <c r="J107" s="201"/>
      <c r="K107" s="202"/>
      <c r="L107" s="205"/>
      <c r="M107" s="200"/>
      <c r="N107" s="205"/>
      <c r="O107" s="201"/>
    </row>
    <row r="108" spans="1:16" s="187" customFormat="1" x14ac:dyDescent="0.25">
      <c r="A108" s="261"/>
      <c r="B108" s="196" t="s">
        <v>238</v>
      </c>
      <c r="C108" s="296" t="str">
        <f>B106</f>
        <v>CheckProc0</v>
      </c>
      <c r="D108" s="196"/>
      <c r="E108" s="197" t="s">
        <v>174</v>
      </c>
      <c r="F108" s="335">
        <f>C74</f>
        <v>15</v>
      </c>
      <c r="G108" s="204"/>
      <c r="H108" s="200"/>
      <c r="I108" s="200"/>
      <c r="J108" s="201"/>
      <c r="K108" s="202"/>
      <c r="L108" s="205"/>
      <c r="M108" s="200"/>
      <c r="N108" s="205"/>
      <c r="O108" s="201"/>
    </row>
    <row r="109" spans="1:16" s="187" customFormat="1" x14ac:dyDescent="0.25">
      <c r="A109" s="261"/>
      <c r="B109" s="196" t="s">
        <v>207</v>
      </c>
      <c r="C109" s="291"/>
      <c r="D109" s="292"/>
      <c r="E109" s="197" t="s">
        <v>174</v>
      </c>
      <c r="F109" s="295" t="s">
        <v>140</v>
      </c>
      <c r="G109" s="200"/>
      <c r="H109" s="200"/>
      <c r="I109" s="200"/>
      <c r="J109" s="201"/>
      <c r="K109" s="295" t="str">
        <f>F109</f>
        <v>NewOpp</v>
      </c>
      <c r="L109" s="205"/>
      <c r="M109" s="200"/>
      <c r="N109" s="205"/>
      <c r="O109" s="201"/>
    </row>
    <row r="110" spans="1:16" s="187" customFormat="1" x14ac:dyDescent="0.25">
      <c r="A110" s="261"/>
      <c r="B110" s="196" t="s">
        <v>207</v>
      </c>
      <c r="C110" s="291"/>
      <c r="D110" s="292"/>
      <c r="E110" s="197" t="s">
        <v>174</v>
      </c>
      <c r="F110" s="295" t="s">
        <v>135</v>
      </c>
      <c r="G110" s="200"/>
      <c r="H110" s="200"/>
      <c r="I110" s="200"/>
      <c r="J110" s="201"/>
      <c r="K110" s="295" t="str">
        <f>F110</f>
        <v>NewPayment</v>
      </c>
      <c r="L110" s="205"/>
      <c r="M110" s="200"/>
      <c r="N110" s="205"/>
      <c r="O110" s="201"/>
    </row>
    <row r="111" spans="1:16" s="187" customFormat="1" ht="15.75" thickBot="1" x14ac:dyDescent="0.3">
      <c r="A111" s="336"/>
      <c r="B111" s="337" t="s">
        <v>239</v>
      </c>
      <c r="C111" s="338" t="str">
        <f>B106</f>
        <v>CheckProc0</v>
      </c>
      <c r="D111" s="337"/>
      <c r="E111" s="339" t="s">
        <v>174</v>
      </c>
      <c r="F111" s="340" t="s">
        <v>240</v>
      </c>
      <c r="G111" s="341" t="s">
        <v>174</v>
      </c>
      <c r="H111" s="342"/>
      <c r="I111" s="342"/>
      <c r="J111" s="343"/>
      <c r="K111" s="344" t="str">
        <f>K104</f>
        <v>Платежи</v>
      </c>
      <c r="L111" s="345" t="str">
        <f>[1]TOCmatch!B17</f>
        <v>SFacc</v>
      </c>
      <c r="M111" s="345" t="str">
        <f>[1]TOCmatch!B16</f>
        <v>SFopp</v>
      </c>
      <c r="N111" s="345" t="str">
        <f>[1]TOCmatch!B15</f>
        <v>SFD</v>
      </c>
      <c r="O111" s="343"/>
    </row>
    <row r="112" spans="1:16" s="187" customFormat="1" ht="15.75" thickTop="1" x14ac:dyDescent="0.25">
      <c r="A112" s="261"/>
      <c r="B112" s="264" t="s">
        <v>136</v>
      </c>
      <c r="C112" s="296" t="str">
        <f>B111</f>
        <v>WP_Paid</v>
      </c>
      <c r="D112" s="196"/>
      <c r="E112" s="197" t="s">
        <v>174</v>
      </c>
      <c r="F112" s="295" t="s">
        <v>140</v>
      </c>
      <c r="G112" s="205" t="s">
        <v>209</v>
      </c>
      <c r="H112" s="212" t="s">
        <v>224</v>
      </c>
      <c r="I112" s="212" t="s">
        <v>225</v>
      </c>
      <c r="J112" s="201"/>
      <c r="K112" s="295" t="str">
        <f>F112</f>
        <v>NewOpp</v>
      </c>
      <c r="L112" s="205"/>
      <c r="M112" s="200"/>
      <c r="N112" s="205"/>
      <c r="O112" s="201"/>
    </row>
    <row r="113" spans="1:15" s="187" customFormat="1" x14ac:dyDescent="0.25">
      <c r="A113" s="261"/>
      <c r="B113" s="264" t="s">
        <v>136</v>
      </c>
      <c r="C113" s="296" t="str">
        <f>B111</f>
        <v>WP_Paid</v>
      </c>
      <c r="D113" s="196"/>
      <c r="E113" s="197" t="s">
        <v>174</v>
      </c>
      <c r="F113" s="295" t="s">
        <v>135</v>
      </c>
      <c r="G113" s="205" t="s">
        <v>209</v>
      </c>
      <c r="H113" s="212" t="s">
        <v>210</v>
      </c>
      <c r="I113" s="212" t="s">
        <v>211</v>
      </c>
      <c r="J113" s="201"/>
      <c r="K113" s="295" t="str">
        <f>F113</f>
        <v>NewPayment</v>
      </c>
      <c r="L113" s="205"/>
      <c r="M113" s="200"/>
      <c r="N113" s="205"/>
      <c r="O113" s="201"/>
    </row>
    <row r="114" spans="1:15" s="190" customFormat="1" x14ac:dyDescent="0.25">
      <c r="A114" s="346"/>
      <c r="B114" s="264" t="s">
        <v>33</v>
      </c>
      <c r="C114" s="347">
        <v>0</v>
      </c>
      <c r="D114" s="264"/>
      <c r="E114" s="209" t="s">
        <v>174</v>
      </c>
      <c r="F114" s="348"/>
      <c r="G114" s="200"/>
      <c r="H114" s="200"/>
      <c r="I114" s="200"/>
      <c r="J114" s="201"/>
      <c r="K114" s="202"/>
      <c r="L114" s="205"/>
      <c r="M114" s="200"/>
      <c r="N114" s="205"/>
      <c r="O114" s="201"/>
    </row>
    <row r="115" spans="1:15" s="352" customFormat="1" ht="15.75" thickBot="1" x14ac:dyDescent="0.3">
      <c r="A115" s="267">
        <v>41201.045671296299</v>
      </c>
      <c r="B115" s="268" t="s">
        <v>169</v>
      </c>
      <c r="C115" s="269"/>
      <c r="D115" s="227"/>
      <c r="E115" s="349" t="s">
        <v>66</v>
      </c>
      <c r="F115" s="350" t="s">
        <v>241</v>
      </c>
      <c r="G115" s="227"/>
      <c r="H115" s="227"/>
      <c r="I115" s="227"/>
      <c r="J115" s="230"/>
      <c r="K115" s="351" t="str">
        <f>[1]TOCmatch!B$8</f>
        <v>Платежи</v>
      </c>
      <c r="L115" s="232"/>
      <c r="M115" s="227"/>
      <c r="N115" s="232"/>
      <c r="O115" s="230"/>
    </row>
    <row r="116" spans="1:15" s="187" customFormat="1" ht="15.75" thickTop="1" x14ac:dyDescent="0.25">
      <c r="A116" s="193">
        <v>41218.822870370372</v>
      </c>
      <c r="B116" s="194" t="s">
        <v>207</v>
      </c>
      <c r="C116" s="294"/>
      <c r="D116" s="292"/>
      <c r="E116" s="197"/>
      <c r="F116" s="295" t="s">
        <v>142</v>
      </c>
      <c r="G116" s="200"/>
      <c r="H116" s="200"/>
      <c r="I116" s="200"/>
      <c r="J116" s="201"/>
      <c r="K116" s="295" t="str">
        <f>F116</f>
        <v>NewAcc</v>
      </c>
      <c r="L116" s="205"/>
      <c r="M116" s="200"/>
      <c r="N116" s="205"/>
      <c r="O116" s="201"/>
    </row>
    <row r="117" spans="1:15" s="187" customFormat="1" x14ac:dyDescent="0.25">
      <c r="A117" s="193"/>
      <c r="B117" s="194" t="s">
        <v>242</v>
      </c>
      <c r="C117" s="296" t="str">
        <f>B116</f>
        <v>NewSheet</v>
      </c>
      <c r="D117" s="292"/>
      <c r="E117" s="197"/>
      <c r="F117" s="353"/>
      <c r="G117" s="200"/>
      <c r="H117" s="200"/>
      <c r="I117" s="200"/>
      <c r="J117" s="201"/>
      <c r="K117" s="295"/>
      <c r="L117" s="205"/>
      <c r="M117" s="200"/>
      <c r="N117" s="205"/>
      <c r="O117" s="201"/>
    </row>
    <row r="118" spans="1:15" s="187" customFormat="1" x14ac:dyDescent="0.25">
      <c r="A118" s="261"/>
      <c r="B118" s="196" t="s">
        <v>196</v>
      </c>
      <c r="C118" s="284"/>
      <c r="D118" s="196"/>
      <c r="E118" s="197" t="s">
        <v>174</v>
      </c>
      <c r="F118" s="279" t="s">
        <v>66</v>
      </c>
      <c r="G118" s="204" t="s">
        <v>197</v>
      </c>
      <c r="H118" s="200"/>
      <c r="I118" s="200"/>
      <c r="J118" s="201"/>
      <c r="K118" s="202"/>
      <c r="L118" s="205"/>
      <c r="M118" s="200"/>
      <c r="N118" s="205"/>
      <c r="O118" s="201"/>
    </row>
    <row r="119" spans="1:15" s="187" customFormat="1" ht="15.75" thickBot="1" x14ac:dyDescent="0.3">
      <c r="A119" s="336">
        <v>41218.824293981481</v>
      </c>
      <c r="B119" s="337" t="s">
        <v>239</v>
      </c>
      <c r="C119" s="338" t="str">
        <f>B117</f>
        <v>SFaccDicBuild</v>
      </c>
      <c r="D119" s="337"/>
      <c r="E119" s="339" t="s">
        <v>174</v>
      </c>
      <c r="F119" s="340" t="s">
        <v>243</v>
      </c>
      <c r="G119" s="354"/>
      <c r="H119" s="342"/>
      <c r="I119" s="342"/>
      <c r="J119" s="343"/>
      <c r="K119" s="344" t="str">
        <f>K115</f>
        <v>Платежи</v>
      </c>
      <c r="L119" s="345">
        <f>[1]TOCmatch!B28</f>
        <v>0</v>
      </c>
      <c r="M119" s="345">
        <f>[1]TOCmatch!B27</f>
        <v>0</v>
      </c>
      <c r="N119" s="345">
        <f>[1]TOCmatch!B26</f>
        <v>0</v>
      </c>
      <c r="O119" s="343"/>
    </row>
    <row r="120" spans="1:15" s="187" customFormat="1" ht="15.75" thickTop="1" x14ac:dyDescent="0.25">
      <c r="A120" s="261">
        <v>41218.824293981481</v>
      </c>
      <c r="B120" s="264" t="s">
        <v>136</v>
      </c>
      <c r="C120" s="296" t="str">
        <f>B119</f>
        <v>WP_Paid</v>
      </c>
      <c r="D120" s="196"/>
      <c r="E120" s="197" t="s">
        <v>174</v>
      </c>
      <c r="F120" s="295" t="str">
        <f>F116</f>
        <v>NewAcc</v>
      </c>
      <c r="G120" s="205" t="s">
        <v>209</v>
      </c>
      <c r="H120" s="212" t="s">
        <v>224</v>
      </c>
      <c r="I120" s="212" t="s">
        <v>225</v>
      </c>
      <c r="J120" s="201"/>
      <c r="K120" s="295" t="str">
        <f>F120</f>
        <v>NewAcc</v>
      </c>
      <c r="L120" s="205"/>
      <c r="M120" s="200"/>
      <c r="N120" s="205"/>
      <c r="O120" s="201"/>
    </row>
    <row r="121" spans="1:15" s="223" customFormat="1" x14ac:dyDescent="0.25">
      <c r="A121" s="265"/>
      <c r="B121" s="216" t="s">
        <v>33</v>
      </c>
      <c r="C121" s="266">
        <v>5</v>
      </c>
      <c r="D121" s="216"/>
      <c r="E121" s="217" t="s">
        <v>174</v>
      </c>
      <c r="F121" s="218"/>
      <c r="G121" s="219"/>
      <c r="H121" s="219"/>
      <c r="I121" s="219"/>
      <c r="J121" s="220"/>
      <c r="K121" s="221"/>
      <c r="L121" s="222"/>
      <c r="M121" s="219"/>
      <c r="N121" s="222"/>
      <c r="O121" s="220"/>
    </row>
    <row r="122" spans="1:15" s="187" customFormat="1" x14ac:dyDescent="0.25">
      <c r="A122" s="261"/>
      <c r="B122" s="196" t="s">
        <v>169</v>
      </c>
      <c r="C122" s="291"/>
      <c r="D122" s="292"/>
      <c r="E122" s="197" t="s">
        <v>174</v>
      </c>
      <c r="F122" s="293" t="s">
        <v>244</v>
      </c>
      <c r="G122" s="200"/>
      <c r="H122" s="200"/>
      <c r="I122" s="200"/>
      <c r="J122" s="201"/>
      <c r="K122" s="192" t="s">
        <v>32</v>
      </c>
      <c r="L122" s="205"/>
      <c r="M122" s="200"/>
      <c r="N122" s="205"/>
      <c r="O122" s="201"/>
    </row>
    <row r="123" spans="1:15" s="187" customFormat="1" x14ac:dyDescent="0.25">
      <c r="A123" s="289"/>
      <c r="B123" s="196" t="s">
        <v>196</v>
      </c>
      <c r="C123" s="284"/>
      <c r="D123" s="196"/>
      <c r="E123" s="197"/>
      <c r="F123" s="279" t="s">
        <v>170</v>
      </c>
      <c r="G123" s="204"/>
      <c r="H123" s="200"/>
      <c r="I123" s="200"/>
      <c r="J123" s="201"/>
      <c r="K123" s="202"/>
      <c r="L123" s="205"/>
      <c r="M123" s="200"/>
      <c r="N123" s="205"/>
      <c r="O123" s="201"/>
    </row>
    <row r="124" spans="1:15" ht="30" x14ac:dyDescent="0.25">
      <c r="A124" s="289"/>
      <c r="B124" s="264" t="s">
        <v>245</v>
      </c>
      <c r="C124" s="262" t="s">
        <v>200</v>
      </c>
      <c r="D124" s="208"/>
      <c r="E124" s="236" t="s">
        <v>174</v>
      </c>
      <c r="F124" s="202"/>
      <c r="G124" s="205"/>
      <c r="H124" s="212"/>
      <c r="I124" s="212"/>
      <c r="J124" s="259"/>
      <c r="K124" s="260" t="s">
        <v>32</v>
      </c>
      <c r="L124" s="212" t="s">
        <v>65</v>
      </c>
      <c r="M124" s="212"/>
      <c r="N124" s="212"/>
      <c r="O124" s="259"/>
    </row>
    <row r="125" spans="1:15" s="223" customFormat="1" x14ac:dyDescent="0.25">
      <c r="A125" s="265"/>
      <c r="B125" s="216" t="s">
        <v>33</v>
      </c>
      <c r="C125" s="266"/>
      <c r="D125" s="216"/>
      <c r="E125" s="217" t="s">
        <v>174</v>
      </c>
      <c r="F125" s="218"/>
      <c r="G125" s="219"/>
      <c r="H125" s="219"/>
      <c r="I125" s="219"/>
      <c r="J125" s="220"/>
      <c r="K125" s="221"/>
      <c r="L125" s="222"/>
      <c r="M125" s="219"/>
      <c r="N125" s="222"/>
      <c r="O125" s="220"/>
    </row>
    <row r="126" spans="1:15" s="22" customFormat="1" x14ac:dyDescent="0.25">
      <c r="A126" s="355"/>
      <c r="B126" s="356" t="s">
        <v>119</v>
      </c>
      <c r="C126" s="357" t="s">
        <v>120</v>
      </c>
      <c r="D126" s="268"/>
      <c r="E126" s="358"/>
      <c r="F126" s="359"/>
      <c r="G126" s="360"/>
      <c r="H126" s="360"/>
      <c r="I126" s="360"/>
      <c r="J126" s="361"/>
      <c r="K126" s="359" t="s">
        <v>246</v>
      </c>
      <c r="L126" s="360"/>
      <c r="M126" s="360"/>
      <c r="N126" s="360"/>
      <c r="O126" s="361"/>
    </row>
    <row r="127" spans="1:15" x14ac:dyDescent="0.25">
      <c r="A127" s="362"/>
      <c r="B127" s="363">
        <v>1043</v>
      </c>
      <c r="C127" s="364"/>
      <c r="D127" s="208"/>
      <c r="E127" s="197"/>
      <c r="F127" s="263"/>
      <c r="G127" s="212"/>
      <c r="H127" s="212"/>
      <c r="I127" s="212"/>
      <c r="J127" s="213"/>
      <c r="K127" s="263" t="s">
        <v>246</v>
      </c>
      <c r="L127" s="212"/>
      <c r="M127" s="212"/>
      <c r="N127" s="212"/>
      <c r="O127" s="213"/>
    </row>
    <row r="128" spans="1:15" s="22" customFormat="1" ht="15.75" thickBot="1" x14ac:dyDescent="0.3">
      <c r="A128" s="77"/>
      <c r="B128" s="365" t="s">
        <v>119</v>
      </c>
      <c r="C128" s="366" t="s">
        <v>120</v>
      </c>
      <c r="D128" s="74"/>
      <c r="E128" s="367"/>
      <c r="F128" s="368"/>
      <c r="G128" s="369"/>
      <c r="H128" s="369"/>
      <c r="I128" s="369"/>
      <c r="J128" s="370"/>
      <c r="K128" s="368" t="s">
        <v>121</v>
      </c>
      <c r="L128" s="369"/>
      <c r="M128" s="369"/>
      <c r="N128" s="369"/>
      <c r="O128" s="370"/>
    </row>
    <row r="129" spans="1:15" x14ac:dyDescent="0.25">
      <c r="A129" s="41"/>
    </row>
    <row r="130" spans="1:15" s="187" customFormat="1" x14ac:dyDescent="0.25">
      <c r="A130" s="261"/>
      <c r="B130" s="196" t="s">
        <v>196</v>
      </c>
      <c r="C130" s="284"/>
      <c r="D130" s="196"/>
      <c r="E130" s="197" t="s">
        <v>174</v>
      </c>
      <c r="F130" s="279" t="s">
        <v>66</v>
      </c>
      <c r="G130" s="204" t="s">
        <v>197</v>
      </c>
      <c r="H130" s="200"/>
      <c r="I130" s="200"/>
      <c r="J130" s="201"/>
      <c r="K130" s="202"/>
      <c r="L130" s="205"/>
      <c r="M130" s="200"/>
      <c r="N130" s="205"/>
      <c r="O130" s="201"/>
    </row>
    <row r="132" spans="1:15" ht="45" hidden="1" outlineLevel="1" x14ac:dyDescent="0.25">
      <c r="A132" s="261">
        <v>41217.705717592595</v>
      </c>
      <c r="B132" s="196" t="s">
        <v>247</v>
      </c>
      <c r="C132" s="262" t="s">
        <v>248</v>
      </c>
      <c r="D132" s="212"/>
      <c r="E132" s="236" t="s">
        <v>174</v>
      </c>
      <c r="F132" s="279" t="s">
        <v>63</v>
      </c>
      <c r="G132" s="205" t="s">
        <v>41</v>
      </c>
      <c r="H132" s="204" t="s">
        <v>166</v>
      </c>
      <c r="I132" s="204" t="s">
        <v>189</v>
      </c>
      <c r="J132" s="259"/>
      <c r="L132" s="203" t="str">
        <f>[1]TOCmatch!B$15</f>
        <v>SFD</v>
      </c>
      <c r="M132" s="212"/>
      <c r="N132" s="212"/>
      <c r="O132" s="259"/>
    </row>
    <row r="133" spans="1:15" collapsed="1" x14ac:dyDescent="0.25"/>
    <row r="135" spans="1:15" s="32" customFormat="1" hidden="1" outlineLevel="1" x14ac:dyDescent="0.25">
      <c r="A135" s="261">
        <v>41217.684374999997</v>
      </c>
      <c r="B135" s="196" t="s">
        <v>85</v>
      </c>
      <c r="C135" s="262" t="s">
        <v>67</v>
      </c>
      <c r="D135" s="196"/>
      <c r="E135" s="197" t="s">
        <v>174</v>
      </c>
      <c r="F135" s="198" t="s">
        <v>175</v>
      </c>
      <c r="G135" s="199" t="s">
        <v>176</v>
      </c>
      <c r="H135" s="200"/>
      <c r="I135" s="200"/>
      <c r="J135" s="213"/>
      <c r="K135" s="202">
        <f>[1]TOCmatch!B103</f>
        <v>0</v>
      </c>
      <c r="L135" s="203" t="str">
        <f>[1]TOCmatch!B$17</f>
        <v>SFacc</v>
      </c>
      <c r="M135" s="203" t="str">
        <f>[1]TOCmatch!B$15</f>
        <v>SFD</v>
      </c>
      <c r="N135" s="212"/>
      <c r="O135" s="213"/>
    </row>
    <row r="136" spans="1:15" collapsed="1" x14ac:dyDescent="0.25"/>
    <row r="138" spans="1:15" s="32" customFormat="1" hidden="1" outlineLevel="1" x14ac:dyDescent="0.25">
      <c r="A138" s="261">
        <v>41227.065937500003</v>
      </c>
      <c r="B138" s="196" t="s">
        <v>249</v>
      </c>
      <c r="C138" s="280" t="str">
        <f>B52</f>
        <v>InsMyCol</v>
      </c>
      <c r="D138" s="196"/>
      <c r="E138" s="197" t="s">
        <v>174</v>
      </c>
      <c r="F138" s="279" t="s">
        <v>189</v>
      </c>
      <c r="G138" s="204" t="s">
        <v>60</v>
      </c>
      <c r="H138" s="204" t="s">
        <v>250</v>
      </c>
      <c r="I138" s="204" t="s">
        <v>251</v>
      </c>
      <c r="J138" s="281"/>
      <c r="K138" s="283" t="str">
        <f>K50</f>
        <v>Склад</v>
      </c>
      <c r="L138" s="205" t="str">
        <f>[1]TOCmatch!B8</f>
        <v>Платежи</v>
      </c>
      <c r="M138" s="212"/>
      <c r="N138" s="187"/>
      <c r="O138" s="201"/>
    </row>
    <row r="139" spans="1:15" collapsed="1" x14ac:dyDescent="0.25"/>
  </sheetData>
  <autoFilter ref="A4:O128"/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373" customWidth="1"/>
    <col min="2" max="2" width="20.85546875" style="377" customWidth="1"/>
    <col min="3" max="3" width="30.28515625" style="373" customWidth="1"/>
    <col min="4" max="4" width="17.5703125" style="373" customWidth="1"/>
    <col min="5" max="5" width="32.7109375" style="373" customWidth="1"/>
    <col min="6" max="6" width="22.85546875" style="374" customWidth="1"/>
    <col min="7" max="7" width="16.28515625" style="375" hidden="1" customWidth="1"/>
    <col min="8" max="10" width="0" style="373" hidden="1" customWidth="1"/>
    <col min="11" max="11" width="13" style="373" hidden="1" customWidth="1"/>
    <col min="12" max="12" width="0" style="373" hidden="1" customWidth="1"/>
    <col min="13" max="13" width="19.42578125" style="373" customWidth="1"/>
    <col min="14" max="15" width="18.42578125" style="373" customWidth="1"/>
    <col min="16" max="16" width="19.140625" style="373" customWidth="1"/>
    <col min="17" max="16384" width="9.140625" style="373"/>
  </cols>
  <sheetData>
    <row r="1" spans="1:7" x14ac:dyDescent="0.25">
      <c r="A1" s="371" t="s">
        <v>252</v>
      </c>
      <c r="B1" s="372" t="s">
        <v>253</v>
      </c>
    </row>
    <row r="2" spans="1:7" x14ac:dyDescent="0.25">
      <c r="A2" s="376" t="s">
        <v>254</v>
      </c>
      <c r="B2" s="377" t="s">
        <v>255</v>
      </c>
    </row>
    <row r="3" spans="1:7" x14ac:dyDescent="0.25">
      <c r="A3" s="376" t="s">
        <v>256</v>
      </c>
      <c r="B3" s="378" t="s">
        <v>257</v>
      </c>
      <c r="C3" s="379" t="s">
        <v>258</v>
      </c>
    </row>
    <row r="4" spans="1:7" x14ac:dyDescent="0.25">
      <c r="A4" s="376" t="s">
        <v>259</v>
      </c>
      <c r="B4" s="377" t="s">
        <v>260</v>
      </c>
    </row>
    <row r="5" spans="1:7" x14ac:dyDescent="0.25">
      <c r="A5" s="379" t="s">
        <v>261</v>
      </c>
      <c r="B5" s="378" t="s">
        <v>262</v>
      </c>
    </row>
    <row r="6" spans="1:7" x14ac:dyDescent="0.25">
      <c r="A6" s="379" t="s">
        <v>263</v>
      </c>
      <c r="B6" s="378" t="s">
        <v>264</v>
      </c>
    </row>
    <row r="7" spans="1:7" x14ac:dyDescent="0.25">
      <c r="A7" s="379"/>
      <c r="B7" s="380"/>
    </row>
    <row r="8" spans="1:7" x14ac:dyDescent="0.25">
      <c r="A8" s="379" t="s">
        <v>265</v>
      </c>
      <c r="B8" s="380"/>
    </row>
    <row r="9" spans="1:7" x14ac:dyDescent="0.25">
      <c r="A9" s="371" t="s">
        <v>266</v>
      </c>
      <c r="B9" s="372" t="s">
        <v>267</v>
      </c>
    </row>
    <row r="10" spans="1:7" x14ac:dyDescent="0.25">
      <c r="A10" s="376" t="s">
        <v>268</v>
      </c>
      <c r="B10" s="377" t="s">
        <v>269</v>
      </c>
    </row>
    <row r="11" spans="1:7" x14ac:dyDescent="0.25">
      <c r="A11" s="376" t="s">
        <v>270</v>
      </c>
      <c r="B11" s="377" t="s">
        <v>271</v>
      </c>
    </row>
    <row r="12" spans="1:7" x14ac:dyDescent="0.25">
      <c r="A12" s="376" t="s">
        <v>272</v>
      </c>
      <c r="B12" s="377" t="s">
        <v>269</v>
      </c>
    </row>
    <row r="13" spans="1:7" x14ac:dyDescent="0.25">
      <c r="A13" s="379" t="s">
        <v>273</v>
      </c>
      <c r="B13" s="378" t="s">
        <v>274</v>
      </c>
    </row>
    <row r="14" spans="1:7" x14ac:dyDescent="0.25">
      <c r="A14" s="379" t="s">
        <v>275</v>
      </c>
      <c r="B14" s="378" t="s">
        <v>276</v>
      </c>
    </row>
    <row r="15" spans="1:7" x14ac:dyDescent="0.25">
      <c r="A15" s="379"/>
      <c r="B15" s="380"/>
    </row>
    <row r="16" spans="1:7" x14ac:dyDescent="0.25">
      <c r="A16" s="381" t="s">
        <v>277</v>
      </c>
      <c r="B16" s="372" t="s">
        <v>278</v>
      </c>
      <c r="C16" s="381" t="s">
        <v>279</v>
      </c>
      <c r="D16" s="381" t="s">
        <v>280</v>
      </c>
      <c r="E16" s="381" t="s">
        <v>281</v>
      </c>
      <c r="F16" s="382" t="s">
        <v>282</v>
      </c>
      <c r="G16" s="383" t="s">
        <v>283</v>
      </c>
    </row>
    <row r="17" spans="1:7" x14ac:dyDescent="0.25">
      <c r="A17" s="384" t="s">
        <v>284</v>
      </c>
      <c r="B17" s="385" t="s">
        <v>285</v>
      </c>
      <c r="C17" s="386" t="s">
        <v>286</v>
      </c>
      <c r="D17" s="387" t="s">
        <v>287</v>
      </c>
      <c r="E17" s="388" t="s">
        <v>288</v>
      </c>
      <c r="F17" s="389" t="s">
        <v>289</v>
      </c>
      <c r="G17" s="375">
        <v>0</v>
      </c>
    </row>
    <row r="18" spans="1:7" ht="50.25" customHeight="1" x14ac:dyDescent="0.25">
      <c r="A18" s="390" t="s">
        <v>290</v>
      </c>
      <c r="B18" s="391" t="s">
        <v>291</v>
      </c>
      <c r="C18" s="392" t="s">
        <v>292</v>
      </c>
      <c r="D18" s="387" t="s">
        <v>293</v>
      </c>
      <c r="E18" s="393" t="s">
        <v>294</v>
      </c>
      <c r="F18" s="394" t="s">
        <v>295</v>
      </c>
      <c r="G18" s="395">
        <v>0</v>
      </c>
    </row>
    <row r="19" spans="1:7" x14ac:dyDescent="0.25">
      <c r="A19" s="384" t="s">
        <v>296</v>
      </c>
      <c r="B19" s="385"/>
      <c r="C19" s="386" t="s">
        <v>286</v>
      </c>
      <c r="D19" s="387" t="s">
        <v>287</v>
      </c>
      <c r="E19" s="393"/>
      <c r="F19" s="396" t="s">
        <v>297</v>
      </c>
      <c r="G19" s="395">
        <v>1</v>
      </c>
    </row>
    <row r="20" spans="1:7" x14ac:dyDescent="0.25">
      <c r="A20" s="384" t="s">
        <v>298</v>
      </c>
      <c r="B20" s="385" t="s">
        <v>299</v>
      </c>
      <c r="C20" s="386" t="s">
        <v>300</v>
      </c>
      <c r="D20" s="373" t="s">
        <v>301</v>
      </c>
      <c r="E20" s="386"/>
      <c r="F20" s="389" t="s">
        <v>302</v>
      </c>
      <c r="G20" s="375">
        <v>0</v>
      </c>
    </row>
    <row r="21" spans="1:7" x14ac:dyDescent="0.25">
      <c r="A21" s="384" t="s">
        <v>303</v>
      </c>
      <c r="B21" s="385" t="s">
        <v>304</v>
      </c>
      <c r="C21" s="386" t="s">
        <v>305</v>
      </c>
      <c r="D21" s="373" t="s">
        <v>306</v>
      </c>
      <c r="E21" s="386"/>
      <c r="F21" s="397" t="s">
        <v>307</v>
      </c>
      <c r="G21" s="375">
        <v>0</v>
      </c>
    </row>
    <row r="22" spans="1:7" x14ac:dyDescent="0.25">
      <c r="A22" s="384" t="s">
        <v>308</v>
      </c>
      <c r="B22" s="385" t="s">
        <v>309</v>
      </c>
      <c r="C22" s="386" t="s">
        <v>310</v>
      </c>
      <c r="D22" s="373" t="s">
        <v>311</v>
      </c>
      <c r="E22" s="386" t="s">
        <v>312</v>
      </c>
      <c r="F22" s="397" t="s">
        <v>313</v>
      </c>
      <c r="G22" s="375">
        <v>0</v>
      </c>
    </row>
    <row r="23" spans="1:7" x14ac:dyDescent="0.25">
      <c r="A23" s="384" t="s">
        <v>314</v>
      </c>
      <c r="B23" s="385" t="s">
        <v>315</v>
      </c>
      <c r="C23" s="386" t="s">
        <v>316</v>
      </c>
      <c r="D23" s="373" t="s">
        <v>317</v>
      </c>
      <c r="E23" s="386" t="s">
        <v>318</v>
      </c>
      <c r="F23" s="397" t="s">
        <v>319</v>
      </c>
      <c r="G23" s="375">
        <v>0</v>
      </c>
    </row>
    <row r="24" spans="1:7" x14ac:dyDescent="0.25">
      <c r="A24" s="384" t="s">
        <v>320</v>
      </c>
      <c r="B24" s="391" t="s">
        <v>321</v>
      </c>
      <c r="C24" s="398" t="s">
        <v>322</v>
      </c>
      <c r="D24" s="388" t="s">
        <v>323</v>
      </c>
      <c r="E24" s="388"/>
      <c r="F24" s="397" t="s">
        <v>324</v>
      </c>
      <c r="G24" s="375">
        <v>0</v>
      </c>
    </row>
    <row r="25" spans="1:7" x14ac:dyDescent="0.25">
      <c r="A25" s="384" t="s">
        <v>325</v>
      </c>
      <c r="B25" s="385" t="s">
        <v>326</v>
      </c>
      <c r="C25" s="386" t="s">
        <v>327</v>
      </c>
      <c r="D25" s="373" t="s">
        <v>328</v>
      </c>
      <c r="E25" s="386" t="s">
        <v>318</v>
      </c>
      <c r="F25" s="397" t="s">
        <v>329</v>
      </c>
      <c r="G25" s="375">
        <v>0</v>
      </c>
    </row>
    <row r="26" spans="1:7" x14ac:dyDescent="0.25">
      <c r="A26" s="384" t="s">
        <v>330</v>
      </c>
      <c r="B26" s="399"/>
      <c r="C26" s="386" t="s">
        <v>331</v>
      </c>
      <c r="D26" s="373" t="s">
        <v>332</v>
      </c>
      <c r="E26" s="386"/>
      <c r="F26" s="397" t="s">
        <v>333</v>
      </c>
      <c r="G26" s="375">
        <v>0</v>
      </c>
    </row>
    <row r="27" spans="1:7" x14ac:dyDescent="0.25">
      <c r="A27" s="384" t="s">
        <v>334</v>
      </c>
      <c r="B27" s="385" t="s">
        <v>335</v>
      </c>
      <c r="C27" s="386" t="s">
        <v>336</v>
      </c>
      <c r="D27" s="373" t="s">
        <v>337</v>
      </c>
      <c r="E27" s="386" t="s">
        <v>338</v>
      </c>
      <c r="F27" s="397" t="s">
        <v>339</v>
      </c>
      <c r="G27" s="375">
        <v>0</v>
      </c>
    </row>
    <row r="28" spans="1:7" x14ac:dyDescent="0.25">
      <c r="A28" s="384" t="s">
        <v>340</v>
      </c>
      <c r="B28" s="399"/>
      <c r="C28" s="386" t="s">
        <v>341</v>
      </c>
      <c r="D28" s="373" t="s">
        <v>342</v>
      </c>
      <c r="E28" s="400" t="s">
        <v>338</v>
      </c>
      <c r="F28" s="397" t="s">
        <v>343</v>
      </c>
      <c r="G28" s="375">
        <v>0</v>
      </c>
    </row>
    <row r="29" spans="1:7" x14ac:dyDescent="0.25">
      <c r="A29" s="384" t="s">
        <v>344</v>
      </c>
      <c r="B29" s="385" t="s">
        <v>345</v>
      </c>
      <c r="C29" s="386" t="s">
        <v>346</v>
      </c>
      <c r="D29" s="388" t="s">
        <v>347</v>
      </c>
      <c r="E29" s="388" t="s">
        <v>348</v>
      </c>
      <c r="F29" s="397" t="s">
        <v>349</v>
      </c>
      <c r="G29" s="375">
        <v>0</v>
      </c>
    </row>
    <row r="30" spans="1:7" x14ac:dyDescent="0.25">
      <c r="A30" s="384" t="s">
        <v>350</v>
      </c>
      <c r="B30" s="385" t="s">
        <v>351</v>
      </c>
      <c r="C30" s="386" t="s">
        <v>318</v>
      </c>
      <c r="D30" s="373" t="s">
        <v>352</v>
      </c>
      <c r="E30" s="386" t="s">
        <v>318</v>
      </c>
      <c r="F30" s="397" t="s">
        <v>353</v>
      </c>
      <c r="G30" s="375">
        <v>0</v>
      </c>
    </row>
    <row r="31" spans="1:7" ht="30" x14ac:dyDescent="0.25">
      <c r="A31" s="390" t="s">
        <v>354</v>
      </c>
      <c r="B31" s="391" t="s">
        <v>355</v>
      </c>
      <c r="C31" s="392" t="s">
        <v>356</v>
      </c>
      <c r="D31" s="387" t="s">
        <v>357</v>
      </c>
      <c r="E31" s="393" t="s">
        <v>358</v>
      </c>
      <c r="F31" s="394" t="s">
        <v>359</v>
      </c>
      <c r="G31" s="375">
        <v>0</v>
      </c>
    </row>
    <row r="32" spans="1:7" x14ac:dyDescent="0.25">
      <c r="A32" s="384" t="s">
        <v>312</v>
      </c>
      <c r="B32" s="385" t="s">
        <v>360</v>
      </c>
      <c r="C32" s="386" t="s">
        <v>292</v>
      </c>
      <c r="D32" s="373" t="s">
        <v>293</v>
      </c>
      <c r="E32" s="386" t="s">
        <v>361</v>
      </c>
      <c r="F32" s="397" t="s">
        <v>362</v>
      </c>
      <c r="G32" s="375">
        <v>0</v>
      </c>
    </row>
    <row r="33" spans="1:17" x14ac:dyDescent="0.25">
      <c r="A33" s="384" t="s">
        <v>363</v>
      </c>
      <c r="B33" s="385" t="s">
        <v>360</v>
      </c>
      <c r="C33" s="386" t="s">
        <v>292</v>
      </c>
      <c r="D33" s="373" t="s">
        <v>293</v>
      </c>
      <c r="E33" s="388"/>
      <c r="F33" s="397" t="s">
        <v>364</v>
      </c>
      <c r="G33" s="375">
        <v>0</v>
      </c>
    </row>
    <row r="34" spans="1:17" x14ac:dyDescent="0.25">
      <c r="A34" s="384" t="s">
        <v>365</v>
      </c>
      <c r="B34" s="391" t="s">
        <v>366</v>
      </c>
      <c r="C34" s="386" t="s">
        <v>367</v>
      </c>
      <c r="D34" s="373" t="s">
        <v>368</v>
      </c>
      <c r="E34" s="388"/>
      <c r="F34" s="397" t="s">
        <v>324</v>
      </c>
      <c r="G34" s="375">
        <v>0</v>
      </c>
    </row>
    <row r="35" spans="1:17" x14ac:dyDescent="0.25">
      <c r="A35" s="384" t="s">
        <v>369</v>
      </c>
      <c r="B35" s="391" t="s">
        <v>370</v>
      </c>
      <c r="C35" s="398" t="s">
        <v>322</v>
      </c>
      <c r="D35" s="388" t="s">
        <v>323</v>
      </c>
      <c r="E35" s="388"/>
      <c r="F35" s="397" t="s">
        <v>324</v>
      </c>
      <c r="G35" s="375">
        <v>0</v>
      </c>
    </row>
    <row r="36" spans="1:17" x14ac:dyDescent="0.25">
      <c r="A36" s="384" t="s">
        <v>371</v>
      </c>
      <c r="B36" s="385" t="s">
        <v>372</v>
      </c>
      <c r="C36" s="386" t="s">
        <v>373</v>
      </c>
      <c r="D36" s="373" t="s">
        <v>374</v>
      </c>
      <c r="E36" s="388"/>
      <c r="F36" s="397" t="s">
        <v>375</v>
      </c>
      <c r="G36" s="375">
        <v>0</v>
      </c>
    </row>
    <row r="37" spans="1:17" x14ac:dyDescent="0.25">
      <c r="A37" s="384" t="s">
        <v>376</v>
      </c>
      <c r="B37" s="385" t="s">
        <v>377</v>
      </c>
      <c r="C37" s="386" t="s">
        <v>286</v>
      </c>
      <c r="D37" s="373" t="s">
        <v>287</v>
      </c>
      <c r="E37" s="388"/>
      <c r="F37" s="397" t="s">
        <v>378</v>
      </c>
      <c r="G37" s="375">
        <v>1</v>
      </c>
    </row>
    <row r="38" spans="1:17" x14ac:dyDescent="0.25">
      <c r="A38" s="384" t="s">
        <v>379</v>
      </c>
      <c r="B38" s="385" t="s">
        <v>380</v>
      </c>
      <c r="C38" s="386" t="s">
        <v>286</v>
      </c>
      <c r="D38" s="387" t="s">
        <v>287</v>
      </c>
      <c r="E38" s="388"/>
      <c r="F38" s="397" t="s">
        <v>364</v>
      </c>
      <c r="G38" s="375">
        <v>0</v>
      </c>
    </row>
    <row r="39" spans="1:17" x14ac:dyDescent="0.25">
      <c r="A39" s="384" t="s">
        <v>338</v>
      </c>
      <c r="B39" s="385" t="s">
        <v>381</v>
      </c>
      <c r="C39" s="386" t="s">
        <v>341</v>
      </c>
      <c r="D39" s="373" t="s">
        <v>342</v>
      </c>
      <c r="E39" s="388"/>
      <c r="F39" s="397" t="s">
        <v>382</v>
      </c>
      <c r="G39" s="375">
        <v>0</v>
      </c>
    </row>
    <row r="40" spans="1:17" x14ac:dyDescent="0.25">
      <c r="A40" s="384" t="s">
        <v>383</v>
      </c>
      <c r="B40" s="385" t="s">
        <v>384</v>
      </c>
      <c r="C40" s="386" t="s">
        <v>385</v>
      </c>
      <c r="D40" s="373" t="s">
        <v>386</v>
      </c>
      <c r="E40" s="386"/>
      <c r="F40" s="397" t="s">
        <v>387</v>
      </c>
      <c r="G40" s="375">
        <v>0</v>
      </c>
    </row>
    <row r="41" spans="1:17" x14ac:dyDescent="0.25">
      <c r="A41" s="384" t="s">
        <v>388</v>
      </c>
      <c r="B41" s="385" t="s">
        <v>389</v>
      </c>
      <c r="C41" s="386" t="s">
        <v>318</v>
      </c>
      <c r="D41" s="373" t="s">
        <v>352</v>
      </c>
      <c r="E41" s="388"/>
      <c r="F41" s="397" t="s">
        <v>390</v>
      </c>
      <c r="G41" s="375">
        <v>0</v>
      </c>
    </row>
    <row r="42" spans="1:17" x14ac:dyDescent="0.25">
      <c r="A42" s="384" t="s">
        <v>391</v>
      </c>
      <c r="B42" s="385" t="s">
        <v>392</v>
      </c>
      <c r="C42" s="386" t="s">
        <v>393</v>
      </c>
      <c r="D42" s="373" t="s">
        <v>394</v>
      </c>
      <c r="E42" s="388"/>
      <c r="F42" s="397" t="s">
        <v>395</v>
      </c>
      <c r="G42" s="375">
        <v>0</v>
      </c>
    </row>
    <row r="43" spans="1:17" x14ac:dyDescent="0.25">
      <c r="A43" s="384" t="s">
        <v>346</v>
      </c>
      <c r="B43" s="385"/>
      <c r="C43" s="386" t="s">
        <v>346</v>
      </c>
      <c r="D43" s="388" t="s">
        <v>347</v>
      </c>
      <c r="E43" s="388"/>
      <c r="F43" s="389"/>
      <c r="G43" s="375">
        <v>0</v>
      </c>
    </row>
    <row r="45" spans="1:17" x14ac:dyDescent="0.25">
      <c r="A45" s="381" t="s">
        <v>396</v>
      </c>
      <c r="B45" s="372" t="s">
        <v>397</v>
      </c>
      <c r="C45" s="381" t="s">
        <v>398</v>
      </c>
    </row>
    <row r="46" spans="1:17" ht="15" customHeight="1" x14ac:dyDescent="0.25">
      <c r="A46" s="401" t="s">
        <v>399</v>
      </c>
      <c r="B46" s="377" t="s">
        <v>400</v>
      </c>
      <c r="C46" s="377">
        <v>1</v>
      </c>
      <c r="Q46" s="388"/>
    </row>
    <row r="47" spans="1:17" x14ac:dyDescent="0.25">
      <c r="A47" s="401" t="s">
        <v>401</v>
      </c>
      <c r="B47" s="377" t="s">
        <v>402</v>
      </c>
      <c r="C47" s="378" t="s">
        <v>403</v>
      </c>
      <c r="M47" s="377"/>
      <c r="N47" s="378"/>
      <c r="O47" s="377"/>
      <c r="P47" s="377"/>
      <c r="Q47" s="378"/>
    </row>
    <row r="48" spans="1:17" x14ac:dyDescent="0.25">
      <c r="A48" s="401" t="s">
        <v>404</v>
      </c>
      <c r="B48" s="377" t="s">
        <v>405</v>
      </c>
      <c r="C48" s="378" t="s">
        <v>406</v>
      </c>
    </row>
    <row r="49" spans="1:17" x14ac:dyDescent="0.25">
      <c r="H49" s="887" t="s">
        <v>407</v>
      </c>
      <c r="I49" s="888"/>
      <c r="J49" s="888"/>
      <c r="K49" s="889"/>
      <c r="L49" s="388"/>
    </row>
    <row r="50" spans="1:17" ht="15.75" x14ac:dyDescent="0.25">
      <c r="A50" s="388" t="s">
        <v>408</v>
      </c>
      <c r="H50" s="402"/>
      <c r="I50" s="403"/>
      <c r="J50" s="403"/>
      <c r="K50" s="404"/>
      <c r="L50" s="388"/>
      <c r="M50" s="890" t="s">
        <v>407</v>
      </c>
      <c r="N50" s="891"/>
      <c r="O50" s="891"/>
      <c r="P50" s="891"/>
      <c r="Q50" s="892"/>
    </row>
    <row r="51" spans="1:17" ht="30" x14ac:dyDescent="0.25">
      <c r="A51" s="388" t="s">
        <v>409</v>
      </c>
      <c r="B51" s="378" t="s">
        <v>410</v>
      </c>
      <c r="C51" s="405" t="s">
        <v>411</v>
      </c>
      <c r="D51" s="405" t="s">
        <v>412</v>
      </c>
      <c r="E51" s="406" t="s">
        <v>413</v>
      </c>
      <c r="F51" s="407" t="s">
        <v>414</v>
      </c>
      <c r="G51" s="408" t="s">
        <v>415</v>
      </c>
      <c r="H51" s="409" t="s">
        <v>416</v>
      </c>
      <c r="I51" s="409" t="s">
        <v>417</v>
      </c>
      <c r="J51" s="409" t="s">
        <v>418</v>
      </c>
      <c r="K51" s="410" t="s">
        <v>419</v>
      </c>
      <c r="M51" s="411" t="s">
        <v>420</v>
      </c>
      <c r="N51" s="412" t="s">
        <v>415</v>
      </c>
      <c r="O51" s="412" t="s">
        <v>421</v>
      </c>
      <c r="P51" s="412" t="s">
        <v>418</v>
      </c>
      <c r="Q51" s="413" t="s">
        <v>419</v>
      </c>
    </row>
    <row r="52" spans="1:17" ht="15.75" x14ac:dyDescent="0.3">
      <c r="A52" s="388" t="s">
        <v>422</v>
      </c>
      <c r="B52" s="414" t="s">
        <v>423</v>
      </c>
      <c r="C52" s="400" t="s">
        <v>424</v>
      </c>
      <c r="D52" s="415" t="s">
        <v>422</v>
      </c>
      <c r="E52" s="416" t="s">
        <v>422</v>
      </c>
      <c r="F52" s="389" t="s">
        <v>425</v>
      </c>
      <c r="G52" s="408" t="s">
        <v>426</v>
      </c>
      <c r="H52" s="388" t="s">
        <v>415</v>
      </c>
      <c r="I52" s="388" t="s">
        <v>427</v>
      </c>
      <c r="J52" s="388"/>
      <c r="M52" s="388" t="s">
        <v>428</v>
      </c>
      <c r="N52" s="388" t="s">
        <v>426</v>
      </c>
      <c r="O52" s="388" t="s">
        <v>421</v>
      </c>
      <c r="P52" s="388" t="s">
        <v>429</v>
      </c>
    </row>
    <row r="53" spans="1:17" ht="45" x14ac:dyDescent="0.3">
      <c r="A53" s="388" t="s">
        <v>364</v>
      </c>
      <c r="B53" s="414" t="s">
        <v>430</v>
      </c>
      <c r="C53" s="400" t="s">
        <v>424</v>
      </c>
      <c r="D53" s="415" t="s">
        <v>364</v>
      </c>
      <c r="E53" s="416" t="s">
        <v>431</v>
      </c>
      <c r="F53" s="389" t="s">
        <v>432</v>
      </c>
      <c r="G53" s="408" t="s">
        <v>433</v>
      </c>
      <c r="H53" s="388" t="s">
        <v>415</v>
      </c>
      <c r="I53" s="388" t="s">
        <v>427</v>
      </c>
      <c r="J53" s="388"/>
      <c r="M53" s="417" t="s">
        <v>434</v>
      </c>
      <c r="N53" s="417" t="s">
        <v>435</v>
      </c>
      <c r="O53" s="417"/>
      <c r="P53" s="417" t="s">
        <v>436</v>
      </c>
    </row>
    <row r="54" spans="1:17" ht="15.75" x14ac:dyDescent="0.3">
      <c r="A54" s="388" t="s">
        <v>437</v>
      </c>
      <c r="B54" s="414" t="s">
        <v>438</v>
      </c>
      <c r="C54" s="400" t="s">
        <v>424</v>
      </c>
      <c r="D54" s="415" t="s">
        <v>437</v>
      </c>
      <c r="E54" s="416" t="s">
        <v>439</v>
      </c>
      <c r="F54" s="389" t="s">
        <v>425</v>
      </c>
      <c r="G54" s="375" t="b">
        <v>1</v>
      </c>
      <c r="M54" s="418"/>
      <c r="N54" s="417" t="s">
        <v>440</v>
      </c>
      <c r="O54" s="418"/>
      <c r="P54" s="418"/>
    </row>
    <row r="55" spans="1:17" ht="15.75" x14ac:dyDescent="0.3">
      <c r="A55" s="388" t="s">
        <v>441</v>
      </c>
      <c r="B55" s="414" t="s">
        <v>442</v>
      </c>
      <c r="C55" s="400" t="s">
        <v>424</v>
      </c>
      <c r="D55" s="415" t="s">
        <v>441</v>
      </c>
      <c r="E55" s="416" t="s">
        <v>443</v>
      </c>
      <c r="F55" s="389" t="s">
        <v>444</v>
      </c>
      <c r="H55" s="388" t="s">
        <v>415</v>
      </c>
      <c r="I55" s="388" t="s">
        <v>427</v>
      </c>
      <c r="J55" s="388"/>
      <c r="M55" s="418"/>
      <c r="N55" s="418"/>
      <c r="O55" s="418"/>
      <c r="P55" s="417" t="s">
        <v>445</v>
      </c>
    </row>
    <row r="56" spans="1:17" ht="15.75" x14ac:dyDescent="0.3">
      <c r="A56" s="388" t="s">
        <v>446</v>
      </c>
      <c r="B56" s="414" t="s">
        <v>447</v>
      </c>
      <c r="C56" s="400" t="s">
        <v>424</v>
      </c>
      <c r="D56" s="415" t="s">
        <v>446</v>
      </c>
      <c r="E56" s="416" t="s">
        <v>443</v>
      </c>
      <c r="F56" s="389" t="s">
        <v>444</v>
      </c>
      <c r="G56" s="408" t="s">
        <v>448</v>
      </c>
      <c r="H56" s="388" t="s">
        <v>415</v>
      </c>
      <c r="I56" s="388" t="s">
        <v>427</v>
      </c>
      <c r="J56" s="388"/>
      <c r="M56" s="418" t="str">
        <f>N54</f>
        <v>$.*</v>
      </c>
      <c r="N56" s="418"/>
      <c r="O56" s="418"/>
      <c r="P56" s="418"/>
    </row>
    <row r="57" spans="1:17" ht="15.75" x14ac:dyDescent="0.3">
      <c r="A57" s="388" t="s">
        <v>449</v>
      </c>
      <c r="B57" s="414" t="s">
        <v>450</v>
      </c>
      <c r="C57" s="415" t="s">
        <v>449</v>
      </c>
      <c r="D57" s="415" t="s">
        <v>451</v>
      </c>
      <c r="E57" s="416" t="s">
        <v>452</v>
      </c>
      <c r="F57" s="389" t="s">
        <v>444</v>
      </c>
      <c r="K57" s="388" t="s">
        <v>453</v>
      </c>
      <c r="M57" s="418"/>
      <c r="N57" s="418"/>
      <c r="O57" s="418"/>
      <c r="P57" s="417" t="str">
        <f>N54</f>
        <v>$.*</v>
      </c>
    </row>
    <row r="58" spans="1:17" x14ac:dyDescent="0.25">
      <c r="A58" s="388" t="s">
        <v>454</v>
      </c>
      <c r="B58" s="414" t="s">
        <v>455</v>
      </c>
      <c r="C58" s="400" t="s">
        <v>424</v>
      </c>
      <c r="D58" s="419" t="s">
        <v>456</v>
      </c>
      <c r="E58" s="416" t="s">
        <v>457</v>
      </c>
      <c r="F58" s="389" t="s">
        <v>432</v>
      </c>
      <c r="G58" s="408" t="s">
        <v>448</v>
      </c>
      <c r="H58" s="388" t="s">
        <v>415</v>
      </c>
      <c r="I58" s="388" t="s">
        <v>427</v>
      </c>
      <c r="J58" s="388"/>
      <c r="M58" s="418" t="str">
        <f>N54</f>
        <v>$.*</v>
      </c>
      <c r="N58" s="418"/>
      <c r="O58" s="418"/>
      <c r="P58" s="418"/>
    </row>
    <row r="59" spans="1:17" ht="15.75" x14ac:dyDescent="0.3">
      <c r="A59" s="388" t="s">
        <v>333</v>
      </c>
      <c r="B59" s="414" t="s">
        <v>458</v>
      </c>
      <c r="C59" s="400" t="s">
        <v>424</v>
      </c>
      <c r="D59" s="415" t="s">
        <v>333</v>
      </c>
      <c r="E59" s="416" t="s">
        <v>452</v>
      </c>
      <c r="F59" s="389" t="s">
        <v>444</v>
      </c>
      <c r="G59" s="408" t="s">
        <v>448</v>
      </c>
      <c r="H59" s="388" t="s">
        <v>415</v>
      </c>
      <c r="I59" s="388" t="s">
        <v>427</v>
      </c>
      <c r="J59" s="388"/>
      <c r="M59" s="418" t="str">
        <f>M58</f>
        <v>$.*</v>
      </c>
      <c r="N59" s="418"/>
      <c r="O59" s="418"/>
      <c r="P59" s="418"/>
    </row>
    <row r="60" spans="1:17" ht="191.25" x14ac:dyDescent="0.3">
      <c r="A60" s="388" t="s">
        <v>459</v>
      </c>
      <c r="B60" s="420" t="s">
        <v>460</v>
      </c>
      <c r="C60" s="415" t="s">
        <v>459</v>
      </c>
      <c r="D60" s="415" t="s">
        <v>461</v>
      </c>
      <c r="E60" s="416" t="s">
        <v>452</v>
      </c>
      <c r="F60" s="389" t="s">
        <v>444</v>
      </c>
      <c r="K60" s="388" t="s">
        <v>462</v>
      </c>
      <c r="M60" s="417" t="s">
        <v>463</v>
      </c>
      <c r="N60" s="418"/>
      <c r="O60" s="418"/>
      <c r="P60" s="417" t="s">
        <v>464</v>
      </c>
    </row>
    <row r="61" spans="1:17" ht="15.75" x14ac:dyDescent="0.3">
      <c r="A61" s="388" t="s">
        <v>418</v>
      </c>
      <c r="B61" s="414" t="s">
        <v>465</v>
      </c>
      <c r="C61" s="400" t="s">
        <v>466</v>
      </c>
      <c r="D61" s="415"/>
      <c r="E61" s="416"/>
      <c r="F61" s="389"/>
      <c r="G61" s="408"/>
      <c r="H61" s="388"/>
      <c r="I61" s="388"/>
      <c r="J61" s="388"/>
      <c r="K61" s="388" t="s">
        <v>453</v>
      </c>
      <c r="M61" s="418"/>
      <c r="N61" s="418"/>
      <c r="O61" s="418"/>
      <c r="P61" s="418" t="str">
        <f>P57</f>
        <v>$.*</v>
      </c>
    </row>
    <row r="62" spans="1:17" ht="15.75" x14ac:dyDescent="0.3">
      <c r="A62" s="388" t="s">
        <v>343</v>
      </c>
      <c r="B62" s="414" t="s">
        <v>467</v>
      </c>
      <c r="C62" s="415" t="s">
        <v>468</v>
      </c>
      <c r="D62" s="400" t="s">
        <v>469</v>
      </c>
      <c r="E62" s="416" t="s">
        <v>452</v>
      </c>
      <c r="F62" s="389" t="s">
        <v>444</v>
      </c>
      <c r="I62" s="388"/>
      <c r="J62" s="388"/>
      <c r="K62" s="373" t="s">
        <v>343</v>
      </c>
      <c r="L62" s="388"/>
      <c r="M62" s="421" t="str">
        <f>N54</f>
        <v>$.*</v>
      </c>
      <c r="N62" s="417" t="s">
        <v>470</v>
      </c>
      <c r="O62" s="418"/>
      <c r="P62" s="418"/>
    </row>
    <row r="63" spans="1:17" ht="15.75" x14ac:dyDescent="0.3">
      <c r="A63" s="388" t="s">
        <v>302</v>
      </c>
      <c r="B63" s="414" t="s">
        <v>471</v>
      </c>
      <c r="C63" s="400" t="s">
        <v>424</v>
      </c>
      <c r="D63" s="415" t="s">
        <v>302</v>
      </c>
      <c r="E63" s="416" t="s">
        <v>302</v>
      </c>
      <c r="F63" s="389" t="s">
        <v>425</v>
      </c>
      <c r="G63" s="408" t="s">
        <v>448</v>
      </c>
      <c r="H63" s="388" t="s">
        <v>415</v>
      </c>
      <c r="I63" s="388" t="s">
        <v>427</v>
      </c>
      <c r="J63" s="388"/>
      <c r="M63" s="418" t="str">
        <f>M62</f>
        <v>$.*</v>
      </c>
      <c r="N63" s="418"/>
      <c r="O63" s="418"/>
      <c r="P63" s="418"/>
    </row>
    <row r="64" spans="1:17" ht="15.75" x14ac:dyDescent="0.3">
      <c r="A64" s="388" t="s">
        <v>387</v>
      </c>
      <c r="B64" s="414" t="s">
        <v>387</v>
      </c>
      <c r="C64" s="400" t="s">
        <v>424</v>
      </c>
      <c r="D64" s="415" t="s">
        <v>387</v>
      </c>
      <c r="E64" s="416" t="s">
        <v>452</v>
      </c>
      <c r="F64" s="389" t="s">
        <v>444</v>
      </c>
      <c r="G64" s="408" t="s">
        <v>448</v>
      </c>
      <c r="H64" s="388" t="s">
        <v>415</v>
      </c>
      <c r="I64" s="388" t="s">
        <v>427</v>
      </c>
      <c r="J64" s="388"/>
      <c r="M64" s="417" t="s">
        <v>472</v>
      </c>
      <c r="N64" s="417" t="s">
        <v>473</v>
      </c>
      <c r="O64" s="418"/>
      <c r="P64" s="418"/>
    </row>
    <row r="65" spans="1:17" x14ac:dyDescent="0.25">
      <c r="A65" s="422" t="s">
        <v>289</v>
      </c>
      <c r="B65" s="414" t="s">
        <v>474</v>
      </c>
      <c r="C65" s="400"/>
      <c r="D65" s="419"/>
      <c r="E65" s="416"/>
      <c r="F65" s="389"/>
      <c r="M65" s="417" t="s">
        <v>475</v>
      </c>
      <c r="N65" s="417" t="s">
        <v>475</v>
      </c>
      <c r="O65" s="418"/>
      <c r="P65" s="417" t="s">
        <v>475</v>
      </c>
    </row>
    <row r="66" spans="1:17" x14ac:dyDescent="0.25">
      <c r="C66" s="400"/>
      <c r="D66" s="400" t="s">
        <v>476</v>
      </c>
      <c r="E66" s="416" t="s">
        <v>452</v>
      </c>
      <c r="F66" s="389" t="s">
        <v>444</v>
      </c>
      <c r="M66" s="418"/>
      <c r="N66" s="418"/>
      <c r="O66" s="418"/>
      <c r="P66" s="418"/>
    </row>
    <row r="67" spans="1:17" x14ac:dyDescent="0.25">
      <c r="C67" s="400"/>
      <c r="D67" s="400" t="s">
        <v>477</v>
      </c>
      <c r="E67" s="416" t="s">
        <v>452</v>
      </c>
      <c r="F67" s="389" t="s">
        <v>444</v>
      </c>
      <c r="M67" s="418"/>
      <c r="N67" s="418"/>
      <c r="O67" s="418"/>
      <c r="P67" s="418"/>
    </row>
    <row r="68" spans="1:17" x14ac:dyDescent="0.25">
      <c r="C68" s="400"/>
      <c r="D68" s="400" t="s">
        <v>478</v>
      </c>
      <c r="E68" s="416"/>
      <c r="F68" s="389"/>
      <c r="M68" s="418"/>
      <c r="N68" s="418"/>
      <c r="O68" s="418"/>
      <c r="P68" s="418"/>
    </row>
    <row r="69" spans="1:17" x14ac:dyDescent="0.25">
      <c r="A69" s="388"/>
      <c r="C69" s="400"/>
      <c r="D69" s="400" t="s">
        <v>479</v>
      </c>
      <c r="E69" s="416" t="s">
        <v>452</v>
      </c>
      <c r="F69" s="389" t="s">
        <v>444</v>
      </c>
      <c r="M69" s="418"/>
      <c r="N69" s="418"/>
      <c r="O69" s="418"/>
      <c r="P69" s="418"/>
    </row>
    <row r="70" spans="1:17" x14ac:dyDescent="0.25">
      <c r="C70" s="419"/>
      <c r="D70" s="400" t="s">
        <v>480</v>
      </c>
      <c r="E70" s="416" t="s">
        <v>452</v>
      </c>
      <c r="F70" s="389" t="s">
        <v>444</v>
      </c>
      <c r="M70" s="418"/>
      <c r="N70" s="418"/>
      <c r="O70" s="418"/>
      <c r="P70" s="418"/>
    </row>
    <row r="71" spans="1:17" x14ac:dyDescent="0.25">
      <c r="A71" s="388" t="s">
        <v>481</v>
      </c>
      <c r="C71" s="419"/>
      <c r="D71" s="400"/>
      <c r="F71" s="389"/>
      <c r="Q71" s="388" t="s">
        <v>482</v>
      </c>
    </row>
    <row r="72" spans="1:17" x14ac:dyDescent="0.25">
      <c r="A72" s="388" t="s">
        <v>453</v>
      </c>
      <c r="B72" s="385" t="s">
        <v>483</v>
      </c>
      <c r="C72" s="419"/>
      <c r="D72" s="400"/>
      <c r="F72" s="389"/>
      <c r="Q72" s="423" t="s">
        <v>427</v>
      </c>
    </row>
    <row r="73" spans="1:17" x14ac:dyDescent="0.25">
      <c r="A73" s="388" t="s">
        <v>415</v>
      </c>
      <c r="B73" s="385" t="s">
        <v>484</v>
      </c>
      <c r="C73" s="419"/>
      <c r="D73" s="400"/>
      <c r="F73" s="389"/>
      <c r="Q73" s="423" t="s">
        <v>415</v>
      </c>
    </row>
    <row r="74" spans="1:17" x14ac:dyDescent="0.25">
      <c r="A74" s="388"/>
      <c r="B74" s="385"/>
      <c r="C74" s="419"/>
      <c r="D74" s="400"/>
      <c r="F74" s="389"/>
      <c r="Q74" s="423" t="s">
        <v>418</v>
      </c>
    </row>
    <row r="75" spans="1:17" x14ac:dyDescent="0.25">
      <c r="A75" s="388"/>
      <c r="B75" s="419"/>
      <c r="C75" s="419"/>
      <c r="D75" s="400"/>
      <c r="F75" s="389"/>
      <c r="Q75" s="423" t="s">
        <v>343</v>
      </c>
    </row>
    <row r="76" spans="1:17" x14ac:dyDescent="0.25">
      <c r="A76" s="388"/>
      <c r="B76" s="419"/>
      <c r="C76" s="419"/>
      <c r="D76" s="400"/>
      <c r="F76" s="389"/>
      <c r="Q76" s="423" t="s">
        <v>462</v>
      </c>
    </row>
    <row r="77" spans="1:17" x14ac:dyDescent="0.25">
      <c r="A77" s="388"/>
      <c r="B77" s="419"/>
      <c r="C77" s="419"/>
      <c r="D77" s="400"/>
      <c r="F77" s="389"/>
    </row>
    <row r="78" spans="1:17" x14ac:dyDescent="0.25">
      <c r="C78" s="419"/>
      <c r="D78" s="400"/>
      <c r="F78" s="389"/>
    </row>
    <row r="79" spans="1:17" x14ac:dyDescent="0.25">
      <c r="A79" s="424" t="s">
        <v>485</v>
      </c>
    </row>
    <row r="80" spans="1:17" x14ac:dyDescent="0.25">
      <c r="A80" s="388" t="s">
        <v>486</v>
      </c>
    </row>
    <row r="81" spans="1:7" x14ac:dyDescent="0.25">
      <c r="A81" s="388" t="s">
        <v>487</v>
      </c>
    </row>
    <row r="82" spans="1:7" x14ac:dyDescent="0.25">
      <c r="A82" s="388" t="s">
        <v>488</v>
      </c>
      <c r="B82" s="378" t="s">
        <v>170</v>
      </c>
    </row>
    <row r="83" spans="1:7" x14ac:dyDescent="0.25">
      <c r="A83" s="388" t="s">
        <v>489</v>
      </c>
      <c r="B83" s="377">
        <v>1</v>
      </c>
    </row>
    <row r="84" spans="1:7" x14ac:dyDescent="0.25">
      <c r="A84" s="388" t="s">
        <v>490</v>
      </c>
      <c r="B84" s="377">
        <v>1</v>
      </c>
    </row>
    <row r="85" spans="1:7" x14ac:dyDescent="0.25">
      <c r="A85" s="388" t="s">
        <v>491</v>
      </c>
      <c r="B85" s="377">
        <v>1</v>
      </c>
    </row>
    <row r="86" spans="1:7" x14ac:dyDescent="0.25">
      <c r="A86" s="388" t="s">
        <v>492</v>
      </c>
    </row>
    <row r="87" spans="1:7" x14ac:dyDescent="0.25">
      <c r="A87" s="388" t="s">
        <v>493</v>
      </c>
    </row>
    <row r="88" spans="1:7" x14ac:dyDescent="0.25">
      <c r="A88" s="388" t="s">
        <v>494</v>
      </c>
      <c r="B88" s="378" t="s">
        <v>170</v>
      </c>
    </row>
    <row r="89" spans="1:7" x14ac:dyDescent="0.25">
      <c r="A89" s="388" t="s">
        <v>495</v>
      </c>
      <c r="F89" s="373"/>
      <c r="G89" s="373"/>
    </row>
    <row r="90" spans="1:7" x14ac:dyDescent="0.25">
      <c r="A90" s="388" t="s">
        <v>496</v>
      </c>
      <c r="F90" s="373"/>
      <c r="G90" s="373"/>
    </row>
    <row r="91" spans="1:7" x14ac:dyDescent="0.25">
      <c r="A91" s="388" t="s">
        <v>497</v>
      </c>
      <c r="F91" s="373"/>
      <c r="G91" s="373"/>
    </row>
    <row r="92" spans="1:7" x14ac:dyDescent="0.25">
      <c r="A92" s="388" t="s">
        <v>498</v>
      </c>
      <c r="F92" s="373"/>
      <c r="G92" s="373"/>
    </row>
    <row r="93" spans="1:7" x14ac:dyDescent="0.25">
      <c r="A93" s="388" t="s">
        <v>499</v>
      </c>
      <c r="B93" s="377">
        <v>1</v>
      </c>
      <c r="F93" s="373"/>
      <c r="G93" s="373"/>
    </row>
    <row r="94" spans="1:7" x14ac:dyDescent="0.25">
      <c r="A94" s="388" t="s">
        <v>500</v>
      </c>
      <c r="B94" s="377">
        <v>1</v>
      </c>
      <c r="F94" s="373"/>
      <c r="G94" s="373"/>
    </row>
    <row r="95" spans="1:7" x14ac:dyDescent="0.25">
      <c r="A95" s="388" t="s">
        <v>501</v>
      </c>
      <c r="F95" s="373"/>
      <c r="G95" s="373"/>
    </row>
    <row r="96" spans="1:7" x14ac:dyDescent="0.25">
      <c r="A96" s="388" t="s">
        <v>502</v>
      </c>
      <c r="F96" s="373"/>
      <c r="G96" s="373"/>
    </row>
    <row r="97" spans="1:7" x14ac:dyDescent="0.25">
      <c r="A97" s="388" t="s">
        <v>503</v>
      </c>
      <c r="F97" s="373"/>
      <c r="G97" s="373"/>
    </row>
    <row r="98" spans="1:7" x14ac:dyDescent="0.25">
      <c r="A98" s="388" t="s">
        <v>504</v>
      </c>
      <c r="F98" s="373"/>
      <c r="G98" s="373"/>
    </row>
    <row r="99" spans="1:7" x14ac:dyDescent="0.25">
      <c r="A99" s="388" t="s">
        <v>505</v>
      </c>
      <c r="B99" s="377">
        <v>1</v>
      </c>
      <c r="F99" s="373"/>
      <c r="G99" s="373"/>
    </row>
    <row r="100" spans="1:7" x14ac:dyDescent="0.25">
      <c r="A100" s="388" t="s">
        <v>506</v>
      </c>
      <c r="B100" s="377">
        <v>1</v>
      </c>
      <c r="F100" s="373"/>
      <c r="G100" s="373"/>
    </row>
    <row r="101" spans="1:7" x14ac:dyDescent="0.25">
      <c r="A101" s="388" t="s">
        <v>507</v>
      </c>
      <c r="F101" s="373"/>
      <c r="G101" s="373"/>
    </row>
    <row r="102" spans="1:7" x14ac:dyDescent="0.25">
      <c r="A102" s="388" t="s">
        <v>508</v>
      </c>
      <c r="B102" s="377">
        <v>1</v>
      </c>
      <c r="F102" s="373"/>
      <c r="G102" s="373"/>
    </row>
    <row r="103" spans="1:7" x14ac:dyDescent="0.25">
      <c r="A103" s="388" t="s">
        <v>509</v>
      </c>
      <c r="F103" s="373"/>
      <c r="G103" s="373"/>
    </row>
    <row r="104" spans="1:7" x14ac:dyDescent="0.25">
      <c r="A104" s="388" t="s">
        <v>510</v>
      </c>
      <c r="B104" s="377">
        <v>1</v>
      </c>
      <c r="F104" s="373"/>
      <c r="G104" s="373"/>
    </row>
    <row r="105" spans="1:7" x14ac:dyDescent="0.25">
      <c r="A105" s="388" t="s">
        <v>511</v>
      </c>
      <c r="B105" s="377">
        <v>1</v>
      </c>
      <c r="F105" s="373"/>
      <c r="G105" s="373"/>
    </row>
    <row r="106" spans="1:7" x14ac:dyDescent="0.25">
      <c r="A106" s="388" t="s">
        <v>512</v>
      </c>
      <c r="F106" s="373"/>
      <c r="G106" s="373"/>
    </row>
    <row r="107" spans="1:7" x14ac:dyDescent="0.25">
      <c r="A107" s="388" t="s">
        <v>513</v>
      </c>
      <c r="F107" s="373"/>
      <c r="G107" s="373"/>
    </row>
    <row r="108" spans="1:7" x14ac:dyDescent="0.25">
      <c r="A108" s="388" t="s">
        <v>514</v>
      </c>
      <c r="F108" s="373"/>
      <c r="G108" s="373"/>
    </row>
    <row r="109" spans="1:7" x14ac:dyDescent="0.25">
      <c r="A109" s="388" t="s">
        <v>515</v>
      </c>
      <c r="F109" s="373"/>
      <c r="G109" s="373"/>
    </row>
    <row r="110" spans="1:7" x14ac:dyDescent="0.25">
      <c r="A110" s="388" t="s">
        <v>516</v>
      </c>
      <c r="F110" s="373"/>
      <c r="G110" s="373"/>
    </row>
    <row r="111" spans="1:7" x14ac:dyDescent="0.25">
      <c r="A111" s="388" t="s">
        <v>517</v>
      </c>
      <c r="F111" s="373"/>
      <c r="G111" s="373"/>
    </row>
    <row r="112" spans="1:7" x14ac:dyDescent="0.25">
      <c r="A112" s="388" t="s">
        <v>518</v>
      </c>
      <c r="B112" s="377">
        <v>1</v>
      </c>
      <c r="F112" s="373"/>
      <c r="G112" s="373"/>
    </row>
    <row r="113" spans="1:7" x14ac:dyDescent="0.25">
      <c r="A113" s="388" t="s">
        <v>519</v>
      </c>
      <c r="F113" s="373"/>
      <c r="G113" s="373"/>
    </row>
    <row r="114" spans="1:7" x14ac:dyDescent="0.25">
      <c r="A114" s="388" t="s">
        <v>520</v>
      </c>
      <c r="F114" s="373"/>
      <c r="G114" s="373"/>
    </row>
    <row r="115" spans="1:7" x14ac:dyDescent="0.25">
      <c r="A115" s="388" t="s">
        <v>521</v>
      </c>
      <c r="F115" s="373"/>
      <c r="G115" s="373"/>
    </row>
    <row r="116" spans="1:7" x14ac:dyDescent="0.25">
      <c r="A116" s="388" t="s">
        <v>522</v>
      </c>
      <c r="B116" s="377">
        <v>1</v>
      </c>
      <c r="F116" s="373"/>
      <c r="G116" s="373"/>
    </row>
    <row r="117" spans="1:7" x14ac:dyDescent="0.25">
      <c r="A117" s="388" t="s">
        <v>523</v>
      </c>
      <c r="F117" s="373"/>
      <c r="G117" s="373"/>
    </row>
    <row r="118" spans="1:7" x14ac:dyDescent="0.25">
      <c r="A118" s="388" t="s">
        <v>524</v>
      </c>
      <c r="F118" s="373"/>
      <c r="G118" s="373"/>
    </row>
    <row r="119" spans="1:7" x14ac:dyDescent="0.25">
      <c r="A119" s="388" t="s">
        <v>525</v>
      </c>
      <c r="F119" s="373"/>
      <c r="G119" s="373"/>
    </row>
    <row r="120" spans="1:7" x14ac:dyDescent="0.25">
      <c r="A120" s="388" t="s">
        <v>526</v>
      </c>
      <c r="F120" s="373"/>
      <c r="G120" s="373"/>
    </row>
    <row r="121" spans="1:7" x14ac:dyDescent="0.25">
      <c r="A121" s="388" t="s">
        <v>527</v>
      </c>
      <c r="B121" s="377">
        <v>1</v>
      </c>
      <c r="F121" s="373"/>
      <c r="G121" s="373"/>
    </row>
    <row r="122" spans="1:7" x14ac:dyDescent="0.25">
      <c r="A122" s="388" t="s">
        <v>528</v>
      </c>
      <c r="B122" s="377">
        <v>1</v>
      </c>
      <c r="F122" s="373"/>
      <c r="G122" s="373"/>
    </row>
    <row r="123" spans="1:7" x14ac:dyDescent="0.25">
      <c r="A123" s="388" t="s">
        <v>529</v>
      </c>
      <c r="F123" s="373"/>
      <c r="G123" s="373"/>
    </row>
    <row r="124" spans="1:7" x14ac:dyDescent="0.25">
      <c r="A124" s="388" t="s">
        <v>530</v>
      </c>
      <c r="F124" s="373"/>
      <c r="G124" s="373"/>
    </row>
    <row r="125" spans="1:7" x14ac:dyDescent="0.25">
      <c r="A125" s="388" t="s">
        <v>531</v>
      </c>
      <c r="F125" s="373"/>
      <c r="G125" s="373"/>
    </row>
    <row r="126" spans="1:7" x14ac:dyDescent="0.25">
      <c r="A126" s="388" t="s">
        <v>532</v>
      </c>
      <c r="B126" s="377">
        <v>1</v>
      </c>
      <c r="F126" s="373"/>
      <c r="G126" s="373"/>
    </row>
    <row r="127" spans="1:7" x14ac:dyDescent="0.25">
      <c r="A127" s="388" t="s">
        <v>533</v>
      </c>
      <c r="F127" s="373"/>
      <c r="G127" s="373"/>
    </row>
    <row r="128" spans="1:7" x14ac:dyDescent="0.25">
      <c r="A128" s="388" t="s">
        <v>534</v>
      </c>
      <c r="F128" s="373"/>
      <c r="G128" s="373"/>
    </row>
    <row r="129" spans="1:7" x14ac:dyDescent="0.25">
      <c r="A129" s="388" t="s">
        <v>535</v>
      </c>
      <c r="B129" s="377">
        <v>1</v>
      </c>
      <c r="F129" s="373"/>
      <c r="G129" s="373"/>
    </row>
    <row r="130" spans="1:7" x14ac:dyDescent="0.25">
      <c r="A130" s="388" t="s">
        <v>536</v>
      </c>
      <c r="F130" s="373"/>
      <c r="G130" s="373"/>
    </row>
    <row r="131" spans="1:7" x14ac:dyDescent="0.25">
      <c r="A131" s="388" t="s">
        <v>537</v>
      </c>
      <c r="F131" s="373"/>
      <c r="G131" s="373"/>
    </row>
    <row r="132" spans="1:7" x14ac:dyDescent="0.25">
      <c r="A132" s="388" t="s">
        <v>538</v>
      </c>
      <c r="F132" s="373"/>
      <c r="G132" s="373"/>
    </row>
    <row r="133" spans="1:7" x14ac:dyDescent="0.25">
      <c r="A133" s="388" t="s">
        <v>539</v>
      </c>
      <c r="F133" s="373"/>
      <c r="G133" s="373"/>
    </row>
    <row r="134" spans="1:7" x14ac:dyDescent="0.25">
      <c r="A134" s="388" t="s">
        <v>540</v>
      </c>
      <c r="B134" s="377">
        <v>1</v>
      </c>
      <c r="F134" s="373"/>
      <c r="G134" s="373"/>
    </row>
    <row r="135" spans="1:7" x14ac:dyDescent="0.25">
      <c r="A135" s="388" t="s">
        <v>541</v>
      </c>
      <c r="B135" s="377">
        <v>1</v>
      </c>
      <c r="F135" s="373"/>
      <c r="G135" s="373"/>
    </row>
    <row r="136" spans="1:7" x14ac:dyDescent="0.25">
      <c r="A136" s="388" t="s">
        <v>542</v>
      </c>
      <c r="F136" s="373"/>
      <c r="G136" s="373"/>
    </row>
    <row r="137" spans="1:7" x14ac:dyDescent="0.25">
      <c r="A137" s="388" t="s">
        <v>543</v>
      </c>
      <c r="B137" s="377">
        <v>1</v>
      </c>
      <c r="F137" s="373"/>
      <c r="G137" s="373"/>
    </row>
    <row r="138" spans="1:7" x14ac:dyDescent="0.25">
      <c r="A138" s="388" t="s">
        <v>544</v>
      </c>
      <c r="F138" s="373"/>
      <c r="G138" s="373"/>
    </row>
    <row r="139" spans="1:7" x14ac:dyDescent="0.25">
      <c r="A139" s="388" t="s">
        <v>545</v>
      </c>
      <c r="B139" s="377">
        <v>1</v>
      </c>
      <c r="F139" s="373"/>
      <c r="G139" s="373"/>
    </row>
    <row r="140" spans="1:7" x14ac:dyDescent="0.25">
      <c r="A140" s="388" t="s">
        <v>546</v>
      </c>
      <c r="F140" s="373"/>
      <c r="G140" s="373"/>
    </row>
    <row r="141" spans="1:7" x14ac:dyDescent="0.25">
      <c r="A141" s="388" t="s">
        <v>547</v>
      </c>
      <c r="F141" s="373"/>
      <c r="G141" s="373"/>
    </row>
    <row r="142" spans="1:7" x14ac:dyDescent="0.25">
      <c r="A142" s="388" t="s">
        <v>548</v>
      </c>
      <c r="F142" s="373"/>
      <c r="G142" s="373"/>
    </row>
    <row r="143" spans="1:7" x14ac:dyDescent="0.25">
      <c r="A143" s="388" t="s">
        <v>549</v>
      </c>
      <c r="F143" s="373"/>
      <c r="G143" s="373"/>
    </row>
    <row r="144" spans="1:7" x14ac:dyDescent="0.25">
      <c r="A144" s="388" t="s">
        <v>550</v>
      </c>
      <c r="F144" s="373"/>
      <c r="G144" s="373"/>
    </row>
    <row r="145" spans="1:7" x14ac:dyDescent="0.25">
      <c r="A145" s="388" t="s">
        <v>551</v>
      </c>
      <c r="F145" s="373"/>
      <c r="G145" s="373"/>
    </row>
    <row r="146" spans="1:7" x14ac:dyDescent="0.25">
      <c r="A146" s="388" t="s">
        <v>552</v>
      </c>
      <c r="B146" s="377">
        <v>1</v>
      </c>
      <c r="F146" s="373"/>
      <c r="G146" s="373"/>
    </row>
    <row r="147" spans="1:7" x14ac:dyDescent="0.25">
      <c r="A147" s="388" t="s">
        <v>553</v>
      </c>
      <c r="B147" s="377">
        <v>1</v>
      </c>
      <c r="F147" s="373"/>
      <c r="G147" s="373"/>
    </row>
    <row r="148" spans="1:7" x14ac:dyDescent="0.25">
      <c r="A148" s="388" t="s">
        <v>554</v>
      </c>
      <c r="F148" s="373"/>
      <c r="G148" s="373"/>
    </row>
    <row r="149" spans="1:7" x14ac:dyDescent="0.25">
      <c r="A149" s="388" t="s">
        <v>555</v>
      </c>
      <c r="B149" s="377">
        <v>1</v>
      </c>
      <c r="F149" s="373"/>
      <c r="G149" s="373"/>
    </row>
    <row r="150" spans="1:7" x14ac:dyDescent="0.25">
      <c r="A150" s="388" t="s">
        <v>556</v>
      </c>
      <c r="B150" s="378" t="s">
        <v>170</v>
      </c>
      <c r="F150" s="373"/>
      <c r="G150" s="373"/>
    </row>
    <row r="151" spans="1:7" x14ac:dyDescent="0.25">
      <c r="A151" s="388" t="s">
        <v>557</v>
      </c>
      <c r="F151" s="373"/>
      <c r="G151" s="373"/>
    </row>
    <row r="152" spans="1:7" x14ac:dyDescent="0.25">
      <c r="A152" s="388" t="s">
        <v>558</v>
      </c>
      <c r="B152" s="377">
        <v>1</v>
      </c>
      <c r="F152" s="373"/>
      <c r="G152" s="373"/>
    </row>
    <row r="153" spans="1:7" x14ac:dyDescent="0.25">
      <c r="A153" s="388" t="s">
        <v>559</v>
      </c>
      <c r="F153" s="373"/>
      <c r="G153" s="373"/>
    </row>
    <row r="154" spans="1:7" x14ac:dyDescent="0.25">
      <c r="A154" s="388" t="s">
        <v>560</v>
      </c>
      <c r="F154" s="373"/>
      <c r="G154" s="373"/>
    </row>
    <row r="155" spans="1:7" x14ac:dyDescent="0.25">
      <c r="A155" s="388" t="s">
        <v>561</v>
      </c>
      <c r="F155" s="373"/>
      <c r="G155" s="373"/>
    </row>
    <row r="156" spans="1:7" x14ac:dyDescent="0.25">
      <c r="A156" s="388" t="s">
        <v>562</v>
      </c>
      <c r="F156" s="373"/>
      <c r="G156" s="373"/>
    </row>
    <row r="157" spans="1:7" x14ac:dyDescent="0.25">
      <c r="A157" s="388" t="s">
        <v>563</v>
      </c>
      <c r="F157" s="373"/>
      <c r="G157" s="373"/>
    </row>
    <row r="158" spans="1:7" x14ac:dyDescent="0.25">
      <c r="A158" s="388" t="s">
        <v>564</v>
      </c>
      <c r="B158" s="378" t="s">
        <v>170</v>
      </c>
      <c r="F158" s="373"/>
      <c r="G158" s="373"/>
    </row>
    <row r="159" spans="1:7" x14ac:dyDescent="0.25">
      <c r="A159" s="388" t="s">
        <v>565</v>
      </c>
      <c r="F159" s="373"/>
      <c r="G159" s="373"/>
    </row>
    <row r="160" spans="1:7" x14ac:dyDescent="0.25">
      <c r="A160" s="388" t="s">
        <v>566</v>
      </c>
      <c r="F160" s="373"/>
      <c r="G160" s="373"/>
    </row>
    <row r="161" spans="1:7" x14ac:dyDescent="0.25">
      <c r="A161" s="388" t="s">
        <v>567</v>
      </c>
      <c r="F161" s="373"/>
      <c r="G161" s="373"/>
    </row>
    <row r="162" spans="1:7" x14ac:dyDescent="0.25">
      <c r="A162" s="388" t="s">
        <v>568</v>
      </c>
      <c r="B162" s="377">
        <v>1</v>
      </c>
      <c r="F162" s="373"/>
      <c r="G162" s="373"/>
    </row>
    <row r="163" spans="1:7" x14ac:dyDescent="0.25">
      <c r="A163" s="388" t="s">
        <v>569</v>
      </c>
      <c r="B163" s="377">
        <v>1</v>
      </c>
      <c r="F163" s="373"/>
      <c r="G163" s="373"/>
    </row>
    <row r="164" spans="1:7" x14ac:dyDescent="0.25">
      <c r="A164" s="388" t="s">
        <v>570</v>
      </c>
      <c r="F164" s="373"/>
      <c r="G164" s="373"/>
    </row>
    <row r="165" spans="1:7" x14ac:dyDescent="0.25">
      <c r="A165" s="388" t="s">
        <v>571</v>
      </c>
      <c r="F165" s="373"/>
      <c r="G165" s="373"/>
    </row>
    <row r="166" spans="1:7" x14ac:dyDescent="0.25">
      <c r="A166" s="388" t="s">
        <v>572</v>
      </c>
      <c r="F166" s="373"/>
      <c r="G166" s="373"/>
    </row>
    <row r="167" spans="1:7" x14ac:dyDescent="0.25">
      <c r="A167" s="388" t="s">
        <v>573</v>
      </c>
      <c r="B167" s="378" t="s">
        <v>170</v>
      </c>
      <c r="F167" s="373"/>
      <c r="G167" s="373"/>
    </row>
    <row r="168" spans="1:7" x14ac:dyDescent="0.25">
      <c r="F168" s="373"/>
      <c r="G168" s="373"/>
    </row>
    <row r="169" spans="1:7" x14ac:dyDescent="0.25">
      <c r="A169" s="425" t="s">
        <v>574</v>
      </c>
      <c r="F169" s="373"/>
      <c r="G169" s="373"/>
    </row>
    <row r="170" spans="1:7" x14ac:dyDescent="0.25">
      <c r="A170" s="373" t="s">
        <v>575</v>
      </c>
      <c r="F170" s="373"/>
      <c r="G170" s="373"/>
    </row>
    <row r="171" spans="1:7" x14ac:dyDescent="0.25">
      <c r="A171" s="388" t="s">
        <v>576</v>
      </c>
      <c r="B171" s="378" t="s">
        <v>577</v>
      </c>
      <c r="F171" s="373"/>
      <c r="G171" s="373"/>
    </row>
    <row r="172" spans="1:7" x14ac:dyDescent="0.25">
      <c r="A172" s="373" t="s">
        <v>578</v>
      </c>
      <c r="F172" s="373"/>
      <c r="G172" s="373"/>
    </row>
    <row r="173" spans="1:7" x14ac:dyDescent="0.25">
      <c r="A173" s="388" t="s">
        <v>579</v>
      </c>
      <c r="F173" s="373"/>
      <c r="G173" s="373"/>
    </row>
    <row r="174" spans="1:7" x14ac:dyDescent="0.25">
      <c r="A174" s="373" t="s">
        <v>580</v>
      </c>
      <c r="B174" s="373"/>
      <c r="F174" s="373"/>
      <c r="G174" s="373"/>
    </row>
    <row r="175" spans="1:7" x14ac:dyDescent="0.25">
      <c r="A175" s="373" t="s">
        <v>581</v>
      </c>
      <c r="F175" s="373"/>
      <c r="G175" s="373"/>
    </row>
    <row r="176" spans="1:7" x14ac:dyDescent="0.25">
      <c r="A176" s="373" t="s">
        <v>582</v>
      </c>
      <c r="B176" s="426" t="s">
        <v>583</v>
      </c>
      <c r="F176" s="373"/>
      <c r="G176" s="373"/>
    </row>
    <row r="177" spans="1:7" x14ac:dyDescent="0.25">
      <c r="A177" s="388" t="s">
        <v>584</v>
      </c>
      <c r="B177" s="426" t="s">
        <v>585</v>
      </c>
      <c r="F177" s="373"/>
      <c r="G177" s="373"/>
    </row>
    <row r="178" spans="1:7" x14ac:dyDescent="0.25">
      <c r="A178" s="373" t="s">
        <v>586</v>
      </c>
      <c r="B178" s="388"/>
      <c r="F178" s="373"/>
      <c r="G178" s="373"/>
    </row>
    <row r="179" spans="1:7" x14ac:dyDescent="0.25">
      <c r="A179" s="373" t="s">
        <v>587</v>
      </c>
      <c r="F179" s="373"/>
      <c r="G179" s="373"/>
    </row>
    <row r="180" spans="1:7" x14ac:dyDescent="0.25">
      <c r="A180" s="373" t="s">
        <v>588</v>
      </c>
    </row>
    <row r="181" spans="1:7" x14ac:dyDescent="0.25">
      <c r="A181" s="373" t="s">
        <v>589</v>
      </c>
      <c r="F181" s="373"/>
      <c r="G181" s="373"/>
    </row>
    <row r="182" spans="1:7" x14ac:dyDescent="0.25">
      <c r="A182" s="373" t="s">
        <v>590</v>
      </c>
      <c r="F182" s="373"/>
      <c r="G182" s="373"/>
    </row>
    <row r="183" spans="1:7" x14ac:dyDescent="0.25">
      <c r="A183" s="373" t="s">
        <v>591</v>
      </c>
      <c r="F183" s="373"/>
      <c r="G183" s="373"/>
    </row>
    <row r="184" spans="1:7" x14ac:dyDescent="0.25">
      <c r="A184" s="373" t="s">
        <v>592</v>
      </c>
      <c r="F184" s="373"/>
      <c r="G184" s="373"/>
    </row>
    <row r="185" spans="1:7" x14ac:dyDescent="0.25">
      <c r="A185" s="373" t="s">
        <v>593</v>
      </c>
      <c r="B185" s="388"/>
    </row>
    <row r="186" spans="1:7" x14ac:dyDescent="0.25">
      <c r="A186" s="373" t="s">
        <v>594</v>
      </c>
      <c r="F186" s="373"/>
      <c r="G186" s="373"/>
    </row>
    <row r="187" spans="1:7" x14ac:dyDescent="0.25">
      <c r="A187" s="373" t="s">
        <v>595</v>
      </c>
      <c r="C187" s="388" t="s">
        <v>596</v>
      </c>
      <c r="F187" s="373"/>
      <c r="G187" s="373"/>
    </row>
    <row r="188" spans="1:7" x14ac:dyDescent="0.25">
      <c r="A188" s="373" t="s">
        <v>597</v>
      </c>
      <c r="C188" s="388"/>
      <c r="F188" s="373"/>
      <c r="G188" s="373"/>
    </row>
    <row r="189" spans="1:7" x14ac:dyDescent="0.25">
      <c r="A189" s="373" t="s">
        <v>598</v>
      </c>
      <c r="B189" s="373" t="s">
        <v>599</v>
      </c>
      <c r="F189" s="373"/>
      <c r="G189" s="373"/>
    </row>
    <row r="190" spans="1:7" x14ac:dyDescent="0.25">
      <c r="A190" s="373" t="s">
        <v>600</v>
      </c>
      <c r="F190" s="373"/>
      <c r="G190" s="373"/>
    </row>
    <row r="191" spans="1:7" x14ac:dyDescent="0.25">
      <c r="A191" s="373" t="s">
        <v>601</v>
      </c>
      <c r="F191" s="373"/>
      <c r="G191" s="373"/>
    </row>
    <row r="192" spans="1:7" x14ac:dyDescent="0.25">
      <c r="A192" s="373" t="s">
        <v>602</v>
      </c>
    </row>
    <row r="193" spans="1:7" x14ac:dyDescent="0.25">
      <c r="A193" s="373" t="s">
        <v>603</v>
      </c>
      <c r="B193" s="388"/>
      <c r="F193" s="373"/>
      <c r="G193" s="373"/>
    </row>
    <row r="194" spans="1:7" x14ac:dyDescent="0.25">
      <c r="A194" s="373" t="s">
        <v>604</v>
      </c>
      <c r="B194" s="388"/>
      <c r="F194" s="373"/>
      <c r="G194" s="373"/>
    </row>
    <row r="195" spans="1:7" x14ac:dyDescent="0.25">
      <c r="A195" s="373" t="s">
        <v>605</v>
      </c>
      <c r="B195" s="388"/>
      <c r="F195" s="373"/>
      <c r="G195" s="373"/>
    </row>
    <row r="196" spans="1:7" x14ac:dyDescent="0.25">
      <c r="A196" s="373" t="s">
        <v>606</v>
      </c>
      <c r="F196" s="373"/>
      <c r="G196" s="373"/>
    </row>
    <row r="197" spans="1:7" x14ac:dyDescent="0.25">
      <c r="F197" s="373"/>
      <c r="G197" s="373"/>
    </row>
    <row r="198" spans="1:7" x14ac:dyDescent="0.25">
      <c r="A198" s="425" t="s">
        <v>607</v>
      </c>
      <c r="E198" s="426"/>
      <c r="F198" s="373"/>
      <c r="G198" s="373"/>
    </row>
    <row r="199" spans="1:7" x14ac:dyDescent="0.25">
      <c r="A199" s="388" t="s">
        <v>608</v>
      </c>
      <c r="E199" s="427"/>
      <c r="F199" s="373"/>
      <c r="G199" s="373"/>
    </row>
    <row r="200" spans="1:7" x14ac:dyDescent="0.25">
      <c r="A200" s="388" t="s">
        <v>609</v>
      </c>
      <c r="E200" s="427"/>
      <c r="F200" s="373"/>
      <c r="G200" s="373"/>
    </row>
    <row r="201" spans="1:7" x14ac:dyDescent="0.25">
      <c r="A201" s="388" t="s">
        <v>610</v>
      </c>
      <c r="E201" s="427"/>
      <c r="F201" s="373"/>
      <c r="G201" s="373"/>
    </row>
    <row r="202" spans="1:7" x14ac:dyDescent="0.25">
      <c r="A202" s="388" t="s">
        <v>611</v>
      </c>
      <c r="E202" s="427"/>
      <c r="F202" s="373"/>
      <c r="G202" s="373"/>
    </row>
    <row r="203" spans="1:7" x14ac:dyDescent="0.25">
      <c r="A203" s="373" t="s">
        <v>612</v>
      </c>
      <c r="E203" s="427"/>
      <c r="F203" s="373"/>
      <c r="G203" s="373"/>
    </row>
    <row r="204" spans="1:7" x14ac:dyDescent="0.25">
      <c r="D204" s="426"/>
      <c r="E204" s="427"/>
      <c r="F204" s="373"/>
      <c r="G204" s="373"/>
    </row>
    <row r="205" spans="1:7" x14ac:dyDescent="0.25">
      <c r="A205" s="424" t="s">
        <v>613</v>
      </c>
      <c r="D205" s="426"/>
      <c r="E205" s="426"/>
      <c r="F205" s="373"/>
      <c r="G205" s="373"/>
    </row>
    <row r="206" spans="1:7" x14ac:dyDescent="0.25">
      <c r="A206" s="388" t="s">
        <v>614</v>
      </c>
      <c r="D206" s="426"/>
      <c r="E206" s="427"/>
    </row>
    <row r="207" spans="1:7" x14ac:dyDescent="0.25">
      <c r="A207" s="388" t="s">
        <v>615</v>
      </c>
      <c r="D207" s="426"/>
      <c r="E207" s="427"/>
      <c r="F207" s="373"/>
      <c r="G207" s="373"/>
    </row>
    <row r="208" spans="1:7" x14ac:dyDescent="0.25">
      <c r="A208" s="388" t="s">
        <v>616</v>
      </c>
      <c r="D208" s="426"/>
      <c r="E208" s="427"/>
      <c r="F208" s="373"/>
      <c r="G208" s="373"/>
    </row>
    <row r="209" spans="1:7" x14ac:dyDescent="0.25">
      <c r="F209" s="373"/>
      <c r="G209" s="373"/>
    </row>
    <row r="210" spans="1:7" x14ac:dyDescent="0.25">
      <c r="A210" s="425" t="s">
        <v>617</v>
      </c>
      <c r="F210" s="373"/>
      <c r="G210" s="373"/>
    </row>
    <row r="211" spans="1:7" x14ac:dyDescent="0.25">
      <c r="A211" s="388" t="s">
        <v>618</v>
      </c>
      <c r="F211" s="373"/>
      <c r="G211" s="373"/>
    </row>
    <row r="212" spans="1:7" x14ac:dyDescent="0.25">
      <c r="A212" s="388" t="s">
        <v>619</v>
      </c>
      <c r="F212" s="373"/>
      <c r="G212" s="373"/>
    </row>
    <row r="213" spans="1:7" x14ac:dyDescent="0.25">
      <c r="A213" s="388" t="s">
        <v>620</v>
      </c>
    </row>
    <row r="214" spans="1:7" x14ac:dyDescent="0.25">
      <c r="A214" s="388" t="s">
        <v>621</v>
      </c>
    </row>
    <row r="215" spans="1:7" x14ac:dyDescent="0.25">
      <c r="A215" s="388" t="s">
        <v>622</v>
      </c>
    </row>
    <row r="216" spans="1:7" x14ac:dyDescent="0.25">
      <c r="A216" s="388" t="s">
        <v>623</v>
      </c>
    </row>
    <row r="217" spans="1:7" x14ac:dyDescent="0.25">
      <c r="A217" s="388" t="s">
        <v>624</v>
      </c>
    </row>
    <row r="218" spans="1:7" x14ac:dyDescent="0.25">
      <c r="A218" s="388" t="s">
        <v>625</v>
      </c>
    </row>
    <row r="219" spans="1:7" x14ac:dyDescent="0.25">
      <c r="A219" s="388" t="s">
        <v>626</v>
      </c>
    </row>
    <row r="220" spans="1:7" ht="15.75" thickBot="1" x14ac:dyDescent="0.3"/>
    <row r="221" spans="1:7" x14ac:dyDescent="0.25">
      <c r="A221" s="428" t="s">
        <v>627</v>
      </c>
      <c r="B221" s="429"/>
      <c r="C221" s="430" t="s">
        <v>628</v>
      </c>
      <c r="D221" s="431" t="s">
        <v>629</v>
      </c>
      <c r="E221" s="432"/>
      <c r="F221" s="433"/>
      <c r="G221" s="373"/>
    </row>
    <row r="222" spans="1:7" x14ac:dyDescent="0.25">
      <c r="A222" s="434" t="s">
        <v>630</v>
      </c>
      <c r="B222" s="435" t="s">
        <v>631</v>
      </c>
      <c r="C222" s="436" t="s">
        <v>632</v>
      </c>
      <c r="D222" s="437" t="s">
        <v>633</v>
      </c>
      <c r="E222" s="437"/>
      <c r="F222" s="438"/>
      <c r="G222" s="373"/>
    </row>
    <row r="223" spans="1:7" x14ac:dyDescent="0.25">
      <c r="A223" s="434" t="s">
        <v>634</v>
      </c>
      <c r="B223" s="435" t="s">
        <v>631</v>
      </c>
      <c r="C223" s="436" t="s">
        <v>635</v>
      </c>
      <c r="D223" s="437" t="s">
        <v>636</v>
      </c>
      <c r="E223" s="437"/>
      <c r="F223" s="438"/>
      <c r="G223" s="373"/>
    </row>
    <row r="224" spans="1:7" x14ac:dyDescent="0.25">
      <c r="A224" s="434" t="s">
        <v>637</v>
      </c>
      <c r="B224" s="435" t="s">
        <v>631</v>
      </c>
      <c r="C224" s="436" t="s">
        <v>635</v>
      </c>
      <c r="D224" s="437" t="s">
        <v>638</v>
      </c>
      <c r="E224" s="437"/>
      <c r="F224" s="438"/>
      <c r="G224" s="373"/>
    </row>
    <row r="225" spans="1:7" x14ac:dyDescent="0.25">
      <c r="A225" s="434" t="s">
        <v>639</v>
      </c>
      <c r="B225" s="439" t="s">
        <v>631</v>
      </c>
      <c r="C225" s="436" t="s">
        <v>635</v>
      </c>
      <c r="D225" s="437" t="s">
        <v>640</v>
      </c>
      <c r="E225" s="437"/>
      <c r="F225" s="438"/>
      <c r="G225" s="373"/>
    </row>
    <row r="226" spans="1:7" x14ac:dyDescent="0.25">
      <c r="A226" s="434" t="s">
        <v>641</v>
      </c>
      <c r="B226" s="435" t="s">
        <v>631</v>
      </c>
      <c r="C226" s="436" t="s">
        <v>642</v>
      </c>
      <c r="D226" s="437" t="s">
        <v>643</v>
      </c>
      <c r="E226" s="437"/>
      <c r="F226" s="438"/>
      <c r="G226" s="373"/>
    </row>
    <row r="227" spans="1:7" x14ac:dyDescent="0.25">
      <c r="A227" s="434" t="s">
        <v>644</v>
      </c>
      <c r="B227" s="435" t="s">
        <v>631</v>
      </c>
      <c r="C227" s="436" t="s">
        <v>645</v>
      </c>
      <c r="D227" s="437" t="s">
        <v>646</v>
      </c>
      <c r="E227" s="437"/>
      <c r="F227" s="438"/>
      <c r="G227" s="373"/>
    </row>
    <row r="228" spans="1:7" x14ac:dyDescent="0.25">
      <c r="A228" s="434" t="s">
        <v>647</v>
      </c>
      <c r="B228" s="435" t="s">
        <v>631</v>
      </c>
      <c r="C228" s="436" t="s">
        <v>648</v>
      </c>
      <c r="D228" s="437" t="s">
        <v>649</v>
      </c>
      <c r="E228" s="437"/>
      <c r="F228" s="438"/>
      <c r="G228" s="373"/>
    </row>
    <row r="229" spans="1:7" x14ac:dyDescent="0.25">
      <c r="A229" s="434" t="s">
        <v>642</v>
      </c>
      <c r="B229" s="435" t="s">
        <v>631</v>
      </c>
      <c r="C229" s="436" t="s">
        <v>650</v>
      </c>
      <c r="D229" s="437" t="s">
        <v>651</v>
      </c>
      <c r="E229" s="437"/>
      <c r="F229" s="438"/>
      <c r="G229" s="373"/>
    </row>
    <row r="230" spans="1:7" x14ac:dyDescent="0.25">
      <c r="A230" s="434" t="s">
        <v>652</v>
      </c>
      <c r="B230" s="435" t="s">
        <v>631</v>
      </c>
      <c r="C230" s="436" t="s">
        <v>650</v>
      </c>
      <c r="D230" s="437" t="s">
        <v>653</v>
      </c>
      <c r="E230" s="437"/>
      <c r="F230" s="438"/>
      <c r="G230" s="373"/>
    </row>
    <row r="231" spans="1:7" x14ac:dyDescent="0.25">
      <c r="A231" s="434" t="s">
        <v>654</v>
      </c>
      <c r="B231" s="435" t="s">
        <v>631</v>
      </c>
      <c r="C231" s="436" t="s">
        <v>650</v>
      </c>
      <c r="D231" s="437" t="s">
        <v>655</v>
      </c>
      <c r="E231" s="437"/>
      <c r="F231" s="438"/>
      <c r="G231" s="373"/>
    </row>
    <row r="232" spans="1:7" x14ac:dyDescent="0.25">
      <c r="A232" s="434" t="s">
        <v>656</v>
      </c>
      <c r="B232" s="435" t="s">
        <v>631</v>
      </c>
      <c r="C232" s="436" t="s">
        <v>637</v>
      </c>
      <c r="D232" s="439" t="s">
        <v>657</v>
      </c>
      <c r="E232" s="437"/>
      <c r="F232" s="438"/>
      <c r="G232" s="373"/>
    </row>
    <row r="233" spans="1:7" x14ac:dyDescent="0.25">
      <c r="A233" s="434" t="s">
        <v>658</v>
      </c>
      <c r="B233" s="435" t="s">
        <v>631</v>
      </c>
      <c r="C233" s="436" t="s">
        <v>637</v>
      </c>
      <c r="D233" s="437" t="s">
        <v>659</v>
      </c>
      <c r="E233" s="437"/>
      <c r="F233" s="438"/>
      <c r="G233" s="373"/>
    </row>
    <row r="234" spans="1:7" x14ac:dyDescent="0.25">
      <c r="A234" s="434" t="s">
        <v>660</v>
      </c>
      <c r="B234" s="435" t="s">
        <v>661</v>
      </c>
      <c r="C234" s="436" t="s">
        <v>662</v>
      </c>
      <c r="D234" s="437" t="s">
        <v>663</v>
      </c>
      <c r="E234" s="437"/>
      <c r="F234" s="438"/>
      <c r="G234" s="373"/>
    </row>
    <row r="235" spans="1:7" x14ac:dyDescent="0.25">
      <c r="A235" s="434" t="s">
        <v>664</v>
      </c>
      <c r="B235" s="435" t="s">
        <v>661</v>
      </c>
      <c r="C235" s="436" t="s">
        <v>639</v>
      </c>
      <c r="D235" s="437" t="s">
        <v>665</v>
      </c>
      <c r="E235" s="437"/>
      <c r="F235" s="438"/>
      <c r="G235" s="373"/>
    </row>
    <row r="236" spans="1:7" x14ac:dyDescent="0.25">
      <c r="A236" s="434" t="s">
        <v>666</v>
      </c>
      <c r="B236" s="435" t="s">
        <v>667</v>
      </c>
      <c r="C236" s="436" t="s">
        <v>647</v>
      </c>
      <c r="D236" s="437" t="s">
        <v>668</v>
      </c>
      <c r="E236" s="437"/>
      <c r="F236" s="438"/>
      <c r="G236" s="373"/>
    </row>
    <row r="237" spans="1:7" x14ac:dyDescent="0.25">
      <c r="A237" s="434" t="s">
        <v>662</v>
      </c>
      <c r="B237" s="439" t="s">
        <v>667</v>
      </c>
      <c r="C237" s="436" t="s">
        <v>664</v>
      </c>
      <c r="D237" s="437" t="s">
        <v>669</v>
      </c>
      <c r="E237" s="437"/>
      <c r="F237" s="438"/>
      <c r="G237" s="373"/>
    </row>
    <row r="238" spans="1:7" x14ac:dyDescent="0.25">
      <c r="A238" s="434" t="s">
        <v>648</v>
      </c>
      <c r="B238" s="439" t="s">
        <v>667</v>
      </c>
      <c r="C238" s="436" t="s">
        <v>664</v>
      </c>
      <c r="D238" s="437" t="s">
        <v>670</v>
      </c>
      <c r="E238" s="437"/>
      <c r="F238" s="438"/>
      <c r="G238" s="373"/>
    </row>
    <row r="239" spans="1:7" x14ac:dyDescent="0.25">
      <c r="A239" s="434" t="s">
        <v>671</v>
      </c>
      <c r="B239" s="439" t="s">
        <v>667</v>
      </c>
      <c r="C239" s="436" t="s">
        <v>644</v>
      </c>
      <c r="D239" s="437" t="s">
        <v>672</v>
      </c>
      <c r="E239" s="437"/>
      <c r="F239" s="438"/>
      <c r="G239" s="373"/>
    </row>
    <row r="240" spans="1:7" x14ac:dyDescent="0.25">
      <c r="A240" s="434" t="s">
        <v>673</v>
      </c>
      <c r="B240" s="435" t="s">
        <v>667</v>
      </c>
      <c r="C240" s="436" t="s">
        <v>673</v>
      </c>
      <c r="D240" s="437" t="s">
        <v>674</v>
      </c>
      <c r="E240" s="437"/>
      <c r="F240" s="438"/>
      <c r="G240" s="373"/>
    </row>
    <row r="241" spans="1:7" x14ac:dyDescent="0.25">
      <c r="A241" s="434" t="s">
        <v>675</v>
      </c>
      <c r="B241" s="435" t="s">
        <v>667</v>
      </c>
      <c r="C241" s="436" t="s">
        <v>634</v>
      </c>
      <c r="D241" s="437" t="s">
        <v>676</v>
      </c>
      <c r="E241" s="437"/>
      <c r="F241" s="438"/>
      <c r="G241" s="373"/>
    </row>
    <row r="242" spans="1:7" x14ac:dyDescent="0.25">
      <c r="A242" s="434" t="s">
        <v>677</v>
      </c>
      <c r="B242" s="435" t="s">
        <v>667</v>
      </c>
      <c r="C242" s="436" t="s">
        <v>639</v>
      </c>
      <c r="D242" s="437" t="s">
        <v>678</v>
      </c>
      <c r="E242" s="437"/>
      <c r="F242" s="438"/>
      <c r="G242" s="373"/>
    </row>
    <row r="243" spans="1:7" x14ac:dyDescent="0.25">
      <c r="A243" s="434" t="s">
        <v>679</v>
      </c>
      <c r="B243" s="439" t="s">
        <v>667</v>
      </c>
      <c r="C243" s="436" t="s">
        <v>641</v>
      </c>
      <c r="D243" s="437" t="s">
        <v>680</v>
      </c>
      <c r="E243" s="437"/>
      <c r="F243" s="438"/>
      <c r="G243" s="373"/>
    </row>
    <row r="244" spans="1:7" x14ac:dyDescent="0.25">
      <c r="A244" s="434" t="s">
        <v>681</v>
      </c>
      <c r="B244" s="435" t="s">
        <v>667</v>
      </c>
      <c r="C244" s="436" t="s">
        <v>641</v>
      </c>
      <c r="D244" s="437" t="s">
        <v>682</v>
      </c>
      <c r="E244" s="437"/>
      <c r="F244" s="438"/>
      <c r="G244" s="373"/>
    </row>
    <row r="245" spans="1:7" x14ac:dyDescent="0.25">
      <c r="A245" s="434" t="s">
        <v>683</v>
      </c>
      <c r="B245" s="435" t="s">
        <v>684</v>
      </c>
      <c r="C245" s="436" t="s">
        <v>630</v>
      </c>
      <c r="D245" s="437" t="s">
        <v>685</v>
      </c>
      <c r="E245" s="437"/>
      <c r="F245" s="438"/>
      <c r="G245" s="373"/>
    </row>
    <row r="246" spans="1:7" x14ac:dyDescent="0.25">
      <c r="A246" s="434" t="s">
        <v>632</v>
      </c>
      <c r="B246" s="435" t="s">
        <v>684</v>
      </c>
      <c r="C246" s="436" t="s">
        <v>630</v>
      </c>
      <c r="D246" s="437" t="s">
        <v>686</v>
      </c>
      <c r="E246" s="437"/>
      <c r="F246" s="438"/>
      <c r="G246" s="373"/>
    </row>
    <row r="247" spans="1:7" x14ac:dyDescent="0.25">
      <c r="A247" s="434" t="s">
        <v>687</v>
      </c>
      <c r="B247" s="435" t="s">
        <v>684</v>
      </c>
      <c r="C247" s="436" t="s">
        <v>630</v>
      </c>
      <c r="D247" s="437" t="s">
        <v>688</v>
      </c>
      <c r="E247" s="437"/>
      <c r="F247" s="438"/>
      <c r="G247" s="373"/>
    </row>
    <row r="248" spans="1:7" x14ac:dyDescent="0.25">
      <c r="A248" s="434" t="s">
        <v>689</v>
      </c>
      <c r="B248" s="435" t="s">
        <v>684</v>
      </c>
      <c r="C248" s="436" t="s">
        <v>652</v>
      </c>
      <c r="D248" s="437" t="s">
        <v>690</v>
      </c>
      <c r="E248" s="437"/>
      <c r="F248" s="438"/>
      <c r="G248" s="373"/>
    </row>
    <row r="249" spans="1:7" x14ac:dyDescent="0.25">
      <c r="A249" s="434" t="s">
        <v>645</v>
      </c>
      <c r="B249" s="435" t="s">
        <v>684</v>
      </c>
      <c r="C249" s="436" t="s">
        <v>656</v>
      </c>
      <c r="D249" s="437" t="s">
        <v>691</v>
      </c>
      <c r="E249" s="437"/>
      <c r="F249" s="438"/>
      <c r="G249" s="373"/>
    </row>
    <row r="250" spans="1:7" x14ac:dyDescent="0.25">
      <c r="A250" s="434" t="s">
        <v>692</v>
      </c>
      <c r="B250" s="435" t="s">
        <v>684</v>
      </c>
      <c r="C250" s="436" t="s">
        <v>656</v>
      </c>
      <c r="D250" s="437" t="s">
        <v>693</v>
      </c>
      <c r="E250" s="437"/>
      <c r="F250" s="438"/>
      <c r="G250" s="373"/>
    </row>
    <row r="251" spans="1:7" x14ac:dyDescent="0.25">
      <c r="A251" s="434" t="s">
        <v>694</v>
      </c>
      <c r="B251" s="435" t="s">
        <v>684</v>
      </c>
      <c r="C251" s="436" t="s">
        <v>656</v>
      </c>
      <c r="D251" s="437" t="s">
        <v>695</v>
      </c>
      <c r="E251" s="437"/>
      <c r="F251" s="438"/>
      <c r="G251" s="373"/>
    </row>
    <row r="252" spans="1:7" x14ac:dyDescent="0.25">
      <c r="A252" s="434" t="s">
        <v>696</v>
      </c>
      <c r="B252" s="435" t="s">
        <v>696</v>
      </c>
      <c r="C252" s="436" t="s">
        <v>660</v>
      </c>
      <c r="D252" s="437" t="s">
        <v>697</v>
      </c>
      <c r="E252" s="437"/>
      <c r="F252" s="438"/>
      <c r="G252" s="373"/>
    </row>
    <row r="253" spans="1:7" x14ac:dyDescent="0.25">
      <c r="A253" s="434" t="s">
        <v>635</v>
      </c>
      <c r="B253" s="435" t="s">
        <v>635</v>
      </c>
      <c r="C253" s="436" t="s">
        <v>660</v>
      </c>
      <c r="D253" s="437" t="s">
        <v>698</v>
      </c>
      <c r="E253" s="437"/>
      <c r="F253" s="438"/>
      <c r="G253" s="373"/>
    </row>
    <row r="254" spans="1:7" ht="15.75" thickBot="1" x14ac:dyDescent="0.3">
      <c r="A254" s="440" t="s">
        <v>650</v>
      </c>
      <c r="B254" s="441" t="s">
        <v>650</v>
      </c>
      <c r="C254" s="436" t="s">
        <v>660</v>
      </c>
      <c r="D254" s="437" t="s">
        <v>699</v>
      </c>
      <c r="E254" s="437"/>
      <c r="F254" s="438"/>
      <c r="G254" s="373"/>
    </row>
    <row r="255" spans="1:7" x14ac:dyDescent="0.25">
      <c r="C255" s="436" t="s">
        <v>634</v>
      </c>
      <c r="D255" s="437" t="s">
        <v>700</v>
      </c>
      <c r="E255" s="437"/>
      <c r="F255" s="438"/>
      <c r="G255" s="373"/>
    </row>
    <row r="256" spans="1:7" x14ac:dyDescent="0.25">
      <c r="C256" s="436" t="s">
        <v>634</v>
      </c>
      <c r="D256" s="437" t="s">
        <v>701</v>
      </c>
      <c r="E256" s="437"/>
      <c r="F256" s="438"/>
      <c r="G256" s="373"/>
    </row>
    <row r="257" spans="2:7" x14ac:dyDescent="0.25">
      <c r="C257" s="436" t="s">
        <v>634</v>
      </c>
      <c r="D257" s="437" t="s">
        <v>702</v>
      </c>
      <c r="E257" s="437"/>
      <c r="F257" s="438"/>
      <c r="G257" s="373"/>
    </row>
    <row r="258" spans="2:7" x14ac:dyDescent="0.25">
      <c r="C258" s="436" t="s">
        <v>658</v>
      </c>
      <c r="D258" s="437" t="s">
        <v>703</v>
      </c>
      <c r="E258" s="437"/>
      <c r="F258" s="438"/>
      <c r="G258" s="373"/>
    </row>
    <row r="259" spans="2:7" x14ac:dyDescent="0.25">
      <c r="C259" s="436" t="s">
        <v>639</v>
      </c>
      <c r="D259" s="437" t="s">
        <v>704</v>
      </c>
      <c r="E259" s="437"/>
      <c r="F259" s="438"/>
      <c r="G259" s="373"/>
    </row>
    <row r="260" spans="2:7" x14ac:dyDescent="0.25">
      <c r="C260" s="436" t="s">
        <v>654</v>
      </c>
      <c r="D260" s="437" t="s">
        <v>705</v>
      </c>
      <c r="E260" s="437"/>
      <c r="F260" s="438"/>
      <c r="G260" s="373"/>
    </row>
    <row r="261" spans="2:7" x14ac:dyDescent="0.25">
      <c r="C261" s="436" t="s">
        <v>662</v>
      </c>
      <c r="D261" s="437" t="s">
        <v>706</v>
      </c>
      <c r="E261" s="437"/>
      <c r="F261" s="438"/>
      <c r="G261" s="373"/>
    </row>
    <row r="262" spans="2:7" x14ac:dyDescent="0.25">
      <c r="C262" s="436" t="s">
        <v>635</v>
      </c>
      <c r="D262" s="437" t="s">
        <v>707</v>
      </c>
      <c r="E262" s="437"/>
      <c r="F262" s="438"/>
      <c r="G262" s="373"/>
    </row>
    <row r="263" spans="2:7" x14ac:dyDescent="0.25">
      <c r="C263" s="436" t="s">
        <v>635</v>
      </c>
      <c r="D263" s="437" t="s">
        <v>708</v>
      </c>
      <c r="E263" s="437"/>
      <c r="F263" s="438"/>
      <c r="G263" s="373"/>
    </row>
    <row r="264" spans="2:7" x14ac:dyDescent="0.25">
      <c r="B264" s="373"/>
      <c r="C264" s="436" t="s">
        <v>648</v>
      </c>
      <c r="D264" s="437" t="s">
        <v>709</v>
      </c>
      <c r="E264" s="437"/>
      <c r="F264" s="438"/>
      <c r="G264" s="373"/>
    </row>
    <row r="265" spans="2:7" x14ac:dyDescent="0.25">
      <c r="B265" s="373"/>
      <c r="C265" s="436" t="s">
        <v>648</v>
      </c>
      <c r="D265" s="437" t="s">
        <v>710</v>
      </c>
      <c r="E265" s="437"/>
      <c r="F265" s="438"/>
      <c r="G265" s="373"/>
    </row>
    <row r="266" spans="2:7" x14ac:dyDescent="0.25">
      <c r="B266" s="373"/>
      <c r="C266" s="436" t="s">
        <v>679</v>
      </c>
      <c r="D266" s="437" t="s">
        <v>711</v>
      </c>
      <c r="E266" s="437"/>
      <c r="F266" s="438"/>
      <c r="G266" s="373"/>
    </row>
    <row r="267" spans="2:7" x14ac:dyDescent="0.25">
      <c r="B267" s="373"/>
      <c r="C267" s="436" t="s">
        <v>677</v>
      </c>
      <c r="D267" s="437" t="s">
        <v>712</v>
      </c>
      <c r="E267" s="437"/>
      <c r="F267" s="438"/>
      <c r="G267" s="373"/>
    </row>
    <row r="268" spans="2:7" x14ac:dyDescent="0.25">
      <c r="B268" s="373"/>
      <c r="C268" s="436" t="s">
        <v>677</v>
      </c>
      <c r="D268" s="437" t="s">
        <v>713</v>
      </c>
      <c r="E268" s="437"/>
      <c r="F268" s="438"/>
      <c r="G268" s="373"/>
    </row>
    <row r="269" spans="2:7" x14ac:dyDescent="0.25">
      <c r="B269" s="373"/>
      <c r="C269" s="436" t="s">
        <v>677</v>
      </c>
      <c r="D269" s="437" t="s">
        <v>714</v>
      </c>
      <c r="E269" s="437"/>
      <c r="F269" s="438"/>
      <c r="G269" s="373"/>
    </row>
    <row r="270" spans="2:7" x14ac:dyDescent="0.25">
      <c r="B270" s="373"/>
      <c r="C270" s="436" t="s">
        <v>666</v>
      </c>
      <c r="D270" s="437" t="s">
        <v>715</v>
      </c>
      <c r="E270" s="437"/>
      <c r="F270" s="438"/>
      <c r="G270" s="373"/>
    </row>
    <row r="271" spans="2:7" x14ac:dyDescent="0.25">
      <c r="B271" s="373"/>
      <c r="C271" s="436" t="s">
        <v>666</v>
      </c>
      <c r="D271" s="437" t="s">
        <v>716</v>
      </c>
      <c r="E271" s="437"/>
      <c r="F271" s="438"/>
      <c r="G271" s="373"/>
    </row>
    <row r="272" spans="2:7" x14ac:dyDescent="0.25">
      <c r="B272" s="373"/>
      <c r="C272" s="436" t="s">
        <v>666</v>
      </c>
      <c r="D272" s="437" t="s">
        <v>717</v>
      </c>
      <c r="E272" s="437"/>
      <c r="F272" s="438"/>
      <c r="G272" s="373"/>
    </row>
    <row r="273" spans="2:7" x14ac:dyDescent="0.25">
      <c r="B273" s="373"/>
      <c r="C273" s="436" t="s">
        <v>671</v>
      </c>
      <c r="D273" s="437" t="s">
        <v>718</v>
      </c>
      <c r="E273" s="437"/>
      <c r="F273" s="438"/>
      <c r="G273" s="373"/>
    </row>
    <row r="274" spans="2:7" x14ac:dyDescent="0.25">
      <c r="B274" s="373"/>
      <c r="C274" s="436" t="s">
        <v>671</v>
      </c>
      <c r="D274" s="437" t="s">
        <v>719</v>
      </c>
      <c r="E274" s="437"/>
      <c r="F274" s="438"/>
      <c r="G274" s="373"/>
    </row>
    <row r="275" spans="2:7" x14ac:dyDescent="0.25">
      <c r="B275" s="373"/>
      <c r="C275" s="436" t="s">
        <v>671</v>
      </c>
      <c r="D275" s="437" t="s">
        <v>720</v>
      </c>
      <c r="E275" s="437"/>
      <c r="F275" s="438"/>
      <c r="G275" s="373"/>
    </row>
    <row r="276" spans="2:7" x14ac:dyDescent="0.25">
      <c r="B276" s="373"/>
      <c r="C276" s="436" t="s">
        <v>675</v>
      </c>
      <c r="D276" s="437" t="s">
        <v>721</v>
      </c>
      <c r="E276" s="437"/>
      <c r="F276" s="438"/>
      <c r="G276" s="373"/>
    </row>
    <row r="277" spans="2:7" x14ac:dyDescent="0.25">
      <c r="B277" s="373"/>
      <c r="C277" s="436" t="s">
        <v>675</v>
      </c>
      <c r="D277" s="437" t="s">
        <v>722</v>
      </c>
      <c r="E277" s="437"/>
      <c r="F277" s="438"/>
      <c r="G277" s="373"/>
    </row>
    <row r="278" spans="2:7" x14ac:dyDescent="0.25">
      <c r="B278" s="373"/>
      <c r="C278" s="436" t="s">
        <v>675</v>
      </c>
      <c r="D278" s="437" t="s">
        <v>723</v>
      </c>
      <c r="E278" s="437"/>
      <c r="F278" s="438"/>
      <c r="G278" s="373"/>
    </row>
    <row r="279" spans="2:7" x14ac:dyDescent="0.25">
      <c r="B279" s="373"/>
      <c r="C279" s="436" t="s">
        <v>692</v>
      </c>
      <c r="D279" s="437" t="s">
        <v>724</v>
      </c>
      <c r="E279" s="437"/>
      <c r="F279" s="438"/>
      <c r="G279" s="373"/>
    </row>
    <row r="280" spans="2:7" x14ac:dyDescent="0.25">
      <c r="B280" s="373"/>
      <c r="C280" s="436" t="s">
        <v>681</v>
      </c>
      <c r="D280" s="437" t="s">
        <v>725</v>
      </c>
      <c r="E280" s="437"/>
      <c r="F280" s="438"/>
      <c r="G280" s="373"/>
    </row>
    <row r="281" spans="2:7" x14ac:dyDescent="0.25">
      <c r="B281" s="373"/>
      <c r="C281" s="436" t="s">
        <v>681</v>
      </c>
      <c r="D281" s="437" t="s">
        <v>726</v>
      </c>
      <c r="E281" s="437"/>
      <c r="F281" s="438"/>
      <c r="G281" s="373"/>
    </row>
    <row r="282" spans="2:7" x14ac:dyDescent="0.25">
      <c r="B282" s="373"/>
      <c r="C282" s="436" t="s">
        <v>681</v>
      </c>
      <c r="D282" s="437" t="s">
        <v>727</v>
      </c>
      <c r="E282" s="437"/>
      <c r="F282" s="438"/>
      <c r="G282" s="373"/>
    </row>
    <row r="283" spans="2:7" x14ac:dyDescent="0.25">
      <c r="B283" s="373"/>
      <c r="C283" s="436" t="s">
        <v>681</v>
      </c>
      <c r="D283" s="437" t="s">
        <v>728</v>
      </c>
      <c r="E283" s="437"/>
      <c r="F283" s="438"/>
      <c r="G283" s="373"/>
    </row>
    <row r="284" spans="2:7" x14ac:dyDescent="0.25">
      <c r="B284" s="373"/>
      <c r="C284" s="436" t="s">
        <v>681</v>
      </c>
      <c r="D284" s="437" t="s">
        <v>729</v>
      </c>
      <c r="E284" s="437"/>
      <c r="F284" s="438"/>
      <c r="G284" s="373"/>
    </row>
    <row r="285" spans="2:7" x14ac:dyDescent="0.25">
      <c r="B285" s="373"/>
      <c r="C285" s="436" t="s">
        <v>681</v>
      </c>
      <c r="D285" s="437" t="s">
        <v>730</v>
      </c>
      <c r="E285" s="437"/>
      <c r="F285" s="438"/>
      <c r="G285" s="373"/>
    </row>
    <row r="286" spans="2:7" x14ac:dyDescent="0.25">
      <c r="B286" s="373"/>
      <c r="C286" s="436" t="s">
        <v>662</v>
      </c>
      <c r="D286" s="437" t="s">
        <v>731</v>
      </c>
      <c r="E286" s="437"/>
      <c r="F286" s="438"/>
      <c r="G286" s="373"/>
    </row>
    <row r="287" spans="2:7" x14ac:dyDescent="0.25">
      <c r="B287" s="373"/>
      <c r="C287" s="436" t="s">
        <v>662</v>
      </c>
      <c r="D287" s="437" t="s">
        <v>732</v>
      </c>
      <c r="E287" s="437"/>
      <c r="F287" s="438"/>
      <c r="G287" s="373"/>
    </row>
    <row r="288" spans="2:7" x14ac:dyDescent="0.25">
      <c r="B288" s="373"/>
      <c r="C288" s="436" t="s">
        <v>662</v>
      </c>
      <c r="D288" s="437" t="s">
        <v>733</v>
      </c>
      <c r="E288" s="437"/>
      <c r="F288" s="438"/>
      <c r="G288" s="373"/>
    </row>
    <row r="289" spans="1:7" x14ac:dyDescent="0.25">
      <c r="B289" s="373"/>
      <c r="C289" s="436" t="s">
        <v>645</v>
      </c>
      <c r="D289" s="437" t="s">
        <v>734</v>
      </c>
      <c r="E289" s="437"/>
      <c r="F289" s="438"/>
      <c r="G289" s="373"/>
    </row>
    <row r="290" spans="1:7" x14ac:dyDescent="0.25">
      <c r="B290" s="373"/>
      <c r="C290" s="436" t="s">
        <v>645</v>
      </c>
      <c r="D290" s="437" t="s">
        <v>735</v>
      </c>
      <c r="E290" s="437"/>
      <c r="F290" s="438"/>
      <c r="G290" s="373"/>
    </row>
    <row r="291" spans="1:7" x14ac:dyDescent="0.25">
      <c r="B291" s="373"/>
      <c r="C291" s="436" t="s">
        <v>645</v>
      </c>
      <c r="D291" s="437" t="s">
        <v>736</v>
      </c>
      <c r="E291" s="437"/>
      <c r="F291" s="438"/>
      <c r="G291" s="373"/>
    </row>
    <row r="292" spans="1:7" x14ac:dyDescent="0.25">
      <c r="B292" s="373"/>
      <c r="C292" s="436" t="s">
        <v>689</v>
      </c>
      <c r="D292" s="437" t="s">
        <v>737</v>
      </c>
      <c r="E292" s="437"/>
      <c r="F292" s="438"/>
      <c r="G292" s="373"/>
    </row>
    <row r="293" spans="1:7" x14ac:dyDescent="0.25">
      <c r="B293" s="373"/>
      <c r="C293" s="436" t="s">
        <v>689</v>
      </c>
      <c r="D293" s="437" t="s">
        <v>738</v>
      </c>
      <c r="E293" s="437"/>
      <c r="F293" s="438"/>
      <c r="G293" s="373"/>
    </row>
    <row r="294" spans="1:7" x14ac:dyDescent="0.25">
      <c r="B294" s="373"/>
      <c r="C294" s="436" t="s">
        <v>689</v>
      </c>
      <c r="D294" s="437" t="s">
        <v>739</v>
      </c>
      <c r="E294" s="437"/>
      <c r="F294" s="438"/>
      <c r="G294" s="373"/>
    </row>
    <row r="295" spans="1:7" x14ac:dyDescent="0.25">
      <c r="B295" s="373"/>
      <c r="C295" s="436" t="s">
        <v>683</v>
      </c>
      <c r="D295" s="439" t="s">
        <v>740</v>
      </c>
      <c r="E295" s="437"/>
      <c r="F295" s="438"/>
      <c r="G295" s="373"/>
    </row>
    <row r="296" spans="1:7" x14ac:dyDescent="0.25">
      <c r="B296" s="373"/>
      <c r="C296" s="436" t="s">
        <v>687</v>
      </c>
      <c r="D296" s="439" t="s">
        <v>741</v>
      </c>
      <c r="E296" s="437"/>
      <c r="F296" s="438"/>
      <c r="G296" s="373"/>
    </row>
    <row r="297" spans="1:7" ht="15.75" thickBot="1" x14ac:dyDescent="0.3">
      <c r="B297" s="373"/>
      <c r="C297" s="442" t="s">
        <v>694</v>
      </c>
      <c r="D297" s="443" t="s">
        <v>742</v>
      </c>
      <c r="E297" s="444"/>
      <c r="F297" s="445"/>
      <c r="G297" s="373"/>
    </row>
    <row r="298" spans="1:7" x14ac:dyDescent="0.25">
      <c r="B298" s="373"/>
      <c r="F298" s="373"/>
      <c r="G298" s="373"/>
    </row>
    <row r="299" spans="1:7" x14ac:dyDescent="0.25">
      <c r="B299" s="373"/>
      <c r="G299" s="373"/>
    </row>
    <row r="300" spans="1:7" x14ac:dyDescent="0.25">
      <c r="A300" s="388"/>
      <c r="B300" s="373"/>
      <c r="F300" s="373"/>
      <c r="G300" s="373"/>
    </row>
    <row r="301" spans="1:7" x14ac:dyDescent="0.25">
      <c r="B301" s="373"/>
      <c r="F301" s="373"/>
      <c r="G301" s="373"/>
    </row>
    <row r="302" spans="1:7" x14ac:dyDescent="0.25">
      <c r="A302" s="388"/>
      <c r="B302" s="373"/>
    </row>
    <row r="303" spans="1:7" x14ac:dyDescent="0.25">
      <c r="B303" s="373"/>
    </row>
    <row r="304" spans="1:7" x14ac:dyDescent="0.25">
      <c r="A304" s="388"/>
      <c r="B304" s="373"/>
    </row>
    <row r="305" spans="1:2" x14ac:dyDescent="0.25">
      <c r="A305" s="388"/>
      <c r="B305" s="373"/>
    </row>
    <row r="306" spans="1:2" x14ac:dyDescent="0.25">
      <c r="A306" s="388"/>
      <c r="B306" s="373"/>
    </row>
    <row r="307" spans="1:2" x14ac:dyDescent="0.25">
      <c r="A307" s="388"/>
      <c r="B307" s="373"/>
    </row>
    <row r="308" spans="1:2" x14ac:dyDescent="0.25">
      <c r="A308" s="388"/>
      <c r="B308" s="373"/>
    </row>
    <row r="309" spans="1:2" x14ac:dyDescent="0.25">
      <c r="A309" s="388"/>
      <c r="B309" s="373"/>
    </row>
  </sheetData>
  <autoFilter ref="A1:I1"/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8"/>
  <sheetViews>
    <sheetView workbookViewId="0">
      <selection activeCell="C26" sqref="C26"/>
    </sheetView>
  </sheetViews>
  <sheetFormatPr defaultRowHeight="15" x14ac:dyDescent="0.25"/>
  <cols>
    <col min="1" max="1" width="10.140625" style="446" bestFit="1" customWidth="1"/>
    <col min="2" max="2" width="8.42578125" style="447" customWidth="1"/>
    <col min="3" max="3" width="87.85546875" style="450" customWidth="1"/>
    <col min="4" max="4" width="6.5703125" style="427" customWidth="1"/>
    <col min="5" max="6" width="9.140625" style="427"/>
    <col min="7" max="7" width="10.5703125" style="427" bestFit="1" customWidth="1"/>
    <col min="8" max="16384" width="9.140625" style="427"/>
  </cols>
  <sheetData>
    <row r="1" spans="1:4" ht="15.75" x14ac:dyDescent="0.25">
      <c r="A1" s="872">
        <v>41509</v>
      </c>
      <c r="C1" s="448" t="s">
        <v>743</v>
      </c>
      <c r="D1" s="449">
        <v>28</v>
      </c>
    </row>
    <row r="2" spans="1:4" x14ac:dyDescent="0.25">
      <c r="A2" s="446">
        <v>41509</v>
      </c>
      <c r="B2" s="447">
        <v>4.5520833333333337E-2</v>
      </c>
      <c r="C2" s="450" t="s">
        <v>744</v>
      </c>
    </row>
    <row r="3" spans="1:4" ht="45" x14ac:dyDescent="0.25">
      <c r="A3" s="446">
        <v>41509</v>
      </c>
      <c r="B3" s="447">
        <v>4.6377314814814809E-2</v>
      </c>
      <c r="C3" s="451" t="s">
        <v>1205</v>
      </c>
    </row>
    <row r="4" spans="1:4" ht="30" x14ac:dyDescent="0.25">
      <c r="A4" s="446">
        <v>41509</v>
      </c>
      <c r="B4" s="447">
        <v>5.0428240740740739E-2</v>
      </c>
      <c r="C4" s="451" t="s">
        <v>1206</v>
      </c>
    </row>
    <row r="5" spans="1:4" ht="45" x14ac:dyDescent="0.25">
      <c r="A5" s="446">
        <v>41509</v>
      </c>
      <c r="B5" s="447">
        <v>6.5173611111111113E-2</v>
      </c>
      <c r="C5" s="451" t="s">
        <v>1207</v>
      </c>
    </row>
    <row r="6" spans="1:4" ht="45" x14ac:dyDescent="0.25">
      <c r="A6" s="446">
        <v>41509</v>
      </c>
      <c r="B6" s="447">
        <v>0.12206018518518519</v>
      </c>
      <c r="C6" s="451" t="s">
        <v>1208</v>
      </c>
    </row>
    <row r="7" spans="1:4" ht="45" x14ac:dyDescent="0.25">
      <c r="A7" s="446">
        <v>41509</v>
      </c>
      <c r="B7" s="447">
        <v>0.1570138888888889</v>
      </c>
      <c r="C7" s="451" t="s">
        <v>1209</v>
      </c>
    </row>
    <row r="8" spans="1:4" ht="45" x14ac:dyDescent="0.25">
      <c r="A8" s="446">
        <v>41509</v>
      </c>
      <c r="B8" s="447">
        <v>0.15708333333333332</v>
      </c>
      <c r="C8" s="451" t="s">
        <v>1210</v>
      </c>
    </row>
    <row r="9" spans="1:4" ht="30" x14ac:dyDescent="0.25">
      <c r="A9" s="446">
        <v>41509</v>
      </c>
      <c r="B9" s="447">
        <v>0.1597685185185185</v>
      </c>
      <c r="C9" s="451" t="s">
        <v>1211</v>
      </c>
    </row>
    <row r="10" spans="1:4" ht="30" x14ac:dyDescent="0.25">
      <c r="A10" s="446">
        <v>41509</v>
      </c>
      <c r="B10" s="447">
        <v>0.15990740740740741</v>
      </c>
      <c r="C10" s="451" t="s">
        <v>1212</v>
      </c>
    </row>
    <row r="11" spans="1:4" ht="45" x14ac:dyDescent="0.25">
      <c r="A11" s="446">
        <v>41509</v>
      </c>
      <c r="B11" s="447">
        <v>0.16035879629629629</v>
      </c>
      <c r="C11" s="451" t="s">
        <v>1213</v>
      </c>
    </row>
    <row r="12" spans="1:4" ht="45" x14ac:dyDescent="0.25">
      <c r="A12" s="446">
        <v>41509</v>
      </c>
      <c r="B12" s="447">
        <v>0.16186342592592592</v>
      </c>
      <c r="C12" s="451" t="s">
        <v>1214</v>
      </c>
    </row>
    <row r="13" spans="1:4" ht="45" x14ac:dyDescent="0.25">
      <c r="A13" s="446">
        <v>41509</v>
      </c>
      <c r="B13" s="447">
        <v>0.1620949074074074</v>
      </c>
      <c r="C13" s="451" t="s">
        <v>1215</v>
      </c>
    </row>
    <row r="14" spans="1:4" ht="45" x14ac:dyDescent="0.25">
      <c r="A14" s="446">
        <v>41509</v>
      </c>
      <c r="B14" s="447">
        <v>0.16401620370370371</v>
      </c>
      <c r="C14" s="451" t="s">
        <v>1216</v>
      </c>
    </row>
    <row r="15" spans="1:4" ht="45" x14ac:dyDescent="0.25">
      <c r="A15" s="446">
        <v>41509</v>
      </c>
      <c r="B15" s="447">
        <v>0.16415509259259259</v>
      </c>
      <c r="C15" s="451" t="s">
        <v>1217</v>
      </c>
    </row>
    <row r="16" spans="1:4" ht="45" x14ac:dyDescent="0.25">
      <c r="A16" s="446">
        <v>41510</v>
      </c>
      <c r="B16" s="447">
        <v>0.27741898148148147</v>
      </c>
      <c r="C16" s="451" t="s">
        <v>1228</v>
      </c>
    </row>
    <row r="17" spans="1:3" ht="45" x14ac:dyDescent="0.25">
      <c r="A17" s="446">
        <v>41510</v>
      </c>
      <c r="B17" s="447">
        <v>0.27931712962962962</v>
      </c>
      <c r="C17" s="451" t="s">
        <v>1229</v>
      </c>
    </row>
    <row r="18" spans="1:3" ht="45" x14ac:dyDescent="0.25">
      <c r="A18" s="446">
        <v>41510</v>
      </c>
      <c r="B18" s="447">
        <v>0.31864583333333335</v>
      </c>
      <c r="C18" s="451" t="s">
        <v>1230</v>
      </c>
    </row>
    <row r="19" spans="1:3" ht="45" x14ac:dyDescent="0.25">
      <c r="A19" s="446">
        <v>41510</v>
      </c>
      <c r="B19" s="447">
        <v>0.31864583333333335</v>
      </c>
      <c r="C19" s="451" t="s">
        <v>1231</v>
      </c>
    </row>
    <row r="20" spans="1:3" ht="30" x14ac:dyDescent="0.25">
      <c r="A20" s="446">
        <v>41510</v>
      </c>
      <c r="B20" s="447">
        <v>0.31960648148148146</v>
      </c>
      <c r="C20" s="451" t="s">
        <v>1232</v>
      </c>
    </row>
    <row r="21" spans="1:3" ht="45" x14ac:dyDescent="0.25">
      <c r="A21" s="446">
        <v>41510</v>
      </c>
      <c r="B21" s="447">
        <v>0.31961805555555556</v>
      </c>
      <c r="C21" s="451" t="s">
        <v>1233</v>
      </c>
    </row>
    <row r="22" spans="1:3" ht="45" x14ac:dyDescent="0.25">
      <c r="A22" s="446">
        <v>41510</v>
      </c>
      <c r="B22" s="447">
        <v>0.38488425925925923</v>
      </c>
      <c r="C22" s="451" t="s">
        <v>1234</v>
      </c>
    </row>
    <row r="23" spans="1:3" x14ac:dyDescent="0.25">
      <c r="A23" s="446">
        <v>41510</v>
      </c>
      <c r="B23" s="447">
        <v>0.38645833333333335</v>
      </c>
      <c r="C23" s="450" t="s">
        <v>1235</v>
      </c>
    </row>
    <row r="24" spans="1:3" x14ac:dyDescent="0.25">
      <c r="A24" s="446">
        <v>41510</v>
      </c>
      <c r="B24" s="447">
        <v>0.38672453703703707</v>
      </c>
      <c r="C24" s="450" t="s">
        <v>1235</v>
      </c>
    </row>
    <row r="25" spans="1:3" ht="30" x14ac:dyDescent="0.25">
      <c r="A25" s="446">
        <v>41510</v>
      </c>
      <c r="B25" s="447">
        <v>0.38729166666666665</v>
      </c>
      <c r="C25" s="451" t="s">
        <v>1236</v>
      </c>
    </row>
    <row r="26" spans="1:3" ht="30" x14ac:dyDescent="0.25">
      <c r="A26" s="446">
        <v>41510</v>
      </c>
      <c r="B26" s="447">
        <v>0.39416666666666672</v>
      </c>
      <c r="C26" s="451" t="s">
        <v>1236</v>
      </c>
    </row>
    <row r="27" spans="1:3" ht="45" x14ac:dyDescent="0.25">
      <c r="A27" s="446">
        <v>41510</v>
      </c>
      <c r="B27" s="447">
        <v>0.39591435185185181</v>
      </c>
      <c r="C27" s="451" t="s">
        <v>1238</v>
      </c>
    </row>
    <row r="28" spans="1:3" ht="45" x14ac:dyDescent="0.25">
      <c r="A28" s="446">
        <v>41510</v>
      </c>
      <c r="B28" s="447">
        <v>0.43293981481481486</v>
      </c>
      <c r="C28" s="451" t="s">
        <v>1239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94"/>
  <sheetViews>
    <sheetView topLeftCell="H1" zoomScale="80" zoomScaleNormal="80" workbookViewId="0">
      <selection activeCell="Y26" sqref="Y26"/>
    </sheetView>
  </sheetViews>
  <sheetFormatPr defaultRowHeight="15" x14ac:dyDescent="0.25"/>
  <cols>
    <col min="1" max="1" width="11" style="427" customWidth="1"/>
    <col min="2" max="2" width="15" style="427" customWidth="1"/>
    <col min="3" max="3" width="16.140625" style="427" customWidth="1"/>
    <col min="4" max="4" width="12.42578125" style="427" customWidth="1"/>
    <col min="5" max="5" width="13.85546875" style="427" customWidth="1"/>
    <col min="6" max="6" width="18" style="427" customWidth="1"/>
    <col min="7" max="7" width="15.85546875" style="427" customWidth="1"/>
    <col min="8" max="8" width="12.42578125" style="427" customWidth="1"/>
    <col min="9" max="9" width="12.5703125" style="427" customWidth="1"/>
    <col min="10" max="10" width="13.42578125" style="427" customWidth="1"/>
    <col min="11" max="12" width="10" style="427" customWidth="1"/>
    <col min="13" max="13" width="11.28515625" style="427" customWidth="1"/>
    <col min="14" max="14" width="12.42578125" style="427" customWidth="1"/>
    <col min="15" max="15" width="12.85546875" style="427" customWidth="1"/>
    <col min="16" max="17" width="10.28515625" style="427" customWidth="1"/>
    <col min="18" max="18" width="9.140625" style="427"/>
    <col min="19" max="19" width="10.85546875" style="427" customWidth="1"/>
    <col min="20" max="20" width="11.140625" style="427" customWidth="1"/>
    <col min="21" max="31" width="9.140625" style="427"/>
    <col min="32" max="32" width="11.28515625" style="427" bestFit="1" customWidth="1"/>
    <col min="33" max="33" width="11.42578125" style="427" bestFit="1" customWidth="1"/>
    <col min="34" max="36" width="12.42578125" style="427" bestFit="1" customWidth="1"/>
    <col min="37" max="37" width="9.140625" style="427"/>
    <col min="38" max="38" width="10.140625" style="427" customWidth="1"/>
    <col min="39" max="16384" width="9.140625" style="427"/>
  </cols>
  <sheetData>
    <row r="1" spans="1:38" s="453" customFormat="1" ht="15.75" thickBot="1" x14ac:dyDescent="0.3">
      <c r="A1" s="452">
        <v>41510</v>
      </c>
    </row>
    <row r="2" spans="1:38" s="453" customFormat="1" ht="19.5" x14ac:dyDescent="0.3">
      <c r="C2" s="454" t="s">
        <v>745</v>
      </c>
    </row>
    <row r="3" spans="1:38" s="453" customFormat="1" x14ac:dyDescent="0.25"/>
    <row r="4" spans="1:38" s="453" customFormat="1" ht="15.75" thickBot="1" x14ac:dyDescent="0.3">
      <c r="A4" s="453" t="s">
        <v>1237</v>
      </c>
    </row>
    <row r="5" spans="1:38" s="453" customFormat="1" ht="23.25" thickBot="1" x14ac:dyDescent="0.3">
      <c r="A5" s="455" t="s">
        <v>746</v>
      </c>
      <c r="B5" s="456" t="s">
        <v>747</v>
      </c>
      <c r="C5" s="457" t="s">
        <v>58</v>
      </c>
      <c r="D5" s="457" t="s">
        <v>748</v>
      </c>
      <c r="E5" s="457" t="s">
        <v>77</v>
      </c>
      <c r="F5" s="458"/>
      <c r="G5" s="459" t="s">
        <v>36</v>
      </c>
      <c r="H5" s="460" t="s">
        <v>39</v>
      </c>
      <c r="I5" s="459" t="s">
        <v>749</v>
      </c>
      <c r="J5" s="461" t="s">
        <v>52</v>
      </c>
      <c r="K5" s="462" t="s">
        <v>750</v>
      </c>
      <c r="L5" s="462" t="s">
        <v>751</v>
      </c>
      <c r="M5" s="462" t="s">
        <v>752</v>
      </c>
      <c r="N5" s="463" t="s">
        <v>753</v>
      </c>
      <c r="O5" s="463" t="s">
        <v>754</v>
      </c>
      <c r="P5" s="463" t="s">
        <v>755</v>
      </c>
      <c r="Q5" s="463" t="s">
        <v>756</v>
      </c>
      <c r="R5" s="463" t="s">
        <v>757</v>
      </c>
      <c r="S5" s="462" t="s">
        <v>758</v>
      </c>
      <c r="T5" s="461" t="s">
        <v>759</v>
      </c>
      <c r="U5" s="461" t="s">
        <v>760</v>
      </c>
      <c r="V5" s="461" t="s">
        <v>761</v>
      </c>
      <c r="W5" s="461" t="s">
        <v>109</v>
      </c>
      <c r="X5" s="461" t="s">
        <v>762</v>
      </c>
      <c r="Y5" s="461" t="s">
        <v>763</v>
      </c>
      <c r="Z5" s="459" t="s">
        <v>764</v>
      </c>
      <c r="AA5" s="461" t="s">
        <v>765</v>
      </c>
      <c r="AB5" s="462" t="s">
        <v>766</v>
      </c>
      <c r="AC5" s="461" t="s">
        <v>767</v>
      </c>
      <c r="AD5" s="464" t="s">
        <v>768</v>
      </c>
      <c r="AE5" s="465" t="s">
        <v>769</v>
      </c>
      <c r="AF5" s="466" t="s">
        <v>407</v>
      </c>
      <c r="AG5" s="467" t="s">
        <v>770</v>
      </c>
      <c r="AH5" s="467" t="s">
        <v>771</v>
      </c>
      <c r="AI5" s="467" t="s">
        <v>421</v>
      </c>
      <c r="AJ5" s="467" t="s">
        <v>418</v>
      </c>
      <c r="AK5" s="466" t="s">
        <v>772</v>
      </c>
      <c r="AL5" s="466" t="s">
        <v>773</v>
      </c>
    </row>
    <row r="6" spans="1:38" s="453" customFormat="1" x14ac:dyDescent="0.25">
      <c r="A6" s="468" t="s">
        <v>774</v>
      </c>
      <c r="B6" s="469" t="s">
        <v>174</v>
      </c>
      <c r="C6" s="470" t="str">
        <f>IF(D6="","",1)</f>
        <v/>
      </c>
      <c r="D6" s="471"/>
      <c r="E6" s="471"/>
      <c r="F6" s="472" t="str">
        <f>TRIM(G6)&amp;TRIM(J6)&amp;ROUND(S6/1000,0)</f>
        <v>0</v>
      </c>
      <c r="AE6" s="473" t="s">
        <v>775</v>
      </c>
      <c r="AF6" s="473" t="s">
        <v>775</v>
      </c>
      <c r="AG6" s="473" t="s">
        <v>775</v>
      </c>
      <c r="AH6" s="473" t="s">
        <v>775</v>
      </c>
      <c r="AI6" s="473" t="s">
        <v>775</v>
      </c>
      <c r="AJ6" s="473" t="s">
        <v>775</v>
      </c>
      <c r="AK6" s="473" t="s">
        <v>775</v>
      </c>
      <c r="AL6" s="473" t="s">
        <v>775</v>
      </c>
    </row>
    <row r="7" spans="1:38" s="453" customFormat="1" x14ac:dyDescent="0.25">
      <c r="A7" s="455" t="s">
        <v>776</v>
      </c>
      <c r="B7" s="474">
        <v>0.5</v>
      </c>
      <c r="C7" s="474">
        <v>1.2</v>
      </c>
      <c r="D7" s="474">
        <v>0.5</v>
      </c>
      <c r="E7" s="474">
        <v>0.5</v>
      </c>
      <c r="F7" s="475">
        <v>0.3</v>
      </c>
      <c r="G7" s="476">
        <v>14</v>
      </c>
      <c r="H7" s="476">
        <v>8</v>
      </c>
      <c r="I7" s="476">
        <v>12.8</v>
      </c>
      <c r="J7" s="476">
        <v>22</v>
      </c>
      <c r="K7" s="476">
        <v>0</v>
      </c>
      <c r="L7" s="476">
        <v>0</v>
      </c>
      <c r="M7" s="476">
        <v>0</v>
      </c>
      <c r="N7" s="476">
        <v>0</v>
      </c>
      <c r="O7" s="476">
        <v>0</v>
      </c>
      <c r="P7" s="476">
        <v>0</v>
      </c>
      <c r="Q7" s="476">
        <v>0</v>
      </c>
      <c r="R7" s="476">
        <v>0</v>
      </c>
      <c r="S7" s="476">
        <v>10</v>
      </c>
      <c r="T7" s="476">
        <v>40</v>
      </c>
      <c r="U7" s="476">
        <v>0</v>
      </c>
      <c r="V7" s="476">
        <v>0</v>
      </c>
      <c r="W7" s="476">
        <v>10</v>
      </c>
      <c r="X7" s="476">
        <v>0</v>
      </c>
      <c r="Y7" s="476">
        <v>0</v>
      </c>
      <c r="Z7" s="476">
        <v>8</v>
      </c>
      <c r="AA7" s="476">
        <v>8</v>
      </c>
      <c r="AB7" s="476">
        <v>10</v>
      </c>
      <c r="AC7" s="476">
        <v>5</v>
      </c>
      <c r="AD7" s="476">
        <v>15</v>
      </c>
      <c r="AE7" s="453">
        <v>8</v>
      </c>
      <c r="AF7" s="474">
        <v>10</v>
      </c>
      <c r="AG7" s="474">
        <v>1</v>
      </c>
      <c r="AH7" s="474">
        <v>1</v>
      </c>
      <c r="AI7" s="474">
        <v>1</v>
      </c>
      <c r="AJ7" s="474">
        <v>1</v>
      </c>
      <c r="AK7" s="474" t="s">
        <v>777</v>
      </c>
      <c r="AL7" s="474" t="s">
        <v>777</v>
      </c>
    </row>
    <row r="8" spans="1:38" s="453" customFormat="1" x14ac:dyDescent="0.25">
      <c r="A8" s="455" t="s">
        <v>778</v>
      </c>
      <c r="B8" s="474">
        <v>9</v>
      </c>
      <c r="C8" s="474"/>
      <c r="D8" s="474">
        <v>5</v>
      </c>
      <c r="E8" s="474">
        <v>3</v>
      </c>
      <c r="F8" s="475"/>
      <c r="G8" s="474"/>
      <c r="H8" s="474"/>
      <c r="K8" s="474"/>
      <c r="L8" s="476"/>
      <c r="M8" s="476"/>
      <c r="N8" s="476"/>
      <c r="O8" s="476"/>
      <c r="P8" s="476"/>
      <c r="Q8" s="476"/>
      <c r="R8" s="476"/>
      <c r="S8" s="476"/>
      <c r="T8" s="476"/>
      <c r="U8" s="477"/>
      <c r="V8" s="476"/>
      <c r="W8" s="476"/>
      <c r="X8" s="476"/>
      <c r="Y8" s="476"/>
      <c r="Z8" s="476"/>
      <c r="AA8" s="476"/>
      <c r="AE8" s="474">
        <v>8</v>
      </c>
      <c r="AF8" s="474">
        <v>19</v>
      </c>
      <c r="AG8" s="474">
        <v>31</v>
      </c>
      <c r="AH8" s="474">
        <v>31</v>
      </c>
      <c r="AI8" s="474">
        <v>31</v>
      </c>
      <c r="AJ8" s="474">
        <v>31</v>
      </c>
      <c r="AK8" s="474">
        <v>5</v>
      </c>
      <c r="AL8" s="474">
        <v>5</v>
      </c>
    </row>
    <row r="9" spans="1:38" s="479" customFormat="1" ht="38.25" x14ac:dyDescent="0.25">
      <c r="A9" s="455" t="s">
        <v>779</v>
      </c>
      <c r="B9" s="478"/>
      <c r="C9" s="478"/>
      <c r="D9" s="478"/>
      <c r="E9" s="478"/>
      <c r="G9" s="478"/>
      <c r="H9" s="478"/>
      <c r="K9" s="478"/>
      <c r="L9" s="480"/>
      <c r="M9" s="480"/>
      <c r="N9" s="480"/>
      <c r="O9" s="480"/>
      <c r="P9" s="480"/>
      <c r="Q9" s="480"/>
      <c r="R9" s="480"/>
      <c r="S9" s="480"/>
      <c r="T9" s="480"/>
      <c r="U9" s="481"/>
      <c r="V9" s="480"/>
      <c r="W9" s="480"/>
      <c r="X9" s="480"/>
      <c r="Y9" s="480"/>
      <c r="Z9" s="480"/>
      <c r="AA9" s="480"/>
      <c r="AE9" s="478" t="s">
        <v>780</v>
      </c>
      <c r="AF9" s="482" t="s">
        <v>781</v>
      </c>
      <c r="AG9" s="483" t="s">
        <v>782</v>
      </c>
      <c r="AH9" s="483" t="s">
        <v>783</v>
      </c>
      <c r="AI9" s="483" t="s">
        <v>784</v>
      </c>
      <c r="AJ9" s="483" t="s">
        <v>785</v>
      </c>
      <c r="AK9" s="484"/>
      <c r="AL9" s="484" t="s">
        <v>786</v>
      </c>
    </row>
    <row r="10" spans="1:38" s="453" customFormat="1" x14ac:dyDescent="0.25">
      <c r="A10" s="455" t="s">
        <v>787</v>
      </c>
      <c r="B10" s="485" t="s">
        <v>788</v>
      </c>
      <c r="C10" s="485"/>
      <c r="D10" s="485" t="s">
        <v>789</v>
      </c>
      <c r="E10" s="485" t="s">
        <v>790</v>
      </c>
      <c r="F10" s="475"/>
      <c r="G10" s="474"/>
      <c r="H10" s="474"/>
      <c r="K10" s="474"/>
      <c r="L10" s="476"/>
      <c r="M10" s="476"/>
      <c r="N10" s="476"/>
      <c r="O10" s="476"/>
      <c r="P10" s="476"/>
      <c r="Q10" s="476"/>
      <c r="R10" s="476"/>
      <c r="S10" s="476"/>
      <c r="T10" s="476"/>
      <c r="U10" s="477"/>
      <c r="V10" s="476"/>
      <c r="W10" s="476"/>
      <c r="X10" s="476"/>
      <c r="Y10" s="476"/>
      <c r="Z10" s="476"/>
      <c r="AA10" s="476"/>
      <c r="AK10" s="485" t="s">
        <v>791</v>
      </c>
      <c r="AL10" s="485" t="s">
        <v>791</v>
      </c>
    </row>
    <row r="11" spans="1:38" s="453" customFormat="1" x14ac:dyDescent="0.25">
      <c r="Z11" s="476"/>
    </row>
    <row r="12" spans="1:38" s="453" customFormat="1" ht="15.75" thickBot="1" x14ac:dyDescent="0.3">
      <c r="A12" s="453" t="s">
        <v>792</v>
      </c>
      <c r="Z12" s="476"/>
    </row>
    <row r="13" spans="1:38" s="486" customFormat="1" ht="15.75" thickBot="1" x14ac:dyDescent="0.3">
      <c r="F13" s="487"/>
      <c r="G13" s="488"/>
      <c r="H13" s="487"/>
      <c r="I13" s="489" t="s">
        <v>793</v>
      </c>
      <c r="J13" s="490"/>
      <c r="K13" s="491"/>
      <c r="L13" s="492"/>
      <c r="M13" s="492"/>
      <c r="N13" s="492"/>
      <c r="O13" s="492"/>
      <c r="P13" s="492"/>
      <c r="Q13" s="492"/>
      <c r="R13" s="493">
        <f>SUM(R$2:R11)</f>
        <v>0</v>
      </c>
      <c r="S13" s="494"/>
      <c r="V13" s="495" t="s">
        <v>794</v>
      </c>
      <c r="W13" s="496"/>
      <c r="X13" s="496"/>
      <c r="Y13" s="497">
        <f>1 - COUNTIF(A$2:A11,"")/COUNTA(A$2:A11)</f>
        <v>0.5714285714285714</v>
      </c>
      <c r="Z13" s="495" t="s">
        <v>795</v>
      </c>
      <c r="AA13" s="493">
        <f>R13-SUMIF(B$2:B11,"1",R$2:R11)</f>
        <v>0</v>
      </c>
      <c r="AB13" s="498" t="e">
        <f>AA13/R13</f>
        <v>#DIV/0!</v>
      </c>
      <c r="AC13" s="499" t="e">
        <f>1-AB13</f>
        <v>#DIV/0!</v>
      </c>
    </row>
    <row r="14" spans="1:38" s="453" customFormat="1" x14ac:dyDescent="0.25"/>
    <row r="15" spans="1:38" s="453" customFormat="1" x14ac:dyDescent="0.25">
      <c r="A15" s="453" t="s">
        <v>796</v>
      </c>
    </row>
    <row r="16" spans="1:38" s="453" customFormat="1" ht="15.75" thickBot="1" x14ac:dyDescent="0.3">
      <c r="B16" s="453" t="s">
        <v>797</v>
      </c>
    </row>
    <row r="17" spans="1:27" s="478" customFormat="1" ht="60.75" thickBot="1" x14ac:dyDescent="0.3">
      <c r="A17" s="455" t="s">
        <v>746</v>
      </c>
      <c r="B17" s="500" t="s">
        <v>798</v>
      </c>
      <c r="C17" s="501" t="s">
        <v>799</v>
      </c>
      <c r="D17" s="501" t="s">
        <v>800</v>
      </c>
      <c r="E17" s="502" t="s">
        <v>801</v>
      </c>
      <c r="F17" s="503" t="s">
        <v>802</v>
      </c>
      <c r="G17" s="504" t="s">
        <v>803</v>
      </c>
      <c r="H17" s="505" t="s">
        <v>804</v>
      </c>
      <c r="I17" s="506"/>
      <c r="J17" s="507"/>
      <c r="K17" s="508" t="s">
        <v>44</v>
      </c>
      <c r="L17" s="508"/>
      <c r="M17" s="509" t="s">
        <v>47</v>
      </c>
      <c r="N17" s="507" t="s">
        <v>760</v>
      </c>
      <c r="O17" s="507" t="s">
        <v>109</v>
      </c>
      <c r="P17" s="507" t="s">
        <v>805</v>
      </c>
      <c r="Q17" s="507" t="s">
        <v>806</v>
      </c>
      <c r="R17" s="507" t="s">
        <v>807</v>
      </c>
      <c r="S17" s="507" t="s">
        <v>808</v>
      </c>
      <c r="T17" s="508" t="s">
        <v>809</v>
      </c>
      <c r="U17" s="510" t="s">
        <v>810</v>
      </c>
      <c r="V17" s="510" t="s">
        <v>811</v>
      </c>
      <c r="W17" s="510" t="s">
        <v>812</v>
      </c>
      <c r="X17" s="507" t="s">
        <v>813</v>
      </c>
      <c r="Y17" s="507" t="s">
        <v>814</v>
      </c>
      <c r="Z17" s="507" t="s">
        <v>768</v>
      </c>
      <c r="AA17" s="507" t="s">
        <v>815</v>
      </c>
    </row>
    <row r="18" spans="1:27" s="453" customFormat="1" ht="18" customHeight="1" x14ac:dyDescent="0.25">
      <c r="A18" s="468" t="s">
        <v>774</v>
      </c>
      <c r="B18" s="511" t="s">
        <v>170</v>
      </c>
      <c r="C18" s="512" t="s">
        <v>816</v>
      </c>
      <c r="D18" s="513"/>
      <c r="E18" s="514">
        <v>1</v>
      </c>
      <c r="F18" s="515" t="str">
        <f>IF(AND(U18=W18,W18&gt;0),"1","")</f>
        <v/>
      </c>
      <c r="G18" s="516" t="str">
        <f>IF(U18=V18,"1","")</f>
        <v/>
      </c>
      <c r="H18" s="517"/>
      <c r="I18" s="518" t="str">
        <f>IF(S18="",TRIM(K18),TRIM(MID(S18,9,55))&amp;"/"&amp;TRIM(K18))</f>
        <v>2009-1-065</v>
      </c>
      <c r="J18" s="519"/>
      <c r="K18" s="520" t="s">
        <v>817</v>
      </c>
      <c r="L18" s="520"/>
      <c r="M18" s="521">
        <v>40058</v>
      </c>
      <c r="N18" s="519" t="s">
        <v>258</v>
      </c>
      <c r="O18" s="519" t="s">
        <v>380</v>
      </c>
      <c r="P18" s="519" t="s">
        <v>818</v>
      </c>
      <c r="Q18" s="519"/>
      <c r="R18" s="519" t="s">
        <v>819</v>
      </c>
      <c r="S18" s="519"/>
      <c r="T18" s="520" t="s">
        <v>820</v>
      </c>
      <c r="U18" s="522">
        <v>324000</v>
      </c>
      <c r="V18" s="522">
        <v>0</v>
      </c>
      <c r="W18" s="522">
        <v>0</v>
      </c>
      <c r="X18" s="519" t="s">
        <v>399</v>
      </c>
      <c r="Y18" s="523"/>
      <c r="Z18" s="523" t="s">
        <v>821</v>
      </c>
      <c r="AA18" s="519" t="s">
        <v>822</v>
      </c>
    </row>
    <row r="19" spans="1:27" s="453" customFormat="1" x14ac:dyDescent="0.25">
      <c r="A19" s="455" t="s">
        <v>776</v>
      </c>
      <c r="B19" s="474">
        <v>0.5</v>
      </c>
      <c r="C19" s="474">
        <v>8</v>
      </c>
      <c r="D19" s="453">
        <v>6</v>
      </c>
      <c r="E19" s="474">
        <v>5</v>
      </c>
      <c r="F19" s="475">
        <v>2</v>
      </c>
      <c r="G19" s="474">
        <v>2</v>
      </c>
      <c r="H19" s="474">
        <v>2</v>
      </c>
      <c r="I19" s="453">
        <v>0.5</v>
      </c>
      <c r="J19" s="453">
        <v>0.5</v>
      </c>
      <c r="K19" s="474">
        <v>10</v>
      </c>
      <c r="L19" s="476">
        <v>0.7</v>
      </c>
      <c r="M19" s="476">
        <v>10</v>
      </c>
      <c r="N19" s="476">
        <v>7</v>
      </c>
      <c r="O19" s="476">
        <v>10</v>
      </c>
      <c r="P19" s="476">
        <v>20</v>
      </c>
      <c r="Q19" s="476">
        <v>12</v>
      </c>
      <c r="R19" s="476">
        <v>12</v>
      </c>
      <c r="S19" s="476">
        <v>10</v>
      </c>
      <c r="T19" s="476">
        <v>8</v>
      </c>
      <c r="U19" s="477">
        <v>12</v>
      </c>
      <c r="V19" s="476">
        <v>11</v>
      </c>
      <c r="W19" s="476">
        <v>11</v>
      </c>
      <c r="X19" s="476">
        <v>10</v>
      </c>
      <c r="Y19" s="476">
        <v>12</v>
      </c>
      <c r="Z19" s="476">
        <v>20</v>
      </c>
      <c r="AA19" s="476">
        <v>10</v>
      </c>
    </row>
    <row r="20" spans="1:27" s="453" customFormat="1" x14ac:dyDescent="0.25">
      <c r="A20" s="455" t="s">
        <v>778</v>
      </c>
      <c r="B20" s="474">
        <v>15</v>
      </c>
      <c r="C20" s="474">
        <v>8</v>
      </c>
      <c r="D20" s="453">
        <v>8</v>
      </c>
      <c r="E20" s="474"/>
      <c r="F20" s="475"/>
      <c r="G20" s="474"/>
      <c r="H20" s="474">
        <v>8</v>
      </c>
      <c r="K20" s="474"/>
      <c r="L20" s="476"/>
      <c r="M20" s="476"/>
      <c r="N20" s="476"/>
      <c r="O20" s="476"/>
      <c r="P20" s="476"/>
      <c r="Q20" s="476"/>
      <c r="R20" s="476"/>
      <c r="S20" s="476"/>
      <c r="T20" s="476"/>
      <c r="U20" s="477"/>
      <c r="V20" s="476"/>
      <c r="W20" s="476"/>
      <c r="X20" s="476"/>
      <c r="Y20" s="476"/>
      <c r="Z20" s="476"/>
      <c r="AA20" s="476"/>
    </row>
    <row r="21" spans="1:27" s="453" customFormat="1" x14ac:dyDescent="0.25">
      <c r="A21" s="455" t="s">
        <v>779</v>
      </c>
      <c r="B21" s="474"/>
      <c r="C21" s="474"/>
      <c r="E21" s="474"/>
      <c r="F21" s="475"/>
      <c r="G21" s="474"/>
      <c r="H21" s="474"/>
      <c r="K21" s="474"/>
      <c r="L21" s="476"/>
      <c r="M21" s="476"/>
      <c r="N21" s="476"/>
      <c r="O21" s="476"/>
      <c r="P21" s="476"/>
      <c r="Q21" s="476"/>
      <c r="R21" s="476"/>
      <c r="S21" s="476"/>
      <c r="T21" s="476"/>
      <c r="U21" s="477"/>
      <c r="V21" s="476"/>
      <c r="W21" s="476"/>
      <c r="X21" s="476"/>
      <c r="Y21" s="476"/>
      <c r="Z21" s="476"/>
      <c r="AA21" s="476"/>
    </row>
    <row r="22" spans="1:27" s="453" customFormat="1" x14ac:dyDescent="0.25">
      <c r="A22" s="455" t="s">
        <v>787</v>
      </c>
      <c r="B22" s="474" t="s">
        <v>788</v>
      </c>
      <c r="C22" s="474" t="s">
        <v>823</v>
      </c>
      <c r="D22" s="453" t="s">
        <v>824</v>
      </c>
      <c r="E22" s="474"/>
      <c r="F22" s="475"/>
      <c r="G22" s="474"/>
      <c r="H22" s="474" t="s">
        <v>825</v>
      </c>
      <c r="K22" s="474"/>
      <c r="L22" s="476"/>
      <c r="M22" s="476"/>
      <c r="N22" s="476"/>
      <c r="O22" s="476"/>
      <c r="P22" s="476"/>
      <c r="Q22" s="476"/>
      <c r="R22" s="476"/>
      <c r="S22" s="476"/>
      <c r="T22" s="476"/>
      <c r="U22" s="477"/>
      <c r="V22" s="476"/>
      <c r="W22" s="476"/>
      <c r="X22" s="476"/>
      <c r="Y22" s="476"/>
      <c r="Z22" s="476"/>
      <c r="AA22" s="476"/>
    </row>
    <row r="23" spans="1:27" s="453" customFormat="1" x14ac:dyDescent="0.25">
      <c r="A23" s="474"/>
      <c r="B23" s="474"/>
      <c r="D23" s="474"/>
      <c r="E23" s="475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  <c r="V23" s="476"/>
      <c r="W23" s="476"/>
      <c r="X23" s="476"/>
      <c r="Y23" s="476"/>
      <c r="Z23" s="476"/>
    </row>
    <row r="24" spans="1:27" s="453" customFormat="1" x14ac:dyDescent="0.25">
      <c r="A24" s="453" t="s">
        <v>826</v>
      </c>
    </row>
    <row r="25" spans="1:27" s="453" customFormat="1" ht="15.75" thickBot="1" x14ac:dyDescent="0.3">
      <c r="A25" s="524">
        <v>41504</v>
      </c>
      <c r="B25" s="453" t="s">
        <v>827</v>
      </c>
    </row>
    <row r="26" spans="1:27" s="541" customFormat="1" ht="15" customHeight="1" x14ac:dyDescent="0.25">
      <c r="A26" s="525"/>
      <c r="B26" s="526" t="s">
        <v>828</v>
      </c>
      <c r="C26" s="527">
        <f>COUNTIF(B$1:B23,B26)</f>
        <v>0</v>
      </c>
      <c r="D26" s="528" t="e">
        <f>C26/C31</f>
        <v>#DIV/0!</v>
      </c>
      <c r="E26" s="529"/>
      <c r="F26" s="530"/>
      <c r="G26" s="531"/>
      <c r="H26" s="531"/>
      <c r="I26" s="532"/>
      <c r="J26" s="533">
        <f>SUMIF(B$3:B23,B26,T$3:T30)</f>
        <v>0</v>
      </c>
      <c r="K26" s="534"/>
      <c r="L26" s="535" t="e">
        <f>J26/J31</f>
        <v>#DIV/0!</v>
      </c>
      <c r="M26" s="536"/>
      <c r="N26" s="536"/>
      <c r="O26" s="536"/>
      <c r="P26" s="537"/>
      <c r="Q26" s="537"/>
      <c r="R26" s="537"/>
      <c r="S26" s="538" t="s">
        <v>793</v>
      </c>
      <c r="T26" s="539">
        <f>SUM(T$1:T25)</f>
        <v>48</v>
      </c>
      <c r="U26" s="539">
        <f>SUM(U$1:U25)</f>
        <v>324012</v>
      </c>
      <c r="V26" s="539">
        <f>SUM(V$1:V25)</f>
        <v>11</v>
      </c>
      <c r="W26" s="537" t="s">
        <v>829</v>
      </c>
      <c r="X26" s="540"/>
      <c r="Y26" s="540"/>
      <c r="Z26" s="537"/>
    </row>
    <row r="27" spans="1:27" s="541" customFormat="1" ht="15" customHeight="1" x14ac:dyDescent="0.25">
      <c r="A27" s="525"/>
      <c r="B27" s="542" t="s">
        <v>830</v>
      </c>
      <c r="C27" s="543">
        <f>COUNTIF(B$1:B23,B27)</f>
        <v>0</v>
      </c>
      <c r="D27" s="544" t="e">
        <f>C27/C31</f>
        <v>#DIV/0!</v>
      </c>
      <c r="E27" s="529"/>
      <c r="F27" s="530"/>
      <c r="G27" s="531"/>
      <c r="H27" s="531"/>
      <c r="I27" s="532"/>
      <c r="J27" s="545">
        <f>SUMIF(B$3:B26,B27,T$3:T31)</f>
        <v>0</v>
      </c>
      <c r="K27" s="546"/>
      <c r="L27" s="547" t="e">
        <f>J27/J31</f>
        <v>#DIV/0!</v>
      </c>
      <c r="M27" s="536"/>
      <c r="N27" s="536"/>
      <c r="O27" s="536"/>
      <c r="S27" s="548"/>
      <c r="T27" s="549"/>
      <c r="U27" s="549"/>
      <c r="V27" s="549"/>
      <c r="X27" s="550"/>
      <c r="Y27" s="550"/>
    </row>
    <row r="28" spans="1:27" s="541" customFormat="1" ht="15" customHeight="1" x14ac:dyDescent="0.25">
      <c r="A28" s="525"/>
      <c r="B28" s="551" t="s">
        <v>831</v>
      </c>
      <c r="C28" s="552">
        <f>COUNTIF(B$1:B23,B28)</f>
        <v>0</v>
      </c>
      <c r="D28" s="553" t="e">
        <f>C28/C31</f>
        <v>#DIV/0!</v>
      </c>
      <c r="E28" s="529"/>
      <c r="F28" s="530"/>
      <c r="G28" s="531"/>
      <c r="H28" s="531"/>
      <c r="I28" s="532"/>
      <c r="J28" s="554">
        <f>SUMIF(B$3:B27,B28,T$3:T31)</f>
        <v>0</v>
      </c>
      <c r="K28" s="555"/>
      <c r="L28" s="556" t="e">
        <f>J28/J31</f>
        <v>#DIV/0!</v>
      </c>
      <c r="M28" s="557"/>
      <c r="N28" s="536"/>
      <c r="O28" s="536"/>
      <c r="S28" s="548"/>
      <c r="T28" s="549"/>
      <c r="U28" s="549"/>
      <c r="V28" s="549"/>
      <c r="X28" s="550"/>
      <c r="Y28" s="550"/>
    </row>
    <row r="29" spans="1:27" s="541" customFormat="1" ht="15" customHeight="1" thickBot="1" x14ac:dyDescent="0.3">
      <c r="A29" s="525"/>
      <c r="B29" s="558" t="s">
        <v>832</v>
      </c>
      <c r="C29" s="559">
        <f>COUNTIF(B$1:B26,B29)</f>
        <v>0</v>
      </c>
      <c r="D29" s="560" t="e">
        <f>C29/C31</f>
        <v>#DIV/0!</v>
      </c>
      <c r="E29" s="529"/>
      <c r="F29" s="530"/>
      <c r="G29" s="531"/>
      <c r="H29" s="531"/>
      <c r="I29" s="532"/>
      <c r="J29" s="561">
        <f>SUMIF(B$3:B28,B29,T$3:T31)</f>
        <v>0</v>
      </c>
      <c r="K29" s="562"/>
      <c r="L29" s="563" t="e">
        <f>J29/J31</f>
        <v>#DIV/0!</v>
      </c>
      <c r="M29" s="557"/>
      <c r="N29" s="536"/>
      <c r="O29" s="536"/>
      <c r="S29" s="548"/>
      <c r="T29" s="549"/>
      <c r="U29" s="549"/>
      <c r="V29" s="549"/>
      <c r="X29" s="550"/>
      <c r="Y29" s="550"/>
    </row>
    <row r="30" spans="1:27" s="541" customFormat="1" ht="15" customHeight="1" thickTop="1" thickBot="1" x14ac:dyDescent="0.3">
      <c r="A30" s="564"/>
      <c r="B30" s="565" t="s">
        <v>816</v>
      </c>
      <c r="C30" s="566">
        <f>COUNTIF(B$1:B23,B30)</f>
        <v>0</v>
      </c>
      <c r="D30" s="567" t="e">
        <f>C30/C31</f>
        <v>#DIV/0!</v>
      </c>
      <c r="E30" s="568"/>
      <c r="F30" s="569"/>
      <c r="G30" s="570"/>
      <c r="H30" s="570"/>
      <c r="I30" s="571"/>
      <c r="J30" s="572">
        <f>SUMIF(B$3:B29,B30,T$3:T31)</f>
        <v>0</v>
      </c>
      <c r="K30" s="573"/>
      <c r="L30" s="574" t="e">
        <f>J30/J31</f>
        <v>#DIV/0!</v>
      </c>
      <c r="M30" s="575"/>
      <c r="N30" s="575"/>
      <c r="O30" s="575"/>
      <c r="S30" s="548"/>
      <c r="T30" s="549"/>
      <c r="U30" s="549"/>
      <c r="V30" s="549"/>
      <c r="X30" s="550"/>
      <c r="Y30" s="550"/>
    </row>
    <row r="31" spans="1:27" s="541" customFormat="1" ht="15" customHeight="1" x14ac:dyDescent="0.25">
      <c r="A31" s="525"/>
      <c r="B31" s="576"/>
      <c r="C31" s="577">
        <f>SUM(C26:C30)</f>
        <v>0</v>
      </c>
      <c r="D31" s="578"/>
      <c r="E31" s="529"/>
      <c r="F31" s="530"/>
      <c r="G31" s="531"/>
      <c r="H31" s="531"/>
      <c r="I31" s="532"/>
      <c r="J31" s="579">
        <f>SUM(J26:J30)</f>
        <v>0</v>
      </c>
      <c r="K31" s="580"/>
      <c r="L31" s="581"/>
      <c r="M31" s="557"/>
      <c r="N31" s="536"/>
      <c r="O31" s="536"/>
      <c r="S31" s="548"/>
      <c r="T31" s="549"/>
      <c r="U31" s="549"/>
      <c r="V31" s="549"/>
      <c r="X31" s="550"/>
      <c r="Y31" s="550"/>
    </row>
    <row r="32" spans="1:27" s="453" customFormat="1" x14ac:dyDescent="0.25">
      <c r="A32" s="474"/>
      <c r="B32" s="474"/>
      <c r="D32" s="474"/>
      <c r="E32" s="475"/>
      <c r="F32" s="476"/>
      <c r="G32" s="476"/>
      <c r="H32" s="476"/>
      <c r="I32" s="476"/>
      <c r="J32" s="476"/>
      <c r="K32" s="476"/>
      <c r="L32" s="476"/>
      <c r="M32" s="476"/>
      <c r="N32" s="476"/>
      <c r="O32" s="476"/>
      <c r="P32" s="476"/>
      <c r="Q32" s="476"/>
      <c r="R32" s="476"/>
      <c r="S32" s="476"/>
      <c r="T32" s="476"/>
      <c r="U32" s="476"/>
      <c r="V32" s="476"/>
      <c r="W32" s="476"/>
      <c r="X32" s="476"/>
      <c r="Y32" s="476"/>
      <c r="Z32" s="476"/>
    </row>
    <row r="33" spans="1:7" s="453" customFormat="1" x14ac:dyDescent="0.25">
      <c r="A33" s="582" t="s">
        <v>833</v>
      </c>
    </row>
    <row r="34" spans="1:7" s="453" customFormat="1" ht="17.25" x14ac:dyDescent="0.4">
      <c r="A34" s="455" t="s">
        <v>746</v>
      </c>
      <c r="B34" s="583" t="s">
        <v>747</v>
      </c>
      <c r="C34" s="584"/>
    </row>
    <row r="35" spans="1:7" s="453" customFormat="1" ht="17.25" x14ac:dyDescent="0.4">
      <c r="A35" s="468" t="s">
        <v>774</v>
      </c>
      <c r="B35" s="585"/>
      <c r="C35" s="584"/>
    </row>
    <row r="36" spans="1:7" s="453" customFormat="1" x14ac:dyDescent="0.25">
      <c r="A36" s="455" t="s">
        <v>776</v>
      </c>
      <c r="B36" s="474">
        <v>0.5</v>
      </c>
      <c r="C36" s="474"/>
    </row>
    <row r="37" spans="1:7" s="453" customFormat="1" x14ac:dyDescent="0.25">
      <c r="A37" s="455" t="s">
        <v>778</v>
      </c>
      <c r="B37" s="474">
        <v>3</v>
      </c>
      <c r="C37" s="474"/>
    </row>
    <row r="38" spans="1:7" s="453" customFormat="1" x14ac:dyDescent="0.25">
      <c r="A38" s="455" t="s">
        <v>779</v>
      </c>
      <c r="B38" s="474"/>
      <c r="C38" s="474"/>
    </row>
    <row r="39" spans="1:7" s="453" customFormat="1" x14ac:dyDescent="0.25">
      <c r="A39" s="455" t="s">
        <v>787</v>
      </c>
      <c r="B39" s="474" t="s">
        <v>788</v>
      </c>
      <c r="C39" s="474"/>
    </row>
    <row r="40" spans="1:7" s="453" customFormat="1" x14ac:dyDescent="0.25"/>
    <row r="41" spans="1:7" s="586" customFormat="1" ht="7.5" customHeight="1" x14ac:dyDescent="0.25">
      <c r="D41" s="587"/>
      <c r="E41" s="587"/>
    </row>
    <row r="42" spans="1:7" s="588" customFormat="1" ht="19.5" x14ac:dyDescent="0.3">
      <c r="A42" s="453"/>
      <c r="C42" s="589" t="s">
        <v>834</v>
      </c>
    </row>
    <row r="43" spans="1:7" s="588" customFormat="1" x14ac:dyDescent="0.25"/>
    <row r="44" spans="1:7" s="588" customFormat="1" ht="15.75" thickBot="1" x14ac:dyDescent="0.3">
      <c r="A44" s="588" t="s">
        <v>835</v>
      </c>
    </row>
    <row r="45" spans="1:7" s="588" customFormat="1" ht="17.25" x14ac:dyDescent="0.4">
      <c r="A45" s="893" t="s">
        <v>32</v>
      </c>
      <c r="B45" s="455" t="s">
        <v>746</v>
      </c>
      <c r="C45" s="584" t="s">
        <v>836</v>
      </c>
      <c r="D45" s="590" t="s">
        <v>837</v>
      </c>
      <c r="G45" s="588" t="s">
        <v>838</v>
      </c>
    </row>
    <row r="46" spans="1:7" s="588" customFormat="1" x14ac:dyDescent="0.25">
      <c r="A46" s="894"/>
      <c r="B46" s="468" t="s">
        <v>774</v>
      </c>
      <c r="C46" s="591">
        <v>4240</v>
      </c>
      <c r="D46" s="592" t="str">
        <f>IF(F46="&lt;&lt;ПУСТО&gt;&gt;",E46&amp;ROUND(H46/1000,0),F46&amp;E46&amp;ROUND(H46/1000,0))</f>
        <v>0</v>
      </c>
      <c r="G46" s="588" t="s">
        <v>839</v>
      </c>
    </row>
    <row r="47" spans="1:7" s="588" customFormat="1" x14ac:dyDescent="0.25">
      <c r="A47" s="894"/>
      <c r="B47" s="455" t="s">
        <v>776</v>
      </c>
      <c r="C47" s="593">
        <v>8</v>
      </c>
      <c r="D47" s="593">
        <v>1</v>
      </c>
      <c r="G47" s="588" t="s">
        <v>840</v>
      </c>
    </row>
    <row r="48" spans="1:7" s="588" customFormat="1" x14ac:dyDescent="0.25">
      <c r="A48" s="894"/>
      <c r="B48" s="455" t="s">
        <v>778</v>
      </c>
      <c r="C48" s="593">
        <v>2</v>
      </c>
      <c r="D48" s="593"/>
    </row>
    <row r="49" spans="1:8" s="588" customFormat="1" x14ac:dyDescent="0.25">
      <c r="A49" s="894"/>
      <c r="B49" s="455" t="s">
        <v>779</v>
      </c>
      <c r="C49" s="593"/>
      <c r="D49" s="593"/>
    </row>
    <row r="50" spans="1:8" s="588" customFormat="1" ht="15.75" thickBot="1" x14ac:dyDescent="0.3">
      <c r="A50" s="895"/>
      <c r="B50" s="455" t="s">
        <v>787</v>
      </c>
      <c r="C50" s="593" t="s">
        <v>841</v>
      </c>
      <c r="D50" s="593"/>
      <c r="G50" s="453" t="s">
        <v>842</v>
      </c>
    </row>
    <row r="51" spans="1:8" s="588" customFormat="1" x14ac:dyDescent="0.25"/>
    <row r="52" spans="1:8" s="588" customFormat="1" ht="15.75" thickBot="1" x14ac:dyDescent="0.3">
      <c r="A52" s="588" t="s">
        <v>843</v>
      </c>
    </row>
    <row r="53" spans="1:8" s="588" customFormat="1" x14ac:dyDescent="0.25">
      <c r="A53" s="594">
        <f>(SUMIF(A$2:A50,"",F$2:F50)-F53)/1000000</f>
        <v>0</v>
      </c>
      <c r="B53" s="595"/>
      <c r="C53" s="596" t="s">
        <v>61</v>
      </c>
      <c r="E53" s="597" t="s">
        <v>844</v>
      </c>
      <c r="F53" s="598">
        <f>SUMIF(I$42:I47,"Наталья Константиновна Лидер",F$42:F47)</f>
        <v>0</v>
      </c>
    </row>
    <row r="54" spans="1:8" s="588" customFormat="1" ht="15.75" thickBot="1" x14ac:dyDescent="0.3">
      <c r="A54" s="599">
        <f>COUNTIF(A$2:A50,"")-F54</f>
        <v>23</v>
      </c>
      <c r="B54" s="595"/>
      <c r="C54" s="596" t="s">
        <v>845</v>
      </c>
      <c r="E54" s="600"/>
      <c r="F54" s="601">
        <f>COUNTIF(I$42:I55,"Наталья Константиновна Лидер")</f>
        <v>0</v>
      </c>
    </row>
    <row r="55" spans="1:8" s="588" customFormat="1" x14ac:dyDescent="0.25"/>
    <row r="56" spans="1:8" s="588" customFormat="1" x14ac:dyDescent="0.25">
      <c r="A56" s="588" t="s">
        <v>846</v>
      </c>
    </row>
    <row r="57" spans="1:8" s="588" customFormat="1" ht="15.75" thickBot="1" x14ac:dyDescent="0.3">
      <c r="B57" s="588" t="s">
        <v>847</v>
      </c>
    </row>
    <row r="58" spans="1:8" s="588" customFormat="1" ht="17.25" x14ac:dyDescent="0.4">
      <c r="A58" s="893" t="s">
        <v>41</v>
      </c>
      <c r="B58" s="455" t="s">
        <v>746</v>
      </c>
      <c r="C58" s="584" t="s">
        <v>836</v>
      </c>
      <c r="D58" s="584" t="s">
        <v>848</v>
      </c>
      <c r="G58" s="588" t="s">
        <v>838</v>
      </c>
    </row>
    <row r="59" spans="1:8" s="588" customFormat="1" x14ac:dyDescent="0.25">
      <c r="A59" s="894"/>
      <c r="B59" s="468" t="s">
        <v>774</v>
      </c>
      <c r="C59" s="585">
        <f>O59</f>
        <v>0</v>
      </c>
      <c r="D59" s="602" t="str">
        <f>IF(G59="",F59,G59&amp;"/"&amp;F59)</f>
        <v>Match=&lt;номер строки Договора1С&gt;/</v>
      </c>
      <c r="G59" s="588" t="s">
        <v>849</v>
      </c>
    </row>
    <row r="60" spans="1:8" s="588" customFormat="1" x14ac:dyDescent="0.25">
      <c r="A60" s="894"/>
      <c r="B60" s="455" t="s">
        <v>776</v>
      </c>
      <c r="C60" s="588">
        <v>10</v>
      </c>
      <c r="D60" s="593">
        <v>1</v>
      </c>
      <c r="F60" s="603" t="str">
        <f>"/=""Не состоялся"":"&amp;F61</f>
        <v>/="Не состоялся":/="Договор расторгнут"</v>
      </c>
      <c r="G60" s="588" t="s">
        <v>850</v>
      </c>
    </row>
    <row r="61" spans="1:8" s="453" customFormat="1" x14ac:dyDescent="0.25">
      <c r="A61" s="894"/>
      <c r="B61" s="455" t="s">
        <v>778</v>
      </c>
      <c r="C61" s="474">
        <v>2</v>
      </c>
      <c r="D61" s="474"/>
      <c r="F61" s="604" t="s">
        <v>851</v>
      </c>
    </row>
    <row r="62" spans="1:8" s="453" customFormat="1" x14ac:dyDescent="0.25">
      <c r="A62" s="894"/>
      <c r="B62" s="455" t="s">
        <v>779</v>
      </c>
      <c r="C62" s="474"/>
      <c r="D62" s="474"/>
    </row>
    <row r="63" spans="1:8" s="453" customFormat="1" ht="15.75" thickBot="1" x14ac:dyDescent="0.3">
      <c r="A63" s="895"/>
      <c r="B63" s="455" t="s">
        <v>787</v>
      </c>
      <c r="C63" s="474" t="s">
        <v>852</v>
      </c>
      <c r="D63" s="474"/>
      <c r="F63" s="593" t="str">
        <f>"10/="""":"&amp;F60</f>
        <v>10/="":/="Не состоялся":/="Договор расторгнут"</v>
      </c>
      <c r="G63" s="453" t="s">
        <v>853</v>
      </c>
    </row>
    <row r="64" spans="1:8" s="588" customFormat="1" x14ac:dyDescent="0.25">
      <c r="E64" s="453"/>
      <c r="H64" s="453"/>
    </row>
    <row r="65" spans="1:37" s="588" customFormat="1" x14ac:dyDescent="0.25">
      <c r="A65" s="588" t="s">
        <v>854</v>
      </c>
      <c r="E65" s="453"/>
      <c r="H65" s="453"/>
    </row>
    <row r="66" spans="1:37" s="588" customFormat="1" ht="15.75" thickBot="1" x14ac:dyDescent="0.3">
      <c r="B66" s="588" t="s">
        <v>855</v>
      </c>
    </row>
    <row r="67" spans="1:37" s="588" customFormat="1" ht="15.75" thickBot="1" x14ac:dyDescent="0.3">
      <c r="A67" s="605">
        <f>COUNTIF(A$2:A61,"")-COUNTIF(M$2:M58,"Не состоялся")-COUNTIF(M$2:M58,"Договор расторгнут")</f>
        <v>29</v>
      </c>
      <c r="B67" s="595"/>
    </row>
    <row r="68" spans="1:37" s="588" customFormat="1" x14ac:dyDescent="0.25">
      <c r="B68" s="595"/>
    </row>
    <row r="69" spans="1:37" s="588" customFormat="1" x14ac:dyDescent="0.25">
      <c r="A69" s="588" t="s">
        <v>856</v>
      </c>
    </row>
    <row r="70" spans="1:37" s="588" customFormat="1" x14ac:dyDescent="0.25">
      <c r="A70" s="606" t="s">
        <v>857</v>
      </c>
      <c r="B70" s="606" t="s">
        <v>858</v>
      </c>
      <c r="C70" s="606" t="s">
        <v>859</v>
      </c>
      <c r="D70" s="606" t="s">
        <v>860</v>
      </c>
      <c r="E70" s="606" t="s">
        <v>861</v>
      </c>
      <c r="F70" s="606" t="s">
        <v>862</v>
      </c>
      <c r="G70" s="606" t="s">
        <v>863</v>
      </c>
      <c r="H70" s="606" t="s">
        <v>864</v>
      </c>
      <c r="I70" s="606" t="s">
        <v>865</v>
      </c>
    </row>
    <row r="71" spans="1:37" s="588" customFormat="1" x14ac:dyDescent="0.25">
      <c r="A71" s="588" t="s">
        <v>866</v>
      </c>
      <c r="B71" s="588" t="s">
        <v>867</v>
      </c>
      <c r="D71" s="593" t="s">
        <v>58</v>
      </c>
      <c r="E71" s="593">
        <v>1</v>
      </c>
      <c r="F71" s="588" t="s">
        <v>868</v>
      </c>
      <c r="G71" s="588" t="s">
        <v>869</v>
      </c>
      <c r="H71" s="588" t="s">
        <v>32</v>
      </c>
      <c r="I71" s="588" t="s">
        <v>870</v>
      </c>
    </row>
    <row r="72" spans="1:37" s="586" customFormat="1" ht="7.5" customHeight="1" x14ac:dyDescent="0.25">
      <c r="D72" s="587"/>
      <c r="E72" s="587"/>
    </row>
    <row r="73" spans="1:37" s="588" customFormat="1" ht="19.5" x14ac:dyDescent="0.3">
      <c r="A73" s="453"/>
      <c r="C73" s="589" t="s">
        <v>871</v>
      </c>
      <c r="I73" s="588">
        <f>C79</f>
        <v>5</v>
      </c>
    </row>
    <row r="74" spans="1:37" s="453" customFormat="1" x14ac:dyDescent="0.25"/>
    <row r="75" spans="1:37" s="453" customFormat="1" x14ac:dyDescent="0.25">
      <c r="A75" s="453" t="s">
        <v>872</v>
      </c>
    </row>
    <row r="76" spans="1:37" s="453" customFormat="1" ht="25.5" x14ac:dyDescent="0.25">
      <c r="A76" s="455" t="s">
        <v>746</v>
      </c>
      <c r="B76" s="607" t="s">
        <v>873</v>
      </c>
      <c r="C76" s="607" t="s">
        <v>874</v>
      </c>
      <c r="D76" s="608" t="s">
        <v>875</v>
      </c>
      <c r="E76" s="609" t="s">
        <v>876</v>
      </c>
      <c r="F76" s="610" t="s">
        <v>877</v>
      </c>
      <c r="G76" s="607" t="s">
        <v>109</v>
      </c>
      <c r="H76" s="607" t="s">
        <v>805</v>
      </c>
      <c r="I76" s="607" t="s">
        <v>878</v>
      </c>
      <c r="J76" s="607" t="s">
        <v>764</v>
      </c>
      <c r="L76" s="611" t="s">
        <v>879</v>
      </c>
      <c r="M76" s="612" t="s">
        <v>880</v>
      </c>
      <c r="N76" s="613"/>
      <c r="O76" s="614" t="s">
        <v>102</v>
      </c>
      <c r="P76" s="615" t="s">
        <v>881</v>
      </c>
      <c r="Q76" s="614" t="s">
        <v>106</v>
      </c>
      <c r="R76" s="614" t="s">
        <v>52</v>
      </c>
      <c r="S76" s="614" t="s">
        <v>109</v>
      </c>
      <c r="T76" s="616" t="s">
        <v>111</v>
      </c>
      <c r="U76" s="617" t="s">
        <v>882</v>
      </c>
      <c r="V76" s="618" t="s">
        <v>883</v>
      </c>
      <c r="W76" s="614" t="s">
        <v>884</v>
      </c>
      <c r="X76" s="619" t="s">
        <v>94</v>
      </c>
      <c r="Y76" s="620" t="s">
        <v>94</v>
      </c>
      <c r="Z76" s="620" t="s">
        <v>94</v>
      </c>
      <c r="AA76" s="620" t="s">
        <v>94</v>
      </c>
      <c r="AB76" s="614" t="s">
        <v>94</v>
      </c>
      <c r="AC76" s="614" t="s">
        <v>885</v>
      </c>
      <c r="AD76" s="614" t="s">
        <v>94</v>
      </c>
      <c r="AE76" s="614" t="s">
        <v>94</v>
      </c>
      <c r="AF76" s="621" t="s">
        <v>886</v>
      </c>
      <c r="AG76" s="622" t="s">
        <v>94</v>
      </c>
      <c r="AH76" s="614" t="s">
        <v>94</v>
      </c>
      <c r="AI76" s="614" t="s">
        <v>94</v>
      </c>
      <c r="AJ76" s="623" t="s">
        <v>887</v>
      </c>
      <c r="AK76" s="624"/>
    </row>
    <row r="77" spans="1:37" s="453" customFormat="1" x14ac:dyDescent="0.25">
      <c r="A77" s="468" t="s">
        <v>774</v>
      </c>
      <c r="B77" s="625"/>
      <c r="C77" s="626"/>
      <c r="D77" s="627">
        <v>41367</v>
      </c>
      <c r="E77" s="628" t="s">
        <v>888</v>
      </c>
      <c r="F77" s="629">
        <f>T77</f>
        <v>0</v>
      </c>
      <c r="G77" s="474"/>
      <c r="H77" s="475"/>
    </row>
    <row r="78" spans="1:37" s="453" customFormat="1" x14ac:dyDescent="0.25">
      <c r="A78" s="455" t="s">
        <v>776</v>
      </c>
      <c r="B78" s="474">
        <v>1</v>
      </c>
      <c r="C78" s="474">
        <v>5</v>
      </c>
      <c r="D78" s="474">
        <v>8</v>
      </c>
      <c r="E78" s="474">
        <v>13</v>
      </c>
      <c r="F78" s="474">
        <v>14</v>
      </c>
      <c r="G78" s="474">
        <v>11</v>
      </c>
      <c r="H78" s="475">
        <v>20</v>
      </c>
      <c r="I78" s="476">
        <v>15</v>
      </c>
      <c r="J78" s="476">
        <v>10</v>
      </c>
      <c r="K78" s="476">
        <v>6</v>
      </c>
      <c r="L78" s="476">
        <v>6</v>
      </c>
      <c r="M78" s="476">
        <v>10</v>
      </c>
      <c r="N78" s="476">
        <v>1</v>
      </c>
      <c r="O78" s="476">
        <v>45</v>
      </c>
      <c r="P78" s="476"/>
      <c r="Q78" s="476">
        <v>13</v>
      </c>
      <c r="R78" s="476">
        <v>16</v>
      </c>
      <c r="S78" s="476">
        <v>10</v>
      </c>
      <c r="T78" s="476">
        <v>10</v>
      </c>
      <c r="U78" s="476">
        <v>10</v>
      </c>
      <c r="V78" s="476">
        <v>10</v>
      </c>
      <c r="W78" s="476">
        <v>10</v>
      </c>
      <c r="X78" s="476">
        <v>10</v>
      </c>
      <c r="Y78" s="476">
        <v>0</v>
      </c>
      <c r="Z78" s="476">
        <v>0</v>
      </c>
      <c r="AA78" s="476">
        <v>0</v>
      </c>
      <c r="AB78" s="476">
        <v>0</v>
      </c>
      <c r="AC78" s="476">
        <v>0</v>
      </c>
      <c r="AD78" s="476">
        <v>0</v>
      </c>
      <c r="AE78" s="476">
        <v>0</v>
      </c>
      <c r="AF78" s="476">
        <v>0</v>
      </c>
      <c r="AG78" s="476">
        <v>0</v>
      </c>
      <c r="AH78" s="476">
        <v>0</v>
      </c>
      <c r="AI78" s="476">
        <v>0</v>
      </c>
      <c r="AJ78" s="476">
        <v>0</v>
      </c>
      <c r="AK78" s="476">
        <v>0</v>
      </c>
    </row>
    <row r="79" spans="1:37" s="453" customFormat="1" x14ac:dyDescent="0.25">
      <c r="A79" s="455" t="s">
        <v>778</v>
      </c>
      <c r="B79" s="474">
        <v>5</v>
      </c>
      <c r="C79" s="474">
        <v>5</v>
      </c>
      <c r="D79" s="474" t="s">
        <v>889</v>
      </c>
      <c r="E79" s="474">
        <v>5</v>
      </c>
      <c r="F79" s="474"/>
      <c r="G79" s="474">
        <v>5</v>
      </c>
      <c r="H79" s="453">
        <v>5</v>
      </c>
      <c r="I79" s="453">
        <v>1</v>
      </c>
      <c r="J79" s="474">
        <v>1</v>
      </c>
      <c r="K79" s="475">
        <v>-1</v>
      </c>
      <c r="L79" s="474"/>
      <c r="O79" s="474"/>
      <c r="P79" s="474"/>
      <c r="Q79" s="476"/>
      <c r="R79" s="476"/>
      <c r="S79" s="476"/>
      <c r="T79" s="476"/>
      <c r="U79" s="476"/>
      <c r="V79" s="476"/>
      <c r="W79" s="476"/>
      <c r="X79" s="476"/>
      <c r="Y79" s="476"/>
      <c r="Z79" s="477"/>
      <c r="AA79" s="476"/>
      <c r="AB79" s="476"/>
      <c r="AC79" s="476"/>
      <c r="AD79" s="476"/>
      <c r="AE79" s="476"/>
      <c r="AF79" s="476"/>
    </row>
    <row r="80" spans="1:37" s="453" customFormat="1" x14ac:dyDescent="0.25">
      <c r="A80" s="455" t="s">
        <v>779</v>
      </c>
      <c r="B80" s="474"/>
      <c r="C80" s="474"/>
      <c r="D80" s="474"/>
      <c r="E80" s="474"/>
      <c r="F80" s="474"/>
      <c r="G80" s="474"/>
      <c r="J80" s="474"/>
      <c r="K80" s="475"/>
      <c r="L80" s="474"/>
      <c r="O80" s="474" t="s">
        <v>890</v>
      </c>
      <c r="P80" s="474"/>
      <c r="Q80" s="476"/>
      <c r="R80" s="476"/>
      <c r="S80" s="476"/>
      <c r="T80" s="476"/>
      <c r="U80" s="476"/>
      <c r="V80" s="476"/>
      <c r="W80" s="476"/>
      <c r="X80" s="476"/>
      <c r="Y80" s="476"/>
      <c r="Z80" s="477"/>
      <c r="AA80" s="476"/>
      <c r="AB80" s="476"/>
      <c r="AC80" s="476"/>
      <c r="AD80" s="476"/>
      <c r="AE80" s="476"/>
      <c r="AF80" s="476"/>
    </row>
    <row r="81" spans="1:37" s="453" customFormat="1" x14ac:dyDescent="0.25">
      <c r="A81" s="455" t="s">
        <v>787</v>
      </c>
      <c r="B81" s="474" t="s">
        <v>891</v>
      </c>
      <c r="C81" s="474" t="s">
        <v>892</v>
      </c>
      <c r="D81" s="485" t="s">
        <v>893</v>
      </c>
      <c r="E81" s="485" t="s">
        <v>894</v>
      </c>
      <c r="F81" s="485"/>
      <c r="G81" s="474" t="s">
        <v>895</v>
      </c>
      <c r="H81" s="630" t="s">
        <v>896</v>
      </c>
      <c r="I81" s="474" t="s">
        <v>897</v>
      </c>
      <c r="J81" s="474" t="s">
        <v>898</v>
      </c>
      <c r="K81" s="474"/>
      <c r="L81" s="474"/>
      <c r="O81" s="474"/>
      <c r="P81" s="474"/>
      <c r="Q81" s="476"/>
      <c r="R81" s="476"/>
      <c r="S81" s="476"/>
      <c r="T81" s="476"/>
      <c r="U81" s="476"/>
      <c r="V81" s="476"/>
      <c r="W81" s="476"/>
      <c r="X81" s="476"/>
      <c r="Y81" s="476"/>
      <c r="Z81" s="477"/>
      <c r="AA81" s="476"/>
      <c r="AB81" s="476"/>
      <c r="AC81" s="476"/>
      <c r="AD81" s="476"/>
      <c r="AE81" s="476"/>
      <c r="AF81" s="476"/>
    </row>
    <row r="82" spans="1:37" s="453" customFormat="1" x14ac:dyDescent="0.25">
      <c r="N82" s="453" t="s">
        <v>899</v>
      </c>
    </row>
    <row r="83" spans="1:37" s="453" customFormat="1" x14ac:dyDescent="0.25">
      <c r="A83" s="453" t="s">
        <v>900</v>
      </c>
    </row>
    <row r="84" spans="1:37" s="453" customFormat="1" ht="25.5" x14ac:dyDescent="0.25">
      <c r="A84" s="455" t="s">
        <v>746</v>
      </c>
      <c r="B84" s="607" t="s">
        <v>873</v>
      </c>
      <c r="C84" s="607" t="s">
        <v>874</v>
      </c>
      <c r="D84" s="608" t="s">
        <v>875</v>
      </c>
      <c r="E84" s="609" t="s">
        <v>876</v>
      </c>
      <c r="F84" s="610" t="s">
        <v>877</v>
      </c>
      <c r="G84" s="607" t="s">
        <v>109</v>
      </c>
      <c r="H84" s="607" t="s">
        <v>805</v>
      </c>
      <c r="I84" s="607" t="s">
        <v>878</v>
      </c>
      <c r="J84" s="607" t="s">
        <v>764</v>
      </c>
      <c r="L84" s="611" t="s">
        <v>879</v>
      </c>
      <c r="M84" s="612" t="s">
        <v>880</v>
      </c>
      <c r="N84" s="613"/>
      <c r="O84" s="614" t="s">
        <v>102</v>
      </c>
      <c r="P84" s="615" t="s">
        <v>881</v>
      </c>
      <c r="Q84" s="614" t="s">
        <v>106</v>
      </c>
      <c r="R84" s="614" t="s">
        <v>52</v>
      </c>
      <c r="S84" s="614" t="s">
        <v>109</v>
      </c>
      <c r="T84" s="616" t="s">
        <v>111</v>
      </c>
      <c r="U84" s="617" t="s">
        <v>882</v>
      </c>
      <c r="V84" s="618" t="s">
        <v>883</v>
      </c>
      <c r="W84" s="614" t="s">
        <v>884</v>
      </c>
      <c r="X84" s="619" t="s">
        <v>94</v>
      </c>
      <c r="Y84" s="620" t="s">
        <v>94</v>
      </c>
      <c r="Z84" s="620" t="s">
        <v>94</v>
      </c>
      <c r="AA84" s="620" t="s">
        <v>94</v>
      </c>
      <c r="AB84" s="614" t="s">
        <v>94</v>
      </c>
      <c r="AC84" s="614" t="s">
        <v>885</v>
      </c>
      <c r="AD84" s="614" t="s">
        <v>94</v>
      </c>
      <c r="AE84" s="614" t="s">
        <v>94</v>
      </c>
      <c r="AF84" s="621" t="s">
        <v>886</v>
      </c>
      <c r="AG84" s="622" t="s">
        <v>94</v>
      </c>
      <c r="AH84" s="614" t="s">
        <v>94</v>
      </c>
      <c r="AI84" s="614" t="s">
        <v>94</v>
      </c>
      <c r="AJ84" s="623" t="s">
        <v>887</v>
      </c>
      <c r="AK84" s="624"/>
    </row>
    <row r="85" spans="1:37" s="453" customFormat="1" x14ac:dyDescent="0.25">
      <c r="A85" s="468" t="s">
        <v>774</v>
      </c>
      <c r="B85" s="625"/>
      <c r="C85" s="626"/>
      <c r="D85" s="627">
        <v>41367</v>
      </c>
      <c r="E85" s="628" t="s">
        <v>888</v>
      </c>
      <c r="F85" s="629">
        <f>T85</f>
        <v>0</v>
      </c>
      <c r="G85" s="474"/>
      <c r="H85" s="475"/>
    </row>
    <row r="86" spans="1:37" s="453" customFormat="1" x14ac:dyDescent="0.25">
      <c r="A86" s="455" t="s">
        <v>776</v>
      </c>
      <c r="B86" s="474">
        <v>1</v>
      </c>
      <c r="C86" s="474">
        <v>5</v>
      </c>
      <c r="D86" s="474">
        <v>8</v>
      </c>
      <c r="E86" s="474">
        <v>13</v>
      </c>
      <c r="F86" s="474">
        <v>14</v>
      </c>
      <c r="G86" s="474">
        <v>11</v>
      </c>
      <c r="H86" s="475">
        <v>20</v>
      </c>
      <c r="I86" s="476">
        <v>15</v>
      </c>
      <c r="J86" s="476">
        <v>10</v>
      </c>
      <c r="K86" s="476">
        <v>6</v>
      </c>
      <c r="L86" s="476">
        <v>6</v>
      </c>
      <c r="M86" s="476">
        <v>10</v>
      </c>
      <c r="N86" s="476">
        <v>1</v>
      </c>
      <c r="O86" s="476">
        <v>45</v>
      </c>
      <c r="P86" s="476"/>
      <c r="Q86" s="476">
        <v>13</v>
      </c>
      <c r="R86" s="476">
        <v>16</v>
      </c>
      <c r="S86" s="476">
        <v>10</v>
      </c>
      <c r="T86" s="476">
        <v>10</v>
      </c>
      <c r="U86" s="476">
        <v>10</v>
      </c>
      <c r="V86" s="476">
        <v>10</v>
      </c>
      <c r="W86" s="476">
        <v>10</v>
      </c>
      <c r="X86" s="476">
        <v>10</v>
      </c>
      <c r="Y86" s="476">
        <v>0</v>
      </c>
      <c r="Z86" s="476">
        <v>0</v>
      </c>
      <c r="AA86" s="476">
        <v>0</v>
      </c>
      <c r="AB86" s="476">
        <v>0</v>
      </c>
      <c r="AC86" s="476">
        <v>0</v>
      </c>
      <c r="AD86" s="476">
        <v>0</v>
      </c>
      <c r="AE86" s="476">
        <v>0</v>
      </c>
      <c r="AF86" s="476">
        <v>0</v>
      </c>
      <c r="AG86" s="476">
        <v>0</v>
      </c>
      <c r="AH86" s="476">
        <v>0</v>
      </c>
      <c r="AI86" s="476">
        <v>0</v>
      </c>
      <c r="AJ86" s="476">
        <v>0</v>
      </c>
      <c r="AK86" s="476">
        <v>0</v>
      </c>
    </row>
    <row r="87" spans="1:37" s="453" customFormat="1" x14ac:dyDescent="0.25">
      <c r="A87" s="455" t="s">
        <v>778</v>
      </c>
      <c r="B87" s="474">
        <v>5</v>
      </c>
      <c r="C87" s="474">
        <v>5</v>
      </c>
      <c r="D87" s="474" t="s">
        <v>889</v>
      </c>
      <c r="E87" s="474">
        <v>5</v>
      </c>
      <c r="F87" s="474"/>
      <c r="G87" s="474">
        <v>5</v>
      </c>
      <c r="H87" s="453">
        <v>5</v>
      </c>
      <c r="I87" s="453">
        <v>1</v>
      </c>
      <c r="J87" s="474">
        <v>1</v>
      </c>
      <c r="K87" s="475">
        <v>-1</v>
      </c>
      <c r="L87" s="474"/>
      <c r="O87" s="474"/>
      <c r="P87" s="474"/>
      <c r="Q87" s="476"/>
      <c r="R87" s="476"/>
      <c r="S87" s="476"/>
      <c r="T87" s="476"/>
      <c r="U87" s="476"/>
      <c r="V87" s="476"/>
      <c r="W87" s="476"/>
      <c r="X87" s="476"/>
      <c r="Y87" s="476"/>
      <c r="Z87" s="477"/>
      <c r="AA87" s="476"/>
      <c r="AB87" s="476"/>
      <c r="AC87" s="476"/>
      <c r="AD87" s="476"/>
      <c r="AE87" s="476"/>
      <c r="AF87" s="476"/>
    </row>
    <row r="88" spans="1:37" s="453" customFormat="1" x14ac:dyDescent="0.25">
      <c r="A88" s="455" t="s">
        <v>779</v>
      </c>
      <c r="B88" s="474"/>
      <c r="C88" s="474"/>
      <c r="D88" s="474"/>
      <c r="E88" s="474"/>
      <c r="F88" s="474"/>
      <c r="G88" s="474"/>
      <c r="J88" s="474"/>
      <c r="K88" s="475"/>
      <c r="L88" s="474"/>
      <c r="O88" s="474" t="s">
        <v>890</v>
      </c>
      <c r="P88" s="474"/>
      <c r="Q88" s="476"/>
      <c r="R88" s="476"/>
      <c r="S88" s="476"/>
      <c r="T88" s="476"/>
      <c r="U88" s="476"/>
      <c r="V88" s="476"/>
      <c r="W88" s="476"/>
      <c r="X88" s="476"/>
      <c r="Y88" s="476"/>
      <c r="Z88" s="477"/>
      <c r="AA88" s="476"/>
      <c r="AB88" s="476"/>
      <c r="AC88" s="476"/>
      <c r="AD88" s="476"/>
      <c r="AE88" s="476"/>
      <c r="AF88" s="476"/>
    </row>
    <row r="89" spans="1:37" s="453" customFormat="1" x14ac:dyDescent="0.25">
      <c r="A89" s="455" t="s">
        <v>787</v>
      </c>
      <c r="B89" s="474" t="s">
        <v>891</v>
      </c>
      <c r="C89" s="474" t="s">
        <v>892</v>
      </c>
      <c r="D89" s="485" t="s">
        <v>893</v>
      </c>
      <c r="E89" s="485" t="s">
        <v>894</v>
      </c>
      <c r="F89" s="485"/>
      <c r="G89" s="474" t="s">
        <v>895</v>
      </c>
      <c r="H89" s="630" t="s">
        <v>896</v>
      </c>
      <c r="I89" s="474" t="s">
        <v>897</v>
      </c>
      <c r="J89" s="474" t="s">
        <v>898</v>
      </c>
      <c r="K89" s="474"/>
      <c r="L89" s="474"/>
      <c r="O89" s="474"/>
      <c r="P89" s="474"/>
      <c r="Q89" s="476"/>
      <c r="R89" s="476"/>
      <c r="S89" s="476"/>
      <c r="T89" s="476"/>
      <c r="U89" s="476"/>
      <c r="V89" s="476"/>
      <c r="W89" s="476"/>
      <c r="X89" s="476"/>
      <c r="Y89" s="476"/>
      <c r="Z89" s="477"/>
      <c r="AA89" s="476"/>
      <c r="AB89" s="476"/>
      <c r="AC89" s="476"/>
      <c r="AD89" s="476"/>
      <c r="AE89" s="476"/>
      <c r="AF89" s="476"/>
    </row>
    <row r="90" spans="1:37" s="453" customFormat="1" x14ac:dyDescent="0.25">
      <c r="N90" s="453" t="s">
        <v>899</v>
      </c>
    </row>
    <row r="91" spans="1:37" s="453" customFormat="1" ht="15.75" thickBot="1" x14ac:dyDescent="0.3">
      <c r="A91" s="453" t="s">
        <v>901</v>
      </c>
      <c r="F91" s="453">
        <v>5</v>
      </c>
      <c r="I91" s="453">
        <v>8</v>
      </c>
      <c r="P91" s="453">
        <v>10</v>
      </c>
      <c r="T91" s="453">
        <v>14</v>
      </c>
    </row>
    <row r="92" spans="1:37" s="453" customFormat="1" ht="75" x14ac:dyDescent="0.25">
      <c r="A92" s="631" t="s">
        <v>83</v>
      </c>
      <c r="B92" s="632" t="s">
        <v>902</v>
      </c>
      <c r="C92" s="607" t="s">
        <v>749</v>
      </c>
      <c r="D92" s="607" t="s">
        <v>903</v>
      </c>
      <c r="E92" s="607" t="s">
        <v>904</v>
      </c>
      <c r="F92" s="607" t="s">
        <v>109</v>
      </c>
      <c r="G92" s="607" t="s">
        <v>873</v>
      </c>
      <c r="H92" s="607" t="s">
        <v>878</v>
      </c>
      <c r="I92" s="607" t="s">
        <v>412</v>
      </c>
      <c r="J92" s="607" t="s">
        <v>764</v>
      </c>
      <c r="K92" s="607"/>
      <c r="L92" s="607"/>
      <c r="M92" s="607" t="s">
        <v>905</v>
      </c>
      <c r="N92" s="633" t="s">
        <v>126</v>
      </c>
      <c r="O92" s="607" t="s">
        <v>906</v>
      </c>
      <c r="P92" s="607" t="s">
        <v>907</v>
      </c>
      <c r="Q92" s="634" t="s">
        <v>908</v>
      </c>
      <c r="R92" s="634" t="s">
        <v>90</v>
      </c>
      <c r="S92" s="635" t="s">
        <v>92</v>
      </c>
      <c r="T92" s="634" t="s">
        <v>98</v>
      </c>
      <c r="U92" s="636" t="s">
        <v>94</v>
      </c>
      <c r="V92" s="636" t="s">
        <v>96</v>
      </c>
      <c r="W92" s="636" t="s">
        <v>909</v>
      </c>
      <c r="X92" s="636" t="s">
        <v>910</v>
      </c>
      <c r="Y92" s="636" t="s">
        <v>911</v>
      </c>
    </row>
    <row r="93" spans="1:37" s="453" customFormat="1" x14ac:dyDescent="0.25">
      <c r="A93" s="637"/>
      <c r="B93" s="468" t="s">
        <v>774</v>
      </c>
      <c r="D93" s="638"/>
      <c r="M93" s="475"/>
      <c r="N93" s="470"/>
      <c r="O93" s="471"/>
      <c r="P93" s="471"/>
      <c r="Q93" s="474" t="s">
        <v>775</v>
      </c>
      <c r="R93" s="474" t="s">
        <v>775</v>
      </c>
      <c r="S93" s="474" t="s">
        <v>775</v>
      </c>
      <c r="T93" s="474" t="s">
        <v>775</v>
      </c>
      <c r="U93" s="474" t="s">
        <v>775</v>
      </c>
      <c r="V93" s="474" t="s">
        <v>775</v>
      </c>
      <c r="W93" s="474" t="s">
        <v>775</v>
      </c>
      <c r="X93" s="474" t="s">
        <v>775</v>
      </c>
      <c r="Y93" s="474" t="s">
        <v>775</v>
      </c>
    </row>
    <row r="94" spans="1:37" s="453" customFormat="1" x14ac:dyDescent="0.25">
      <c r="A94" s="637"/>
      <c r="B94" s="455" t="s">
        <v>776</v>
      </c>
      <c r="C94" s="474">
        <v>9</v>
      </c>
      <c r="D94" s="474">
        <v>5</v>
      </c>
      <c r="E94" s="474">
        <v>22</v>
      </c>
      <c r="F94" s="474">
        <v>10</v>
      </c>
      <c r="G94" s="474">
        <v>1</v>
      </c>
      <c r="H94" s="474">
        <v>15</v>
      </c>
      <c r="I94" s="474">
        <v>10</v>
      </c>
      <c r="J94" s="474">
        <v>8</v>
      </c>
      <c r="K94" s="474">
        <v>1</v>
      </c>
      <c r="L94" s="474">
        <v>1</v>
      </c>
      <c r="M94" s="474">
        <v>12</v>
      </c>
      <c r="N94" s="474">
        <v>14</v>
      </c>
      <c r="O94" s="474">
        <v>12</v>
      </c>
      <c r="P94" s="474">
        <v>8</v>
      </c>
      <c r="Q94" s="474">
        <v>47</v>
      </c>
      <c r="R94" s="474">
        <v>44</v>
      </c>
      <c r="S94" s="474">
        <v>8</v>
      </c>
      <c r="T94" s="474">
        <v>44</v>
      </c>
      <c r="U94" s="474">
        <v>9</v>
      </c>
      <c r="V94" s="474">
        <v>25</v>
      </c>
      <c r="W94" s="474">
        <v>22</v>
      </c>
      <c r="X94" s="474">
        <v>0</v>
      </c>
      <c r="Y94" s="476">
        <v>0</v>
      </c>
    </row>
    <row r="95" spans="1:37" s="453" customFormat="1" x14ac:dyDescent="0.25">
      <c r="A95" s="637"/>
      <c r="B95" s="455" t="s">
        <v>778</v>
      </c>
      <c r="C95" s="474">
        <v>15</v>
      </c>
      <c r="D95" s="474">
        <v>19</v>
      </c>
      <c r="E95" s="474">
        <v>2</v>
      </c>
      <c r="G95" s="453">
        <v>-1</v>
      </c>
      <c r="M95" s="474"/>
      <c r="N95" s="474"/>
      <c r="O95" s="474"/>
      <c r="P95" s="474"/>
      <c r="T95" s="474"/>
      <c r="U95" s="476"/>
      <c r="V95" s="476"/>
      <c r="W95" s="476"/>
      <c r="X95" s="476"/>
      <c r="Y95" s="476"/>
    </row>
    <row r="96" spans="1:37" s="453" customFormat="1" ht="30" x14ac:dyDescent="0.25">
      <c r="A96" s="637"/>
      <c r="B96" s="455" t="s">
        <v>779</v>
      </c>
      <c r="C96" s="474" t="s">
        <v>912</v>
      </c>
      <c r="D96" s="639" t="s">
        <v>913</v>
      </c>
      <c r="E96" s="640" t="s">
        <v>914</v>
      </c>
      <c r="G96" s="474"/>
      <c r="M96" s="474"/>
      <c r="N96" s="474"/>
      <c r="O96" s="474"/>
      <c r="P96" s="474"/>
      <c r="Q96" s="474"/>
      <c r="T96" s="474"/>
      <c r="U96" s="476"/>
      <c r="V96" s="476"/>
      <c r="W96" s="476"/>
      <c r="X96" s="476"/>
      <c r="Y96" s="476"/>
      <c r="Z96" s="476"/>
      <c r="AA96" s="476"/>
      <c r="AB96" s="476"/>
      <c r="AC96" s="476"/>
      <c r="AD96" s="477"/>
      <c r="AE96" s="476"/>
      <c r="AF96" s="476"/>
      <c r="AG96" s="476"/>
      <c r="AH96" s="476"/>
      <c r="AI96" s="476"/>
      <c r="AJ96" s="476"/>
    </row>
    <row r="97" spans="1:31" s="453" customFormat="1" x14ac:dyDescent="0.25">
      <c r="A97" s="637"/>
      <c r="B97" s="455" t="s">
        <v>787</v>
      </c>
      <c r="D97" s="475"/>
      <c r="E97" s="474"/>
      <c r="F97" s="474"/>
      <c r="H97" s="474"/>
      <c r="K97" s="474"/>
      <c r="L97" s="476"/>
      <c r="M97" s="485"/>
      <c r="N97" s="485"/>
      <c r="O97" s="485"/>
      <c r="P97" s="485"/>
      <c r="Q97" s="476"/>
      <c r="R97" s="476"/>
      <c r="S97" s="476"/>
      <c r="T97" s="476"/>
      <c r="U97" s="476"/>
      <c r="V97" s="476"/>
      <c r="W97" s="476"/>
      <c r="X97" s="476"/>
      <c r="Y97" s="477"/>
      <c r="Z97" s="476"/>
      <c r="AA97" s="476"/>
      <c r="AB97" s="476"/>
      <c r="AC97" s="476"/>
      <c r="AD97" s="476"/>
      <c r="AE97" s="476"/>
    </row>
    <row r="99" spans="1:31" x14ac:dyDescent="0.25">
      <c r="D99" s="453">
        <v>5</v>
      </c>
      <c r="E99" s="453">
        <v>5</v>
      </c>
      <c r="J99" s="474"/>
      <c r="K99" s="474">
        <v>5</v>
      </c>
      <c r="L99" s="453">
        <v>5</v>
      </c>
      <c r="M99" s="475">
        <v>-1</v>
      </c>
      <c r="N99" s="474"/>
      <c r="O99" s="474"/>
      <c r="P99" s="474"/>
    </row>
    <row r="100" spans="1:31" ht="36.75" x14ac:dyDescent="0.25">
      <c r="D100" s="640" t="s">
        <v>914</v>
      </c>
      <c r="E100" s="640" t="s">
        <v>915</v>
      </c>
      <c r="F100" s="474" t="s">
        <v>912</v>
      </c>
      <c r="K100" s="641" t="s">
        <v>916</v>
      </c>
      <c r="L100" s="641" t="s">
        <v>917</v>
      </c>
      <c r="M100" s="641"/>
      <c r="N100" s="641"/>
      <c r="O100" s="641"/>
      <c r="P100" s="641"/>
    </row>
    <row r="102" spans="1:31" s="586" customFormat="1" ht="7.5" customHeight="1" x14ac:dyDescent="0.25">
      <c r="D102" s="587"/>
      <c r="E102" s="587"/>
    </row>
    <row r="103" spans="1:31" s="588" customFormat="1" ht="19.5" x14ac:dyDescent="0.3">
      <c r="A103" s="453"/>
      <c r="C103" s="589" t="s">
        <v>918</v>
      </c>
      <c r="I103" s="588">
        <f>G134</f>
        <v>0</v>
      </c>
    </row>
    <row r="105" spans="1:31" ht="15.75" thickBot="1" x14ac:dyDescent="0.3">
      <c r="A105" s="642" t="s">
        <v>919</v>
      </c>
    </row>
    <row r="106" spans="1:31" ht="16.5" thickBot="1" x14ac:dyDescent="0.3">
      <c r="A106" s="643">
        <v>40954</v>
      </c>
      <c r="B106" s="644" t="s">
        <v>743</v>
      </c>
      <c r="D106" s="645">
        <v>1</v>
      </c>
    </row>
    <row r="107" spans="1:31" s="453" customFormat="1" x14ac:dyDescent="0.25">
      <c r="A107" s="485"/>
      <c r="B107" s="485"/>
      <c r="C107" s="485"/>
      <c r="D107" s="485"/>
      <c r="E107" s="485"/>
      <c r="F107" s="475"/>
      <c r="G107" s="474"/>
      <c r="H107" s="474"/>
      <c r="K107" s="474"/>
      <c r="L107" s="476"/>
      <c r="M107" s="476"/>
      <c r="N107" s="476"/>
      <c r="O107" s="476"/>
      <c r="P107" s="476"/>
      <c r="Q107" s="476"/>
      <c r="R107" s="476"/>
      <c r="S107" s="476"/>
      <c r="T107" s="476"/>
      <c r="U107" s="477"/>
      <c r="V107" s="476"/>
      <c r="W107" s="476"/>
      <c r="X107" s="476"/>
      <c r="Y107" s="476"/>
      <c r="Z107" s="476"/>
      <c r="AA107" s="476"/>
    </row>
    <row r="108" spans="1:31" s="646" customFormat="1" ht="7.5" customHeight="1" x14ac:dyDescent="0.25">
      <c r="D108" s="647"/>
      <c r="E108" s="647"/>
    </row>
    <row r="109" spans="1:31" s="453" customFormat="1" ht="19.5" x14ac:dyDescent="0.3">
      <c r="C109" s="454" t="s">
        <v>920</v>
      </c>
    </row>
    <row r="111" spans="1:31" ht="15.75" thickBot="1" x14ac:dyDescent="0.3">
      <c r="A111" s="642" t="s">
        <v>921</v>
      </c>
    </row>
    <row r="112" spans="1:31" ht="15.75" thickBot="1" x14ac:dyDescent="0.3">
      <c r="A112" s="455" t="s">
        <v>922</v>
      </c>
      <c r="B112" s="648" t="s">
        <v>923</v>
      </c>
      <c r="C112" s="648" t="s">
        <v>5</v>
      </c>
      <c r="D112" s="648" t="s">
        <v>924</v>
      </c>
      <c r="E112" s="648" t="s">
        <v>925</v>
      </c>
      <c r="F112" s="648" t="s">
        <v>926</v>
      </c>
      <c r="G112" s="648" t="s">
        <v>927</v>
      </c>
      <c r="H112" s="649" t="s">
        <v>928</v>
      </c>
      <c r="I112" s="650" t="s">
        <v>929</v>
      </c>
      <c r="J112" s="650" t="s">
        <v>930</v>
      </c>
    </row>
    <row r="113" spans="1:24" s="651" customFormat="1" x14ac:dyDescent="0.25">
      <c r="A113" s="468" t="s">
        <v>8</v>
      </c>
      <c r="J113" s="652"/>
      <c r="K113" s="652"/>
      <c r="L113" s="653"/>
      <c r="M113" s="654"/>
      <c r="N113" s="655"/>
      <c r="O113" s="427"/>
      <c r="P113" s="427"/>
      <c r="Q113" s="427"/>
      <c r="R113" s="427"/>
      <c r="S113" s="427"/>
      <c r="T113" s="427"/>
      <c r="U113" s="427"/>
      <c r="V113" s="427"/>
      <c r="W113" s="427"/>
      <c r="X113" s="427"/>
    </row>
    <row r="114" spans="1:24" x14ac:dyDescent="0.25">
      <c r="A114" s="455" t="s">
        <v>931</v>
      </c>
      <c r="B114" s="652" t="s">
        <v>932</v>
      </c>
      <c r="C114" s="652" t="s">
        <v>933</v>
      </c>
      <c r="D114" s="652" t="s">
        <v>932</v>
      </c>
      <c r="E114" s="652" t="s">
        <v>81</v>
      </c>
      <c r="F114" s="652" t="s">
        <v>777</v>
      </c>
      <c r="G114" s="652" t="s">
        <v>932</v>
      </c>
      <c r="H114" s="652" t="s">
        <v>932</v>
      </c>
      <c r="I114" s="652" t="s">
        <v>934</v>
      </c>
      <c r="J114" s="652" t="s">
        <v>934</v>
      </c>
      <c r="K114" s="652"/>
      <c r="L114" s="652"/>
      <c r="M114" s="652"/>
      <c r="N114" s="652"/>
    </row>
    <row r="115" spans="1:24" x14ac:dyDescent="0.25">
      <c r="A115" s="455" t="s">
        <v>935</v>
      </c>
      <c r="B115" s="652" t="s">
        <v>120</v>
      </c>
      <c r="C115" s="652" t="s">
        <v>34</v>
      </c>
      <c r="D115" s="652" t="s">
        <v>189</v>
      </c>
      <c r="E115" s="652" t="s">
        <v>936</v>
      </c>
      <c r="F115" s="652" t="s">
        <v>251</v>
      </c>
      <c r="G115" s="652" t="s">
        <v>937</v>
      </c>
      <c r="H115" s="656" t="s">
        <v>158</v>
      </c>
      <c r="I115" s="657" t="s">
        <v>938</v>
      </c>
      <c r="J115" s="652" t="s">
        <v>60</v>
      </c>
      <c r="K115" s="652"/>
      <c r="L115" s="652"/>
      <c r="M115" s="652"/>
      <c r="N115" s="652"/>
    </row>
    <row r="116" spans="1:24" x14ac:dyDescent="0.25">
      <c r="A116" s="455" t="s">
        <v>939</v>
      </c>
      <c r="E116" s="427" t="s">
        <v>940</v>
      </c>
      <c r="H116" s="427" t="s">
        <v>941</v>
      </c>
      <c r="I116" s="658"/>
      <c r="J116" s="659"/>
      <c r="N116" s="659"/>
      <c r="O116" s="659"/>
      <c r="P116" s="660"/>
      <c r="Q116" s="659"/>
    </row>
    <row r="117" spans="1:24" x14ac:dyDescent="0.25">
      <c r="A117" s="455" t="s">
        <v>942</v>
      </c>
      <c r="E117" s="661"/>
      <c r="H117" s="661" t="s">
        <v>943</v>
      </c>
      <c r="I117" s="662" t="s">
        <v>944</v>
      </c>
      <c r="J117" s="474"/>
      <c r="O117" s="663"/>
      <c r="S117" s="664"/>
      <c r="T117" s="664"/>
      <c r="U117" s="664"/>
      <c r="V117" s="664"/>
      <c r="W117" s="664"/>
    </row>
    <row r="119" spans="1:24" ht="15.75" thickBot="1" x14ac:dyDescent="0.3">
      <c r="A119" s="642" t="s">
        <v>945</v>
      </c>
    </row>
    <row r="120" spans="1:24" ht="15.75" thickBot="1" x14ac:dyDescent="0.3">
      <c r="A120" s="455" t="s">
        <v>922</v>
      </c>
      <c r="B120" s="648" t="s">
        <v>923</v>
      </c>
      <c r="C120" s="648" t="s">
        <v>5</v>
      </c>
      <c r="D120" s="648" t="s">
        <v>924</v>
      </c>
      <c r="E120" s="648" t="s">
        <v>925</v>
      </c>
      <c r="F120" s="648" t="s">
        <v>926</v>
      </c>
      <c r="G120" s="648" t="s">
        <v>927</v>
      </c>
      <c r="H120" s="649" t="s">
        <v>928</v>
      </c>
      <c r="I120" s="650" t="s">
        <v>929</v>
      </c>
      <c r="J120" s="650" t="s">
        <v>930</v>
      </c>
    </row>
    <row r="121" spans="1:24" s="651" customFormat="1" x14ac:dyDescent="0.25">
      <c r="A121" s="468" t="s">
        <v>8</v>
      </c>
      <c r="J121" s="652"/>
      <c r="K121" s="652"/>
      <c r="L121" s="653"/>
      <c r="M121" s="654"/>
      <c r="N121" s="655"/>
      <c r="O121" s="427"/>
      <c r="P121" s="427"/>
      <c r="Q121" s="427"/>
      <c r="R121" s="427"/>
      <c r="S121" s="427"/>
      <c r="T121" s="427"/>
      <c r="U121" s="427"/>
      <c r="V121" s="427"/>
      <c r="W121" s="427"/>
      <c r="X121" s="427"/>
    </row>
    <row r="122" spans="1:24" x14ac:dyDescent="0.25">
      <c r="A122" s="455" t="s">
        <v>931</v>
      </c>
      <c r="B122" s="652" t="s">
        <v>932</v>
      </c>
      <c r="C122" s="652" t="s">
        <v>933</v>
      </c>
      <c r="D122" s="652" t="s">
        <v>932</v>
      </c>
      <c r="E122" s="652" t="s">
        <v>81</v>
      </c>
      <c r="F122" s="652" t="s">
        <v>777</v>
      </c>
      <c r="G122" s="652" t="s">
        <v>932</v>
      </c>
      <c r="H122" s="652" t="s">
        <v>932</v>
      </c>
      <c r="I122" s="652" t="s">
        <v>934</v>
      </c>
      <c r="J122" s="652" t="s">
        <v>934</v>
      </c>
      <c r="K122" s="652"/>
      <c r="L122" s="652"/>
      <c r="M122" s="652"/>
      <c r="N122" s="652"/>
    </row>
    <row r="123" spans="1:24" x14ac:dyDescent="0.25">
      <c r="A123" s="455" t="s">
        <v>935</v>
      </c>
      <c r="B123" s="652" t="s">
        <v>120</v>
      </c>
      <c r="C123" s="652" t="s">
        <v>34</v>
      </c>
      <c r="D123" s="652" t="s">
        <v>189</v>
      </c>
      <c r="E123" s="652" t="s">
        <v>936</v>
      </c>
      <c r="F123" s="652" t="s">
        <v>251</v>
      </c>
      <c r="G123" s="652" t="s">
        <v>937</v>
      </c>
      <c r="H123" s="656" t="s">
        <v>158</v>
      </c>
      <c r="I123" s="665" t="s">
        <v>946</v>
      </c>
      <c r="J123" s="652" t="s">
        <v>60</v>
      </c>
      <c r="K123" s="652"/>
      <c r="L123" s="652"/>
      <c r="M123" s="652"/>
      <c r="N123" s="652"/>
    </row>
    <row r="124" spans="1:24" x14ac:dyDescent="0.25">
      <c r="A124" s="455" t="s">
        <v>939</v>
      </c>
      <c r="B124" s="427" t="s">
        <v>947</v>
      </c>
      <c r="E124" s="427" t="s">
        <v>940</v>
      </c>
      <c r="H124" s="427" t="s">
        <v>941</v>
      </c>
      <c r="I124" s="666" t="s">
        <v>948</v>
      </c>
      <c r="J124" s="659"/>
      <c r="N124" s="659"/>
      <c r="O124" s="659"/>
      <c r="P124" s="660"/>
      <c r="Q124" s="659"/>
    </row>
    <row r="125" spans="1:24" x14ac:dyDescent="0.25">
      <c r="A125" s="455" t="s">
        <v>942</v>
      </c>
      <c r="E125" s="661"/>
      <c r="H125" s="661" t="s">
        <v>943</v>
      </c>
      <c r="I125" s="667"/>
      <c r="J125" s="474"/>
      <c r="O125" s="663"/>
      <c r="S125" s="664"/>
      <c r="T125" s="664"/>
      <c r="U125" s="664"/>
      <c r="V125" s="664"/>
      <c r="W125" s="664"/>
    </row>
    <row r="127" spans="1:24" ht="15.75" thickBot="1" x14ac:dyDescent="0.3">
      <c r="A127" s="642" t="s">
        <v>949</v>
      </c>
    </row>
    <row r="128" spans="1:24" s="404" customFormat="1" ht="15.75" thickBot="1" x14ac:dyDescent="0.3">
      <c r="A128" s="455" t="s">
        <v>922</v>
      </c>
      <c r="B128" s="668" t="s">
        <v>950</v>
      </c>
      <c r="C128" s="668" t="s">
        <v>5</v>
      </c>
      <c r="D128" s="669" t="s">
        <v>951</v>
      </c>
      <c r="E128" s="670" t="s">
        <v>253</v>
      </c>
      <c r="F128" s="669" t="s">
        <v>952</v>
      </c>
      <c r="G128" s="671" t="s">
        <v>280</v>
      </c>
      <c r="H128" s="669" t="s">
        <v>953</v>
      </c>
      <c r="I128" s="671" t="s">
        <v>954</v>
      </c>
      <c r="J128" s="670" t="s">
        <v>955</v>
      </c>
      <c r="K128" s="671" t="s">
        <v>956</v>
      </c>
      <c r="L128" s="669" t="s">
        <v>957</v>
      </c>
      <c r="M128" s="672" t="s">
        <v>925</v>
      </c>
      <c r="N128" s="673" t="s">
        <v>396</v>
      </c>
      <c r="O128" s="674" t="s">
        <v>397</v>
      </c>
      <c r="P128" s="674" t="s">
        <v>958</v>
      </c>
      <c r="Q128" s="674" t="s">
        <v>959</v>
      </c>
      <c r="R128" s="675" t="s">
        <v>960</v>
      </c>
      <c r="S128" s="675" t="s">
        <v>961</v>
      </c>
      <c r="T128" s="675" t="s">
        <v>962</v>
      </c>
      <c r="U128" s="675" t="s">
        <v>963</v>
      </c>
      <c r="V128" s="675" t="s">
        <v>964</v>
      </c>
    </row>
    <row r="129" spans="1:25" s="651" customFormat="1" x14ac:dyDescent="0.25">
      <c r="A129" s="468" t="s">
        <v>8</v>
      </c>
      <c r="B129" s="654" t="s">
        <v>965</v>
      </c>
      <c r="C129" s="676">
        <v>40918</v>
      </c>
      <c r="D129" s="653" t="s">
        <v>258</v>
      </c>
      <c r="E129" s="677"/>
      <c r="F129" s="653" t="s">
        <v>372</v>
      </c>
      <c r="G129" s="678"/>
      <c r="H129" s="653" t="s">
        <v>966</v>
      </c>
      <c r="I129" s="679"/>
      <c r="J129" s="653" t="s">
        <v>967</v>
      </c>
      <c r="K129" s="653"/>
      <c r="L129" s="654" t="s">
        <v>820</v>
      </c>
      <c r="M129" s="655">
        <v>130000</v>
      </c>
      <c r="N129" s="680" t="s">
        <v>399</v>
      </c>
      <c r="O129" s="681" t="s">
        <v>400</v>
      </c>
      <c r="P129" s="682"/>
      <c r="Q129" s="683"/>
      <c r="R129" s="684"/>
      <c r="S129" s="684"/>
      <c r="T129" s="684"/>
      <c r="U129" s="684"/>
      <c r="V129" s="684"/>
      <c r="W129" s="404"/>
    </row>
    <row r="130" spans="1:25" x14ac:dyDescent="0.25">
      <c r="A130" s="455" t="s">
        <v>931</v>
      </c>
      <c r="B130" s="652" t="s">
        <v>932</v>
      </c>
      <c r="C130" s="652" t="s">
        <v>932</v>
      </c>
      <c r="D130" s="652" t="s">
        <v>968</v>
      </c>
      <c r="E130" s="652" t="s">
        <v>969</v>
      </c>
      <c r="F130" s="652" t="s">
        <v>968</v>
      </c>
      <c r="G130" s="652" t="s">
        <v>969</v>
      </c>
      <c r="H130" s="652" t="s">
        <v>932</v>
      </c>
      <c r="I130" s="652" t="s">
        <v>969</v>
      </c>
      <c r="J130" s="652" t="s">
        <v>968</v>
      </c>
      <c r="K130" s="652" t="s">
        <v>932</v>
      </c>
      <c r="L130" s="652" t="s">
        <v>166</v>
      </c>
      <c r="M130" s="652" t="s">
        <v>177</v>
      </c>
      <c r="N130" s="652" t="s">
        <v>34</v>
      </c>
      <c r="O130" s="652" t="s">
        <v>60</v>
      </c>
      <c r="P130" s="652" t="s">
        <v>167</v>
      </c>
      <c r="Q130" s="652" t="s">
        <v>60</v>
      </c>
      <c r="R130" s="652" t="s">
        <v>81</v>
      </c>
      <c r="S130" s="652" t="s">
        <v>81</v>
      </c>
      <c r="T130" s="652" t="s">
        <v>968</v>
      </c>
      <c r="U130" s="652" t="s">
        <v>167</v>
      </c>
      <c r="V130" s="652" t="s">
        <v>167</v>
      </c>
    </row>
    <row r="131" spans="1:25" x14ac:dyDescent="0.25">
      <c r="A131" s="455" t="s">
        <v>935</v>
      </c>
      <c r="B131" s="652">
        <v>10</v>
      </c>
      <c r="C131" s="652">
        <v>12</v>
      </c>
      <c r="D131" s="652" t="s">
        <v>970</v>
      </c>
      <c r="E131" s="652" t="s">
        <v>970</v>
      </c>
      <c r="F131" s="652" t="s">
        <v>84</v>
      </c>
      <c r="G131" s="652" t="s">
        <v>84</v>
      </c>
      <c r="H131" s="652" t="s">
        <v>250</v>
      </c>
      <c r="I131" s="652" t="s">
        <v>170</v>
      </c>
      <c r="J131" s="652" t="s">
        <v>971</v>
      </c>
      <c r="K131" s="652">
        <v>18</v>
      </c>
      <c r="L131" s="652" t="s">
        <v>972</v>
      </c>
      <c r="M131" s="652" t="s">
        <v>78</v>
      </c>
      <c r="N131" s="652" t="s">
        <v>973</v>
      </c>
      <c r="O131" s="652" t="s">
        <v>973</v>
      </c>
      <c r="P131" s="652" t="s">
        <v>973</v>
      </c>
      <c r="Q131" s="652">
        <v>12</v>
      </c>
      <c r="R131" s="652" t="s">
        <v>170</v>
      </c>
      <c r="S131" s="652" t="s">
        <v>170</v>
      </c>
      <c r="T131" s="652" t="s">
        <v>170</v>
      </c>
      <c r="U131" s="652" t="s">
        <v>170</v>
      </c>
      <c r="V131" s="652" t="s">
        <v>170</v>
      </c>
    </row>
    <row r="132" spans="1:25" x14ac:dyDescent="0.25">
      <c r="A132" s="455" t="s">
        <v>939</v>
      </c>
      <c r="E132" s="661" t="s">
        <v>974</v>
      </c>
      <c r="G132" s="661" t="s">
        <v>975</v>
      </c>
      <c r="I132" s="659"/>
      <c r="K132" s="661" t="s">
        <v>956</v>
      </c>
      <c r="M132" s="659" t="s">
        <v>940</v>
      </c>
      <c r="N132" s="659"/>
      <c r="O132" s="660" t="s">
        <v>976</v>
      </c>
      <c r="P132" s="659" t="s">
        <v>977</v>
      </c>
    </row>
    <row r="133" spans="1:25" x14ac:dyDescent="0.25">
      <c r="A133" s="455" t="s">
        <v>942</v>
      </c>
      <c r="E133" s="661"/>
      <c r="G133" s="661"/>
      <c r="I133" s="474"/>
      <c r="K133" s="664" t="s">
        <v>943</v>
      </c>
      <c r="N133" s="663"/>
      <c r="R133" s="664" t="s">
        <v>978</v>
      </c>
      <c r="S133" s="664" t="s">
        <v>979</v>
      </c>
      <c r="T133" s="664" t="s">
        <v>980</v>
      </c>
      <c r="U133" s="664" t="s">
        <v>981</v>
      </c>
      <c r="V133" s="664" t="s">
        <v>982</v>
      </c>
    </row>
    <row r="135" spans="1:25" ht="15.75" thickBot="1" x14ac:dyDescent="0.3">
      <c r="A135" s="642" t="s">
        <v>983</v>
      </c>
      <c r="B135" s="642"/>
      <c r="C135" s="642"/>
      <c r="D135" s="642"/>
      <c r="E135" s="642"/>
      <c r="F135" s="642"/>
      <c r="G135" s="642"/>
      <c r="H135" s="642"/>
      <c r="I135" s="642"/>
      <c r="J135" s="642"/>
      <c r="P135" s="642"/>
      <c r="Q135" s="642"/>
    </row>
    <row r="136" spans="1:25" ht="15.75" thickBot="1" x14ac:dyDescent="0.3">
      <c r="A136" s="631" t="s">
        <v>157</v>
      </c>
      <c r="B136" s="455" t="s">
        <v>922</v>
      </c>
      <c r="C136" s="648" t="s">
        <v>984</v>
      </c>
      <c r="D136" s="648" t="s">
        <v>773</v>
      </c>
      <c r="E136" s="648" t="s">
        <v>985</v>
      </c>
      <c r="F136" s="648" t="s">
        <v>986</v>
      </c>
      <c r="G136" s="648" t="s">
        <v>925</v>
      </c>
      <c r="H136" s="648" t="s">
        <v>987</v>
      </c>
      <c r="I136" s="648" t="s">
        <v>988</v>
      </c>
      <c r="J136" s="648" t="s">
        <v>989</v>
      </c>
      <c r="K136" s="648" t="s">
        <v>990</v>
      </c>
      <c r="L136" s="648" t="s">
        <v>991</v>
      </c>
      <c r="M136" s="648" t="s">
        <v>992</v>
      </c>
      <c r="N136" s="648" t="s">
        <v>993</v>
      </c>
      <c r="P136" s="648" t="s">
        <v>988</v>
      </c>
      <c r="Q136" s="648" t="s">
        <v>989</v>
      </c>
      <c r="R136" s="648" t="s">
        <v>990</v>
      </c>
      <c r="S136" s="648" t="s">
        <v>991</v>
      </c>
      <c r="T136" s="648" t="s">
        <v>992</v>
      </c>
      <c r="U136" s="648" t="s">
        <v>993</v>
      </c>
    </row>
    <row r="137" spans="1:25" s="651" customFormat="1" x14ac:dyDescent="0.25">
      <c r="A137" s="637"/>
      <c r="B137" s="468" t="s">
        <v>8</v>
      </c>
      <c r="C137" s="685" t="s">
        <v>994</v>
      </c>
      <c r="D137" s="676" t="s">
        <v>995</v>
      </c>
      <c r="E137" s="686" t="s">
        <v>996</v>
      </c>
      <c r="F137" s="677"/>
      <c r="G137" s="687">
        <v>2298687.7200000002</v>
      </c>
      <c r="H137" s="678"/>
      <c r="I137" s="688" t="s">
        <v>461</v>
      </c>
      <c r="J137" s="689" t="s">
        <v>997</v>
      </c>
      <c r="K137" s="688"/>
      <c r="L137" s="688"/>
      <c r="M137" s="690"/>
      <c r="N137" s="691"/>
      <c r="O137" s="427"/>
      <c r="P137" s="653" t="s">
        <v>461</v>
      </c>
      <c r="Q137" s="692"/>
      <c r="R137" s="653" t="s">
        <v>998</v>
      </c>
      <c r="S137" s="653" t="s">
        <v>461</v>
      </c>
      <c r="T137" s="654" t="s">
        <v>340</v>
      </c>
      <c r="U137" s="655" t="s">
        <v>999</v>
      </c>
      <c r="V137" s="427"/>
      <c r="W137" s="427"/>
      <c r="X137" s="427"/>
      <c r="Y137" s="427"/>
    </row>
    <row r="138" spans="1:25" x14ac:dyDescent="0.25">
      <c r="A138" s="637"/>
      <c r="B138" s="455" t="s">
        <v>931</v>
      </c>
      <c r="C138" s="652" t="s">
        <v>250</v>
      </c>
      <c r="D138" s="652" t="s">
        <v>1000</v>
      </c>
      <c r="E138" s="652" t="s">
        <v>177</v>
      </c>
      <c r="F138" s="652" t="s">
        <v>250</v>
      </c>
      <c r="G138" s="652" t="s">
        <v>250</v>
      </c>
      <c r="H138" s="652" t="s">
        <v>60</v>
      </c>
      <c r="I138" s="693"/>
      <c r="J138" s="694"/>
      <c r="K138" s="652"/>
      <c r="L138" s="652"/>
      <c r="M138" s="652"/>
      <c r="N138" s="652"/>
      <c r="P138" s="652">
        <v>10</v>
      </c>
      <c r="Q138" s="652" t="s">
        <v>81</v>
      </c>
      <c r="R138" s="652" t="s">
        <v>34</v>
      </c>
      <c r="S138" s="652" t="s">
        <v>177</v>
      </c>
      <c r="T138" s="652" t="s">
        <v>81</v>
      </c>
      <c r="U138" s="652" t="s">
        <v>81</v>
      </c>
    </row>
    <row r="139" spans="1:25" x14ac:dyDescent="0.25">
      <c r="A139" s="637"/>
      <c r="B139" s="455" t="s">
        <v>935</v>
      </c>
      <c r="C139" s="652" t="s">
        <v>60</v>
      </c>
      <c r="D139" s="652" t="s">
        <v>60</v>
      </c>
      <c r="E139" s="652" t="s">
        <v>84</v>
      </c>
      <c r="F139" s="652" t="s">
        <v>78</v>
      </c>
      <c r="G139" s="652" t="s">
        <v>937</v>
      </c>
      <c r="H139" s="652" t="s">
        <v>973</v>
      </c>
      <c r="I139" s="693" t="s">
        <v>972</v>
      </c>
      <c r="J139" s="694"/>
      <c r="K139" s="652"/>
      <c r="L139" s="652"/>
      <c r="M139" s="652"/>
      <c r="N139" s="652"/>
      <c r="P139" s="652" t="s">
        <v>81</v>
      </c>
      <c r="Q139" s="652" t="s">
        <v>81</v>
      </c>
      <c r="R139" s="652"/>
      <c r="S139" s="652" t="s">
        <v>81</v>
      </c>
      <c r="T139" s="652" t="s">
        <v>251</v>
      </c>
      <c r="U139" s="652" t="s">
        <v>168</v>
      </c>
    </row>
    <row r="140" spans="1:25" x14ac:dyDescent="0.25">
      <c r="A140" s="637"/>
      <c r="B140" s="455" t="s">
        <v>939</v>
      </c>
      <c r="D140" s="661" t="s">
        <v>1001</v>
      </c>
      <c r="F140" s="661" t="s">
        <v>1002</v>
      </c>
      <c r="G140" s="695" t="s">
        <v>1003</v>
      </c>
      <c r="H140" s="661" t="s">
        <v>976</v>
      </c>
      <c r="I140" s="696" t="s">
        <v>1004</v>
      </c>
      <c r="K140" s="697"/>
      <c r="L140" s="696"/>
      <c r="M140" s="696"/>
      <c r="N140" s="698"/>
      <c r="P140" s="661" t="s">
        <v>1005</v>
      </c>
      <c r="Q140" s="696" t="s">
        <v>1006</v>
      </c>
      <c r="R140" s="697"/>
      <c r="S140" s="696" t="s">
        <v>1007</v>
      </c>
      <c r="T140" s="696" t="s">
        <v>1008</v>
      </c>
      <c r="U140" s="698"/>
    </row>
    <row r="141" spans="1:25" x14ac:dyDescent="0.25">
      <c r="A141" s="637"/>
      <c r="B141" s="455" t="s">
        <v>942</v>
      </c>
      <c r="C141" s="427" t="s">
        <v>1009</v>
      </c>
      <c r="D141" s="427" t="s">
        <v>1010</v>
      </c>
      <c r="F141" s="661"/>
      <c r="H141" s="661"/>
      <c r="J141" s="699"/>
      <c r="L141" s="664"/>
      <c r="Q141" s="474"/>
      <c r="S141" s="664"/>
      <c r="U141" s="427" t="s">
        <v>1011</v>
      </c>
    </row>
    <row r="143" spans="1:25" ht="15.75" thickBot="1" x14ac:dyDescent="0.3">
      <c r="A143" s="642" t="s">
        <v>1012</v>
      </c>
      <c r="B143" s="642"/>
      <c r="C143" s="642"/>
      <c r="D143" s="642"/>
      <c r="E143" s="642"/>
      <c r="F143" s="642"/>
      <c r="G143" s="642"/>
      <c r="H143" s="642"/>
      <c r="I143" s="642"/>
      <c r="J143" s="642"/>
    </row>
    <row r="144" spans="1:25" ht="15.75" thickBot="1" x14ac:dyDescent="0.3">
      <c r="A144" s="631" t="s">
        <v>32</v>
      </c>
      <c r="B144" s="455" t="s">
        <v>922</v>
      </c>
      <c r="C144" s="648" t="s">
        <v>984</v>
      </c>
      <c r="D144" s="648" t="s">
        <v>773</v>
      </c>
      <c r="E144" s="648" t="s">
        <v>985</v>
      </c>
      <c r="F144" s="648" t="s">
        <v>986</v>
      </c>
      <c r="G144" s="648" t="s">
        <v>925</v>
      </c>
      <c r="H144" s="648" t="s">
        <v>987</v>
      </c>
      <c r="I144" s="648" t="s">
        <v>988</v>
      </c>
      <c r="J144" s="648" t="s">
        <v>989</v>
      </c>
      <c r="K144" s="648" t="s">
        <v>990</v>
      </c>
      <c r="L144" s="648" t="s">
        <v>991</v>
      </c>
      <c r="M144" s="648" t="s">
        <v>992</v>
      </c>
      <c r="N144" s="648" t="s">
        <v>993</v>
      </c>
      <c r="Q144" s="423" t="s">
        <v>427</v>
      </c>
    </row>
    <row r="145" spans="1:25" s="651" customFormat="1" x14ac:dyDescent="0.25">
      <c r="A145" s="637"/>
      <c r="B145" s="468" t="s">
        <v>8</v>
      </c>
      <c r="C145" s="685" t="s">
        <v>994</v>
      </c>
      <c r="D145" s="676" t="s">
        <v>995</v>
      </c>
      <c r="E145" s="686" t="s">
        <v>996</v>
      </c>
      <c r="F145" s="677"/>
      <c r="G145" s="687">
        <v>2298687.7200000002</v>
      </c>
      <c r="H145" s="678"/>
      <c r="I145" s="700" t="s">
        <v>364</v>
      </c>
      <c r="J145" s="689" t="s">
        <v>997</v>
      </c>
      <c r="K145" s="701" t="s">
        <v>1013</v>
      </c>
      <c r="L145" s="701" t="s">
        <v>422</v>
      </c>
      <c r="M145" s="702" t="s">
        <v>290</v>
      </c>
      <c r="N145" s="691"/>
      <c r="O145" s="427"/>
      <c r="P145" s="427"/>
      <c r="Q145" s="423" t="s">
        <v>415</v>
      </c>
      <c r="R145" s="427"/>
      <c r="S145" s="427"/>
      <c r="T145" s="427"/>
      <c r="U145" s="427"/>
      <c r="V145" s="427"/>
      <c r="W145" s="427"/>
      <c r="X145" s="427"/>
      <c r="Y145" s="427"/>
    </row>
    <row r="146" spans="1:25" x14ac:dyDescent="0.25">
      <c r="A146" s="637"/>
      <c r="B146" s="455" t="s">
        <v>931</v>
      </c>
      <c r="C146" s="652" t="s">
        <v>250</v>
      </c>
      <c r="D146" s="652" t="s">
        <v>1000</v>
      </c>
      <c r="E146" s="652" t="s">
        <v>177</v>
      </c>
      <c r="F146" s="652" t="s">
        <v>250</v>
      </c>
      <c r="G146" s="652" t="s">
        <v>250</v>
      </c>
      <c r="H146" s="652" t="s">
        <v>60</v>
      </c>
      <c r="I146" s="652" t="s">
        <v>946</v>
      </c>
      <c r="J146" s="694"/>
      <c r="K146" s="652"/>
      <c r="L146" s="652"/>
      <c r="M146" s="652" t="s">
        <v>189</v>
      </c>
      <c r="N146" s="652"/>
      <c r="Q146" s="423" t="s">
        <v>418</v>
      </c>
    </row>
    <row r="147" spans="1:25" x14ac:dyDescent="0.25">
      <c r="A147" s="637"/>
      <c r="B147" s="455" t="s">
        <v>935</v>
      </c>
      <c r="C147" s="652" t="s">
        <v>170</v>
      </c>
      <c r="D147" s="652" t="s">
        <v>1014</v>
      </c>
      <c r="E147" s="694" t="s">
        <v>34</v>
      </c>
      <c r="F147" s="694" t="s">
        <v>937</v>
      </c>
      <c r="G147" s="652" t="s">
        <v>1015</v>
      </c>
      <c r="H147" s="652" t="s">
        <v>1016</v>
      </c>
      <c r="I147" s="652" t="s">
        <v>1017</v>
      </c>
      <c r="J147" s="694" t="s">
        <v>170</v>
      </c>
      <c r="K147" s="652" t="s">
        <v>1017</v>
      </c>
      <c r="L147" s="652" t="s">
        <v>1017</v>
      </c>
      <c r="M147" s="652" t="s">
        <v>937</v>
      </c>
      <c r="N147" s="652"/>
      <c r="Q147" s="423" t="s">
        <v>343</v>
      </c>
    </row>
    <row r="148" spans="1:25" ht="60" x14ac:dyDescent="0.25">
      <c r="A148" s="637"/>
      <c r="B148" s="455" t="s">
        <v>939</v>
      </c>
      <c r="C148" s="694" t="s">
        <v>1018</v>
      </c>
      <c r="D148" s="694" t="s">
        <v>1019</v>
      </c>
      <c r="E148" s="661"/>
      <c r="F148" s="703" t="s">
        <v>1002</v>
      </c>
      <c r="G148" s="694" t="s">
        <v>1018</v>
      </c>
      <c r="H148" s="694" t="s">
        <v>976</v>
      </c>
      <c r="I148" s="704" t="s">
        <v>1020</v>
      </c>
      <c r="J148" s="705" t="s">
        <v>1021</v>
      </c>
      <c r="K148" s="706" t="s">
        <v>1022</v>
      </c>
      <c r="L148" s="704"/>
      <c r="M148" s="707" t="s">
        <v>1023</v>
      </c>
      <c r="N148" s="698"/>
      <c r="Q148" s="423" t="s">
        <v>462</v>
      </c>
    </row>
    <row r="149" spans="1:25" x14ac:dyDescent="0.25">
      <c r="A149" s="637"/>
      <c r="B149" s="455" t="s">
        <v>942</v>
      </c>
      <c r="E149" s="659"/>
      <c r="F149" s="661"/>
      <c r="H149" s="661"/>
      <c r="I149" s="661"/>
      <c r="J149" s="699"/>
      <c r="L149" s="664"/>
      <c r="M149" s="708"/>
    </row>
    <row r="150" spans="1:25" x14ac:dyDescent="0.25">
      <c r="I150" s="709"/>
    </row>
    <row r="151" spans="1:25" ht="15.75" thickBot="1" x14ac:dyDescent="0.3">
      <c r="A151" s="710" t="s">
        <v>1024</v>
      </c>
      <c r="B151" s="642"/>
      <c r="C151" s="642"/>
      <c r="D151" s="642"/>
      <c r="E151" s="642"/>
      <c r="F151" s="642"/>
      <c r="G151" s="642"/>
      <c r="H151" s="642"/>
      <c r="I151" s="642"/>
      <c r="J151" s="642"/>
    </row>
    <row r="152" spans="1:25" ht="15.75" thickBot="1" x14ac:dyDescent="0.3">
      <c r="A152" s="649" t="s">
        <v>928</v>
      </c>
      <c r="B152" s="649" t="s">
        <v>772</v>
      </c>
      <c r="J152" s="711"/>
    </row>
    <row r="154" spans="1:25" ht="15.75" thickBot="1" x14ac:dyDescent="0.3">
      <c r="A154" s="642" t="s">
        <v>1025</v>
      </c>
      <c r="B154" s="642"/>
      <c r="C154" s="642"/>
      <c r="D154" s="642"/>
      <c r="E154" s="642"/>
      <c r="F154" s="642"/>
      <c r="G154" s="642"/>
      <c r="H154" s="642"/>
      <c r="I154" s="642"/>
      <c r="J154" s="642"/>
    </row>
    <row r="155" spans="1:25" ht="15.75" thickBot="1" x14ac:dyDescent="0.3">
      <c r="A155" s="649" t="s">
        <v>1026</v>
      </c>
      <c r="B155" s="649" t="s">
        <v>1027</v>
      </c>
      <c r="J155" s="711"/>
    </row>
    <row r="157" spans="1:25" ht="15.75" thickBot="1" x14ac:dyDescent="0.3">
      <c r="A157" s="712" t="s">
        <v>1028</v>
      </c>
      <c r="B157" s="713"/>
      <c r="C157" s="713"/>
      <c r="D157" s="713"/>
      <c r="E157" s="713"/>
      <c r="F157" s="642"/>
      <c r="G157" s="642"/>
      <c r="H157" s="642"/>
      <c r="I157" s="642"/>
      <c r="J157" s="642"/>
    </row>
    <row r="158" spans="1:25" ht="15.75" thickBot="1" x14ac:dyDescent="0.3">
      <c r="A158" s="648" t="s">
        <v>1029</v>
      </c>
      <c r="B158" s="648" t="s">
        <v>1030</v>
      </c>
      <c r="C158" s="648" t="s">
        <v>986</v>
      </c>
      <c r="D158" s="648" t="s">
        <v>1031</v>
      </c>
      <c r="E158" s="648" t="s">
        <v>960</v>
      </c>
      <c r="F158" s="648" t="s">
        <v>961</v>
      </c>
      <c r="G158" s="648" t="s">
        <v>962</v>
      </c>
      <c r="H158" s="648" t="s">
        <v>963</v>
      </c>
      <c r="I158" s="648" t="s">
        <v>964</v>
      </c>
      <c r="J158" s="648" t="s">
        <v>1032</v>
      </c>
      <c r="K158" s="648" t="s">
        <v>1033</v>
      </c>
      <c r="L158" s="648" t="s">
        <v>1034</v>
      </c>
      <c r="M158" s="648" t="s">
        <v>1035</v>
      </c>
      <c r="N158" s="648" t="s">
        <v>1036</v>
      </c>
      <c r="O158" s="648" t="s">
        <v>1037</v>
      </c>
      <c r="P158" s="648" t="s">
        <v>1038</v>
      </c>
      <c r="Q158" s="648" t="s">
        <v>1039</v>
      </c>
      <c r="R158" s="648" t="s">
        <v>1040</v>
      </c>
      <c r="S158" s="648" t="s">
        <v>1041</v>
      </c>
      <c r="T158" s="648" t="s">
        <v>1042</v>
      </c>
      <c r="U158" s="648" t="s">
        <v>1043</v>
      </c>
      <c r="V158" s="714" t="s">
        <v>1044</v>
      </c>
    </row>
    <row r="160" spans="1:25" ht="15.75" thickBot="1" x14ac:dyDescent="0.3">
      <c r="A160" s="642" t="s">
        <v>1045</v>
      </c>
    </row>
    <row r="161" spans="1:38" ht="15.75" thickBot="1" x14ac:dyDescent="0.3">
      <c r="A161" s="648" t="s">
        <v>69</v>
      </c>
      <c r="B161" s="648" t="s">
        <v>904</v>
      </c>
      <c r="C161" s="648" t="s">
        <v>1031</v>
      </c>
      <c r="D161" s="648" t="s">
        <v>1036</v>
      </c>
      <c r="E161" s="648" t="s">
        <v>960</v>
      </c>
      <c r="F161" s="648" t="s">
        <v>961</v>
      </c>
      <c r="G161" s="648" t="s">
        <v>962</v>
      </c>
      <c r="H161" s="648" t="s">
        <v>963</v>
      </c>
      <c r="I161" s="648" t="s">
        <v>964</v>
      </c>
      <c r="J161" s="648" t="s">
        <v>1039</v>
      </c>
      <c r="K161" s="648" t="s">
        <v>1040</v>
      </c>
      <c r="L161" s="648" t="s">
        <v>1041</v>
      </c>
      <c r="M161" s="648" t="s">
        <v>1042</v>
      </c>
      <c r="N161" s="648" t="s">
        <v>1043</v>
      </c>
    </row>
    <row r="163" spans="1:38" ht="15.75" thickBot="1" x14ac:dyDescent="0.3">
      <c r="A163" s="642" t="s">
        <v>1046</v>
      </c>
    </row>
    <row r="164" spans="1:38" ht="15.75" thickBot="1" x14ac:dyDescent="0.3">
      <c r="A164" s="648" t="s">
        <v>1047</v>
      </c>
      <c r="B164" s="648" t="s">
        <v>904</v>
      </c>
      <c r="C164" s="648" t="s">
        <v>1048</v>
      </c>
    </row>
    <row r="165" spans="1:38" x14ac:dyDescent="0.25">
      <c r="A165" s="450" t="s">
        <v>250</v>
      </c>
      <c r="B165" s="450" t="s">
        <v>1049</v>
      </c>
      <c r="C165" s="450" t="s">
        <v>936</v>
      </c>
    </row>
    <row r="166" spans="1:38" ht="15.75" thickBot="1" x14ac:dyDescent="0.3">
      <c r="A166" s="450"/>
      <c r="B166" s="450"/>
    </row>
    <row r="167" spans="1:38" ht="15.75" thickBot="1" x14ac:dyDescent="0.3">
      <c r="A167" s="715" t="s">
        <v>1050</v>
      </c>
      <c r="B167" s="450"/>
      <c r="I167" s="716" t="s">
        <v>111</v>
      </c>
      <c r="N167" s="717" t="s">
        <v>884</v>
      </c>
    </row>
    <row r="168" spans="1:38" s="453" customFormat="1" ht="25.5" x14ac:dyDescent="0.25">
      <c r="A168" s="455" t="s">
        <v>746</v>
      </c>
      <c r="B168" s="718" t="s">
        <v>1051</v>
      </c>
      <c r="C168" s="607" t="s">
        <v>1052</v>
      </c>
      <c r="D168" s="719" t="s">
        <v>1053</v>
      </c>
      <c r="E168" s="719" t="s">
        <v>1054</v>
      </c>
      <c r="F168" s="720" t="s">
        <v>1055</v>
      </c>
      <c r="G168" s="720" t="s">
        <v>1056</v>
      </c>
      <c r="H168" s="720" t="s">
        <v>1057</v>
      </c>
      <c r="I168" s="721" t="s">
        <v>1058</v>
      </c>
      <c r="J168" s="722" t="s">
        <v>1059</v>
      </c>
      <c r="K168" s="723" t="s">
        <v>1060</v>
      </c>
      <c r="L168" s="724" t="s">
        <v>1061</v>
      </c>
      <c r="M168" s="724" t="s">
        <v>1062</v>
      </c>
      <c r="N168" s="724" t="s">
        <v>266</v>
      </c>
    </row>
    <row r="169" spans="1:38" s="453" customFormat="1" x14ac:dyDescent="0.25">
      <c r="A169" s="468" t="s">
        <v>774</v>
      </c>
      <c r="B169" s="625"/>
      <c r="C169" s="626"/>
    </row>
    <row r="170" spans="1:38" s="453" customFormat="1" x14ac:dyDescent="0.25">
      <c r="A170" s="455" t="s">
        <v>776</v>
      </c>
      <c r="B170" s="474">
        <v>1</v>
      </c>
      <c r="C170" s="474">
        <v>5</v>
      </c>
      <c r="D170" s="725">
        <v>45</v>
      </c>
      <c r="E170" s="725">
        <v>5</v>
      </c>
      <c r="F170" s="725">
        <v>7</v>
      </c>
      <c r="G170" s="725">
        <v>16</v>
      </c>
      <c r="H170" s="725">
        <v>10</v>
      </c>
      <c r="I170" s="725" t="s">
        <v>1063</v>
      </c>
      <c r="J170" s="725" t="s">
        <v>1064</v>
      </c>
      <c r="K170" s="725">
        <v>10</v>
      </c>
      <c r="L170" s="725" t="s">
        <v>1065</v>
      </c>
      <c r="M170" s="725" t="s">
        <v>932</v>
      </c>
      <c r="N170" s="725" t="s">
        <v>932</v>
      </c>
    </row>
    <row r="171" spans="1:38" s="453" customFormat="1" x14ac:dyDescent="0.25">
      <c r="A171" s="455" t="s">
        <v>778</v>
      </c>
      <c r="B171" s="726" t="s">
        <v>1066</v>
      </c>
      <c r="C171" s="474" t="s">
        <v>1067</v>
      </c>
      <c r="D171" s="474">
        <v>13</v>
      </c>
      <c r="E171" s="474">
        <v>14</v>
      </c>
      <c r="F171" s="474">
        <v>15</v>
      </c>
      <c r="G171" s="474">
        <v>16</v>
      </c>
      <c r="H171" s="474">
        <v>17</v>
      </c>
      <c r="I171" s="474">
        <v>18</v>
      </c>
      <c r="J171" s="474">
        <v>19</v>
      </c>
      <c r="K171" s="474">
        <v>20</v>
      </c>
      <c r="L171" s="474">
        <v>21</v>
      </c>
      <c r="M171" s="474">
        <v>22</v>
      </c>
      <c r="N171" s="474">
        <v>23</v>
      </c>
    </row>
    <row r="172" spans="1:38" s="652" customFormat="1" x14ac:dyDescent="0.25">
      <c r="A172" s="727" t="s">
        <v>779</v>
      </c>
      <c r="L172" s="652" t="s">
        <v>940</v>
      </c>
      <c r="M172" s="652" t="s">
        <v>940</v>
      </c>
      <c r="N172" s="652" t="s">
        <v>1068</v>
      </c>
    </row>
    <row r="173" spans="1:38" s="450" customFormat="1" x14ac:dyDescent="0.25">
      <c r="A173" s="455" t="s">
        <v>787</v>
      </c>
      <c r="C173" s="450" t="s">
        <v>1069</v>
      </c>
    </row>
    <row r="175" spans="1:38" s="453" customFormat="1" ht="25.5" x14ac:dyDescent="0.25">
      <c r="A175" s="455" t="s">
        <v>746</v>
      </c>
      <c r="B175" s="607" t="s">
        <v>1070</v>
      </c>
      <c r="C175" s="607" t="s">
        <v>1071</v>
      </c>
      <c r="D175" s="607" t="s">
        <v>1052</v>
      </c>
      <c r="E175" s="608" t="s">
        <v>875</v>
      </c>
      <c r="F175" s="609" t="s">
        <v>876</v>
      </c>
      <c r="G175" s="610" t="s">
        <v>877</v>
      </c>
      <c r="H175" s="607" t="s">
        <v>1072</v>
      </c>
      <c r="I175" s="607" t="s">
        <v>805</v>
      </c>
      <c r="J175" s="607" t="s">
        <v>878</v>
      </c>
      <c r="K175" s="607" t="s">
        <v>1073</v>
      </c>
      <c r="M175" s="611" t="s">
        <v>879</v>
      </c>
      <c r="N175" s="612" t="s">
        <v>880</v>
      </c>
      <c r="O175" s="613"/>
      <c r="P175" s="614" t="s">
        <v>102</v>
      </c>
      <c r="Q175" s="615" t="s">
        <v>881</v>
      </c>
      <c r="R175" s="614" t="s">
        <v>106</v>
      </c>
      <c r="S175" s="614" t="s">
        <v>52</v>
      </c>
      <c r="T175" s="614" t="s">
        <v>109</v>
      </c>
      <c r="U175" s="616" t="s">
        <v>111</v>
      </c>
      <c r="V175" s="617" t="s">
        <v>882</v>
      </c>
      <c r="W175" s="618" t="s">
        <v>883</v>
      </c>
      <c r="X175" s="614" t="s">
        <v>884</v>
      </c>
      <c r="Y175" s="619" t="s">
        <v>94</v>
      </c>
      <c r="Z175" s="620" t="s">
        <v>94</v>
      </c>
      <c r="AA175" s="620" t="s">
        <v>94</v>
      </c>
      <c r="AB175" s="620" t="s">
        <v>94</v>
      </c>
      <c r="AC175" s="614" t="s">
        <v>94</v>
      </c>
      <c r="AD175" s="614" t="s">
        <v>885</v>
      </c>
      <c r="AE175" s="614" t="s">
        <v>94</v>
      </c>
      <c r="AF175" s="614" t="s">
        <v>94</v>
      </c>
      <c r="AG175" s="621" t="s">
        <v>886</v>
      </c>
      <c r="AH175" s="622" t="s">
        <v>94</v>
      </c>
      <c r="AI175" s="614" t="s">
        <v>94</v>
      </c>
      <c r="AJ175" s="614" t="s">
        <v>94</v>
      </c>
      <c r="AK175" s="623" t="s">
        <v>887</v>
      </c>
      <c r="AL175" s="624"/>
    </row>
    <row r="176" spans="1:38" s="453" customFormat="1" x14ac:dyDescent="0.25">
      <c r="A176" s="468" t="s">
        <v>774</v>
      </c>
      <c r="B176" s="625"/>
      <c r="C176" s="625" t="str">
        <f>IF(B176&lt;&gt;"",1,"")</f>
        <v/>
      </c>
      <c r="D176" s="626"/>
      <c r="E176" s="728"/>
      <c r="F176" s="470"/>
      <c r="G176" s="629">
        <f>U176</f>
        <v>0</v>
      </c>
      <c r="H176" s="471"/>
      <c r="I176" s="475"/>
    </row>
    <row r="177" spans="1:38" s="453" customFormat="1" x14ac:dyDescent="0.25">
      <c r="A177" s="455" t="s">
        <v>776</v>
      </c>
      <c r="B177" s="474">
        <v>1</v>
      </c>
      <c r="C177" s="474"/>
      <c r="D177" s="474">
        <v>5</v>
      </c>
      <c r="E177" s="474">
        <v>8</v>
      </c>
      <c r="F177" s="474">
        <v>13</v>
      </c>
      <c r="G177" s="474">
        <v>14</v>
      </c>
      <c r="H177" s="474">
        <v>11</v>
      </c>
      <c r="I177" s="475">
        <v>20</v>
      </c>
      <c r="J177" s="476">
        <v>15</v>
      </c>
      <c r="K177" s="476">
        <v>10</v>
      </c>
      <c r="L177" s="476">
        <v>6</v>
      </c>
      <c r="M177" s="476">
        <v>6</v>
      </c>
      <c r="N177" s="476">
        <v>10</v>
      </c>
      <c r="O177" s="476">
        <v>1</v>
      </c>
      <c r="P177" s="476">
        <v>45</v>
      </c>
      <c r="Q177" s="476"/>
      <c r="R177" s="476">
        <v>13</v>
      </c>
      <c r="S177" s="476">
        <v>16</v>
      </c>
      <c r="T177" s="476">
        <v>10</v>
      </c>
      <c r="U177" s="476">
        <v>10</v>
      </c>
      <c r="V177" s="476">
        <v>10</v>
      </c>
      <c r="W177" s="476">
        <v>10</v>
      </c>
      <c r="X177" s="476">
        <v>10</v>
      </c>
      <c r="Y177" s="476">
        <v>10</v>
      </c>
      <c r="Z177" s="476">
        <v>0</v>
      </c>
      <c r="AA177" s="476">
        <v>0</v>
      </c>
      <c r="AB177" s="476">
        <v>0</v>
      </c>
      <c r="AC177" s="476">
        <v>0</v>
      </c>
      <c r="AD177" s="476">
        <v>0</v>
      </c>
      <c r="AE177" s="476">
        <v>0</v>
      </c>
      <c r="AF177" s="476">
        <v>0</v>
      </c>
      <c r="AG177" s="476">
        <v>0</v>
      </c>
      <c r="AH177" s="476">
        <v>0</v>
      </c>
      <c r="AI177" s="476">
        <v>0</v>
      </c>
      <c r="AJ177" s="476">
        <v>0</v>
      </c>
      <c r="AK177" s="476">
        <v>0</v>
      </c>
      <c r="AL177" s="476">
        <v>0</v>
      </c>
    </row>
    <row r="178" spans="1:38" s="453" customFormat="1" x14ac:dyDescent="0.25">
      <c r="A178" s="455" t="s">
        <v>778</v>
      </c>
      <c r="B178" s="474">
        <v>5</v>
      </c>
      <c r="C178" s="474"/>
      <c r="D178" s="474">
        <v>1</v>
      </c>
      <c r="E178" s="474">
        <v>2</v>
      </c>
      <c r="F178" s="474">
        <v>2</v>
      </c>
      <c r="G178" s="474"/>
      <c r="H178" s="474">
        <v>2</v>
      </c>
      <c r="I178" s="453">
        <v>2</v>
      </c>
      <c r="J178" s="453">
        <v>2</v>
      </c>
      <c r="K178" s="474">
        <v>2</v>
      </c>
      <c r="L178" s="475">
        <v>-1</v>
      </c>
      <c r="M178" s="474"/>
      <c r="P178" s="474"/>
      <c r="Q178" s="474"/>
      <c r="R178" s="476"/>
      <c r="S178" s="476"/>
      <c r="T178" s="476"/>
      <c r="U178" s="476"/>
      <c r="V178" s="476"/>
      <c r="W178" s="476"/>
      <c r="X178" s="476"/>
      <c r="Y178" s="476"/>
      <c r="Z178" s="476"/>
      <c r="AA178" s="477"/>
      <c r="AB178" s="476"/>
      <c r="AC178" s="476"/>
      <c r="AD178" s="476"/>
      <c r="AE178" s="476"/>
      <c r="AF178" s="476"/>
      <c r="AG178" s="476"/>
    </row>
    <row r="179" spans="1:38" s="453" customFormat="1" ht="44.25" customHeight="1" x14ac:dyDescent="0.25">
      <c r="A179" s="455" t="s">
        <v>779</v>
      </c>
      <c r="B179" s="729"/>
      <c r="C179" s="730" t="s">
        <v>1074</v>
      </c>
      <c r="D179" s="731" t="s">
        <v>1075</v>
      </c>
      <c r="E179" s="732" t="s">
        <v>1076</v>
      </c>
      <c r="F179" s="732" t="s">
        <v>1077</v>
      </c>
      <c r="G179" s="474"/>
      <c r="H179" s="732" t="s">
        <v>915</v>
      </c>
      <c r="I179" s="732" t="s">
        <v>914</v>
      </c>
      <c r="J179" s="729" t="s">
        <v>917</v>
      </c>
      <c r="K179" s="729" t="s">
        <v>1078</v>
      </c>
      <c r="L179" s="474"/>
      <c r="M179" s="474"/>
      <c r="P179" s="733" t="s">
        <v>890</v>
      </c>
      <c r="Q179" s="733"/>
      <c r="R179" s="476"/>
      <c r="S179" s="476"/>
      <c r="T179" s="476"/>
      <c r="U179" s="476"/>
      <c r="V179" s="476"/>
      <c r="W179" s="476"/>
      <c r="X179" s="476"/>
      <c r="Y179" s="476"/>
      <c r="Z179" s="476"/>
      <c r="AA179" s="477"/>
      <c r="AB179" s="476"/>
      <c r="AC179" s="476"/>
      <c r="AD179" s="476"/>
      <c r="AE179" s="476"/>
      <c r="AF179" s="476"/>
      <c r="AG179" s="476"/>
    </row>
    <row r="180" spans="1:38" s="453" customFormat="1" x14ac:dyDescent="0.25">
      <c r="A180" s="455" t="s">
        <v>787</v>
      </c>
      <c r="B180" s="474" t="s">
        <v>891</v>
      </c>
      <c r="C180" s="474"/>
      <c r="D180" s="474"/>
      <c r="E180" s="485"/>
      <c r="F180" s="485"/>
      <c r="G180" s="485"/>
      <c r="H180" s="485"/>
      <c r="I180" s="475"/>
      <c r="J180" s="474"/>
      <c r="K180" s="474"/>
      <c r="L180" s="474"/>
      <c r="M180" s="474"/>
      <c r="P180" s="474"/>
      <c r="Q180" s="474"/>
      <c r="R180" s="476"/>
      <c r="S180" s="476"/>
      <c r="T180" s="476"/>
      <c r="U180" s="476"/>
      <c r="V180" s="476"/>
      <c r="W180" s="476"/>
      <c r="X180" s="476"/>
      <c r="Y180" s="476"/>
      <c r="Z180" s="476"/>
      <c r="AA180" s="477"/>
      <c r="AB180" s="476"/>
      <c r="AC180" s="476"/>
      <c r="AD180" s="476"/>
      <c r="AE180" s="476"/>
      <c r="AF180" s="476"/>
      <c r="AG180" s="476"/>
    </row>
    <row r="182" spans="1:38" ht="15.75" thickBot="1" x14ac:dyDescent="0.3">
      <c r="A182" s="715" t="s">
        <v>1079</v>
      </c>
      <c r="B182" s="450"/>
    </row>
    <row r="183" spans="1:38" ht="29.25" customHeight="1" thickBot="1" x14ac:dyDescent="0.3">
      <c r="A183" s="455" t="s">
        <v>922</v>
      </c>
      <c r="B183" s="734" t="s">
        <v>1080</v>
      </c>
      <c r="C183" s="734" t="s">
        <v>1081</v>
      </c>
      <c r="D183" s="734" t="s">
        <v>1082</v>
      </c>
      <c r="E183" s="734" t="s">
        <v>876</v>
      </c>
      <c r="F183" s="734" t="s">
        <v>109</v>
      </c>
      <c r="G183" s="734" t="s">
        <v>805</v>
      </c>
      <c r="H183" s="734" t="s">
        <v>127</v>
      </c>
      <c r="I183" s="734" t="s">
        <v>1083</v>
      </c>
      <c r="J183" s="734" t="s">
        <v>1084</v>
      </c>
      <c r="K183" s="734" t="s">
        <v>1085</v>
      </c>
      <c r="L183" s="735" t="s">
        <v>930</v>
      </c>
      <c r="M183" s="734" t="s">
        <v>1086</v>
      </c>
    </row>
    <row r="184" spans="1:38" s="450" customFormat="1" x14ac:dyDescent="0.25">
      <c r="A184" s="468" t="s">
        <v>8</v>
      </c>
      <c r="B184" s="450" t="s">
        <v>1087</v>
      </c>
      <c r="C184" s="450" t="s">
        <v>1088</v>
      </c>
      <c r="D184" s="450" t="s">
        <v>1089</v>
      </c>
      <c r="E184" s="470" t="s">
        <v>1090</v>
      </c>
      <c r="F184" s="450" t="s">
        <v>391</v>
      </c>
      <c r="G184" s="450" t="s">
        <v>1091</v>
      </c>
      <c r="H184" s="450" t="s">
        <v>1092</v>
      </c>
      <c r="I184" s="450" t="s">
        <v>1093</v>
      </c>
      <c r="J184" s="450" t="s">
        <v>1094</v>
      </c>
      <c r="K184" s="652" t="s">
        <v>170</v>
      </c>
      <c r="L184" s="736" t="str">
        <f>H184&amp;" "&amp;C184&amp;" "&amp;B184</f>
        <v>394-1234567 7749/169409 04.04.2013 14:26:36</v>
      </c>
      <c r="M184" s="652" t="s">
        <v>170</v>
      </c>
      <c r="N184" s="427"/>
    </row>
    <row r="185" spans="1:38" s="450" customFormat="1" x14ac:dyDescent="0.25">
      <c r="A185" s="455" t="s">
        <v>931</v>
      </c>
      <c r="B185" s="652" t="s">
        <v>946</v>
      </c>
      <c r="C185" s="652" t="s">
        <v>1064</v>
      </c>
      <c r="D185" s="652" t="s">
        <v>166</v>
      </c>
      <c r="E185" s="652" t="s">
        <v>936</v>
      </c>
      <c r="F185" s="652" t="s">
        <v>81</v>
      </c>
      <c r="G185" s="652" t="s">
        <v>51</v>
      </c>
      <c r="H185" s="652" t="s">
        <v>177</v>
      </c>
      <c r="I185" s="652" t="s">
        <v>166</v>
      </c>
      <c r="J185" s="652" t="s">
        <v>51</v>
      </c>
      <c r="K185" s="652" t="s">
        <v>1095</v>
      </c>
      <c r="L185" s="737" t="s">
        <v>1096</v>
      </c>
      <c r="M185" s="652" t="s">
        <v>1097</v>
      </c>
      <c r="N185" s="427"/>
    </row>
    <row r="186" spans="1:38" s="450" customFormat="1" x14ac:dyDescent="0.25">
      <c r="A186" s="455" t="s">
        <v>935</v>
      </c>
      <c r="B186" s="450" t="s">
        <v>170</v>
      </c>
      <c r="C186" s="450" t="s">
        <v>170</v>
      </c>
      <c r="D186" s="652" t="s">
        <v>889</v>
      </c>
      <c r="E186" s="652" t="s">
        <v>889</v>
      </c>
      <c r="F186" s="652" t="s">
        <v>889</v>
      </c>
      <c r="G186" s="652" t="s">
        <v>889</v>
      </c>
      <c r="H186" s="738" t="s">
        <v>1066</v>
      </c>
      <c r="I186" s="652" t="s">
        <v>1098</v>
      </c>
      <c r="J186" s="738" t="s">
        <v>1099</v>
      </c>
      <c r="K186" s="738" t="s">
        <v>1100</v>
      </c>
      <c r="L186" s="738" t="s">
        <v>1101</v>
      </c>
      <c r="M186" s="450" t="s">
        <v>170</v>
      </c>
      <c r="N186" s="427"/>
    </row>
    <row r="187" spans="1:38" s="450" customFormat="1" x14ac:dyDescent="0.25">
      <c r="A187" s="455" t="s">
        <v>939</v>
      </c>
      <c r="B187" s="450" t="s">
        <v>1102</v>
      </c>
      <c r="C187" s="450" t="s">
        <v>1103</v>
      </c>
      <c r="L187" s="739"/>
      <c r="N187" s="427"/>
    </row>
    <row r="188" spans="1:38" s="450" customFormat="1" x14ac:dyDescent="0.25">
      <c r="A188" s="455" t="s">
        <v>942</v>
      </c>
      <c r="D188" s="740" t="s">
        <v>891</v>
      </c>
      <c r="E188" s="450" t="s">
        <v>1104</v>
      </c>
      <c r="F188" s="450" t="s">
        <v>1105</v>
      </c>
      <c r="G188" s="450" t="s">
        <v>1106</v>
      </c>
      <c r="I188" s="741" t="s">
        <v>1107</v>
      </c>
      <c r="L188" s="742"/>
    </row>
    <row r="190" spans="1:38" x14ac:dyDescent="0.25">
      <c r="A190" s="715" t="s">
        <v>1108</v>
      </c>
      <c r="B190" s="450"/>
    </row>
    <row r="191" spans="1:38" s="453" customFormat="1" x14ac:dyDescent="0.25">
      <c r="A191" s="455" t="s">
        <v>746</v>
      </c>
      <c r="B191" s="743" t="s">
        <v>127</v>
      </c>
      <c r="C191" s="744" t="s">
        <v>1109</v>
      </c>
      <c r="D191" s="652"/>
      <c r="E191" s="652"/>
      <c r="F191" s="652"/>
      <c r="G191" s="427"/>
      <c r="H191" s="427"/>
      <c r="I191" s="427"/>
      <c r="J191" s="427"/>
      <c r="K191" s="427"/>
      <c r="L191" s="427"/>
      <c r="M191" s="427"/>
      <c r="N191" s="427"/>
    </row>
    <row r="192" spans="1:38" s="453" customFormat="1" x14ac:dyDescent="0.25">
      <c r="A192" s="468" t="s">
        <v>774</v>
      </c>
      <c r="B192" s="745"/>
      <c r="C192" s="745"/>
      <c r="D192" s="652"/>
      <c r="E192" s="652"/>
      <c r="F192" s="652"/>
      <c r="G192" s="427"/>
      <c r="H192" s="427"/>
      <c r="I192" s="427"/>
      <c r="J192" s="427"/>
      <c r="K192" s="427"/>
      <c r="L192" s="427"/>
      <c r="M192" s="427"/>
      <c r="N192" s="427"/>
    </row>
    <row r="193" spans="1:18" s="453" customFormat="1" x14ac:dyDescent="0.25">
      <c r="A193" s="455" t="s">
        <v>776</v>
      </c>
      <c r="B193" s="474" t="s">
        <v>1110</v>
      </c>
      <c r="C193" s="474" t="s">
        <v>932</v>
      </c>
      <c r="D193" s="652"/>
      <c r="E193" s="652"/>
      <c r="F193" s="652"/>
      <c r="G193" s="427"/>
      <c r="H193" s="427"/>
      <c r="I193" s="427"/>
      <c r="J193" s="427"/>
      <c r="K193" s="427"/>
      <c r="L193" s="427"/>
      <c r="M193" s="427"/>
      <c r="N193" s="427"/>
    </row>
    <row r="194" spans="1:18" s="453" customFormat="1" x14ac:dyDescent="0.25">
      <c r="A194" s="455" t="s">
        <v>778</v>
      </c>
      <c r="B194" s="699">
        <v>4</v>
      </c>
      <c r="C194" s="699">
        <v>7</v>
      </c>
      <c r="D194" s="652"/>
      <c r="E194" s="652"/>
      <c r="F194" s="652"/>
      <c r="G194" s="427"/>
      <c r="H194" s="427"/>
      <c r="I194" s="427"/>
      <c r="J194" s="427"/>
      <c r="K194" s="427"/>
      <c r="L194" s="427"/>
      <c r="M194" s="427"/>
      <c r="N194" s="427"/>
    </row>
    <row r="195" spans="1:18" s="652" customFormat="1" x14ac:dyDescent="0.25">
      <c r="A195" s="727" t="s">
        <v>779</v>
      </c>
      <c r="B195" s="652" t="s">
        <v>1111</v>
      </c>
      <c r="C195" s="733" t="s">
        <v>1112</v>
      </c>
      <c r="G195" s="427"/>
      <c r="H195" s="427"/>
      <c r="I195" s="427"/>
      <c r="J195" s="427"/>
      <c r="K195" s="427"/>
      <c r="L195" s="427"/>
      <c r="M195" s="427"/>
      <c r="N195" s="427"/>
    </row>
    <row r="196" spans="1:18" s="450" customFormat="1" x14ac:dyDescent="0.25">
      <c r="A196" s="455" t="s">
        <v>787</v>
      </c>
      <c r="C196" s="652"/>
      <c r="D196" s="652"/>
      <c r="E196" s="652"/>
      <c r="F196" s="652"/>
      <c r="G196" s="427"/>
      <c r="H196" s="427"/>
      <c r="I196" s="427"/>
      <c r="J196" s="427"/>
      <c r="K196" s="427"/>
      <c r="L196" s="427"/>
      <c r="M196" s="427"/>
      <c r="N196" s="427"/>
    </row>
    <row r="198" spans="1:18" x14ac:dyDescent="0.25">
      <c r="A198" s="715" t="s">
        <v>1113</v>
      </c>
      <c r="B198" s="450"/>
    </row>
    <row r="199" spans="1:18" s="453" customFormat="1" x14ac:dyDescent="0.25">
      <c r="A199" s="455" t="s">
        <v>746</v>
      </c>
      <c r="B199" s="746" t="s">
        <v>127</v>
      </c>
      <c r="C199" s="746" t="s">
        <v>1114</v>
      </c>
      <c r="D199" s="746" t="s">
        <v>1115</v>
      </c>
      <c r="E199" s="746" t="s">
        <v>1116</v>
      </c>
      <c r="F199" s="746" t="s">
        <v>1117</v>
      </c>
      <c r="G199" s="746" t="s">
        <v>1118</v>
      </c>
      <c r="H199" s="746" t="s">
        <v>1119</v>
      </c>
      <c r="I199" s="746" t="s">
        <v>1120</v>
      </c>
      <c r="J199" s="746" t="s">
        <v>1121</v>
      </c>
      <c r="K199" s="746" t="s">
        <v>426</v>
      </c>
      <c r="L199" s="746" t="s">
        <v>1122</v>
      </c>
      <c r="M199" s="746" t="s">
        <v>1123</v>
      </c>
      <c r="N199" s="746" t="s">
        <v>1124</v>
      </c>
      <c r="O199" s="746" t="s">
        <v>1125</v>
      </c>
      <c r="P199" s="746" t="s">
        <v>1126</v>
      </c>
      <c r="Q199" s="746" t="s">
        <v>1127</v>
      </c>
      <c r="R199" s="746" t="s">
        <v>1128</v>
      </c>
    </row>
    <row r="200" spans="1:18" s="453" customFormat="1" x14ac:dyDescent="0.25">
      <c r="A200" s="468" t="s">
        <v>774</v>
      </c>
      <c r="B200" s="726" t="s">
        <v>1129</v>
      </c>
      <c r="C200" s="726" t="s">
        <v>1130</v>
      </c>
      <c r="D200" s="726"/>
      <c r="E200" s="726"/>
      <c r="F200" s="726"/>
      <c r="G200" s="726"/>
      <c r="H200" s="726"/>
      <c r="I200" s="726"/>
      <c r="J200" s="726"/>
      <c r="K200" s="726"/>
      <c r="L200" s="726" t="s">
        <v>1130</v>
      </c>
      <c r="M200" s="726"/>
      <c r="N200" s="726"/>
      <c r="O200" s="726" t="s">
        <v>1130</v>
      </c>
      <c r="P200" s="726"/>
      <c r="Q200" s="726"/>
      <c r="R200" s="726"/>
    </row>
    <row r="201" spans="1:18" s="453" customFormat="1" x14ac:dyDescent="0.25">
      <c r="A201" s="455" t="s">
        <v>776</v>
      </c>
      <c r="B201" s="474" t="s">
        <v>1110</v>
      </c>
      <c r="C201" s="474" t="s">
        <v>1110</v>
      </c>
      <c r="D201" s="474" t="s">
        <v>1110</v>
      </c>
      <c r="E201" s="474" t="s">
        <v>932</v>
      </c>
      <c r="F201" s="474" t="s">
        <v>777</v>
      </c>
      <c r="G201" s="474" t="s">
        <v>1131</v>
      </c>
      <c r="H201" s="474" t="s">
        <v>1132</v>
      </c>
      <c r="I201" s="474" t="s">
        <v>932</v>
      </c>
      <c r="J201" s="474" t="s">
        <v>932</v>
      </c>
      <c r="K201" s="474" t="s">
        <v>1132</v>
      </c>
      <c r="L201" s="474">
        <v>1</v>
      </c>
      <c r="M201" s="474" t="s">
        <v>932</v>
      </c>
      <c r="N201" s="474" t="s">
        <v>934</v>
      </c>
      <c r="O201" s="474" t="s">
        <v>934</v>
      </c>
      <c r="P201" s="474" t="s">
        <v>934</v>
      </c>
      <c r="Q201" s="474" t="s">
        <v>934</v>
      </c>
      <c r="R201" s="474" t="s">
        <v>934</v>
      </c>
    </row>
    <row r="202" spans="1:18" s="453" customFormat="1" x14ac:dyDescent="0.25">
      <c r="A202" s="455" t="s">
        <v>778</v>
      </c>
      <c r="B202" s="699"/>
      <c r="C202" s="699"/>
      <c r="D202" s="652"/>
      <c r="E202" s="652"/>
      <c r="F202" s="652"/>
      <c r="G202" s="652"/>
      <c r="H202" s="652"/>
      <c r="I202" s="652"/>
      <c r="J202" s="652"/>
      <c r="K202" s="427"/>
      <c r="L202" s="652"/>
      <c r="M202" s="652"/>
      <c r="N202" s="652"/>
      <c r="O202" s="652"/>
      <c r="P202" s="652"/>
      <c r="Q202" s="652"/>
      <c r="R202" s="427"/>
    </row>
    <row r="203" spans="1:18" s="652" customFormat="1" x14ac:dyDescent="0.25">
      <c r="A203" s="727" t="s">
        <v>779</v>
      </c>
      <c r="F203" s="427"/>
      <c r="G203" s="427"/>
      <c r="H203" s="427"/>
      <c r="I203" s="427"/>
      <c r="J203" s="427"/>
      <c r="K203" s="427"/>
      <c r="L203" s="427"/>
      <c r="M203" s="427"/>
    </row>
    <row r="204" spans="1:18" s="450" customFormat="1" x14ac:dyDescent="0.25">
      <c r="A204" s="455" t="s">
        <v>787</v>
      </c>
      <c r="C204" s="652"/>
      <c r="D204" s="652"/>
      <c r="E204" s="652"/>
      <c r="F204" s="427"/>
      <c r="G204" s="427"/>
      <c r="H204" s="427"/>
      <c r="I204" s="427"/>
      <c r="J204" s="427"/>
      <c r="K204" s="427"/>
      <c r="L204" s="427"/>
      <c r="M204" s="427"/>
    </row>
    <row r="205" spans="1:18" s="748" customFormat="1" x14ac:dyDescent="0.25">
      <c r="A205" s="747"/>
      <c r="C205" s="694"/>
      <c r="D205" s="694"/>
      <c r="E205" s="694"/>
      <c r="F205" s="709"/>
      <c r="G205" s="709"/>
      <c r="H205" s="709"/>
      <c r="I205" s="709"/>
      <c r="J205" s="709"/>
      <c r="K205" s="709"/>
      <c r="L205" s="709"/>
      <c r="M205" s="709"/>
    </row>
    <row r="206" spans="1:18" x14ac:dyDescent="0.25">
      <c r="A206" s="715" t="s">
        <v>1133</v>
      </c>
      <c r="B206" s="450"/>
    </row>
    <row r="207" spans="1:18" s="453" customFormat="1" x14ac:dyDescent="0.25">
      <c r="A207" s="455" t="s">
        <v>746</v>
      </c>
      <c r="B207" s="746" t="s">
        <v>127</v>
      </c>
      <c r="C207" s="746" t="s">
        <v>1114</v>
      </c>
      <c r="D207" s="746" t="s">
        <v>1115</v>
      </c>
      <c r="E207" s="746" t="s">
        <v>1116</v>
      </c>
      <c r="F207" s="746" t="s">
        <v>1117</v>
      </c>
      <c r="G207" s="746" t="s">
        <v>1118</v>
      </c>
      <c r="H207" s="746" t="s">
        <v>1119</v>
      </c>
      <c r="I207" s="746" t="s">
        <v>1120</v>
      </c>
      <c r="J207" s="746" t="s">
        <v>1121</v>
      </c>
      <c r="K207" s="746" t="s">
        <v>426</v>
      </c>
      <c r="L207" s="746" t="s">
        <v>1122</v>
      </c>
      <c r="M207" s="746" t="s">
        <v>1123</v>
      </c>
      <c r="N207" s="746" t="s">
        <v>1124</v>
      </c>
      <c r="O207" s="746" t="s">
        <v>1125</v>
      </c>
      <c r="P207" s="746" t="s">
        <v>1126</v>
      </c>
      <c r="Q207" s="746" t="s">
        <v>1127</v>
      </c>
      <c r="R207" s="746" t="s">
        <v>1128</v>
      </c>
    </row>
    <row r="208" spans="1:18" s="453" customFormat="1" x14ac:dyDescent="0.25">
      <c r="A208" s="468" t="s">
        <v>774</v>
      </c>
      <c r="B208" s="726" t="s">
        <v>1129</v>
      </c>
      <c r="C208" s="726" t="s">
        <v>1130</v>
      </c>
      <c r="D208" s="726"/>
      <c r="E208" s="726"/>
      <c r="F208" s="726"/>
      <c r="G208" s="726"/>
      <c r="H208" s="726"/>
      <c r="I208" s="726"/>
      <c r="J208" s="726"/>
      <c r="K208" s="726"/>
      <c r="L208" s="726" t="s">
        <v>1130</v>
      </c>
      <c r="M208" s="726"/>
      <c r="N208" s="726"/>
      <c r="O208" s="726" t="s">
        <v>1130</v>
      </c>
      <c r="P208" s="726"/>
      <c r="Q208" s="726"/>
      <c r="R208" s="726"/>
    </row>
    <row r="209" spans="1:47" s="453" customFormat="1" x14ac:dyDescent="0.25">
      <c r="A209" s="455" t="s">
        <v>776</v>
      </c>
      <c r="B209" s="474" t="s">
        <v>1110</v>
      </c>
      <c r="C209" s="474" t="s">
        <v>1110</v>
      </c>
      <c r="D209" s="474" t="s">
        <v>1110</v>
      </c>
      <c r="E209" s="474" t="s">
        <v>932</v>
      </c>
      <c r="F209" s="474" t="s">
        <v>777</v>
      </c>
      <c r="G209" s="474" t="s">
        <v>1131</v>
      </c>
      <c r="H209" s="474" t="s">
        <v>1132</v>
      </c>
      <c r="I209" s="474" t="s">
        <v>932</v>
      </c>
      <c r="J209" s="474" t="s">
        <v>932</v>
      </c>
      <c r="K209" s="474" t="s">
        <v>1132</v>
      </c>
      <c r="L209" s="474">
        <v>1</v>
      </c>
      <c r="M209" s="474" t="s">
        <v>932</v>
      </c>
      <c r="N209" s="474" t="s">
        <v>934</v>
      </c>
      <c r="O209" s="474" t="s">
        <v>934</v>
      </c>
      <c r="P209" s="474" t="s">
        <v>934</v>
      </c>
      <c r="Q209" s="474" t="s">
        <v>934</v>
      </c>
      <c r="R209" s="474" t="s">
        <v>934</v>
      </c>
    </row>
    <row r="210" spans="1:47" s="453" customFormat="1" x14ac:dyDescent="0.25">
      <c r="A210" s="455" t="s">
        <v>778</v>
      </c>
      <c r="B210" s="699"/>
      <c r="C210" s="699"/>
      <c r="D210" s="652"/>
      <c r="E210" s="652"/>
      <c r="F210" s="652"/>
      <c r="G210" s="652"/>
      <c r="H210" s="652"/>
      <c r="I210" s="652"/>
      <c r="J210" s="652"/>
      <c r="K210" s="427"/>
      <c r="L210" s="652"/>
      <c r="M210" s="652"/>
      <c r="N210" s="652"/>
      <c r="O210" s="652"/>
      <c r="P210" s="652"/>
      <c r="Q210" s="652"/>
      <c r="R210" s="427"/>
    </row>
    <row r="211" spans="1:47" s="652" customFormat="1" x14ac:dyDescent="0.25">
      <c r="A211" s="727" t="s">
        <v>779</v>
      </c>
      <c r="F211" s="427"/>
      <c r="G211" s="427"/>
      <c r="H211" s="427"/>
      <c r="I211" s="427"/>
      <c r="J211" s="427"/>
      <c r="K211" s="427"/>
      <c r="L211" s="427"/>
      <c r="M211" s="427"/>
    </row>
    <row r="212" spans="1:47" s="450" customFormat="1" x14ac:dyDescent="0.25">
      <c r="A212" s="455" t="s">
        <v>787</v>
      </c>
      <c r="C212" s="652"/>
      <c r="D212" s="652"/>
      <c r="E212" s="652"/>
      <c r="F212" s="427"/>
      <c r="G212" s="427"/>
      <c r="H212" s="427"/>
      <c r="I212" s="427"/>
      <c r="J212" s="427"/>
      <c r="K212" s="427"/>
      <c r="L212" s="427"/>
      <c r="M212" s="427"/>
    </row>
    <row r="213" spans="1:47" s="748" customFormat="1" x14ac:dyDescent="0.25">
      <c r="A213" s="747"/>
      <c r="C213" s="694"/>
      <c r="D213" s="694"/>
      <c r="E213" s="694"/>
      <c r="F213" s="709"/>
      <c r="G213" s="709"/>
      <c r="H213" s="709"/>
      <c r="I213" s="709"/>
      <c r="J213" s="709"/>
      <c r="K213" s="709"/>
      <c r="L213" s="709"/>
      <c r="M213" s="709"/>
    </row>
    <row r="214" spans="1:47" ht="15.75" thickBot="1" x14ac:dyDescent="0.3">
      <c r="A214" s="715" t="s">
        <v>1134</v>
      </c>
      <c r="G214" s="659"/>
    </row>
    <row r="215" spans="1:47" ht="71.25" thickBot="1" x14ac:dyDescent="0.3">
      <c r="A215" s="749" t="s">
        <v>1135</v>
      </c>
      <c r="B215" s="750" t="s">
        <v>1136</v>
      </c>
      <c r="C215" s="751">
        <v>40057</v>
      </c>
      <c r="D215" s="751">
        <v>40087</v>
      </c>
      <c r="E215" s="751">
        <v>40118</v>
      </c>
      <c r="F215" s="751">
        <v>40148</v>
      </c>
      <c r="G215" s="752" t="s">
        <v>1137</v>
      </c>
      <c r="H215" s="751">
        <v>40179</v>
      </c>
      <c r="I215" s="751">
        <v>40210</v>
      </c>
      <c r="J215" s="751">
        <v>40238</v>
      </c>
      <c r="K215" s="751">
        <v>40269</v>
      </c>
      <c r="L215" s="751">
        <v>40299</v>
      </c>
      <c r="M215" s="751">
        <v>40330</v>
      </c>
      <c r="N215" s="751">
        <v>40360</v>
      </c>
      <c r="O215" s="751">
        <v>40391</v>
      </c>
      <c r="P215" s="751">
        <v>40422</v>
      </c>
      <c r="Q215" s="751">
        <v>40452</v>
      </c>
      <c r="R215" s="751">
        <v>40483</v>
      </c>
      <c r="S215" s="751">
        <v>40513</v>
      </c>
      <c r="T215" s="752" t="s">
        <v>1138</v>
      </c>
      <c r="U215" s="751">
        <v>40544</v>
      </c>
      <c r="V215" s="751">
        <v>40575</v>
      </c>
      <c r="W215" s="751">
        <v>40603</v>
      </c>
      <c r="X215" s="751">
        <v>40634</v>
      </c>
      <c r="Y215" s="751">
        <v>40664</v>
      </c>
      <c r="Z215" s="751">
        <v>40695</v>
      </c>
      <c r="AA215" s="751">
        <v>40725</v>
      </c>
      <c r="AB215" s="751">
        <v>40756</v>
      </c>
      <c r="AC215" s="751">
        <v>40787</v>
      </c>
      <c r="AD215" s="751">
        <v>40817</v>
      </c>
      <c r="AE215" s="751">
        <v>40848</v>
      </c>
      <c r="AF215" s="751">
        <v>40878</v>
      </c>
      <c r="AG215" s="752" t="s">
        <v>1139</v>
      </c>
      <c r="AH215" s="751">
        <v>40909</v>
      </c>
      <c r="AI215" s="751">
        <v>40940</v>
      </c>
      <c r="AJ215" s="751">
        <v>40969</v>
      </c>
      <c r="AK215" s="751">
        <v>41000</v>
      </c>
      <c r="AL215" s="751">
        <v>41030</v>
      </c>
      <c r="AM215" s="751">
        <v>41061</v>
      </c>
      <c r="AN215" s="751">
        <v>41091</v>
      </c>
      <c r="AO215" s="751">
        <v>41122</v>
      </c>
      <c r="AP215" s="751">
        <v>41153</v>
      </c>
      <c r="AQ215" s="751">
        <v>41183</v>
      </c>
      <c r="AR215" s="751">
        <v>41214</v>
      </c>
      <c r="AS215" s="751">
        <v>41244</v>
      </c>
      <c r="AT215" s="752" t="s">
        <v>1140</v>
      </c>
      <c r="AU215" s="753" t="s">
        <v>1141</v>
      </c>
    </row>
    <row r="216" spans="1:47" x14ac:dyDescent="0.25">
      <c r="A216" s="754" t="s">
        <v>631</v>
      </c>
      <c r="B216" s="755" t="s">
        <v>630</v>
      </c>
      <c r="C216" s="756"/>
      <c r="D216" s="756"/>
      <c r="E216" s="756"/>
      <c r="F216" s="757"/>
      <c r="G216" s="758">
        <f t="shared" ref="G216:G248" si="0">SUM(C216:F216)</f>
        <v>0</v>
      </c>
      <c r="H216" s="756"/>
      <c r="I216" s="756"/>
      <c r="J216" s="756"/>
      <c r="K216" s="756"/>
      <c r="L216" s="756"/>
      <c r="M216" s="756"/>
      <c r="N216" s="756"/>
      <c r="O216" s="756"/>
      <c r="P216" s="756"/>
      <c r="Q216" s="756"/>
      <c r="R216" s="756"/>
      <c r="S216" s="756"/>
      <c r="T216" s="758">
        <f t="shared" ref="T216:T248" si="1">SUM(H216:S216)</f>
        <v>0</v>
      </c>
      <c r="U216" s="756"/>
      <c r="V216" s="756"/>
      <c r="W216" s="756"/>
      <c r="X216" s="756"/>
      <c r="Y216" s="756"/>
      <c r="Z216" s="756"/>
      <c r="AA216" s="756"/>
      <c r="AB216" s="756"/>
      <c r="AC216" s="756"/>
      <c r="AD216" s="756"/>
      <c r="AE216" s="756"/>
      <c r="AF216" s="756"/>
      <c r="AG216" s="758">
        <f t="shared" ref="AG216:AG248" si="2">SUM(U216:AF216)</f>
        <v>0</v>
      </c>
      <c r="AH216" s="756"/>
      <c r="AI216" s="756"/>
      <c r="AJ216" s="756"/>
      <c r="AK216" s="756"/>
      <c r="AL216" s="756"/>
      <c r="AM216" s="756"/>
      <c r="AN216" s="756"/>
      <c r="AO216" s="756"/>
      <c r="AP216" s="756"/>
      <c r="AQ216" s="756"/>
      <c r="AR216" s="756"/>
      <c r="AS216" s="756"/>
      <c r="AT216" s="758">
        <f t="shared" ref="AT216:AT248" si="3">SUM(AH216:AS216)</f>
        <v>0</v>
      </c>
      <c r="AU216" s="759">
        <f t="shared" ref="AU216:AU248" si="4">G216+T216+AG216+AT216</f>
        <v>0</v>
      </c>
    </row>
    <row r="217" spans="1:47" x14ac:dyDescent="0.25">
      <c r="A217" s="754" t="s">
        <v>631</v>
      </c>
      <c r="B217" s="755" t="s">
        <v>634</v>
      </c>
      <c r="C217" s="760"/>
      <c r="D217" s="760"/>
      <c r="E217" s="760"/>
      <c r="F217" s="761"/>
      <c r="G217" s="762">
        <f t="shared" si="0"/>
        <v>0</v>
      </c>
      <c r="H217" s="760"/>
      <c r="I217" s="760"/>
      <c r="J217" s="760"/>
      <c r="K217" s="760"/>
      <c r="L217" s="760"/>
      <c r="M217" s="760"/>
      <c r="N217" s="760"/>
      <c r="O217" s="760"/>
      <c r="P217" s="760"/>
      <c r="Q217" s="760"/>
      <c r="R217" s="760"/>
      <c r="S217" s="760"/>
      <c r="T217" s="762">
        <f t="shared" si="1"/>
        <v>0</v>
      </c>
      <c r="U217" s="760"/>
      <c r="V217" s="760"/>
      <c r="W217" s="760"/>
      <c r="X217" s="760"/>
      <c r="Y217" s="760"/>
      <c r="Z217" s="760"/>
      <c r="AA217" s="760"/>
      <c r="AB217" s="760"/>
      <c r="AC217" s="760"/>
      <c r="AD217" s="760"/>
      <c r="AE217" s="760"/>
      <c r="AF217" s="760"/>
      <c r="AG217" s="762">
        <f t="shared" si="2"/>
        <v>0</v>
      </c>
      <c r="AH217" s="760"/>
      <c r="AI217" s="760"/>
      <c r="AJ217" s="760"/>
      <c r="AK217" s="760"/>
      <c r="AL217" s="760"/>
      <c r="AM217" s="760"/>
      <c r="AN217" s="760"/>
      <c r="AO217" s="760"/>
      <c r="AP217" s="760"/>
      <c r="AQ217" s="760"/>
      <c r="AR217" s="760"/>
      <c r="AS217" s="760"/>
      <c r="AT217" s="762">
        <f t="shared" si="3"/>
        <v>0</v>
      </c>
      <c r="AU217" s="759">
        <f t="shared" si="4"/>
        <v>0</v>
      </c>
    </row>
    <row r="218" spans="1:47" x14ac:dyDescent="0.25">
      <c r="A218" s="754" t="s">
        <v>631</v>
      </c>
      <c r="B218" s="755" t="s">
        <v>637</v>
      </c>
      <c r="C218" s="760"/>
      <c r="D218" s="760"/>
      <c r="E218" s="760"/>
      <c r="F218" s="761"/>
      <c r="G218" s="762">
        <f t="shared" si="0"/>
        <v>0</v>
      </c>
      <c r="H218" s="760"/>
      <c r="I218" s="760"/>
      <c r="J218" s="760"/>
      <c r="K218" s="760"/>
      <c r="L218" s="760"/>
      <c r="M218" s="760"/>
      <c r="N218" s="760"/>
      <c r="O218" s="760"/>
      <c r="P218" s="760"/>
      <c r="Q218" s="760"/>
      <c r="R218" s="760"/>
      <c r="S218" s="760"/>
      <c r="T218" s="762">
        <f t="shared" si="1"/>
        <v>0</v>
      </c>
      <c r="U218" s="760"/>
      <c r="V218" s="760"/>
      <c r="W218" s="760"/>
      <c r="X218" s="760"/>
      <c r="Y218" s="760"/>
      <c r="Z218" s="760"/>
      <c r="AA218" s="760"/>
      <c r="AB218" s="760"/>
      <c r="AC218" s="760"/>
      <c r="AD218" s="760"/>
      <c r="AE218" s="760"/>
      <c r="AF218" s="760"/>
      <c r="AG218" s="762">
        <f t="shared" si="2"/>
        <v>0</v>
      </c>
      <c r="AH218" s="760"/>
      <c r="AI218" s="760"/>
      <c r="AJ218" s="760"/>
      <c r="AK218" s="760"/>
      <c r="AL218" s="760"/>
      <c r="AM218" s="760"/>
      <c r="AN218" s="760"/>
      <c r="AO218" s="760"/>
      <c r="AP218" s="760"/>
      <c r="AQ218" s="760"/>
      <c r="AR218" s="760"/>
      <c r="AS218" s="760"/>
      <c r="AT218" s="762">
        <f t="shared" si="3"/>
        <v>0</v>
      </c>
      <c r="AU218" s="759">
        <f t="shared" si="4"/>
        <v>0</v>
      </c>
    </row>
    <row r="219" spans="1:47" x14ac:dyDescent="0.25">
      <c r="A219" s="763" t="s">
        <v>631</v>
      </c>
      <c r="B219" s="755" t="s">
        <v>639</v>
      </c>
      <c r="C219" s="760"/>
      <c r="D219" s="760"/>
      <c r="E219" s="760"/>
      <c r="F219" s="761"/>
      <c r="G219" s="762">
        <f t="shared" si="0"/>
        <v>0</v>
      </c>
      <c r="H219" s="760"/>
      <c r="I219" s="760"/>
      <c r="J219" s="760"/>
      <c r="K219" s="760"/>
      <c r="L219" s="760"/>
      <c r="M219" s="760"/>
      <c r="N219" s="760"/>
      <c r="O219" s="760"/>
      <c r="P219" s="760"/>
      <c r="Q219" s="760"/>
      <c r="R219" s="760"/>
      <c r="S219" s="760"/>
      <c r="T219" s="762">
        <f t="shared" si="1"/>
        <v>0</v>
      </c>
      <c r="U219" s="760"/>
      <c r="V219" s="760"/>
      <c r="W219" s="760"/>
      <c r="X219" s="760"/>
      <c r="Y219" s="760"/>
      <c r="Z219" s="760"/>
      <c r="AA219" s="760"/>
      <c r="AB219" s="760"/>
      <c r="AC219" s="760"/>
      <c r="AD219" s="760"/>
      <c r="AE219" s="760"/>
      <c r="AF219" s="760"/>
      <c r="AG219" s="762">
        <f t="shared" si="2"/>
        <v>0</v>
      </c>
      <c r="AH219" s="760"/>
      <c r="AI219" s="760"/>
      <c r="AJ219" s="760"/>
      <c r="AK219" s="760"/>
      <c r="AL219" s="760"/>
      <c r="AM219" s="760"/>
      <c r="AN219" s="760"/>
      <c r="AO219" s="760"/>
      <c r="AP219" s="760"/>
      <c r="AQ219" s="760"/>
      <c r="AR219" s="760"/>
      <c r="AS219" s="760"/>
      <c r="AT219" s="762">
        <f t="shared" si="3"/>
        <v>0</v>
      </c>
      <c r="AU219" s="759">
        <f t="shared" si="4"/>
        <v>0</v>
      </c>
    </row>
    <row r="220" spans="1:47" x14ac:dyDescent="0.25">
      <c r="A220" s="754" t="s">
        <v>631</v>
      </c>
      <c r="B220" s="755" t="s">
        <v>641</v>
      </c>
      <c r="C220" s="760"/>
      <c r="D220" s="760"/>
      <c r="E220" s="760"/>
      <c r="F220" s="761"/>
      <c r="G220" s="762">
        <f t="shared" si="0"/>
        <v>0</v>
      </c>
      <c r="H220" s="760"/>
      <c r="I220" s="760"/>
      <c r="J220" s="760"/>
      <c r="K220" s="760"/>
      <c r="L220" s="760"/>
      <c r="M220" s="760"/>
      <c r="N220" s="760"/>
      <c r="O220" s="760"/>
      <c r="P220" s="760"/>
      <c r="Q220" s="760"/>
      <c r="R220" s="760"/>
      <c r="S220" s="760"/>
      <c r="T220" s="762">
        <f t="shared" si="1"/>
        <v>0</v>
      </c>
      <c r="U220" s="760"/>
      <c r="V220" s="760"/>
      <c r="W220" s="760"/>
      <c r="X220" s="760"/>
      <c r="Y220" s="760"/>
      <c r="Z220" s="760"/>
      <c r="AA220" s="760"/>
      <c r="AB220" s="760"/>
      <c r="AC220" s="760"/>
      <c r="AD220" s="760"/>
      <c r="AE220" s="760"/>
      <c r="AF220" s="760"/>
      <c r="AG220" s="762">
        <f t="shared" si="2"/>
        <v>0</v>
      </c>
      <c r="AH220" s="760"/>
      <c r="AI220" s="760"/>
      <c r="AJ220" s="760"/>
      <c r="AK220" s="760"/>
      <c r="AL220" s="760"/>
      <c r="AM220" s="760"/>
      <c r="AN220" s="760"/>
      <c r="AO220" s="760"/>
      <c r="AP220" s="760"/>
      <c r="AQ220" s="760"/>
      <c r="AR220" s="760"/>
      <c r="AS220" s="760"/>
      <c r="AT220" s="762">
        <f t="shared" si="3"/>
        <v>0</v>
      </c>
      <c r="AU220" s="759">
        <f t="shared" si="4"/>
        <v>0</v>
      </c>
    </row>
    <row r="221" spans="1:47" x14ac:dyDescent="0.25">
      <c r="A221" s="754" t="s">
        <v>631</v>
      </c>
      <c r="B221" s="755" t="s">
        <v>644</v>
      </c>
      <c r="C221" s="760"/>
      <c r="D221" s="760"/>
      <c r="E221" s="760"/>
      <c r="F221" s="761"/>
      <c r="G221" s="762">
        <f t="shared" si="0"/>
        <v>0</v>
      </c>
      <c r="H221" s="760"/>
      <c r="I221" s="760"/>
      <c r="J221" s="760"/>
      <c r="K221" s="760"/>
      <c r="L221" s="760"/>
      <c r="M221" s="760"/>
      <c r="N221" s="760"/>
      <c r="O221" s="760"/>
      <c r="P221" s="760"/>
      <c r="Q221" s="760"/>
      <c r="R221" s="760"/>
      <c r="S221" s="760"/>
      <c r="T221" s="762">
        <f t="shared" si="1"/>
        <v>0</v>
      </c>
      <c r="U221" s="760"/>
      <c r="V221" s="760"/>
      <c r="W221" s="760"/>
      <c r="X221" s="760"/>
      <c r="Y221" s="760"/>
      <c r="Z221" s="760"/>
      <c r="AA221" s="760"/>
      <c r="AB221" s="760"/>
      <c r="AC221" s="760"/>
      <c r="AD221" s="760"/>
      <c r="AE221" s="760"/>
      <c r="AF221" s="760"/>
      <c r="AG221" s="762">
        <f t="shared" si="2"/>
        <v>0</v>
      </c>
      <c r="AH221" s="760"/>
      <c r="AI221" s="760"/>
      <c r="AJ221" s="760"/>
      <c r="AK221" s="760"/>
      <c r="AL221" s="760"/>
      <c r="AM221" s="760"/>
      <c r="AN221" s="760"/>
      <c r="AO221" s="760"/>
      <c r="AP221" s="760"/>
      <c r="AQ221" s="760"/>
      <c r="AR221" s="760"/>
      <c r="AS221" s="760"/>
      <c r="AT221" s="762">
        <f t="shared" si="3"/>
        <v>0</v>
      </c>
      <c r="AU221" s="759">
        <f t="shared" si="4"/>
        <v>0</v>
      </c>
    </row>
    <row r="222" spans="1:47" x14ac:dyDescent="0.25">
      <c r="A222" s="754" t="s">
        <v>631</v>
      </c>
      <c r="B222" s="755" t="s">
        <v>647</v>
      </c>
      <c r="C222" s="760"/>
      <c r="D222" s="760"/>
      <c r="E222" s="760"/>
      <c r="F222" s="761"/>
      <c r="G222" s="762">
        <f t="shared" si="0"/>
        <v>0</v>
      </c>
      <c r="H222" s="760"/>
      <c r="I222" s="760"/>
      <c r="J222" s="760"/>
      <c r="K222" s="760"/>
      <c r="L222" s="760"/>
      <c r="M222" s="760"/>
      <c r="N222" s="760"/>
      <c r="O222" s="760"/>
      <c r="P222" s="760"/>
      <c r="Q222" s="760"/>
      <c r="R222" s="760"/>
      <c r="S222" s="760"/>
      <c r="T222" s="762">
        <f t="shared" si="1"/>
        <v>0</v>
      </c>
      <c r="U222" s="760"/>
      <c r="V222" s="760"/>
      <c r="W222" s="760"/>
      <c r="X222" s="760"/>
      <c r="Y222" s="760"/>
      <c r="Z222" s="760"/>
      <c r="AA222" s="760"/>
      <c r="AB222" s="760"/>
      <c r="AC222" s="760"/>
      <c r="AD222" s="760"/>
      <c r="AE222" s="760"/>
      <c r="AF222" s="760"/>
      <c r="AG222" s="762">
        <f t="shared" si="2"/>
        <v>0</v>
      </c>
      <c r="AH222" s="760"/>
      <c r="AI222" s="760"/>
      <c r="AJ222" s="760"/>
      <c r="AK222" s="760"/>
      <c r="AL222" s="760"/>
      <c r="AM222" s="760"/>
      <c r="AN222" s="760"/>
      <c r="AO222" s="760"/>
      <c r="AP222" s="760"/>
      <c r="AQ222" s="760"/>
      <c r="AR222" s="760"/>
      <c r="AS222" s="760"/>
      <c r="AT222" s="762">
        <f t="shared" si="3"/>
        <v>0</v>
      </c>
      <c r="AU222" s="759">
        <f t="shared" si="4"/>
        <v>0</v>
      </c>
    </row>
    <row r="223" spans="1:47" x14ac:dyDescent="0.25">
      <c r="A223" s="754" t="s">
        <v>631</v>
      </c>
      <c r="B223" s="755" t="s">
        <v>642</v>
      </c>
      <c r="C223" s="760"/>
      <c r="D223" s="760"/>
      <c r="E223" s="760"/>
      <c r="F223" s="761"/>
      <c r="G223" s="762">
        <f t="shared" si="0"/>
        <v>0</v>
      </c>
      <c r="H223" s="760"/>
      <c r="I223" s="760"/>
      <c r="J223" s="760"/>
      <c r="K223" s="760"/>
      <c r="L223" s="760"/>
      <c r="M223" s="760"/>
      <c r="N223" s="760"/>
      <c r="O223" s="760"/>
      <c r="P223" s="760"/>
      <c r="Q223" s="760"/>
      <c r="R223" s="760"/>
      <c r="S223" s="760"/>
      <c r="T223" s="762">
        <f t="shared" si="1"/>
        <v>0</v>
      </c>
      <c r="U223" s="760"/>
      <c r="V223" s="760"/>
      <c r="W223" s="760"/>
      <c r="X223" s="760"/>
      <c r="Y223" s="760"/>
      <c r="Z223" s="760"/>
      <c r="AA223" s="760"/>
      <c r="AB223" s="760"/>
      <c r="AC223" s="760"/>
      <c r="AD223" s="760"/>
      <c r="AE223" s="760"/>
      <c r="AF223" s="760"/>
      <c r="AG223" s="762">
        <f t="shared" si="2"/>
        <v>0</v>
      </c>
      <c r="AH223" s="760"/>
      <c r="AI223" s="760"/>
      <c r="AJ223" s="760"/>
      <c r="AK223" s="760"/>
      <c r="AL223" s="760"/>
      <c r="AM223" s="760"/>
      <c r="AN223" s="760"/>
      <c r="AO223" s="760"/>
      <c r="AP223" s="760"/>
      <c r="AQ223" s="760"/>
      <c r="AR223" s="760"/>
      <c r="AS223" s="760"/>
      <c r="AT223" s="762">
        <f t="shared" si="3"/>
        <v>0</v>
      </c>
      <c r="AU223" s="759">
        <f t="shared" si="4"/>
        <v>0</v>
      </c>
    </row>
    <row r="224" spans="1:47" x14ac:dyDescent="0.25">
      <c r="A224" s="754" t="s">
        <v>631</v>
      </c>
      <c r="B224" s="755" t="s">
        <v>652</v>
      </c>
      <c r="C224" s="760"/>
      <c r="D224" s="760"/>
      <c r="E224" s="760"/>
      <c r="F224" s="761"/>
      <c r="G224" s="762">
        <f t="shared" si="0"/>
        <v>0</v>
      </c>
      <c r="H224" s="760"/>
      <c r="I224" s="760"/>
      <c r="J224" s="760"/>
      <c r="K224" s="760"/>
      <c r="L224" s="760"/>
      <c r="M224" s="760"/>
      <c r="N224" s="760"/>
      <c r="O224" s="760"/>
      <c r="P224" s="760"/>
      <c r="Q224" s="760"/>
      <c r="R224" s="760"/>
      <c r="S224" s="760"/>
      <c r="T224" s="762">
        <f t="shared" si="1"/>
        <v>0</v>
      </c>
      <c r="U224" s="760"/>
      <c r="V224" s="760"/>
      <c r="W224" s="760"/>
      <c r="X224" s="760"/>
      <c r="Y224" s="760"/>
      <c r="Z224" s="760"/>
      <c r="AA224" s="760"/>
      <c r="AB224" s="760"/>
      <c r="AC224" s="760"/>
      <c r="AD224" s="760"/>
      <c r="AE224" s="760"/>
      <c r="AF224" s="760"/>
      <c r="AG224" s="762">
        <f t="shared" si="2"/>
        <v>0</v>
      </c>
      <c r="AH224" s="760"/>
      <c r="AI224" s="760"/>
      <c r="AJ224" s="760"/>
      <c r="AK224" s="760"/>
      <c r="AL224" s="760"/>
      <c r="AM224" s="760"/>
      <c r="AN224" s="760"/>
      <c r="AO224" s="760"/>
      <c r="AP224" s="760"/>
      <c r="AQ224" s="760"/>
      <c r="AR224" s="760"/>
      <c r="AS224" s="760"/>
      <c r="AT224" s="762">
        <f t="shared" si="3"/>
        <v>0</v>
      </c>
      <c r="AU224" s="759">
        <f t="shared" si="4"/>
        <v>0</v>
      </c>
    </row>
    <row r="225" spans="1:47" x14ac:dyDescent="0.25">
      <c r="A225" s="754" t="s">
        <v>631</v>
      </c>
      <c r="B225" s="755" t="s">
        <v>654</v>
      </c>
      <c r="C225" s="760"/>
      <c r="D225" s="760"/>
      <c r="E225" s="760"/>
      <c r="F225" s="761"/>
      <c r="G225" s="762">
        <f t="shared" si="0"/>
        <v>0</v>
      </c>
      <c r="H225" s="760"/>
      <c r="I225" s="760"/>
      <c r="J225" s="760"/>
      <c r="K225" s="760"/>
      <c r="L225" s="760"/>
      <c r="M225" s="760"/>
      <c r="N225" s="760"/>
      <c r="O225" s="760"/>
      <c r="P225" s="760"/>
      <c r="Q225" s="760"/>
      <c r="R225" s="760"/>
      <c r="S225" s="760"/>
      <c r="T225" s="762">
        <f t="shared" si="1"/>
        <v>0</v>
      </c>
      <c r="U225" s="760"/>
      <c r="V225" s="760"/>
      <c r="W225" s="760"/>
      <c r="X225" s="760"/>
      <c r="Y225" s="760"/>
      <c r="Z225" s="760"/>
      <c r="AA225" s="760"/>
      <c r="AB225" s="760"/>
      <c r="AC225" s="760"/>
      <c r="AD225" s="760"/>
      <c r="AE225" s="760"/>
      <c r="AF225" s="760"/>
      <c r="AG225" s="762">
        <f t="shared" si="2"/>
        <v>0</v>
      </c>
      <c r="AH225" s="760"/>
      <c r="AI225" s="760"/>
      <c r="AJ225" s="760"/>
      <c r="AK225" s="760"/>
      <c r="AL225" s="760"/>
      <c r="AM225" s="760"/>
      <c r="AN225" s="760"/>
      <c r="AO225" s="760"/>
      <c r="AP225" s="760"/>
      <c r="AQ225" s="760"/>
      <c r="AR225" s="760"/>
      <c r="AS225" s="760"/>
      <c r="AT225" s="762">
        <f t="shared" si="3"/>
        <v>0</v>
      </c>
      <c r="AU225" s="759">
        <f t="shared" si="4"/>
        <v>0</v>
      </c>
    </row>
    <row r="226" spans="1:47" x14ac:dyDescent="0.25">
      <c r="A226" s="754" t="s">
        <v>631</v>
      </c>
      <c r="B226" s="755" t="s">
        <v>656</v>
      </c>
      <c r="C226" s="760"/>
      <c r="D226" s="760"/>
      <c r="E226" s="760"/>
      <c r="F226" s="761"/>
      <c r="G226" s="762">
        <f t="shared" si="0"/>
        <v>0</v>
      </c>
      <c r="H226" s="760"/>
      <c r="I226" s="760"/>
      <c r="J226" s="760"/>
      <c r="K226" s="760"/>
      <c r="L226" s="760"/>
      <c r="M226" s="760"/>
      <c r="N226" s="760"/>
      <c r="O226" s="760"/>
      <c r="P226" s="760"/>
      <c r="Q226" s="760"/>
      <c r="R226" s="760"/>
      <c r="S226" s="760"/>
      <c r="T226" s="762">
        <f t="shared" si="1"/>
        <v>0</v>
      </c>
      <c r="U226" s="760"/>
      <c r="V226" s="760"/>
      <c r="W226" s="760"/>
      <c r="X226" s="760"/>
      <c r="Y226" s="760"/>
      <c r="Z226" s="760"/>
      <c r="AA226" s="760"/>
      <c r="AB226" s="760"/>
      <c r="AC226" s="760"/>
      <c r="AD226" s="760"/>
      <c r="AE226" s="760"/>
      <c r="AF226" s="760"/>
      <c r="AG226" s="762">
        <f t="shared" si="2"/>
        <v>0</v>
      </c>
      <c r="AH226" s="760"/>
      <c r="AI226" s="760"/>
      <c r="AJ226" s="760"/>
      <c r="AK226" s="760"/>
      <c r="AL226" s="760"/>
      <c r="AM226" s="760"/>
      <c r="AN226" s="760"/>
      <c r="AO226" s="760"/>
      <c r="AP226" s="760"/>
      <c r="AQ226" s="760"/>
      <c r="AR226" s="760"/>
      <c r="AS226" s="760"/>
      <c r="AT226" s="762">
        <f t="shared" si="3"/>
        <v>0</v>
      </c>
      <c r="AU226" s="759">
        <f t="shared" si="4"/>
        <v>0</v>
      </c>
    </row>
    <row r="227" spans="1:47" x14ac:dyDescent="0.25">
      <c r="A227" s="754" t="s">
        <v>631</v>
      </c>
      <c r="B227" s="755" t="s">
        <v>658</v>
      </c>
      <c r="C227" s="760"/>
      <c r="D227" s="760"/>
      <c r="E227" s="760"/>
      <c r="F227" s="761"/>
      <c r="G227" s="762">
        <f t="shared" si="0"/>
        <v>0</v>
      </c>
      <c r="H227" s="760"/>
      <c r="I227" s="760"/>
      <c r="J227" s="760"/>
      <c r="K227" s="760"/>
      <c r="L227" s="760"/>
      <c r="M227" s="760"/>
      <c r="N227" s="760"/>
      <c r="O227" s="760"/>
      <c r="P227" s="760"/>
      <c r="Q227" s="760"/>
      <c r="R227" s="760"/>
      <c r="S227" s="760"/>
      <c r="T227" s="762">
        <f t="shared" si="1"/>
        <v>0</v>
      </c>
      <c r="U227" s="760"/>
      <c r="V227" s="760"/>
      <c r="W227" s="760"/>
      <c r="X227" s="760"/>
      <c r="Y227" s="760"/>
      <c r="Z227" s="760"/>
      <c r="AA227" s="760"/>
      <c r="AB227" s="760"/>
      <c r="AC227" s="760"/>
      <c r="AD227" s="760"/>
      <c r="AE227" s="760"/>
      <c r="AF227" s="760"/>
      <c r="AG227" s="762">
        <f t="shared" si="2"/>
        <v>0</v>
      </c>
      <c r="AH227" s="760"/>
      <c r="AI227" s="760"/>
      <c r="AJ227" s="760"/>
      <c r="AK227" s="760"/>
      <c r="AL227" s="760"/>
      <c r="AM227" s="760"/>
      <c r="AN227" s="760"/>
      <c r="AO227" s="760"/>
      <c r="AP227" s="760"/>
      <c r="AQ227" s="760"/>
      <c r="AR227" s="760"/>
      <c r="AS227" s="760"/>
      <c r="AT227" s="762">
        <f t="shared" si="3"/>
        <v>0</v>
      </c>
      <c r="AU227" s="759">
        <f t="shared" si="4"/>
        <v>0</v>
      </c>
    </row>
    <row r="228" spans="1:47" x14ac:dyDescent="0.25">
      <c r="A228" s="754" t="s">
        <v>661</v>
      </c>
      <c r="B228" s="755" t="s">
        <v>660</v>
      </c>
      <c r="C228" s="760"/>
      <c r="D228" s="760"/>
      <c r="E228" s="760"/>
      <c r="F228" s="761"/>
      <c r="G228" s="762">
        <f t="shared" si="0"/>
        <v>0</v>
      </c>
      <c r="H228" s="760"/>
      <c r="I228" s="760"/>
      <c r="J228" s="760"/>
      <c r="K228" s="760"/>
      <c r="L228" s="760"/>
      <c r="M228" s="760"/>
      <c r="N228" s="760"/>
      <c r="O228" s="760"/>
      <c r="P228" s="760"/>
      <c r="Q228" s="760"/>
      <c r="R228" s="760"/>
      <c r="S228" s="760"/>
      <c r="T228" s="762">
        <f t="shared" si="1"/>
        <v>0</v>
      </c>
      <c r="U228" s="760"/>
      <c r="V228" s="760"/>
      <c r="W228" s="760"/>
      <c r="X228" s="760"/>
      <c r="Y228" s="760"/>
      <c r="Z228" s="760"/>
      <c r="AA228" s="760"/>
      <c r="AB228" s="760"/>
      <c r="AC228" s="760"/>
      <c r="AD228" s="760"/>
      <c r="AE228" s="760"/>
      <c r="AF228" s="760"/>
      <c r="AG228" s="762">
        <f t="shared" si="2"/>
        <v>0</v>
      </c>
      <c r="AH228" s="760"/>
      <c r="AI228" s="760"/>
      <c r="AJ228" s="760"/>
      <c r="AK228" s="760"/>
      <c r="AL228" s="760"/>
      <c r="AM228" s="760"/>
      <c r="AN228" s="760"/>
      <c r="AO228" s="760"/>
      <c r="AP228" s="760"/>
      <c r="AQ228" s="760"/>
      <c r="AR228" s="760"/>
      <c r="AS228" s="760"/>
      <c r="AT228" s="762">
        <f t="shared" si="3"/>
        <v>0</v>
      </c>
      <c r="AU228" s="759">
        <f t="shared" si="4"/>
        <v>0</v>
      </c>
    </row>
    <row r="229" spans="1:47" x14ac:dyDescent="0.25">
      <c r="A229" s="754" t="s">
        <v>661</v>
      </c>
      <c r="B229" s="755" t="s">
        <v>664</v>
      </c>
      <c r="C229" s="760"/>
      <c r="D229" s="760"/>
      <c r="E229" s="760"/>
      <c r="F229" s="761"/>
      <c r="G229" s="762">
        <f t="shared" si="0"/>
        <v>0</v>
      </c>
      <c r="H229" s="760"/>
      <c r="I229" s="760"/>
      <c r="J229" s="760"/>
      <c r="K229" s="760"/>
      <c r="L229" s="760"/>
      <c r="M229" s="760"/>
      <c r="N229" s="760"/>
      <c r="O229" s="760"/>
      <c r="P229" s="760"/>
      <c r="Q229" s="760"/>
      <c r="R229" s="760"/>
      <c r="S229" s="760"/>
      <c r="T229" s="762">
        <f t="shared" si="1"/>
        <v>0</v>
      </c>
      <c r="U229" s="760"/>
      <c r="V229" s="760"/>
      <c r="W229" s="760"/>
      <c r="X229" s="760"/>
      <c r="Y229" s="760"/>
      <c r="Z229" s="760"/>
      <c r="AA229" s="760"/>
      <c r="AB229" s="760"/>
      <c r="AC229" s="760"/>
      <c r="AD229" s="760"/>
      <c r="AE229" s="760"/>
      <c r="AF229" s="760"/>
      <c r="AG229" s="762">
        <f t="shared" si="2"/>
        <v>0</v>
      </c>
      <c r="AH229" s="760"/>
      <c r="AI229" s="760"/>
      <c r="AJ229" s="760"/>
      <c r="AK229" s="760"/>
      <c r="AL229" s="760"/>
      <c r="AM229" s="760"/>
      <c r="AN229" s="760"/>
      <c r="AO229" s="760"/>
      <c r="AP229" s="760"/>
      <c r="AQ229" s="760"/>
      <c r="AR229" s="760"/>
      <c r="AS229" s="760"/>
      <c r="AT229" s="762">
        <f t="shared" si="3"/>
        <v>0</v>
      </c>
      <c r="AU229" s="759">
        <f t="shared" si="4"/>
        <v>0</v>
      </c>
    </row>
    <row r="230" spans="1:47" x14ac:dyDescent="0.25">
      <c r="A230" s="763" t="s">
        <v>667</v>
      </c>
      <c r="B230" s="755" t="s">
        <v>662</v>
      </c>
      <c r="C230" s="760"/>
      <c r="D230" s="760"/>
      <c r="E230" s="760"/>
      <c r="F230" s="761"/>
      <c r="G230" s="762">
        <f t="shared" si="0"/>
        <v>0</v>
      </c>
      <c r="H230" s="760"/>
      <c r="I230" s="760"/>
      <c r="J230" s="760"/>
      <c r="K230" s="760"/>
      <c r="L230" s="760"/>
      <c r="M230" s="760"/>
      <c r="N230" s="760"/>
      <c r="O230" s="760"/>
      <c r="P230" s="760"/>
      <c r="Q230" s="760"/>
      <c r="R230" s="760"/>
      <c r="S230" s="760"/>
      <c r="T230" s="762">
        <f t="shared" si="1"/>
        <v>0</v>
      </c>
      <c r="U230" s="760"/>
      <c r="V230" s="760"/>
      <c r="W230" s="760"/>
      <c r="X230" s="760"/>
      <c r="Y230" s="760"/>
      <c r="Z230" s="760"/>
      <c r="AA230" s="760"/>
      <c r="AB230" s="760"/>
      <c r="AC230" s="760"/>
      <c r="AD230" s="760"/>
      <c r="AE230" s="760"/>
      <c r="AF230" s="760"/>
      <c r="AG230" s="762">
        <f t="shared" si="2"/>
        <v>0</v>
      </c>
      <c r="AH230" s="760"/>
      <c r="AI230" s="760"/>
      <c r="AJ230" s="760"/>
      <c r="AK230" s="760"/>
      <c r="AL230" s="760"/>
      <c r="AM230" s="760"/>
      <c r="AN230" s="760"/>
      <c r="AO230" s="760"/>
      <c r="AP230" s="760"/>
      <c r="AQ230" s="760"/>
      <c r="AR230" s="760"/>
      <c r="AS230" s="760"/>
      <c r="AT230" s="762">
        <f t="shared" si="3"/>
        <v>0</v>
      </c>
      <c r="AU230" s="759">
        <f t="shared" si="4"/>
        <v>0</v>
      </c>
    </row>
    <row r="231" spans="1:47" x14ac:dyDescent="0.25">
      <c r="A231" s="763" t="s">
        <v>667</v>
      </c>
      <c r="B231" s="755" t="s">
        <v>648</v>
      </c>
      <c r="C231" s="760"/>
      <c r="D231" s="760"/>
      <c r="E231" s="760"/>
      <c r="F231" s="761"/>
      <c r="G231" s="762">
        <f t="shared" si="0"/>
        <v>0</v>
      </c>
      <c r="H231" s="760"/>
      <c r="I231" s="760"/>
      <c r="J231" s="760"/>
      <c r="K231" s="760"/>
      <c r="L231" s="760"/>
      <c r="M231" s="760"/>
      <c r="N231" s="760"/>
      <c r="O231" s="760"/>
      <c r="P231" s="760"/>
      <c r="Q231" s="760"/>
      <c r="R231" s="760"/>
      <c r="S231" s="760"/>
      <c r="T231" s="762">
        <f t="shared" si="1"/>
        <v>0</v>
      </c>
      <c r="U231" s="760"/>
      <c r="V231" s="760"/>
      <c r="W231" s="760"/>
      <c r="X231" s="760"/>
      <c r="Y231" s="760"/>
      <c r="Z231" s="760"/>
      <c r="AA231" s="760"/>
      <c r="AB231" s="760"/>
      <c r="AC231" s="760"/>
      <c r="AD231" s="760"/>
      <c r="AE231" s="760"/>
      <c r="AF231" s="760"/>
      <c r="AG231" s="762">
        <f t="shared" si="2"/>
        <v>0</v>
      </c>
      <c r="AH231" s="760"/>
      <c r="AI231" s="760"/>
      <c r="AJ231" s="760"/>
      <c r="AK231" s="760"/>
      <c r="AL231" s="760"/>
      <c r="AM231" s="760"/>
      <c r="AN231" s="760"/>
      <c r="AO231" s="760"/>
      <c r="AP231" s="760"/>
      <c r="AQ231" s="760"/>
      <c r="AR231" s="760"/>
      <c r="AS231" s="760"/>
      <c r="AT231" s="762">
        <f t="shared" si="3"/>
        <v>0</v>
      </c>
      <c r="AU231" s="759">
        <f t="shared" si="4"/>
        <v>0</v>
      </c>
    </row>
    <row r="232" spans="1:47" x14ac:dyDescent="0.25">
      <c r="A232" s="763" t="s">
        <v>667</v>
      </c>
      <c r="B232" s="755" t="s">
        <v>671</v>
      </c>
      <c r="C232" s="760"/>
      <c r="D232" s="760"/>
      <c r="E232" s="760"/>
      <c r="F232" s="761"/>
      <c r="G232" s="762">
        <f t="shared" si="0"/>
        <v>0</v>
      </c>
      <c r="H232" s="760"/>
      <c r="I232" s="760"/>
      <c r="J232" s="760"/>
      <c r="K232" s="760"/>
      <c r="L232" s="760"/>
      <c r="M232" s="760"/>
      <c r="N232" s="760"/>
      <c r="O232" s="760"/>
      <c r="P232" s="760"/>
      <c r="Q232" s="760"/>
      <c r="R232" s="760"/>
      <c r="S232" s="760"/>
      <c r="T232" s="762">
        <f t="shared" si="1"/>
        <v>0</v>
      </c>
      <c r="U232" s="760"/>
      <c r="V232" s="760"/>
      <c r="W232" s="760"/>
      <c r="X232" s="760"/>
      <c r="Y232" s="760"/>
      <c r="Z232" s="760"/>
      <c r="AA232" s="760"/>
      <c r="AB232" s="760"/>
      <c r="AC232" s="760"/>
      <c r="AD232" s="760"/>
      <c r="AE232" s="760"/>
      <c r="AF232" s="760"/>
      <c r="AG232" s="762">
        <f t="shared" si="2"/>
        <v>0</v>
      </c>
      <c r="AH232" s="760"/>
      <c r="AI232" s="760"/>
      <c r="AJ232" s="760"/>
      <c r="AK232" s="760"/>
      <c r="AL232" s="760"/>
      <c r="AM232" s="760"/>
      <c r="AN232" s="760"/>
      <c r="AO232" s="760"/>
      <c r="AP232" s="760"/>
      <c r="AQ232" s="760"/>
      <c r="AR232" s="760"/>
      <c r="AS232" s="760"/>
      <c r="AT232" s="762">
        <f t="shared" si="3"/>
        <v>0</v>
      </c>
      <c r="AU232" s="759">
        <f t="shared" si="4"/>
        <v>0</v>
      </c>
    </row>
    <row r="233" spans="1:47" x14ac:dyDescent="0.25">
      <c r="A233" s="754" t="s">
        <v>667</v>
      </c>
      <c r="B233" s="755" t="s">
        <v>673</v>
      </c>
      <c r="C233" s="760"/>
      <c r="D233" s="760"/>
      <c r="E233" s="760"/>
      <c r="F233" s="761"/>
      <c r="G233" s="762">
        <f t="shared" si="0"/>
        <v>0</v>
      </c>
      <c r="H233" s="760"/>
      <c r="I233" s="760"/>
      <c r="J233" s="760"/>
      <c r="K233" s="760"/>
      <c r="L233" s="760"/>
      <c r="M233" s="760"/>
      <c r="N233" s="760"/>
      <c r="O233" s="760"/>
      <c r="P233" s="760"/>
      <c r="Q233" s="760"/>
      <c r="R233" s="760"/>
      <c r="S233" s="760"/>
      <c r="T233" s="762">
        <f t="shared" si="1"/>
        <v>0</v>
      </c>
      <c r="U233" s="760"/>
      <c r="V233" s="760"/>
      <c r="W233" s="760"/>
      <c r="X233" s="760"/>
      <c r="Y233" s="760"/>
      <c r="Z233" s="760"/>
      <c r="AA233" s="760"/>
      <c r="AB233" s="760"/>
      <c r="AC233" s="760"/>
      <c r="AD233" s="760"/>
      <c r="AE233" s="760"/>
      <c r="AF233" s="760"/>
      <c r="AG233" s="762">
        <f t="shared" si="2"/>
        <v>0</v>
      </c>
      <c r="AH233" s="760"/>
      <c r="AI233" s="760"/>
      <c r="AJ233" s="760"/>
      <c r="AK233" s="760"/>
      <c r="AL233" s="760"/>
      <c r="AM233" s="760"/>
      <c r="AN233" s="760"/>
      <c r="AO233" s="760"/>
      <c r="AP233" s="760"/>
      <c r="AQ233" s="760"/>
      <c r="AR233" s="760"/>
      <c r="AS233" s="760"/>
      <c r="AT233" s="762">
        <f t="shared" si="3"/>
        <v>0</v>
      </c>
      <c r="AU233" s="759">
        <f t="shared" si="4"/>
        <v>0</v>
      </c>
    </row>
    <row r="234" spans="1:47" x14ac:dyDescent="0.25">
      <c r="A234" s="754" t="s">
        <v>667</v>
      </c>
      <c r="B234" s="755" t="s">
        <v>675</v>
      </c>
      <c r="C234" s="760"/>
      <c r="D234" s="760"/>
      <c r="E234" s="760"/>
      <c r="F234" s="761"/>
      <c r="G234" s="762">
        <f t="shared" si="0"/>
        <v>0</v>
      </c>
      <c r="H234" s="760"/>
      <c r="I234" s="760"/>
      <c r="J234" s="760"/>
      <c r="K234" s="760"/>
      <c r="L234" s="760"/>
      <c r="M234" s="760"/>
      <c r="N234" s="760"/>
      <c r="O234" s="760"/>
      <c r="P234" s="760"/>
      <c r="Q234" s="760"/>
      <c r="R234" s="760"/>
      <c r="S234" s="760"/>
      <c r="T234" s="762">
        <f t="shared" si="1"/>
        <v>0</v>
      </c>
      <c r="U234" s="760"/>
      <c r="V234" s="760"/>
      <c r="W234" s="760"/>
      <c r="X234" s="760"/>
      <c r="Y234" s="760"/>
      <c r="Z234" s="760"/>
      <c r="AA234" s="760"/>
      <c r="AB234" s="760"/>
      <c r="AC234" s="760"/>
      <c r="AD234" s="760"/>
      <c r="AE234" s="760"/>
      <c r="AF234" s="760"/>
      <c r="AG234" s="762">
        <f t="shared" si="2"/>
        <v>0</v>
      </c>
      <c r="AH234" s="760"/>
      <c r="AI234" s="760"/>
      <c r="AJ234" s="760"/>
      <c r="AK234" s="760"/>
      <c r="AL234" s="760"/>
      <c r="AM234" s="760"/>
      <c r="AN234" s="760"/>
      <c r="AO234" s="760"/>
      <c r="AP234" s="760"/>
      <c r="AQ234" s="760"/>
      <c r="AR234" s="760"/>
      <c r="AS234" s="760"/>
      <c r="AT234" s="762">
        <f t="shared" si="3"/>
        <v>0</v>
      </c>
      <c r="AU234" s="759">
        <f t="shared" si="4"/>
        <v>0</v>
      </c>
    </row>
    <row r="235" spans="1:47" x14ac:dyDescent="0.25">
      <c r="A235" s="754" t="s">
        <v>667</v>
      </c>
      <c r="B235" s="755" t="s">
        <v>677</v>
      </c>
      <c r="C235" s="760"/>
      <c r="D235" s="760"/>
      <c r="E235" s="760"/>
      <c r="F235" s="761"/>
      <c r="G235" s="762">
        <f t="shared" si="0"/>
        <v>0</v>
      </c>
      <c r="H235" s="760"/>
      <c r="I235" s="760"/>
      <c r="J235" s="760"/>
      <c r="K235" s="760"/>
      <c r="L235" s="760"/>
      <c r="M235" s="760"/>
      <c r="N235" s="760"/>
      <c r="O235" s="760"/>
      <c r="P235" s="760"/>
      <c r="Q235" s="760"/>
      <c r="R235" s="760"/>
      <c r="S235" s="760"/>
      <c r="T235" s="762">
        <f t="shared" si="1"/>
        <v>0</v>
      </c>
      <c r="U235" s="760"/>
      <c r="V235" s="760"/>
      <c r="W235" s="760"/>
      <c r="X235" s="760"/>
      <c r="Y235" s="760"/>
      <c r="Z235" s="760"/>
      <c r="AA235" s="760"/>
      <c r="AB235" s="760"/>
      <c r="AC235" s="760"/>
      <c r="AD235" s="760"/>
      <c r="AE235" s="760"/>
      <c r="AF235" s="760"/>
      <c r="AG235" s="762">
        <f t="shared" si="2"/>
        <v>0</v>
      </c>
      <c r="AH235" s="760"/>
      <c r="AI235" s="760"/>
      <c r="AJ235" s="760"/>
      <c r="AK235" s="760"/>
      <c r="AL235" s="760"/>
      <c r="AM235" s="760"/>
      <c r="AN235" s="760"/>
      <c r="AO235" s="760"/>
      <c r="AP235" s="760"/>
      <c r="AQ235" s="760"/>
      <c r="AR235" s="760"/>
      <c r="AS235" s="760"/>
      <c r="AT235" s="762">
        <f t="shared" si="3"/>
        <v>0</v>
      </c>
      <c r="AU235" s="759">
        <f t="shared" si="4"/>
        <v>0</v>
      </c>
    </row>
    <row r="236" spans="1:47" x14ac:dyDescent="0.25">
      <c r="A236" s="763" t="s">
        <v>667</v>
      </c>
      <c r="B236" s="755" t="s">
        <v>679</v>
      </c>
      <c r="C236" s="760"/>
      <c r="D236" s="760"/>
      <c r="E236" s="760"/>
      <c r="F236" s="761"/>
      <c r="G236" s="762">
        <f t="shared" si="0"/>
        <v>0</v>
      </c>
      <c r="H236" s="760"/>
      <c r="I236" s="760"/>
      <c r="J236" s="760"/>
      <c r="K236" s="760"/>
      <c r="L236" s="760"/>
      <c r="M236" s="760"/>
      <c r="N236" s="760"/>
      <c r="O236" s="760"/>
      <c r="P236" s="760"/>
      <c r="Q236" s="760"/>
      <c r="R236" s="760"/>
      <c r="S236" s="760"/>
      <c r="T236" s="762">
        <f t="shared" si="1"/>
        <v>0</v>
      </c>
      <c r="U236" s="760"/>
      <c r="V236" s="760"/>
      <c r="W236" s="760"/>
      <c r="X236" s="760"/>
      <c r="Y236" s="760"/>
      <c r="Z236" s="760"/>
      <c r="AA236" s="760"/>
      <c r="AB236" s="760"/>
      <c r="AC236" s="760"/>
      <c r="AD236" s="760"/>
      <c r="AE236" s="760"/>
      <c r="AF236" s="760"/>
      <c r="AG236" s="762">
        <f t="shared" si="2"/>
        <v>0</v>
      </c>
      <c r="AH236" s="760"/>
      <c r="AI236" s="760"/>
      <c r="AJ236" s="760"/>
      <c r="AK236" s="760"/>
      <c r="AL236" s="760"/>
      <c r="AM236" s="760"/>
      <c r="AN236" s="760"/>
      <c r="AO236" s="760"/>
      <c r="AP236" s="760"/>
      <c r="AQ236" s="760"/>
      <c r="AR236" s="760"/>
      <c r="AS236" s="760"/>
      <c r="AT236" s="762">
        <f t="shared" si="3"/>
        <v>0</v>
      </c>
      <c r="AU236" s="759">
        <f t="shared" si="4"/>
        <v>0</v>
      </c>
    </row>
    <row r="237" spans="1:47" x14ac:dyDescent="0.25">
      <c r="A237" s="754" t="s">
        <v>667</v>
      </c>
      <c r="B237" s="755" t="s">
        <v>666</v>
      </c>
      <c r="C237" s="760"/>
      <c r="D237" s="760"/>
      <c r="E237" s="760"/>
      <c r="F237" s="761"/>
      <c r="G237" s="762">
        <f t="shared" si="0"/>
        <v>0</v>
      </c>
      <c r="H237" s="760"/>
      <c r="I237" s="760"/>
      <c r="J237" s="760"/>
      <c r="K237" s="760"/>
      <c r="L237" s="760"/>
      <c r="M237" s="760"/>
      <c r="N237" s="760"/>
      <c r="O237" s="760"/>
      <c r="P237" s="760"/>
      <c r="Q237" s="760"/>
      <c r="R237" s="760"/>
      <c r="S237" s="760"/>
      <c r="T237" s="762">
        <f t="shared" si="1"/>
        <v>0</v>
      </c>
      <c r="U237" s="760"/>
      <c r="V237" s="760"/>
      <c r="W237" s="760"/>
      <c r="X237" s="760"/>
      <c r="Y237" s="760"/>
      <c r="Z237" s="760"/>
      <c r="AA237" s="760"/>
      <c r="AB237" s="760"/>
      <c r="AC237" s="760"/>
      <c r="AD237" s="760"/>
      <c r="AE237" s="760"/>
      <c r="AF237" s="760"/>
      <c r="AG237" s="762">
        <f t="shared" si="2"/>
        <v>0</v>
      </c>
      <c r="AH237" s="760"/>
      <c r="AI237" s="760"/>
      <c r="AJ237" s="760"/>
      <c r="AK237" s="760"/>
      <c r="AL237" s="760"/>
      <c r="AM237" s="760"/>
      <c r="AN237" s="760"/>
      <c r="AO237" s="760"/>
      <c r="AP237" s="760"/>
      <c r="AQ237" s="760"/>
      <c r="AR237" s="760"/>
      <c r="AS237" s="760"/>
      <c r="AT237" s="762">
        <f t="shared" si="3"/>
        <v>0</v>
      </c>
      <c r="AU237" s="759">
        <f t="shared" si="4"/>
        <v>0</v>
      </c>
    </row>
    <row r="238" spans="1:47" x14ac:dyDescent="0.25">
      <c r="A238" s="754" t="s">
        <v>667</v>
      </c>
      <c r="B238" s="755" t="s">
        <v>681</v>
      </c>
      <c r="C238" s="760"/>
      <c r="D238" s="760"/>
      <c r="E238" s="760"/>
      <c r="F238" s="761"/>
      <c r="G238" s="762">
        <f t="shared" si="0"/>
        <v>0</v>
      </c>
      <c r="H238" s="760"/>
      <c r="I238" s="760"/>
      <c r="J238" s="760"/>
      <c r="K238" s="760"/>
      <c r="L238" s="760"/>
      <c r="M238" s="760"/>
      <c r="N238" s="760"/>
      <c r="O238" s="760"/>
      <c r="P238" s="760"/>
      <c r="Q238" s="760"/>
      <c r="R238" s="760"/>
      <c r="S238" s="760"/>
      <c r="T238" s="762">
        <f t="shared" si="1"/>
        <v>0</v>
      </c>
      <c r="U238" s="760"/>
      <c r="V238" s="760"/>
      <c r="W238" s="760"/>
      <c r="X238" s="760"/>
      <c r="Y238" s="760"/>
      <c r="Z238" s="760"/>
      <c r="AA238" s="760"/>
      <c r="AB238" s="760"/>
      <c r="AC238" s="760"/>
      <c r="AD238" s="760"/>
      <c r="AE238" s="760"/>
      <c r="AF238" s="760"/>
      <c r="AG238" s="762">
        <f t="shared" si="2"/>
        <v>0</v>
      </c>
      <c r="AH238" s="760"/>
      <c r="AI238" s="760"/>
      <c r="AJ238" s="760"/>
      <c r="AK238" s="760"/>
      <c r="AL238" s="760"/>
      <c r="AM238" s="760"/>
      <c r="AN238" s="760"/>
      <c r="AO238" s="760"/>
      <c r="AP238" s="760"/>
      <c r="AQ238" s="760"/>
      <c r="AR238" s="760"/>
      <c r="AS238" s="760"/>
      <c r="AT238" s="762">
        <f t="shared" si="3"/>
        <v>0</v>
      </c>
      <c r="AU238" s="759">
        <f t="shared" si="4"/>
        <v>0</v>
      </c>
    </row>
    <row r="239" spans="1:47" x14ac:dyDescent="0.25">
      <c r="A239" s="754" t="s">
        <v>684</v>
      </c>
      <c r="B239" s="755" t="s">
        <v>683</v>
      </c>
      <c r="C239" s="760"/>
      <c r="D239" s="760"/>
      <c r="E239" s="760"/>
      <c r="F239" s="761"/>
      <c r="G239" s="762">
        <f t="shared" si="0"/>
        <v>0</v>
      </c>
      <c r="H239" s="760"/>
      <c r="I239" s="760"/>
      <c r="J239" s="760"/>
      <c r="K239" s="760"/>
      <c r="L239" s="760"/>
      <c r="M239" s="760"/>
      <c r="N239" s="760"/>
      <c r="O239" s="760"/>
      <c r="P239" s="760"/>
      <c r="Q239" s="760"/>
      <c r="R239" s="760"/>
      <c r="S239" s="760"/>
      <c r="T239" s="762">
        <f t="shared" si="1"/>
        <v>0</v>
      </c>
      <c r="U239" s="760"/>
      <c r="V239" s="760"/>
      <c r="W239" s="760"/>
      <c r="X239" s="760"/>
      <c r="Y239" s="760"/>
      <c r="Z239" s="760"/>
      <c r="AA239" s="760"/>
      <c r="AB239" s="760"/>
      <c r="AC239" s="760"/>
      <c r="AD239" s="760"/>
      <c r="AE239" s="760"/>
      <c r="AF239" s="760"/>
      <c r="AG239" s="762">
        <f t="shared" si="2"/>
        <v>0</v>
      </c>
      <c r="AH239" s="760"/>
      <c r="AI239" s="760"/>
      <c r="AJ239" s="760"/>
      <c r="AK239" s="760"/>
      <c r="AL239" s="760"/>
      <c r="AM239" s="760"/>
      <c r="AN239" s="760"/>
      <c r="AO239" s="760"/>
      <c r="AP239" s="760"/>
      <c r="AQ239" s="760"/>
      <c r="AR239" s="760"/>
      <c r="AS239" s="760"/>
      <c r="AT239" s="762">
        <f t="shared" si="3"/>
        <v>0</v>
      </c>
      <c r="AU239" s="759">
        <f t="shared" si="4"/>
        <v>0</v>
      </c>
    </row>
    <row r="240" spans="1:47" x14ac:dyDescent="0.25">
      <c r="A240" s="754" t="s">
        <v>684</v>
      </c>
      <c r="B240" s="755" t="s">
        <v>632</v>
      </c>
      <c r="C240" s="760"/>
      <c r="D240" s="760"/>
      <c r="E240" s="760"/>
      <c r="F240" s="761"/>
      <c r="G240" s="762">
        <f t="shared" si="0"/>
        <v>0</v>
      </c>
      <c r="H240" s="760"/>
      <c r="I240" s="760"/>
      <c r="J240" s="760"/>
      <c r="K240" s="760"/>
      <c r="L240" s="760"/>
      <c r="M240" s="760"/>
      <c r="N240" s="760"/>
      <c r="O240" s="760"/>
      <c r="P240" s="760"/>
      <c r="Q240" s="760"/>
      <c r="R240" s="760"/>
      <c r="S240" s="760"/>
      <c r="T240" s="762">
        <f t="shared" si="1"/>
        <v>0</v>
      </c>
      <c r="U240" s="760"/>
      <c r="V240" s="760"/>
      <c r="W240" s="760"/>
      <c r="X240" s="760"/>
      <c r="Y240" s="760"/>
      <c r="Z240" s="760"/>
      <c r="AA240" s="760"/>
      <c r="AB240" s="760"/>
      <c r="AC240" s="760"/>
      <c r="AD240" s="760"/>
      <c r="AE240" s="760"/>
      <c r="AF240" s="760"/>
      <c r="AG240" s="762">
        <f t="shared" si="2"/>
        <v>0</v>
      </c>
      <c r="AH240" s="760"/>
      <c r="AI240" s="760"/>
      <c r="AJ240" s="760"/>
      <c r="AK240" s="760"/>
      <c r="AL240" s="760"/>
      <c r="AM240" s="760"/>
      <c r="AN240" s="760"/>
      <c r="AO240" s="760"/>
      <c r="AP240" s="760"/>
      <c r="AQ240" s="760"/>
      <c r="AR240" s="760"/>
      <c r="AS240" s="760"/>
      <c r="AT240" s="762">
        <f t="shared" si="3"/>
        <v>0</v>
      </c>
      <c r="AU240" s="759">
        <f t="shared" si="4"/>
        <v>0</v>
      </c>
    </row>
    <row r="241" spans="1:47" x14ac:dyDescent="0.25">
      <c r="A241" s="754" t="s">
        <v>684</v>
      </c>
      <c r="B241" s="755" t="s">
        <v>687</v>
      </c>
      <c r="C241" s="760"/>
      <c r="D241" s="760"/>
      <c r="E241" s="760"/>
      <c r="F241" s="761"/>
      <c r="G241" s="762">
        <f t="shared" si="0"/>
        <v>0</v>
      </c>
      <c r="H241" s="760"/>
      <c r="I241" s="760"/>
      <c r="J241" s="760"/>
      <c r="K241" s="760"/>
      <c r="L241" s="760"/>
      <c r="M241" s="760"/>
      <c r="N241" s="760"/>
      <c r="O241" s="760"/>
      <c r="P241" s="760"/>
      <c r="Q241" s="760"/>
      <c r="R241" s="760"/>
      <c r="S241" s="760"/>
      <c r="T241" s="762">
        <f t="shared" si="1"/>
        <v>0</v>
      </c>
      <c r="U241" s="760"/>
      <c r="V241" s="760"/>
      <c r="W241" s="760"/>
      <c r="X241" s="760"/>
      <c r="Y241" s="760"/>
      <c r="Z241" s="760"/>
      <c r="AA241" s="760"/>
      <c r="AB241" s="760"/>
      <c r="AC241" s="760"/>
      <c r="AD241" s="760"/>
      <c r="AE241" s="760"/>
      <c r="AF241" s="760"/>
      <c r="AG241" s="762">
        <f t="shared" si="2"/>
        <v>0</v>
      </c>
      <c r="AH241" s="760"/>
      <c r="AI241" s="760"/>
      <c r="AJ241" s="760"/>
      <c r="AK241" s="760"/>
      <c r="AL241" s="760"/>
      <c r="AM241" s="760"/>
      <c r="AN241" s="760"/>
      <c r="AO241" s="760"/>
      <c r="AP241" s="760"/>
      <c r="AQ241" s="760"/>
      <c r="AR241" s="760"/>
      <c r="AS241" s="760"/>
      <c r="AT241" s="762">
        <f t="shared" si="3"/>
        <v>0</v>
      </c>
      <c r="AU241" s="759">
        <f t="shared" si="4"/>
        <v>0</v>
      </c>
    </row>
    <row r="242" spans="1:47" x14ac:dyDescent="0.25">
      <c r="A242" s="754" t="s">
        <v>684</v>
      </c>
      <c r="B242" s="755" t="s">
        <v>689</v>
      </c>
      <c r="C242" s="760"/>
      <c r="D242" s="760"/>
      <c r="E242" s="760"/>
      <c r="F242" s="761"/>
      <c r="G242" s="762">
        <f t="shared" si="0"/>
        <v>0</v>
      </c>
      <c r="H242" s="760"/>
      <c r="I242" s="760"/>
      <c r="J242" s="760"/>
      <c r="K242" s="760"/>
      <c r="L242" s="760"/>
      <c r="M242" s="760"/>
      <c r="N242" s="760"/>
      <c r="O242" s="760"/>
      <c r="P242" s="760"/>
      <c r="Q242" s="760"/>
      <c r="R242" s="760"/>
      <c r="S242" s="760"/>
      <c r="T242" s="762">
        <f t="shared" si="1"/>
        <v>0</v>
      </c>
      <c r="U242" s="760"/>
      <c r="V242" s="760"/>
      <c r="W242" s="760"/>
      <c r="X242" s="760"/>
      <c r="Y242" s="760"/>
      <c r="Z242" s="760"/>
      <c r="AA242" s="760"/>
      <c r="AB242" s="760"/>
      <c r="AC242" s="760"/>
      <c r="AD242" s="760"/>
      <c r="AE242" s="760"/>
      <c r="AF242" s="760"/>
      <c r="AG242" s="762">
        <f t="shared" si="2"/>
        <v>0</v>
      </c>
      <c r="AH242" s="760"/>
      <c r="AI242" s="760"/>
      <c r="AJ242" s="760"/>
      <c r="AK242" s="760"/>
      <c r="AL242" s="760"/>
      <c r="AM242" s="760"/>
      <c r="AN242" s="760"/>
      <c r="AO242" s="760"/>
      <c r="AP242" s="760"/>
      <c r="AQ242" s="760"/>
      <c r="AR242" s="760"/>
      <c r="AS242" s="760"/>
      <c r="AT242" s="762">
        <f t="shared" si="3"/>
        <v>0</v>
      </c>
      <c r="AU242" s="759">
        <f t="shared" si="4"/>
        <v>0</v>
      </c>
    </row>
    <row r="243" spans="1:47" x14ac:dyDescent="0.25">
      <c r="A243" s="754" t="s">
        <v>684</v>
      </c>
      <c r="B243" s="755" t="s">
        <v>645</v>
      </c>
      <c r="C243" s="760"/>
      <c r="D243" s="760"/>
      <c r="E243" s="760"/>
      <c r="F243" s="761"/>
      <c r="G243" s="762">
        <f t="shared" si="0"/>
        <v>0</v>
      </c>
      <c r="H243" s="760"/>
      <c r="I243" s="760"/>
      <c r="J243" s="760"/>
      <c r="K243" s="760"/>
      <c r="L243" s="760"/>
      <c r="M243" s="760"/>
      <c r="N243" s="760"/>
      <c r="O243" s="760"/>
      <c r="P243" s="760"/>
      <c r="Q243" s="760"/>
      <c r="R243" s="760"/>
      <c r="S243" s="760"/>
      <c r="T243" s="762">
        <f t="shared" si="1"/>
        <v>0</v>
      </c>
      <c r="U243" s="760"/>
      <c r="V243" s="760"/>
      <c r="W243" s="760"/>
      <c r="X243" s="760"/>
      <c r="Y243" s="760"/>
      <c r="Z243" s="760"/>
      <c r="AA243" s="760"/>
      <c r="AB243" s="760"/>
      <c r="AC243" s="760"/>
      <c r="AD243" s="760"/>
      <c r="AE243" s="760"/>
      <c r="AF243" s="760"/>
      <c r="AG243" s="762">
        <f t="shared" si="2"/>
        <v>0</v>
      </c>
      <c r="AH243" s="760"/>
      <c r="AI243" s="760"/>
      <c r="AJ243" s="760"/>
      <c r="AK243" s="760"/>
      <c r="AL243" s="760"/>
      <c r="AM243" s="760"/>
      <c r="AN243" s="760"/>
      <c r="AO243" s="760"/>
      <c r="AP243" s="760"/>
      <c r="AQ243" s="760"/>
      <c r="AR243" s="760"/>
      <c r="AS243" s="760"/>
      <c r="AT243" s="762">
        <f t="shared" si="3"/>
        <v>0</v>
      </c>
      <c r="AU243" s="759">
        <f t="shared" si="4"/>
        <v>0</v>
      </c>
    </row>
    <row r="244" spans="1:47" x14ac:dyDescent="0.25">
      <c r="A244" s="754" t="s">
        <v>684</v>
      </c>
      <c r="B244" s="755" t="s">
        <v>692</v>
      </c>
      <c r="C244" s="760"/>
      <c r="D244" s="760"/>
      <c r="E244" s="760"/>
      <c r="F244" s="761"/>
      <c r="G244" s="762">
        <f t="shared" si="0"/>
        <v>0</v>
      </c>
      <c r="H244" s="760"/>
      <c r="I244" s="760"/>
      <c r="J244" s="760"/>
      <c r="K244" s="760"/>
      <c r="L244" s="760"/>
      <c r="M244" s="760"/>
      <c r="N244" s="760"/>
      <c r="O244" s="760"/>
      <c r="P244" s="760"/>
      <c r="Q244" s="760"/>
      <c r="R244" s="760"/>
      <c r="S244" s="760"/>
      <c r="T244" s="762">
        <f t="shared" si="1"/>
        <v>0</v>
      </c>
      <c r="U244" s="760"/>
      <c r="V244" s="760"/>
      <c r="W244" s="760"/>
      <c r="X244" s="760"/>
      <c r="Y244" s="760"/>
      <c r="Z244" s="760"/>
      <c r="AA244" s="760"/>
      <c r="AB244" s="760"/>
      <c r="AC244" s="760"/>
      <c r="AD244" s="760"/>
      <c r="AE244" s="760"/>
      <c r="AF244" s="760"/>
      <c r="AG244" s="762">
        <f t="shared" si="2"/>
        <v>0</v>
      </c>
      <c r="AH244" s="760"/>
      <c r="AI244" s="760"/>
      <c r="AJ244" s="760"/>
      <c r="AK244" s="760"/>
      <c r="AL244" s="760"/>
      <c r="AM244" s="760"/>
      <c r="AN244" s="760"/>
      <c r="AO244" s="760"/>
      <c r="AP244" s="760"/>
      <c r="AQ244" s="760"/>
      <c r="AR244" s="760"/>
      <c r="AS244" s="760"/>
      <c r="AT244" s="762">
        <f t="shared" si="3"/>
        <v>0</v>
      </c>
      <c r="AU244" s="759">
        <f t="shared" si="4"/>
        <v>0</v>
      </c>
    </row>
    <row r="245" spans="1:47" x14ac:dyDescent="0.25">
      <c r="A245" s="754" t="s">
        <v>684</v>
      </c>
      <c r="B245" s="755" t="s">
        <v>694</v>
      </c>
      <c r="C245" s="760"/>
      <c r="D245" s="760"/>
      <c r="E245" s="760"/>
      <c r="F245" s="761"/>
      <c r="G245" s="762">
        <f t="shared" si="0"/>
        <v>0</v>
      </c>
      <c r="H245" s="760"/>
      <c r="I245" s="760"/>
      <c r="J245" s="760"/>
      <c r="K245" s="760"/>
      <c r="L245" s="760"/>
      <c r="M245" s="760"/>
      <c r="N245" s="760"/>
      <c r="O245" s="760"/>
      <c r="P245" s="760"/>
      <c r="Q245" s="760"/>
      <c r="R245" s="760"/>
      <c r="S245" s="760"/>
      <c r="T245" s="762">
        <f t="shared" si="1"/>
        <v>0</v>
      </c>
      <c r="U245" s="760"/>
      <c r="V245" s="760"/>
      <c r="W245" s="760"/>
      <c r="X245" s="760"/>
      <c r="Y245" s="760"/>
      <c r="Z245" s="760"/>
      <c r="AA245" s="760"/>
      <c r="AB245" s="760"/>
      <c r="AC245" s="760"/>
      <c r="AD245" s="760"/>
      <c r="AE245" s="760"/>
      <c r="AF245" s="760"/>
      <c r="AG245" s="762">
        <f t="shared" si="2"/>
        <v>0</v>
      </c>
      <c r="AH245" s="760"/>
      <c r="AI245" s="760"/>
      <c r="AJ245" s="760"/>
      <c r="AK245" s="760"/>
      <c r="AL245" s="760"/>
      <c r="AM245" s="760"/>
      <c r="AN245" s="760"/>
      <c r="AO245" s="760"/>
      <c r="AP245" s="760"/>
      <c r="AQ245" s="760"/>
      <c r="AR245" s="760"/>
      <c r="AS245" s="760"/>
      <c r="AT245" s="762">
        <f t="shared" si="3"/>
        <v>0</v>
      </c>
      <c r="AU245" s="759">
        <f t="shared" si="4"/>
        <v>0</v>
      </c>
    </row>
    <row r="246" spans="1:47" x14ac:dyDescent="0.25">
      <c r="A246" s="754" t="s">
        <v>696</v>
      </c>
      <c r="B246" s="755" t="s">
        <v>696</v>
      </c>
      <c r="C246" s="760"/>
      <c r="D246" s="760"/>
      <c r="E246" s="760"/>
      <c r="F246" s="761"/>
      <c r="G246" s="762">
        <f t="shared" si="0"/>
        <v>0</v>
      </c>
      <c r="H246" s="760"/>
      <c r="I246" s="760"/>
      <c r="J246" s="760"/>
      <c r="K246" s="760"/>
      <c r="L246" s="760"/>
      <c r="M246" s="760"/>
      <c r="N246" s="760"/>
      <c r="O246" s="760"/>
      <c r="P246" s="760"/>
      <c r="Q246" s="760"/>
      <c r="R246" s="760"/>
      <c r="S246" s="760"/>
      <c r="T246" s="762">
        <f t="shared" si="1"/>
        <v>0</v>
      </c>
      <c r="U246" s="760"/>
      <c r="V246" s="760"/>
      <c r="W246" s="760"/>
      <c r="X246" s="760"/>
      <c r="Y246" s="760"/>
      <c r="Z246" s="760"/>
      <c r="AA246" s="760"/>
      <c r="AB246" s="760"/>
      <c r="AC246" s="760"/>
      <c r="AD246" s="760"/>
      <c r="AE246" s="760"/>
      <c r="AF246" s="760"/>
      <c r="AG246" s="762">
        <f t="shared" si="2"/>
        <v>0</v>
      </c>
      <c r="AH246" s="760"/>
      <c r="AI246" s="760"/>
      <c r="AJ246" s="760"/>
      <c r="AK246" s="760"/>
      <c r="AL246" s="760"/>
      <c r="AM246" s="760"/>
      <c r="AN246" s="760"/>
      <c r="AO246" s="760"/>
      <c r="AP246" s="760"/>
      <c r="AQ246" s="760"/>
      <c r="AR246" s="760"/>
      <c r="AS246" s="760"/>
      <c r="AT246" s="762">
        <f t="shared" si="3"/>
        <v>0</v>
      </c>
      <c r="AU246" s="759">
        <f t="shared" si="4"/>
        <v>0</v>
      </c>
    </row>
    <row r="247" spans="1:47" x14ac:dyDescent="0.25">
      <c r="A247" s="754" t="s">
        <v>635</v>
      </c>
      <c r="B247" s="755" t="s">
        <v>635</v>
      </c>
      <c r="C247" s="760"/>
      <c r="D247" s="760"/>
      <c r="E247" s="760"/>
      <c r="F247" s="761"/>
      <c r="G247" s="762">
        <f t="shared" si="0"/>
        <v>0</v>
      </c>
      <c r="H247" s="760"/>
      <c r="I247" s="760"/>
      <c r="J247" s="760"/>
      <c r="K247" s="760"/>
      <c r="L247" s="760"/>
      <c r="M247" s="760"/>
      <c r="N247" s="760"/>
      <c r="O247" s="760"/>
      <c r="P247" s="760"/>
      <c r="Q247" s="760"/>
      <c r="R247" s="760"/>
      <c r="S247" s="760"/>
      <c r="T247" s="762">
        <f t="shared" si="1"/>
        <v>0</v>
      </c>
      <c r="U247" s="760"/>
      <c r="V247" s="760"/>
      <c r="W247" s="760"/>
      <c r="X247" s="760"/>
      <c r="Y247" s="760"/>
      <c r="Z247" s="760"/>
      <c r="AA247" s="760"/>
      <c r="AB247" s="760"/>
      <c r="AC247" s="760"/>
      <c r="AD247" s="760"/>
      <c r="AE247" s="760"/>
      <c r="AF247" s="760"/>
      <c r="AG247" s="762">
        <f t="shared" si="2"/>
        <v>0</v>
      </c>
      <c r="AH247" s="760"/>
      <c r="AI247" s="760"/>
      <c r="AJ247" s="760"/>
      <c r="AK247" s="760"/>
      <c r="AL247" s="760"/>
      <c r="AM247" s="760"/>
      <c r="AN247" s="760"/>
      <c r="AO247" s="760"/>
      <c r="AP247" s="760"/>
      <c r="AQ247" s="760"/>
      <c r="AR247" s="760"/>
      <c r="AS247" s="760"/>
      <c r="AT247" s="762">
        <f t="shared" si="3"/>
        <v>0</v>
      </c>
      <c r="AU247" s="759">
        <f t="shared" si="4"/>
        <v>0</v>
      </c>
    </row>
    <row r="248" spans="1:47" ht="15.75" thickBot="1" x14ac:dyDescent="0.3">
      <c r="A248" s="764" t="s">
        <v>650</v>
      </c>
      <c r="B248" s="765" t="s">
        <v>650</v>
      </c>
      <c r="C248" s="766"/>
      <c r="D248" s="766"/>
      <c r="E248" s="766"/>
      <c r="F248" s="767"/>
      <c r="G248" s="768">
        <f t="shared" si="0"/>
        <v>0</v>
      </c>
      <c r="H248" s="766"/>
      <c r="I248" s="766"/>
      <c r="J248" s="766"/>
      <c r="K248" s="766"/>
      <c r="L248" s="766"/>
      <c r="M248" s="766"/>
      <c r="N248" s="766"/>
      <c r="O248" s="766"/>
      <c r="P248" s="766"/>
      <c r="Q248" s="766"/>
      <c r="R248" s="766"/>
      <c r="S248" s="766"/>
      <c r="T248" s="768">
        <f t="shared" si="1"/>
        <v>0</v>
      </c>
      <c r="U248" s="766"/>
      <c r="V248" s="766"/>
      <c r="W248" s="766"/>
      <c r="X248" s="766"/>
      <c r="Y248" s="766"/>
      <c r="Z248" s="766"/>
      <c r="AA248" s="766"/>
      <c r="AB248" s="766"/>
      <c r="AC248" s="766"/>
      <c r="AD248" s="766"/>
      <c r="AE248" s="766"/>
      <c r="AF248" s="766"/>
      <c r="AG248" s="768">
        <f t="shared" si="2"/>
        <v>0</v>
      </c>
      <c r="AH248" s="766"/>
      <c r="AI248" s="766"/>
      <c r="AJ248" s="766"/>
      <c r="AK248" s="766"/>
      <c r="AL248" s="766"/>
      <c r="AM248" s="766"/>
      <c r="AN248" s="766"/>
      <c r="AO248" s="766"/>
      <c r="AP248" s="766"/>
      <c r="AQ248" s="766"/>
      <c r="AR248" s="766"/>
      <c r="AS248" s="766"/>
      <c r="AT248" s="768">
        <f t="shared" si="3"/>
        <v>0</v>
      </c>
      <c r="AU248" s="769">
        <f t="shared" si="4"/>
        <v>0</v>
      </c>
    </row>
    <row r="249" spans="1:47" ht="15.75" thickBot="1" x14ac:dyDescent="0.3">
      <c r="A249" s="659"/>
      <c r="B249" s="770" t="s">
        <v>1142</v>
      </c>
      <c r="C249" s="771">
        <f t="shared" ref="C249:AU249" si="5">SUM(C216:C248)</f>
        <v>0</v>
      </c>
      <c r="D249" s="771">
        <f t="shared" si="5"/>
        <v>0</v>
      </c>
      <c r="E249" s="771">
        <f t="shared" si="5"/>
        <v>0</v>
      </c>
      <c r="F249" s="771">
        <f t="shared" si="5"/>
        <v>0</v>
      </c>
      <c r="G249" s="772">
        <f t="shared" si="5"/>
        <v>0</v>
      </c>
      <c r="H249" s="771">
        <f t="shared" si="5"/>
        <v>0</v>
      </c>
      <c r="I249" s="771">
        <f t="shared" si="5"/>
        <v>0</v>
      </c>
      <c r="J249" s="771">
        <f t="shared" si="5"/>
        <v>0</v>
      </c>
      <c r="K249" s="771">
        <f t="shared" si="5"/>
        <v>0</v>
      </c>
      <c r="L249" s="771">
        <f t="shared" si="5"/>
        <v>0</v>
      </c>
      <c r="M249" s="771">
        <f t="shared" si="5"/>
        <v>0</v>
      </c>
      <c r="N249" s="771">
        <f t="shared" si="5"/>
        <v>0</v>
      </c>
      <c r="O249" s="771">
        <f t="shared" si="5"/>
        <v>0</v>
      </c>
      <c r="P249" s="771">
        <f t="shared" si="5"/>
        <v>0</v>
      </c>
      <c r="Q249" s="771">
        <f t="shared" si="5"/>
        <v>0</v>
      </c>
      <c r="R249" s="771">
        <f t="shared" si="5"/>
        <v>0</v>
      </c>
      <c r="S249" s="771">
        <f t="shared" si="5"/>
        <v>0</v>
      </c>
      <c r="T249" s="772">
        <f t="shared" si="5"/>
        <v>0</v>
      </c>
      <c r="U249" s="771">
        <f t="shared" si="5"/>
        <v>0</v>
      </c>
      <c r="V249" s="771">
        <f t="shared" si="5"/>
        <v>0</v>
      </c>
      <c r="W249" s="771">
        <f t="shared" si="5"/>
        <v>0</v>
      </c>
      <c r="X249" s="771">
        <f t="shared" si="5"/>
        <v>0</v>
      </c>
      <c r="Y249" s="771">
        <f t="shared" si="5"/>
        <v>0</v>
      </c>
      <c r="Z249" s="771">
        <f t="shared" si="5"/>
        <v>0</v>
      </c>
      <c r="AA249" s="771">
        <f t="shared" si="5"/>
        <v>0</v>
      </c>
      <c r="AB249" s="771">
        <f t="shared" si="5"/>
        <v>0</v>
      </c>
      <c r="AC249" s="771">
        <f t="shared" si="5"/>
        <v>0</v>
      </c>
      <c r="AD249" s="771">
        <f t="shared" si="5"/>
        <v>0</v>
      </c>
      <c r="AE249" s="771">
        <f t="shared" si="5"/>
        <v>0</v>
      </c>
      <c r="AF249" s="771">
        <f t="shared" si="5"/>
        <v>0</v>
      </c>
      <c r="AG249" s="772">
        <f t="shared" si="5"/>
        <v>0</v>
      </c>
      <c r="AH249" s="771">
        <f t="shared" si="5"/>
        <v>0</v>
      </c>
      <c r="AI249" s="771">
        <f t="shared" si="5"/>
        <v>0</v>
      </c>
      <c r="AJ249" s="771">
        <f t="shared" si="5"/>
        <v>0</v>
      </c>
      <c r="AK249" s="771">
        <f t="shared" si="5"/>
        <v>0</v>
      </c>
      <c r="AL249" s="771">
        <f t="shared" si="5"/>
        <v>0</v>
      </c>
      <c r="AM249" s="771">
        <f t="shared" si="5"/>
        <v>0</v>
      </c>
      <c r="AN249" s="771">
        <f t="shared" si="5"/>
        <v>0</v>
      </c>
      <c r="AO249" s="771">
        <f t="shared" si="5"/>
        <v>0</v>
      </c>
      <c r="AP249" s="771">
        <f t="shared" si="5"/>
        <v>0</v>
      </c>
      <c r="AQ249" s="771">
        <f t="shared" si="5"/>
        <v>0</v>
      </c>
      <c r="AR249" s="771">
        <f t="shared" si="5"/>
        <v>0</v>
      </c>
      <c r="AS249" s="771">
        <f t="shared" si="5"/>
        <v>0</v>
      </c>
      <c r="AT249" s="772">
        <f t="shared" si="5"/>
        <v>0</v>
      </c>
      <c r="AU249" s="773">
        <f t="shared" si="5"/>
        <v>0</v>
      </c>
    </row>
    <row r="1188" spans="1:23" ht="15.75" thickBot="1" x14ac:dyDescent="0.3">
      <c r="A1188" s="525"/>
      <c r="B1188" s="774"/>
      <c r="C1188" s="578"/>
      <c r="D1188" s="578"/>
      <c r="E1188" s="775"/>
      <c r="F1188" s="530"/>
      <c r="G1188" s="531"/>
      <c r="H1188" s="531"/>
      <c r="I1188" s="557"/>
      <c r="J1188" s="776"/>
      <c r="K1188" s="776"/>
      <c r="L1188" s="777"/>
      <c r="M1188" s="557"/>
      <c r="N1188" s="536"/>
      <c r="O1188" s="536"/>
      <c r="P1188" s="537"/>
      <c r="Q1188" s="537"/>
      <c r="R1188" s="537"/>
      <c r="S1188" s="538"/>
      <c r="T1188" s="778"/>
      <c r="U1188" s="778"/>
      <c r="V1188" s="778"/>
      <c r="W1188" s="537"/>
    </row>
    <row r="1189" spans="1:23" x14ac:dyDescent="0.25">
      <c r="A1189" s="525"/>
      <c r="B1189" s="526" t="s">
        <v>828</v>
      </c>
      <c r="C1189" s="527">
        <f>COUNTIF(B$1:B1186,B1189)</f>
        <v>1</v>
      </c>
      <c r="D1189" s="528">
        <f>C1189/C1194</f>
        <v>0.2</v>
      </c>
      <c r="E1189" s="529"/>
      <c r="F1189" s="530"/>
      <c r="G1189" s="531"/>
      <c r="H1189" s="531"/>
      <c r="I1189" s="532"/>
      <c r="J1189" s="533">
        <f>SUMIF(B$3:B1186,B1189,T$3:T1193)</f>
        <v>48</v>
      </c>
      <c r="K1189" s="534"/>
      <c r="L1189" s="535">
        <f>J1189/J1194</f>
        <v>1</v>
      </c>
      <c r="M1189" s="536"/>
      <c r="N1189" s="536"/>
      <c r="O1189" s="536"/>
      <c r="P1189" s="537"/>
      <c r="Q1189" s="537"/>
      <c r="R1189" s="537"/>
      <c r="S1189" s="538" t="s">
        <v>793</v>
      </c>
      <c r="T1189" s="539">
        <v>1261915799.52244</v>
      </c>
      <c r="U1189" s="539" t="e">
        <f>SUM(#REF!)</f>
        <v>#REF!</v>
      </c>
      <c r="V1189" s="539" t="e">
        <f>SUM(#REF!)</f>
        <v>#REF!</v>
      </c>
      <c r="W1189" s="537" t="s">
        <v>829</v>
      </c>
    </row>
    <row r="1190" spans="1:23" x14ac:dyDescent="0.25">
      <c r="A1190" s="525"/>
      <c r="B1190" s="542" t="s">
        <v>830</v>
      </c>
      <c r="C1190" s="543">
        <f>COUNTIF(B$1:B1186,B1190)</f>
        <v>1</v>
      </c>
      <c r="D1190" s="544">
        <f>C1190/C1194</f>
        <v>0.2</v>
      </c>
      <c r="E1190" s="529"/>
      <c r="F1190" s="530"/>
      <c r="G1190" s="531"/>
      <c r="H1190" s="531"/>
      <c r="I1190" s="532"/>
      <c r="J1190" s="545">
        <f>SUMIF(B$3:B1189,B1190,T$3:T1194)</f>
        <v>0</v>
      </c>
      <c r="K1190" s="546"/>
      <c r="L1190" s="547">
        <f>J1190/J1194</f>
        <v>0</v>
      </c>
      <c r="M1190" s="536"/>
      <c r="N1190" s="536"/>
      <c r="O1190" s="536"/>
      <c r="P1190" s="541"/>
      <c r="Q1190" s="541"/>
      <c r="R1190" s="541"/>
      <c r="S1190" s="548"/>
      <c r="T1190" s="549"/>
      <c r="U1190" s="549"/>
      <c r="V1190" s="549"/>
      <c r="W1190" s="541"/>
    </row>
    <row r="1191" spans="1:23" x14ac:dyDescent="0.25">
      <c r="A1191" s="525"/>
      <c r="B1191" s="551" t="s">
        <v>831</v>
      </c>
      <c r="C1191" s="552">
        <f>COUNTIF(B$1:B1186,B1191)</f>
        <v>1</v>
      </c>
      <c r="D1191" s="553">
        <f>C1191/C1194</f>
        <v>0.2</v>
      </c>
      <c r="E1191" s="529"/>
      <c r="F1191" s="530"/>
      <c r="G1191" s="531"/>
      <c r="H1191" s="531"/>
      <c r="I1191" s="532"/>
      <c r="J1191" s="554">
        <f>SUMIF(B$3:B1190,B1191,T$3:T1194)</f>
        <v>0</v>
      </c>
      <c r="K1191" s="555"/>
      <c r="L1191" s="556">
        <f>J1191/J1194</f>
        <v>0</v>
      </c>
      <c r="M1191" s="557"/>
      <c r="N1191" s="536"/>
      <c r="O1191" s="536"/>
      <c r="P1191" s="541"/>
      <c r="Q1191" s="541"/>
      <c r="R1191" s="541"/>
      <c r="S1191" s="548"/>
      <c r="T1191" s="549"/>
      <c r="U1191" s="549"/>
      <c r="V1191" s="549"/>
      <c r="W1191" s="541"/>
    </row>
    <row r="1192" spans="1:23" ht="15.75" thickBot="1" x14ac:dyDescent="0.3">
      <c r="A1192" s="525"/>
      <c r="B1192" s="558" t="s">
        <v>832</v>
      </c>
      <c r="C1192" s="559">
        <f>COUNTIF(B$1:B1189,B1192)</f>
        <v>1</v>
      </c>
      <c r="D1192" s="560">
        <f>C1192/C1194</f>
        <v>0.2</v>
      </c>
      <c r="E1192" s="529"/>
      <c r="F1192" s="530"/>
      <c r="G1192" s="531"/>
      <c r="H1192" s="531"/>
      <c r="I1192" s="532"/>
      <c r="J1192" s="561">
        <f>SUMIF(B$3:B1191,B1192,T$3:T1194)</f>
        <v>0</v>
      </c>
      <c r="K1192" s="562"/>
      <c r="L1192" s="563">
        <f>J1192/J1194</f>
        <v>0</v>
      </c>
      <c r="M1192" s="557"/>
      <c r="N1192" s="536"/>
      <c r="O1192" s="536"/>
      <c r="P1192" s="541"/>
      <c r="Q1192" s="541"/>
      <c r="R1192" s="541"/>
      <c r="S1192" s="548"/>
      <c r="T1192" s="549"/>
      <c r="U1192" s="549"/>
      <c r="V1192" s="549"/>
      <c r="W1192" s="541"/>
    </row>
    <row r="1193" spans="1:23" ht="16.5" thickTop="1" thickBot="1" x14ac:dyDescent="0.3">
      <c r="A1193" s="564"/>
      <c r="B1193" s="565" t="s">
        <v>816</v>
      </c>
      <c r="C1193" s="566">
        <f>COUNTIF(B$1:B1186,B1193)</f>
        <v>1</v>
      </c>
      <c r="D1193" s="567">
        <f>C1193/C1194</f>
        <v>0.2</v>
      </c>
      <c r="E1193" s="568"/>
      <c r="F1193" s="569"/>
      <c r="G1193" s="570"/>
      <c r="H1193" s="570"/>
      <c r="I1193" s="571"/>
      <c r="J1193" s="572">
        <f>SUMIF(B$3:B1192,B1193,T$3:T1194)</f>
        <v>0</v>
      </c>
      <c r="K1193" s="573"/>
      <c r="L1193" s="574">
        <f>J1193/J1194</f>
        <v>0</v>
      </c>
      <c r="M1193" s="575"/>
      <c r="N1193" s="575"/>
      <c r="O1193" s="575"/>
      <c r="P1193" s="541"/>
      <c r="Q1193" s="541"/>
      <c r="R1193" s="541"/>
      <c r="S1193" s="548"/>
      <c r="T1193" s="549"/>
      <c r="U1193" s="549"/>
      <c r="V1193" s="549"/>
      <c r="W1193" s="541"/>
    </row>
    <row r="1194" spans="1:23" x14ac:dyDescent="0.25">
      <c r="A1194" s="525"/>
      <c r="B1194" s="576"/>
      <c r="C1194" s="577">
        <f>SUM(C1189:C1193)</f>
        <v>5</v>
      </c>
      <c r="D1194" s="578"/>
      <c r="E1194" s="529"/>
      <c r="F1194" s="530"/>
      <c r="G1194" s="531"/>
      <c r="H1194" s="531"/>
      <c r="I1194" s="532"/>
      <c r="J1194" s="579">
        <f>SUM(J1189:J1193)</f>
        <v>48</v>
      </c>
      <c r="K1194" s="580"/>
      <c r="L1194" s="581"/>
      <c r="M1194" s="557"/>
      <c r="N1194" s="536"/>
      <c r="O1194" s="536"/>
      <c r="P1194" s="541"/>
      <c r="Q1194" s="541"/>
      <c r="R1194" s="541"/>
      <c r="S1194" s="548"/>
      <c r="T1194" s="549"/>
      <c r="U1194" s="549"/>
      <c r="V1194" s="549"/>
      <c r="W1194" s="541"/>
    </row>
  </sheetData>
  <mergeCells count="2">
    <mergeCell ref="A45:A50"/>
    <mergeCell ref="A58:A63"/>
  </mergeCells>
  <conditionalFormatting sqref="B6">
    <cfRule type="cellIs" dxfId="3" priority="4" operator="lessThanOrEqual">
      <formula>0</formula>
    </cfRule>
  </conditionalFormatting>
  <conditionalFormatting sqref="C59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0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C59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35" workbookViewId="0">
      <selection activeCell="C53" sqref="C53:C54"/>
    </sheetView>
  </sheetViews>
  <sheetFormatPr defaultRowHeight="15" x14ac:dyDescent="0.25"/>
  <cols>
    <col min="1" max="3" width="9.140625" style="427"/>
    <col min="4" max="4" width="10.7109375" style="427" customWidth="1"/>
    <col min="5" max="7" width="10.5703125" style="427" customWidth="1"/>
    <col min="8" max="10" width="9.140625" style="427"/>
    <col min="11" max="11" width="17.7109375" style="709" customWidth="1"/>
    <col min="12" max="12" width="22.7109375" style="427" customWidth="1"/>
    <col min="13" max="13" width="17.7109375" style="427" customWidth="1"/>
    <col min="14" max="14" width="10.7109375" style="427" customWidth="1"/>
    <col min="15" max="16" width="18.7109375" style="427" customWidth="1"/>
    <col min="17" max="17" width="13.7109375" style="427" customWidth="1"/>
    <col min="18" max="18" width="10.85546875" style="427" customWidth="1"/>
    <col min="19" max="19" width="30.85546875" style="427" customWidth="1"/>
    <col min="20" max="20" width="20.7109375" style="427" customWidth="1"/>
    <col min="21" max="22" width="10.7109375" style="427" customWidth="1"/>
    <col min="23" max="23" width="15.85546875" style="427" customWidth="1"/>
    <col min="24" max="24" width="8.5703125" style="427" customWidth="1"/>
    <col min="25" max="25" width="15.5703125" style="427" customWidth="1"/>
    <col min="26" max="16384" width="9.140625" style="427"/>
  </cols>
  <sheetData>
    <row r="1" spans="1:34" s="586" customFormat="1" ht="7.5" customHeight="1" x14ac:dyDescent="0.25">
      <c r="D1" s="587"/>
      <c r="E1" s="587"/>
      <c r="F1" s="587"/>
      <c r="G1" s="587"/>
      <c r="K1" s="779"/>
    </row>
    <row r="2" spans="1:34" s="453" customFormat="1" ht="19.5" x14ac:dyDescent="0.3">
      <c r="C2" s="454" t="s">
        <v>1143</v>
      </c>
      <c r="K2" s="779"/>
    </row>
    <row r="4" spans="1:34" ht="15.75" thickBot="1" x14ac:dyDescent="0.3">
      <c r="A4" s="642" t="s">
        <v>1144</v>
      </c>
    </row>
    <row r="5" spans="1:34" s="651" customFormat="1" ht="15.75" thickBot="1" x14ac:dyDescent="0.3">
      <c r="A5" s="427"/>
      <c r="B5" s="780" t="s">
        <v>1145</v>
      </c>
      <c r="C5" s="781">
        <f>MATCH("NewOpp",E5:N5,0)+4</f>
        <v>12</v>
      </c>
      <c r="D5" s="781">
        <f>MATCH("STOP",E5:N5,0)+4</f>
        <v>14</v>
      </c>
      <c r="K5" s="782"/>
      <c r="L5" s="783" t="s">
        <v>140</v>
      </c>
      <c r="M5" s="784" t="s">
        <v>1146</v>
      </c>
      <c r="N5" s="785" t="s">
        <v>1147</v>
      </c>
      <c r="P5" s="652"/>
      <c r="Q5" s="653"/>
      <c r="R5" s="654"/>
      <c r="S5" s="655"/>
      <c r="T5" s="427"/>
      <c r="U5" s="427"/>
      <c r="V5" s="427"/>
      <c r="W5" s="427"/>
      <c r="X5" s="427"/>
      <c r="Y5" s="427"/>
      <c r="Z5" s="427"/>
      <c r="AA5" s="427"/>
      <c r="AB5" s="427"/>
      <c r="AC5" s="427"/>
    </row>
    <row r="6" spans="1:34" s="782" customFormat="1" x14ac:dyDescent="0.25">
      <c r="A6" s="786"/>
      <c r="B6" s="787"/>
      <c r="C6" s="788"/>
      <c r="D6" s="789"/>
      <c r="L6" s="790"/>
      <c r="M6" s="790"/>
      <c r="N6" s="791"/>
      <c r="Q6" s="694"/>
      <c r="R6" s="653"/>
      <c r="S6" s="654"/>
      <c r="T6" s="655"/>
      <c r="U6" s="709"/>
      <c r="V6" s="709"/>
      <c r="W6" s="709"/>
      <c r="X6" s="709"/>
      <c r="Y6" s="709"/>
      <c r="Z6" s="709"/>
      <c r="AA6" s="709"/>
      <c r="AB6" s="709"/>
      <c r="AC6" s="709"/>
      <c r="AD6" s="709"/>
    </row>
    <row r="7" spans="1:34" x14ac:dyDescent="0.25">
      <c r="A7" s="792">
        <v>0</v>
      </c>
      <c r="B7" s="793" t="s">
        <v>66</v>
      </c>
      <c r="C7" s="794" t="s">
        <v>66</v>
      </c>
      <c r="D7" s="795" t="s">
        <v>66</v>
      </c>
      <c r="E7" s="796">
        <v>0</v>
      </c>
      <c r="F7" s="796">
        <v>0</v>
      </c>
      <c r="G7" s="796">
        <v>0</v>
      </c>
      <c r="H7" s="796">
        <v>0</v>
      </c>
      <c r="I7" s="796">
        <v>0</v>
      </c>
      <c r="J7" s="796">
        <v>0</v>
      </c>
      <c r="K7" s="796">
        <v>17</v>
      </c>
      <c r="L7" s="797" t="s">
        <v>937</v>
      </c>
      <c r="M7" s="797" t="s">
        <v>84</v>
      </c>
      <c r="N7" s="797" t="s">
        <v>84</v>
      </c>
      <c r="O7" s="797" t="s">
        <v>971</v>
      </c>
      <c r="P7" s="797" t="s">
        <v>937</v>
      </c>
      <c r="Q7" s="797" t="s">
        <v>970</v>
      </c>
      <c r="R7" s="797" t="s">
        <v>81</v>
      </c>
      <c r="S7" s="797" t="s">
        <v>51</v>
      </c>
      <c r="T7" s="797" t="s">
        <v>81</v>
      </c>
      <c r="U7" s="797" t="s">
        <v>81</v>
      </c>
      <c r="V7" s="797" t="s">
        <v>81</v>
      </c>
      <c r="W7" s="797" t="s">
        <v>250</v>
      </c>
      <c r="X7" s="797" t="s">
        <v>60</v>
      </c>
      <c r="Y7" s="797" t="s">
        <v>250</v>
      </c>
      <c r="Z7" s="796">
        <v>0</v>
      </c>
      <c r="AA7" s="660"/>
      <c r="AB7" s="659"/>
    </row>
    <row r="8" spans="1:34" x14ac:dyDescent="0.25">
      <c r="A8" s="786"/>
      <c r="B8" s="793" t="s">
        <v>935</v>
      </c>
      <c r="C8" s="794"/>
      <c r="D8" s="795"/>
      <c r="E8" s="699"/>
      <c r="F8" s="699"/>
      <c r="G8" s="699"/>
      <c r="H8" s="699"/>
      <c r="I8" s="699"/>
      <c r="J8" s="699"/>
      <c r="K8" s="699"/>
      <c r="L8" s="694"/>
      <c r="M8" s="694"/>
      <c r="N8" s="694"/>
      <c r="O8" s="709"/>
      <c r="P8" s="709"/>
      <c r="Q8" s="694"/>
      <c r="R8" s="694"/>
      <c r="S8" s="694"/>
      <c r="T8" s="694"/>
      <c r="U8" s="694"/>
      <c r="V8" s="694"/>
      <c r="W8" s="709"/>
      <c r="X8" s="709"/>
      <c r="Y8" s="709"/>
      <c r="Z8" s="660"/>
      <c r="AA8" s="659"/>
    </row>
    <row r="9" spans="1:34" x14ac:dyDescent="0.25">
      <c r="A9" s="786"/>
      <c r="B9" s="793" t="s">
        <v>939</v>
      </c>
      <c r="C9" s="794"/>
      <c r="D9" s="795"/>
      <c r="E9" s="699"/>
      <c r="F9" s="699"/>
      <c r="G9" s="699"/>
      <c r="H9" s="699"/>
      <c r="I9" s="699"/>
      <c r="J9" s="699"/>
      <c r="K9" s="699"/>
      <c r="L9" s="694"/>
      <c r="M9" s="694"/>
      <c r="N9" s="694"/>
      <c r="O9" s="709"/>
      <c r="P9" s="709"/>
      <c r="Q9" s="694"/>
      <c r="R9" s="694"/>
      <c r="S9" s="694"/>
      <c r="T9" s="694"/>
      <c r="U9" s="694"/>
      <c r="V9" s="694"/>
      <c r="W9" s="709"/>
      <c r="X9" s="709"/>
      <c r="Y9" s="709"/>
      <c r="Z9" s="660"/>
      <c r="AA9" s="659"/>
    </row>
    <row r="10" spans="1:34" ht="15.75" thickBot="1" x14ac:dyDescent="0.3">
      <c r="A10" s="786"/>
      <c r="B10" s="798" t="s">
        <v>942</v>
      </c>
      <c r="C10" s="794"/>
      <c r="D10" s="795"/>
      <c r="E10" s="699"/>
      <c r="F10" s="699"/>
      <c r="G10" s="699"/>
      <c r="H10" s="699"/>
      <c r="I10" s="699"/>
      <c r="J10" s="699"/>
      <c r="K10" s="699"/>
      <c r="L10" s="694"/>
      <c r="M10" s="694"/>
      <c r="N10" s="694"/>
      <c r="O10" s="709"/>
      <c r="P10" s="709"/>
      <c r="Q10" s="694"/>
      <c r="R10" s="694"/>
      <c r="S10" s="694"/>
      <c r="T10" s="694"/>
      <c r="U10" s="694"/>
      <c r="V10" s="694"/>
      <c r="W10" s="709"/>
      <c r="X10" s="709"/>
      <c r="Y10" s="709"/>
      <c r="Z10" s="660"/>
      <c r="AA10" s="659"/>
    </row>
    <row r="11" spans="1:34" s="812" customFormat="1" ht="23.25" thickBot="1" x14ac:dyDescent="0.3">
      <c r="A11" s="893" t="s">
        <v>32</v>
      </c>
      <c r="B11" s="799" t="s">
        <v>1148</v>
      </c>
      <c r="C11" s="800" t="s">
        <v>1149</v>
      </c>
      <c r="D11" s="801"/>
      <c r="E11" s="456" t="s">
        <v>747</v>
      </c>
      <c r="F11" s="802" t="s">
        <v>52</v>
      </c>
      <c r="G11" s="802" t="s">
        <v>1150</v>
      </c>
      <c r="H11" s="803" t="s">
        <v>764</v>
      </c>
      <c r="I11" s="803"/>
      <c r="J11" s="457" t="s">
        <v>1151</v>
      </c>
      <c r="K11" s="804" t="s">
        <v>407</v>
      </c>
      <c r="L11" s="805" t="s">
        <v>1152</v>
      </c>
      <c r="M11" s="806" t="s">
        <v>36</v>
      </c>
      <c r="N11" s="806" t="s">
        <v>39</v>
      </c>
      <c r="O11" s="807" t="s">
        <v>749</v>
      </c>
      <c r="P11" s="806" t="s">
        <v>1153</v>
      </c>
      <c r="Q11" s="808" t="s">
        <v>758</v>
      </c>
      <c r="R11" s="896" t="s">
        <v>759</v>
      </c>
      <c r="S11" s="897"/>
      <c r="T11" s="809" t="s">
        <v>109</v>
      </c>
      <c r="U11" s="807" t="s">
        <v>764</v>
      </c>
      <c r="V11" s="809" t="s">
        <v>765</v>
      </c>
      <c r="W11" s="810" t="s">
        <v>766</v>
      </c>
      <c r="X11" s="811" t="s">
        <v>767</v>
      </c>
      <c r="Y11" s="809" t="s">
        <v>768</v>
      </c>
      <c r="Z11" s="427"/>
    </row>
    <row r="12" spans="1:34" s="812" customFormat="1" ht="15.75" thickBot="1" x14ac:dyDescent="0.3">
      <c r="A12" s="894"/>
      <c r="B12" s="813" t="s">
        <v>925</v>
      </c>
      <c r="C12" s="794" t="s">
        <v>1149</v>
      </c>
      <c r="D12" s="814"/>
      <c r="E12" s="685"/>
      <c r="F12" s="815"/>
      <c r="G12" s="427"/>
      <c r="H12" s="427"/>
      <c r="I12" s="427"/>
      <c r="J12" s="816"/>
      <c r="K12" s="817"/>
      <c r="L12" s="818">
        <f>HYPERLINK("https://eu1.salesforce.com/"&amp;E12,F12)</f>
        <v>0</v>
      </c>
      <c r="M12" s="686"/>
      <c r="N12" s="686"/>
      <c r="O12" s="819"/>
      <c r="P12" s="820">
        <v>1234567.8899999999</v>
      </c>
      <c r="Q12" s="820">
        <v>1234567.8899999999</v>
      </c>
      <c r="R12" s="898"/>
      <c r="S12" s="899"/>
      <c r="T12" s="821"/>
      <c r="U12" s="818">
        <f>HYPERLINK("https://eu1.salesforce.com/"&amp;G12,H12)</f>
        <v>0</v>
      </c>
      <c r="V12" s="822"/>
      <c r="W12" s="822"/>
      <c r="X12" s="822"/>
      <c r="Y12" s="822"/>
    </row>
    <row r="13" spans="1:34" x14ac:dyDescent="0.25">
      <c r="A13" s="894"/>
      <c r="B13" s="793" t="s">
        <v>931</v>
      </c>
      <c r="C13" s="794"/>
      <c r="D13" s="795"/>
      <c r="E13" s="699">
        <v>0.5</v>
      </c>
      <c r="F13" s="699"/>
      <c r="J13" s="699">
        <v>0.5</v>
      </c>
      <c r="K13" s="699">
        <v>17</v>
      </c>
      <c r="L13" s="694" t="s">
        <v>937</v>
      </c>
      <c r="M13" s="694" t="s">
        <v>84</v>
      </c>
      <c r="N13" s="694" t="s">
        <v>81</v>
      </c>
      <c r="O13" s="694" t="s">
        <v>936</v>
      </c>
      <c r="P13" s="694" t="s">
        <v>1154</v>
      </c>
      <c r="Q13" s="694" t="s">
        <v>1154</v>
      </c>
      <c r="R13" s="694" t="s">
        <v>1155</v>
      </c>
      <c r="S13" s="694"/>
      <c r="T13" s="694" t="s">
        <v>81</v>
      </c>
      <c r="U13" s="694" t="s">
        <v>189</v>
      </c>
      <c r="V13" s="694" t="s">
        <v>189</v>
      </c>
      <c r="W13" s="694" t="s">
        <v>1154</v>
      </c>
      <c r="X13" s="694" t="s">
        <v>60</v>
      </c>
      <c r="Y13" s="694" t="s">
        <v>250</v>
      </c>
      <c r="AA13" s="660"/>
      <c r="AB13" s="659"/>
    </row>
    <row r="14" spans="1:34" x14ac:dyDescent="0.25">
      <c r="A14" s="894"/>
      <c r="B14" s="793" t="s">
        <v>935</v>
      </c>
      <c r="C14" s="794"/>
      <c r="D14" s="795"/>
      <c r="E14" s="699">
        <v>1</v>
      </c>
      <c r="F14" s="699">
        <v>9</v>
      </c>
      <c r="G14" s="699">
        <v>25</v>
      </c>
      <c r="H14" s="816">
        <v>25</v>
      </c>
      <c r="I14" s="816"/>
      <c r="J14" s="699" t="s">
        <v>1098</v>
      </c>
      <c r="K14" s="699">
        <v>19</v>
      </c>
      <c r="L14" s="694"/>
      <c r="M14" s="694" t="s">
        <v>120</v>
      </c>
      <c r="N14" s="694" t="s">
        <v>34</v>
      </c>
      <c r="O14" s="694" t="s">
        <v>189</v>
      </c>
      <c r="P14" s="694" t="s">
        <v>81</v>
      </c>
      <c r="Q14" s="694" t="s">
        <v>936</v>
      </c>
      <c r="R14" s="694" t="s">
        <v>251</v>
      </c>
      <c r="S14" s="694"/>
      <c r="T14" s="694" t="s">
        <v>937</v>
      </c>
      <c r="U14" s="694"/>
      <c r="V14" s="694" t="s">
        <v>1156</v>
      </c>
      <c r="W14" s="694" t="s">
        <v>1015</v>
      </c>
      <c r="X14" s="694" t="s">
        <v>1016</v>
      </c>
      <c r="Y14" s="694" t="s">
        <v>1157</v>
      </c>
      <c r="AD14" s="664"/>
      <c r="AE14" s="664"/>
      <c r="AF14" s="664"/>
      <c r="AG14" s="664"/>
      <c r="AH14" s="664"/>
    </row>
    <row r="15" spans="1:34" x14ac:dyDescent="0.25">
      <c r="A15" s="894"/>
      <c r="B15" s="793" t="s">
        <v>939</v>
      </c>
      <c r="C15" s="794"/>
      <c r="D15" s="795"/>
      <c r="E15" s="699"/>
      <c r="F15" s="699"/>
      <c r="G15" s="699" t="s">
        <v>941</v>
      </c>
      <c r="H15" s="427" t="s">
        <v>1158</v>
      </c>
      <c r="J15" s="699"/>
      <c r="K15" s="823" t="s">
        <v>781</v>
      </c>
      <c r="L15" s="709"/>
      <c r="M15" s="709"/>
      <c r="N15" s="709"/>
      <c r="O15" s="709"/>
      <c r="P15" s="709"/>
      <c r="Q15" s="709"/>
      <c r="R15" s="709"/>
      <c r="S15" s="709"/>
      <c r="T15" s="709"/>
      <c r="U15" s="709"/>
      <c r="V15" s="709"/>
      <c r="W15" s="709"/>
      <c r="X15" s="709"/>
      <c r="Y15" s="709"/>
      <c r="AD15" s="664"/>
      <c r="AE15" s="664"/>
      <c r="AF15" s="664"/>
      <c r="AG15" s="664"/>
      <c r="AH15" s="664"/>
    </row>
    <row r="16" spans="1:34" ht="15.75" thickBot="1" x14ac:dyDescent="0.3">
      <c r="A16" s="895"/>
      <c r="B16" s="798" t="s">
        <v>942</v>
      </c>
      <c r="C16" s="824"/>
      <c r="D16" s="825"/>
      <c r="E16" s="826"/>
      <c r="F16" s="826"/>
      <c r="G16" s="826" t="s">
        <v>1159</v>
      </c>
      <c r="J16" s="826" t="s">
        <v>1160</v>
      </c>
      <c r="K16" s="826"/>
      <c r="L16" s="709"/>
      <c r="M16" s="709"/>
      <c r="N16" s="709"/>
      <c r="O16" s="709"/>
      <c r="P16" s="709"/>
      <c r="Q16" s="709"/>
      <c r="R16" s="709"/>
      <c r="S16" s="709"/>
      <c r="T16" s="709"/>
      <c r="U16" s="709"/>
      <c r="V16" s="709"/>
      <c r="W16" s="709"/>
      <c r="AB16" s="664"/>
      <c r="AC16" s="664"/>
      <c r="AD16" s="664"/>
      <c r="AE16" s="664"/>
      <c r="AF16" s="664"/>
    </row>
    <row r="17" spans="1:37" s="812" customFormat="1" ht="30.75" thickBot="1" x14ac:dyDescent="0.3">
      <c r="A17" s="893" t="s">
        <v>69</v>
      </c>
      <c r="B17" s="632" t="s">
        <v>902</v>
      </c>
      <c r="C17" s="800" t="s">
        <v>1149</v>
      </c>
      <c r="D17" s="801"/>
      <c r="E17" s="827" t="s">
        <v>748</v>
      </c>
      <c r="F17" s="827"/>
      <c r="G17" s="827"/>
      <c r="H17" s="828" t="s">
        <v>1161</v>
      </c>
      <c r="I17" s="828"/>
      <c r="J17" s="829" t="s">
        <v>118</v>
      </c>
      <c r="K17" s="830"/>
      <c r="L17" s="831" t="s">
        <v>1162</v>
      </c>
      <c r="M17" s="832" t="s">
        <v>1163</v>
      </c>
      <c r="N17" s="833" t="s">
        <v>1164</v>
      </c>
      <c r="O17" s="833" t="s">
        <v>1165</v>
      </c>
      <c r="P17" s="834" t="s">
        <v>1166</v>
      </c>
      <c r="Q17" s="834" t="s">
        <v>1167</v>
      </c>
      <c r="R17" s="900" t="s">
        <v>1168</v>
      </c>
      <c r="S17" s="901"/>
      <c r="T17" s="831" t="s">
        <v>1169</v>
      </c>
      <c r="W17" s="831" t="s">
        <v>1170</v>
      </c>
      <c r="X17" s="835"/>
    </row>
    <row r="18" spans="1:37" s="812" customFormat="1" ht="15.75" thickBot="1" x14ac:dyDescent="0.3">
      <c r="A18" s="894"/>
      <c r="B18" s="813" t="s">
        <v>925</v>
      </c>
      <c r="C18" s="794" t="s">
        <v>1171</v>
      </c>
      <c r="D18" s="836">
        <f>E12</f>
        <v>0</v>
      </c>
      <c r="H18" s="837"/>
      <c r="I18" s="837"/>
      <c r="J18" s="838"/>
      <c r="K18" s="839"/>
      <c r="L18" s="840"/>
      <c r="M18" s="841"/>
      <c r="N18" s="842"/>
      <c r="O18" s="842"/>
      <c r="P18" s="842"/>
      <c r="Q18" s="841"/>
      <c r="R18" s="902"/>
      <c r="S18" s="903"/>
      <c r="T18" s="843"/>
      <c r="W18" s="844"/>
      <c r="X18" s="835"/>
    </row>
    <row r="19" spans="1:37" x14ac:dyDescent="0.25">
      <c r="A19" s="894"/>
      <c r="B19" s="793" t="s">
        <v>931</v>
      </c>
      <c r="C19" s="794"/>
      <c r="D19" s="795"/>
      <c r="E19" s="474">
        <v>0.5</v>
      </c>
      <c r="F19" s="474"/>
      <c r="G19" s="474"/>
      <c r="H19" s="474">
        <v>0.5</v>
      </c>
      <c r="I19" s="474"/>
      <c r="J19" s="474">
        <v>0.5</v>
      </c>
      <c r="K19" s="699"/>
      <c r="L19" s="845">
        <v>14</v>
      </c>
      <c r="M19" s="845">
        <v>10</v>
      </c>
      <c r="N19" s="845">
        <v>10</v>
      </c>
      <c r="O19" s="845">
        <v>10</v>
      </c>
      <c r="P19" s="845">
        <v>30</v>
      </c>
      <c r="Q19" s="845">
        <v>10</v>
      </c>
      <c r="R19" s="845">
        <v>40</v>
      </c>
      <c r="S19" s="845"/>
      <c r="T19" s="845">
        <v>26</v>
      </c>
      <c r="W19" s="694" t="s">
        <v>1154</v>
      </c>
      <c r="X19" s="816"/>
    </row>
    <row r="20" spans="1:37" x14ac:dyDescent="0.25">
      <c r="A20" s="894"/>
      <c r="B20" s="793" t="s">
        <v>935</v>
      </c>
      <c r="C20" s="794"/>
      <c r="D20" s="795"/>
      <c r="E20" s="816">
        <v>4</v>
      </c>
      <c r="J20" s="709"/>
      <c r="K20" s="427"/>
      <c r="L20" s="816">
        <v>4</v>
      </c>
      <c r="M20" s="816">
        <v>4</v>
      </c>
      <c r="N20" s="845">
        <v>4</v>
      </c>
      <c r="O20" s="845">
        <v>4</v>
      </c>
      <c r="P20" s="845">
        <v>4</v>
      </c>
      <c r="Q20" s="845">
        <v>4</v>
      </c>
      <c r="R20" s="845">
        <v>4</v>
      </c>
      <c r="S20" s="845"/>
      <c r="T20" s="845">
        <v>4</v>
      </c>
      <c r="W20" s="845">
        <v>4</v>
      </c>
      <c r="X20" s="816"/>
    </row>
    <row r="21" spans="1:37" x14ac:dyDescent="0.25">
      <c r="A21" s="894"/>
      <c r="B21" s="793" t="s">
        <v>939</v>
      </c>
      <c r="C21" s="794"/>
      <c r="D21" s="795"/>
      <c r="E21" s="816"/>
      <c r="K21" s="427"/>
      <c r="L21" s="816"/>
      <c r="M21" s="816"/>
      <c r="N21" s="816"/>
      <c r="O21" s="816"/>
      <c r="P21" s="816"/>
      <c r="Q21" s="816"/>
      <c r="R21" s="816"/>
      <c r="S21" s="816"/>
      <c r="T21" s="816"/>
      <c r="W21" s="816"/>
      <c r="X21" s="816"/>
    </row>
    <row r="22" spans="1:37" s="651" customFormat="1" ht="15.75" thickBot="1" x14ac:dyDescent="0.3">
      <c r="A22" s="895"/>
      <c r="B22" s="798" t="s">
        <v>942</v>
      </c>
      <c r="C22" s="846"/>
      <c r="D22" s="847"/>
      <c r="E22" s="848" t="s">
        <v>1172</v>
      </c>
      <c r="F22" s="848"/>
      <c r="G22" s="427"/>
      <c r="H22" s="427"/>
      <c r="I22" s="427"/>
      <c r="J22" s="709"/>
      <c r="K22" s="826"/>
      <c r="L22" s="848" t="s">
        <v>1173</v>
      </c>
      <c r="M22" s="848" t="s">
        <v>1174</v>
      </c>
      <c r="N22" s="848" t="s">
        <v>1175</v>
      </c>
      <c r="O22" s="848" t="s">
        <v>1176</v>
      </c>
      <c r="P22" s="848" t="s">
        <v>1177</v>
      </c>
      <c r="Q22" s="848" t="s">
        <v>1178</v>
      </c>
      <c r="R22" s="848" t="s">
        <v>1179</v>
      </c>
      <c r="S22" s="845"/>
      <c r="T22" s="848" t="s">
        <v>1180</v>
      </c>
      <c r="U22" s="848"/>
      <c r="X22" s="848" t="s">
        <v>1181</v>
      </c>
      <c r="Y22" s="849"/>
      <c r="Z22" s="427"/>
      <c r="AA22" s="427"/>
      <c r="AB22" s="427"/>
      <c r="AC22" s="427"/>
      <c r="AD22" s="427"/>
      <c r="AE22" s="427"/>
      <c r="AF22" s="427"/>
      <c r="AG22" s="427"/>
      <c r="AH22" s="427"/>
      <c r="AI22" s="427"/>
      <c r="AJ22" s="427"/>
    </row>
    <row r="23" spans="1:37" ht="30.75" thickBot="1" x14ac:dyDescent="0.3">
      <c r="A23" s="893" t="s">
        <v>65</v>
      </c>
      <c r="B23" s="850" t="s">
        <v>1182</v>
      </c>
      <c r="C23" s="800" t="s">
        <v>1149</v>
      </c>
      <c r="D23" s="801"/>
      <c r="E23" s="457" t="s">
        <v>954</v>
      </c>
      <c r="F23" s="457" t="s">
        <v>1183</v>
      </c>
      <c r="G23" s="457" t="s">
        <v>878</v>
      </c>
      <c r="H23" s="851" t="s">
        <v>1184</v>
      </c>
      <c r="I23" s="851" t="s">
        <v>1150</v>
      </c>
      <c r="J23" s="852" t="s">
        <v>118</v>
      </c>
      <c r="K23" s="853"/>
      <c r="L23" s="904" t="s">
        <v>878</v>
      </c>
      <c r="M23" s="905"/>
      <c r="N23" s="854" t="s">
        <v>1185</v>
      </c>
      <c r="O23" s="855" t="s">
        <v>1186</v>
      </c>
      <c r="P23" s="855" t="s">
        <v>1187</v>
      </c>
      <c r="Q23" s="855" t="s">
        <v>1188</v>
      </c>
      <c r="R23" s="855" t="s">
        <v>1189</v>
      </c>
      <c r="S23" s="855" t="s">
        <v>1190</v>
      </c>
      <c r="T23" s="855" t="s">
        <v>109</v>
      </c>
      <c r="U23" s="855" t="s">
        <v>764</v>
      </c>
      <c r="V23" s="855" t="s">
        <v>102</v>
      </c>
      <c r="W23" s="855" t="s">
        <v>83</v>
      </c>
      <c r="X23" s="855" t="s">
        <v>1191</v>
      </c>
      <c r="Y23" s="855" t="s">
        <v>127</v>
      </c>
      <c r="Z23" s="652"/>
      <c r="AA23" s="652"/>
      <c r="AB23" s="652"/>
    </row>
    <row r="24" spans="1:37" ht="15.75" thickBot="1" x14ac:dyDescent="0.3">
      <c r="A24" s="894"/>
      <c r="B24" s="813" t="s">
        <v>925</v>
      </c>
      <c r="C24" s="856" t="str">
        <f>IF(LEN(J12)=0,"",J12)</f>
        <v/>
      </c>
      <c r="D24" s="857">
        <v>1</v>
      </c>
      <c r="F24" s="858"/>
      <c r="G24" s="474"/>
      <c r="H24" s="859"/>
      <c r="I24" s="859"/>
      <c r="J24" s="860"/>
      <c r="K24" s="861" t="s">
        <v>1192</v>
      </c>
      <c r="L24" s="906">
        <f>HYPERLINK("https://eu1.salesforce.com/"&amp;F24,G24)</f>
        <v>0</v>
      </c>
      <c r="M24" s="907"/>
      <c r="N24" s="651"/>
      <c r="O24" s="651"/>
      <c r="P24" s="862"/>
      <c r="Q24" s="651"/>
      <c r="R24" s="651"/>
      <c r="S24" s="651"/>
      <c r="T24" s="863"/>
      <c r="U24" s="864">
        <f>HYPERLINK("https://eu1.salesforce.com/"&amp;I24,H24)</f>
        <v>0</v>
      </c>
      <c r="V24" s="651"/>
      <c r="W24" s="651"/>
      <c r="X24" s="652"/>
      <c r="Y24" s="652"/>
      <c r="Z24" s="652"/>
      <c r="AA24" s="652"/>
      <c r="AB24" s="652"/>
    </row>
    <row r="25" spans="1:37" ht="15.75" thickBot="1" x14ac:dyDescent="0.3">
      <c r="A25" s="894"/>
      <c r="B25" s="793" t="s">
        <v>931</v>
      </c>
      <c r="C25" s="794"/>
      <c r="D25" s="795"/>
      <c r="E25" s="474">
        <v>0.5</v>
      </c>
      <c r="F25" s="474"/>
      <c r="G25" s="474"/>
      <c r="H25" s="474">
        <v>10</v>
      </c>
      <c r="I25" s="474"/>
      <c r="J25" s="474">
        <v>0.5</v>
      </c>
      <c r="K25" s="699"/>
      <c r="L25" s="865" t="s">
        <v>937</v>
      </c>
      <c r="M25" s="865"/>
      <c r="N25" s="865" t="s">
        <v>81</v>
      </c>
      <c r="O25" s="865"/>
      <c r="P25" s="694" t="s">
        <v>1193</v>
      </c>
      <c r="Q25" s="694" t="s">
        <v>1194</v>
      </c>
      <c r="R25" s="865"/>
      <c r="S25" s="865"/>
      <c r="T25" s="865" t="s">
        <v>81</v>
      </c>
      <c r="U25" s="865" t="s">
        <v>81</v>
      </c>
      <c r="V25" s="865" t="s">
        <v>81</v>
      </c>
      <c r="W25" s="865" t="s">
        <v>189</v>
      </c>
      <c r="X25" s="865" t="s">
        <v>189</v>
      </c>
      <c r="Y25" s="865" t="s">
        <v>189</v>
      </c>
      <c r="AB25" s="659"/>
      <c r="AD25" s="660"/>
      <c r="AE25" s="659"/>
    </row>
    <row r="26" spans="1:37" ht="15.75" thickBot="1" x14ac:dyDescent="0.3">
      <c r="A26" s="894"/>
      <c r="B26" s="793" t="s">
        <v>935</v>
      </c>
      <c r="C26" s="794" t="s">
        <v>170</v>
      </c>
      <c r="D26" s="866" t="s">
        <v>189</v>
      </c>
      <c r="E26" s="867" t="s">
        <v>1195</v>
      </c>
      <c r="F26" s="816" t="s">
        <v>170</v>
      </c>
      <c r="G26" s="816">
        <v>3</v>
      </c>
      <c r="H26" s="845" t="s">
        <v>1196</v>
      </c>
      <c r="I26" s="845" t="s">
        <v>1196</v>
      </c>
      <c r="J26" s="845"/>
      <c r="K26" s="868"/>
      <c r="L26" s="816"/>
      <c r="M26" s="816"/>
      <c r="N26" s="845" t="s">
        <v>946</v>
      </c>
      <c r="O26" s="845">
        <v>26</v>
      </c>
      <c r="P26" s="845" t="s">
        <v>970</v>
      </c>
      <c r="Q26" s="816" t="s">
        <v>1197</v>
      </c>
      <c r="R26" s="816" t="s">
        <v>146</v>
      </c>
      <c r="S26" s="865" t="s">
        <v>936</v>
      </c>
      <c r="T26" s="845" t="s">
        <v>81</v>
      </c>
      <c r="U26" s="845"/>
      <c r="V26" s="693"/>
      <c r="W26" s="693"/>
      <c r="X26" s="693"/>
      <c r="Y26" s="693"/>
      <c r="AG26" s="664"/>
      <c r="AH26" s="664"/>
      <c r="AI26" s="664"/>
      <c r="AJ26" s="664"/>
      <c r="AK26" s="664"/>
    </row>
    <row r="27" spans="1:37" ht="45" x14ac:dyDescent="0.25">
      <c r="A27" s="894"/>
      <c r="B27" s="793" t="s">
        <v>939</v>
      </c>
      <c r="C27" s="794"/>
      <c r="D27" s="795"/>
      <c r="E27" s="869" t="s">
        <v>1198</v>
      </c>
      <c r="K27" s="870" t="s">
        <v>1199</v>
      </c>
      <c r="L27" s="870" t="s">
        <v>1200</v>
      </c>
      <c r="M27" s="708"/>
      <c r="N27" s="708"/>
      <c r="O27" s="708"/>
      <c r="T27" s="708"/>
      <c r="U27" s="870" t="s">
        <v>1200</v>
      </c>
      <c r="AG27" s="664"/>
      <c r="AH27" s="664"/>
      <c r="AI27" s="664"/>
      <c r="AJ27" s="664"/>
      <c r="AK27" s="664"/>
    </row>
    <row r="28" spans="1:37" ht="15.75" thickBot="1" x14ac:dyDescent="0.3">
      <c r="A28" s="895"/>
      <c r="B28" s="798" t="s">
        <v>942</v>
      </c>
      <c r="C28" s="824"/>
      <c r="D28" s="847"/>
      <c r="E28" s="450"/>
      <c r="H28" s="826" t="s">
        <v>1201</v>
      </c>
      <c r="I28" s="826" t="s">
        <v>1202</v>
      </c>
      <c r="K28" s="427"/>
      <c r="L28" s="709"/>
      <c r="AB28" s="663"/>
      <c r="AF28" s="664"/>
      <c r="AG28" s="664"/>
      <c r="AH28" s="664"/>
      <c r="AI28" s="664"/>
      <c r="AJ28" s="664"/>
    </row>
    <row r="29" spans="1:37" x14ac:dyDescent="0.25">
      <c r="K29" s="427"/>
    </row>
    <row r="30" spans="1:37" ht="15.75" thickBot="1" x14ac:dyDescent="0.3">
      <c r="A30" s="642" t="s">
        <v>1203</v>
      </c>
    </row>
    <row r="31" spans="1:37" s="651" customFormat="1" ht="15.75" thickBot="1" x14ac:dyDescent="0.3">
      <c r="A31" s="427"/>
      <c r="B31" s="780" t="s">
        <v>1145</v>
      </c>
      <c r="C31" s="788" t="s">
        <v>972</v>
      </c>
      <c r="D31" s="788" t="s">
        <v>970</v>
      </c>
      <c r="K31" s="782"/>
      <c r="L31" s="783" t="s">
        <v>142</v>
      </c>
      <c r="M31" s="784" t="s">
        <v>1146</v>
      </c>
      <c r="N31" s="785" t="s">
        <v>1147</v>
      </c>
      <c r="P31" s="652"/>
      <c r="Q31" s="653"/>
      <c r="R31" s="654"/>
      <c r="S31" s="655"/>
      <c r="T31" s="427"/>
      <c r="U31" s="427"/>
      <c r="V31" s="427"/>
      <c r="W31" s="427"/>
      <c r="X31" s="427"/>
      <c r="Y31" s="427"/>
      <c r="Z31" s="427"/>
      <c r="AA31" s="427"/>
      <c r="AB31" s="427"/>
      <c r="AC31" s="427"/>
    </row>
    <row r="32" spans="1:37" s="782" customFormat="1" x14ac:dyDescent="0.25">
      <c r="A32" s="786"/>
      <c r="B32" s="787"/>
      <c r="C32" s="788"/>
      <c r="D32" s="789"/>
      <c r="L32" s="790"/>
      <c r="M32" s="790"/>
      <c r="N32" s="791"/>
      <c r="Q32" s="694"/>
      <c r="R32" s="653"/>
      <c r="S32" s="654"/>
      <c r="T32" s="655"/>
      <c r="U32" s="709"/>
      <c r="V32" s="709"/>
      <c r="W32" s="709"/>
      <c r="X32" s="709"/>
      <c r="Y32" s="709"/>
      <c r="Z32" s="709"/>
      <c r="AA32" s="709"/>
      <c r="AB32" s="709"/>
      <c r="AC32" s="709"/>
      <c r="AD32" s="709"/>
    </row>
    <row r="33" spans="1:35" x14ac:dyDescent="0.25">
      <c r="A33" s="792">
        <v>0</v>
      </c>
      <c r="B33" s="793" t="s">
        <v>66</v>
      </c>
      <c r="C33" s="794" t="s">
        <v>66</v>
      </c>
      <c r="D33" s="795" t="s">
        <v>66</v>
      </c>
      <c r="E33" s="796">
        <v>0</v>
      </c>
      <c r="F33" s="796">
        <v>0</v>
      </c>
      <c r="G33" s="796">
        <v>0</v>
      </c>
      <c r="H33" s="796">
        <v>0</v>
      </c>
      <c r="I33" s="796"/>
      <c r="J33" s="796">
        <v>0</v>
      </c>
      <c r="K33" s="796">
        <v>17</v>
      </c>
      <c r="L33" s="797" t="s">
        <v>937</v>
      </c>
      <c r="M33" s="797" t="s">
        <v>84</v>
      </c>
      <c r="N33" s="797" t="s">
        <v>84</v>
      </c>
      <c r="O33" s="797" t="s">
        <v>971</v>
      </c>
      <c r="P33" s="797" t="s">
        <v>937</v>
      </c>
      <c r="Q33" s="797" t="s">
        <v>970</v>
      </c>
      <c r="R33" s="797" t="s">
        <v>81</v>
      </c>
      <c r="S33" s="797" t="s">
        <v>51</v>
      </c>
      <c r="T33" s="797" t="s">
        <v>81</v>
      </c>
      <c r="U33" s="797" t="s">
        <v>81</v>
      </c>
      <c r="V33" s="797" t="s">
        <v>81</v>
      </c>
      <c r="W33" s="797" t="s">
        <v>250</v>
      </c>
      <c r="X33" s="797" t="s">
        <v>60</v>
      </c>
      <c r="Y33" s="797" t="s">
        <v>250</v>
      </c>
      <c r="AA33" s="660"/>
      <c r="AB33" s="659"/>
    </row>
    <row r="34" spans="1:35" x14ac:dyDescent="0.25">
      <c r="A34" s="786"/>
      <c r="B34" s="793" t="s">
        <v>935</v>
      </c>
      <c r="C34" s="794"/>
      <c r="D34" s="795"/>
      <c r="E34" s="699"/>
      <c r="F34" s="699"/>
      <c r="G34" s="699"/>
      <c r="H34" s="699"/>
      <c r="I34" s="699"/>
      <c r="J34" s="699"/>
      <c r="K34" s="699"/>
      <c r="L34" s="694"/>
      <c r="M34" s="694"/>
      <c r="N34" s="694"/>
      <c r="O34" s="709"/>
      <c r="P34" s="709"/>
      <c r="Q34" s="694"/>
      <c r="R34" s="694"/>
      <c r="S34" s="694"/>
      <c r="T34" s="694"/>
      <c r="U34" s="694"/>
      <c r="V34" s="694"/>
      <c r="W34" s="709"/>
      <c r="X34" s="709"/>
      <c r="Y34" s="709"/>
      <c r="Z34" s="660"/>
      <c r="AA34" s="659"/>
    </row>
    <row r="35" spans="1:35" x14ac:dyDescent="0.25">
      <c r="A35" s="786"/>
      <c r="B35" s="793" t="s">
        <v>939</v>
      </c>
      <c r="C35" s="794"/>
      <c r="D35" s="795"/>
      <c r="E35" s="699"/>
      <c r="F35" s="699"/>
      <c r="G35" s="699"/>
      <c r="H35" s="699"/>
      <c r="I35" s="699"/>
      <c r="J35" s="699"/>
      <c r="K35" s="699"/>
      <c r="L35" s="694"/>
      <c r="M35" s="694"/>
      <c r="N35" s="694"/>
      <c r="O35" s="709"/>
      <c r="P35" s="709"/>
      <c r="Q35" s="694"/>
      <c r="R35" s="694"/>
      <c r="S35" s="694"/>
      <c r="T35" s="694"/>
      <c r="U35" s="694"/>
      <c r="V35" s="694"/>
      <c r="W35" s="709"/>
      <c r="X35" s="709"/>
      <c r="Y35" s="709"/>
      <c r="Z35" s="660"/>
      <c r="AA35" s="659"/>
    </row>
    <row r="36" spans="1:35" ht="15.75" thickBot="1" x14ac:dyDescent="0.3">
      <c r="A36" s="786"/>
      <c r="B36" s="798" t="s">
        <v>942</v>
      </c>
      <c r="C36" s="794"/>
      <c r="D36" s="795"/>
      <c r="E36" s="699"/>
      <c r="F36" s="699"/>
      <c r="G36" s="699"/>
      <c r="H36" s="699"/>
      <c r="I36" s="699"/>
      <c r="J36" s="699"/>
      <c r="K36" s="699"/>
      <c r="L36" s="694"/>
      <c r="M36" s="694"/>
      <c r="N36" s="694"/>
      <c r="O36" s="709"/>
      <c r="P36" s="709"/>
      <c r="Q36" s="694"/>
      <c r="R36" s="694"/>
      <c r="S36" s="694"/>
      <c r="T36" s="694"/>
      <c r="U36" s="694"/>
      <c r="V36" s="694"/>
      <c r="W36" s="709"/>
      <c r="X36" s="709"/>
      <c r="Y36" s="709"/>
      <c r="Z36" s="660"/>
      <c r="AA36" s="659"/>
    </row>
    <row r="37" spans="1:35" s="812" customFormat="1" ht="23.25" thickBot="1" x14ac:dyDescent="0.3">
      <c r="A37" s="893" t="s">
        <v>32</v>
      </c>
      <c r="B37" s="799" t="s">
        <v>1148</v>
      </c>
      <c r="C37" s="800" t="s">
        <v>1149</v>
      </c>
      <c r="D37" s="801"/>
      <c r="E37" s="456" t="s">
        <v>747</v>
      </c>
      <c r="F37" s="802" t="s">
        <v>52</v>
      </c>
      <c r="G37" s="802" t="s">
        <v>1150</v>
      </c>
      <c r="H37" s="803" t="s">
        <v>764</v>
      </c>
      <c r="I37" s="803"/>
      <c r="J37" s="457" t="s">
        <v>1151</v>
      </c>
      <c r="K37" s="804" t="s">
        <v>407</v>
      </c>
      <c r="L37" s="805" t="s">
        <v>1152</v>
      </c>
      <c r="M37" s="806" t="s">
        <v>36</v>
      </c>
      <c r="N37" s="806" t="s">
        <v>39</v>
      </c>
      <c r="O37" s="807" t="s">
        <v>749</v>
      </c>
      <c r="P37" s="806" t="s">
        <v>1153</v>
      </c>
      <c r="Q37" s="808" t="s">
        <v>758</v>
      </c>
      <c r="R37" s="896" t="s">
        <v>759</v>
      </c>
      <c r="S37" s="897"/>
      <c r="T37" s="809" t="s">
        <v>109</v>
      </c>
      <c r="U37" s="807" t="s">
        <v>764</v>
      </c>
      <c r="V37" s="809" t="s">
        <v>765</v>
      </c>
      <c r="W37" s="810" t="s">
        <v>766</v>
      </c>
      <c r="X37" s="811" t="s">
        <v>767</v>
      </c>
      <c r="Y37" s="809" t="s">
        <v>768</v>
      </c>
      <c r="Z37" s="427"/>
    </row>
    <row r="38" spans="1:35" s="812" customFormat="1" ht="15.75" thickBot="1" x14ac:dyDescent="0.3">
      <c r="A38" s="894"/>
      <c r="B38" s="813" t="s">
        <v>925</v>
      </c>
      <c r="C38" s="794" t="s">
        <v>1149</v>
      </c>
      <c r="D38" s="814"/>
      <c r="E38" s="685"/>
      <c r="F38" s="815"/>
      <c r="G38" s="427"/>
      <c r="H38" s="427"/>
      <c r="I38" s="427"/>
      <c r="J38" s="816"/>
      <c r="K38" s="817"/>
      <c r="L38" s="818">
        <f>HYPERLINK("https://eu1.salesforce.com/"&amp;E38,F38)</f>
        <v>0</v>
      </c>
      <c r="M38" s="686"/>
      <c r="N38" s="686"/>
      <c r="O38" s="819"/>
      <c r="P38" s="820">
        <v>1234567.8899999999</v>
      </c>
      <c r="Q38" s="820">
        <v>1234567.8899999999</v>
      </c>
      <c r="R38" s="898"/>
      <c r="S38" s="899"/>
      <c r="T38" s="821"/>
      <c r="U38" s="818">
        <f>HYPERLINK("https://eu1.salesforce.com/"&amp;G38,H38)</f>
        <v>0</v>
      </c>
      <c r="V38" s="822"/>
      <c r="W38" s="822"/>
      <c r="X38" s="822"/>
      <c r="Y38" s="822"/>
    </row>
    <row r="39" spans="1:35" x14ac:dyDescent="0.25">
      <c r="A39" s="894"/>
      <c r="B39" s="793" t="s">
        <v>931</v>
      </c>
      <c r="C39" s="794"/>
      <c r="D39" s="795"/>
      <c r="E39" s="699">
        <v>0.5</v>
      </c>
      <c r="F39" s="699"/>
      <c r="J39" s="699">
        <v>0.5</v>
      </c>
      <c r="K39" s="699">
        <v>17</v>
      </c>
      <c r="L39" s="694" t="s">
        <v>937</v>
      </c>
      <c r="M39" s="694" t="s">
        <v>84</v>
      </c>
      <c r="N39" s="694" t="s">
        <v>81</v>
      </c>
      <c r="O39" s="694" t="s">
        <v>936</v>
      </c>
      <c r="P39" s="694" t="s">
        <v>1154</v>
      </c>
      <c r="Q39" s="694" t="s">
        <v>1154</v>
      </c>
      <c r="R39" s="694" t="s">
        <v>1155</v>
      </c>
      <c r="S39" s="694"/>
      <c r="T39" s="694" t="s">
        <v>81</v>
      </c>
      <c r="U39" s="694" t="s">
        <v>189</v>
      </c>
      <c r="V39" s="694" t="s">
        <v>189</v>
      </c>
      <c r="W39" s="694" t="s">
        <v>1154</v>
      </c>
      <c r="X39" s="694" t="s">
        <v>60</v>
      </c>
      <c r="Y39" s="694" t="s">
        <v>250</v>
      </c>
      <c r="AA39" s="660"/>
      <c r="AB39" s="659"/>
    </row>
    <row r="40" spans="1:35" x14ac:dyDescent="0.25">
      <c r="A40" s="894"/>
      <c r="B40" s="793" t="s">
        <v>935</v>
      </c>
      <c r="C40" s="794"/>
      <c r="D40" s="795"/>
      <c r="E40" s="699">
        <v>1</v>
      </c>
      <c r="F40" s="699">
        <v>9</v>
      </c>
      <c r="G40" s="699">
        <v>25</v>
      </c>
      <c r="H40" s="816">
        <v>25</v>
      </c>
      <c r="I40" s="816"/>
      <c r="J40" s="699" t="s">
        <v>1098</v>
      </c>
      <c r="K40" s="699">
        <v>19</v>
      </c>
      <c r="L40" s="694"/>
      <c r="M40" s="694" t="s">
        <v>120</v>
      </c>
      <c r="N40" s="694" t="s">
        <v>34</v>
      </c>
      <c r="O40" s="694" t="s">
        <v>189</v>
      </c>
      <c r="P40" s="694" t="s">
        <v>81</v>
      </c>
      <c r="Q40" s="694" t="s">
        <v>936</v>
      </c>
      <c r="R40" s="694" t="s">
        <v>251</v>
      </c>
      <c r="S40" s="694"/>
      <c r="T40" s="694" t="s">
        <v>937</v>
      </c>
      <c r="U40" s="694"/>
      <c r="V40" s="694" t="s">
        <v>1156</v>
      </c>
      <c r="W40" s="694" t="s">
        <v>1015</v>
      </c>
      <c r="X40" s="694" t="s">
        <v>1016</v>
      </c>
      <c r="Y40" s="694" t="s">
        <v>1157</v>
      </c>
      <c r="AD40" s="664"/>
      <c r="AE40" s="664"/>
      <c r="AF40" s="664"/>
      <c r="AG40" s="664"/>
      <c r="AH40" s="664"/>
    </row>
    <row r="41" spans="1:35" x14ac:dyDescent="0.25">
      <c r="A41" s="894"/>
      <c r="B41" s="793" t="s">
        <v>939</v>
      </c>
      <c r="C41" s="794"/>
      <c r="D41" s="795"/>
      <c r="E41" s="699"/>
      <c r="F41" s="699"/>
      <c r="G41" s="699" t="s">
        <v>941</v>
      </c>
      <c r="H41" s="427" t="s">
        <v>1158</v>
      </c>
      <c r="J41" s="699"/>
      <c r="K41" s="823" t="s">
        <v>781</v>
      </c>
      <c r="L41" s="709"/>
      <c r="M41" s="709"/>
      <c r="N41" s="709"/>
      <c r="O41" s="709"/>
      <c r="P41" s="709"/>
      <c r="Q41" s="709"/>
      <c r="R41" s="709"/>
      <c r="S41" s="709"/>
      <c r="T41" s="709"/>
      <c r="U41" s="709"/>
      <c r="V41" s="709"/>
      <c r="W41" s="709"/>
      <c r="X41" s="709"/>
      <c r="Y41" s="709"/>
      <c r="AD41" s="664"/>
      <c r="AE41" s="664"/>
      <c r="AF41" s="664"/>
      <c r="AG41" s="664"/>
      <c r="AH41" s="664"/>
    </row>
    <row r="42" spans="1:35" ht="15.75" thickBot="1" x14ac:dyDescent="0.3">
      <c r="A42" s="895"/>
      <c r="B42" s="798" t="s">
        <v>942</v>
      </c>
      <c r="C42" s="824"/>
      <c r="D42" s="825"/>
      <c r="E42" s="826"/>
      <c r="F42" s="826"/>
      <c r="G42" s="826" t="s">
        <v>1159</v>
      </c>
      <c r="J42" s="826" t="s">
        <v>1160</v>
      </c>
      <c r="K42" s="826"/>
      <c r="L42" s="709"/>
      <c r="M42" s="709"/>
      <c r="N42" s="709"/>
      <c r="O42" s="709"/>
      <c r="P42" s="709"/>
      <c r="Q42" s="709"/>
      <c r="R42" s="709"/>
      <c r="S42" s="709"/>
      <c r="T42" s="709"/>
      <c r="U42" s="709"/>
      <c r="V42" s="709"/>
      <c r="W42" s="709"/>
      <c r="AB42" s="664"/>
      <c r="AC42" s="664"/>
      <c r="AD42" s="664"/>
      <c r="AE42" s="664"/>
      <c r="AF42" s="664"/>
    </row>
    <row r="43" spans="1:35" s="812" customFormat="1" ht="30.75" thickBot="1" x14ac:dyDescent="0.3">
      <c r="A43" s="893" t="s">
        <v>69</v>
      </c>
      <c r="B43" s="632" t="s">
        <v>902</v>
      </c>
      <c r="C43" s="800" t="s">
        <v>1149</v>
      </c>
      <c r="D43" s="801"/>
      <c r="E43" s="827" t="s">
        <v>748</v>
      </c>
      <c r="F43" s="827"/>
      <c r="G43" s="827"/>
      <c r="H43" s="828" t="s">
        <v>1161</v>
      </c>
      <c r="I43" s="828"/>
      <c r="J43" s="829" t="s">
        <v>118</v>
      </c>
      <c r="K43" s="830"/>
      <c r="L43" s="831" t="s">
        <v>1162</v>
      </c>
      <c r="M43" s="832" t="s">
        <v>1163</v>
      </c>
      <c r="N43" s="833" t="s">
        <v>1164</v>
      </c>
      <c r="O43" s="833" t="s">
        <v>1165</v>
      </c>
      <c r="P43" s="834" t="s">
        <v>1166</v>
      </c>
      <c r="Q43" s="834" t="s">
        <v>1167</v>
      </c>
      <c r="R43" s="900" t="s">
        <v>1168</v>
      </c>
      <c r="S43" s="901"/>
      <c r="T43" s="831" t="s">
        <v>1169</v>
      </c>
      <c r="W43" s="831" t="s">
        <v>1170</v>
      </c>
      <c r="X43" s="835"/>
    </row>
    <row r="44" spans="1:35" s="812" customFormat="1" ht="15.75" thickBot="1" x14ac:dyDescent="0.3">
      <c r="A44" s="894"/>
      <c r="B44" s="813" t="s">
        <v>925</v>
      </c>
      <c r="C44" s="794" t="s">
        <v>1171</v>
      </c>
      <c r="D44" s="836">
        <f>E38</f>
        <v>0</v>
      </c>
      <c r="H44" s="837"/>
      <c r="I44" s="837"/>
      <c r="J44" s="838"/>
      <c r="K44" s="839"/>
      <c r="L44" s="840"/>
      <c r="M44" s="841"/>
      <c r="N44" s="842"/>
      <c r="O44" s="842"/>
      <c r="P44" s="842"/>
      <c r="Q44" s="841"/>
      <c r="R44" s="902"/>
      <c r="S44" s="903"/>
      <c r="T44" s="843"/>
      <c r="W44" s="844"/>
      <c r="X44" s="835"/>
    </row>
    <row r="45" spans="1:35" x14ac:dyDescent="0.25">
      <c r="A45" s="894"/>
      <c r="B45" s="793" t="s">
        <v>931</v>
      </c>
      <c r="C45" s="794"/>
      <c r="D45" s="795"/>
      <c r="E45" s="474">
        <v>0.5</v>
      </c>
      <c r="F45" s="474"/>
      <c r="G45" s="474"/>
      <c r="H45" s="474">
        <v>0.5</v>
      </c>
      <c r="I45" s="474"/>
      <c r="J45" s="474">
        <v>0.5</v>
      </c>
      <c r="K45" s="699"/>
      <c r="L45" s="845">
        <v>14</v>
      </c>
      <c r="M45" s="845">
        <v>10</v>
      </c>
      <c r="N45" s="845">
        <v>10</v>
      </c>
      <c r="O45" s="845">
        <v>10</v>
      </c>
      <c r="P45" s="845">
        <v>30</v>
      </c>
      <c r="Q45" s="845">
        <v>10</v>
      </c>
      <c r="R45" s="845">
        <v>40</v>
      </c>
      <c r="S45" s="845"/>
      <c r="T45" s="845">
        <v>26</v>
      </c>
      <c r="W45" s="694" t="s">
        <v>1154</v>
      </c>
      <c r="X45" s="816"/>
    </row>
    <row r="46" spans="1:35" x14ac:dyDescent="0.25">
      <c r="A46" s="894"/>
      <c r="B46" s="793" t="s">
        <v>935</v>
      </c>
      <c r="C46" s="794"/>
      <c r="D46" s="795"/>
      <c r="E46" s="816">
        <v>4</v>
      </c>
      <c r="J46" s="709"/>
      <c r="K46" s="427"/>
      <c r="L46" s="816">
        <v>4</v>
      </c>
      <c r="M46" s="816">
        <v>4</v>
      </c>
      <c r="N46" s="845">
        <v>4</v>
      </c>
      <c r="O46" s="845">
        <v>4</v>
      </c>
      <c r="P46" s="845">
        <v>4</v>
      </c>
      <c r="Q46" s="845">
        <v>4</v>
      </c>
      <c r="R46" s="845">
        <v>4</v>
      </c>
      <c r="S46" s="845"/>
      <c r="T46" s="845">
        <v>4</v>
      </c>
      <c r="W46" s="845">
        <v>4</v>
      </c>
      <c r="X46" s="816"/>
    </row>
    <row r="47" spans="1:35" x14ac:dyDescent="0.25">
      <c r="A47" s="894"/>
      <c r="B47" s="793" t="s">
        <v>939</v>
      </c>
      <c r="C47" s="794"/>
      <c r="D47" s="795"/>
      <c r="E47" s="816"/>
      <c r="K47" s="427"/>
      <c r="L47" s="816"/>
      <c r="M47" s="816"/>
      <c r="N47" s="816"/>
      <c r="O47" s="816"/>
      <c r="P47" s="816"/>
      <c r="Q47" s="816"/>
      <c r="R47" s="816"/>
      <c r="S47" s="816"/>
      <c r="T47" s="816"/>
      <c r="W47" s="816"/>
      <c r="X47" s="816"/>
    </row>
    <row r="48" spans="1:35" s="651" customFormat="1" ht="15.75" thickBot="1" x14ac:dyDescent="0.3">
      <c r="A48" s="895"/>
      <c r="B48" s="798" t="s">
        <v>942</v>
      </c>
      <c r="C48" s="846"/>
      <c r="D48" s="847"/>
      <c r="E48" s="848" t="s">
        <v>1172</v>
      </c>
      <c r="F48" s="848"/>
      <c r="G48" s="427"/>
      <c r="H48" s="427"/>
      <c r="I48" s="427"/>
      <c r="J48" s="709"/>
      <c r="K48" s="826"/>
      <c r="L48" s="848" t="s">
        <v>1173</v>
      </c>
      <c r="M48" s="848" t="s">
        <v>1174</v>
      </c>
      <c r="N48" s="848" t="s">
        <v>1175</v>
      </c>
      <c r="O48" s="848" t="s">
        <v>1176</v>
      </c>
      <c r="P48" s="848" t="s">
        <v>1177</v>
      </c>
      <c r="Q48" s="848" t="s">
        <v>1178</v>
      </c>
      <c r="R48" s="848" t="s">
        <v>1179</v>
      </c>
      <c r="S48" s="845"/>
      <c r="T48" s="848" t="s">
        <v>1180</v>
      </c>
      <c r="W48" s="848" t="s">
        <v>1181</v>
      </c>
      <c r="X48" s="849"/>
      <c r="Y48" s="655"/>
      <c r="Z48" s="427"/>
      <c r="AA48" s="427"/>
      <c r="AB48" s="427"/>
      <c r="AC48" s="427"/>
      <c r="AD48" s="427"/>
      <c r="AE48" s="427"/>
      <c r="AF48" s="427"/>
      <c r="AG48" s="427"/>
      <c r="AH48" s="427"/>
      <c r="AI48" s="427"/>
    </row>
    <row r="49" spans="1:36" ht="30.75" thickBot="1" x14ac:dyDescent="0.3">
      <c r="A49" s="893" t="s">
        <v>65</v>
      </c>
      <c r="B49" s="850" t="s">
        <v>1182</v>
      </c>
      <c r="C49" s="800" t="s">
        <v>1149</v>
      </c>
      <c r="D49" s="801"/>
      <c r="E49" s="457" t="s">
        <v>954</v>
      </c>
      <c r="F49" s="457" t="s">
        <v>1183</v>
      </c>
      <c r="G49" s="457" t="s">
        <v>878</v>
      </c>
      <c r="H49" s="871" t="s">
        <v>764</v>
      </c>
      <c r="I49" s="871"/>
      <c r="J49" s="852" t="s">
        <v>118</v>
      </c>
      <c r="K49" s="853"/>
      <c r="L49" s="904" t="s">
        <v>878</v>
      </c>
      <c r="M49" s="905"/>
      <c r="N49" s="854" t="s">
        <v>1185</v>
      </c>
      <c r="O49" s="855" t="s">
        <v>1186</v>
      </c>
      <c r="P49" s="855" t="s">
        <v>1187</v>
      </c>
      <c r="Q49" s="855" t="s">
        <v>1188</v>
      </c>
      <c r="R49" s="855" t="s">
        <v>1189</v>
      </c>
      <c r="S49" s="855" t="s">
        <v>1190</v>
      </c>
      <c r="T49" s="855" t="s">
        <v>109</v>
      </c>
      <c r="U49" s="855" t="s">
        <v>102</v>
      </c>
      <c r="V49" s="855" t="s">
        <v>83</v>
      </c>
      <c r="W49" s="855" t="s">
        <v>1191</v>
      </c>
      <c r="X49" s="855" t="s">
        <v>127</v>
      </c>
      <c r="Y49" s="652"/>
      <c r="Z49" s="652"/>
      <c r="AA49" s="652"/>
    </row>
    <row r="50" spans="1:36" ht="15.75" thickBot="1" x14ac:dyDescent="0.3">
      <c r="A50" s="894"/>
      <c r="B50" s="813" t="s">
        <v>925</v>
      </c>
      <c r="C50" s="856" t="str">
        <f>IF(LEN(J38)=0,"",J38)</f>
        <v/>
      </c>
      <c r="D50" s="857">
        <v>1</v>
      </c>
      <c r="F50" s="858"/>
      <c r="G50" s="474"/>
      <c r="H50" s="859"/>
      <c r="I50" s="859"/>
      <c r="J50" s="860"/>
      <c r="K50" s="861" t="s">
        <v>1192</v>
      </c>
      <c r="L50" s="906">
        <f>HYPERLINK("https://eu1.salesforce.com/"&amp;F50,G50)</f>
        <v>0</v>
      </c>
      <c r="M50" s="907"/>
      <c r="N50" s="651"/>
      <c r="O50" s="651"/>
      <c r="P50" s="862"/>
      <c r="Q50" s="651"/>
      <c r="R50" s="651"/>
      <c r="S50" s="651"/>
      <c r="T50" s="651"/>
      <c r="U50" s="651"/>
      <c r="V50" s="651"/>
      <c r="W50" s="652"/>
      <c r="X50" s="652"/>
      <c r="Y50" s="652"/>
      <c r="Z50" s="652"/>
      <c r="AA50" s="652"/>
    </row>
    <row r="51" spans="1:36" x14ac:dyDescent="0.25">
      <c r="A51" s="894"/>
      <c r="B51" s="793" t="s">
        <v>931</v>
      </c>
      <c r="C51" s="794"/>
      <c r="D51" s="795"/>
      <c r="E51" s="474">
        <v>0.5</v>
      </c>
      <c r="F51" s="474"/>
      <c r="G51" s="474"/>
      <c r="H51" s="474">
        <v>0.5</v>
      </c>
      <c r="I51" s="474"/>
      <c r="J51" s="474">
        <v>0.5</v>
      </c>
      <c r="K51" s="699"/>
      <c r="L51" s="865" t="s">
        <v>937</v>
      </c>
      <c r="M51" s="865"/>
      <c r="N51" s="865" t="s">
        <v>81</v>
      </c>
      <c r="O51" s="865"/>
      <c r="P51" s="694" t="s">
        <v>1193</v>
      </c>
      <c r="Q51" s="694" t="s">
        <v>1194</v>
      </c>
      <c r="R51" s="865"/>
      <c r="S51" s="865"/>
      <c r="T51" s="865" t="s">
        <v>81</v>
      </c>
      <c r="U51" s="865" t="s">
        <v>81</v>
      </c>
      <c r="V51" s="865" t="s">
        <v>189</v>
      </c>
      <c r="W51" s="865" t="s">
        <v>189</v>
      </c>
      <c r="X51" s="865" t="s">
        <v>189</v>
      </c>
      <c r="AA51" s="659"/>
      <c r="AC51" s="660"/>
      <c r="AD51" s="659"/>
    </row>
    <row r="52" spans="1:36" x14ac:dyDescent="0.25">
      <c r="A52" s="894"/>
      <c r="B52" s="793" t="s">
        <v>935</v>
      </c>
      <c r="C52" s="794" t="s">
        <v>170</v>
      </c>
      <c r="D52" s="866" t="s">
        <v>189</v>
      </c>
      <c r="E52" s="867" t="s">
        <v>1195</v>
      </c>
      <c r="F52" s="816" t="s">
        <v>170</v>
      </c>
      <c r="G52" s="816">
        <v>3</v>
      </c>
      <c r="H52" s="845"/>
      <c r="I52" s="845"/>
      <c r="J52" s="845"/>
      <c r="K52" s="845"/>
      <c r="L52" s="816"/>
      <c r="M52" s="816"/>
      <c r="N52" s="845" t="s">
        <v>946</v>
      </c>
      <c r="O52" s="845">
        <v>26</v>
      </c>
      <c r="P52" s="845" t="s">
        <v>970</v>
      </c>
      <c r="Q52" s="816" t="s">
        <v>1197</v>
      </c>
      <c r="R52" s="816" t="s">
        <v>146</v>
      </c>
      <c r="S52" s="865" t="s">
        <v>936</v>
      </c>
      <c r="T52" s="845" t="s">
        <v>81</v>
      </c>
      <c r="U52" s="693"/>
      <c r="V52" s="693"/>
      <c r="W52" s="693"/>
      <c r="X52" s="693"/>
      <c r="Y52" s="697"/>
      <c r="AF52" s="664"/>
      <c r="AG52" s="664"/>
      <c r="AH52" s="664"/>
      <c r="AI52" s="664"/>
      <c r="AJ52" s="664"/>
    </row>
    <row r="53" spans="1:36" ht="45" x14ac:dyDescent="0.25">
      <c r="A53" s="894"/>
      <c r="B53" s="793" t="s">
        <v>939</v>
      </c>
      <c r="C53" s="794"/>
      <c r="D53" s="795"/>
      <c r="E53" s="869" t="s">
        <v>1204</v>
      </c>
      <c r="K53" s="870" t="s">
        <v>1200</v>
      </c>
      <c r="L53" s="870" t="s">
        <v>1200</v>
      </c>
      <c r="M53" s="708"/>
      <c r="N53" s="708"/>
      <c r="O53" s="708"/>
      <c r="T53" s="708"/>
      <c r="AF53" s="664"/>
      <c r="AG53" s="664"/>
      <c r="AH53" s="664"/>
      <c r="AI53" s="664"/>
      <c r="AJ53" s="664"/>
    </row>
    <row r="54" spans="1:36" ht="15.75" thickBot="1" x14ac:dyDescent="0.3">
      <c r="A54" s="895"/>
      <c r="B54" s="798" t="s">
        <v>942</v>
      </c>
      <c r="C54" s="824"/>
      <c r="D54" s="847"/>
      <c r="E54" s="450"/>
      <c r="H54" s="826"/>
      <c r="I54" s="826"/>
      <c r="K54" s="427"/>
      <c r="L54" s="709"/>
      <c r="AB54" s="663"/>
      <c r="AF54" s="664"/>
      <c r="AG54" s="664"/>
      <c r="AH54" s="664"/>
      <c r="AI54" s="664"/>
      <c r="AJ54" s="664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58</vt:i4>
      </vt:variant>
    </vt:vector>
  </HeadingPairs>
  <TitlesOfParts>
    <vt:vector size="64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2013-08-24T06:23:26Z</dcterms:modified>
</cp:coreProperties>
</file>