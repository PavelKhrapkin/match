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-15" windowWidth="7650" windowHeight="5145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Header!$A$13:$R$14</definedName>
    <definedName name="HDR_AccntUpd" comment="18.6.12 HDR_AccntUpd шапка изменений Организаций SF, включая связь с 1С">Header!$A$151:$N$151</definedName>
    <definedName name="HDR_AdAcc" comment="11.6.12 - Шапка полей новой Организации">Header!$A$148:$V$148</definedName>
    <definedName name="HDR_BTOmails" comment="12.6.12 HDR_BTOmails шапка для извлекаемых писем БТО">Header!$A$167:$J$168</definedName>
    <definedName name="HDR_ContractUpdate">Header!$A$142:$B$142</definedName>
    <definedName name="HDR_ContrLnk" comment="18.3.12 шапка для листа C_ContrLnk - связка Договора с Проектом">Header!$A$142:$B$142</definedName>
    <definedName name="HDR_DicAcc" comment="19.6.12 HDR_AccDic - шапка Словаря Организаций">Header!$A$154:$C$155</definedName>
    <definedName name="HDR_NewContract" comment="25.3.12 HDR_NewContract - шапка &quot;голубого&quot; листа в NewContract">Header!$B$118:$V$122</definedName>
    <definedName name="HDR_NewOpp" comment="28.10.12 HDR_NewOpp - создание Проектов SF. Они записываются в файл OppInsert.csv и загружаются в SF Data Loader'ом">Header!$C$126:$N$131</definedName>
    <definedName name="HDR_NewOppByPaidContr">Header!$C$134:$N$139</definedName>
    <definedName name="HDR_NewOrderList" comment="28.4.12 шапка для NewOrderList">Header!$A$158:$C$158</definedName>
    <definedName name="HDR_NewPayment" comment="26.9.12  занесение Платежей в SF. Они записываются в файл Payment.csv и загружаются в SF Data Loader'ом">Header!$B$102:$I$107</definedName>
    <definedName name="HDR_NewSN" comment="6.6.12 шапки для занесения новыз SN в SF -- 2PASS">Header!$A$164:$C$164</definedName>
    <definedName name="HDR_P_ADSKlink" comment="14/5/12 новые связи Платежей и Контрактов ADSK">Header!$A$161:$C$161</definedName>
    <definedName name="HDR_PaidBalky" comment="23/1/2003">Header!$B$110:$I$115</definedName>
    <definedName name="HDR_PaymentUpd" comment="11.3.12 Update Платежа - связывание существующего Платежа с Договором">Header!$A$145:$B$145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Header!$C$126:$L$126</definedName>
    <definedName name="OppTypeRng" comment="22.3.12">We!$A$44:$D$57</definedName>
    <definedName name="Orders_MyCol" comment="1.10.12 Orders_MyCol  - шаблон для колонок листа Заказов">Header!$B$74:$AI$79</definedName>
    <definedName name="Payment_MyCol" comment="3.8.12 Payment_MyCol 1C.xlsm 1C формулы -- для связки с Платежами SF">Header!$B$5:$AD$7</definedName>
    <definedName name="Payment_Summary" comment="3.8.12_Payment_Summary_1C.xlsm_PAY_SHEET пятка.">Header!$A$13:$R$14</definedName>
    <definedName name="RUB_Rate">We!$A$38:$C$40</definedName>
    <definedName name="RUB_Rate_2">We!$B$38:$C$40</definedName>
    <definedName name="SF_MyCol" comment="14.7.12 SF_MyCol SFDC.xlsm SF формулы -- используется для связки с Платежами 1С">Header!$A$46:$B$48</definedName>
    <definedName name="SF_Summary" comment="14.7.12 SF_Summary SFDC.xlsm SF  -- пятка. Фильтрует обороты CSIT">Header!$A$51:$F$52</definedName>
    <definedName name="SFD_MyCol" comment="4.11.12 SFD_MyCol SFDC.xlsm SFD формулы -- для связки с Договорами 1С">Header!$C$56:$D$61</definedName>
    <definedName name="SFD_Summary" comment="14.7.12 SF_Summary SFDC.xlsm SFD  -- пятка">Header!$A$65</definedName>
    <definedName name="Stock_MyCol" comment="1.10.12 Stock_MyCol  - шаблон для колонок листа Stock">Header!$C$82:$Y$87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 refMode="R1C1"/>
</workbook>
</file>

<file path=xl/calcChain.xml><?xml version="1.0" encoding="utf-8"?>
<calcChain xmlns="http://schemas.openxmlformats.org/spreadsheetml/2006/main"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49" i="763"/>
  <c r="V1145" i="763"/>
  <c r="U1145" i="763"/>
  <c r="AS205" i="763"/>
  <c r="AR205" i="763"/>
  <c r="AQ205" i="763"/>
  <c r="AP205" i="763"/>
  <c r="AO205" i="763"/>
  <c r="AN205" i="763"/>
  <c r="AM205" i="763"/>
  <c r="AL205" i="763"/>
  <c r="AK205" i="763"/>
  <c r="AJ205" i="763"/>
  <c r="AI205" i="763"/>
  <c r="AH205" i="763"/>
  <c r="AF205" i="763"/>
  <c r="AE205" i="763"/>
  <c r="AD205" i="763"/>
  <c r="AC205" i="763"/>
  <c r="AB205" i="763"/>
  <c r="AA205" i="763"/>
  <c r="Z205" i="763"/>
  <c r="Y205" i="763"/>
  <c r="X205" i="763"/>
  <c r="W205" i="763"/>
  <c r="V205" i="763"/>
  <c r="U205" i="763"/>
  <c r="S205" i="763"/>
  <c r="R205" i="763"/>
  <c r="Q205" i="763"/>
  <c r="P205" i="763"/>
  <c r="O205" i="763"/>
  <c r="N205" i="763"/>
  <c r="M205" i="763"/>
  <c r="L205" i="763"/>
  <c r="K205" i="763"/>
  <c r="J205" i="763"/>
  <c r="I205" i="763"/>
  <c r="H205" i="763"/>
  <c r="F205" i="763"/>
  <c r="E205" i="763"/>
  <c r="D205" i="763"/>
  <c r="C205" i="763"/>
  <c r="AT204" i="763"/>
  <c r="AG204" i="763"/>
  <c r="T204" i="763"/>
  <c r="G204" i="763"/>
  <c r="AU204" i="763" s="1"/>
  <c r="AT203" i="763"/>
  <c r="AG203" i="763"/>
  <c r="T203" i="763"/>
  <c r="G203" i="763"/>
  <c r="AT202" i="763"/>
  <c r="AG202" i="763"/>
  <c r="T202" i="763"/>
  <c r="G202" i="763"/>
  <c r="AU202" i="763" s="1"/>
  <c r="AT201" i="763"/>
  <c r="AG201" i="763"/>
  <c r="T201" i="763"/>
  <c r="G201" i="763"/>
  <c r="AT200" i="763"/>
  <c r="AG200" i="763"/>
  <c r="T200" i="763"/>
  <c r="G200" i="763"/>
  <c r="AU200" i="763" s="1"/>
  <c r="AT199" i="763"/>
  <c r="AG199" i="763"/>
  <c r="T199" i="763"/>
  <c r="G199" i="763"/>
  <c r="AT198" i="763"/>
  <c r="AG198" i="763"/>
  <c r="T198" i="763"/>
  <c r="G198" i="763"/>
  <c r="AU198" i="763" s="1"/>
  <c r="AT197" i="763"/>
  <c r="AG197" i="763"/>
  <c r="T197" i="763"/>
  <c r="G197" i="763"/>
  <c r="AT196" i="763"/>
  <c r="AG196" i="763"/>
  <c r="T196" i="763"/>
  <c r="G196" i="763"/>
  <c r="AU196" i="763" s="1"/>
  <c r="AT195" i="763"/>
  <c r="AG195" i="763"/>
  <c r="T195" i="763"/>
  <c r="G195" i="763"/>
  <c r="AT194" i="763"/>
  <c r="AG194" i="763"/>
  <c r="T194" i="763"/>
  <c r="G194" i="763"/>
  <c r="AU194" i="763" s="1"/>
  <c r="AT193" i="763"/>
  <c r="AG193" i="763"/>
  <c r="T193" i="763"/>
  <c r="G193" i="763"/>
  <c r="AT192" i="763"/>
  <c r="AG192" i="763"/>
  <c r="T192" i="763"/>
  <c r="G192" i="763"/>
  <c r="AU192" i="763" s="1"/>
  <c r="AT191" i="763"/>
  <c r="AG191" i="763"/>
  <c r="T191" i="763"/>
  <c r="G191" i="763"/>
  <c r="AT190" i="763"/>
  <c r="AG190" i="763"/>
  <c r="T190" i="763"/>
  <c r="G190" i="763"/>
  <c r="AU190" i="763" s="1"/>
  <c r="AT189" i="763"/>
  <c r="AG189" i="763"/>
  <c r="T189" i="763"/>
  <c r="G189" i="763"/>
  <c r="AT188" i="763"/>
  <c r="AG188" i="763"/>
  <c r="T188" i="763"/>
  <c r="G188" i="763"/>
  <c r="AU188" i="763" s="1"/>
  <c r="AT187" i="763"/>
  <c r="AG187" i="763"/>
  <c r="T187" i="763"/>
  <c r="G187" i="763"/>
  <c r="AT186" i="763"/>
  <c r="AG186" i="763"/>
  <c r="T186" i="763"/>
  <c r="G186" i="763"/>
  <c r="AU186" i="763" s="1"/>
  <c r="AT185" i="763"/>
  <c r="AG185" i="763"/>
  <c r="T185" i="763"/>
  <c r="G185" i="763"/>
  <c r="AT184" i="763"/>
  <c r="AG184" i="763"/>
  <c r="T184" i="763"/>
  <c r="G184" i="763"/>
  <c r="AU184" i="763" s="1"/>
  <c r="AT183" i="763"/>
  <c r="AG183" i="763"/>
  <c r="T183" i="763"/>
  <c r="G183" i="763"/>
  <c r="AT182" i="763"/>
  <c r="AG182" i="763"/>
  <c r="T182" i="763"/>
  <c r="G182" i="763"/>
  <c r="AU182" i="763" s="1"/>
  <c r="AT181" i="763"/>
  <c r="AG181" i="763"/>
  <c r="T181" i="763"/>
  <c r="G181" i="763"/>
  <c r="AT180" i="763"/>
  <c r="AG180" i="763"/>
  <c r="T180" i="763"/>
  <c r="G180" i="763"/>
  <c r="AU180" i="763" s="1"/>
  <c r="AT179" i="763"/>
  <c r="AG179" i="763"/>
  <c r="T179" i="763"/>
  <c r="G179" i="763"/>
  <c r="AT178" i="763"/>
  <c r="AG178" i="763"/>
  <c r="T178" i="763"/>
  <c r="G178" i="763"/>
  <c r="AU178" i="763" s="1"/>
  <c r="AT177" i="763"/>
  <c r="AG177" i="763"/>
  <c r="T177" i="763"/>
  <c r="G177" i="763"/>
  <c r="AT176" i="763"/>
  <c r="AG176" i="763"/>
  <c r="T176" i="763"/>
  <c r="G176" i="763"/>
  <c r="AU176" i="763" s="1"/>
  <c r="AT175" i="763"/>
  <c r="AG175" i="763"/>
  <c r="T175" i="763"/>
  <c r="G175" i="763"/>
  <c r="AT174" i="763"/>
  <c r="AG174" i="763"/>
  <c r="T174" i="763"/>
  <c r="G174" i="763"/>
  <c r="AU174" i="763" s="1"/>
  <c r="AT173" i="763"/>
  <c r="AG173" i="763"/>
  <c r="T173" i="763"/>
  <c r="G173" i="763"/>
  <c r="AT172" i="763"/>
  <c r="AG172" i="763"/>
  <c r="T172" i="763"/>
  <c r="G172" i="763"/>
  <c r="AU172" i="763" s="1"/>
  <c r="I93" i="763"/>
  <c r="D75" i="763"/>
  <c r="I71" i="763"/>
  <c r="F58" i="763"/>
  <c r="F61" i="763" s="1"/>
  <c r="D57" i="763"/>
  <c r="C57" i="763" s="1"/>
  <c r="F52" i="763"/>
  <c r="A52" i="763" s="1"/>
  <c r="F51" i="763"/>
  <c r="A51" i="763" s="1"/>
  <c r="B47" i="763"/>
  <c r="C1148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5" i="763" s="1"/>
  <c r="J27" i="763"/>
  <c r="C27" i="763"/>
  <c r="I19" i="763"/>
  <c r="G19" i="763"/>
  <c r="F19" i="763"/>
  <c r="R14" i="763"/>
  <c r="F14" i="763" s="1"/>
  <c r="G14" i="763" s="1"/>
  <c r="H14" i="763" s="1"/>
  <c r="A14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199" i="763" l="1"/>
  <c r="T205" i="763"/>
  <c r="K44" i="1989"/>
  <c r="K48" i="1989"/>
  <c r="K46" i="1989"/>
  <c r="K40" i="1989"/>
  <c r="AG205" i="763"/>
  <c r="AT205" i="763"/>
  <c r="AU173" i="763"/>
  <c r="AU175" i="763"/>
  <c r="AU177" i="763"/>
  <c r="AU179" i="763"/>
  <c r="C32" i="763"/>
  <c r="D27" i="763" s="1"/>
  <c r="AU181" i="763"/>
  <c r="AU183" i="763"/>
  <c r="AU205" i="763" s="1"/>
  <c r="AU185" i="763"/>
  <c r="AU187" i="763"/>
  <c r="AU189" i="763"/>
  <c r="AU191" i="763"/>
  <c r="AU193" i="763"/>
  <c r="AU195" i="763"/>
  <c r="J32" i="763"/>
  <c r="L31" i="763" s="1"/>
  <c r="G205" i="763"/>
  <c r="AU197" i="763"/>
  <c r="AU201" i="763"/>
  <c r="AU203" i="763"/>
  <c r="A65" i="763"/>
  <c r="D29" i="763"/>
  <c r="J1148" i="763"/>
  <c r="J1149" i="763"/>
  <c r="C1146" i="763"/>
  <c r="J1146" i="763"/>
  <c r="C1147" i="763"/>
  <c r="J1147" i="763"/>
  <c r="C1145" i="763"/>
  <c r="K22" i="1989"/>
  <c r="K41" i="1989"/>
  <c r="K51" i="1989"/>
  <c r="K52" i="1989"/>
  <c r="K23" i="1989"/>
  <c r="K15" i="1989"/>
  <c r="K18" i="1989"/>
  <c r="K54" i="1989"/>
  <c r="K21" i="1989"/>
  <c r="L30" i="763" l="1"/>
  <c r="L28" i="763"/>
  <c r="L27" i="763"/>
  <c r="L29" i="763"/>
  <c r="C1150" i="763"/>
  <c r="D1146" i="763" s="1"/>
  <c r="D30" i="763"/>
  <c r="J1150" i="763"/>
  <c r="L1149" i="763" s="1"/>
  <c r="D28" i="763"/>
  <c r="D31" i="763"/>
  <c r="D1147" i="763" l="1"/>
  <c r="D1145" i="763"/>
  <c r="D1148" i="763"/>
  <c r="D1149" i="763"/>
  <c r="L1146" i="763"/>
  <c r="L1148" i="763"/>
  <c r="L1147" i="763"/>
  <c r="L1145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<sst xmlns="http://schemas.openxmlformats.org/spreadsheetml/2006/main" count="3058" uniqueCount="1344">
  <si>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</si>
  <si>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</si>
  <si>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</si>
  <si>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</si>
  <si>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</si>
  <si>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</si>
  <si>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</si>
  <si>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</si>
  <si>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</si>
  <si>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</si>
  <si>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</si>
  <si>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</si>
  <si>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</si>
  <si>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</si>
  <si>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</si>
  <si>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</si>
  <si>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</si>
  <si>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</si>
  <si>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</si>
  <si>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</si>
  <si>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</si>
  <si>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</si>
  <si>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</si>
  <si>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</si>
  <si>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</si>
  <si>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</si>
  <si>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</si>
  <si>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</si>
  <si>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</si>
  <si>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</si>
  <si>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</si>
  <si>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</si>
  <si>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</si>
  <si>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</si>
  <si>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</si>
  <si>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</si>
  <si>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</si>
  <si>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</si>
  <si>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</si>
  <si>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</si>
  <si>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</si>
  <si>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</si>
  <si>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</si>
  <si>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</si>
  <si>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</si>
  <si>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</si>
  <si>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</si>
  <si>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</si>
  <si>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</si>
  <si>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</si>
  <si>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</si>
  <si>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</si>
  <si>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</si>
  <si>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</si>
  <si>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</si>
  <si>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</si>
  <si>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</si>
  <si>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</si>
  <si>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</si>
  <si>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</si>
  <si>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</si>
  <si>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</si>
  <si>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</si>
  <si>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</si>
  <si>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</si>
  <si>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</si>
  <si>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</si>
  <si>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</si>
  <si>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</si>
  <si>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</si>
  <si>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</si>
  <si>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</si>
  <si>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</si>
  <si>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</si>
  <si>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</si>
  <si>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</si>
  <si>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</si>
  <si>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</si>
  <si>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</si>
  <si>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</si>
  <si>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</si>
  <si>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</si>
  <si>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</si>
  <si>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</si>
  <si>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</si>
  <si>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</si>
  <si>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</si>
  <si>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</si>
  <si>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</si>
  <si>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</si>
  <si>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</si>
  <si>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</si>
  <si>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</si>
  <si>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</si>
  <si>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</si>
  <si>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</si>
  <si>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</si>
  <si>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</si>
  <si>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</si>
  <si>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</si>
  <si>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</si>
  <si>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</si>
  <si>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</si>
  <si>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</si>
  <si>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</si>
  <si>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</si>
  <si>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</si>
  <si>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</si>
  <si>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</si>
  <si>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</si>
  <si>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</si>
  <si>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</si>
  <si>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</si>
  <si>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</si>
  <si>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</si>
  <si>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</si>
  <si>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</si>
  <si>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</si>
  <si>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</si>
  <si>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</si>
  <si>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</si>
  <si>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</si>
  <si>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</si>
  <si>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</si>
  <si>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</si>
  <si>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</si>
  <si>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</si>
  <si>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</si>
  <si>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</si>
  <si>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</si>
  <si>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</si>
  <si>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</si>
  <si>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</si>
  <si>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</si>
  <si>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</si>
  <si>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</si>
  <si>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</si>
  <si>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</si>
  <si>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</si>
  <si>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</si>
  <si>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</si>
  <si>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</si>
  <si>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</si>
  <si>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</si>
  <si>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</si>
  <si>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</si>
  <si>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</si>
  <si>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</si>
  <si>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</si>
  <si>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</si>
  <si>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</si>
  <si>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</si>
  <si>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</si>
  <si>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</si>
  <si>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</si>
  <si>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</si>
  <si>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</si>
  <si>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</si>
  <si>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</si>
  <si>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</si>
  <si>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</si>
  <si>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</si>
  <si>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</si>
  <si>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</si>
  <si>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</si>
  <si>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</si>
  <si>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</si>
  <si>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</si>
  <si>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</si>
  <si>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</si>
  <si>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</si>
  <si>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</si>
  <si>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</si>
  <si>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</si>
  <si>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</si>
  <si>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</si>
  <si>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</si>
  <si>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</si>
  <si>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</si>
  <si>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</si>
  <si>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</si>
  <si>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</si>
  <si>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</si>
  <si>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</si>
  <si>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</si>
  <si>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</si>
  <si>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</si>
  <si>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</si>
  <si>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</si>
  <si>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</si>
  <si>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</si>
  <si>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</si>
  <si>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</si>
  <si>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</si>
  <si>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</si>
  <si>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</si>
  <si>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</si>
  <si>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</si>
  <si>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</si>
  <si>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</si>
  <si>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</si>
  <si>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</si>
  <si>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</si>
  <si>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</si>
  <si>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</si>
  <si>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</si>
  <si>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</si>
  <si>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</si>
  <si>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</si>
  <si>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</si>
  <si>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</si>
  <si>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</si>
  <si>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</si>
  <si>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</si>
  <si>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</si>
  <si>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</si>
  <si>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</si>
  <si>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</si>
  <si>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</si>
  <si>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</si>
  <si>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</si>
  <si>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</si>
  <si>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</si>
  <si>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</si>
  <si>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</si>
  <si>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</si>
  <si>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</si>
  <si>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</si>
  <si>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</si>
  <si>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</si>
  <si>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</si>
  <si>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</si>
  <si>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</si>
  <si>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</si>
  <si>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</si>
  <si>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</si>
  <si>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</si>
  <si>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</si>
  <si>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</si>
  <si>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</si>
  <si>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</si>
  <si>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</si>
  <si>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</si>
  <si>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</si>
  <si>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</si>
  <si>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</si>
  <si>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</si>
  <si>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</si>
  <si>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</si>
  <si>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</si>
  <si>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</si>
  <si>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</si>
  <si>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</si>
  <si>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</si>
  <si>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</si>
  <si>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</si>
  <si>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</si>
  <si>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</si>
  <si>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</si>
  <si>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</si>
  <si>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</si>
  <si>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</si>
  <si>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</si>
  <si>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</si>
  <si>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</si>
  <si>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</si>
  <si>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</si>
  <si>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</si>
  <si>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</si>
  <si>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</si>
  <si>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</si>
  <si>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</si>
  <si>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</si>
  <si>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</si>
  <si>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</si>
  <si>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</si>
  <si>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</si>
  <si>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</si>
  <si>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</si>
  <si>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</si>
  <si>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</si>
  <si>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</si>
  <si>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</si>
  <si>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</si>
  <si>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</si>
  <si>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</si>
  <si>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</si>
  <si>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</si>
  <si>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</si>
  <si>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</si>
  <si>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</si>
  <si>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</si>
  <si>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</si>
  <si>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</si>
  <si>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</si>
  <si>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</si>
  <si>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</si>
  <si>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</si>
  <si>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</si>
  <si>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</si>
  <si>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</si>
  <si>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</si>
  <si>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</si>
  <si>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</si>
  <si>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</si>
  <si>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</si>
  <si>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</si>
  <si>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</si>
  <si>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</si>
  <si>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</si>
  <si>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</si>
  <si>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</si>
  <si>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</si>
  <si>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</si>
  <si>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</si>
  <si>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</si>
  <si>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</si>
  <si>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</si>
  <si>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</si>
  <si>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</si>
  <si>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</si>
  <si>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</si>
  <si>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</si>
  <si>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</si>
  <si>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</si>
  <si>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</si>
  <si>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</si>
  <si>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</si>
  <si>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</si>
  <si>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</si>
  <si>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</si>
  <si>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</si>
  <si>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</si>
  <si>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</si>
  <si>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</si>
  <si>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</si>
  <si>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</si>
  <si>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</si>
  <si>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</si>
  <si>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</si>
  <si>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</si>
  <si>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</si>
  <si>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</si>
  <si>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</si>
  <si>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</si>
  <si>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</si>
  <si>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</si>
  <si>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</si>
  <si>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</si>
  <si>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</si>
  <si>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</si>
  <si>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</si>
  <si>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</si>
  <si>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</si>
  <si>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</si>
  <si>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</si>
  <si>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</si>
  <si>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</si>
  <si>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</si>
  <si>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</si>
  <si>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</si>
  <si>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</si>
  <si>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</si>
  <si>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</si>
  <si>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</si>
  <si>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</si>
  <si>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</si>
  <si>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</si>
  <si>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</si>
  <si>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</si>
  <si>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</si>
  <si>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</si>
  <si>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</si>
  <si>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</si>
  <si>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</si>
  <si>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</si>
  <si>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</si>
  <si>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</si>
  <si>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</si>
  <si>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</si>
  <si>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</si>
  <si>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</si>
  <si>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</si>
  <si>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</si>
  <si>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</si>
  <si>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</si>
  <si>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</si>
  <si>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</si>
  <si>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</si>
  <si>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</si>
  <si>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</si>
  <si>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</si>
  <si>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</si>
  <si>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</si>
  <si>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</si>
  <si>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</si>
  <si>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</si>
  <si>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</si>
  <si>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</si>
  <si>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</si>
  <si>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</si>
  <si>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</si>
  <si>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</si>
  <si>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</si>
  <si>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</si>
  <si>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</si>
  <si>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</si>
  <si>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</si>
  <si>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</si>
  <si>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</si>
  <si>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</si>
  <si>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</si>
  <si>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</si>
  <si>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</si>
  <si>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</si>
  <si>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</si>
  <si>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</si>
  <si>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</si>
  <si>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</si>
  <si>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</si>
  <si>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</si>
  <si>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</si>
  <si>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</si>
  <si>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</si>
  <si>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</si>
  <si>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</si>
  <si>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</si>
  <si>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</si>
  <si>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</si>
  <si>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</si>
  <si>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</si>
  <si>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</si>
  <si>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</si>
  <si>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</si>
  <si>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</si>
  <si>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</si>
  <si>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</si>
  <si>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</si>
  <si>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</si>
  <si>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</si>
  <si>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</si>
  <si>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</si>
  <si>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</si>
  <si>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</si>
  <si>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</si>
  <si>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</si>
  <si>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</si>
  <si>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</si>
  <si>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</si>
  <si>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</si>
  <si>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</si>
  <si>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</si>
  <si>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</si>
  <si>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</si>
  <si>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</si>
  <si>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</si>
  <si>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</si>
  <si>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</si>
  <si>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</si>
  <si>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</si>
  <si>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</si>
  <si>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</si>
  <si>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</si>
  <si>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</si>
  <si>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</si>
  <si>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</si>
  <si>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</si>
  <si>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</si>
  <si>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</si>
  <si>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</si>
  <si>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</si>
  <si>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</si>
  <si>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</si>
  <si>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</si>
  <si>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</si>
  <si>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</si>
  <si>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</si>
  <si>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</si>
  <si>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</si>
  <si>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</si>
  <si>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</si>
  <si>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</si>
  <si>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</si>
  <si>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</si>
  <si>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</si>
  <si>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</si>
  <si>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</si>
  <si>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</si>
  <si>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</si>
  <si>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</si>
  <si>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</si>
  <si>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</si>
  <si>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</si>
  <si>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</si>
  <si>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</si>
  <si>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</si>
  <si>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</si>
  <si>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</si>
  <si>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</si>
  <si>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</si>
  <si>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</si>
  <si>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</si>
  <si>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</si>
  <si>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</si>
  <si>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</si>
  <si>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</si>
  <si>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</si>
  <si>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</si>
  <si>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</si>
  <si>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</si>
  <si>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</si>
  <si>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</si>
  <si>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</si>
  <si>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</si>
  <si>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</si>
  <si>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</si>
  <si>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</si>
  <si>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</si>
  <si>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</si>
  <si>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</si>
  <si>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</si>
  <si>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</si>
  <si>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</si>
  <si>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</si>
  <si>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</si>
  <si>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</si>
  <si>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</si>
  <si>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</si>
  <si>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</si>
  <si>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</si>
  <si>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</si>
  <si>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</si>
  <si>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</si>
  <si>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</si>
  <si>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</si>
  <si>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</si>
  <si>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</si>
  <si>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</si>
  <si>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</si>
  <si>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</si>
  <si>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</si>
  <si>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</si>
  <si>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</si>
  <si>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</si>
  <si>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</si>
  <si>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</si>
  <si>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</si>
  <si>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</si>
  <si>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</si>
  <si>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</si>
  <si>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</si>
  <si>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</si>
  <si>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</si>
  <si>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</si>
  <si>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</si>
  <si>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</si>
  <si>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</si>
  <si>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</si>
  <si>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</si>
  <si>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</si>
  <si>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</si>
  <si>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</si>
  <si>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</si>
  <si>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</si>
  <si>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</si>
  <si>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</si>
  <si>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</si>
  <si>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</si>
  <si>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</si>
  <si>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</si>
  <si>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</si>
  <si>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</si>
  <si>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</si>
  <si>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</si>
  <si>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</si>
  <si>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</si>
  <si>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</si>
  <si>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</si>
  <si>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</si>
  <si>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</si>
  <si>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</si>
  <si>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</si>
  <si>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</si>
  <si>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</si>
  <si>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</si>
  <si>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</si>
  <si>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</si>
  <si>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</si>
  <si>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</si>
  <si>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</si>
  <si>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</si>
  <si>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</si>
  <si>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</si>
  <si>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</si>
  <si>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</si>
  <si>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</si>
  <si>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</si>
  <si>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</si>
  <si>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</si>
  <si>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</si>
  <si>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</si>
  <si>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</si>
  <si>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</si>
  <si>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</si>
  <si>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</si>
  <si>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</si>
  <si>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</si>
  <si>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</si>
  <si>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</si>
  <si>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</si>
  <si>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</si>
  <si>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</si>
  <si>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</si>
  <si>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</si>
  <si>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</si>
  <si>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</si>
  <si>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</si>
  <si>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</si>
  <si>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</si>
  <si>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</si>
  <si>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</si>
  <si>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</si>
  <si>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</si>
  <si>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</si>
  <si>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</si>
  <si>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</si>
  <si>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PaidSF_Fill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</si>
  <si>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</si>
  <si>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</si>
  <si>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</si>
  <si>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</si>
  <si>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</si>
  <si>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</si>
  <si>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</si>
  <si>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</si>
  <si>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</si>
  <si>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</si>
  <si>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</si>
  <si>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</si>
  <si>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</si>
  <si>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</si>
  <si>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</si>
  <si>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</si>
  <si>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</si>
  <si>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</si>
  <si>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</si>
  <si>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</si>
  <si>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</si>
  <si>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</si>
  <si>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</si>
  <si>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</si>
  <si>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</si>
  <si>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</si>
  <si>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</si>
  <si>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</si>
  <si>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</si>
  <si>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</si>
  <si>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</si>
  <si>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</si>
  <si>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</si>
  <si>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</si>
  <si>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</si>
  <si>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</si>
  <si>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</si>
  <si>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</si>
  <si>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</si>
  <si>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</si>
  <si>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</si>
  <si>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</si>
  <si>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</si>
  <si>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</si>
  <si>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</si>
  <si>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</si>
  <si>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</si>
  <si>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</si>
  <si>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</si>
  <si>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</si>
  <si>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</si>
  <si>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</si>
  <si>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</si>
  <si>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</si>
  <si>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</si>
  <si>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</si>
  <si>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</si>
  <si>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</si>
  <si>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</si>
  <si>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</si>
  <si>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</si>
  <si>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</si>
  <si>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</si>
  <si>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</si>
  <si>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</si>
  <si>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</si>
  <si>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</si>
  <si>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</si>
  <si>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</si>
  <si>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</si>
  <si>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</si>
  <si>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</si>
  <si>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</si>
  <si>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</si>
  <si>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</si>
  <si>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</si>
  <si>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</si>
  <si>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</si>
  <si>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</si>
  <si>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</si>
  <si>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</si>
  <si>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</si>
  <si>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</si>
  <si>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</si>
  <si>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</si>
  <si>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</si>
  <si>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</si>
  <si>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</si>
  <si>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</si>
  <si>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</si>
  <si>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</si>
  <si>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</si>
  <si>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</si>
  <si>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</si>
  <si>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</si>
  <si>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</si>
  <si>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</si>
  <si>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</si>
  <si>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</si>
  <si>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</si>
  <si>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</si>
  <si>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</si>
  <si>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</si>
  <si>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</si>
  <si>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</si>
  <si>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</si>
  <si>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</si>
  <si>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</si>
  <si>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</si>
  <si>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</si>
  <si>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</si>
  <si>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</si>
  <si>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</si>
  <si>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</si>
  <si>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</si>
  <si>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</si>
  <si>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</si>
  <si>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</si>
  <si>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</si>
  <si>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</si>
  <si>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</si>
  <si>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</si>
  <si>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</si>
  <si>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</si>
  <si>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</si>
  <si>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</si>
  <si>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</si>
  <si>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</si>
  <si>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</si>
  <si>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</si>
  <si>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</si>
  <si>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</si>
  <si>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</si>
  <si>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</si>
  <si>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</si>
  <si>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</si>
  <si>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</si>
  <si>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</si>
  <si>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</si>
  <si>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</si>
  <si>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</si>
  <si>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</si>
  <si>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</si>
  <si>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</si>
  <si>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</si>
  <si>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</si>
  <si>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</si>
  <si>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</si>
  <si>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</si>
  <si>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</si>
  <si>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</si>
  <si>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</si>
  <si>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</si>
  <si>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</si>
  <si>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</si>
  <si>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</si>
  <si>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</si>
  <si>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</si>
  <si>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</si>
  <si>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</si>
  <si>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</si>
  <si>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</si>
  <si>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</si>
  <si>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</si>
  <si>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</si>
  <si>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</si>
  <si>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</si>
  <si>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</si>
  <si>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</si>
  <si>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</si>
  <si>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</si>
  <si>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</si>
  <si>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</si>
  <si>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</si>
  <si>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</si>
  <si>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</si>
  <si>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</si>
  <si>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</si>
  <si>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</si>
  <si>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</si>
  <si>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</si>
  <si>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</si>
  <si>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r>
      <t xml:space="preserve">24.9.12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</si>
  <si>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</si>
  <si>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</si>
  <si>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</si>
  <si>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</si>
  <si>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</si>
  <si>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</si>
  <si>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</si>
  <si>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</si>
  <si>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</si>
  <si>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</si>
  <si>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</si>
  <si>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</si>
  <si>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</si>
  <si>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</si>
  <si>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</si>
  <si>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</si>
  <si>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</si>
  <si>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</si>
  <si>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</si>
  <si>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</si>
  <si>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</si>
  <si>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</si>
  <si>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</si>
  <si>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</si>
  <si>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</si>
  <si>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</si>
  <si>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</si>
  <si>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</si>
  <si>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</si>
  <si>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</si>
  <si>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</si>
  <si>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</si>
  <si>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</si>
  <si>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</si>
  <si>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</si>
  <si>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</si>
  <si>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</si>
  <si>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</si>
  <si>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</si>
  <si>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</si>
  <si>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</si>
  <si>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</si>
  <si>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</si>
  <si>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</si>
  <si>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</si>
  <si>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</si>
  <si>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</si>
  <si>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</si>
  <si>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</si>
  <si>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</si>
  <si>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</si>
  <si>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</si>
  <si>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</si>
  <si>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</si>
  <si>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</si>
  <si>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</si>
  <si>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</si>
  <si>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</si>
  <si>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</si>
  <si>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</si>
  <si>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</si>
  <si>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</si>
  <si>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</si>
  <si>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</si>
  <si>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</si>
  <si>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</si>
  <si>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</si>
  <si>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</si>
  <si>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</si>
  <si>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</si>
  <si>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</si>
  <si>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</si>
  <si>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</si>
  <si>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</si>
  <si>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</si>
  <si>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</si>
  <si>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</si>
  <si>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</si>
  <si>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</si>
  <si>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</si>
  <si>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</si>
  <si>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</si>
  <si>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</si>
  <si>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</si>
  <si>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</si>
  <si>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</si>
  <si>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</si>
  <si>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</si>
  <si>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</si>
  <si>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</si>
  <si>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</si>
  <si>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</si>
  <si>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</si>
  <si>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</si>
  <si>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</si>
  <si>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</si>
  <si>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</si>
  <si>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</si>
  <si>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</si>
  <si>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</si>
  <si>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</si>
  <si>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</si>
  <si>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</si>
  <si>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</si>
  <si>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</si>
  <si>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</si>
  <si>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</si>
  <si>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</si>
  <si>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</si>
  <si>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</si>
  <si>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</si>
  <si>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</si>
  <si>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</si>
  <si>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</si>
  <si>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</si>
  <si>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</si>
  <si>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</si>
  <si>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</si>
  <si>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</si>
  <si>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</si>
  <si>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</si>
  <si>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</si>
  <si>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</si>
  <si>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</si>
  <si>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</si>
  <si>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</si>
  <si>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</si>
  <si>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</si>
  <si>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</si>
  <si>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</si>
  <si>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</si>
  <si>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</si>
  <si>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</si>
  <si>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</si>
  <si>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</si>
  <si>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</si>
  <si>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</si>
  <si>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</si>
  <si>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</si>
  <si>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</si>
  <si>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</si>
  <si>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</si>
  <si>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</si>
  <si>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</si>
  <si>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</si>
  <si>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</si>
  <si>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</si>
  <si>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</si>
  <si>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</si>
  <si>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</si>
  <si>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</si>
  <si>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</si>
  <si>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</si>
  <si>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</si>
  <si>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</si>
  <si>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</si>
  <si>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</si>
  <si>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</si>
  <si>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</si>
  <si>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</si>
  <si>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</si>
  <si>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</si>
  <si>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</si>
  <si>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</si>
  <si>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</si>
  <si>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</si>
  <si>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</si>
  <si>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</si>
  <si>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</si>
  <si>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</si>
  <si>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</si>
  <si>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</si>
  <si>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</si>
  <si>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</si>
  <si>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</si>
  <si>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</si>
  <si>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</si>
  <si>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</si>
  <si>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</si>
  <si>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</si>
  <si>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</si>
  <si>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</si>
  <si>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</si>
  <si>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</si>
  <si>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</si>
  <si>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</si>
  <si>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</si>
  <si>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</si>
  <si>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</si>
  <si>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</si>
  <si>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</si>
  <si>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</si>
  <si>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</si>
  <si>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</si>
  <si>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</si>
  <si>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</si>
  <si>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</si>
  <si>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</si>
  <si>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</si>
  <si>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</si>
  <si>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</si>
  <si>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</si>
  <si>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</si>
  <si>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</si>
  <si>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</si>
  <si>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</si>
  <si>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</si>
  <si>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</si>
  <si>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</si>
  <si>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</si>
  <si>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</si>
  <si>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</si>
  <si>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</si>
  <si>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</si>
  <si>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</si>
  <si>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</t>
  </si>
  <si>
    <t>LogReset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</si>
  <si>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</si>
  <si>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</si>
  <si>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</si>
  <si>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</si>
  <si>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</si>
  <si>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</si>
  <si>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</si>
  <si>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</si>
  <si>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</si>
  <si>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</si>
  <si>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</si>
  <si>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</si>
  <si>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</si>
  <si>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</si>
  <si>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</si>
  <si>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</si>
  <si>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</si>
  <si>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</si>
  <si>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</si>
  <si>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</si>
  <si>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</si>
  <si>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</si>
  <si>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</si>
  <si>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</si>
  <si>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</si>
  <si>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</si>
  <si>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</si>
  <si>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</si>
  <si>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</si>
  <si>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</si>
  <si>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</si>
  <si>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</si>
  <si>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</si>
  <si>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</si>
  <si>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</si>
  <si>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</si>
  <si>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</si>
  <si>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</si>
  <si>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</si>
  <si>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</si>
  <si>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</si>
  <si>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</si>
  <si>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</si>
  <si>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</si>
  <si>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</si>
  <si>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</si>
  <si>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</si>
  <si>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</si>
  <si>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MoveToMatch: В файл '1C.xlsx' загружен новый отчет 'Договоры'; EOL=1189 строк, в прежнем 1189</t>
  </si>
  <si>
    <t>adapt profile: total = 1,75_x000D_
By steps =  0,44 0,33 0,34 0,01 0,00 0,00 0,30 0,00 0,00 0,00 0,00 0,00 0,00 0,00 0,00 0,00 0,00 0,00 0,00 0,00 0,00 0,00 0,00 0,00 0,00 0,00</t>
  </si>
  <si>
    <t>adapt profile: total = 1,87_x000D_
By steps =  0,43 0,40 0,31 0,00 0,00 0,00 0,38 0,01 0,00 0,00 0,00 0,00 0,00 0,00 0,00 0,00 0,00 0,00 0,00 0,00 0,00 0,00 0,00 0,00 0,00 0,00</t>
  </si>
  <si>
    <t>&lt; WARNING &gt; Адаптер Мы(ИнтерКАД) не получил данных</t>
  </si>
  <si>
    <t>ИнтерКАД</t>
  </si>
  <si>
    <t>&lt; WARNING &gt; Адаптер&gt; ссылка SFD/2:18(1-077/2008/7 (Заказ № 5)) не работает, результат &lt;пусто&gt;</t>
  </si>
  <si>
    <t>&lt; WARNING &gt; Адаптер&gt; ссылка SFD/2:18(2012-1-255) не работает, результат &lt;пусто&gt;</t>
  </si>
  <si>
    <t>&lt; WARNING &gt; Адаптер&gt; ссылка SFD/2:18(5 (Заказ № 3)/1)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</si>
  <si>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</si>
  <si>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</si>
  <si>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</si>
  <si>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SFD/2:18(2012-2-83)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</si>
  <si>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</si>
  <si>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SFD/2:18(2012-1-225)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</si>
  <si>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</si>
  <si>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</si>
  <si>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</si>
  <si>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</si>
  <si>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</si>
  <si>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</si>
  <si>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</si>
  <si>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</si>
  <si>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</si>
  <si>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</si>
  <si>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</si>
  <si>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</si>
  <si>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</si>
  <si>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</si>
  <si>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SFD/2:18(2012-1-249)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</si>
  <si>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</si>
  <si>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SFD/2:18(2012-1-270) не работает, результат &lt;пусто&gt;</t>
  </si>
  <si>
    <t>&lt; WARNING &gt; Адаптер&gt; ссылка SFD/2:18(2012-2-55)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</si>
  <si>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</si>
  <si>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</si>
  <si>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</si>
  <si>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</si>
  <si>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</si>
  <si>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</si>
  <si>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</si>
  <si>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SFD/2:18(2012-1-256)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</si>
  <si>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</si>
  <si>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</si>
  <si>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</si>
  <si>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</si>
  <si>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</si>
  <si>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</si>
  <si>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</si>
  <si>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SFD/2:18(2012-1-38) не работает, результат &lt;пусто&gt;</t>
  </si>
  <si>
    <t>&lt; WARNING &gt; Адаптер&gt; ссылка SFD/2:18(2013-1-1)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</si>
  <si>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</si>
  <si>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</si>
  <si>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</si>
  <si>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</si>
  <si>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</si>
  <si>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</si>
  <si>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SFD/2:18(2012-4-17)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</si>
  <si>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</si>
  <si>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</si>
  <si>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</si>
  <si>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</si>
  <si>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</si>
  <si>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</si>
  <si>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</si>
  <si>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</si>
  <si>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</si>
  <si>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SFD/2:18(2009-1-109/2)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</si>
  <si>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</si>
  <si>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SFD/2:18(2012-1-180)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</si>
  <si>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</si>
  <si>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</si>
  <si>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</si>
  <si>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</si>
  <si>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</si>
  <si>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SFD/2:18(2012-1-237) не работает, результат &lt;пусто&gt;</t>
  </si>
  <si>
    <t>&lt; WARNING &gt; Адаптер&gt; ссылка SFD/2:18(2012-1-230)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</si>
  <si>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</si>
  <si>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</si>
  <si>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SFD/2:18(2012-1-182) не работает, результат &lt;пусто&gt;</t>
  </si>
  <si>
    <t>&lt; WARNING &gt; Адаптер&gt; ссылка SFD/2:18(2011-1-233) не работает, результат &lt;пусто&gt;</t>
  </si>
  <si>
    <t>&lt; WARNING &gt; Адаптер&gt; ссылка SFD/2:18(2011-1-234) не работает, результат &lt;пусто&gt;</t>
  </si>
  <si>
    <t>&lt; WARNING &gt; Адаптер&gt; ссылка SFD/2:18(2012-1-165) не работает, результат &lt;пусто&gt;</t>
  </si>
  <si>
    <t>&lt; WARNING &gt; Адаптер&gt; ссылка SFD/2:18(2012-1-36)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</si>
  <si>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</si>
  <si>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SFD/2:18(2012-4-20)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</si>
  <si>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</si>
  <si>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</si>
  <si>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</si>
  <si>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SFD/2:18(2012-4-3)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</si>
  <si>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</si>
  <si>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SFD/2:18(2012-1-238)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</si>
  <si>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</si>
  <si>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</si>
  <si>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</si>
  <si>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</si>
  <si>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</si>
  <si>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SFD/2:18(2012-1-209)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</si>
  <si>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</si>
  <si>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</si>
  <si>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</si>
  <si>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SFD/2:18(2011-1-19/1) не работает, результат &lt;пусто&gt;</t>
  </si>
  <si>
    <t>&lt; WARNING &gt; Адаптер&gt; ссылка SFD/2:18(2011-4-5)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</si>
  <si>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</si>
  <si>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</si>
  <si>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</si>
  <si>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</si>
  <si>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</si>
  <si>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</si>
  <si>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</si>
  <si>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</si>
  <si>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</si>
  <si>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</si>
  <si>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</si>
  <si>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</si>
  <si>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SFD/2:18(2012-1-140)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</si>
  <si>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</si>
  <si>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</si>
  <si>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</si>
  <si>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</si>
  <si>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</si>
  <si>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</si>
  <si>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</si>
  <si>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</si>
  <si>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</si>
  <si>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SFD/2:18(2012-4-8) не работает, результат &lt;пусто&gt;</t>
  </si>
  <si>
    <t>&lt; WARNING &gt; Адаптер&gt; ссылка SFD/2:18(2012-1-224)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</si>
  <si>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</si>
  <si>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SFD/2:18(2012-4-5)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</si>
  <si>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</si>
  <si>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</si>
  <si>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</si>
  <si>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SFD/2:18(2012-1-148)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</si>
  <si>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</si>
  <si>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</si>
  <si>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</si>
  <si>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</si>
  <si>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</si>
  <si>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</si>
  <si>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</si>
  <si>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</si>
  <si>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SFD/2:18(2012-1-109)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</si>
  <si>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</si>
  <si>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SFD/2:18(2012-1-269) не работает, результат &lt;пусто&gt;</t>
  </si>
  <si>
    <t>&lt; WARNING &gt; Адаптер&gt; ссылка SFD/2:18(2011-1-176)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</si>
  <si>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</si>
  <si>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</si>
  <si>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</si>
  <si>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</si>
  <si>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</si>
  <si>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</si>
  <si>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</si>
  <si>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</si>
  <si>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SFD/2:18(2012-4-6)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</si>
  <si>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</si>
  <si>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</si>
  <si>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SFD/2:18(2011-4-8)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</si>
  <si>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</si>
  <si>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SFD/2:18(2010-1-155/1)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</si>
  <si>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</si>
  <si>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SFD/2:18(2012-4-8/1)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</si>
  <si>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</si>
  <si>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</si>
  <si>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SFD/2:18(2012-4-11)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</si>
  <si>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</si>
  <si>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</si>
  <si>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</si>
  <si>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</si>
  <si>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</si>
  <si>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</si>
  <si>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</si>
  <si>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</si>
  <si>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</si>
  <si>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</si>
  <si>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SFD/2:18(2012-4-13)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</si>
  <si>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</si>
  <si>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SFD/2:18(2012-1-168)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</si>
  <si>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</si>
  <si>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</si>
  <si>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</si>
  <si>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</si>
  <si>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</si>
  <si>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</si>
  <si>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</si>
  <si>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</si>
  <si>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</si>
  <si>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</si>
  <si>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SFD/2:18(2012-1-259)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</si>
  <si>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</si>
  <si>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</si>
  <si>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</si>
  <si>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</si>
  <si>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</si>
  <si>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</si>
  <si>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</si>
  <si>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</si>
  <si>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</si>
  <si>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</si>
  <si>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</si>
  <si>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</si>
  <si>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</si>
  <si>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</si>
  <si>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</si>
  <si>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SFD/2:18(2008-1-071)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</si>
  <si>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</si>
  <si>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6 строк.</t>
  </si>
  <si>
    <t>&lt; WARNING &gt; Адаптер&gt; ссылка SFacc/3:4/W(001D000000gxJqK) не работает, результат &lt;пусто&gt;</t>
  </si>
  <si>
    <t>&lt; WARNING &gt; Адаптер&gt; ссылка SFD/4:15(2008-1-071) не работает, результат &lt;пусто&gt;</t>
  </si>
  <si>
    <t>&lt; WARNING &gt; Адаптер&gt; ссылка SFD/4:15(2008-2-038) не работает, результат &lt;пусто&gt;</t>
  </si>
  <si>
    <t>&lt; WARNING &gt; Адаптер&gt; ссылка SFD/4:15(5 (Заказ № 3)) не работает, результат &lt;пусто&gt;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</si>
  <si>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</si>
  <si>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</si>
  <si>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</si>
  <si>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</si>
  <si>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</si>
  <si>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</si>
  <si>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SFacc/3:5/W(001D000000fux6g)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</si>
  <si>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</si>
  <si>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</si>
  <si>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</si>
  <si>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</si>
  <si>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</si>
  <si>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SFacc/3:4/W(001D000000ewKVB) не работает, результат &lt;пусто&gt;</t>
  </si>
  <si>
    <t>&lt; WARNING &gt; Адаптер&gt; ссылка SFacc/3:4/W(0012000000UP0Ly) не работает, результат &lt;пусто&gt;</t>
  </si>
  <si>
    <t>WrCSV&gt; в 'Dogovor.txt' записано 5 строк.</t>
  </si>
  <si>
    <t>MoveToMatch: В файл '1C.xlsx' загружен новый отчет 'Платежи'; EOL=5267 строк, в прежнем 5249</t>
  </si>
  <si>
    <t>adapt profile: total = 39,25_x000D_
By steps =  3,11 0,02 10,09 3,13 0,03 0,01 0,01 0,01 0,01 0,01 0,01 0,01 0,01 0,01 0,01 0,01 0,01 0,01 0,01 0,00 0,01 0,01 0,01 0,01 0,01 0,01 0,01 0,02 0,00 0,53 2,37 2,71 3,05 3,00 2,93 3,34 3,33</t>
  </si>
  <si>
    <t>MoveToMatch: В файл '1C.xlsx' загружен новый отчет 'Договоры'; EOL=1193 строк, в прежнем 1189</t>
  </si>
  <si>
    <t>adapt profile: total = 2,11_x000D_
By steps =  0,44 0,35 0,35 0,00 0,00 0,00 0,62 0,00 0,00 0,00 0,00 0,00 0,00 0,00 0,00 0,00 0,00 0,00 0,00 0,00 0,00 0,00 0,00 0,00 0,00 0,00</t>
  </si>
  <si>
    <t>MoveToMatch: В файл 'SFDC.xlsx' загружен новый отчет 'SFopp'; EOL=3095 строк, в прежнем 3081</t>
  </si>
  <si>
    <t>MoveToMatch: В файл 'SFDC.xlsx' загружен новый отчет 'SFacc'; EOL=4061 строк, в прежнем 4048</t>
  </si>
  <si>
    <t>adapt profile: total = 91,89_x000D_
By steps =  4,84 0,04 25,08 6,96 0,02 0,01 0,01 0,01 0,01 0,01 0,02 0,01 0,01 0,01 0,01 0,01 0,01 0,01 0,01 0,01 0,01 0,01 0,01 0,01 0,01 0,01 0,01 0,01 0,01 0,63 2,48 4,84 5,64 6,74 6,67 15,19 11,00</t>
  </si>
  <si>
    <t>adapt profile: total = 4,96_x000D_
By steps =  0,74 2,82 0,51 0,01 0,00 0,00 0,40 0,00 0,00 0,00 0,00 0,00 0,00 0,00 0,00 0,00 0,00 0,00 0,00 0,00 0,00 0,00 0,00 0,00 0,00 0,01</t>
  </si>
  <si>
    <t>adapt profile: total = 2,84_x000D_
By steps =  2,47</t>
  </si>
  <si>
    <t>MoveToMatch: В файл 'SFDC.xlsx' загружен новый отчет 'SF'; EOL=3901 строк, в прежнем 3889</t>
  </si>
  <si>
    <t>adapt profile: total = 90,85_x000D_
By steps =  16,92 0,05 21,64 4,97 0,03 0,01 0,01 0,01 0,01 0,01 0,01 0,01 0,01 0,01 0,01 0,01 0,01 0,01 0,01 0,02 0,01 0,01 0,00 0,01 0,01 0,01 0,01 0,01 0,01 0,65 2,44 3,45 5,33 5,75 5,40 11,74 10,73</t>
  </si>
  <si>
    <t>MoveToMatch: В файл 'SFDC.xlsx' загружен новый отчет 'SFD'; EOL=959 строк, в прежнем 950</t>
  </si>
  <si>
    <t>adapt profile: total = 8,18_x000D_
By steps =  7,91 0,01</t>
  </si>
  <si>
    <t>adapt profile: total = 21,55_x000D_
By steps =  6,27 5,76 4,49 0,01 0,00 0,00 4,43 0,01 0,00 0,00 0,00 0,00 0,00 0,00 0,00 0,00 0,00 0,00 0,00 0,00 0,00 0,00 0,00 0,00 0,00 0,00</t>
  </si>
  <si>
    <t>MoveToMatch: В файл 'SFDC.xlsx' загружен новый отчет 'SF'; EOL=3901 строк, в прежнем 3901</t>
  </si>
  <si>
    <t>adapt profile: total = 35,11_x000D_
By steps =  3,31 0,03 9,40 2,14 0,03 0,01 0,01 0,02 0,01 0,01 0,01 0,01 0,01 0,01 0,01 0,01 0,01 0,01 0,01 0,01 0,01 0,01 0,01 0,01 0,01 0,02 0,01 0,01 0,01 0,43 2,23 2,37 2,36 2,36 2,33 3,19 3,33</t>
  </si>
  <si>
    <t>WrCSV&gt; в 'Dogovor.txt' записано 8 строк.</t>
  </si>
  <si>
    <t>MoveToMatch: В файл 'SFDC.xlsx' загружен новый отчет 'SFD'; EOL=966 строк, в прежнем 959</t>
  </si>
  <si>
    <t>adapt profile: total = 4,19_x000D_
By steps =  3,98 0,01</t>
  </si>
  <si>
    <t>adapt profile: total = 3,47_x000D_
By steps =  0,46 1,89 0,36 0,00 0,00 0,00 0,36 0,01 0,00 0,00 0,00 0,00 0,00 0,00 0,00 0,00 0,00 0,00 0,00 0,00 0,00 0,00 0,00 0,00 0,00 0,00</t>
  </si>
  <si>
    <t>adapt profile: total = 43,19_x000D_
By steps =  3,66 0,02 10,57 3,80 0,02 0,01 0,01 0,01 0,02 0,01 0,01 0,02 0,01 0,01 0,01 0,01 0,01 0,01 0,01 0,01 0,01 0,01 0,01 0,01 0,01 0,01 0,01 0,01 0,01 0,51 2,39 2,84 3,55 3,54 3,31 3,85 3,44</t>
  </si>
  <si>
    <t>&lt; WARNING &gt; Адаптер&gt; ссылка SFD/2:18(2012-2-104) не работает, результат &lt;пусто&gt;</t>
  </si>
  <si>
    <t>&lt; WARNING &gt; Адаптер&gt; ссылка SFD/2:18(2013-1-4) не работает, результат &lt;пусто&gt;</t>
  </si>
  <si>
    <t>&lt; WARNING &gt; Адаптер&gt; ссылка SFD/2:18(2012-4-19) не работает, результат &lt;пусто&gt;</t>
  </si>
  <si>
    <t>WrCSV&gt; в 'Payment.txt' записано 9 строк.</t>
  </si>
  <si>
    <t>HANDL_PaidBalky</t>
  </si>
  <si>
    <t>HDR_PaidBalky</t>
  </si>
  <si>
    <r>
      <t xml:space="preserve">23.1.13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</si>
  <si>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IsBalky/1,2,31</t>
  </si>
  <si>
    <t>BalkyOppN</t>
  </si>
  <si>
    <t>&lt;! ERROR !&gt; Adapter&gt; Не существует BalkyOppN</t>
  </si>
  <si>
    <t>&lt; WARNING &gt; Адаптер BalkyOppN(ДООО "Ижевский радиозавод") не получил данных</t>
  </si>
  <si>
    <t>&lt; WARNING &gt; Адаптер BalkyOppN(ООО "Компания Берком") не получил данных</t>
  </si>
  <si>
    <t>&lt; WARNING &gt; Адаптер BalkyOppN(ОАО "ЦКБ МТ "Рубин") не получил данных</t>
  </si>
  <si>
    <t>&lt; WARNING &gt; Адаптер BalkyOppN(СПб ОАО "Красный Октябрь") не получил данных</t>
  </si>
  <si>
    <t>&lt; WARNING &gt; Адаптер BalkyOppN(ЗАО "КТПИ "Газпроект") не получил данных</t>
  </si>
  <si>
    <t>&lt; WARNING &gt; Адаптер BalkyOppN(ООО "Альфа-Лайн") не получил данных</t>
  </si>
  <si>
    <t>&lt; WARNING &gt; Адаптер BalkyOppN(ОАО "ПО "Севмаш") не получил данных</t>
  </si>
  <si>
    <t>&lt; WARNING &gt; Адаптер BalkyOppN(ФГУП "Завод имени М.И. Калинина") не получил данных</t>
  </si>
  <si>
    <t>&lt; WARNING &gt; Адаптер BalkyOppN(ОАО "Трест ГРИИ") не получил данных</t>
  </si>
  <si>
    <t>&lt; WARNING &gt; Адаптер BalkyOppN(ЗАО "РАМЭК-ВС") не получил данных</t>
  </si>
  <si>
    <t>&lt; WARNING &gt; Адаптер BalkyOppN(Филиал ОАО "Ковдорский горно-обогатительный комбинат" в г.Усолье) не получил данных</t>
  </si>
  <si>
    <t>adapt profile: total = 368,63_x000D_
By steps =  4,80 0,04 57,47 51,20 0,05 0,01 0,01 0,01 0,02 0,01 0,02 0,01 0,02 0,01 0,02 0,01 0,02 0,02 0,02 0,02 0,01 0,02 0,02 0,01 0,01 0,02 0,01 0,03 0,02 7,00 9,99 25,41 46,91 53,87 46,99 55,62 6,76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</si>
  <si>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</si>
  <si>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MoveToMatch: В файл '1C.xlsx' загружен новый отчет 'Договоры'; EOL=1198 строк, в прежнем 1193</t>
  </si>
  <si>
    <t>adapt profile: total = 1,64_x000D_
By steps =  0,50 0,22 0,28 0,00 0,02 0,00 0,36 0,02 0,02 0,00 0,00 0,00 0,00 0,02 0,00 0,00 0,00 0,02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</si>
</sst>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1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</cellStyleXfs>
  <cellXfs count="817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167" fontId="0" fillId="0" borderId="0" xfId="732" applyNumberFormat="1" applyFont="1" applyFill="1"/>
    <xf numFmtId="3" fontId="301" fillId="6" borderId="1" xfId="40" applyNumberFormat="1" applyFont="1" applyFill="1" applyBorder="1" applyAlignment="1">
      <alignment vertical="top"/>
    </xf>
    <xf numFmtId="172" fontId="302" fillId="0" borderId="0" xfId="734" applyNumberFormat="1" applyFont="1" applyFill="1" applyBorder="1" applyAlignment="1">
      <alignment horizontal="center"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0" xfId="0" applyNumberFormat="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49" fontId="0" fillId="0" borderId="41" xfId="0" applyNumberFormat="1" applyFill="1" applyBorder="1" applyAlignment="1">
      <alignment horizontal="center" vertical="center" wrapText="1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0" fillId="0" borderId="0" xfId="0" applyFont="1" applyFill="1" applyAlignment="1">
      <alignment horizontal="left" wrapText="1"/>
    </xf>
    <xf numFmtId="49" fontId="0" fillId="0" borderId="0" xfId="0" applyNumberFormat="1" applyAlignment="1">
      <alignment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left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2" borderId="41" xfId="0" applyNumberFormat="1" applyFill="1" applyBorder="1" applyAlignment="1">
      <alignment horizontal="center" vertical="center" wrapText="1"/>
    </xf>
    <xf numFmtId="171" fontId="268" fillId="64" borderId="0" xfId="0" applyFont="1" applyFill="1"/>
    <xf numFmtId="171" fontId="268" fillId="64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3" borderId="0" xfId="0" applyNumberFormat="1" applyFill="1" applyAlignment="1">
      <alignment horizontal="center"/>
    </xf>
    <xf numFmtId="171" fontId="0" fillId="63" borderId="0" xfId="0" applyFill="1"/>
    <xf numFmtId="171" fontId="258" fillId="63" borderId="0" xfId="94" applyFont="1" applyFill="1" applyAlignment="1">
      <alignment horizontal="center" vertical="top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9" fontId="314" fillId="6" borderId="14" xfId="733" applyFont="1" applyFill="1" applyBorder="1" applyAlignment="1">
      <alignment horizontal="center" vertical="center"/>
    </xf>
    <xf numFmtId="9" fontId="314" fillId="0" borderId="54" xfId="733" applyFont="1" applyBorder="1" applyAlignment="1">
      <alignment horizontal="center" vertical="center"/>
    </xf>
    <xf numFmtId="9" fontId="314" fillId="0" borderId="55" xfId="733" applyFont="1" applyBorder="1" applyAlignment="1">
      <alignment horizontal="center" vertical="center"/>
    </xf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1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124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tabSelected="1" zoomScale="80" zoomScaleNormal="80" workbookViewId="0">
      <selection activeCell="G26" sqref="G26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41297.94253472222</v>
      </c>
      <c r="C1" s="125" t="s">
        <v>583</v>
      </c>
      <c r="J1" s="458" t="s">
        <v>1006</v>
      </c>
      <c r="K1" s="167"/>
      <c r="L1" s="57"/>
      <c r="M1" s="57"/>
      <c r="N1" s="57"/>
      <c r="O1" s="787" t="s">
        <v>592</v>
      </c>
      <c r="P1" s="787" t="s">
        <v>839</v>
      </c>
      <c r="Q1" s="787"/>
      <c r="R1" s="787"/>
      <c r="S1" s="787"/>
    </row>
    <row r="2" spans="1:23" ht="20.25" customHeight="1" x14ac:dyDescent="0.25">
      <c r="O2" s="788"/>
      <c r="P2" s="788"/>
      <c r="Q2" s="788"/>
      <c r="R2" s="788"/>
      <c r="S2" s="788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628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627</v>
      </c>
      <c r="C5" s="170" t="s">
        <v>934</v>
      </c>
      <c r="H5" s="169" t="s">
        <v>609</v>
      </c>
      <c r="I5" s="169" t="s">
        <v>627</v>
      </c>
      <c r="J5" s="169" t="s">
        <v>627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678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31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41297.098553240743</v>
      </c>
      <c r="B8" s="136" t="s">
        <v>561</v>
      </c>
      <c r="C8" s="141">
        <v>5267</v>
      </c>
      <c r="D8" s="141">
        <v>5</v>
      </c>
      <c r="E8" s="141">
        <v>2</v>
      </c>
      <c r="F8" t="s">
        <v>655</v>
      </c>
      <c r="G8" s="141" t="s">
        <v>112</v>
      </c>
      <c r="H8" s="136" t="s">
        <v>681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657</v>
      </c>
      <c r="N8" s="135">
        <v>41295</v>
      </c>
      <c r="O8" s="146" t="s">
        <v>314</v>
      </c>
      <c r="P8" s="146"/>
      <c r="Q8" s="146"/>
      <c r="T8" s="136" t="s">
        <v>638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662</v>
      </c>
      <c r="N9" s="148"/>
      <c r="O9" s="154"/>
      <c r="P9" s="154"/>
      <c r="Q9" s="154"/>
      <c r="T9" s="160"/>
    </row>
    <row r="10" spans="1:23" x14ac:dyDescent="0.25">
      <c r="A10" s="248">
        <v>41297.94253472222</v>
      </c>
      <c r="B10" t="s">
        <v>566</v>
      </c>
      <c r="C10" s="145">
        <v>1198</v>
      </c>
      <c r="D10" s="139">
        <v>8</v>
      </c>
      <c r="E10" s="139">
        <v>2</v>
      </c>
      <c r="F10" t="s">
        <v>655</v>
      </c>
      <c r="G10" s="150" t="s">
        <v>112</v>
      </c>
      <c r="H10" t="s">
        <v>681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890</v>
      </c>
      <c r="N10" s="124">
        <v>41297</v>
      </c>
      <c r="O10" s="138" t="s">
        <v>314</v>
      </c>
      <c r="P10" s="138"/>
      <c r="Q10" s="138"/>
      <c r="T10" t="s">
        <v>639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889</v>
      </c>
      <c r="N11" s="124"/>
      <c r="O11" s="161"/>
      <c r="P11" s="161"/>
      <c r="Q11" s="161"/>
    </row>
    <row r="12" spans="1:23" x14ac:dyDescent="0.25">
      <c r="A12" s="248">
        <v>41296.015752314815</v>
      </c>
      <c r="B12" t="s">
        <v>567</v>
      </c>
      <c r="C12" s="145">
        <v>2788</v>
      </c>
      <c r="D12" s="145">
        <v>1</v>
      </c>
      <c r="E12" s="145">
        <v>0</v>
      </c>
      <c r="F12" t="s">
        <v>655</v>
      </c>
      <c r="G12" s="150" t="s">
        <v>71</v>
      </c>
      <c r="H12" t="s">
        <v>681</v>
      </c>
      <c r="I12" s="164" t="s">
        <v>567</v>
      </c>
      <c r="J12" s="128" t="s">
        <v>596</v>
      </c>
      <c r="K12" s="129" t="s">
        <v>587</v>
      </c>
      <c r="L12" s="153" t="s">
        <v>656</v>
      </c>
      <c r="M12" s="153" t="s">
        <v>658</v>
      </c>
      <c r="N12" s="124">
        <v>41233</v>
      </c>
      <c r="O12" s="138" t="s">
        <v>314</v>
      </c>
      <c r="P12" s="138"/>
      <c r="Q12" s="138"/>
      <c r="T12" t="s">
        <v>640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656</v>
      </c>
      <c r="M13" s="153" t="s">
        <v>659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41296.045219907406</v>
      </c>
      <c r="B14" s="136" t="s">
        <v>568</v>
      </c>
      <c r="C14" s="141">
        <v>3901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660</v>
      </c>
      <c r="N14" s="270">
        <v>41296.044444444444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41296.040729166663</v>
      </c>
      <c r="B15" t="s">
        <v>571</v>
      </c>
      <c r="C15" s="145">
        <v>966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660</v>
      </c>
      <c r="N15" s="124">
        <v>41296.040277777778</v>
      </c>
      <c r="O15" s="138"/>
      <c r="Q15" s="138"/>
      <c r="T15" s="149" t="str">
        <f>Process!F32</f>
        <v>LOAD_SFD</v>
      </c>
    </row>
    <row r="16" spans="1:23" ht="15.75" x14ac:dyDescent="0.3">
      <c r="A16" s="248">
        <v>41296.013749999998</v>
      </c>
      <c r="B16" t="s">
        <v>573</v>
      </c>
      <c r="C16" s="145">
        <v>3095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41296.012499999997</v>
      </c>
      <c r="O16" s="138"/>
      <c r="Q16" s="138"/>
    </row>
    <row r="17" spans="1:20" ht="15.75" x14ac:dyDescent="0.3">
      <c r="A17" s="248">
        <v>41296.014513888891</v>
      </c>
      <c r="B17" t="s">
        <v>136</v>
      </c>
      <c r="C17" s="145">
        <v>4061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41296.013888888891</v>
      </c>
      <c r="O17" s="138"/>
      <c r="Q17" s="138"/>
      <c r="T17" t="str">
        <f>Process!F38</f>
        <v>LOAD_SFacc</v>
      </c>
    </row>
    <row r="18" spans="1:20" ht="15.75" x14ac:dyDescent="0.3">
      <c r="A18" s="719">
        <v>41270.943449074075</v>
      </c>
      <c r="B18" t="s">
        <v>576</v>
      </c>
      <c r="C18" s="145">
        <v>7956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41270.928472222222</v>
      </c>
      <c r="O18" s="138"/>
      <c r="Q18" s="138"/>
    </row>
    <row r="19" spans="1:20" ht="15.75" x14ac:dyDescent="0.3">
      <c r="A19" s="719">
        <v>41233.837291666663</v>
      </c>
      <c r="B19" t="s">
        <v>578</v>
      </c>
      <c r="C19" s="145">
        <v>1747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41233.836805555555</v>
      </c>
      <c r="O19" s="138"/>
      <c r="Q19" s="138"/>
    </row>
    <row r="20" spans="1:20" ht="15.75" x14ac:dyDescent="0.3">
      <c r="A20" s="719">
        <v>41233.83971064815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41233.839583333334</v>
      </c>
      <c r="O20" s="138"/>
      <c r="Q20" s="138"/>
    </row>
    <row r="21" spans="1:20" ht="15.75" x14ac:dyDescent="0.3">
      <c r="A21" s="719">
        <v>41233.84138888889</v>
      </c>
      <c r="B21" t="s">
        <v>581</v>
      </c>
      <c r="C21" s="145">
        <v>362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6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41233.840277777781</v>
      </c>
      <c r="O21" s="555"/>
      <c r="P21" s="297"/>
      <c r="Q21" s="555"/>
      <c r="R21" s="297"/>
      <c r="S21" s="297"/>
    </row>
    <row r="22" spans="1:20" s="136" customFormat="1" x14ac:dyDescent="0.25">
      <c r="A22" s="720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782</v>
      </c>
      <c r="G22" s="526">
        <v>10</v>
      </c>
      <c r="H22" s="136" t="s">
        <v>682</v>
      </c>
      <c r="I22" s="278" t="str">
        <f>B22</f>
        <v>Склад</v>
      </c>
      <c r="J22" s="137" t="s">
        <v>65</v>
      </c>
      <c r="K22" s="152" t="s">
        <v>610</v>
      </c>
      <c r="L22" s="142" t="s">
        <v>660</v>
      </c>
      <c r="M22" s="142" t="s">
        <v>991</v>
      </c>
      <c r="N22" s="135">
        <v>41232.113368055558</v>
      </c>
      <c r="O22" s="154" t="s">
        <v>314</v>
      </c>
      <c r="P22" s="160"/>
      <c r="Q22" s="554" t="s">
        <v>864</v>
      </c>
      <c r="R22" s="277"/>
      <c r="S22" s="160"/>
      <c r="T22" s="136" t="s">
        <v>644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683</v>
      </c>
      <c r="K23" s="152" t="s">
        <v>587</v>
      </c>
      <c r="L23" s="153" t="s">
        <v>660</v>
      </c>
      <c r="M23" s="153" t="s">
        <v>992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684</v>
      </c>
      <c r="K24" s="152" t="s">
        <v>587</v>
      </c>
      <c r="L24" s="153" t="s">
        <v>660</v>
      </c>
      <c r="M24" s="153" t="s">
        <v>993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685</v>
      </c>
      <c r="K25" s="152" t="s">
        <v>587</v>
      </c>
      <c r="L25" s="153" t="s">
        <v>660</v>
      </c>
      <c r="M25" s="153" t="s">
        <v>994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686</v>
      </c>
      <c r="K26" s="152" t="s">
        <v>587</v>
      </c>
      <c r="L26" s="153" t="s">
        <v>660</v>
      </c>
      <c r="M26" s="153" t="s">
        <v>995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687</v>
      </c>
      <c r="K27" s="283" t="s">
        <v>587</v>
      </c>
      <c r="L27" s="284" t="s">
        <v>660</v>
      </c>
      <c r="M27" s="284" t="s">
        <v>996</v>
      </c>
      <c r="N27" s="285"/>
      <c r="O27" s="286"/>
      <c r="Q27" s="286"/>
      <c r="R27" s="287"/>
    </row>
    <row r="28" spans="1:20" s="288" customFormat="1" x14ac:dyDescent="0.25">
      <c r="A28" s="699">
        <v>41221.716736111113</v>
      </c>
      <c r="B28" s="288" t="s">
        <v>602</v>
      </c>
      <c r="C28" s="289">
        <v>1271</v>
      </c>
      <c r="D28" s="527">
        <v>8</v>
      </c>
      <c r="E28" s="527">
        <v>19</v>
      </c>
      <c r="F28" s="288" t="s">
        <v>860</v>
      </c>
      <c r="G28" s="527">
        <v>10</v>
      </c>
      <c r="H28" s="288" t="s">
        <v>682</v>
      </c>
      <c r="I28" s="276" t="str">
        <f>B28</f>
        <v>Заказы</v>
      </c>
      <c r="J28" s="290" t="s">
        <v>688</v>
      </c>
      <c r="K28" s="291" t="s">
        <v>587</v>
      </c>
      <c r="L28" s="292" t="s">
        <v>660</v>
      </c>
      <c r="M28" s="292" t="s">
        <v>874</v>
      </c>
      <c r="N28" s="293">
        <v>41211.864074074074</v>
      </c>
      <c r="O28" s="288" t="s">
        <v>314</v>
      </c>
      <c r="P28" s="528">
        <v>2</v>
      </c>
      <c r="Q28" s="553" t="s">
        <v>863</v>
      </c>
      <c r="R28" s="149"/>
      <c r="S28" s="149"/>
      <c r="T28" s="288" t="s">
        <v>645</v>
      </c>
    </row>
    <row r="29" spans="1:20" s="149" customFormat="1" x14ac:dyDescent="0.25">
      <c r="A29" s="294"/>
      <c r="C29" s="275"/>
      <c r="J29" s="151" t="s">
        <v>689</v>
      </c>
      <c r="K29" s="152" t="s">
        <v>587</v>
      </c>
      <c r="L29" s="153" t="s">
        <v>660</v>
      </c>
      <c r="M29" s="153" t="s">
        <v>875</v>
      </c>
      <c r="N29" s="148"/>
      <c r="O29" s="149" t="s">
        <v>314</v>
      </c>
      <c r="P29" s="529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660</v>
      </c>
      <c r="M30" s="153" t="s">
        <v>876</v>
      </c>
      <c r="N30" s="148"/>
      <c r="O30" t="s">
        <v>314</v>
      </c>
      <c r="P30" s="529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660</v>
      </c>
      <c r="M31" s="153" t="s">
        <v>877</v>
      </c>
      <c r="N31" s="148"/>
      <c r="O31" t="s">
        <v>314</v>
      </c>
      <c r="P31" s="529">
        <v>2</v>
      </c>
    </row>
    <row r="32" spans="1:20" x14ac:dyDescent="0.25">
      <c r="A32" s="263"/>
      <c r="C32" s="269"/>
      <c r="H32" s="149"/>
      <c r="I32" s="149"/>
      <c r="J32" s="151" t="s">
        <v>690</v>
      </c>
      <c r="K32" s="152" t="s">
        <v>587</v>
      </c>
      <c r="L32" s="153" t="s">
        <v>660</v>
      </c>
      <c r="M32" s="153" t="s">
        <v>878</v>
      </c>
      <c r="N32" s="148"/>
      <c r="O32" t="s">
        <v>314</v>
      </c>
      <c r="P32" s="529">
        <v>2</v>
      </c>
    </row>
    <row r="33" spans="1:20" x14ac:dyDescent="0.25">
      <c r="A33" s="263"/>
      <c r="C33" s="269"/>
      <c r="H33" s="149"/>
      <c r="I33" s="149"/>
      <c r="J33" s="151" t="s">
        <v>691</v>
      </c>
      <c r="K33" s="152" t="s">
        <v>587</v>
      </c>
      <c r="L33" s="153" t="s">
        <v>660</v>
      </c>
      <c r="M33" s="153" t="s">
        <v>879</v>
      </c>
      <c r="N33" s="148"/>
      <c r="O33" t="s">
        <v>314</v>
      </c>
      <c r="P33" s="529">
        <v>2</v>
      </c>
    </row>
    <row r="34" spans="1:20" x14ac:dyDescent="0.25">
      <c r="A34" s="263"/>
      <c r="C34" s="269"/>
      <c r="H34" s="149"/>
      <c r="I34" s="149"/>
      <c r="J34" s="151" t="s">
        <v>692</v>
      </c>
      <c r="K34" s="295" t="s">
        <v>587</v>
      </c>
      <c r="L34" s="153" t="s">
        <v>660</v>
      </c>
      <c r="M34" s="153" t="s">
        <v>880</v>
      </c>
      <c r="N34" s="148"/>
      <c r="P34" s="530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7"/>
      <c r="H35" s="136" t="s">
        <v>607</v>
      </c>
      <c r="I35" s="273" t="s">
        <v>695</v>
      </c>
      <c r="J35" s="137" t="s">
        <v>693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646</v>
      </c>
    </row>
    <row r="36" spans="1:20" x14ac:dyDescent="0.25">
      <c r="A36" s="250"/>
      <c r="I36" s="149"/>
      <c r="J36" s="151" t="s">
        <v>694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8" customFormat="1" x14ac:dyDescent="0.25">
      <c r="A39" s="716">
        <v>0</v>
      </c>
      <c r="B39" s="708" t="s">
        <v>1002</v>
      </c>
      <c r="C39" s="709">
        <v>1</v>
      </c>
      <c r="D39" s="709"/>
      <c r="E39" s="709"/>
      <c r="H39" s="708" t="s">
        <v>940</v>
      </c>
      <c r="I39" s="717" t="str">
        <f>B39</f>
        <v>DicAcc</v>
      </c>
      <c r="J39" s="710"/>
      <c r="K39" s="711" t="s">
        <v>941</v>
      </c>
      <c r="L39" s="712"/>
      <c r="M39" s="712"/>
      <c r="N39" s="713">
        <v>41237.062407407408</v>
      </c>
      <c r="O39" s="714"/>
      <c r="P39" s="708" t="s">
        <v>1001</v>
      </c>
      <c r="Q39" s="714"/>
      <c r="R39" s="715"/>
    </row>
    <row r="40" spans="1:20" s="149" customFormat="1" x14ac:dyDescent="0.25">
      <c r="A40" s="655">
        <v>41296.052557870367</v>
      </c>
      <c r="B40" s="149" t="s">
        <v>806</v>
      </c>
      <c r="C40" s="275">
        <v>1</v>
      </c>
      <c r="D40" s="275"/>
      <c r="E40" s="275"/>
      <c r="F40" s="149" t="s">
        <v>632</v>
      </c>
      <c r="H40" s="149" t="s">
        <v>940</v>
      </c>
      <c r="I40" s="634" t="s">
        <v>806</v>
      </c>
      <c r="J40" s="151"/>
      <c r="K40" s="152" t="s">
        <v>941</v>
      </c>
      <c r="L40" s="153"/>
      <c r="M40" s="153"/>
      <c r="N40" s="148">
        <v>41297.103738425925</v>
      </c>
      <c r="O40" s="154"/>
      <c r="P40" s="149" t="s">
        <v>935</v>
      </c>
      <c r="Q40" s="154"/>
      <c r="R40" s="277"/>
    </row>
    <row r="41" spans="1:20" s="149" customFormat="1" x14ac:dyDescent="0.25">
      <c r="A41" s="655">
        <v>41297.932870370372</v>
      </c>
      <c r="B41" s="149" t="s">
        <v>680</v>
      </c>
      <c r="C41" s="275">
        <v>1</v>
      </c>
      <c r="D41" s="275"/>
      <c r="E41" s="275"/>
      <c r="F41" s="149" t="s">
        <v>632</v>
      </c>
      <c r="H41" s="149" t="s">
        <v>940</v>
      </c>
      <c r="I41" s="634" t="s">
        <v>680</v>
      </c>
      <c r="J41" s="151"/>
      <c r="K41" s="152" t="s">
        <v>941</v>
      </c>
      <c r="L41" s="153"/>
      <c r="M41" s="153"/>
      <c r="N41" s="148">
        <v>41297.932858796295</v>
      </c>
      <c r="O41" s="154"/>
      <c r="P41" s="149" t="s">
        <v>936</v>
      </c>
      <c r="Q41" s="154"/>
      <c r="R41" s="277"/>
    </row>
    <row r="42" spans="1:20" s="149" customFormat="1" x14ac:dyDescent="0.25">
      <c r="A42" s="655">
        <v>41289.017129629632</v>
      </c>
      <c r="B42" s="149" t="s">
        <v>817</v>
      </c>
      <c r="C42" s="275">
        <v>1</v>
      </c>
      <c r="D42" s="275"/>
      <c r="E42" s="275"/>
      <c r="F42" s="149" t="s">
        <v>632</v>
      </c>
      <c r="H42" s="149" t="s">
        <v>940</v>
      </c>
      <c r="I42" s="634" t="s">
        <v>817</v>
      </c>
      <c r="J42" s="151"/>
      <c r="K42" s="152" t="s">
        <v>941</v>
      </c>
      <c r="L42" s="153"/>
      <c r="M42" s="153"/>
      <c r="N42" s="148">
        <v>41289.017094907409</v>
      </c>
      <c r="O42" s="154"/>
      <c r="P42" s="149" t="s">
        <v>938</v>
      </c>
      <c r="Q42" s="154"/>
      <c r="R42" s="277"/>
    </row>
    <row r="43" spans="1:20" s="149" customFormat="1" x14ac:dyDescent="0.25">
      <c r="A43" s="274"/>
      <c r="B43" s="149" t="s">
        <v>932</v>
      </c>
      <c r="C43" s="275" t="s">
        <v>91</v>
      </c>
      <c r="D43" s="275"/>
      <c r="E43" s="275"/>
      <c r="H43" s="149" t="s">
        <v>940</v>
      </c>
      <c r="I43" s="634" t="s">
        <v>932</v>
      </c>
      <c r="J43" s="151"/>
      <c r="K43" s="152" t="s">
        <v>941</v>
      </c>
      <c r="L43" s="153"/>
      <c r="M43" s="153"/>
      <c r="N43" s="148"/>
      <c r="O43" s="154"/>
      <c r="P43" s="644"/>
      <c r="Q43" s="645"/>
      <c r="R43" s="646"/>
      <c r="S43" s="644"/>
      <c r="T43" s="644"/>
    </row>
    <row r="44" spans="1:20" s="636" customFormat="1" x14ac:dyDescent="0.25">
      <c r="A44" s="656"/>
      <c r="B44" s="636" t="s">
        <v>966</v>
      </c>
      <c r="C44" s="637" t="s">
        <v>918</v>
      </c>
      <c r="D44" s="637"/>
      <c r="E44" s="637"/>
      <c r="H44" s="636" t="s">
        <v>940</v>
      </c>
      <c r="I44" s="638" t="s">
        <v>933</v>
      </c>
      <c r="J44" s="639"/>
      <c r="K44" s="640" t="s">
        <v>941</v>
      </c>
      <c r="L44" s="641"/>
      <c r="M44" s="641"/>
      <c r="N44" s="642"/>
      <c r="O44" s="643"/>
      <c r="P44" s="647" t="s">
        <v>967</v>
      </c>
      <c r="Q44" s="648"/>
      <c r="R44" s="649"/>
      <c r="S44" s="647"/>
      <c r="T44" s="647"/>
    </row>
    <row r="45" spans="1:20" s="297" customFormat="1" x14ac:dyDescent="0.25">
      <c r="A45" s="657"/>
      <c r="B45" s="297" t="s">
        <v>931</v>
      </c>
      <c r="C45" s="631" t="s">
        <v>115</v>
      </c>
      <c r="D45" s="631"/>
      <c r="E45" s="631"/>
      <c r="H45" s="297" t="s">
        <v>940</v>
      </c>
      <c r="I45" s="635" t="s">
        <v>931</v>
      </c>
      <c r="J45" s="299"/>
      <c r="K45" s="295" t="s">
        <v>941</v>
      </c>
      <c r="L45" s="300"/>
      <c r="M45" s="300"/>
      <c r="N45" s="632"/>
      <c r="O45" s="555"/>
      <c r="P45" s="297" t="s">
        <v>939</v>
      </c>
      <c r="Q45" s="555"/>
      <c r="R45" s="633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zoomScale="70" zoomScaleNormal="70" workbookViewId="0">
      <pane xSplit="2" ySplit="4" topLeftCell="C68" activePane="bottomRight" state="frozen"/>
      <selection pane="topRight" activeCell="C1" sqref="C1"/>
      <selection pane="bottomLeft" activeCell="A5" sqref="A5"/>
      <selection pane="bottomRight" activeCell="B75" sqref="B75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41297.94253472222</v>
      </c>
      <c r="C1" s="125" t="s">
        <v>614</v>
      </c>
      <c r="D1" s="125"/>
      <c r="G1" s="459"/>
      <c r="H1" s="459"/>
      <c r="I1" s="459"/>
    </row>
    <row r="2" spans="1:15" ht="15" customHeight="1" thickBot="1" x14ac:dyDescent="0.35">
      <c r="B2" s="125"/>
    </row>
    <row r="3" spans="1:15" ht="15.75" customHeight="1" x14ac:dyDescent="0.25">
      <c r="E3" s="789" t="s">
        <v>618</v>
      </c>
      <c r="F3" s="791" t="s">
        <v>619</v>
      </c>
      <c r="G3" s="792"/>
      <c r="H3" s="792"/>
      <c r="I3" s="792"/>
      <c r="J3" s="793"/>
      <c r="K3" s="791" t="s">
        <v>620</v>
      </c>
      <c r="L3" s="792"/>
      <c r="M3" s="792"/>
      <c r="N3" s="792"/>
      <c r="O3" s="793"/>
    </row>
    <row r="4" spans="1:15" s="123" customFormat="1" ht="15.75" thickBot="1" x14ac:dyDescent="0.3">
      <c r="B4" s="158" t="s">
        <v>615</v>
      </c>
      <c r="C4" s="123" t="s">
        <v>616</v>
      </c>
      <c r="E4" s="790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475"/>
      <c r="B6" s="476" t="s">
        <v>624</v>
      </c>
      <c r="C6" s="475"/>
      <c r="E6" s="190"/>
      <c r="F6" s="189" t="s">
        <v>638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outlineLevel="1" x14ac:dyDescent="0.25">
      <c r="A7" s="767">
        <v>41296.004861111112</v>
      </c>
      <c r="B7" s="768" t="s">
        <v>606</v>
      </c>
      <c r="C7" s="302" t="s">
        <v>604</v>
      </c>
      <c r="D7" s="196"/>
      <c r="E7" s="197" t="s">
        <v>70</v>
      </c>
      <c r="F7" s="427" t="s">
        <v>773</v>
      </c>
      <c r="G7" s="428" t="s">
        <v>774</v>
      </c>
      <c r="H7" s="198"/>
      <c r="I7" s="198"/>
      <c r="J7" s="199"/>
      <c r="K7" s="200" t="str">
        <f>K6</f>
        <v>Платежи</v>
      </c>
      <c r="O7" s="199"/>
    </row>
    <row r="8" spans="1:15" s="173" customFormat="1" outlineLevel="1" x14ac:dyDescent="0.25">
      <c r="A8" s="767">
        <v>41297.098483796297</v>
      </c>
      <c r="B8" s="768" t="s">
        <v>782</v>
      </c>
      <c r="C8" s="302" t="str">
        <f>B7</f>
        <v>InsMyCol</v>
      </c>
      <c r="D8" s="196"/>
      <c r="E8" s="197" t="s">
        <v>70</v>
      </c>
      <c r="F8" s="427" t="str">
        <f>F7</f>
        <v>HDR_1C_Payment_MyCol</v>
      </c>
      <c r="G8" s="428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outlineLevel="1" x14ac:dyDescent="0.25">
      <c r="A9" s="767">
        <v>41297.098495370374</v>
      </c>
      <c r="B9" s="768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outlineLevel="1" x14ac:dyDescent="0.25">
      <c r="A10" s="729">
        <v>41297.098541666666</v>
      </c>
      <c r="B10" s="770" t="s">
        <v>629</v>
      </c>
      <c r="C10" s="302" t="str">
        <f>B9</f>
        <v>DateSort</v>
      </c>
      <c r="D10" s="5"/>
      <c r="E10" s="203" t="s">
        <v>70</v>
      </c>
      <c r="F10" s="214"/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outlineLevel="1" x14ac:dyDescent="0.25">
      <c r="A11" s="767">
        <v>41297.098553240743</v>
      </c>
      <c r="B11" s="768" t="s">
        <v>655</v>
      </c>
      <c r="C11" s="477" t="str">
        <f>B10</f>
        <v>PaymentPaint</v>
      </c>
      <c r="D11" s="5"/>
      <c r="E11" s="218" t="s">
        <v>70</v>
      </c>
      <c r="F11" s="200"/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outlineLevel="1" x14ac:dyDescent="0.25">
      <c r="A12" s="771"/>
      <c r="B12" s="772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x14ac:dyDescent="0.25">
      <c r="A13" s="464"/>
      <c r="B13" s="465" t="s">
        <v>624</v>
      </c>
      <c r="C13" s="466"/>
      <c r="D13" s="467"/>
      <c r="E13" s="468" t="s">
        <v>201</v>
      </c>
      <c r="F13" s="469" t="s">
        <v>639</v>
      </c>
      <c r="G13" s="467"/>
      <c r="H13" s="467"/>
      <c r="I13" s="467"/>
      <c r="J13" s="470"/>
      <c r="K13" s="471" t="str">
        <f>TOCmatch!B10</f>
        <v>Договоры</v>
      </c>
      <c r="L13" s="472"/>
      <c r="M13" s="467"/>
      <c r="N13" s="472"/>
      <c r="O13" s="470"/>
    </row>
    <row r="14" spans="1:15" s="149" customFormat="1" hidden="1" outlineLevel="1" x14ac:dyDescent="0.25">
      <c r="A14" s="767">
        <v>41297.942499999997</v>
      </c>
      <c r="B14" s="768" t="s">
        <v>606</v>
      </c>
      <c r="C14" s="302" t="s">
        <v>604</v>
      </c>
      <c r="D14" s="196"/>
      <c r="E14" s="197" t="s">
        <v>70</v>
      </c>
      <c r="F14" s="427" t="s">
        <v>780</v>
      </c>
      <c r="G14" s="428" t="s">
        <v>781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67">
        <v>41297.94253472222</v>
      </c>
      <c r="B15" s="768" t="s">
        <v>782</v>
      </c>
      <c r="C15" s="302" t="str">
        <f>B14</f>
        <v>InsMyCol</v>
      </c>
      <c r="D15" s="196"/>
      <c r="E15" s="197" t="s">
        <v>70</v>
      </c>
      <c r="F15" s="427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9">
        <v>41297.94253472222</v>
      </c>
      <c r="B16" s="768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9">
        <v>41297.94253472222</v>
      </c>
      <c r="B17" s="770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67">
        <v>41297.94253472222</v>
      </c>
      <c r="B18" s="768" t="s">
        <v>655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71"/>
      <c r="B19" s="772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67"/>
      <c r="B20" s="768" t="s">
        <v>624</v>
      </c>
      <c r="C20" s="769"/>
      <c r="D20" s="212"/>
      <c r="E20" s="197"/>
      <c r="F20" s="220" t="s">
        <v>640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654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4" t="str">
        <f>B21</f>
        <v>Acc1C_Bottom</v>
      </c>
      <c r="D22" s="196"/>
      <c r="E22" s="197" t="s">
        <v>70</v>
      </c>
      <c r="F22" s="200" t="s">
        <v>661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67">
        <v>41296.015740740739</v>
      </c>
      <c r="B23" s="768" t="s">
        <v>782</v>
      </c>
      <c r="C23" s="664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67">
        <v>41296.015752314815</v>
      </c>
      <c r="B24" s="768" t="s">
        <v>655</v>
      </c>
      <c r="C24" s="664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30"/>
      <c r="B25" s="731" t="s">
        <v>625</v>
      </c>
      <c r="C25" s="551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702"/>
      <c r="B26" s="703" t="s">
        <v>624</v>
      </c>
      <c r="C26" s="704"/>
      <c r="D26" s="309"/>
      <c r="E26" s="310" t="s">
        <v>201</v>
      </c>
      <c r="F26" s="311" t="s">
        <v>641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67">
        <v>41296.04515046296</v>
      </c>
      <c r="B27" s="768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767">
        <v>41296.045208333337</v>
      </c>
      <c r="B28" s="768" t="s">
        <v>626</v>
      </c>
      <c r="C28" s="302" t="s">
        <v>649</v>
      </c>
      <c r="D28" s="215"/>
      <c r="E28" s="218" t="s">
        <v>70</v>
      </c>
      <c r="F28" s="214"/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67">
        <v>41296.045219907406</v>
      </c>
      <c r="B29" s="768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767">
        <v>41296.045787037037</v>
      </c>
      <c r="B30" s="770" t="s">
        <v>663</v>
      </c>
      <c r="C30" s="302" t="s">
        <v>626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771"/>
      <c r="B31" s="772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23"/>
      <c r="B32" s="228" t="s">
        <v>624</v>
      </c>
      <c r="C32" s="724"/>
      <c r="D32" s="303"/>
      <c r="E32" s="304" t="s">
        <v>201</v>
      </c>
      <c r="F32" s="305" t="s">
        <v>642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67">
        <v>41296.040671296294</v>
      </c>
      <c r="B33" s="768" t="s">
        <v>606</v>
      </c>
      <c r="C33" s="302" t="s">
        <v>604</v>
      </c>
      <c r="D33" s="196"/>
      <c r="E33" s="197" t="s">
        <v>70</v>
      </c>
      <c r="F33" s="200" t="s">
        <v>650</v>
      </c>
      <c r="G33" s="201" t="s">
        <v>651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195">
        <v>41296.040729166663</v>
      </c>
      <c r="B34" s="196" t="s">
        <v>782</v>
      </c>
      <c r="C34" s="235" t="str">
        <f>B33</f>
        <v>InsMyCol</v>
      </c>
      <c r="D34" s="196"/>
      <c r="E34" s="197" t="s">
        <v>201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195">
        <v>41296.040729166663</v>
      </c>
      <c r="B35" s="196" t="s">
        <v>617</v>
      </c>
      <c r="C35" s="235" t="str">
        <f>B34</f>
        <v>Adapt</v>
      </c>
      <c r="D35" s="196"/>
      <c r="E35" s="197" t="s">
        <v>201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195">
        <v>41296.040775462963</v>
      </c>
      <c r="B36" s="202" t="s">
        <v>663</v>
      </c>
      <c r="C36" s="160" t="str">
        <f>B35</f>
        <v>DateSort</v>
      </c>
      <c r="D36" s="5"/>
      <c r="E36" s="218" t="s">
        <v>201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204"/>
      <c r="B37" s="205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4"/>
      <c r="B38" s="465" t="s">
        <v>624</v>
      </c>
      <c r="C38" s="466"/>
      <c r="D38" s="467"/>
      <c r="E38" s="468" t="s">
        <v>201</v>
      </c>
      <c r="F38" s="469" t="s">
        <v>643</v>
      </c>
      <c r="G38" s="467"/>
      <c r="H38" s="467"/>
      <c r="I38" s="467"/>
      <c r="J38" s="470"/>
      <c r="K38" s="471" t="str">
        <f>TOCmatch!B17</f>
        <v>SFacc</v>
      </c>
      <c r="L38" s="472"/>
      <c r="M38" s="467"/>
      <c r="N38" s="472"/>
      <c r="O38" s="470"/>
    </row>
    <row r="39" spans="1:15" hidden="1" outlineLevel="1" x14ac:dyDescent="0.25">
      <c r="A39" s="767">
        <v>41296.015636574077</v>
      </c>
      <c r="B39" s="768" t="s">
        <v>663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67">
        <v>41296.015706018516</v>
      </c>
      <c r="B40" s="768" t="s">
        <v>663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67">
        <v>41296.015752314815</v>
      </c>
      <c r="B41" s="768" t="s">
        <v>663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30"/>
      <c r="B42" s="731" t="s">
        <v>625</v>
      </c>
      <c r="C42" s="551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645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857</v>
      </c>
      <c r="C44" s="302" t="s">
        <v>604</v>
      </c>
      <c r="D44" s="196"/>
      <c r="E44" s="197" t="s">
        <v>70</v>
      </c>
      <c r="F44" s="214" t="s">
        <v>861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7" t="str">
        <f>B44</f>
        <v>RowDel</v>
      </c>
      <c r="D45" s="196"/>
      <c r="E45" s="197" t="s">
        <v>70</v>
      </c>
      <c r="F45" s="200" t="s">
        <v>862</v>
      </c>
      <c r="G45" s="428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860</v>
      </c>
      <c r="C46" s="661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810</v>
      </c>
      <c r="J46" s="550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630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52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782</v>
      </c>
      <c r="C48" s="661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80" t="s">
        <v>590</v>
      </c>
      <c r="F50" s="189" t="s">
        <v>644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857</v>
      </c>
      <c r="C51" s="302" t="s">
        <v>604</v>
      </c>
      <c r="D51" s="196"/>
      <c r="E51" s="197" t="s">
        <v>70</v>
      </c>
      <c r="F51" s="214" t="s">
        <v>858</v>
      </c>
      <c r="G51" s="221"/>
      <c r="H51" s="198"/>
      <c r="I51" s="198"/>
      <c r="J51" s="199"/>
      <c r="K51" s="552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7" t="str">
        <f>B51</f>
        <v>RowDel</v>
      </c>
      <c r="D52" s="196"/>
      <c r="E52" s="197" t="s">
        <v>70</v>
      </c>
      <c r="F52" s="200" t="s">
        <v>859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630</v>
      </c>
      <c r="C53" s="236"/>
      <c r="D53" s="196"/>
      <c r="E53" s="197" t="s">
        <v>201</v>
      </c>
      <c r="F53" s="214" t="s">
        <v>70</v>
      </c>
      <c r="G53" s="221" t="s">
        <v>985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782</v>
      </c>
      <c r="C54" s="661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702"/>
      <c r="B56" s="703" t="s">
        <v>624</v>
      </c>
      <c r="C56" s="704"/>
      <c r="D56" s="309"/>
      <c r="E56" s="310" t="s">
        <v>201</v>
      </c>
      <c r="F56" s="311" t="s">
        <v>647</v>
      </c>
      <c r="G56" s="309"/>
      <c r="H56" s="309"/>
      <c r="I56" s="309"/>
      <c r="J56" s="312"/>
      <c r="K56" s="473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630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664</v>
      </c>
      <c r="C58" s="235" t="s">
        <v>665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632</v>
      </c>
      <c r="C59" s="239" t="s">
        <v>631</v>
      </c>
      <c r="D59" s="5"/>
      <c r="E59" s="218"/>
      <c r="F59" s="200" t="s">
        <v>633</v>
      </c>
      <c r="G59" s="201" t="s">
        <v>634</v>
      </c>
      <c r="H59" s="215" t="s">
        <v>635</v>
      </c>
      <c r="I59" s="215" t="s">
        <v>636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624</v>
      </c>
      <c r="C61" s="238"/>
      <c r="D61" s="212"/>
      <c r="E61" s="480" t="s">
        <v>201</v>
      </c>
      <c r="F61" s="213" t="s">
        <v>805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630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679</v>
      </c>
      <c r="C63" s="266"/>
      <c r="D63" s="212"/>
      <c r="E63" s="197" t="s">
        <v>70</v>
      </c>
      <c r="F63" s="267" t="s">
        <v>806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807</v>
      </c>
      <c r="C64" s="463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632</v>
      </c>
      <c r="C65" s="463" t="str">
        <f>B64</f>
        <v>NewPaidOpp</v>
      </c>
      <c r="D65" s="196"/>
      <c r="E65" s="197" t="s">
        <v>201</v>
      </c>
      <c r="F65" s="267" t="s">
        <v>806</v>
      </c>
      <c r="G65" s="201" t="s">
        <v>804</v>
      </c>
      <c r="H65" s="215" t="s">
        <v>812</v>
      </c>
      <c r="I65" s="215" t="s">
        <v>813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767"/>
      <c r="B67" s="768" t="s">
        <v>624</v>
      </c>
      <c r="C67" s="769"/>
      <c r="D67" s="212"/>
      <c r="E67" s="480" t="s">
        <v>590</v>
      </c>
      <c r="F67" s="213" t="s">
        <v>1323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79"/>
    </row>
    <row r="68" spans="1:16" s="173" customFormat="1" ht="15.75" thickTop="1" x14ac:dyDescent="0.25">
      <c r="A68" s="195"/>
      <c r="B68" s="196" t="s">
        <v>782</v>
      </c>
      <c r="C68" s="773" t="str">
        <f>F6&amp;"/"&amp;B10</f>
        <v>LOAD_1C_P/PaymentPaint</v>
      </c>
      <c r="D68" s="196"/>
      <c r="E68" s="197" t="s">
        <v>201</v>
      </c>
      <c r="F68" s="781" t="s">
        <v>1324</v>
      </c>
      <c r="G68" s="782" t="str">
        <f>K68</f>
        <v>Платежи</v>
      </c>
      <c r="H68" s="783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79"/>
    </row>
    <row r="69" spans="1:16" s="173" customFormat="1" x14ac:dyDescent="0.25">
      <c r="A69" s="195"/>
      <c r="B69" s="202" t="s">
        <v>632</v>
      </c>
      <c r="C69" s="463" t="str">
        <f>B68</f>
        <v>Adapt</v>
      </c>
      <c r="D69" s="196"/>
      <c r="E69" s="197" t="s">
        <v>201</v>
      </c>
      <c r="F69" s="267" t="s">
        <v>806</v>
      </c>
      <c r="G69" s="201" t="s">
        <v>804</v>
      </c>
      <c r="H69" s="215" t="s">
        <v>812</v>
      </c>
      <c r="I69" s="215" t="s">
        <v>813</v>
      </c>
      <c r="J69" s="199"/>
      <c r="K69" s="267" t="str">
        <f>F69</f>
        <v>NewPayment</v>
      </c>
      <c r="M69" s="198"/>
      <c r="N69" s="201"/>
      <c r="O69" s="199"/>
      <c r="P69" s="779"/>
    </row>
    <row r="70" spans="1:16" s="187" customFormat="1" ht="15.75" thickBot="1" x14ac:dyDescent="0.3">
      <c r="A70" s="204"/>
      <c r="B70" s="205" t="s">
        <v>625</v>
      </c>
      <c r="C70" s="758">
        <v>8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80"/>
    </row>
    <row r="71" spans="1:16" s="173" customFormat="1" ht="16.5" thickTop="1" thickBot="1" x14ac:dyDescent="0.3">
      <c r="A71" s="767"/>
      <c r="B71" s="768" t="s">
        <v>624</v>
      </c>
      <c r="C71" s="769"/>
      <c r="D71" s="212"/>
      <c r="E71" s="480" t="s">
        <v>590</v>
      </c>
      <c r="F71" s="213" t="s">
        <v>808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767">
        <v>41296.052557870367</v>
      </c>
      <c r="B72" s="768" t="s">
        <v>1000</v>
      </c>
      <c r="C72" s="777" t="str">
        <f>F6&amp;"/"&amp;B10</f>
        <v>LOAD_1C_P/PaymentPaint</v>
      </c>
      <c r="D72" s="196"/>
      <c r="E72" s="197" t="s">
        <v>70</v>
      </c>
      <c r="F72" s="267" t="s">
        <v>806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767">
        <v>41296.052557870367</v>
      </c>
      <c r="B73" s="770" t="s">
        <v>632</v>
      </c>
      <c r="C73" s="579" t="str">
        <f>B72</f>
        <v>PaidContr</v>
      </c>
      <c r="D73" s="196"/>
      <c r="E73" s="197" t="s">
        <v>70</v>
      </c>
      <c r="F73" s="268" t="str">
        <f>F72</f>
        <v>NewPayment</v>
      </c>
      <c r="G73" s="201" t="s">
        <v>804</v>
      </c>
      <c r="H73" s="215" t="s">
        <v>812</v>
      </c>
      <c r="I73" s="215" t="s">
        <v>813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771"/>
      <c r="B74" s="772" t="s">
        <v>625</v>
      </c>
      <c r="C74" s="778">
        <v>8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624</v>
      </c>
      <c r="C75" s="238"/>
      <c r="D75" s="212"/>
      <c r="E75" s="480" t="s">
        <v>201</v>
      </c>
      <c r="F75" s="479" t="s">
        <v>670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41297.932858796295</v>
      </c>
      <c r="B76" s="196" t="s">
        <v>669</v>
      </c>
      <c r="C76" s="773" t="str">
        <f>F13&amp;"/"&amp;B14</f>
        <v>LOAD_1C_DOG/InsMyCol</v>
      </c>
      <c r="D76" s="196"/>
      <c r="E76" s="197" t="s">
        <v>201</v>
      </c>
      <c r="F76" s="267" t="s">
        <v>680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41297.932870370372</v>
      </c>
      <c r="B77" s="202" t="s">
        <v>632</v>
      </c>
      <c r="C77" s="463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804</v>
      </c>
      <c r="H77" s="215" t="s">
        <v>671</v>
      </c>
      <c r="I77" s="215" t="s">
        <v>672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625</v>
      </c>
      <c r="C78" s="758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624</v>
      </c>
      <c r="C79" s="238"/>
      <c r="D79" s="212"/>
      <c r="E79" s="480" t="s">
        <v>201</v>
      </c>
      <c r="F79" s="479" t="s">
        <v>1037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42"/>
    </row>
    <row r="80" spans="1:16" s="173" customFormat="1" ht="30.75" thickTop="1" x14ac:dyDescent="0.25">
      <c r="A80" s="195">
        <v>41289.017129629632</v>
      </c>
      <c r="B80" s="196" t="s">
        <v>782</v>
      </c>
      <c r="C80" s="764" t="str">
        <f>F75&amp;"/"&amp;B77</f>
        <v>HANDL_NewContract/WrCSV</v>
      </c>
      <c r="D80" s="196"/>
      <c r="E80" s="197" t="s">
        <v>201</v>
      </c>
      <c r="F80" s="744" t="s">
        <v>1042</v>
      </c>
      <c r="G80" s="463" t="str">
        <f>TOCmatch!B8</f>
        <v>Платежи</v>
      </c>
      <c r="H80" s="759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42"/>
    </row>
    <row r="81" spans="1:16" s="173" customFormat="1" x14ac:dyDescent="0.25">
      <c r="A81" s="195">
        <v>41289.017129629632</v>
      </c>
      <c r="B81" s="202" t="s">
        <v>632</v>
      </c>
      <c r="C81" s="463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804</v>
      </c>
      <c r="H81" s="215" t="s">
        <v>886</v>
      </c>
      <c r="I81" s="215" t="s">
        <v>964</v>
      </c>
      <c r="J81" s="199"/>
      <c r="K81" s="267" t="str">
        <f>F81</f>
        <v>NewOpp</v>
      </c>
      <c r="M81" s="198"/>
      <c r="N81" s="201"/>
      <c r="O81" s="199"/>
      <c r="P81" s="742"/>
    </row>
    <row r="82" spans="1:16" s="187" customFormat="1" x14ac:dyDescent="0.25">
      <c r="A82" s="204"/>
      <c r="B82" s="205" t="s">
        <v>625</v>
      </c>
      <c r="C82" s="758">
        <v>244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43"/>
    </row>
    <row r="83" spans="1:16" s="173" customFormat="1" x14ac:dyDescent="0.25">
      <c r="A83" s="264"/>
      <c r="B83" s="265" t="s">
        <v>624</v>
      </c>
      <c r="C83" s="266"/>
      <c r="D83" s="212"/>
      <c r="E83" s="197" t="s">
        <v>201</v>
      </c>
      <c r="F83" s="213" t="s">
        <v>666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667</v>
      </c>
      <c r="C84" s="235" t="s">
        <v>669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632</v>
      </c>
      <c r="C85" s="239" t="s">
        <v>667</v>
      </c>
      <c r="D85" s="5"/>
      <c r="E85" s="218"/>
      <c r="F85" s="200" t="s">
        <v>668</v>
      </c>
      <c r="G85" s="201" t="s">
        <v>634</v>
      </c>
      <c r="H85" s="215" t="s">
        <v>635</v>
      </c>
      <c r="I85" s="215" t="s">
        <v>636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7"/>
      <c r="B86" s="240" t="s">
        <v>625</v>
      </c>
      <c r="C86" s="707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624</v>
      </c>
      <c r="C87" s="238"/>
      <c r="D87" s="212"/>
      <c r="E87" s="197" t="s">
        <v>201</v>
      </c>
      <c r="F87" s="213" t="s">
        <v>1003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1004</v>
      </c>
      <c r="C88" s="160" t="str">
        <f>F20&amp;"/"&amp;B22</f>
        <v>LOAD_1C_ACC/InsMyCol</v>
      </c>
      <c r="D88" s="5"/>
      <c r="E88" s="218" t="s">
        <v>201</v>
      </c>
      <c r="F88" s="200" t="s">
        <v>1002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625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8" customFormat="1" ht="16.5" thickTop="1" thickBot="1" x14ac:dyDescent="0.3">
      <c r="A90" s="774">
        <v>41201.045671296299</v>
      </c>
      <c r="B90" s="775" t="s">
        <v>624</v>
      </c>
      <c r="C90" s="776"/>
      <c r="D90" s="512"/>
      <c r="E90" s="513" t="s">
        <v>201</v>
      </c>
      <c r="F90" s="514" t="s">
        <v>834</v>
      </c>
      <c r="G90" s="512"/>
      <c r="H90" s="512"/>
      <c r="I90" s="512"/>
      <c r="J90" s="515"/>
      <c r="K90" s="516" t="str">
        <f>K6</f>
        <v>Платежи</v>
      </c>
      <c r="L90" s="517"/>
      <c r="M90" s="512"/>
      <c r="N90" s="517"/>
      <c r="O90" s="515"/>
    </row>
    <row r="91" spans="1:16" s="173" customFormat="1" ht="16.5" thickTop="1" thickBot="1" x14ac:dyDescent="0.3">
      <c r="A91" s="264">
        <v>41289.96565972222</v>
      </c>
      <c r="B91" s="460" t="s">
        <v>837</v>
      </c>
      <c r="C91" s="461"/>
      <c r="D91" s="196"/>
      <c r="E91" s="452" t="s">
        <v>70</v>
      </c>
      <c r="F91" s="200" t="str">
        <f>F75</f>
        <v>HANDL_NewContract</v>
      </c>
      <c r="G91" s="692" t="str">
        <f>F90</f>
        <v>WP_PaidOpp</v>
      </c>
      <c r="H91" s="692" t="str">
        <f>B97</f>
        <v>WP_Paid</v>
      </c>
      <c r="I91" s="693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836</v>
      </c>
      <c r="C92" s="579" t="str">
        <f>B91</f>
        <v>ProcReset</v>
      </c>
      <c r="D92" s="196"/>
      <c r="E92" s="197" t="s">
        <v>70</v>
      </c>
      <c r="F92" s="519">
        <f>C78</f>
        <v>0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60" t="s">
        <v>837</v>
      </c>
      <c r="C93" s="461"/>
      <c r="D93" s="196"/>
      <c r="E93" s="452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836</v>
      </c>
      <c r="C94" s="463" t="str">
        <f>B92</f>
        <v>CheckProc0</v>
      </c>
      <c r="D94" s="196"/>
      <c r="E94" s="197" t="s">
        <v>201</v>
      </c>
      <c r="F94" s="706">
        <f>C74</f>
        <v>8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679</v>
      </c>
      <c r="C95" s="238"/>
      <c r="D95" s="212"/>
      <c r="E95" s="197" t="s">
        <v>201</v>
      </c>
      <c r="F95" s="267" t="s">
        <v>817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679</v>
      </c>
      <c r="C96" s="238"/>
      <c r="D96" s="212"/>
      <c r="E96" s="197" t="s">
        <v>201</v>
      </c>
      <c r="F96" s="267" t="s">
        <v>806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73"/>
      <c r="B97" s="674" t="s">
        <v>982</v>
      </c>
      <c r="C97" s="675" t="str">
        <f>B92</f>
        <v>CheckProc0</v>
      </c>
      <c r="D97" s="674"/>
      <c r="E97" s="676" t="s">
        <v>201</v>
      </c>
      <c r="F97" s="677" t="s">
        <v>835</v>
      </c>
      <c r="G97" s="691" t="s">
        <v>201</v>
      </c>
      <c r="H97" s="679"/>
      <c r="I97" s="679"/>
      <c r="J97" s="680"/>
      <c r="K97" s="681" t="str">
        <f>K90</f>
        <v>Платежи</v>
      </c>
      <c r="L97" s="682" t="str">
        <f>TOCmatch!B17</f>
        <v>SFacc</v>
      </c>
      <c r="M97" s="682" t="str">
        <f>TOCmatch!B16</f>
        <v>SFopp</v>
      </c>
      <c r="N97" s="682" t="str">
        <f>TOCmatch!B15</f>
        <v>SFD</v>
      </c>
      <c r="O97" s="680"/>
    </row>
    <row r="98" spans="1:15" s="173" customFormat="1" ht="15.75" thickTop="1" x14ac:dyDescent="0.25">
      <c r="A98" s="195"/>
      <c r="B98" s="202" t="s">
        <v>632</v>
      </c>
      <c r="C98" s="463" t="str">
        <f>B97</f>
        <v>WP_Paid</v>
      </c>
      <c r="D98" s="196"/>
      <c r="E98" s="197" t="s">
        <v>201</v>
      </c>
      <c r="F98" s="267" t="s">
        <v>817</v>
      </c>
      <c r="G98" s="201" t="s">
        <v>804</v>
      </c>
      <c r="H98" s="215" t="s">
        <v>886</v>
      </c>
      <c r="I98" s="215" t="s">
        <v>964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632</v>
      </c>
      <c r="C99" s="463" t="str">
        <f>B97</f>
        <v>WP_Paid</v>
      </c>
      <c r="D99" s="196"/>
      <c r="E99" s="197" t="s">
        <v>201</v>
      </c>
      <c r="F99" s="267" t="s">
        <v>806</v>
      </c>
      <c r="G99" s="201" t="s">
        <v>804</v>
      </c>
      <c r="H99" s="215" t="s">
        <v>812</v>
      </c>
      <c r="I99" s="215" t="s">
        <v>813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5"/>
      <c r="B100" s="202" t="s">
        <v>625</v>
      </c>
      <c r="C100" s="726">
        <v>0</v>
      </c>
      <c r="D100" s="202"/>
      <c r="E100" s="203" t="s">
        <v>201</v>
      </c>
      <c r="F100" s="511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6" customFormat="1" ht="15.75" thickBot="1" x14ac:dyDescent="0.3">
      <c r="A101" s="723">
        <v>41201.045671296299</v>
      </c>
      <c r="B101" s="228" t="s">
        <v>624</v>
      </c>
      <c r="C101" s="724"/>
      <c r="D101" s="303"/>
      <c r="E101" s="683" t="s">
        <v>201</v>
      </c>
      <c r="F101" s="684" t="s">
        <v>977</v>
      </c>
      <c r="G101" s="303"/>
      <c r="H101" s="303"/>
      <c r="I101" s="303"/>
      <c r="J101" s="306"/>
      <c r="K101" s="685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679</v>
      </c>
      <c r="C102" s="266"/>
      <c r="D102" s="212"/>
      <c r="E102" s="197"/>
      <c r="F102" s="267" t="s">
        <v>932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980</v>
      </c>
      <c r="C103" s="463" t="str">
        <f>B102</f>
        <v>NewSheet</v>
      </c>
      <c r="D103" s="212"/>
      <c r="E103" s="197"/>
      <c r="F103" s="689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630</v>
      </c>
      <c r="C104" s="236"/>
      <c r="D104" s="196"/>
      <c r="E104" s="197" t="s">
        <v>201</v>
      </c>
      <c r="F104" s="214" t="s">
        <v>590</v>
      </c>
      <c r="G104" s="221" t="s">
        <v>985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73">
        <v>41218.824293981481</v>
      </c>
      <c r="B105" s="674" t="s">
        <v>982</v>
      </c>
      <c r="C105" s="675" t="str">
        <f>B103</f>
        <v>SFaccDicBuild</v>
      </c>
      <c r="D105" s="674"/>
      <c r="E105" s="676" t="s">
        <v>201</v>
      </c>
      <c r="F105" s="677" t="s">
        <v>978</v>
      </c>
      <c r="G105" s="678"/>
      <c r="H105" s="679"/>
      <c r="I105" s="679"/>
      <c r="J105" s="680"/>
      <c r="K105" s="681" t="str">
        <f>K101</f>
        <v>Платежи</v>
      </c>
      <c r="L105" s="682">
        <f>TOCmatch!B27</f>
        <v>0</v>
      </c>
      <c r="M105" s="682">
        <f>TOCmatch!B26</f>
        <v>0</v>
      </c>
      <c r="N105" s="682">
        <f>TOCmatch!B25</f>
        <v>0</v>
      </c>
      <c r="O105" s="680"/>
    </row>
    <row r="106" spans="1:15" s="173" customFormat="1" ht="15.75" thickTop="1" x14ac:dyDescent="0.25">
      <c r="A106" s="195">
        <v>41218.824293981481</v>
      </c>
      <c r="B106" s="202" t="s">
        <v>632</v>
      </c>
      <c r="C106" s="463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804</v>
      </c>
      <c r="H106" s="215" t="s">
        <v>886</v>
      </c>
      <c r="I106" s="215" t="s">
        <v>964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625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624</v>
      </c>
      <c r="C108" s="238"/>
      <c r="D108" s="212"/>
      <c r="E108" s="197" t="s">
        <v>201</v>
      </c>
      <c r="F108" s="213" t="s">
        <v>648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630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637</v>
      </c>
      <c r="C110" s="235" t="s">
        <v>665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625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601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600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600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601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607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630</v>
      </c>
      <c r="C116" s="236"/>
      <c r="D116" s="196"/>
      <c r="E116" s="197" t="s">
        <v>201</v>
      </c>
      <c r="F116" s="214" t="s">
        <v>590</v>
      </c>
      <c r="G116" s="221" t="s">
        <v>985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653</v>
      </c>
      <c r="C118" s="235" t="s">
        <v>652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606</v>
      </c>
      <c r="C121" s="235" t="s">
        <v>604</v>
      </c>
      <c r="D121" s="196"/>
      <c r="E121" s="197" t="s">
        <v>201</v>
      </c>
      <c r="F121" s="427" t="s">
        <v>780</v>
      </c>
      <c r="G121" s="428" t="s">
        <v>781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860</v>
      </c>
      <c r="C124" s="661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810</v>
      </c>
      <c r="J124" s="550"/>
      <c r="K124" s="552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46" workbookViewId="0">
      <selection activeCell="B52" sqref="B5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66" t="s">
        <v>1079</v>
      </c>
      <c r="B3" s="25" t="s">
        <v>84</v>
      </c>
      <c r="C3" s="21" t="s">
        <v>11</v>
      </c>
    </row>
    <row r="4" spans="1:7" x14ac:dyDescent="0.25">
      <c r="A4" s="766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1028</v>
      </c>
      <c r="B16" s="69" t="s">
        <v>1027</v>
      </c>
      <c r="C16" s="732" t="s">
        <v>1029</v>
      </c>
      <c r="D16" s="27" t="s">
        <v>1030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1032</v>
      </c>
      <c r="B27" s="69" t="s">
        <v>1031</v>
      </c>
      <c r="C27" s="732" t="s">
        <v>1029</v>
      </c>
      <c r="D27" s="27" t="s">
        <v>1030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794" t="s">
        <v>354</v>
      </c>
      <c r="I41" s="795"/>
      <c r="J41" s="795"/>
      <c r="K41" s="788"/>
      <c r="L41" s="27"/>
    </row>
    <row r="42" spans="1:17" ht="15.75" x14ac:dyDescent="0.25">
      <c r="A42" s="27" t="s">
        <v>1043</v>
      </c>
      <c r="H42" s="735"/>
      <c r="I42" s="736"/>
      <c r="J42" s="736"/>
      <c r="K42" s="734"/>
      <c r="L42" s="27"/>
      <c r="M42" s="796" t="s">
        <v>354</v>
      </c>
      <c r="N42" s="797"/>
      <c r="O42" s="797"/>
      <c r="P42" s="797"/>
      <c r="Q42" s="798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956</v>
      </c>
      <c r="K43" s="654" t="s">
        <v>955</v>
      </c>
      <c r="M43" s="749" t="s">
        <v>1047</v>
      </c>
      <c r="N43" s="747" t="s">
        <v>350</v>
      </c>
      <c r="O43" s="747" t="s">
        <v>1046</v>
      </c>
      <c r="P43" s="747" t="s">
        <v>956</v>
      </c>
      <c r="Q43" s="748" t="s">
        <v>955</v>
      </c>
    </row>
    <row r="44" spans="1:17" ht="15.75" x14ac:dyDescent="0.3">
      <c r="A44" s="27" t="s">
        <v>137</v>
      </c>
      <c r="B44" s="71" t="s">
        <v>1013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1045</v>
      </c>
      <c r="N44" s="27" t="s">
        <v>349</v>
      </c>
      <c r="O44" s="27" t="s">
        <v>1046</v>
      </c>
      <c r="P44" s="27" t="s">
        <v>1070</v>
      </c>
    </row>
    <row r="45" spans="1:17" ht="45" x14ac:dyDescent="0.3">
      <c r="A45" s="27" t="s">
        <v>106</v>
      </c>
      <c r="B45" s="71" t="s">
        <v>1012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61" t="s">
        <v>1053</v>
      </c>
      <c r="N45" s="761" t="s">
        <v>1068</v>
      </c>
      <c r="O45" s="761"/>
      <c r="P45" s="761" t="s">
        <v>1069</v>
      </c>
    </row>
    <row r="46" spans="1:17" ht="15.75" x14ac:dyDescent="0.3">
      <c r="A46" s="27" t="s">
        <v>18</v>
      </c>
      <c r="B46" s="71" t="s">
        <v>1021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62"/>
      <c r="N46" s="761" t="s">
        <v>1057</v>
      </c>
      <c r="O46" s="762"/>
      <c r="P46" s="762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62"/>
      <c r="N47" s="762"/>
      <c r="O47" s="762"/>
      <c r="P47" s="761" t="s">
        <v>1067</v>
      </c>
    </row>
    <row r="48" spans="1:17" ht="15.75" x14ac:dyDescent="0.3">
      <c r="A48" s="27" t="s">
        <v>144</v>
      </c>
      <c r="B48" s="71" t="s">
        <v>1034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1024</v>
      </c>
      <c r="H48" s="27" t="s">
        <v>350</v>
      </c>
      <c r="I48" s="27" t="s">
        <v>351</v>
      </c>
      <c r="J48" s="27"/>
      <c r="M48" s="762" t="str">
        <f>N46</f>
        <v>$.*</v>
      </c>
      <c r="N48" s="762"/>
      <c r="O48" s="762"/>
      <c r="P48" s="762"/>
    </row>
    <row r="49" spans="1:17" ht="15.75" x14ac:dyDescent="0.3">
      <c r="A49" s="27" t="s">
        <v>224</v>
      </c>
      <c r="B49" s="71" t="s">
        <v>1073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958</v>
      </c>
      <c r="M49" s="762"/>
      <c r="N49" s="762"/>
      <c r="O49" s="762"/>
      <c r="P49" s="761" t="str">
        <f>N46</f>
        <v>$.*</v>
      </c>
    </row>
    <row r="50" spans="1:17" x14ac:dyDescent="0.25">
      <c r="A50" s="27" t="s">
        <v>198</v>
      </c>
      <c r="B50" s="71" t="s">
        <v>1025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1024</v>
      </c>
      <c r="H50" s="27" t="s">
        <v>350</v>
      </c>
      <c r="I50" s="27" t="s">
        <v>351</v>
      </c>
      <c r="J50" s="27"/>
      <c r="M50" s="762" t="str">
        <f>N46</f>
        <v>$.*</v>
      </c>
      <c r="N50" s="762"/>
      <c r="O50" s="762"/>
      <c r="P50" s="762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1024</v>
      </c>
      <c r="H51" s="27" t="s">
        <v>350</v>
      </c>
      <c r="I51" s="27" t="s">
        <v>351</v>
      </c>
      <c r="J51" s="27"/>
      <c r="M51" s="762" t="str">
        <f>M50</f>
        <v>$.*</v>
      </c>
      <c r="N51" s="762"/>
      <c r="O51" s="762"/>
      <c r="P51" s="762"/>
    </row>
    <row r="52" spans="1:17" ht="180" x14ac:dyDescent="0.3">
      <c r="A52" s="27" t="s">
        <v>225</v>
      </c>
      <c r="B52" s="733" t="s">
        <v>1341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959</v>
      </c>
      <c r="M52" s="761" t="s">
        <v>1048</v>
      </c>
      <c r="N52" s="762"/>
      <c r="O52" s="762"/>
      <c r="P52" s="761" t="s">
        <v>1051</v>
      </c>
    </row>
    <row r="53" spans="1:17" ht="15.75" x14ac:dyDescent="0.3">
      <c r="A53" s="27" t="s">
        <v>956</v>
      </c>
      <c r="B53" s="71" t="s">
        <v>1074</v>
      </c>
      <c r="C53" s="50" t="s">
        <v>1019</v>
      </c>
      <c r="D53" s="49"/>
      <c r="E53" s="48"/>
      <c r="F53" s="44"/>
      <c r="G53" s="56"/>
      <c r="H53" s="27"/>
      <c r="I53" s="27"/>
      <c r="J53" s="27"/>
      <c r="K53" s="27" t="s">
        <v>958</v>
      </c>
      <c r="M53" s="762"/>
      <c r="N53" s="762"/>
      <c r="O53" s="762"/>
      <c r="P53" s="762" t="str">
        <f>P49</f>
        <v>$.*</v>
      </c>
    </row>
    <row r="54" spans="1:17" ht="15.75" x14ac:dyDescent="0.3">
      <c r="A54" s="27" t="s">
        <v>203</v>
      </c>
      <c r="B54" s="71" t="s">
        <v>1064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63" t="str">
        <f>N46</f>
        <v>$.*</v>
      </c>
      <c r="N54" s="761" t="s">
        <v>712</v>
      </c>
      <c r="O54" s="762"/>
      <c r="P54" s="762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1024</v>
      </c>
      <c r="H55" s="27" t="s">
        <v>350</v>
      </c>
      <c r="I55" s="27" t="s">
        <v>351</v>
      </c>
      <c r="J55" s="27"/>
      <c r="M55" s="762" t="str">
        <f>M54</f>
        <v>$.*</v>
      </c>
      <c r="N55" s="762"/>
      <c r="O55" s="762"/>
      <c r="P55" s="762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1024</v>
      </c>
      <c r="H56" s="27" t="s">
        <v>350</v>
      </c>
      <c r="I56" s="27" t="s">
        <v>351</v>
      </c>
      <c r="J56" s="27"/>
      <c r="M56" s="761" t="s">
        <v>1072</v>
      </c>
      <c r="N56" s="761" t="s">
        <v>1071</v>
      </c>
      <c r="O56" s="762"/>
      <c r="P56" s="762"/>
    </row>
    <row r="57" spans="1:17" x14ac:dyDescent="0.25">
      <c r="A57" s="55" t="s">
        <v>247</v>
      </c>
      <c r="B57" s="71" t="s">
        <v>1020</v>
      </c>
      <c r="C57" s="50"/>
      <c r="D57" s="28"/>
      <c r="E57" s="48"/>
      <c r="F57" s="44"/>
      <c r="M57" s="761" t="s">
        <v>1060</v>
      </c>
      <c r="N57" s="761" t="s">
        <v>1060</v>
      </c>
      <c r="O57" s="762"/>
      <c r="P57" s="761" t="s">
        <v>1060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62"/>
      <c r="N58" s="762"/>
      <c r="O58" s="762"/>
      <c r="P58" s="762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62"/>
      <c r="N59" s="762"/>
      <c r="O59" s="762"/>
      <c r="P59" s="762"/>
    </row>
    <row r="60" spans="1:17" x14ac:dyDescent="0.25">
      <c r="C60" s="50"/>
      <c r="D60" s="50" t="s">
        <v>1016</v>
      </c>
      <c r="E60" s="48"/>
      <c r="F60" s="44"/>
      <c r="M60" s="762"/>
      <c r="N60" s="762"/>
      <c r="O60" s="762"/>
      <c r="P60" s="762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62"/>
      <c r="N61" s="762"/>
      <c r="O61" s="762"/>
      <c r="P61" s="762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62"/>
      <c r="N62" s="762"/>
      <c r="O62" s="762"/>
      <c r="P62" s="762"/>
    </row>
    <row r="63" spans="1:17" x14ac:dyDescent="0.25">
      <c r="A63" s="27" t="s">
        <v>960</v>
      </c>
      <c r="C63" s="28"/>
      <c r="D63" s="50"/>
      <c r="F63" s="44"/>
      <c r="Q63" s="27" t="s">
        <v>1059</v>
      </c>
    </row>
    <row r="64" spans="1:17" x14ac:dyDescent="0.25">
      <c r="A64" s="27" t="s">
        <v>958</v>
      </c>
      <c r="B64" s="68" t="s">
        <v>961</v>
      </c>
      <c r="C64" s="28"/>
      <c r="D64" s="50"/>
      <c r="F64" s="44"/>
      <c r="Q64" s="752" t="s">
        <v>351</v>
      </c>
    </row>
    <row r="65" spans="1:17" x14ac:dyDescent="0.25">
      <c r="A65" s="27" t="s">
        <v>350</v>
      </c>
      <c r="B65" s="68" t="s">
        <v>962</v>
      </c>
      <c r="C65" s="28"/>
      <c r="D65" s="50"/>
      <c r="F65" s="44"/>
      <c r="Q65" s="752" t="s">
        <v>350</v>
      </c>
    </row>
    <row r="66" spans="1:17" x14ac:dyDescent="0.25">
      <c r="A66" s="27"/>
      <c r="B66" s="68"/>
      <c r="C66" s="28"/>
      <c r="D66" s="50"/>
      <c r="F66" s="44"/>
      <c r="Q66" s="752" t="s">
        <v>956</v>
      </c>
    </row>
    <row r="67" spans="1:17" x14ac:dyDescent="0.25">
      <c r="A67" s="27"/>
      <c r="B67" s="28"/>
      <c r="C67" s="28"/>
      <c r="D67" s="50"/>
      <c r="F67" s="44"/>
      <c r="Q67" s="752" t="s">
        <v>203</v>
      </c>
    </row>
    <row r="68" spans="1:17" x14ac:dyDescent="0.25">
      <c r="A68" s="27"/>
      <c r="B68" s="28"/>
      <c r="C68" s="28"/>
      <c r="D68" s="50"/>
      <c r="F68" s="44"/>
      <c r="Q68" s="752" t="s">
        <v>959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40"/>
  <sheetViews>
    <sheetView topLeftCell="A259"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41290</v>
      </c>
      <c r="C1" s="58" t="s">
        <v>215</v>
      </c>
      <c r="D1" s="40">
        <v>640</v>
      </c>
    </row>
    <row r="2" spans="1:4" x14ac:dyDescent="0.25">
      <c r="A2" s="36">
        <v>41290</v>
      </c>
      <c r="B2" s="122">
        <v>2.5347222222222221E-3</v>
      </c>
      <c r="C2" s="26" t="s">
        <v>1026</v>
      </c>
    </row>
    <row r="3" spans="1:4" x14ac:dyDescent="0.25">
      <c r="A3" s="36">
        <v>41290</v>
      </c>
      <c r="B3" s="122">
        <v>9.0046296296296298E-3</v>
      </c>
      <c r="C3" s="26" t="s">
        <v>1075</v>
      </c>
    </row>
    <row r="4" spans="1:4" ht="45" x14ac:dyDescent="0.25">
      <c r="A4" s="36">
        <v>41290</v>
      </c>
      <c r="B4" s="122">
        <v>9.4444444444444445E-3</v>
      </c>
      <c r="C4" s="765" t="s">
        <v>1076</v>
      </c>
    </row>
    <row r="5" spans="1:4" x14ac:dyDescent="0.25">
      <c r="A5" s="36">
        <v>41290</v>
      </c>
      <c r="B5" s="122">
        <v>1.2280092592592592E-2</v>
      </c>
      <c r="C5" s="26" t="s">
        <v>1075</v>
      </c>
    </row>
    <row r="6" spans="1:4" x14ac:dyDescent="0.25">
      <c r="A6" s="36">
        <v>41290</v>
      </c>
      <c r="B6" s="122">
        <v>2.074074074074074E-2</v>
      </c>
      <c r="C6" s="26" t="s">
        <v>1075</v>
      </c>
    </row>
    <row r="7" spans="1:4" x14ac:dyDescent="0.25">
      <c r="A7" s="36">
        <v>41290</v>
      </c>
      <c r="B7" s="122">
        <v>2.6273148148148153E-2</v>
      </c>
      <c r="C7" s="26" t="s">
        <v>1075</v>
      </c>
    </row>
    <row r="8" spans="1:4" x14ac:dyDescent="0.25">
      <c r="A8" s="36">
        <v>41290</v>
      </c>
      <c r="B8" s="122">
        <v>2.8229166666666666E-2</v>
      </c>
      <c r="C8" s="26" t="s">
        <v>1075</v>
      </c>
    </row>
    <row r="9" spans="1:4" ht="45" x14ac:dyDescent="0.25">
      <c r="A9" s="36">
        <v>41290</v>
      </c>
      <c r="B9" s="122">
        <v>2.8877314814814817E-2</v>
      </c>
      <c r="C9" s="765" t="s">
        <v>1077</v>
      </c>
    </row>
    <row r="10" spans="1:4" x14ac:dyDescent="0.25">
      <c r="A10" s="36">
        <v>41290</v>
      </c>
      <c r="B10" s="122">
        <v>4.116898148148148E-2</v>
      </c>
      <c r="C10" s="26" t="s">
        <v>1078</v>
      </c>
    </row>
    <row r="11" spans="1:4" x14ac:dyDescent="0.25">
      <c r="A11" s="36">
        <v>41290</v>
      </c>
      <c r="B11" s="122">
        <v>5.0486111111111114E-2</v>
      </c>
      <c r="C11" s="26" t="s">
        <v>1080</v>
      </c>
    </row>
    <row r="12" spans="1:4" x14ac:dyDescent="0.25">
      <c r="A12" s="36">
        <v>41290</v>
      </c>
      <c r="B12" s="122">
        <v>5.0486111111111114E-2</v>
      </c>
      <c r="C12" s="26" t="s">
        <v>1081</v>
      </c>
    </row>
    <row r="13" spans="1:4" x14ac:dyDescent="0.25">
      <c r="A13" s="36">
        <v>41290</v>
      </c>
      <c r="B13" s="122">
        <v>5.0486111111111114E-2</v>
      </c>
      <c r="C13" s="26" t="s">
        <v>1082</v>
      </c>
    </row>
    <row r="14" spans="1:4" x14ac:dyDescent="0.25">
      <c r="A14" s="36">
        <v>41290</v>
      </c>
      <c r="B14" s="122">
        <v>5.0486111111111114E-2</v>
      </c>
      <c r="C14" s="26" t="s">
        <v>1083</v>
      </c>
    </row>
    <row r="15" spans="1:4" x14ac:dyDescent="0.25">
      <c r="A15" s="36">
        <v>41290</v>
      </c>
      <c r="B15" s="122">
        <v>5.0486111111111114E-2</v>
      </c>
      <c r="C15" s="26" t="s">
        <v>1084</v>
      </c>
    </row>
    <row r="16" spans="1:4" x14ac:dyDescent="0.25">
      <c r="A16" s="36">
        <v>41290</v>
      </c>
      <c r="B16" s="122">
        <v>5.0486111111111114E-2</v>
      </c>
      <c r="C16" s="26" t="s">
        <v>1085</v>
      </c>
    </row>
    <row r="17" spans="1:3" x14ac:dyDescent="0.25">
      <c r="A17" s="36">
        <v>41290</v>
      </c>
      <c r="B17" s="122">
        <v>5.0486111111111114E-2</v>
      </c>
      <c r="C17" s="26" t="s">
        <v>1086</v>
      </c>
    </row>
    <row r="18" spans="1:3" x14ac:dyDescent="0.25">
      <c r="A18" s="36">
        <v>41290</v>
      </c>
      <c r="B18" s="122">
        <v>5.0486111111111114E-2</v>
      </c>
      <c r="C18" s="26" t="s">
        <v>1087</v>
      </c>
    </row>
    <row r="19" spans="1:3" x14ac:dyDescent="0.25">
      <c r="A19" s="36">
        <v>41290</v>
      </c>
      <c r="B19" s="122">
        <v>5.0486111111111114E-2</v>
      </c>
      <c r="C19" s="26" t="s">
        <v>1088</v>
      </c>
    </row>
    <row r="20" spans="1:3" x14ac:dyDescent="0.25">
      <c r="A20" s="36">
        <v>41290</v>
      </c>
      <c r="B20" s="122">
        <v>5.0486111111111114E-2</v>
      </c>
      <c r="C20" s="26" t="s">
        <v>1089</v>
      </c>
    </row>
    <row r="21" spans="1:3" x14ac:dyDescent="0.25">
      <c r="A21" s="36">
        <v>41290</v>
      </c>
      <c r="B21" s="122">
        <v>5.0486111111111114E-2</v>
      </c>
      <c r="C21" s="26" t="s">
        <v>1090</v>
      </c>
    </row>
    <row r="22" spans="1:3" x14ac:dyDescent="0.25">
      <c r="A22" s="36">
        <v>41290</v>
      </c>
      <c r="B22" s="122">
        <v>5.0486111111111114E-2</v>
      </c>
      <c r="C22" s="26" t="s">
        <v>1091</v>
      </c>
    </row>
    <row r="23" spans="1:3" x14ac:dyDescent="0.25">
      <c r="A23" s="36">
        <v>41290</v>
      </c>
      <c r="B23" s="122">
        <v>5.0486111111111114E-2</v>
      </c>
      <c r="C23" s="26" t="s">
        <v>1092</v>
      </c>
    </row>
    <row r="24" spans="1:3" x14ac:dyDescent="0.25">
      <c r="A24" s="36">
        <v>41290</v>
      </c>
      <c r="B24" s="122">
        <v>5.0486111111111114E-2</v>
      </c>
      <c r="C24" s="26" t="s">
        <v>1093</v>
      </c>
    </row>
    <row r="25" spans="1:3" x14ac:dyDescent="0.25">
      <c r="A25" s="36">
        <v>41290</v>
      </c>
      <c r="B25" s="122">
        <v>5.0486111111111114E-2</v>
      </c>
      <c r="C25" s="26" t="s">
        <v>1094</v>
      </c>
    </row>
    <row r="26" spans="1:3" x14ac:dyDescent="0.25">
      <c r="A26" s="36">
        <v>41290</v>
      </c>
      <c r="B26" s="122">
        <v>5.0486111111111114E-2</v>
      </c>
      <c r="C26" s="26" t="s">
        <v>1095</v>
      </c>
    </row>
    <row r="27" spans="1:3" x14ac:dyDescent="0.25">
      <c r="A27" s="36">
        <v>41290</v>
      </c>
      <c r="B27" s="122">
        <v>5.0486111111111114E-2</v>
      </c>
      <c r="C27" s="26" t="s">
        <v>1096</v>
      </c>
    </row>
    <row r="28" spans="1:3" x14ac:dyDescent="0.25">
      <c r="A28" s="36">
        <v>41290</v>
      </c>
      <c r="B28" s="122">
        <v>5.0486111111111114E-2</v>
      </c>
      <c r="C28" s="26" t="s">
        <v>1097</v>
      </c>
    </row>
    <row r="29" spans="1:3" x14ac:dyDescent="0.25">
      <c r="A29" s="36">
        <v>41290</v>
      </c>
      <c r="B29" s="122">
        <v>5.0486111111111114E-2</v>
      </c>
      <c r="C29" s="26" t="s">
        <v>1098</v>
      </c>
    </row>
    <row r="30" spans="1:3" x14ac:dyDescent="0.25">
      <c r="A30" s="36">
        <v>41290</v>
      </c>
      <c r="B30" s="122">
        <v>5.0486111111111114E-2</v>
      </c>
      <c r="C30" s="26" t="s">
        <v>1099</v>
      </c>
    </row>
    <row r="31" spans="1:3" x14ac:dyDescent="0.25">
      <c r="A31" s="36">
        <v>41290</v>
      </c>
      <c r="B31" s="122">
        <v>5.0486111111111114E-2</v>
      </c>
      <c r="C31" s="26" t="s">
        <v>1100</v>
      </c>
    </row>
    <row r="32" spans="1:3" x14ac:dyDescent="0.25">
      <c r="A32" s="36">
        <v>41290</v>
      </c>
      <c r="B32" s="122">
        <v>5.0486111111111114E-2</v>
      </c>
      <c r="C32" s="26" t="s">
        <v>1101</v>
      </c>
    </row>
    <row r="33" spans="1:3" x14ac:dyDescent="0.25">
      <c r="A33" s="36">
        <v>41290</v>
      </c>
      <c r="B33" s="122">
        <v>5.0486111111111114E-2</v>
      </c>
      <c r="C33" s="26" t="s">
        <v>1102</v>
      </c>
    </row>
    <row r="34" spans="1:3" x14ac:dyDescent="0.25">
      <c r="A34" s="36">
        <v>41290</v>
      </c>
      <c r="B34" s="122">
        <v>5.0486111111111114E-2</v>
      </c>
      <c r="C34" s="26" t="s">
        <v>1102</v>
      </c>
    </row>
    <row r="35" spans="1:3" x14ac:dyDescent="0.25">
      <c r="A35" s="36">
        <v>41290</v>
      </c>
      <c r="B35" s="122">
        <v>5.0486111111111114E-2</v>
      </c>
      <c r="C35" s="26" t="s">
        <v>1103</v>
      </c>
    </row>
    <row r="36" spans="1:3" x14ac:dyDescent="0.25">
      <c r="A36" s="36">
        <v>41290</v>
      </c>
      <c r="B36" s="122">
        <v>5.0486111111111114E-2</v>
      </c>
      <c r="C36" s="26" t="s">
        <v>1090</v>
      </c>
    </row>
    <row r="37" spans="1:3" x14ac:dyDescent="0.25">
      <c r="A37" s="36">
        <v>41290</v>
      </c>
      <c r="B37" s="122">
        <v>5.0486111111111114E-2</v>
      </c>
      <c r="C37" s="26" t="s">
        <v>1104</v>
      </c>
    </row>
    <row r="38" spans="1:3" x14ac:dyDescent="0.25">
      <c r="A38" s="36">
        <v>41290</v>
      </c>
      <c r="B38" s="122">
        <v>5.0486111111111114E-2</v>
      </c>
      <c r="C38" s="26" t="s">
        <v>1105</v>
      </c>
    </row>
    <row r="39" spans="1:3" x14ac:dyDescent="0.25">
      <c r="A39" s="36">
        <v>41290</v>
      </c>
      <c r="B39" s="122">
        <v>5.0486111111111114E-2</v>
      </c>
      <c r="C39" s="26" t="s">
        <v>1106</v>
      </c>
    </row>
    <row r="40" spans="1:3" x14ac:dyDescent="0.25">
      <c r="A40" s="36">
        <v>41290</v>
      </c>
      <c r="B40" s="122">
        <v>5.0486111111111114E-2</v>
      </c>
      <c r="C40" s="26" t="s">
        <v>1107</v>
      </c>
    </row>
    <row r="41" spans="1:3" x14ac:dyDescent="0.25">
      <c r="A41" s="36">
        <v>41290</v>
      </c>
      <c r="B41" s="122">
        <v>5.0486111111111114E-2</v>
      </c>
      <c r="C41" s="26" t="s">
        <v>1108</v>
      </c>
    </row>
    <row r="42" spans="1:3" x14ac:dyDescent="0.25">
      <c r="A42" s="36">
        <v>41290</v>
      </c>
      <c r="B42" s="122">
        <v>5.0486111111111114E-2</v>
      </c>
      <c r="C42" s="26" t="s">
        <v>1109</v>
      </c>
    </row>
    <row r="43" spans="1:3" x14ac:dyDescent="0.25">
      <c r="A43" s="36">
        <v>41290</v>
      </c>
      <c r="B43" s="122">
        <v>5.0486111111111114E-2</v>
      </c>
      <c r="C43" s="26" t="s">
        <v>1110</v>
      </c>
    </row>
    <row r="44" spans="1:3" x14ac:dyDescent="0.25">
      <c r="A44" s="36">
        <v>41290</v>
      </c>
      <c r="B44" s="122">
        <v>5.0486111111111114E-2</v>
      </c>
      <c r="C44" s="26" t="s">
        <v>1111</v>
      </c>
    </row>
    <row r="45" spans="1:3" x14ac:dyDescent="0.25">
      <c r="A45" s="36">
        <v>41290</v>
      </c>
      <c r="B45" s="122">
        <v>5.0486111111111114E-2</v>
      </c>
      <c r="C45" s="26" t="s">
        <v>1112</v>
      </c>
    </row>
    <row r="46" spans="1:3" x14ac:dyDescent="0.25">
      <c r="A46" s="36">
        <v>41290</v>
      </c>
      <c r="B46" s="122">
        <v>5.0486111111111114E-2</v>
      </c>
      <c r="C46" s="26" t="s">
        <v>1113</v>
      </c>
    </row>
    <row r="47" spans="1:3" x14ac:dyDescent="0.25">
      <c r="A47" s="36">
        <v>41290</v>
      </c>
      <c r="B47" s="122">
        <v>5.0486111111111114E-2</v>
      </c>
      <c r="C47" s="26" t="s">
        <v>1114</v>
      </c>
    </row>
    <row r="48" spans="1:3" x14ac:dyDescent="0.25">
      <c r="A48" s="36">
        <v>41290</v>
      </c>
      <c r="B48" s="122">
        <v>5.0486111111111114E-2</v>
      </c>
      <c r="C48" s="26" t="s">
        <v>1115</v>
      </c>
    </row>
    <row r="49" spans="1:3" x14ac:dyDescent="0.25">
      <c r="A49" s="36">
        <v>41290</v>
      </c>
      <c r="B49" s="122">
        <v>5.0486111111111114E-2</v>
      </c>
      <c r="C49" s="26" t="s">
        <v>1115</v>
      </c>
    </row>
    <row r="50" spans="1:3" x14ac:dyDescent="0.25">
      <c r="A50" s="36">
        <v>41290</v>
      </c>
      <c r="B50" s="122">
        <v>5.0486111111111114E-2</v>
      </c>
      <c r="C50" s="26" t="s">
        <v>1116</v>
      </c>
    </row>
    <row r="51" spans="1:3" x14ac:dyDescent="0.25">
      <c r="A51" s="36">
        <v>41290</v>
      </c>
      <c r="B51" s="122">
        <v>5.0486111111111114E-2</v>
      </c>
      <c r="C51" s="26" t="s">
        <v>1117</v>
      </c>
    </row>
    <row r="52" spans="1:3" x14ac:dyDescent="0.25">
      <c r="A52" s="36">
        <v>41290</v>
      </c>
      <c r="B52" s="122">
        <v>5.0486111111111114E-2</v>
      </c>
      <c r="C52" s="26" t="s">
        <v>1118</v>
      </c>
    </row>
    <row r="53" spans="1:3" x14ac:dyDescent="0.25">
      <c r="A53" s="36">
        <v>41290</v>
      </c>
      <c r="B53" s="122">
        <v>5.0486111111111114E-2</v>
      </c>
      <c r="C53" s="26" t="s">
        <v>1119</v>
      </c>
    </row>
    <row r="54" spans="1:3" x14ac:dyDescent="0.25">
      <c r="A54" s="36">
        <v>41290</v>
      </c>
      <c r="B54" s="122">
        <v>5.0486111111111114E-2</v>
      </c>
      <c r="C54" s="26" t="s">
        <v>1120</v>
      </c>
    </row>
    <row r="55" spans="1:3" x14ac:dyDescent="0.25">
      <c r="A55" s="36">
        <v>41290</v>
      </c>
      <c r="B55" s="122">
        <v>5.0486111111111114E-2</v>
      </c>
      <c r="C55" s="26" t="s">
        <v>1085</v>
      </c>
    </row>
    <row r="56" spans="1:3" x14ac:dyDescent="0.25">
      <c r="A56" s="36">
        <v>41290</v>
      </c>
      <c r="B56" s="122">
        <v>5.0486111111111114E-2</v>
      </c>
      <c r="C56" s="26" t="s">
        <v>1121</v>
      </c>
    </row>
    <row r="57" spans="1:3" x14ac:dyDescent="0.25">
      <c r="A57" s="36">
        <v>41290</v>
      </c>
      <c r="B57" s="122">
        <v>5.0486111111111114E-2</v>
      </c>
      <c r="C57" s="26" t="s">
        <v>1122</v>
      </c>
    </row>
    <row r="58" spans="1:3" x14ac:dyDescent="0.25">
      <c r="A58" s="36">
        <v>41290</v>
      </c>
      <c r="B58" s="122">
        <v>5.0486111111111114E-2</v>
      </c>
      <c r="C58" s="26" t="s">
        <v>1123</v>
      </c>
    </row>
    <row r="59" spans="1:3" x14ac:dyDescent="0.25">
      <c r="A59" s="36">
        <v>41290</v>
      </c>
      <c r="B59" s="122">
        <v>5.0486111111111114E-2</v>
      </c>
      <c r="C59" s="26" t="s">
        <v>1124</v>
      </c>
    </row>
    <row r="60" spans="1:3" x14ac:dyDescent="0.25">
      <c r="A60" s="36">
        <v>41290</v>
      </c>
      <c r="B60" s="122">
        <v>5.0486111111111114E-2</v>
      </c>
      <c r="C60" s="26" t="s">
        <v>1125</v>
      </c>
    </row>
    <row r="61" spans="1:3" x14ac:dyDescent="0.25">
      <c r="A61" s="36">
        <v>41290</v>
      </c>
      <c r="B61" s="122">
        <v>5.0486111111111114E-2</v>
      </c>
      <c r="C61" s="26" t="s">
        <v>1126</v>
      </c>
    </row>
    <row r="62" spans="1:3" x14ac:dyDescent="0.25">
      <c r="A62" s="36">
        <v>41290</v>
      </c>
      <c r="B62" s="122">
        <v>5.0486111111111114E-2</v>
      </c>
      <c r="C62" s="26" t="s">
        <v>1127</v>
      </c>
    </row>
    <row r="63" spans="1:3" x14ac:dyDescent="0.25">
      <c r="A63" s="36">
        <v>41290</v>
      </c>
      <c r="B63" s="122">
        <v>5.0486111111111114E-2</v>
      </c>
      <c r="C63" s="26" t="s">
        <v>1128</v>
      </c>
    </row>
    <row r="64" spans="1:3" x14ac:dyDescent="0.25">
      <c r="A64" s="36">
        <v>41290</v>
      </c>
      <c r="B64" s="122">
        <v>5.0486111111111114E-2</v>
      </c>
      <c r="C64" s="26" t="s">
        <v>1129</v>
      </c>
    </row>
    <row r="65" spans="1:3" x14ac:dyDescent="0.25">
      <c r="A65" s="36">
        <v>41290</v>
      </c>
      <c r="B65" s="122">
        <v>5.0486111111111114E-2</v>
      </c>
      <c r="C65" s="26" t="s">
        <v>1130</v>
      </c>
    </row>
    <row r="66" spans="1:3" x14ac:dyDescent="0.25">
      <c r="A66" s="36">
        <v>41290</v>
      </c>
      <c r="B66" s="122">
        <v>5.0486111111111114E-2</v>
      </c>
      <c r="C66" s="26" t="s">
        <v>1131</v>
      </c>
    </row>
    <row r="67" spans="1:3" x14ac:dyDescent="0.25">
      <c r="A67" s="36">
        <v>41290</v>
      </c>
      <c r="B67" s="122">
        <v>5.0486111111111114E-2</v>
      </c>
      <c r="C67" s="26" t="s">
        <v>1132</v>
      </c>
    </row>
    <row r="68" spans="1:3" x14ac:dyDescent="0.25">
      <c r="A68" s="36">
        <v>41290</v>
      </c>
      <c r="B68" s="122">
        <v>5.0486111111111114E-2</v>
      </c>
      <c r="C68" s="26" t="s">
        <v>1122</v>
      </c>
    </row>
    <row r="69" spans="1:3" x14ac:dyDescent="0.25">
      <c r="A69" s="36">
        <v>41290</v>
      </c>
      <c r="B69" s="122">
        <v>5.0486111111111114E-2</v>
      </c>
      <c r="C69" s="26" t="s">
        <v>1122</v>
      </c>
    </row>
    <row r="70" spans="1:3" x14ac:dyDescent="0.25">
      <c r="A70" s="36">
        <v>41290</v>
      </c>
      <c r="B70" s="122">
        <v>5.0486111111111114E-2</v>
      </c>
      <c r="C70" s="26" t="s">
        <v>1122</v>
      </c>
    </row>
    <row r="71" spans="1:3" x14ac:dyDescent="0.25">
      <c r="A71" s="36">
        <v>41290</v>
      </c>
      <c r="B71" s="122">
        <v>5.0486111111111114E-2</v>
      </c>
      <c r="C71" s="26" t="s">
        <v>1133</v>
      </c>
    </row>
    <row r="72" spans="1:3" x14ac:dyDescent="0.25">
      <c r="A72" s="36">
        <v>41290</v>
      </c>
      <c r="B72" s="122">
        <v>5.0486111111111114E-2</v>
      </c>
      <c r="C72" s="26" t="s">
        <v>1134</v>
      </c>
    </row>
    <row r="73" spans="1:3" x14ac:dyDescent="0.25">
      <c r="A73" s="36">
        <v>41290</v>
      </c>
      <c r="B73" s="122">
        <v>5.0486111111111114E-2</v>
      </c>
      <c r="C73" s="26" t="s">
        <v>1099</v>
      </c>
    </row>
    <row r="74" spans="1:3" x14ac:dyDescent="0.25">
      <c r="A74" s="36">
        <v>41290</v>
      </c>
      <c r="B74" s="122">
        <v>5.0486111111111114E-2</v>
      </c>
      <c r="C74" s="26" t="s">
        <v>1135</v>
      </c>
    </row>
    <row r="75" spans="1:3" x14ac:dyDescent="0.25">
      <c r="A75" s="36">
        <v>41290</v>
      </c>
      <c r="B75" s="122">
        <v>5.0486111111111114E-2</v>
      </c>
      <c r="C75" s="26" t="s">
        <v>1136</v>
      </c>
    </row>
    <row r="76" spans="1:3" x14ac:dyDescent="0.25">
      <c r="A76" s="36">
        <v>41290</v>
      </c>
      <c r="B76" s="122">
        <v>5.0486111111111114E-2</v>
      </c>
      <c r="C76" s="26" t="s">
        <v>1137</v>
      </c>
    </row>
    <row r="77" spans="1:3" x14ac:dyDescent="0.25">
      <c r="A77" s="36">
        <v>41290</v>
      </c>
      <c r="B77" s="122">
        <v>5.0486111111111114E-2</v>
      </c>
      <c r="C77" s="26" t="s">
        <v>1138</v>
      </c>
    </row>
    <row r="78" spans="1:3" x14ac:dyDescent="0.25">
      <c r="A78" s="36">
        <v>41290</v>
      </c>
      <c r="B78" s="122">
        <v>5.0486111111111114E-2</v>
      </c>
      <c r="C78" s="26" t="s">
        <v>1139</v>
      </c>
    </row>
    <row r="79" spans="1:3" x14ac:dyDescent="0.25">
      <c r="A79" s="36">
        <v>41290</v>
      </c>
      <c r="B79" s="122">
        <v>5.0486111111111114E-2</v>
      </c>
      <c r="C79" s="26" t="s">
        <v>1140</v>
      </c>
    </row>
    <row r="80" spans="1:3" x14ac:dyDescent="0.25">
      <c r="A80" s="36">
        <v>41290</v>
      </c>
      <c r="B80" s="122">
        <v>5.0486111111111114E-2</v>
      </c>
      <c r="C80" s="26" t="s">
        <v>1140</v>
      </c>
    </row>
    <row r="81" spans="1:3" x14ac:dyDescent="0.25">
      <c r="A81" s="36">
        <v>41290</v>
      </c>
      <c r="B81" s="122">
        <v>5.0486111111111114E-2</v>
      </c>
      <c r="C81" s="26" t="s">
        <v>1140</v>
      </c>
    </row>
    <row r="82" spans="1:3" x14ac:dyDescent="0.25">
      <c r="A82" s="36">
        <v>41290</v>
      </c>
      <c r="B82" s="122">
        <v>5.0486111111111114E-2</v>
      </c>
      <c r="C82" s="26" t="s">
        <v>1141</v>
      </c>
    </row>
    <row r="83" spans="1:3" x14ac:dyDescent="0.25">
      <c r="A83" s="36">
        <v>41290</v>
      </c>
      <c r="B83" s="122">
        <v>5.0486111111111114E-2</v>
      </c>
      <c r="C83" s="26" t="s">
        <v>1141</v>
      </c>
    </row>
    <row r="84" spans="1:3" x14ac:dyDescent="0.25">
      <c r="A84" s="36">
        <v>41290</v>
      </c>
      <c r="B84" s="122">
        <v>5.0486111111111114E-2</v>
      </c>
      <c r="C84" s="26" t="s">
        <v>1142</v>
      </c>
    </row>
    <row r="85" spans="1:3" x14ac:dyDescent="0.25">
      <c r="A85" s="36">
        <v>41290</v>
      </c>
      <c r="B85" s="122">
        <v>5.0486111111111114E-2</v>
      </c>
      <c r="C85" s="26" t="s">
        <v>1143</v>
      </c>
    </row>
    <row r="86" spans="1:3" x14ac:dyDescent="0.25">
      <c r="A86" s="36">
        <v>41290</v>
      </c>
      <c r="B86" s="122">
        <v>5.0486111111111114E-2</v>
      </c>
      <c r="C86" s="26" t="s">
        <v>1144</v>
      </c>
    </row>
    <row r="87" spans="1:3" x14ac:dyDescent="0.25">
      <c r="A87" s="36">
        <v>41290</v>
      </c>
      <c r="B87" s="122">
        <v>5.0486111111111114E-2</v>
      </c>
      <c r="C87" s="26" t="s">
        <v>1115</v>
      </c>
    </row>
    <row r="88" spans="1:3" x14ac:dyDescent="0.25">
      <c r="A88" s="36">
        <v>41290</v>
      </c>
      <c r="B88" s="122">
        <v>5.0486111111111114E-2</v>
      </c>
      <c r="C88" s="26" t="s">
        <v>1145</v>
      </c>
    </row>
    <row r="89" spans="1:3" x14ac:dyDescent="0.25">
      <c r="A89" s="36">
        <v>41290</v>
      </c>
      <c r="B89" s="122">
        <v>5.0486111111111114E-2</v>
      </c>
      <c r="C89" s="26" t="s">
        <v>1146</v>
      </c>
    </row>
    <row r="90" spans="1:3" x14ac:dyDescent="0.25">
      <c r="A90" s="36">
        <v>41290</v>
      </c>
      <c r="B90" s="122">
        <v>5.0486111111111114E-2</v>
      </c>
      <c r="C90" s="26" t="s">
        <v>1147</v>
      </c>
    </row>
    <row r="91" spans="1:3" x14ac:dyDescent="0.25">
      <c r="A91" s="36">
        <v>41290</v>
      </c>
      <c r="B91" s="122">
        <v>5.0486111111111114E-2</v>
      </c>
      <c r="C91" s="26" t="s">
        <v>1148</v>
      </c>
    </row>
    <row r="92" spans="1:3" x14ac:dyDescent="0.25">
      <c r="A92" s="36">
        <v>41290</v>
      </c>
      <c r="B92" s="122">
        <v>5.0486111111111114E-2</v>
      </c>
      <c r="C92" s="26" t="s">
        <v>1149</v>
      </c>
    </row>
    <row r="93" spans="1:3" x14ac:dyDescent="0.25">
      <c r="A93" s="36">
        <v>41290</v>
      </c>
      <c r="B93" s="122">
        <v>5.0486111111111114E-2</v>
      </c>
      <c r="C93" s="26" t="s">
        <v>1092</v>
      </c>
    </row>
    <row r="94" spans="1:3" x14ac:dyDescent="0.25">
      <c r="A94" s="36">
        <v>41290</v>
      </c>
      <c r="B94" s="122">
        <v>5.0486111111111114E-2</v>
      </c>
      <c r="C94" s="26" t="s">
        <v>1150</v>
      </c>
    </row>
    <row r="95" spans="1:3" x14ac:dyDescent="0.25">
      <c r="A95" s="36">
        <v>41290</v>
      </c>
      <c r="B95" s="122">
        <v>5.0486111111111114E-2</v>
      </c>
      <c r="C95" s="26" t="s">
        <v>1151</v>
      </c>
    </row>
    <row r="96" spans="1:3" x14ac:dyDescent="0.25">
      <c r="A96" s="36">
        <v>41290</v>
      </c>
      <c r="B96" s="122">
        <v>5.0486111111111114E-2</v>
      </c>
      <c r="C96" s="26" t="s">
        <v>1115</v>
      </c>
    </row>
    <row r="97" spans="1:3" x14ac:dyDescent="0.25">
      <c r="A97" s="36">
        <v>41290</v>
      </c>
      <c r="B97" s="122">
        <v>5.0486111111111114E-2</v>
      </c>
      <c r="C97" s="26" t="s">
        <v>1152</v>
      </c>
    </row>
    <row r="98" spans="1:3" x14ac:dyDescent="0.25">
      <c r="A98" s="36">
        <v>41290</v>
      </c>
      <c r="B98" s="122">
        <v>5.0486111111111114E-2</v>
      </c>
      <c r="C98" s="26" t="s">
        <v>1153</v>
      </c>
    </row>
    <row r="99" spans="1:3" x14ac:dyDescent="0.25">
      <c r="A99" s="36">
        <v>41290</v>
      </c>
      <c r="B99" s="122">
        <v>5.0486111111111114E-2</v>
      </c>
      <c r="C99" s="26" t="s">
        <v>1154</v>
      </c>
    </row>
    <row r="100" spans="1:3" x14ac:dyDescent="0.25">
      <c r="A100" s="36">
        <v>41290</v>
      </c>
      <c r="B100" s="122">
        <v>5.0486111111111114E-2</v>
      </c>
      <c r="C100" s="26" t="s">
        <v>1155</v>
      </c>
    </row>
    <row r="101" spans="1:3" x14ac:dyDescent="0.25">
      <c r="A101" s="36">
        <v>41290</v>
      </c>
      <c r="B101" s="122">
        <v>5.0486111111111114E-2</v>
      </c>
      <c r="C101" s="26" t="s">
        <v>1156</v>
      </c>
    </row>
    <row r="102" spans="1:3" x14ac:dyDescent="0.25">
      <c r="A102" s="36">
        <v>41290</v>
      </c>
      <c r="B102" s="122">
        <v>5.0486111111111114E-2</v>
      </c>
      <c r="C102" s="26" t="s">
        <v>1157</v>
      </c>
    </row>
    <row r="103" spans="1:3" x14ac:dyDescent="0.25">
      <c r="A103" s="36">
        <v>41290</v>
      </c>
      <c r="B103" s="122">
        <v>5.0486111111111114E-2</v>
      </c>
      <c r="C103" s="26" t="s">
        <v>1158</v>
      </c>
    </row>
    <row r="104" spans="1:3" x14ac:dyDescent="0.25">
      <c r="A104" s="36">
        <v>41290</v>
      </c>
      <c r="B104" s="122">
        <v>5.0486111111111114E-2</v>
      </c>
      <c r="C104" s="26" t="s">
        <v>1159</v>
      </c>
    </row>
    <row r="105" spans="1:3" x14ac:dyDescent="0.25">
      <c r="A105" s="36">
        <v>41290</v>
      </c>
      <c r="B105" s="122">
        <v>5.0486111111111114E-2</v>
      </c>
      <c r="C105" s="26" t="s">
        <v>1160</v>
      </c>
    </row>
    <row r="106" spans="1:3" x14ac:dyDescent="0.25">
      <c r="A106" s="36">
        <v>41290</v>
      </c>
      <c r="B106" s="122">
        <v>5.0486111111111114E-2</v>
      </c>
      <c r="C106" s="26" t="s">
        <v>1161</v>
      </c>
    </row>
    <row r="107" spans="1:3" x14ac:dyDescent="0.25">
      <c r="A107" s="36">
        <v>41290</v>
      </c>
      <c r="B107" s="122">
        <v>5.0486111111111114E-2</v>
      </c>
      <c r="C107" s="26" t="s">
        <v>1162</v>
      </c>
    </row>
    <row r="108" spans="1:3" x14ac:dyDescent="0.25">
      <c r="A108" s="36">
        <v>41290</v>
      </c>
      <c r="B108" s="122">
        <v>5.0486111111111114E-2</v>
      </c>
      <c r="C108" s="26" t="s">
        <v>1163</v>
      </c>
    </row>
    <row r="109" spans="1:3" x14ac:dyDescent="0.25">
      <c r="A109" s="36">
        <v>41290</v>
      </c>
      <c r="B109" s="122">
        <v>5.0486111111111114E-2</v>
      </c>
      <c r="C109" s="26" t="s">
        <v>1164</v>
      </c>
    </row>
    <row r="110" spans="1:3" x14ac:dyDescent="0.25">
      <c r="A110" s="36">
        <v>41290</v>
      </c>
      <c r="B110" s="122">
        <v>5.0486111111111114E-2</v>
      </c>
      <c r="C110" s="26" t="s">
        <v>1165</v>
      </c>
    </row>
    <row r="111" spans="1:3" x14ac:dyDescent="0.25">
      <c r="A111" s="36">
        <v>41290</v>
      </c>
      <c r="B111" s="122">
        <v>5.0486111111111114E-2</v>
      </c>
      <c r="C111" s="26" t="s">
        <v>1166</v>
      </c>
    </row>
    <row r="112" spans="1:3" x14ac:dyDescent="0.25">
      <c r="A112" s="36">
        <v>41290</v>
      </c>
      <c r="B112" s="122">
        <v>5.0486111111111114E-2</v>
      </c>
      <c r="C112" s="26" t="s">
        <v>1167</v>
      </c>
    </row>
    <row r="113" spans="1:3" x14ac:dyDescent="0.25">
      <c r="A113" s="36">
        <v>41290</v>
      </c>
      <c r="B113" s="122">
        <v>5.0486111111111114E-2</v>
      </c>
      <c r="C113" s="26" t="s">
        <v>1168</v>
      </c>
    </row>
    <row r="114" spans="1:3" x14ac:dyDescent="0.25">
      <c r="A114" s="36">
        <v>41290</v>
      </c>
      <c r="B114" s="122">
        <v>5.0486111111111114E-2</v>
      </c>
      <c r="C114" s="26" t="s">
        <v>1169</v>
      </c>
    </row>
    <row r="115" spans="1:3" x14ac:dyDescent="0.25">
      <c r="A115" s="36">
        <v>41290</v>
      </c>
      <c r="B115" s="122">
        <v>5.0486111111111114E-2</v>
      </c>
      <c r="C115" s="26" t="s">
        <v>1170</v>
      </c>
    </row>
    <row r="116" spans="1:3" x14ac:dyDescent="0.25">
      <c r="A116" s="36">
        <v>41290</v>
      </c>
      <c r="B116" s="122">
        <v>5.0486111111111114E-2</v>
      </c>
      <c r="C116" s="26" t="s">
        <v>1171</v>
      </c>
    </row>
    <row r="117" spans="1:3" x14ac:dyDescent="0.25">
      <c r="A117" s="36">
        <v>41290</v>
      </c>
      <c r="B117" s="122">
        <v>5.0486111111111114E-2</v>
      </c>
      <c r="C117" s="26" t="s">
        <v>1172</v>
      </c>
    </row>
    <row r="118" spans="1:3" x14ac:dyDescent="0.25">
      <c r="A118" s="36">
        <v>41290</v>
      </c>
      <c r="B118" s="122">
        <v>5.0486111111111114E-2</v>
      </c>
      <c r="C118" s="26" t="s">
        <v>1173</v>
      </c>
    </row>
    <row r="119" spans="1:3" x14ac:dyDescent="0.25">
      <c r="A119" s="36">
        <v>41290</v>
      </c>
      <c r="B119" s="122">
        <v>5.0486111111111114E-2</v>
      </c>
      <c r="C119" s="26" t="s">
        <v>1174</v>
      </c>
    </row>
    <row r="120" spans="1:3" x14ac:dyDescent="0.25">
      <c r="A120" s="36">
        <v>41290</v>
      </c>
      <c r="B120" s="122">
        <v>5.0486111111111114E-2</v>
      </c>
      <c r="C120" s="26" t="s">
        <v>1175</v>
      </c>
    </row>
    <row r="121" spans="1:3" x14ac:dyDescent="0.25">
      <c r="A121" s="36">
        <v>41290</v>
      </c>
      <c r="B121" s="122">
        <v>5.0486111111111114E-2</v>
      </c>
      <c r="C121" s="26" t="s">
        <v>1176</v>
      </c>
    </row>
    <row r="122" spans="1:3" x14ac:dyDescent="0.25">
      <c r="A122" s="36">
        <v>41290</v>
      </c>
      <c r="B122" s="122">
        <v>5.0486111111111114E-2</v>
      </c>
      <c r="C122" s="26" t="s">
        <v>1177</v>
      </c>
    </row>
    <row r="123" spans="1:3" x14ac:dyDescent="0.25">
      <c r="A123" s="36">
        <v>41290</v>
      </c>
      <c r="B123" s="122">
        <v>5.0486111111111114E-2</v>
      </c>
      <c r="C123" s="26" t="s">
        <v>1178</v>
      </c>
    </row>
    <row r="124" spans="1:3" x14ac:dyDescent="0.25">
      <c r="A124" s="36">
        <v>41290</v>
      </c>
      <c r="B124" s="122">
        <v>5.0486111111111114E-2</v>
      </c>
      <c r="C124" s="26" t="s">
        <v>1179</v>
      </c>
    </row>
    <row r="125" spans="1:3" x14ac:dyDescent="0.25">
      <c r="A125" s="36">
        <v>41290</v>
      </c>
      <c r="B125" s="122">
        <v>5.0486111111111114E-2</v>
      </c>
      <c r="C125" s="26" t="s">
        <v>1180</v>
      </c>
    </row>
    <row r="126" spans="1:3" x14ac:dyDescent="0.25">
      <c r="A126" s="36">
        <v>41290</v>
      </c>
      <c r="B126" s="122">
        <v>5.0486111111111114E-2</v>
      </c>
      <c r="C126" s="26" t="s">
        <v>1181</v>
      </c>
    </row>
    <row r="127" spans="1:3" x14ac:dyDescent="0.25">
      <c r="A127" s="36">
        <v>41290</v>
      </c>
      <c r="B127" s="122">
        <v>5.0486111111111114E-2</v>
      </c>
      <c r="C127" s="26" t="s">
        <v>1133</v>
      </c>
    </row>
    <row r="128" spans="1:3" x14ac:dyDescent="0.25">
      <c r="A128" s="36">
        <v>41290</v>
      </c>
      <c r="B128" s="122">
        <v>5.0486111111111114E-2</v>
      </c>
      <c r="C128" s="26" t="s">
        <v>1182</v>
      </c>
    </row>
    <row r="129" spans="1:3" x14ac:dyDescent="0.25">
      <c r="A129" s="36">
        <v>41290</v>
      </c>
      <c r="B129" s="122">
        <v>5.0486111111111114E-2</v>
      </c>
      <c r="C129" s="26" t="s">
        <v>1183</v>
      </c>
    </row>
    <row r="130" spans="1:3" x14ac:dyDescent="0.25">
      <c r="A130" s="36">
        <v>41290</v>
      </c>
      <c r="B130" s="122">
        <v>5.0486111111111114E-2</v>
      </c>
      <c r="C130" s="26" t="s">
        <v>1184</v>
      </c>
    </row>
    <row r="131" spans="1:3" x14ac:dyDescent="0.25">
      <c r="A131" s="36">
        <v>41290</v>
      </c>
      <c r="B131" s="122">
        <v>5.0486111111111114E-2</v>
      </c>
      <c r="C131" s="26" t="s">
        <v>1185</v>
      </c>
    </row>
    <row r="132" spans="1:3" x14ac:dyDescent="0.25">
      <c r="A132" s="36">
        <v>41290</v>
      </c>
      <c r="B132" s="122">
        <v>5.0486111111111114E-2</v>
      </c>
      <c r="C132" s="26" t="s">
        <v>1122</v>
      </c>
    </row>
    <row r="133" spans="1:3" x14ac:dyDescent="0.25">
      <c r="A133" s="36">
        <v>41290</v>
      </c>
      <c r="B133" s="122">
        <v>5.0486111111111114E-2</v>
      </c>
      <c r="C133" s="26" t="s">
        <v>1186</v>
      </c>
    </row>
    <row r="134" spans="1:3" x14ac:dyDescent="0.25">
      <c r="A134" s="36">
        <v>41290</v>
      </c>
      <c r="B134" s="122">
        <v>5.0486111111111114E-2</v>
      </c>
      <c r="C134" s="26" t="s">
        <v>1186</v>
      </c>
    </row>
    <row r="135" spans="1:3" x14ac:dyDescent="0.25">
      <c r="A135" s="36">
        <v>41290</v>
      </c>
      <c r="B135" s="122">
        <v>5.0486111111111114E-2</v>
      </c>
      <c r="C135" s="26" t="s">
        <v>1108</v>
      </c>
    </row>
    <row r="136" spans="1:3" x14ac:dyDescent="0.25">
      <c r="A136" s="36">
        <v>41290</v>
      </c>
      <c r="B136" s="122">
        <v>5.0486111111111114E-2</v>
      </c>
      <c r="C136" s="26" t="s">
        <v>1187</v>
      </c>
    </row>
    <row r="137" spans="1:3" x14ac:dyDescent="0.25">
      <c r="A137" s="36">
        <v>41290</v>
      </c>
      <c r="B137" s="122">
        <v>5.0486111111111114E-2</v>
      </c>
      <c r="C137" s="26" t="s">
        <v>1188</v>
      </c>
    </row>
    <row r="138" spans="1:3" x14ac:dyDescent="0.25">
      <c r="A138" s="36">
        <v>41290</v>
      </c>
      <c r="B138" s="122">
        <v>5.0486111111111114E-2</v>
      </c>
      <c r="C138" s="26" t="s">
        <v>1189</v>
      </c>
    </row>
    <row r="139" spans="1:3" x14ac:dyDescent="0.25">
      <c r="A139" s="36">
        <v>41290</v>
      </c>
      <c r="B139" s="122">
        <v>5.0486111111111114E-2</v>
      </c>
      <c r="C139" s="26" t="s">
        <v>1190</v>
      </c>
    </row>
    <row r="140" spans="1:3" x14ac:dyDescent="0.25">
      <c r="A140" s="36">
        <v>41290</v>
      </c>
      <c r="B140" s="122">
        <v>5.0486111111111114E-2</v>
      </c>
      <c r="C140" s="26" t="s">
        <v>1191</v>
      </c>
    </row>
    <row r="141" spans="1:3" x14ac:dyDescent="0.25">
      <c r="A141" s="36">
        <v>41290</v>
      </c>
      <c r="B141" s="122">
        <v>5.0486111111111114E-2</v>
      </c>
      <c r="C141" s="26" t="s">
        <v>1192</v>
      </c>
    </row>
    <row r="142" spans="1:3" x14ac:dyDescent="0.25">
      <c r="A142" s="36">
        <v>41290</v>
      </c>
      <c r="B142" s="122">
        <v>5.0486111111111114E-2</v>
      </c>
      <c r="C142" s="26" t="s">
        <v>1193</v>
      </c>
    </row>
    <row r="143" spans="1:3" x14ac:dyDescent="0.25">
      <c r="A143" s="36">
        <v>41290</v>
      </c>
      <c r="B143" s="122">
        <v>5.0486111111111114E-2</v>
      </c>
      <c r="C143" s="26" t="s">
        <v>1193</v>
      </c>
    </row>
    <row r="144" spans="1:3" x14ac:dyDescent="0.25">
      <c r="A144" s="36">
        <v>41290</v>
      </c>
      <c r="B144" s="122">
        <v>5.0486111111111114E-2</v>
      </c>
      <c r="C144" s="26" t="s">
        <v>1194</v>
      </c>
    </row>
    <row r="145" spans="1:3" x14ac:dyDescent="0.25">
      <c r="A145" s="36">
        <v>41290</v>
      </c>
      <c r="B145" s="122">
        <v>5.0486111111111114E-2</v>
      </c>
      <c r="C145" s="26" t="s">
        <v>1195</v>
      </c>
    </row>
    <row r="146" spans="1:3" x14ac:dyDescent="0.25">
      <c r="A146" s="36">
        <v>41290</v>
      </c>
      <c r="B146" s="122">
        <v>5.0486111111111114E-2</v>
      </c>
      <c r="C146" s="26" t="s">
        <v>1196</v>
      </c>
    </row>
    <row r="147" spans="1:3" x14ac:dyDescent="0.25">
      <c r="A147" s="36">
        <v>41290</v>
      </c>
      <c r="B147" s="122">
        <v>5.0486111111111114E-2</v>
      </c>
      <c r="C147" s="26" t="s">
        <v>1197</v>
      </c>
    </row>
    <row r="148" spans="1:3" x14ac:dyDescent="0.25">
      <c r="A148" s="36">
        <v>41290</v>
      </c>
      <c r="B148" s="122">
        <v>5.0486111111111114E-2</v>
      </c>
      <c r="C148" s="26" t="s">
        <v>1198</v>
      </c>
    </row>
    <row r="149" spans="1:3" x14ac:dyDescent="0.25">
      <c r="A149" s="36">
        <v>41290</v>
      </c>
      <c r="B149" s="122">
        <v>5.0486111111111114E-2</v>
      </c>
      <c r="C149" s="26" t="s">
        <v>1199</v>
      </c>
    </row>
    <row r="150" spans="1:3" x14ac:dyDescent="0.25">
      <c r="A150" s="36">
        <v>41290</v>
      </c>
      <c r="B150" s="122">
        <v>5.0486111111111114E-2</v>
      </c>
      <c r="C150" s="26" t="s">
        <v>1200</v>
      </c>
    </row>
    <row r="151" spans="1:3" x14ac:dyDescent="0.25">
      <c r="A151" s="36">
        <v>41290</v>
      </c>
      <c r="B151" s="122">
        <v>5.0486111111111114E-2</v>
      </c>
      <c r="C151" s="26" t="s">
        <v>1201</v>
      </c>
    </row>
    <row r="152" spans="1:3" x14ac:dyDescent="0.25">
      <c r="A152" s="36">
        <v>41290</v>
      </c>
      <c r="B152" s="122">
        <v>5.0486111111111114E-2</v>
      </c>
      <c r="C152" s="26" t="s">
        <v>1201</v>
      </c>
    </row>
    <row r="153" spans="1:3" x14ac:dyDescent="0.25">
      <c r="A153" s="36">
        <v>41290</v>
      </c>
      <c r="B153" s="122">
        <v>5.0486111111111114E-2</v>
      </c>
      <c r="C153" s="26" t="s">
        <v>1201</v>
      </c>
    </row>
    <row r="154" spans="1:3" x14ac:dyDescent="0.25">
      <c r="A154" s="36">
        <v>41290</v>
      </c>
      <c r="B154" s="122">
        <v>5.0486111111111114E-2</v>
      </c>
      <c r="C154" s="26" t="s">
        <v>1202</v>
      </c>
    </row>
    <row r="155" spans="1:3" x14ac:dyDescent="0.25">
      <c r="A155" s="36">
        <v>41290</v>
      </c>
      <c r="B155" s="122">
        <v>5.0486111111111114E-2</v>
      </c>
      <c r="C155" s="26" t="s">
        <v>1194</v>
      </c>
    </row>
    <row r="156" spans="1:3" x14ac:dyDescent="0.25">
      <c r="A156" s="36">
        <v>41290</v>
      </c>
      <c r="B156" s="122">
        <v>5.0486111111111114E-2</v>
      </c>
      <c r="C156" s="26" t="s">
        <v>1199</v>
      </c>
    </row>
    <row r="157" spans="1:3" x14ac:dyDescent="0.25">
      <c r="A157" s="36">
        <v>41290</v>
      </c>
      <c r="B157" s="122">
        <v>5.0486111111111114E-2</v>
      </c>
      <c r="C157" s="26" t="s">
        <v>1203</v>
      </c>
    </row>
    <row r="158" spans="1:3" x14ac:dyDescent="0.25">
      <c r="A158" s="36">
        <v>41290</v>
      </c>
      <c r="B158" s="122">
        <v>5.0486111111111114E-2</v>
      </c>
      <c r="C158" s="26" t="s">
        <v>1204</v>
      </c>
    </row>
    <row r="159" spans="1:3" x14ac:dyDescent="0.25">
      <c r="A159" s="36">
        <v>41290</v>
      </c>
      <c r="B159" s="122">
        <v>5.0486111111111114E-2</v>
      </c>
      <c r="C159" s="26" t="s">
        <v>1205</v>
      </c>
    </row>
    <row r="160" spans="1:3" x14ac:dyDescent="0.25">
      <c r="A160" s="36">
        <v>41290</v>
      </c>
      <c r="B160" s="122">
        <v>5.0486111111111114E-2</v>
      </c>
      <c r="C160" s="26" t="s">
        <v>1206</v>
      </c>
    </row>
    <row r="161" spans="1:3" x14ac:dyDescent="0.25">
      <c r="A161" s="36">
        <v>41290</v>
      </c>
      <c r="B161" s="122">
        <v>5.0486111111111114E-2</v>
      </c>
      <c r="C161" s="26" t="s">
        <v>1207</v>
      </c>
    </row>
    <row r="162" spans="1:3" x14ac:dyDescent="0.25">
      <c r="A162" s="36">
        <v>41290</v>
      </c>
      <c r="B162" s="122">
        <v>5.0486111111111114E-2</v>
      </c>
      <c r="C162" s="26" t="s">
        <v>1208</v>
      </c>
    </row>
    <row r="163" spans="1:3" x14ac:dyDescent="0.25">
      <c r="A163" s="36">
        <v>41290</v>
      </c>
      <c r="B163" s="122">
        <v>5.0486111111111114E-2</v>
      </c>
      <c r="C163" s="26" t="s">
        <v>1209</v>
      </c>
    </row>
    <row r="164" spans="1:3" x14ac:dyDescent="0.25">
      <c r="A164" s="36">
        <v>41290</v>
      </c>
      <c r="B164" s="122">
        <v>5.0486111111111114E-2</v>
      </c>
      <c r="C164" s="26" t="s">
        <v>1165</v>
      </c>
    </row>
    <row r="165" spans="1:3" x14ac:dyDescent="0.25">
      <c r="A165" s="36">
        <v>41290</v>
      </c>
      <c r="B165" s="122">
        <v>5.0486111111111114E-2</v>
      </c>
      <c r="C165" s="26" t="s">
        <v>1155</v>
      </c>
    </row>
    <row r="166" spans="1:3" x14ac:dyDescent="0.25">
      <c r="A166" s="36">
        <v>41290</v>
      </c>
      <c r="B166" s="122">
        <v>5.0486111111111114E-2</v>
      </c>
      <c r="C166" s="26" t="s">
        <v>1155</v>
      </c>
    </row>
    <row r="167" spans="1:3" x14ac:dyDescent="0.25">
      <c r="A167" s="36">
        <v>41290</v>
      </c>
      <c r="B167" s="122">
        <v>5.0486111111111114E-2</v>
      </c>
      <c r="C167" s="26" t="s">
        <v>1133</v>
      </c>
    </row>
    <row r="168" spans="1:3" x14ac:dyDescent="0.25">
      <c r="A168" s="36">
        <v>41290</v>
      </c>
      <c r="B168" s="122">
        <v>5.0486111111111114E-2</v>
      </c>
      <c r="C168" s="26" t="s">
        <v>1210</v>
      </c>
    </row>
    <row r="169" spans="1:3" x14ac:dyDescent="0.25">
      <c r="A169" s="36">
        <v>41290</v>
      </c>
      <c r="B169" s="122">
        <v>5.0486111111111114E-2</v>
      </c>
      <c r="C169" s="26" t="s">
        <v>1211</v>
      </c>
    </row>
    <row r="170" spans="1:3" x14ac:dyDescent="0.25">
      <c r="A170" s="36">
        <v>41290</v>
      </c>
      <c r="B170" s="122">
        <v>5.0486111111111114E-2</v>
      </c>
      <c r="C170" s="26" t="s">
        <v>1212</v>
      </c>
    </row>
    <row r="171" spans="1:3" x14ac:dyDescent="0.25">
      <c r="A171" s="36">
        <v>41290</v>
      </c>
      <c r="B171" s="122">
        <v>5.0486111111111114E-2</v>
      </c>
      <c r="C171" s="26" t="s">
        <v>1213</v>
      </c>
    </row>
    <row r="172" spans="1:3" x14ac:dyDescent="0.25">
      <c r="A172" s="36">
        <v>41290</v>
      </c>
      <c r="B172" s="122">
        <v>5.0486111111111114E-2</v>
      </c>
      <c r="C172" s="26" t="s">
        <v>1214</v>
      </c>
    </row>
    <row r="173" spans="1:3" x14ac:dyDescent="0.25">
      <c r="A173" s="36">
        <v>41290</v>
      </c>
      <c r="B173" s="122">
        <v>5.0486111111111114E-2</v>
      </c>
      <c r="C173" s="26" t="s">
        <v>1179</v>
      </c>
    </row>
    <row r="174" spans="1:3" x14ac:dyDescent="0.25">
      <c r="A174" s="36">
        <v>41290</v>
      </c>
      <c r="B174" s="122">
        <v>5.0486111111111114E-2</v>
      </c>
      <c r="C174" s="26" t="s">
        <v>1215</v>
      </c>
    </row>
    <row r="175" spans="1:3" x14ac:dyDescent="0.25">
      <c r="A175" s="36">
        <v>41290</v>
      </c>
      <c r="B175" s="122">
        <v>5.0486111111111114E-2</v>
      </c>
      <c r="C175" s="26" t="s">
        <v>1216</v>
      </c>
    </row>
    <row r="176" spans="1:3" x14ac:dyDescent="0.25">
      <c r="A176" s="36">
        <v>41290</v>
      </c>
      <c r="B176" s="122">
        <v>5.0486111111111114E-2</v>
      </c>
      <c r="C176" s="26" t="s">
        <v>1217</v>
      </c>
    </row>
    <row r="177" spans="1:3" x14ac:dyDescent="0.25">
      <c r="A177" s="36">
        <v>41290</v>
      </c>
      <c r="B177" s="122">
        <v>5.0486111111111114E-2</v>
      </c>
      <c r="C177" s="26" t="s">
        <v>1218</v>
      </c>
    </row>
    <row r="178" spans="1:3" x14ac:dyDescent="0.25">
      <c r="A178" s="36">
        <v>41290</v>
      </c>
      <c r="B178" s="122">
        <v>5.0486111111111114E-2</v>
      </c>
      <c r="C178" s="26" t="s">
        <v>1219</v>
      </c>
    </row>
    <row r="179" spans="1:3" x14ac:dyDescent="0.25">
      <c r="A179" s="36">
        <v>41290</v>
      </c>
      <c r="B179" s="122">
        <v>5.0486111111111114E-2</v>
      </c>
      <c r="C179" s="26" t="s">
        <v>1220</v>
      </c>
    </row>
    <row r="180" spans="1:3" x14ac:dyDescent="0.25">
      <c r="A180" s="36">
        <v>41290</v>
      </c>
      <c r="B180" s="122">
        <v>5.0486111111111114E-2</v>
      </c>
      <c r="C180" s="26" t="s">
        <v>1220</v>
      </c>
    </row>
    <row r="181" spans="1:3" x14ac:dyDescent="0.25">
      <c r="A181" s="36">
        <v>41290</v>
      </c>
      <c r="B181" s="122">
        <v>5.0486111111111114E-2</v>
      </c>
      <c r="C181" s="26" t="s">
        <v>1221</v>
      </c>
    </row>
    <row r="182" spans="1:3" x14ac:dyDescent="0.25">
      <c r="A182" s="36">
        <v>41290</v>
      </c>
      <c r="B182" s="122">
        <v>5.0486111111111114E-2</v>
      </c>
      <c r="C182" s="26" t="s">
        <v>1222</v>
      </c>
    </row>
    <row r="183" spans="1:3" x14ac:dyDescent="0.25">
      <c r="A183" s="36">
        <v>41290</v>
      </c>
      <c r="B183" s="122">
        <v>5.0486111111111114E-2</v>
      </c>
      <c r="C183" s="26" t="s">
        <v>1178</v>
      </c>
    </row>
    <row r="184" spans="1:3" x14ac:dyDescent="0.25">
      <c r="A184" s="36">
        <v>41290</v>
      </c>
      <c r="B184" s="122">
        <v>5.0486111111111114E-2</v>
      </c>
      <c r="C184" s="26" t="s">
        <v>1223</v>
      </c>
    </row>
    <row r="185" spans="1:3" x14ac:dyDescent="0.25">
      <c r="A185" s="36">
        <v>41290</v>
      </c>
      <c r="B185" s="122">
        <v>5.0486111111111114E-2</v>
      </c>
      <c r="C185" s="26" t="s">
        <v>1224</v>
      </c>
    </row>
    <row r="186" spans="1:3" x14ac:dyDescent="0.25">
      <c r="A186" s="36">
        <v>41290</v>
      </c>
      <c r="B186" s="122">
        <v>5.0486111111111114E-2</v>
      </c>
      <c r="C186" s="26" t="s">
        <v>1225</v>
      </c>
    </row>
    <row r="187" spans="1:3" x14ac:dyDescent="0.25">
      <c r="A187" s="36">
        <v>41290</v>
      </c>
      <c r="B187" s="122">
        <v>5.0486111111111114E-2</v>
      </c>
      <c r="C187" s="26" t="s">
        <v>1225</v>
      </c>
    </row>
    <row r="188" spans="1:3" x14ac:dyDescent="0.25">
      <c r="A188" s="36">
        <v>41290</v>
      </c>
      <c r="B188" s="122">
        <v>5.0486111111111114E-2</v>
      </c>
      <c r="C188" s="26" t="s">
        <v>1226</v>
      </c>
    </row>
    <row r="189" spans="1:3" x14ac:dyDescent="0.25">
      <c r="A189" s="36">
        <v>41290</v>
      </c>
      <c r="B189" s="122">
        <v>5.0486111111111114E-2</v>
      </c>
      <c r="C189" s="26" t="s">
        <v>1227</v>
      </c>
    </row>
    <row r="190" spans="1:3" x14ac:dyDescent="0.25">
      <c r="A190" s="36">
        <v>41290</v>
      </c>
      <c r="B190" s="122">
        <v>5.0486111111111114E-2</v>
      </c>
      <c r="C190" s="26" t="s">
        <v>1228</v>
      </c>
    </row>
    <row r="191" spans="1:3" x14ac:dyDescent="0.25">
      <c r="A191" s="36">
        <v>41290</v>
      </c>
      <c r="B191" s="122">
        <v>5.0486111111111114E-2</v>
      </c>
      <c r="C191" s="26" t="s">
        <v>1133</v>
      </c>
    </row>
    <row r="192" spans="1:3" x14ac:dyDescent="0.25">
      <c r="A192" s="36">
        <v>41290</v>
      </c>
      <c r="B192" s="122">
        <v>5.0486111111111114E-2</v>
      </c>
      <c r="C192" s="26" t="s">
        <v>1229</v>
      </c>
    </row>
    <row r="193" spans="1:3" x14ac:dyDescent="0.25">
      <c r="A193" s="36">
        <v>41290</v>
      </c>
      <c r="B193" s="122">
        <v>5.0486111111111114E-2</v>
      </c>
      <c r="C193" s="26" t="s">
        <v>1229</v>
      </c>
    </row>
    <row r="194" spans="1:3" x14ac:dyDescent="0.25">
      <c r="A194" s="36">
        <v>41290</v>
      </c>
      <c r="B194" s="122">
        <v>5.0486111111111114E-2</v>
      </c>
      <c r="C194" s="26" t="s">
        <v>1229</v>
      </c>
    </row>
    <row r="195" spans="1:3" x14ac:dyDescent="0.25">
      <c r="A195" s="36">
        <v>41290</v>
      </c>
      <c r="B195" s="122">
        <v>5.0486111111111114E-2</v>
      </c>
      <c r="C195" s="26" t="s">
        <v>1229</v>
      </c>
    </row>
    <row r="196" spans="1:3" x14ac:dyDescent="0.25">
      <c r="A196" s="36">
        <v>41290</v>
      </c>
      <c r="B196" s="122">
        <v>5.0486111111111114E-2</v>
      </c>
      <c r="C196" s="26" t="s">
        <v>1230</v>
      </c>
    </row>
    <row r="197" spans="1:3" x14ac:dyDescent="0.25">
      <c r="A197" s="36">
        <v>41290</v>
      </c>
      <c r="B197" s="122">
        <v>5.0486111111111114E-2</v>
      </c>
      <c r="C197" s="26" t="s">
        <v>1199</v>
      </c>
    </row>
    <row r="198" spans="1:3" x14ac:dyDescent="0.25">
      <c r="A198" s="36">
        <v>41290</v>
      </c>
      <c r="B198" s="122">
        <v>5.0486111111111114E-2</v>
      </c>
      <c r="C198" s="26" t="s">
        <v>1231</v>
      </c>
    </row>
    <row r="199" spans="1:3" x14ac:dyDescent="0.25">
      <c r="A199" s="36">
        <v>41290</v>
      </c>
      <c r="B199" s="122">
        <v>5.0486111111111114E-2</v>
      </c>
      <c r="C199" s="26" t="s">
        <v>1231</v>
      </c>
    </row>
    <row r="200" spans="1:3" x14ac:dyDescent="0.25">
      <c r="A200" s="36">
        <v>41290</v>
      </c>
      <c r="B200" s="122">
        <v>5.0486111111111114E-2</v>
      </c>
      <c r="C200" s="26" t="s">
        <v>1231</v>
      </c>
    </row>
    <row r="201" spans="1:3" x14ac:dyDescent="0.25">
      <c r="A201" s="36">
        <v>41290</v>
      </c>
      <c r="B201" s="122">
        <v>5.0486111111111114E-2</v>
      </c>
      <c r="C201" s="26" t="s">
        <v>1231</v>
      </c>
    </row>
    <row r="202" spans="1:3" x14ac:dyDescent="0.25">
      <c r="A202" s="36">
        <v>41290</v>
      </c>
      <c r="B202" s="122">
        <v>5.0486111111111114E-2</v>
      </c>
      <c r="C202" s="26" t="s">
        <v>1232</v>
      </c>
    </row>
    <row r="203" spans="1:3" x14ac:dyDescent="0.25">
      <c r="A203" s="36">
        <v>41290</v>
      </c>
      <c r="B203" s="122">
        <v>5.0486111111111114E-2</v>
      </c>
      <c r="C203" s="26" t="s">
        <v>1179</v>
      </c>
    </row>
    <row r="204" spans="1:3" x14ac:dyDescent="0.25">
      <c r="A204" s="36">
        <v>41290</v>
      </c>
      <c r="B204" s="122">
        <v>5.0486111111111114E-2</v>
      </c>
      <c r="C204" s="26" t="s">
        <v>1233</v>
      </c>
    </row>
    <row r="205" spans="1:3" x14ac:dyDescent="0.25">
      <c r="A205" s="36">
        <v>41290</v>
      </c>
      <c r="B205" s="122">
        <v>5.0486111111111114E-2</v>
      </c>
      <c r="C205" s="26" t="s">
        <v>1234</v>
      </c>
    </row>
    <row r="206" spans="1:3" x14ac:dyDescent="0.25">
      <c r="A206" s="36">
        <v>41290</v>
      </c>
      <c r="B206" s="122">
        <v>5.0486111111111114E-2</v>
      </c>
      <c r="C206" s="26" t="s">
        <v>1235</v>
      </c>
    </row>
    <row r="207" spans="1:3" x14ac:dyDescent="0.25">
      <c r="A207" s="36">
        <v>41290</v>
      </c>
      <c r="B207" s="122">
        <v>5.0486111111111114E-2</v>
      </c>
      <c r="C207" s="26" t="s">
        <v>1236</v>
      </c>
    </row>
    <row r="208" spans="1:3" x14ac:dyDescent="0.25">
      <c r="A208" s="36">
        <v>41290</v>
      </c>
      <c r="B208" s="122">
        <v>5.0486111111111114E-2</v>
      </c>
      <c r="C208" s="26" t="s">
        <v>1198</v>
      </c>
    </row>
    <row r="209" spans="1:3" x14ac:dyDescent="0.25">
      <c r="A209" s="36">
        <v>41290</v>
      </c>
      <c r="B209" s="122">
        <v>5.0486111111111114E-2</v>
      </c>
      <c r="C209" s="26" t="s">
        <v>1198</v>
      </c>
    </row>
    <row r="210" spans="1:3" x14ac:dyDescent="0.25">
      <c r="A210" s="36">
        <v>41290</v>
      </c>
      <c r="B210" s="122">
        <v>5.0486111111111114E-2</v>
      </c>
      <c r="C210" s="26" t="s">
        <v>1237</v>
      </c>
    </row>
    <row r="211" spans="1:3" x14ac:dyDescent="0.25">
      <c r="A211" s="36">
        <v>41290</v>
      </c>
      <c r="B211" s="122">
        <v>5.0486111111111114E-2</v>
      </c>
      <c r="C211" s="26" t="s">
        <v>1208</v>
      </c>
    </row>
    <row r="212" spans="1:3" x14ac:dyDescent="0.25">
      <c r="A212" s="36">
        <v>41290</v>
      </c>
      <c r="B212" s="122">
        <v>5.0486111111111114E-2</v>
      </c>
      <c r="C212" s="26" t="s">
        <v>1238</v>
      </c>
    </row>
    <row r="213" spans="1:3" x14ac:dyDescent="0.25">
      <c r="A213" s="36">
        <v>41290</v>
      </c>
      <c r="B213" s="122">
        <v>5.0486111111111114E-2</v>
      </c>
      <c r="C213" s="26" t="s">
        <v>1239</v>
      </c>
    </row>
    <row r="214" spans="1:3" x14ac:dyDescent="0.25">
      <c r="A214" s="36">
        <v>41290</v>
      </c>
      <c r="B214" s="122">
        <v>5.0486111111111114E-2</v>
      </c>
      <c r="C214" s="26" t="s">
        <v>1133</v>
      </c>
    </row>
    <row r="215" spans="1:3" x14ac:dyDescent="0.25">
      <c r="A215" s="36">
        <v>41290</v>
      </c>
      <c r="B215" s="122">
        <v>5.0486111111111114E-2</v>
      </c>
      <c r="C215" s="26" t="s">
        <v>1240</v>
      </c>
    </row>
    <row r="216" spans="1:3" x14ac:dyDescent="0.25">
      <c r="A216" s="36">
        <v>41290</v>
      </c>
      <c r="B216" s="122">
        <v>5.0486111111111114E-2</v>
      </c>
      <c r="C216" s="26" t="s">
        <v>1240</v>
      </c>
    </row>
    <row r="217" spans="1:3" x14ac:dyDescent="0.25">
      <c r="A217" s="36">
        <v>41290</v>
      </c>
      <c r="B217" s="122">
        <v>5.0486111111111114E-2</v>
      </c>
      <c r="C217" s="26" t="s">
        <v>1240</v>
      </c>
    </row>
    <row r="218" spans="1:3" x14ac:dyDescent="0.25">
      <c r="A218" s="36">
        <v>41290</v>
      </c>
      <c r="B218" s="122">
        <v>5.0486111111111114E-2</v>
      </c>
      <c r="C218" s="26" t="s">
        <v>1241</v>
      </c>
    </row>
    <row r="219" spans="1:3" x14ac:dyDescent="0.25">
      <c r="A219" s="36">
        <v>41290</v>
      </c>
      <c r="B219" s="122">
        <v>5.0486111111111114E-2</v>
      </c>
      <c r="C219" s="26" t="s">
        <v>1242</v>
      </c>
    </row>
    <row r="220" spans="1:3" x14ac:dyDescent="0.25">
      <c r="A220" s="36">
        <v>41290</v>
      </c>
      <c r="B220" s="122">
        <v>5.0486111111111114E-2</v>
      </c>
      <c r="C220" s="26" t="s">
        <v>1199</v>
      </c>
    </row>
    <row r="221" spans="1:3" x14ac:dyDescent="0.25">
      <c r="A221" s="36">
        <v>41290</v>
      </c>
      <c r="B221" s="122">
        <v>5.0486111111111114E-2</v>
      </c>
      <c r="C221" s="26" t="s">
        <v>1243</v>
      </c>
    </row>
    <row r="222" spans="1:3" x14ac:dyDescent="0.25">
      <c r="A222" s="36">
        <v>41290</v>
      </c>
      <c r="B222" s="122">
        <v>5.0486111111111114E-2</v>
      </c>
      <c r="C222" s="26" t="s">
        <v>1244</v>
      </c>
    </row>
    <row r="223" spans="1:3" x14ac:dyDescent="0.25">
      <c r="A223" s="36">
        <v>41290</v>
      </c>
      <c r="B223" s="122">
        <v>5.0486111111111114E-2</v>
      </c>
      <c r="C223" s="26" t="s">
        <v>1245</v>
      </c>
    </row>
    <row r="224" spans="1:3" x14ac:dyDescent="0.25">
      <c r="A224" s="36">
        <v>41290</v>
      </c>
      <c r="B224" s="122">
        <v>5.0486111111111114E-2</v>
      </c>
      <c r="C224" s="26" t="s">
        <v>1246</v>
      </c>
    </row>
    <row r="225" spans="1:3" x14ac:dyDescent="0.25">
      <c r="A225" s="36">
        <v>41290</v>
      </c>
      <c r="B225" s="122">
        <v>5.0486111111111114E-2</v>
      </c>
      <c r="C225" s="26" t="s">
        <v>1247</v>
      </c>
    </row>
    <row r="226" spans="1:3" x14ac:dyDescent="0.25">
      <c r="A226" s="36">
        <v>41290</v>
      </c>
      <c r="B226" s="122">
        <v>5.0486111111111114E-2</v>
      </c>
      <c r="C226" s="26" t="s">
        <v>1241</v>
      </c>
    </row>
    <row r="227" spans="1:3" x14ac:dyDescent="0.25">
      <c r="A227" s="36">
        <v>41290</v>
      </c>
      <c r="B227" s="122">
        <v>5.0486111111111114E-2</v>
      </c>
      <c r="C227" s="26" t="s">
        <v>1248</v>
      </c>
    </row>
    <row r="228" spans="1:3" x14ac:dyDescent="0.25">
      <c r="A228" s="36">
        <v>41290</v>
      </c>
      <c r="B228" s="122">
        <v>5.0486111111111114E-2</v>
      </c>
      <c r="C228" s="26" t="s">
        <v>1230</v>
      </c>
    </row>
    <row r="229" spans="1:3" x14ac:dyDescent="0.25">
      <c r="A229" s="36">
        <v>41290</v>
      </c>
      <c r="B229" s="122">
        <v>5.0486111111111114E-2</v>
      </c>
      <c r="C229" s="26" t="s">
        <v>1249</v>
      </c>
    </row>
    <row r="230" spans="1:3" x14ac:dyDescent="0.25">
      <c r="A230" s="36">
        <v>41290</v>
      </c>
      <c r="B230" s="122">
        <v>5.0486111111111114E-2</v>
      </c>
      <c r="C230" s="26" t="s">
        <v>1250</v>
      </c>
    </row>
    <row r="231" spans="1:3" x14ac:dyDescent="0.25">
      <c r="A231" s="36">
        <v>41290</v>
      </c>
      <c r="B231" s="122">
        <v>5.0486111111111114E-2</v>
      </c>
      <c r="C231" s="26" t="s">
        <v>1251</v>
      </c>
    </row>
    <row r="232" spans="1:3" x14ac:dyDescent="0.25">
      <c r="A232" s="36">
        <v>41290</v>
      </c>
      <c r="B232" s="122">
        <v>5.0486111111111114E-2</v>
      </c>
      <c r="C232" s="26" t="s">
        <v>1252</v>
      </c>
    </row>
    <row r="233" spans="1:3" x14ac:dyDescent="0.25">
      <c r="A233" s="36">
        <v>41290</v>
      </c>
      <c r="B233" s="122">
        <v>5.0486111111111114E-2</v>
      </c>
      <c r="C233" s="26" t="s">
        <v>1253</v>
      </c>
    </row>
    <row r="234" spans="1:3" x14ac:dyDescent="0.25">
      <c r="A234" s="36">
        <v>41290</v>
      </c>
      <c r="B234" s="122">
        <v>5.0486111111111114E-2</v>
      </c>
      <c r="C234" s="26" t="s">
        <v>1253</v>
      </c>
    </row>
    <row r="235" spans="1:3" x14ac:dyDescent="0.25">
      <c r="A235" s="36">
        <v>41290</v>
      </c>
      <c r="B235" s="122">
        <v>5.0486111111111114E-2</v>
      </c>
      <c r="C235" s="26" t="s">
        <v>1254</v>
      </c>
    </row>
    <row r="236" spans="1:3" x14ac:dyDescent="0.25">
      <c r="A236" s="36">
        <v>41290</v>
      </c>
      <c r="B236" s="122">
        <v>5.0486111111111114E-2</v>
      </c>
      <c r="C236" s="26" t="s">
        <v>1255</v>
      </c>
    </row>
    <row r="237" spans="1:3" x14ac:dyDescent="0.25">
      <c r="A237" s="36">
        <v>41290</v>
      </c>
      <c r="B237" s="122">
        <v>5.0486111111111114E-2</v>
      </c>
      <c r="C237" s="26" t="s">
        <v>1256</v>
      </c>
    </row>
    <row r="238" spans="1:3" x14ac:dyDescent="0.25">
      <c r="A238" s="36">
        <v>41290</v>
      </c>
      <c r="B238" s="122">
        <v>5.0486111111111114E-2</v>
      </c>
      <c r="C238" s="26" t="s">
        <v>1257</v>
      </c>
    </row>
    <row r="239" spans="1:3" x14ac:dyDescent="0.25">
      <c r="A239" s="36">
        <v>41290</v>
      </c>
      <c r="B239" s="122">
        <v>5.0486111111111114E-2</v>
      </c>
      <c r="C239" s="26" t="s">
        <v>1258</v>
      </c>
    </row>
    <row r="240" spans="1:3" x14ac:dyDescent="0.25">
      <c r="A240" s="36">
        <v>41290</v>
      </c>
      <c r="B240" s="122">
        <v>5.0486111111111114E-2</v>
      </c>
      <c r="C240" s="26" t="s">
        <v>1259</v>
      </c>
    </row>
    <row r="241" spans="1:3" x14ac:dyDescent="0.25">
      <c r="A241" s="36">
        <v>41290</v>
      </c>
      <c r="B241" s="122">
        <v>5.0486111111111114E-2</v>
      </c>
      <c r="C241" s="26" t="s">
        <v>1260</v>
      </c>
    </row>
    <row r="242" spans="1:3" x14ac:dyDescent="0.25">
      <c r="A242" s="36">
        <v>41290</v>
      </c>
      <c r="B242" s="122">
        <v>5.0486111111111114E-2</v>
      </c>
      <c r="C242" s="26" t="s">
        <v>1261</v>
      </c>
    </row>
    <row r="243" spans="1:3" x14ac:dyDescent="0.25">
      <c r="A243" s="36">
        <v>41290</v>
      </c>
      <c r="B243" s="122">
        <v>5.0486111111111114E-2</v>
      </c>
      <c r="C243" s="26" t="s">
        <v>1262</v>
      </c>
    </row>
    <row r="244" spans="1:3" x14ac:dyDescent="0.25">
      <c r="A244" s="36">
        <v>41290</v>
      </c>
      <c r="B244" s="122">
        <v>5.0486111111111114E-2</v>
      </c>
      <c r="C244" s="26" t="s">
        <v>1263</v>
      </c>
    </row>
    <row r="245" spans="1:3" x14ac:dyDescent="0.25">
      <c r="A245" s="36">
        <v>41290</v>
      </c>
      <c r="B245" s="122">
        <v>5.0486111111111114E-2</v>
      </c>
      <c r="C245" s="26" t="s">
        <v>1263</v>
      </c>
    </row>
    <row r="246" spans="1:3" x14ac:dyDescent="0.25">
      <c r="A246" s="36">
        <v>41290</v>
      </c>
      <c r="B246" s="122">
        <v>5.0486111111111114E-2</v>
      </c>
      <c r="C246" s="26" t="s">
        <v>1263</v>
      </c>
    </row>
    <row r="247" spans="1:3" x14ac:dyDescent="0.25">
      <c r="A247" s="36">
        <v>41290</v>
      </c>
      <c r="B247" s="122">
        <v>5.0486111111111114E-2</v>
      </c>
      <c r="C247" s="26" t="s">
        <v>1264</v>
      </c>
    </row>
    <row r="248" spans="1:3" x14ac:dyDescent="0.25">
      <c r="A248" s="36">
        <v>41290</v>
      </c>
      <c r="B248" s="122">
        <v>5.0486111111111114E-2</v>
      </c>
      <c r="C248" s="26" t="s">
        <v>1133</v>
      </c>
    </row>
    <row r="249" spans="1:3" x14ac:dyDescent="0.25">
      <c r="A249" s="36">
        <v>41290</v>
      </c>
      <c r="B249" s="122">
        <v>5.0486111111111114E-2</v>
      </c>
      <c r="C249" s="26" t="s">
        <v>1265</v>
      </c>
    </row>
    <row r="250" spans="1:3" x14ac:dyDescent="0.25">
      <c r="A250" s="36">
        <v>41290</v>
      </c>
      <c r="B250" s="122">
        <v>5.0486111111111114E-2</v>
      </c>
      <c r="C250" s="26" t="s">
        <v>1230</v>
      </c>
    </row>
    <row r="251" spans="1:3" x14ac:dyDescent="0.25">
      <c r="A251" s="36">
        <v>41290</v>
      </c>
      <c r="B251" s="122">
        <v>5.0486111111111114E-2</v>
      </c>
      <c r="C251" s="26" t="s">
        <v>1266</v>
      </c>
    </row>
    <row r="252" spans="1:3" x14ac:dyDescent="0.25">
      <c r="A252" s="36">
        <v>41290</v>
      </c>
      <c r="B252" s="122">
        <v>5.0486111111111114E-2</v>
      </c>
      <c r="C252" s="26" t="s">
        <v>1267</v>
      </c>
    </row>
    <row r="253" spans="1:3" x14ac:dyDescent="0.25">
      <c r="A253" s="36">
        <v>41290</v>
      </c>
      <c r="B253" s="122">
        <v>5.0486111111111114E-2</v>
      </c>
      <c r="C253" s="26" t="s">
        <v>1171</v>
      </c>
    </row>
    <row r="254" spans="1:3" x14ac:dyDescent="0.25">
      <c r="A254" s="36">
        <v>41290</v>
      </c>
      <c r="B254" s="122">
        <v>5.0486111111111114E-2</v>
      </c>
      <c r="C254" s="26" t="s">
        <v>1171</v>
      </c>
    </row>
    <row r="255" spans="1:3" x14ac:dyDescent="0.25">
      <c r="A255" s="36">
        <v>41290</v>
      </c>
      <c r="B255" s="122">
        <v>5.0486111111111114E-2</v>
      </c>
      <c r="C255" s="26" t="s">
        <v>1171</v>
      </c>
    </row>
    <row r="256" spans="1:3" x14ac:dyDescent="0.25">
      <c r="A256" s="36">
        <v>41290</v>
      </c>
      <c r="B256" s="122">
        <v>5.0486111111111114E-2</v>
      </c>
      <c r="C256" s="26" t="s">
        <v>1230</v>
      </c>
    </row>
    <row r="257" spans="1:3" x14ac:dyDescent="0.25">
      <c r="A257" s="36">
        <v>41290</v>
      </c>
      <c r="B257" s="122">
        <v>5.0486111111111114E-2</v>
      </c>
      <c r="C257" s="26" t="s">
        <v>1268</v>
      </c>
    </row>
    <row r="258" spans="1:3" x14ac:dyDescent="0.25">
      <c r="A258" s="36">
        <v>41290</v>
      </c>
      <c r="B258" s="122">
        <v>5.0486111111111114E-2</v>
      </c>
      <c r="C258" s="26" t="s">
        <v>1269</v>
      </c>
    </row>
    <row r="259" spans="1:3" x14ac:dyDescent="0.25">
      <c r="A259" s="36">
        <v>41290</v>
      </c>
      <c r="B259" s="122">
        <v>5.0486111111111114E-2</v>
      </c>
      <c r="C259" s="26" t="s">
        <v>1270</v>
      </c>
    </row>
    <row r="260" spans="1:3" x14ac:dyDescent="0.25">
      <c r="A260" s="36">
        <v>41290</v>
      </c>
      <c r="B260" s="122">
        <v>5.0486111111111114E-2</v>
      </c>
      <c r="C260" s="26" t="s">
        <v>1270</v>
      </c>
    </row>
    <row r="261" spans="1:3" x14ac:dyDescent="0.25">
      <c r="A261" s="36">
        <v>41290</v>
      </c>
      <c r="B261" s="122">
        <v>5.0486111111111114E-2</v>
      </c>
      <c r="C261" s="26" t="s">
        <v>1271</v>
      </c>
    </row>
    <row r="262" spans="1:3" x14ac:dyDescent="0.25">
      <c r="A262" s="36">
        <v>41290</v>
      </c>
      <c r="B262" s="122">
        <v>5.0486111111111114E-2</v>
      </c>
      <c r="C262" s="26" t="s">
        <v>1272</v>
      </c>
    </row>
    <row r="263" spans="1:3" x14ac:dyDescent="0.25">
      <c r="A263" s="36">
        <v>41290</v>
      </c>
      <c r="B263" s="122">
        <v>5.0486111111111114E-2</v>
      </c>
      <c r="C263" s="26" t="s">
        <v>1273</v>
      </c>
    </row>
    <row r="264" spans="1:3" x14ac:dyDescent="0.25">
      <c r="A264" s="36">
        <v>41290</v>
      </c>
      <c r="B264" s="122">
        <v>5.0486111111111114E-2</v>
      </c>
      <c r="C264" s="26" t="s">
        <v>1274</v>
      </c>
    </row>
    <row r="265" spans="1:3" x14ac:dyDescent="0.25">
      <c r="A265" s="36">
        <v>41290</v>
      </c>
      <c r="B265" s="122">
        <v>5.0486111111111114E-2</v>
      </c>
      <c r="C265" s="26" t="s">
        <v>1275</v>
      </c>
    </row>
    <row r="266" spans="1:3" x14ac:dyDescent="0.25">
      <c r="A266" s="36">
        <v>41290</v>
      </c>
      <c r="B266" s="122">
        <v>5.0486111111111114E-2</v>
      </c>
      <c r="C266" s="26" t="s">
        <v>1275</v>
      </c>
    </row>
    <row r="267" spans="1:3" x14ac:dyDescent="0.25">
      <c r="A267" s="36">
        <v>41290</v>
      </c>
      <c r="B267" s="122">
        <v>5.0486111111111114E-2</v>
      </c>
      <c r="C267" s="26" t="s">
        <v>1275</v>
      </c>
    </row>
    <row r="268" spans="1:3" x14ac:dyDescent="0.25">
      <c r="A268" s="36">
        <v>41290</v>
      </c>
      <c r="B268" s="122">
        <v>5.0486111111111114E-2</v>
      </c>
      <c r="C268" s="26" t="s">
        <v>1275</v>
      </c>
    </row>
    <row r="269" spans="1:3" x14ac:dyDescent="0.25">
      <c r="A269" s="36">
        <v>41290</v>
      </c>
      <c r="B269" s="122">
        <v>5.0486111111111114E-2</v>
      </c>
      <c r="C269" s="26" t="s">
        <v>1275</v>
      </c>
    </row>
    <row r="270" spans="1:3" x14ac:dyDescent="0.25">
      <c r="A270" s="36">
        <v>41290</v>
      </c>
      <c r="B270" s="122">
        <v>5.0486111111111114E-2</v>
      </c>
      <c r="C270" s="26" t="s">
        <v>1275</v>
      </c>
    </row>
    <row r="271" spans="1:3" x14ac:dyDescent="0.25">
      <c r="A271" s="36">
        <v>41290</v>
      </c>
      <c r="B271" s="122">
        <v>5.0486111111111114E-2</v>
      </c>
      <c r="C271" s="26" t="s">
        <v>1275</v>
      </c>
    </row>
    <row r="272" spans="1:3" x14ac:dyDescent="0.25">
      <c r="A272" s="36">
        <v>41290</v>
      </c>
      <c r="B272" s="122">
        <v>5.0486111111111114E-2</v>
      </c>
      <c r="C272" s="26" t="s">
        <v>1276</v>
      </c>
    </row>
    <row r="273" spans="1:3" x14ac:dyDescent="0.25">
      <c r="A273" s="36">
        <v>41290</v>
      </c>
      <c r="B273" s="122">
        <v>5.0486111111111114E-2</v>
      </c>
      <c r="C273" s="26" t="s">
        <v>1277</v>
      </c>
    </row>
    <row r="274" spans="1:3" x14ac:dyDescent="0.25">
      <c r="A274" s="36">
        <v>41290</v>
      </c>
      <c r="B274" s="122">
        <v>5.0497685185185187E-2</v>
      </c>
      <c r="C274" s="26" t="s">
        <v>1278</v>
      </c>
    </row>
    <row r="275" spans="1:3" x14ac:dyDescent="0.25">
      <c r="A275" s="36">
        <v>41290</v>
      </c>
      <c r="B275" s="122">
        <v>5.1585648148148144E-2</v>
      </c>
      <c r="C275" s="26" t="s">
        <v>1279</v>
      </c>
    </row>
    <row r="276" spans="1:3" x14ac:dyDescent="0.25">
      <c r="A276" s="36">
        <v>41290</v>
      </c>
      <c r="B276" s="122">
        <v>6.1701388888888896E-2</v>
      </c>
      <c r="C276" s="26" t="s">
        <v>1279</v>
      </c>
    </row>
    <row r="277" spans="1:3" x14ac:dyDescent="0.25">
      <c r="A277" s="36">
        <v>41290</v>
      </c>
      <c r="B277" s="122">
        <v>6.2789351851851846E-2</v>
      </c>
      <c r="C277" s="26" t="s">
        <v>1280</v>
      </c>
    </row>
    <row r="278" spans="1:3" x14ac:dyDescent="0.25">
      <c r="A278" s="36">
        <v>41290</v>
      </c>
      <c r="B278" s="122">
        <v>6.4097222222222222E-2</v>
      </c>
      <c r="C278" s="26" t="s">
        <v>1281</v>
      </c>
    </row>
    <row r="279" spans="1:3" x14ac:dyDescent="0.25">
      <c r="A279" s="36">
        <v>41290</v>
      </c>
      <c r="B279" s="122">
        <v>6.4328703703703707E-2</v>
      </c>
      <c r="C279" s="26" t="s">
        <v>1282</v>
      </c>
    </row>
    <row r="280" spans="1:3" x14ac:dyDescent="0.25">
      <c r="A280" s="36">
        <v>41290</v>
      </c>
      <c r="B280" s="122">
        <v>6.4861111111111105E-2</v>
      </c>
      <c r="C280" s="26" t="s">
        <v>1283</v>
      </c>
    </row>
    <row r="281" spans="1:3" x14ac:dyDescent="0.25">
      <c r="A281" s="36">
        <v>41290</v>
      </c>
      <c r="B281" s="122">
        <v>6.491898148148148E-2</v>
      </c>
      <c r="C281" s="26" t="s">
        <v>1282</v>
      </c>
    </row>
    <row r="282" spans="1:3" x14ac:dyDescent="0.25">
      <c r="A282" s="36">
        <v>41290</v>
      </c>
      <c r="B282" s="122">
        <v>6.4930555555555561E-2</v>
      </c>
      <c r="C282" s="26" t="s">
        <v>1284</v>
      </c>
    </row>
    <row r="283" spans="1:3" x14ac:dyDescent="0.25">
      <c r="A283" s="36">
        <v>41290</v>
      </c>
      <c r="B283" s="122">
        <v>6.4953703703703694E-2</v>
      </c>
      <c r="C283" s="26" t="s">
        <v>1285</v>
      </c>
    </row>
    <row r="284" spans="1:3" x14ac:dyDescent="0.25">
      <c r="A284" s="36">
        <v>41290</v>
      </c>
      <c r="B284" s="122">
        <v>6.4976851851851855E-2</v>
      </c>
      <c r="C284" s="26" t="s">
        <v>1286</v>
      </c>
    </row>
    <row r="285" spans="1:3" x14ac:dyDescent="0.25">
      <c r="A285" s="36">
        <v>41290</v>
      </c>
      <c r="B285" s="122">
        <v>6.5011574074074083E-2</v>
      </c>
      <c r="C285" s="26" t="s">
        <v>1287</v>
      </c>
    </row>
    <row r="286" spans="1:3" x14ac:dyDescent="0.25">
      <c r="A286" s="36">
        <v>41290</v>
      </c>
      <c r="B286" s="122">
        <v>6.5439814814814812E-2</v>
      </c>
      <c r="C286" s="26" t="s">
        <v>1285</v>
      </c>
    </row>
    <row r="287" spans="1:3" x14ac:dyDescent="0.25">
      <c r="A287" s="36">
        <v>41290</v>
      </c>
      <c r="B287" s="122">
        <v>6.5462962962962959E-2</v>
      </c>
      <c r="C287" s="26" t="s">
        <v>1288</v>
      </c>
    </row>
    <row r="288" spans="1:3" x14ac:dyDescent="0.25">
      <c r="A288" s="36">
        <v>41290</v>
      </c>
      <c r="B288" s="122">
        <v>6.6041666666666665E-2</v>
      </c>
      <c r="C288" s="26" t="s">
        <v>1288</v>
      </c>
    </row>
    <row r="289" spans="1:3" x14ac:dyDescent="0.25">
      <c r="A289" s="36">
        <v>41290</v>
      </c>
      <c r="B289" s="122">
        <v>6.6342592592592592E-2</v>
      </c>
      <c r="C289" s="26" t="s">
        <v>1289</v>
      </c>
    </row>
    <row r="290" spans="1:3" x14ac:dyDescent="0.25">
      <c r="A290" s="36">
        <v>41290</v>
      </c>
      <c r="B290" s="122">
        <v>6.6435185185185194E-2</v>
      </c>
      <c r="C290" s="26" t="s">
        <v>1290</v>
      </c>
    </row>
    <row r="291" spans="1:3" x14ac:dyDescent="0.25">
      <c r="A291" s="36">
        <v>41290</v>
      </c>
      <c r="B291" s="122">
        <v>6.6504629629629622E-2</v>
      </c>
      <c r="C291" s="26" t="s">
        <v>1289</v>
      </c>
    </row>
    <row r="292" spans="1:3" x14ac:dyDescent="0.25">
      <c r="A292" s="36">
        <v>41290</v>
      </c>
      <c r="B292" s="122">
        <v>6.6516203703703702E-2</v>
      </c>
      <c r="C292" s="26" t="s">
        <v>1291</v>
      </c>
    </row>
    <row r="293" spans="1:3" x14ac:dyDescent="0.25">
      <c r="A293" s="36">
        <v>41290</v>
      </c>
      <c r="B293" s="122">
        <v>6.653935185185185E-2</v>
      </c>
      <c r="C293" s="26" t="s">
        <v>1292</v>
      </c>
    </row>
    <row r="294" spans="1:3" x14ac:dyDescent="0.25">
      <c r="A294" s="36">
        <v>41290</v>
      </c>
      <c r="B294" s="122">
        <v>6.655092592592593E-2</v>
      </c>
      <c r="C294" s="26" t="s">
        <v>1293</v>
      </c>
    </row>
    <row r="295" spans="1:3" x14ac:dyDescent="0.25">
      <c r="A295" s="36">
        <v>41290</v>
      </c>
      <c r="B295" s="122">
        <v>6.6574074074074077E-2</v>
      </c>
      <c r="C295" s="26" t="s">
        <v>1294</v>
      </c>
    </row>
    <row r="296" spans="1:3" x14ac:dyDescent="0.25">
      <c r="A296" s="36">
        <v>41290</v>
      </c>
      <c r="B296" s="122">
        <v>6.9062500000000013E-2</v>
      </c>
      <c r="C296" s="26" t="s">
        <v>1289</v>
      </c>
    </row>
    <row r="297" spans="1:3" x14ac:dyDescent="0.25">
      <c r="A297" s="36">
        <v>41290</v>
      </c>
      <c r="B297" s="122">
        <v>7.4166666666666659E-2</v>
      </c>
      <c r="C297" s="26" t="s">
        <v>1295</v>
      </c>
    </row>
    <row r="298" spans="1:3" x14ac:dyDescent="0.25">
      <c r="A298" s="36">
        <v>41290</v>
      </c>
      <c r="B298" s="122">
        <v>7.440972222222221E-2</v>
      </c>
      <c r="C298" s="26" t="s">
        <v>1296</v>
      </c>
    </row>
    <row r="299" spans="1:3" x14ac:dyDescent="0.25">
      <c r="A299" s="36">
        <v>41290</v>
      </c>
      <c r="B299" s="122">
        <v>7.4930555555555556E-2</v>
      </c>
      <c r="C299" s="26" t="s">
        <v>1285</v>
      </c>
    </row>
    <row r="300" spans="1:3" x14ac:dyDescent="0.25">
      <c r="A300" s="36">
        <v>41290</v>
      </c>
      <c r="B300" s="122">
        <v>7.5173611111111108E-2</v>
      </c>
      <c r="C300" s="26" t="s">
        <v>1283</v>
      </c>
    </row>
    <row r="301" spans="1:3" x14ac:dyDescent="0.25">
      <c r="A301" s="36">
        <v>41290</v>
      </c>
      <c r="B301" s="122">
        <v>7.6388888888888895E-2</v>
      </c>
      <c r="C301" s="26" t="s">
        <v>1297</v>
      </c>
    </row>
    <row r="302" spans="1:3" x14ac:dyDescent="0.25">
      <c r="A302" s="36">
        <v>41296</v>
      </c>
      <c r="B302" s="122">
        <v>3.4606481481481485E-3</v>
      </c>
      <c r="C302" s="26" t="s">
        <v>1298</v>
      </c>
    </row>
    <row r="303" spans="1:3" ht="45" x14ac:dyDescent="0.25">
      <c r="A303" s="36">
        <v>41296</v>
      </c>
      <c r="B303" s="122">
        <v>6.5624999999999998E-3</v>
      </c>
      <c r="C303" s="765" t="s">
        <v>1299</v>
      </c>
    </row>
    <row r="304" spans="1:3" x14ac:dyDescent="0.25">
      <c r="A304" s="36">
        <v>41296</v>
      </c>
      <c r="B304" s="122">
        <v>8.9351851851851866E-3</v>
      </c>
      <c r="C304" s="26" t="s">
        <v>1300</v>
      </c>
    </row>
    <row r="305" spans="1:3" ht="45" x14ac:dyDescent="0.25">
      <c r="A305" s="36">
        <v>41296</v>
      </c>
      <c r="B305" s="122">
        <v>9.1898148148148139E-3</v>
      </c>
      <c r="C305" s="765" t="s">
        <v>1301</v>
      </c>
    </row>
    <row r="306" spans="1:3" x14ac:dyDescent="0.25">
      <c r="A306" s="36">
        <v>41296</v>
      </c>
      <c r="B306" s="122">
        <v>1.375E-2</v>
      </c>
      <c r="C306" s="26" t="s">
        <v>1302</v>
      </c>
    </row>
    <row r="307" spans="1:3" x14ac:dyDescent="0.25">
      <c r="A307" s="36">
        <v>41296</v>
      </c>
      <c r="B307" s="122">
        <v>1.4513888888888889E-2</v>
      </c>
      <c r="C307" s="26" t="s">
        <v>1303</v>
      </c>
    </row>
    <row r="308" spans="1:3" ht="45" x14ac:dyDescent="0.25">
      <c r="A308" s="36">
        <v>41296</v>
      </c>
      <c r="B308" s="122">
        <v>1.5578703703703704E-2</v>
      </c>
      <c r="C308" s="765" t="s">
        <v>1304</v>
      </c>
    </row>
    <row r="309" spans="1:3" ht="45" x14ac:dyDescent="0.25">
      <c r="A309" s="36">
        <v>41296</v>
      </c>
      <c r="B309" s="122">
        <v>1.5694444444444445E-2</v>
      </c>
      <c r="C309" s="765" t="s">
        <v>1305</v>
      </c>
    </row>
    <row r="310" spans="1:3" ht="30" x14ac:dyDescent="0.25">
      <c r="A310" s="36">
        <v>41296</v>
      </c>
      <c r="B310" s="122">
        <v>1.5740740740740743E-2</v>
      </c>
      <c r="C310" s="765" t="s">
        <v>1306</v>
      </c>
    </row>
    <row r="311" spans="1:3" x14ac:dyDescent="0.25">
      <c r="A311" s="36">
        <v>41296</v>
      </c>
      <c r="B311" s="122">
        <v>2.0775462962962964E-2</v>
      </c>
      <c r="C311" s="26" t="s">
        <v>1307</v>
      </c>
    </row>
    <row r="312" spans="1:3" ht="45" x14ac:dyDescent="0.25">
      <c r="A312" s="36">
        <v>41296</v>
      </c>
      <c r="B312" s="122">
        <v>2.2025462962962958E-2</v>
      </c>
      <c r="C312" s="765" t="s">
        <v>1308</v>
      </c>
    </row>
    <row r="313" spans="1:3" x14ac:dyDescent="0.25">
      <c r="A313" s="36">
        <v>41296</v>
      </c>
      <c r="B313" s="122">
        <v>2.326388888888889E-2</v>
      </c>
      <c r="C313" s="26" t="s">
        <v>1309</v>
      </c>
    </row>
    <row r="314" spans="1:3" ht="30" x14ac:dyDescent="0.25">
      <c r="A314" s="36">
        <v>41296</v>
      </c>
      <c r="B314" s="122">
        <v>2.3368055555555555E-2</v>
      </c>
      <c r="C314" s="765" t="s">
        <v>1310</v>
      </c>
    </row>
    <row r="315" spans="1:3" ht="45" x14ac:dyDescent="0.25">
      <c r="A315" s="36">
        <v>41296</v>
      </c>
      <c r="B315" s="122">
        <v>2.3680555555555555E-2</v>
      </c>
      <c r="C315" s="765" t="s">
        <v>1311</v>
      </c>
    </row>
    <row r="316" spans="1:3" x14ac:dyDescent="0.25">
      <c r="A316" s="36">
        <v>41296</v>
      </c>
      <c r="B316" s="122">
        <v>3.4340277777777782E-2</v>
      </c>
      <c r="C316" s="26" t="s">
        <v>1312</v>
      </c>
    </row>
    <row r="317" spans="1:3" ht="45" x14ac:dyDescent="0.25">
      <c r="A317" s="36">
        <v>41296</v>
      </c>
      <c r="B317" s="122">
        <v>3.4861111111111114E-2</v>
      </c>
      <c r="C317" s="765" t="s">
        <v>1313</v>
      </c>
    </row>
    <row r="318" spans="1:3" x14ac:dyDescent="0.25">
      <c r="A318" s="36">
        <v>41296</v>
      </c>
      <c r="B318" s="122">
        <v>3.8715277777777779E-2</v>
      </c>
      <c r="C318" s="26" t="s">
        <v>1280</v>
      </c>
    </row>
    <row r="319" spans="1:3" x14ac:dyDescent="0.25">
      <c r="A319" s="36">
        <v>41296</v>
      </c>
      <c r="B319" s="122">
        <v>3.8715277777777779E-2</v>
      </c>
      <c r="C319" s="26" t="s">
        <v>1281</v>
      </c>
    </row>
    <row r="320" spans="1:3" x14ac:dyDescent="0.25">
      <c r="A320" s="36">
        <v>41296</v>
      </c>
      <c r="B320" s="122">
        <v>3.8715277777777779E-2</v>
      </c>
      <c r="C320" s="26" t="s">
        <v>1283</v>
      </c>
    </row>
    <row r="321" spans="1:3" x14ac:dyDescent="0.25">
      <c r="A321" s="36">
        <v>41296</v>
      </c>
      <c r="B321" s="122">
        <v>3.8715277777777779E-2</v>
      </c>
      <c r="C321" s="26" t="s">
        <v>1284</v>
      </c>
    </row>
    <row r="322" spans="1:3" x14ac:dyDescent="0.25">
      <c r="A322" s="36">
        <v>41296</v>
      </c>
      <c r="B322" s="122">
        <v>3.8715277777777779E-2</v>
      </c>
      <c r="C322" s="26" t="s">
        <v>1285</v>
      </c>
    </row>
    <row r="323" spans="1:3" x14ac:dyDescent="0.25">
      <c r="A323" s="36">
        <v>41296</v>
      </c>
      <c r="B323" s="122">
        <v>3.8715277777777779E-2</v>
      </c>
      <c r="C323" s="26" t="s">
        <v>1286</v>
      </c>
    </row>
    <row r="324" spans="1:3" x14ac:dyDescent="0.25">
      <c r="A324" s="36">
        <v>41296</v>
      </c>
      <c r="B324" s="122">
        <v>3.8715277777777779E-2</v>
      </c>
      <c r="C324" s="26" t="s">
        <v>1287</v>
      </c>
    </row>
    <row r="325" spans="1:3" x14ac:dyDescent="0.25">
      <c r="A325" s="36">
        <v>41296</v>
      </c>
      <c r="B325" s="122">
        <v>3.8715277777777779E-2</v>
      </c>
      <c r="C325" s="26" t="s">
        <v>1285</v>
      </c>
    </row>
    <row r="326" spans="1:3" x14ac:dyDescent="0.25">
      <c r="A326" s="36">
        <v>41296</v>
      </c>
      <c r="B326" s="122">
        <v>3.8715277777777779E-2</v>
      </c>
      <c r="C326" s="26" t="s">
        <v>1288</v>
      </c>
    </row>
    <row r="327" spans="1:3" x14ac:dyDescent="0.25">
      <c r="A327" s="36">
        <v>41296</v>
      </c>
      <c r="B327" s="122">
        <v>3.8715277777777779E-2</v>
      </c>
      <c r="C327" s="26" t="s">
        <v>1288</v>
      </c>
    </row>
    <row r="328" spans="1:3" x14ac:dyDescent="0.25">
      <c r="A328" s="36">
        <v>41296</v>
      </c>
      <c r="B328" s="122">
        <v>3.8715277777777779E-2</v>
      </c>
      <c r="C328" s="26" t="s">
        <v>1290</v>
      </c>
    </row>
    <row r="329" spans="1:3" x14ac:dyDescent="0.25">
      <c r="A329" s="36">
        <v>41296</v>
      </c>
      <c r="B329" s="122">
        <v>3.8715277777777779E-2</v>
      </c>
      <c r="C329" s="26" t="s">
        <v>1291</v>
      </c>
    </row>
    <row r="330" spans="1:3" x14ac:dyDescent="0.25">
      <c r="A330" s="36">
        <v>41296</v>
      </c>
      <c r="B330" s="122">
        <v>3.8715277777777779E-2</v>
      </c>
      <c r="C330" s="26" t="s">
        <v>1292</v>
      </c>
    </row>
    <row r="331" spans="1:3" x14ac:dyDescent="0.25">
      <c r="A331" s="36">
        <v>41296</v>
      </c>
      <c r="B331" s="122">
        <v>3.8715277777777779E-2</v>
      </c>
      <c r="C331" s="26" t="s">
        <v>1293</v>
      </c>
    </row>
    <row r="332" spans="1:3" x14ac:dyDescent="0.25">
      <c r="A332" s="36">
        <v>41296</v>
      </c>
      <c r="B332" s="122">
        <v>3.8715277777777779E-2</v>
      </c>
      <c r="C332" s="26" t="s">
        <v>1294</v>
      </c>
    </row>
    <row r="333" spans="1:3" x14ac:dyDescent="0.25">
      <c r="A333" s="36">
        <v>41296</v>
      </c>
      <c r="B333" s="122">
        <v>3.8715277777777779E-2</v>
      </c>
      <c r="C333" s="26" t="s">
        <v>1285</v>
      </c>
    </row>
    <row r="334" spans="1:3" x14ac:dyDescent="0.25">
      <c r="A334" s="36">
        <v>41296</v>
      </c>
      <c r="B334" s="122">
        <v>3.8715277777777779E-2</v>
      </c>
      <c r="C334" s="26" t="s">
        <v>1283</v>
      </c>
    </row>
    <row r="335" spans="1:3" x14ac:dyDescent="0.25">
      <c r="A335" s="36">
        <v>41296</v>
      </c>
      <c r="B335" s="122">
        <v>3.8715277777777779E-2</v>
      </c>
      <c r="C335" s="26" t="s">
        <v>1314</v>
      </c>
    </row>
    <row r="336" spans="1:3" x14ac:dyDescent="0.25">
      <c r="A336" s="36">
        <v>41296</v>
      </c>
      <c r="B336" s="122">
        <v>4.0671296296296296E-2</v>
      </c>
      <c r="C336" s="26" t="s">
        <v>1315</v>
      </c>
    </row>
    <row r="337" spans="1:3" ht="30" x14ac:dyDescent="0.25">
      <c r="A337" s="36">
        <v>41296</v>
      </c>
      <c r="B337" s="122">
        <v>4.071759259259259E-2</v>
      </c>
      <c r="C337" s="765" t="s">
        <v>1316</v>
      </c>
    </row>
    <row r="338" spans="1:3" ht="45" x14ac:dyDescent="0.25">
      <c r="A338" s="36">
        <v>41296</v>
      </c>
      <c r="B338" s="122">
        <v>4.0763888888888891E-2</v>
      </c>
      <c r="C338" s="765" t="s">
        <v>1317</v>
      </c>
    </row>
    <row r="339" spans="1:3" x14ac:dyDescent="0.25">
      <c r="A339" s="36">
        <v>41296</v>
      </c>
      <c r="B339" s="122">
        <v>4.5115740740740741E-2</v>
      </c>
      <c r="C339" s="26" t="s">
        <v>1312</v>
      </c>
    </row>
    <row r="340" spans="1:3" ht="45" x14ac:dyDescent="0.25">
      <c r="A340" s="36">
        <v>41296</v>
      </c>
      <c r="B340" s="122">
        <v>4.5717592592592594E-2</v>
      </c>
      <c r="C340" s="765" t="s">
        <v>1318</v>
      </c>
    </row>
    <row r="341" spans="1:3" x14ac:dyDescent="0.25">
      <c r="A341" s="36">
        <v>41296</v>
      </c>
      <c r="B341" s="122">
        <v>5.2546296296296292E-2</v>
      </c>
      <c r="C341" s="26" t="s">
        <v>1259</v>
      </c>
    </row>
    <row r="342" spans="1:3" x14ac:dyDescent="0.25">
      <c r="A342" s="36">
        <v>41296</v>
      </c>
      <c r="B342" s="122">
        <v>5.2546296296296292E-2</v>
      </c>
      <c r="C342" s="26" t="s">
        <v>1211</v>
      </c>
    </row>
    <row r="343" spans="1:3" x14ac:dyDescent="0.25">
      <c r="A343" s="36">
        <v>41296</v>
      </c>
      <c r="B343" s="122">
        <v>5.2546296296296292E-2</v>
      </c>
      <c r="C343" s="26" t="s">
        <v>1151</v>
      </c>
    </row>
    <row r="344" spans="1:3" x14ac:dyDescent="0.25">
      <c r="A344" s="36">
        <v>41296</v>
      </c>
      <c r="B344" s="122">
        <v>5.2546296296296292E-2</v>
      </c>
      <c r="C344" s="26" t="s">
        <v>1172</v>
      </c>
    </row>
    <row r="345" spans="1:3" x14ac:dyDescent="0.25">
      <c r="A345" s="36">
        <v>41296</v>
      </c>
      <c r="B345" s="122">
        <v>5.2546296296296292E-2</v>
      </c>
      <c r="C345" s="26" t="s">
        <v>1241</v>
      </c>
    </row>
    <row r="346" spans="1:3" x14ac:dyDescent="0.25">
      <c r="A346" s="36">
        <v>41296</v>
      </c>
      <c r="B346" s="122">
        <v>5.2546296296296292E-2</v>
      </c>
      <c r="C346" s="26" t="s">
        <v>1218</v>
      </c>
    </row>
    <row r="347" spans="1:3" x14ac:dyDescent="0.25">
      <c r="A347" s="36">
        <v>41296</v>
      </c>
      <c r="B347" s="122">
        <v>5.2546296296296292E-2</v>
      </c>
      <c r="C347" s="26" t="s">
        <v>1169</v>
      </c>
    </row>
    <row r="348" spans="1:3" x14ac:dyDescent="0.25">
      <c r="A348" s="36">
        <v>41296</v>
      </c>
      <c r="B348" s="122">
        <v>5.2546296296296292E-2</v>
      </c>
      <c r="C348" s="26" t="s">
        <v>1263</v>
      </c>
    </row>
    <row r="349" spans="1:3" x14ac:dyDescent="0.25">
      <c r="A349" s="36">
        <v>41296</v>
      </c>
      <c r="B349" s="122">
        <v>5.2546296296296292E-2</v>
      </c>
      <c r="C349" s="26" t="s">
        <v>1207</v>
      </c>
    </row>
    <row r="350" spans="1:3" x14ac:dyDescent="0.25">
      <c r="A350" s="36">
        <v>41296</v>
      </c>
      <c r="B350" s="122">
        <v>5.2546296296296292E-2</v>
      </c>
      <c r="C350" s="26" t="s">
        <v>1227</v>
      </c>
    </row>
    <row r="351" spans="1:3" x14ac:dyDescent="0.25">
      <c r="A351" s="36">
        <v>41296</v>
      </c>
      <c r="B351" s="122">
        <v>5.2546296296296292E-2</v>
      </c>
      <c r="C351" s="26" t="s">
        <v>1161</v>
      </c>
    </row>
    <row r="352" spans="1:3" x14ac:dyDescent="0.25">
      <c r="A352" s="36">
        <v>41296</v>
      </c>
      <c r="B352" s="122">
        <v>5.2546296296296292E-2</v>
      </c>
      <c r="C352" s="26" t="s">
        <v>1234</v>
      </c>
    </row>
    <row r="353" spans="1:3" x14ac:dyDescent="0.25">
      <c r="A353" s="36">
        <v>41296</v>
      </c>
      <c r="B353" s="122">
        <v>5.2546296296296292E-2</v>
      </c>
      <c r="C353" s="26" t="s">
        <v>1266</v>
      </c>
    </row>
    <row r="354" spans="1:3" x14ac:dyDescent="0.25">
      <c r="A354" s="36">
        <v>41296</v>
      </c>
      <c r="B354" s="122">
        <v>5.2546296296296292E-2</v>
      </c>
      <c r="C354" s="26" t="s">
        <v>1174</v>
      </c>
    </row>
    <row r="355" spans="1:3" x14ac:dyDescent="0.25">
      <c r="A355" s="36">
        <v>41296</v>
      </c>
      <c r="B355" s="122">
        <v>5.2546296296296292E-2</v>
      </c>
      <c r="C355" s="26" t="s">
        <v>1217</v>
      </c>
    </row>
    <row r="356" spans="1:3" x14ac:dyDescent="0.25">
      <c r="A356" s="36">
        <v>41296</v>
      </c>
      <c r="B356" s="122">
        <v>5.2546296296296292E-2</v>
      </c>
      <c r="C356" s="26" t="s">
        <v>1272</v>
      </c>
    </row>
    <row r="357" spans="1:3" x14ac:dyDescent="0.25">
      <c r="A357" s="36">
        <v>41296</v>
      </c>
      <c r="B357" s="122">
        <v>5.2546296296296292E-2</v>
      </c>
      <c r="C357" s="26" t="s">
        <v>1262</v>
      </c>
    </row>
    <row r="358" spans="1:3" x14ac:dyDescent="0.25">
      <c r="A358" s="36">
        <v>41296</v>
      </c>
      <c r="B358" s="122">
        <v>5.2546296296296292E-2</v>
      </c>
      <c r="C358" s="26" t="s">
        <v>1189</v>
      </c>
    </row>
    <row r="359" spans="1:3" x14ac:dyDescent="0.25">
      <c r="A359" s="36">
        <v>41296</v>
      </c>
      <c r="B359" s="122">
        <v>5.2546296296296292E-2</v>
      </c>
      <c r="C359" s="26" t="s">
        <v>1273</v>
      </c>
    </row>
    <row r="360" spans="1:3" x14ac:dyDescent="0.25">
      <c r="A360" s="36">
        <v>41296</v>
      </c>
      <c r="B360" s="122">
        <v>5.2546296296296292E-2</v>
      </c>
      <c r="C360" s="26" t="s">
        <v>1251</v>
      </c>
    </row>
    <row r="361" spans="1:3" x14ac:dyDescent="0.25">
      <c r="A361" s="36">
        <v>41296</v>
      </c>
      <c r="B361" s="122">
        <v>5.2546296296296292E-2</v>
      </c>
      <c r="C361" s="26" t="s">
        <v>1175</v>
      </c>
    </row>
    <row r="362" spans="1:3" x14ac:dyDescent="0.25">
      <c r="A362" s="36">
        <v>41296</v>
      </c>
      <c r="B362" s="122">
        <v>5.2546296296296292E-2</v>
      </c>
      <c r="C362" s="26" t="s">
        <v>1241</v>
      </c>
    </row>
    <row r="363" spans="1:3" x14ac:dyDescent="0.25">
      <c r="A363" s="36">
        <v>41296</v>
      </c>
      <c r="B363" s="122">
        <v>5.2546296296296292E-2</v>
      </c>
      <c r="C363" s="26" t="s">
        <v>1135</v>
      </c>
    </row>
    <row r="364" spans="1:3" x14ac:dyDescent="0.25">
      <c r="A364" s="36">
        <v>41296</v>
      </c>
      <c r="B364" s="122">
        <v>5.2546296296296292E-2</v>
      </c>
      <c r="C364" s="26" t="s">
        <v>1136</v>
      </c>
    </row>
    <row r="365" spans="1:3" x14ac:dyDescent="0.25">
      <c r="A365" s="36">
        <v>41296</v>
      </c>
      <c r="B365" s="122">
        <v>5.2546296296296292E-2</v>
      </c>
      <c r="C365" s="26" t="s">
        <v>1219</v>
      </c>
    </row>
    <row r="366" spans="1:3" x14ac:dyDescent="0.25">
      <c r="A366" s="36">
        <v>41296</v>
      </c>
      <c r="B366" s="122">
        <v>5.2546296296296292E-2</v>
      </c>
      <c r="C366" s="26" t="s">
        <v>1182</v>
      </c>
    </row>
    <row r="367" spans="1:3" x14ac:dyDescent="0.25">
      <c r="A367" s="36">
        <v>41296</v>
      </c>
      <c r="B367" s="122">
        <v>5.2546296296296292E-2</v>
      </c>
      <c r="C367" s="26" t="s">
        <v>1269</v>
      </c>
    </row>
    <row r="368" spans="1:3" x14ac:dyDescent="0.25">
      <c r="A368" s="36">
        <v>41296</v>
      </c>
      <c r="B368" s="122">
        <v>5.2546296296296292E-2</v>
      </c>
      <c r="C368" s="26" t="s">
        <v>1229</v>
      </c>
    </row>
    <row r="369" spans="1:3" x14ac:dyDescent="0.25">
      <c r="A369" s="36">
        <v>41296</v>
      </c>
      <c r="B369" s="122">
        <v>5.2546296296296292E-2</v>
      </c>
      <c r="C369" s="26" t="s">
        <v>1240</v>
      </c>
    </row>
    <row r="370" spans="1:3" x14ac:dyDescent="0.25">
      <c r="A370" s="36">
        <v>41296</v>
      </c>
      <c r="B370" s="122">
        <v>5.2546296296296292E-2</v>
      </c>
      <c r="C370" s="26" t="s">
        <v>1190</v>
      </c>
    </row>
    <row r="371" spans="1:3" x14ac:dyDescent="0.25">
      <c r="A371" s="36">
        <v>41296</v>
      </c>
      <c r="B371" s="122">
        <v>5.2546296296296292E-2</v>
      </c>
      <c r="C371" s="26" t="s">
        <v>1186</v>
      </c>
    </row>
    <row r="372" spans="1:3" x14ac:dyDescent="0.25">
      <c r="A372" s="36">
        <v>41296</v>
      </c>
      <c r="B372" s="122">
        <v>5.2546296296296292E-2</v>
      </c>
      <c r="C372" s="26" t="s">
        <v>1143</v>
      </c>
    </row>
    <row r="373" spans="1:3" x14ac:dyDescent="0.25">
      <c r="A373" s="36">
        <v>41296</v>
      </c>
      <c r="B373" s="122">
        <v>5.2546296296296292E-2</v>
      </c>
      <c r="C373" s="26" t="s">
        <v>1230</v>
      </c>
    </row>
    <row r="374" spans="1:3" x14ac:dyDescent="0.25">
      <c r="A374" s="36">
        <v>41296</v>
      </c>
      <c r="B374" s="122">
        <v>5.2546296296296292E-2</v>
      </c>
      <c r="C374" s="26" t="s">
        <v>1162</v>
      </c>
    </row>
    <row r="375" spans="1:3" x14ac:dyDescent="0.25">
      <c r="A375" s="36">
        <v>41296</v>
      </c>
      <c r="B375" s="122">
        <v>5.2546296296296292E-2</v>
      </c>
      <c r="C375" s="26" t="s">
        <v>1186</v>
      </c>
    </row>
    <row r="376" spans="1:3" x14ac:dyDescent="0.25">
      <c r="A376" s="36">
        <v>41296</v>
      </c>
      <c r="B376" s="122">
        <v>5.2546296296296292E-2</v>
      </c>
      <c r="C376" s="26" t="s">
        <v>1257</v>
      </c>
    </row>
    <row r="377" spans="1:3" x14ac:dyDescent="0.25">
      <c r="A377" s="36">
        <v>41296</v>
      </c>
      <c r="B377" s="122">
        <v>5.2546296296296292E-2</v>
      </c>
      <c r="C377" s="26" t="s">
        <v>1258</v>
      </c>
    </row>
    <row r="378" spans="1:3" x14ac:dyDescent="0.25">
      <c r="A378" s="36">
        <v>41296</v>
      </c>
      <c r="B378" s="122">
        <v>5.2546296296296292E-2</v>
      </c>
      <c r="C378" s="26" t="s">
        <v>1263</v>
      </c>
    </row>
    <row r="379" spans="1:3" x14ac:dyDescent="0.25">
      <c r="A379" s="36">
        <v>41296</v>
      </c>
      <c r="B379" s="122">
        <v>5.2546296296296292E-2</v>
      </c>
      <c r="C379" s="26" t="s">
        <v>1137</v>
      </c>
    </row>
    <row r="380" spans="1:3" x14ac:dyDescent="0.25">
      <c r="A380" s="36">
        <v>41296</v>
      </c>
      <c r="B380" s="122">
        <v>5.2546296296296292E-2</v>
      </c>
      <c r="C380" s="26" t="s">
        <v>1192</v>
      </c>
    </row>
    <row r="381" spans="1:3" x14ac:dyDescent="0.25">
      <c r="A381" s="36">
        <v>41296</v>
      </c>
      <c r="B381" s="122">
        <v>5.2546296296296292E-2</v>
      </c>
      <c r="C381" s="26" t="s">
        <v>1153</v>
      </c>
    </row>
    <row r="382" spans="1:3" x14ac:dyDescent="0.25">
      <c r="A382" s="36">
        <v>41296</v>
      </c>
      <c r="B382" s="122">
        <v>5.2546296296296292E-2</v>
      </c>
      <c r="C382" s="26" t="s">
        <v>1154</v>
      </c>
    </row>
    <row r="383" spans="1:3" x14ac:dyDescent="0.25">
      <c r="A383" s="36">
        <v>41296</v>
      </c>
      <c r="B383" s="122">
        <v>5.2546296296296292E-2</v>
      </c>
      <c r="C383" s="26" t="s">
        <v>1202</v>
      </c>
    </row>
    <row r="384" spans="1:3" x14ac:dyDescent="0.25">
      <c r="A384" s="36">
        <v>41296</v>
      </c>
      <c r="B384" s="122">
        <v>5.2546296296296292E-2</v>
      </c>
      <c r="C384" s="26" t="s">
        <v>1147</v>
      </c>
    </row>
    <row r="385" spans="1:3" x14ac:dyDescent="0.25">
      <c r="A385" s="36">
        <v>41296</v>
      </c>
      <c r="B385" s="122">
        <v>5.2546296296296292E-2</v>
      </c>
      <c r="C385" s="26" t="s">
        <v>1173</v>
      </c>
    </row>
    <row r="386" spans="1:3" x14ac:dyDescent="0.25">
      <c r="A386" s="36">
        <v>41296</v>
      </c>
      <c r="B386" s="122">
        <v>5.2546296296296292E-2</v>
      </c>
      <c r="C386" s="26" t="s">
        <v>1201</v>
      </c>
    </row>
    <row r="387" spans="1:3" x14ac:dyDescent="0.25">
      <c r="A387" s="36">
        <v>41296</v>
      </c>
      <c r="B387" s="122">
        <v>5.2546296296296292E-2</v>
      </c>
      <c r="C387" s="26" t="s">
        <v>1183</v>
      </c>
    </row>
    <row r="388" spans="1:3" x14ac:dyDescent="0.25">
      <c r="A388" s="36">
        <v>41296</v>
      </c>
      <c r="B388" s="122">
        <v>5.2546296296296292E-2</v>
      </c>
      <c r="C388" s="26" t="s">
        <v>1226</v>
      </c>
    </row>
    <row r="389" spans="1:3" x14ac:dyDescent="0.25">
      <c r="A389" s="36">
        <v>41296</v>
      </c>
      <c r="B389" s="122">
        <v>5.2546296296296292E-2</v>
      </c>
      <c r="C389" s="26" t="s">
        <v>1178</v>
      </c>
    </row>
    <row r="390" spans="1:3" x14ac:dyDescent="0.25">
      <c r="A390" s="36">
        <v>41296</v>
      </c>
      <c r="B390" s="122">
        <v>5.2546296296296292E-2</v>
      </c>
      <c r="C390" s="26" t="s">
        <v>1178</v>
      </c>
    </row>
    <row r="391" spans="1:3" x14ac:dyDescent="0.25">
      <c r="A391" s="36">
        <v>41296</v>
      </c>
      <c r="B391" s="122">
        <v>5.2546296296296292E-2</v>
      </c>
      <c r="C391" s="26" t="s">
        <v>1229</v>
      </c>
    </row>
    <row r="392" spans="1:3" x14ac:dyDescent="0.25">
      <c r="A392" s="36">
        <v>41296</v>
      </c>
      <c r="B392" s="122">
        <v>5.2546296296296292E-2</v>
      </c>
      <c r="C392" s="26" t="s">
        <v>1225</v>
      </c>
    </row>
    <row r="393" spans="1:3" x14ac:dyDescent="0.25">
      <c r="A393" s="36">
        <v>41296</v>
      </c>
      <c r="B393" s="122">
        <v>5.2546296296296292E-2</v>
      </c>
      <c r="C393" s="26" t="s">
        <v>1252</v>
      </c>
    </row>
    <row r="394" spans="1:3" x14ac:dyDescent="0.25">
      <c r="A394" s="36">
        <v>41296</v>
      </c>
      <c r="B394" s="122">
        <v>5.2546296296296292E-2</v>
      </c>
      <c r="C394" s="26" t="s">
        <v>1231</v>
      </c>
    </row>
    <row r="395" spans="1:3" x14ac:dyDescent="0.25">
      <c r="A395" s="36">
        <v>41296</v>
      </c>
      <c r="B395" s="122">
        <v>5.2546296296296292E-2</v>
      </c>
      <c r="C395" s="26" t="s">
        <v>1156</v>
      </c>
    </row>
    <row r="396" spans="1:3" x14ac:dyDescent="0.25">
      <c r="A396" s="36">
        <v>41296</v>
      </c>
      <c r="B396" s="122">
        <v>5.2546296296296292E-2</v>
      </c>
      <c r="C396" s="26" t="s">
        <v>1237</v>
      </c>
    </row>
    <row r="397" spans="1:3" x14ac:dyDescent="0.25">
      <c r="A397" s="36">
        <v>41296</v>
      </c>
      <c r="B397" s="122">
        <v>5.2546296296296292E-2</v>
      </c>
      <c r="C397" s="26" t="s">
        <v>1197</v>
      </c>
    </row>
    <row r="398" spans="1:3" x14ac:dyDescent="0.25">
      <c r="A398" s="36">
        <v>41296</v>
      </c>
      <c r="B398" s="122">
        <v>5.2546296296296292E-2</v>
      </c>
      <c r="C398" s="26" t="s">
        <v>1264</v>
      </c>
    </row>
    <row r="399" spans="1:3" x14ac:dyDescent="0.25">
      <c r="A399" s="36">
        <v>41296</v>
      </c>
      <c r="B399" s="122">
        <v>5.2546296296296292E-2</v>
      </c>
      <c r="C399" s="26" t="s">
        <v>1181</v>
      </c>
    </row>
    <row r="400" spans="1:3" x14ac:dyDescent="0.25">
      <c r="A400" s="36">
        <v>41296</v>
      </c>
      <c r="B400" s="122">
        <v>5.2546296296296292E-2</v>
      </c>
      <c r="C400" s="26" t="s">
        <v>1225</v>
      </c>
    </row>
    <row r="401" spans="1:3" x14ac:dyDescent="0.25">
      <c r="A401" s="36">
        <v>41296</v>
      </c>
      <c r="B401" s="122">
        <v>5.2546296296296292E-2</v>
      </c>
      <c r="C401" s="26" t="s">
        <v>1212</v>
      </c>
    </row>
    <row r="402" spans="1:3" x14ac:dyDescent="0.25">
      <c r="A402" s="36">
        <v>41296</v>
      </c>
      <c r="B402" s="122">
        <v>5.2546296296296292E-2</v>
      </c>
      <c r="C402" s="26" t="s">
        <v>1231</v>
      </c>
    </row>
    <row r="403" spans="1:3" x14ac:dyDescent="0.25">
      <c r="A403" s="36">
        <v>41296</v>
      </c>
      <c r="B403" s="122">
        <v>5.2546296296296292E-2</v>
      </c>
      <c r="C403" s="26" t="s">
        <v>1201</v>
      </c>
    </row>
    <row r="404" spans="1:3" x14ac:dyDescent="0.25">
      <c r="A404" s="36">
        <v>41296</v>
      </c>
      <c r="B404" s="122">
        <v>5.2546296296296292E-2</v>
      </c>
      <c r="C404" s="26" t="s">
        <v>1220</v>
      </c>
    </row>
    <row r="405" spans="1:3" x14ac:dyDescent="0.25">
      <c r="A405" s="36">
        <v>41296</v>
      </c>
      <c r="B405" s="122">
        <v>5.2546296296296292E-2</v>
      </c>
      <c r="C405" s="26" t="s">
        <v>1275</v>
      </c>
    </row>
    <row r="406" spans="1:3" x14ac:dyDescent="0.25">
      <c r="A406" s="36">
        <v>41296</v>
      </c>
      <c r="B406" s="122">
        <v>5.2546296296296292E-2</v>
      </c>
      <c r="C406" s="26" t="s">
        <v>1198</v>
      </c>
    </row>
    <row r="407" spans="1:3" x14ac:dyDescent="0.25">
      <c r="A407" s="36">
        <v>41296</v>
      </c>
      <c r="B407" s="122">
        <v>5.2546296296296292E-2</v>
      </c>
      <c r="C407" s="26" t="s">
        <v>1150</v>
      </c>
    </row>
    <row r="408" spans="1:3" x14ac:dyDescent="0.25">
      <c r="A408" s="36">
        <v>41296</v>
      </c>
      <c r="B408" s="122">
        <v>5.2546296296296292E-2</v>
      </c>
      <c r="C408" s="26" t="s">
        <v>1139</v>
      </c>
    </row>
    <row r="409" spans="1:3" x14ac:dyDescent="0.25">
      <c r="A409" s="36">
        <v>41296</v>
      </c>
      <c r="B409" s="122">
        <v>5.2546296296296292E-2</v>
      </c>
      <c r="C409" s="26" t="s">
        <v>1191</v>
      </c>
    </row>
    <row r="410" spans="1:3" x14ac:dyDescent="0.25">
      <c r="A410" s="36">
        <v>41296</v>
      </c>
      <c r="B410" s="122">
        <v>5.2546296296296292E-2</v>
      </c>
      <c r="C410" s="26" t="s">
        <v>1213</v>
      </c>
    </row>
    <row r="411" spans="1:3" x14ac:dyDescent="0.25">
      <c r="A411" s="36">
        <v>41296</v>
      </c>
      <c r="B411" s="122">
        <v>5.2546296296296292E-2</v>
      </c>
      <c r="C411" s="26" t="s">
        <v>1159</v>
      </c>
    </row>
    <row r="412" spans="1:3" x14ac:dyDescent="0.25">
      <c r="A412" s="36">
        <v>41296</v>
      </c>
      <c r="B412" s="122">
        <v>5.2546296296296292E-2</v>
      </c>
      <c r="C412" s="26" t="s">
        <v>1208</v>
      </c>
    </row>
    <row r="413" spans="1:3" x14ac:dyDescent="0.25">
      <c r="A413" s="36">
        <v>41296</v>
      </c>
      <c r="B413" s="122">
        <v>5.2546296296296292E-2</v>
      </c>
      <c r="C413" s="26" t="s">
        <v>1246</v>
      </c>
    </row>
    <row r="414" spans="1:3" x14ac:dyDescent="0.25">
      <c r="A414" s="36">
        <v>41296</v>
      </c>
      <c r="B414" s="122">
        <v>5.2546296296296292E-2</v>
      </c>
      <c r="C414" s="26" t="s">
        <v>1275</v>
      </c>
    </row>
    <row r="415" spans="1:3" x14ac:dyDescent="0.25">
      <c r="A415" s="36">
        <v>41296</v>
      </c>
      <c r="B415" s="122">
        <v>5.2546296296296292E-2</v>
      </c>
      <c r="C415" s="26" t="s">
        <v>1267</v>
      </c>
    </row>
    <row r="416" spans="1:3" x14ac:dyDescent="0.25">
      <c r="A416" s="36">
        <v>41296</v>
      </c>
      <c r="B416" s="122">
        <v>5.2546296296296292E-2</v>
      </c>
      <c r="C416" s="26" t="s">
        <v>1220</v>
      </c>
    </row>
    <row r="417" spans="1:3" x14ac:dyDescent="0.25">
      <c r="A417" s="36">
        <v>41296</v>
      </c>
      <c r="B417" s="122">
        <v>5.2546296296296292E-2</v>
      </c>
      <c r="C417" s="26" t="s">
        <v>1140</v>
      </c>
    </row>
    <row r="418" spans="1:3" x14ac:dyDescent="0.25">
      <c r="A418" s="36">
        <v>41296</v>
      </c>
      <c r="B418" s="122">
        <v>5.2546296296296292E-2</v>
      </c>
      <c r="C418" s="26" t="s">
        <v>1117</v>
      </c>
    </row>
    <row r="419" spans="1:3" x14ac:dyDescent="0.25">
      <c r="A419" s="36">
        <v>41296</v>
      </c>
      <c r="B419" s="122">
        <v>5.2546296296296292E-2</v>
      </c>
      <c r="C419" s="26" t="s">
        <v>1223</v>
      </c>
    </row>
    <row r="420" spans="1:3" x14ac:dyDescent="0.25">
      <c r="A420" s="36">
        <v>41296</v>
      </c>
      <c r="B420" s="122">
        <v>5.2546296296296292E-2</v>
      </c>
      <c r="C420" s="26" t="s">
        <v>1208</v>
      </c>
    </row>
    <row r="421" spans="1:3" x14ac:dyDescent="0.25">
      <c r="A421" s="36">
        <v>41296</v>
      </c>
      <c r="B421" s="122">
        <v>5.2546296296296292E-2</v>
      </c>
      <c r="C421" s="26" t="s">
        <v>1122</v>
      </c>
    </row>
    <row r="422" spans="1:3" x14ac:dyDescent="0.25">
      <c r="A422" s="36">
        <v>41296</v>
      </c>
      <c r="B422" s="122">
        <v>5.2546296296296292E-2</v>
      </c>
      <c r="C422" s="26" t="s">
        <v>1122</v>
      </c>
    </row>
    <row r="423" spans="1:3" x14ac:dyDescent="0.25">
      <c r="A423" s="36">
        <v>41296</v>
      </c>
      <c r="B423" s="122">
        <v>5.2546296296296292E-2</v>
      </c>
      <c r="C423" s="26" t="s">
        <v>1097</v>
      </c>
    </row>
    <row r="424" spans="1:3" x14ac:dyDescent="0.25">
      <c r="A424" s="36">
        <v>41296</v>
      </c>
      <c r="B424" s="122">
        <v>5.2546296296296292E-2</v>
      </c>
      <c r="C424" s="26" t="s">
        <v>1179</v>
      </c>
    </row>
    <row r="425" spans="1:3" x14ac:dyDescent="0.25">
      <c r="A425" s="36">
        <v>41296</v>
      </c>
      <c r="B425" s="122">
        <v>5.2546296296296292E-2</v>
      </c>
      <c r="C425" s="26" t="s">
        <v>1275</v>
      </c>
    </row>
    <row r="426" spans="1:3" x14ac:dyDescent="0.25">
      <c r="A426" s="36">
        <v>41296</v>
      </c>
      <c r="B426" s="122">
        <v>5.2546296296296292E-2</v>
      </c>
      <c r="C426" s="26" t="s">
        <v>1160</v>
      </c>
    </row>
    <row r="427" spans="1:3" x14ac:dyDescent="0.25">
      <c r="A427" s="36">
        <v>41296</v>
      </c>
      <c r="B427" s="122">
        <v>5.2546296296296292E-2</v>
      </c>
      <c r="C427" s="26" t="s">
        <v>1229</v>
      </c>
    </row>
    <row r="428" spans="1:3" x14ac:dyDescent="0.25">
      <c r="A428" s="36">
        <v>41296</v>
      </c>
      <c r="B428" s="122">
        <v>5.2546296296296292E-2</v>
      </c>
      <c r="C428" s="26" t="s">
        <v>1108</v>
      </c>
    </row>
    <row r="429" spans="1:3" x14ac:dyDescent="0.25">
      <c r="A429" s="36">
        <v>41296</v>
      </c>
      <c r="B429" s="122">
        <v>5.2546296296296292E-2</v>
      </c>
      <c r="C429" s="26" t="s">
        <v>1205</v>
      </c>
    </row>
    <row r="430" spans="1:3" x14ac:dyDescent="0.25">
      <c r="A430" s="36">
        <v>41296</v>
      </c>
      <c r="B430" s="122">
        <v>5.2546296296296292E-2</v>
      </c>
      <c r="C430" s="26" t="s">
        <v>1193</v>
      </c>
    </row>
    <row r="431" spans="1:3" x14ac:dyDescent="0.25">
      <c r="A431" s="36">
        <v>41296</v>
      </c>
      <c r="B431" s="122">
        <v>5.2546296296296292E-2</v>
      </c>
      <c r="C431" s="26" t="s">
        <v>1134</v>
      </c>
    </row>
    <row r="432" spans="1:3" x14ac:dyDescent="0.25">
      <c r="A432" s="36">
        <v>41296</v>
      </c>
      <c r="B432" s="122">
        <v>5.2546296296296292E-2</v>
      </c>
      <c r="C432" s="26" t="s">
        <v>1275</v>
      </c>
    </row>
    <row r="433" spans="1:3" x14ac:dyDescent="0.25">
      <c r="A433" s="36">
        <v>41296</v>
      </c>
      <c r="B433" s="122">
        <v>5.2546296296296292E-2</v>
      </c>
      <c r="C433" s="26" t="s">
        <v>1089</v>
      </c>
    </row>
    <row r="434" spans="1:3" x14ac:dyDescent="0.25">
      <c r="A434" s="36">
        <v>41296</v>
      </c>
      <c r="B434" s="122">
        <v>5.2546296296296292E-2</v>
      </c>
      <c r="C434" s="26" t="s">
        <v>1198</v>
      </c>
    </row>
    <row r="435" spans="1:3" x14ac:dyDescent="0.25">
      <c r="A435" s="36">
        <v>41296</v>
      </c>
      <c r="B435" s="122">
        <v>5.2546296296296292E-2</v>
      </c>
      <c r="C435" s="26" t="s">
        <v>1263</v>
      </c>
    </row>
    <row r="436" spans="1:3" x14ac:dyDescent="0.25">
      <c r="A436" s="36">
        <v>41296</v>
      </c>
      <c r="B436" s="122">
        <v>5.2546296296296292E-2</v>
      </c>
      <c r="C436" s="26" t="s">
        <v>1122</v>
      </c>
    </row>
    <row r="437" spans="1:3" x14ac:dyDescent="0.25">
      <c r="A437" s="36">
        <v>41296</v>
      </c>
      <c r="B437" s="122">
        <v>5.2546296296296292E-2</v>
      </c>
      <c r="C437" s="26" t="s">
        <v>1167</v>
      </c>
    </row>
    <row r="438" spans="1:3" x14ac:dyDescent="0.25">
      <c r="A438" s="36">
        <v>41296</v>
      </c>
      <c r="B438" s="122">
        <v>5.2546296296296292E-2</v>
      </c>
      <c r="C438" s="26" t="s">
        <v>1250</v>
      </c>
    </row>
    <row r="439" spans="1:3" x14ac:dyDescent="0.25">
      <c r="A439" s="36">
        <v>41296</v>
      </c>
      <c r="B439" s="122">
        <v>5.2546296296296292E-2</v>
      </c>
      <c r="C439" s="26" t="s">
        <v>1201</v>
      </c>
    </row>
    <row r="440" spans="1:3" x14ac:dyDescent="0.25">
      <c r="A440" s="36">
        <v>41296</v>
      </c>
      <c r="B440" s="122">
        <v>5.2546296296296292E-2</v>
      </c>
      <c r="C440" s="26" t="s">
        <v>1179</v>
      </c>
    </row>
    <row r="441" spans="1:3" x14ac:dyDescent="0.25">
      <c r="A441" s="36">
        <v>41296</v>
      </c>
      <c r="B441" s="122">
        <v>5.2546296296296292E-2</v>
      </c>
      <c r="C441" s="26" t="s">
        <v>1235</v>
      </c>
    </row>
    <row r="442" spans="1:3" x14ac:dyDescent="0.25">
      <c r="A442" s="36">
        <v>41296</v>
      </c>
      <c r="B442" s="122">
        <v>5.2546296296296292E-2</v>
      </c>
      <c r="C442" s="26" t="s">
        <v>1106</v>
      </c>
    </row>
    <row r="443" spans="1:3" x14ac:dyDescent="0.25">
      <c r="A443" s="36">
        <v>41296</v>
      </c>
      <c r="B443" s="122">
        <v>5.2546296296296292E-2</v>
      </c>
      <c r="C443" s="26" t="s">
        <v>1140</v>
      </c>
    </row>
    <row r="444" spans="1:3" x14ac:dyDescent="0.25">
      <c r="A444" s="36">
        <v>41296</v>
      </c>
      <c r="B444" s="122">
        <v>5.2546296296296292E-2</v>
      </c>
      <c r="C444" s="26" t="s">
        <v>1179</v>
      </c>
    </row>
    <row r="445" spans="1:3" x14ac:dyDescent="0.25">
      <c r="A445" s="36">
        <v>41296</v>
      </c>
      <c r="B445" s="122">
        <v>5.2546296296296292E-2</v>
      </c>
      <c r="C445" s="26" t="s">
        <v>1085</v>
      </c>
    </row>
    <row r="446" spans="1:3" x14ac:dyDescent="0.25">
      <c r="A446" s="36">
        <v>41296</v>
      </c>
      <c r="B446" s="122">
        <v>5.2546296296296292E-2</v>
      </c>
      <c r="C446" s="26" t="s">
        <v>1085</v>
      </c>
    </row>
    <row r="447" spans="1:3" x14ac:dyDescent="0.25">
      <c r="A447" s="36">
        <v>41296</v>
      </c>
      <c r="B447" s="122">
        <v>5.2546296296296292E-2</v>
      </c>
      <c r="C447" s="26" t="s">
        <v>1155</v>
      </c>
    </row>
    <row r="448" spans="1:3" x14ac:dyDescent="0.25">
      <c r="A448" s="36">
        <v>41296</v>
      </c>
      <c r="B448" s="122">
        <v>5.2546296296296292E-2</v>
      </c>
      <c r="C448" s="26" t="s">
        <v>1133</v>
      </c>
    </row>
    <row r="449" spans="1:3" x14ac:dyDescent="0.25">
      <c r="A449" s="36">
        <v>41296</v>
      </c>
      <c r="B449" s="122">
        <v>5.2546296296296292E-2</v>
      </c>
      <c r="C449" s="26" t="s">
        <v>1133</v>
      </c>
    </row>
    <row r="450" spans="1:3" x14ac:dyDescent="0.25">
      <c r="A450" s="36">
        <v>41296</v>
      </c>
      <c r="B450" s="122">
        <v>5.2546296296296292E-2</v>
      </c>
      <c r="C450" s="26" t="s">
        <v>1133</v>
      </c>
    </row>
    <row r="451" spans="1:3" x14ac:dyDescent="0.25">
      <c r="A451" s="36">
        <v>41296</v>
      </c>
      <c r="B451" s="122">
        <v>5.2546296296296292E-2</v>
      </c>
      <c r="C451" s="26" t="s">
        <v>1133</v>
      </c>
    </row>
    <row r="452" spans="1:3" x14ac:dyDescent="0.25">
      <c r="A452" s="36">
        <v>41296</v>
      </c>
      <c r="B452" s="122">
        <v>5.2546296296296292E-2</v>
      </c>
      <c r="C452" s="26" t="s">
        <v>1133</v>
      </c>
    </row>
    <row r="453" spans="1:3" x14ac:dyDescent="0.25">
      <c r="A453" s="36">
        <v>41296</v>
      </c>
      <c r="B453" s="122">
        <v>5.2546296296296292E-2</v>
      </c>
      <c r="C453" s="26" t="s">
        <v>1133</v>
      </c>
    </row>
    <row r="454" spans="1:3" x14ac:dyDescent="0.25">
      <c r="A454" s="36">
        <v>41296</v>
      </c>
      <c r="B454" s="122">
        <v>5.2546296296296292E-2</v>
      </c>
      <c r="C454" s="26" t="s">
        <v>1122</v>
      </c>
    </row>
    <row r="455" spans="1:3" x14ac:dyDescent="0.25">
      <c r="A455" s="36">
        <v>41296</v>
      </c>
      <c r="B455" s="122">
        <v>5.2546296296296292E-2</v>
      </c>
      <c r="C455" s="26" t="s">
        <v>1129</v>
      </c>
    </row>
    <row r="456" spans="1:3" x14ac:dyDescent="0.25">
      <c r="A456" s="36">
        <v>41296</v>
      </c>
      <c r="B456" s="122">
        <v>5.2546296296296292E-2</v>
      </c>
      <c r="C456" s="26" t="s">
        <v>1093</v>
      </c>
    </row>
    <row r="457" spans="1:3" x14ac:dyDescent="0.25">
      <c r="A457" s="36">
        <v>41296</v>
      </c>
      <c r="B457" s="122">
        <v>5.2546296296296292E-2</v>
      </c>
      <c r="C457" s="26" t="s">
        <v>1229</v>
      </c>
    </row>
    <row r="458" spans="1:3" x14ac:dyDescent="0.25">
      <c r="A458" s="36">
        <v>41296</v>
      </c>
      <c r="B458" s="122">
        <v>5.2546296296296292E-2</v>
      </c>
      <c r="C458" s="26" t="s">
        <v>1144</v>
      </c>
    </row>
    <row r="459" spans="1:3" x14ac:dyDescent="0.25">
      <c r="A459" s="36">
        <v>41296</v>
      </c>
      <c r="B459" s="122">
        <v>5.2546296296296292E-2</v>
      </c>
      <c r="C459" s="26" t="s">
        <v>1100</v>
      </c>
    </row>
    <row r="460" spans="1:3" x14ac:dyDescent="0.25">
      <c r="A460" s="36">
        <v>41296</v>
      </c>
      <c r="B460" s="122">
        <v>5.2546296296296292E-2</v>
      </c>
      <c r="C460" s="26" t="s">
        <v>1110</v>
      </c>
    </row>
    <row r="461" spans="1:3" x14ac:dyDescent="0.25">
      <c r="A461" s="36">
        <v>41296</v>
      </c>
      <c r="B461" s="122">
        <v>5.2546296296296292E-2</v>
      </c>
      <c r="C461" s="26" t="s">
        <v>1236</v>
      </c>
    </row>
    <row r="462" spans="1:3" x14ac:dyDescent="0.25">
      <c r="A462" s="36">
        <v>41296</v>
      </c>
      <c r="B462" s="122">
        <v>5.2546296296296292E-2</v>
      </c>
      <c r="C462" s="26" t="s">
        <v>1230</v>
      </c>
    </row>
    <row r="463" spans="1:3" x14ac:dyDescent="0.25">
      <c r="A463" s="36">
        <v>41296</v>
      </c>
      <c r="B463" s="122">
        <v>5.2546296296296292E-2</v>
      </c>
      <c r="C463" s="26" t="s">
        <v>1230</v>
      </c>
    </row>
    <row r="464" spans="1:3" x14ac:dyDescent="0.25">
      <c r="A464" s="36">
        <v>41296</v>
      </c>
      <c r="B464" s="122">
        <v>5.2546296296296292E-2</v>
      </c>
      <c r="C464" s="26" t="s">
        <v>1102</v>
      </c>
    </row>
    <row r="465" spans="1:3" x14ac:dyDescent="0.25">
      <c r="A465" s="36">
        <v>41296</v>
      </c>
      <c r="B465" s="122">
        <v>5.2546296296296292E-2</v>
      </c>
      <c r="C465" s="26" t="s">
        <v>1231</v>
      </c>
    </row>
    <row r="466" spans="1:3" x14ac:dyDescent="0.25">
      <c r="A466" s="36">
        <v>41296</v>
      </c>
      <c r="B466" s="122">
        <v>5.2546296296296292E-2</v>
      </c>
      <c r="C466" s="26" t="s">
        <v>1276</v>
      </c>
    </row>
    <row r="467" spans="1:3" x14ac:dyDescent="0.25">
      <c r="A467" s="36">
        <v>41296</v>
      </c>
      <c r="B467" s="122">
        <v>5.2546296296296292E-2</v>
      </c>
      <c r="C467" s="26" t="s">
        <v>1180</v>
      </c>
    </row>
    <row r="468" spans="1:3" x14ac:dyDescent="0.25">
      <c r="A468" s="36">
        <v>41296</v>
      </c>
      <c r="B468" s="122">
        <v>5.2546296296296292E-2</v>
      </c>
      <c r="C468" s="26" t="s">
        <v>1230</v>
      </c>
    </row>
    <row r="469" spans="1:3" x14ac:dyDescent="0.25">
      <c r="A469" s="36">
        <v>41296</v>
      </c>
      <c r="B469" s="122">
        <v>5.2546296296296292E-2</v>
      </c>
      <c r="C469" s="26" t="s">
        <v>1270</v>
      </c>
    </row>
    <row r="470" spans="1:3" x14ac:dyDescent="0.25">
      <c r="A470" s="36">
        <v>41296</v>
      </c>
      <c r="B470" s="122">
        <v>5.2546296296296292E-2</v>
      </c>
      <c r="C470" s="26" t="s">
        <v>1101</v>
      </c>
    </row>
    <row r="471" spans="1:3" x14ac:dyDescent="0.25">
      <c r="A471" s="36">
        <v>41296</v>
      </c>
      <c r="B471" s="122">
        <v>5.2546296296296292E-2</v>
      </c>
      <c r="C471" s="26" t="s">
        <v>1222</v>
      </c>
    </row>
    <row r="472" spans="1:3" x14ac:dyDescent="0.25">
      <c r="A472" s="36">
        <v>41296</v>
      </c>
      <c r="B472" s="122">
        <v>5.2546296296296292E-2</v>
      </c>
      <c r="C472" s="26" t="s">
        <v>1240</v>
      </c>
    </row>
    <row r="473" spans="1:3" x14ac:dyDescent="0.25">
      <c r="A473" s="36">
        <v>41296</v>
      </c>
      <c r="B473" s="122">
        <v>5.2546296296296292E-2</v>
      </c>
      <c r="C473" s="26" t="s">
        <v>1122</v>
      </c>
    </row>
    <row r="474" spans="1:3" x14ac:dyDescent="0.25">
      <c r="A474" s="36">
        <v>41296</v>
      </c>
      <c r="B474" s="122">
        <v>5.2546296296296292E-2</v>
      </c>
      <c r="C474" s="26" t="s">
        <v>1245</v>
      </c>
    </row>
    <row r="475" spans="1:3" x14ac:dyDescent="0.25">
      <c r="A475" s="36">
        <v>41296</v>
      </c>
      <c r="B475" s="122">
        <v>5.2546296296296292E-2</v>
      </c>
      <c r="C475" s="26" t="s">
        <v>1261</v>
      </c>
    </row>
    <row r="476" spans="1:3" x14ac:dyDescent="0.25">
      <c r="A476" s="36">
        <v>41296</v>
      </c>
      <c r="B476" s="122">
        <v>5.2546296296296292E-2</v>
      </c>
      <c r="C476" s="26" t="s">
        <v>1120</v>
      </c>
    </row>
    <row r="477" spans="1:3" x14ac:dyDescent="0.25">
      <c r="A477" s="36">
        <v>41296</v>
      </c>
      <c r="B477" s="122">
        <v>5.2546296296296292E-2</v>
      </c>
      <c r="C477" s="26" t="s">
        <v>1275</v>
      </c>
    </row>
    <row r="478" spans="1:3" x14ac:dyDescent="0.25">
      <c r="A478" s="36">
        <v>41296</v>
      </c>
      <c r="B478" s="122">
        <v>5.2546296296296292E-2</v>
      </c>
      <c r="C478" s="26" t="s">
        <v>1146</v>
      </c>
    </row>
    <row r="479" spans="1:3" x14ac:dyDescent="0.25">
      <c r="A479" s="36">
        <v>41296</v>
      </c>
      <c r="B479" s="122">
        <v>5.2546296296296292E-2</v>
      </c>
      <c r="C479" s="26" t="s">
        <v>1171</v>
      </c>
    </row>
    <row r="480" spans="1:3" x14ac:dyDescent="0.25">
      <c r="A480" s="36">
        <v>41296</v>
      </c>
      <c r="B480" s="122">
        <v>5.2546296296296292E-2</v>
      </c>
      <c r="C480" s="26" t="s">
        <v>1249</v>
      </c>
    </row>
    <row r="481" spans="1:3" x14ac:dyDescent="0.25">
      <c r="A481" s="36">
        <v>41296</v>
      </c>
      <c r="B481" s="122">
        <v>5.2546296296296292E-2</v>
      </c>
      <c r="C481" s="26" t="s">
        <v>1221</v>
      </c>
    </row>
    <row r="482" spans="1:3" x14ac:dyDescent="0.25">
      <c r="A482" s="36">
        <v>41296</v>
      </c>
      <c r="B482" s="122">
        <v>5.2546296296296292E-2</v>
      </c>
      <c r="C482" s="26" t="s">
        <v>1271</v>
      </c>
    </row>
    <row r="483" spans="1:3" x14ac:dyDescent="0.25">
      <c r="A483" s="36">
        <v>41296</v>
      </c>
      <c r="B483" s="122">
        <v>5.2546296296296292E-2</v>
      </c>
      <c r="C483" s="26" t="s">
        <v>1253</v>
      </c>
    </row>
    <row r="484" spans="1:3" x14ac:dyDescent="0.25">
      <c r="A484" s="36">
        <v>41296</v>
      </c>
      <c r="B484" s="122">
        <v>5.2546296296296292E-2</v>
      </c>
      <c r="C484" s="26" t="s">
        <v>1125</v>
      </c>
    </row>
    <row r="485" spans="1:3" x14ac:dyDescent="0.25">
      <c r="A485" s="36">
        <v>41296</v>
      </c>
      <c r="B485" s="122">
        <v>5.2546296296296292E-2</v>
      </c>
      <c r="C485" s="26" t="s">
        <v>1128</v>
      </c>
    </row>
    <row r="486" spans="1:3" x14ac:dyDescent="0.25">
      <c r="A486" s="36">
        <v>41296</v>
      </c>
      <c r="B486" s="122">
        <v>5.2546296296296292E-2</v>
      </c>
      <c r="C486" s="26" t="s">
        <v>1142</v>
      </c>
    </row>
    <row r="487" spans="1:3" x14ac:dyDescent="0.25">
      <c r="A487" s="36">
        <v>41296</v>
      </c>
      <c r="B487" s="122">
        <v>5.2546296296296292E-2</v>
      </c>
      <c r="C487" s="26" t="s">
        <v>1193</v>
      </c>
    </row>
    <row r="488" spans="1:3" x14ac:dyDescent="0.25">
      <c r="A488" s="36">
        <v>41296</v>
      </c>
      <c r="B488" s="122">
        <v>5.2546296296296292E-2</v>
      </c>
      <c r="C488" s="26" t="s">
        <v>1238</v>
      </c>
    </row>
    <row r="489" spans="1:3" x14ac:dyDescent="0.25">
      <c r="A489" s="36">
        <v>41296</v>
      </c>
      <c r="B489" s="122">
        <v>5.2546296296296292E-2</v>
      </c>
      <c r="C489" s="26" t="s">
        <v>1275</v>
      </c>
    </row>
    <row r="490" spans="1:3" x14ac:dyDescent="0.25">
      <c r="A490" s="36">
        <v>41296</v>
      </c>
      <c r="B490" s="122">
        <v>5.2546296296296292E-2</v>
      </c>
      <c r="C490" s="26" t="s">
        <v>1231</v>
      </c>
    </row>
    <row r="491" spans="1:3" x14ac:dyDescent="0.25">
      <c r="A491" s="36">
        <v>41296</v>
      </c>
      <c r="B491" s="122">
        <v>5.2546296296296292E-2</v>
      </c>
      <c r="C491" s="26" t="s">
        <v>1086</v>
      </c>
    </row>
    <row r="492" spans="1:3" x14ac:dyDescent="0.25">
      <c r="A492" s="36">
        <v>41296</v>
      </c>
      <c r="B492" s="122">
        <v>5.2546296296296292E-2</v>
      </c>
      <c r="C492" s="26" t="s">
        <v>1165</v>
      </c>
    </row>
    <row r="493" spans="1:3" x14ac:dyDescent="0.25">
      <c r="A493" s="36">
        <v>41296</v>
      </c>
      <c r="B493" s="122">
        <v>5.2546296296296292E-2</v>
      </c>
      <c r="C493" s="26" t="s">
        <v>1188</v>
      </c>
    </row>
    <row r="494" spans="1:3" x14ac:dyDescent="0.25">
      <c r="A494" s="36">
        <v>41296</v>
      </c>
      <c r="B494" s="122">
        <v>5.2546296296296292E-2</v>
      </c>
      <c r="C494" s="26" t="s">
        <v>1126</v>
      </c>
    </row>
    <row r="495" spans="1:3" x14ac:dyDescent="0.25">
      <c r="A495" s="36">
        <v>41296</v>
      </c>
      <c r="B495" s="122">
        <v>5.2546296296296292E-2</v>
      </c>
      <c r="C495" s="26" t="s">
        <v>1232</v>
      </c>
    </row>
    <row r="496" spans="1:3" x14ac:dyDescent="0.25">
      <c r="A496" s="36">
        <v>41296</v>
      </c>
      <c r="B496" s="122">
        <v>5.2546296296296292E-2</v>
      </c>
      <c r="C496" s="26" t="s">
        <v>1104</v>
      </c>
    </row>
    <row r="497" spans="1:3" x14ac:dyDescent="0.25">
      <c r="A497" s="36">
        <v>41296</v>
      </c>
      <c r="B497" s="122">
        <v>5.2546296296296292E-2</v>
      </c>
      <c r="C497" s="26" t="s">
        <v>1112</v>
      </c>
    </row>
    <row r="498" spans="1:3" x14ac:dyDescent="0.25">
      <c r="A498" s="36">
        <v>41296</v>
      </c>
      <c r="B498" s="122">
        <v>5.2546296296296292E-2</v>
      </c>
      <c r="C498" s="26" t="s">
        <v>1248</v>
      </c>
    </row>
    <row r="499" spans="1:3" x14ac:dyDescent="0.25">
      <c r="A499" s="36">
        <v>41296</v>
      </c>
      <c r="B499" s="122">
        <v>5.2546296296296292E-2</v>
      </c>
      <c r="C499" s="26" t="s">
        <v>1268</v>
      </c>
    </row>
    <row r="500" spans="1:3" x14ac:dyDescent="0.25">
      <c r="A500" s="36">
        <v>41296</v>
      </c>
      <c r="B500" s="122">
        <v>5.2546296296296292E-2</v>
      </c>
      <c r="C500" s="26" t="s">
        <v>1140</v>
      </c>
    </row>
    <row r="501" spans="1:3" x14ac:dyDescent="0.25">
      <c r="A501" s="36">
        <v>41296</v>
      </c>
      <c r="B501" s="122">
        <v>5.2546296296296292E-2</v>
      </c>
      <c r="C501" s="26" t="s">
        <v>1157</v>
      </c>
    </row>
    <row r="502" spans="1:3" x14ac:dyDescent="0.25">
      <c r="A502" s="36">
        <v>41296</v>
      </c>
      <c r="B502" s="122">
        <v>5.2546296296296292E-2</v>
      </c>
      <c r="C502" s="26" t="s">
        <v>1107</v>
      </c>
    </row>
    <row r="503" spans="1:3" x14ac:dyDescent="0.25">
      <c r="A503" s="36">
        <v>41296</v>
      </c>
      <c r="B503" s="122">
        <v>5.2546296296296292E-2</v>
      </c>
      <c r="C503" s="26" t="s">
        <v>1113</v>
      </c>
    </row>
    <row r="504" spans="1:3" x14ac:dyDescent="0.25">
      <c r="A504" s="36">
        <v>41296</v>
      </c>
      <c r="B504" s="122">
        <v>5.2546296296296292E-2</v>
      </c>
      <c r="C504" s="26" t="s">
        <v>1244</v>
      </c>
    </row>
    <row r="505" spans="1:3" x14ac:dyDescent="0.25">
      <c r="A505" s="36">
        <v>41296</v>
      </c>
      <c r="B505" s="122">
        <v>5.2546296296296292E-2</v>
      </c>
      <c r="C505" s="26" t="s">
        <v>1277</v>
      </c>
    </row>
    <row r="506" spans="1:3" x14ac:dyDescent="0.25">
      <c r="A506" s="36">
        <v>41296</v>
      </c>
      <c r="B506" s="122">
        <v>5.2546296296296292E-2</v>
      </c>
      <c r="C506" s="26" t="s">
        <v>1155</v>
      </c>
    </row>
    <row r="507" spans="1:3" x14ac:dyDescent="0.25">
      <c r="A507" s="36">
        <v>41296</v>
      </c>
      <c r="B507" s="122">
        <v>5.2546296296296292E-2</v>
      </c>
      <c r="C507" s="26" t="s">
        <v>1228</v>
      </c>
    </row>
    <row r="508" spans="1:3" x14ac:dyDescent="0.25">
      <c r="A508" s="36">
        <v>41296</v>
      </c>
      <c r="B508" s="122">
        <v>5.2546296296296292E-2</v>
      </c>
      <c r="C508" s="26" t="s">
        <v>1166</v>
      </c>
    </row>
    <row r="509" spans="1:3" x14ac:dyDescent="0.25">
      <c r="A509" s="36">
        <v>41296</v>
      </c>
      <c r="B509" s="122">
        <v>5.2546296296296292E-2</v>
      </c>
      <c r="C509" s="26" t="s">
        <v>1187</v>
      </c>
    </row>
    <row r="510" spans="1:3" x14ac:dyDescent="0.25">
      <c r="A510" s="36">
        <v>41296</v>
      </c>
      <c r="B510" s="122">
        <v>5.2546296296296292E-2</v>
      </c>
      <c r="C510" s="26" t="s">
        <v>1121</v>
      </c>
    </row>
    <row r="511" spans="1:3" x14ac:dyDescent="0.25">
      <c r="A511" s="36">
        <v>41296</v>
      </c>
      <c r="B511" s="122">
        <v>5.2546296296296292E-2</v>
      </c>
      <c r="C511" s="26" t="s">
        <v>1206</v>
      </c>
    </row>
    <row r="512" spans="1:3" x14ac:dyDescent="0.25">
      <c r="A512" s="36">
        <v>41296</v>
      </c>
      <c r="B512" s="122">
        <v>5.2546296296296292E-2</v>
      </c>
      <c r="C512" s="26" t="s">
        <v>1254</v>
      </c>
    </row>
    <row r="513" spans="1:3" x14ac:dyDescent="0.25">
      <c r="A513" s="36">
        <v>41296</v>
      </c>
      <c r="B513" s="122">
        <v>5.2546296296296292E-2</v>
      </c>
      <c r="C513" s="26" t="s">
        <v>1170</v>
      </c>
    </row>
    <row r="514" spans="1:3" x14ac:dyDescent="0.25">
      <c r="A514" s="36">
        <v>41296</v>
      </c>
      <c r="B514" s="122">
        <v>5.2546296296296292E-2</v>
      </c>
      <c r="C514" s="26" t="s">
        <v>1115</v>
      </c>
    </row>
    <row r="515" spans="1:3" x14ac:dyDescent="0.25">
      <c r="A515" s="36">
        <v>41296</v>
      </c>
      <c r="B515" s="122">
        <v>5.2546296296296292E-2</v>
      </c>
      <c r="C515" s="26" t="s">
        <v>1239</v>
      </c>
    </row>
    <row r="516" spans="1:3" x14ac:dyDescent="0.25">
      <c r="A516" s="36">
        <v>41296</v>
      </c>
      <c r="B516" s="122">
        <v>5.2546296296296292E-2</v>
      </c>
      <c r="C516" s="26" t="s">
        <v>1171</v>
      </c>
    </row>
    <row r="517" spans="1:3" x14ac:dyDescent="0.25">
      <c r="A517" s="36">
        <v>41296</v>
      </c>
      <c r="B517" s="122">
        <v>5.2546296296296292E-2</v>
      </c>
      <c r="C517" s="26" t="s">
        <v>1214</v>
      </c>
    </row>
    <row r="518" spans="1:3" x14ac:dyDescent="0.25">
      <c r="A518" s="36">
        <v>41296</v>
      </c>
      <c r="B518" s="122">
        <v>5.2546296296296292E-2</v>
      </c>
      <c r="C518" s="26" t="s">
        <v>1275</v>
      </c>
    </row>
    <row r="519" spans="1:3" x14ac:dyDescent="0.25">
      <c r="A519" s="36">
        <v>41296</v>
      </c>
      <c r="B519" s="122">
        <v>5.2546296296296292E-2</v>
      </c>
      <c r="C519" s="26" t="s">
        <v>1091</v>
      </c>
    </row>
    <row r="520" spans="1:3" x14ac:dyDescent="0.25">
      <c r="A520" s="36">
        <v>41296</v>
      </c>
      <c r="B520" s="122">
        <v>5.2546296296296292E-2</v>
      </c>
      <c r="C520" s="26" t="s">
        <v>1115</v>
      </c>
    </row>
    <row r="521" spans="1:3" x14ac:dyDescent="0.25">
      <c r="A521" s="36">
        <v>41296</v>
      </c>
      <c r="B521" s="122">
        <v>5.2546296296296292E-2</v>
      </c>
      <c r="C521" s="26" t="s">
        <v>1115</v>
      </c>
    </row>
    <row r="522" spans="1:3" x14ac:dyDescent="0.25">
      <c r="A522" s="36">
        <v>41296</v>
      </c>
      <c r="B522" s="122">
        <v>5.2546296296296292E-2</v>
      </c>
      <c r="C522" s="26" t="s">
        <v>1152</v>
      </c>
    </row>
    <row r="523" spans="1:3" x14ac:dyDescent="0.25">
      <c r="A523" s="36">
        <v>41296</v>
      </c>
      <c r="B523" s="122">
        <v>5.2546296296296292E-2</v>
      </c>
      <c r="C523" s="26" t="s">
        <v>1199</v>
      </c>
    </row>
    <row r="524" spans="1:3" x14ac:dyDescent="0.25">
      <c r="A524" s="36">
        <v>41296</v>
      </c>
      <c r="B524" s="122">
        <v>5.2546296296296292E-2</v>
      </c>
      <c r="C524" s="26" t="s">
        <v>1199</v>
      </c>
    </row>
    <row r="525" spans="1:3" x14ac:dyDescent="0.25">
      <c r="A525" s="36">
        <v>41296</v>
      </c>
      <c r="B525" s="122">
        <v>5.2546296296296292E-2</v>
      </c>
      <c r="C525" s="26" t="s">
        <v>1247</v>
      </c>
    </row>
    <row r="526" spans="1:3" x14ac:dyDescent="0.25">
      <c r="A526" s="36">
        <v>41296</v>
      </c>
      <c r="B526" s="122">
        <v>5.2546296296296292E-2</v>
      </c>
      <c r="C526" s="26" t="s">
        <v>1115</v>
      </c>
    </row>
    <row r="527" spans="1:3" x14ac:dyDescent="0.25">
      <c r="A527" s="36">
        <v>41296</v>
      </c>
      <c r="B527" s="122">
        <v>5.2546296296296292E-2</v>
      </c>
      <c r="C527" s="26" t="s">
        <v>1265</v>
      </c>
    </row>
    <row r="528" spans="1:3" x14ac:dyDescent="0.25">
      <c r="A528" s="36">
        <v>41296</v>
      </c>
      <c r="B528" s="122">
        <v>5.2546296296296292E-2</v>
      </c>
      <c r="C528" s="26" t="s">
        <v>1092</v>
      </c>
    </row>
    <row r="529" spans="1:3" x14ac:dyDescent="0.25">
      <c r="A529" s="36">
        <v>41296</v>
      </c>
      <c r="B529" s="122">
        <v>5.2546296296296292E-2</v>
      </c>
      <c r="C529" s="26" t="s">
        <v>1095</v>
      </c>
    </row>
    <row r="530" spans="1:3" x14ac:dyDescent="0.25">
      <c r="A530" s="36">
        <v>41296</v>
      </c>
      <c r="B530" s="122">
        <v>5.2546296296296292E-2</v>
      </c>
      <c r="C530" s="26" t="s">
        <v>1109</v>
      </c>
    </row>
    <row r="531" spans="1:3" x14ac:dyDescent="0.25">
      <c r="A531" s="36">
        <v>41296</v>
      </c>
      <c r="B531" s="122">
        <v>5.2546296296296292E-2</v>
      </c>
      <c r="C531" s="26" t="s">
        <v>1092</v>
      </c>
    </row>
    <row r="532" spans="1:3" x14ac:dyDescent="0.25">
      <c r="A532" s="36">
        <v>41296</v>
      </c>
      <c r="B532" s="122">
        <v>5.2546296296296292E-2</v>
      </c>
      <c r="C532" s="26" t="s">
        <v>1243</v>
      </c>
    </row>
    <row r="533" spans="1:3" x14ac:dyDescent="0.25">
      <c r="A533" s="36">
        <v>41296</v>
      </c>
      <c r="B533" s="122">
        <v>5.2546296296296292E-2</v>
      </c>
      <c r="C533" s="26" t="s">
        <v>1253</v>
      </c>
    </row>
    <row r="534" spans="1:3" x14ac:dyDescent="0.25">
      <c r="A534" s="36">
        <v>41296</v>
      </c>
      <c r="B534" s="122">
        <v>5.2546296296296292E-2</v>
      </c>
      <c r="C534" s="26" t="s">
        <v>1163</v>
      </c>
    </row>
    <row r="535" spans="1:3" x14ac:dyDescent="0.25">
      <c r="A535" s="36">
        <v>41296</v>
      </c>
      <c r="B535" s="122">
        <v>5.2546296296296292E-2</v>
      </c>
      <c r="C535" s="26" t="s">
        <v>1185</v>
      </c>
    </row>
    <row r="536" spans="1:3" x14ac:dyDescent="0.25">
      <c r="A536" s="36">
        <v>41296</v>
      </c>
      <c r="B536" s="122">
        <v>5.2546296296296292E-2</v>
      </c>
      <c r="C536" s="26" t="s">
        <v>1096</v>
      </c>
    </row>
    <row r="537" spans="1:3" x14ac:dyDescent="0.25">
      <c r="A537" s="36">
        <v>41296</v>
      </c>
      <c r="B537" s="122">
        <v>5.2546296296296292E-2</v>
      </c>
      <c r="C537" s="26" t="s">
        <v>1148</v>
      </c>
    </row>
    <row r="538" spans="1:3" x14ac:dyDescent="0.25">
      <c r="A538" s="36">
        <v>41296</v>
      </c>
      <c r="B538" s="122">
        <v>5.2546296296296292E-2</v>
      </c>
      <c r="C538" s="26" t="s">
        <v>1149</v>
      </c>
    </row>
    <row r="539" spans="1:3" x14ac:dyDescent="0.25">
      <c r="A539" s="36">
        <v>41296</v>
      </c>
      <c r="B539" s="122">
        <v>5.2546296296296292E-2</v>
      </c>
      <c r="C539" s="26" t="s">
        <v>1200</v>
      </c>
    </row>
    <row r="540" spans="1:3" x14ac:dyDescent="0.25">
      <c r="A540" s="36">
        <v>41296</v>
      </c>
      <c r="B540" s="122">
        <v>5.2546296296296292E-2</v>
      </c>
      <c r="C540" s="26" t="s">
        <v>1094</v>
      </c>
    </row>
    <row r="541" spans="1:3" x14ac:dyDescent="0.25">
      <c r="A541" s="36">
        <v>41296</v>
      </c>
      <c r="B541" s="122">
        <v>5.2546296296296292E-2</v>
      </c>
      <c r="C541" s="26" t="s">
        <v>1102</v>
      </c>
    </row>
    <row r="542" spans="1:3" x14ac:dyDescent="0.25">
      <c r="A542" s="36">
        <v>41296</v>
      </c>
      <c r="B542" s="122">
        <v>5.2546296296296292E-2</v>
      </c>
      <c r="C542" s="26" t="s">
        <v>1131</v>
      </c>
    </row>
    <row r="543" spans="1:3" x14ac:dyDescent="0.25">
      <c r="A543" s="36">
        <v>41296</v>
      </c>
      <c r="B543" s="122">
        <v>5.2546296296296292E-2</v>
      </c>
      <c r="C543" s="26" t="s">
        <v>1194</v>
      </c>
    </row>
    <row r="544" spans="1:3" x14ac:dyDescent="0.25">
      <c r="A544" s="36">
        <v>41296</v>
      </c>
      <c r="B544" s="122">
        <v>5.2546296296296292E-2</v>
      </c>
      <c r="C544" s="26" t="s">
        <v>1184</v>
      </c>
    </row>
    <row r="545" spans="1:3" x14ac:dyDescent="0.25">
      <c r="A545" s="36">
        <v>41296</v>
      </c>
      <c r="B545" s="122">
        <v>5.2546296296296292E-2</v>
      </c>
      <c r="C545" s="26" t="s">
        <v>1203</v>
      </c>
    </row>
    <row r="546" spans="1:3" x14ac:dyDescent="0.25">
      <c r="A546" s="36">
        <v>41296</v>
      </c>
      <c r="B546" s="122">
        <v>5.2546296296296292E-2</v>
      </c>
      <c r="C546" s="26" t="s">
        <v>1242</v>
      </c>
    </row>
    <row r="547" spans="1:3" x14ac:dyDescent="0.25">
      <c r="A547" s="36">
        <v>41296</v>
      </c>
      <c r="B547" s="122">
        <v>5.2546296296296292E-2</v>
      </c>
      <c r="C547" s="26" t="s">
        <v>1103</v>
      </c>
    </row>
    <row r="548" spans="1:3" x14ac:dyDescent="0.25">
      <c r="A548" s="36">
        <v>41296</v>
      </c>
      <c r="B548" s="122">
        <v>5.2546296296296292E-2</v>
      </c>
      <c r="C548" s="26" t="s">
        <v>1124</v>
      </c>
    </row>
    <row r="549" spans="1:3" x14ac:dyDescent="0.25">
      <c r="A549" s="36">
        <v>41296</v>
      </c>
      <c r="B549" s="122">
        <v>5.2546296296296292E-2</v>
      </c>
      <c r="C549" s="26" t="s">
        <v>1087</v>
      </c>
    </row>
    <row r="550" spans="1:3" x14ac:dyDescent="0.25">
      <c r="A550" s="36">
        <v>41296</v>
      </c>
      <c r="B550" s="122">
        <v>5.2546296296296292E-2</v>
      </c>
      <c r="C550" s="26" t="s">
        <v>1255</v>
      </c>
    </row>
    <row r="551" spans="1:3" x14ac:dyDescent="0.25">
      <c r="A551" s="36">
        <v>41296</v>
      </c>
      <c r="B551" s="122">
        <v>5.2546296296296292E-2</v>
      </c>
      <c r="C551" s="26" t="s">
        <v>1111</v>
      </c>
    </row>
    <row r="552" spans="1:3" x14ac:dyDescent="0.25">
      <c r="A552" s="36">
        <v>41296</v>
      </c>
      <c r="B552" s="122">
        <v>5.2546296296296292E-2</v>
      </c>
      <c r="C552" s="26" t="s">
        <v>1256</v>
      </c>
    </row>
    <row r="553" spans="1:3" x14ac:dyDescent="0.25">
      <c r="A553" s="36">
        <v>41296</v>
      </c>
      <c r="B553" s="122">
        <v>5.2546296296296292E-2</v>
      </c>
      <c r="C553" s="26" t="s">
        <v>1171</v>
      </c>
    </row>
    <row r="554" spans="1:3" x14ac:dyDescent="0.25">
      <c r="A554" s="36">
        <v>41296</v>
      </c>
      <c r="B554" s="122">
        <v>5.2546296296296292E-2</v>
      </c>
      <c r="C554" s="26" t="s">
        <v>1138</v>
      </c>
    </row>
    <row r="555" spans="1:3" x14ac:dyDescent="0.25">
      <c r="A555" s="36">
        <v>41296</v>
      </c>
      <c r="B555" s="122">
        <v>5.2546296296296292E-2</v>
      </c>
      <c r="C555" s="26" t="s">
        <v>1165</v>
      </c>
    </row>
    <row r="556" spans="1:3" x14ac:dyDescent="0.25">
      <c r="A556" s="36">
        <v>41296</v>
      </c>
      <c r="B556" s="122">
        <v>5.2546296296296292E-2</v>
      </c>
      <c r="C556" s="26" t="s">
        <v>1198</v>
      </c>
    </row>
    <row r="557" spans="1:3" x14ac:dyDescent="0.25">
      <c r="A557" s="36">
        <v>41296</v>
      </c>
      <c r="B557" s="122">
        <v>5.2546296296296292E-2</v>
      </c>
      <c r="C557" s="26" t="s">
        <v>1176</v>
      </c>
    </row>
    <row r="558" spans="1:3" x14ac:dyDescent="0.25">
      <c r="A558" s="36">
        <v>41296</v>
      </c>
      <c r="B558" s="122">
        <v>5.2546296296296292E-2</v>
      </c>
      <c r="C558" s="26" t="s">
        <v>1118</v>
      </c>
    </row>
    <row r="559" spans="1:3" x14ac:dyDescent="0.25">
      <c r="A559" s="36">
        <v>41296</v>
      </c>
      <c r="B559" s="122">
        <v>5.2546296296296292E-2</v>
      </c>
      <c r="C559" s="26" t="s">
        <v>1127</v>
      </c>
    </row>
    <row r="560" spans="1:3" x14ac:dyDescent="0.25">
      <c r="A560" s="36">
        <v>41296</v>
      </c>
      <c r="B560" s="122">
        <v>5.2546296296296292E-2</v>
      </c>
      <c r="C560" s="26" t="s">
        <v>1130</v>
      </c>
    </row>
    <row r="561" spans="1:3" x14ac:dyDescent="0.25">
      <c r="A561" s="36">
        <v>41296</v>
      </c>
      <c r="B561" s="122">
        <v>5.2546296296296292E-2</v>
      </c>
      <c r="C561" s="26" t="s">
        <v>1084</v>
      </c>
    </row>
    <row r="562" spans="1:3" x14ac:dyDescent="0.25">
      <c r="A562" s="36">
        <v>41296</v>
      </c>
      <c r="B562" s="122">
        <v>5.2546296296296292E-2</v>
      </c>
      <c r="C562" s="26" t="s">
        <v>1116</v>
      </c>
    </row>
    <row r="563" spans="1:3" x14ac:dyDescent="0.25">
      <c r="A563" s="36">
        <v>41296</v>
      </c>
      <c r="B563" s="122">
        <v>5.2546296296296292E-2</v>
      </c>
      <c r="C563" s="26" t="s">
        <v>1141</v>
      </c>
    </row>
    <row r="564" spans="1:3" x14ac:dyDescent="0.25">
      <c r="A564" s="36">
        <v>41296</v>
      </c>
      <c r="B564" s="122">
        <v>5.2546296296296292E-2</v>
      </c>
      <c r="C564" s="26" t="s">
        <v>1164</v>
      </c>
    </row>
    <row r="565" spans="1:3" x14ac:dyDescent="0.25">
      <c r="A565" s="36">
        <v>41296</v>
      </c>
      <c r="B565" s="122">
        <v>5.2546296296296292E-2</v>
      </c>
      <c r="C565" s="26" t="s">
        <v>1199</v>
      </c>
    </row>
    <row r="566" spans="1:3" x14ac:dyDescent="0.25">
      <c r="A566" s="36">
        <v>41296</v>
      </c>
      <c r="B566" s="122">
        <v>5.2546296296296292E-2</v>
      </c>
      <c r="C566" s="26" t="s">
        <v>1199</v>
      </c>
    </row>
    <row r="567" spans="1:3" x14ac:dyDescent="0.25">
      <c r="A567" s="36">
        <v>41296</v>
      </c>
      <c r="B567" s="122">
        <v>5.2546296296296292E-2</v>
      </c>
      <c r="C567" s="26" t="s">
        <v>1260</v>
      </c>
    </row>
    <row r="568" spans="1:3" x14ac:dyDescent="0.25">
      <c r="A568" s="36">
        <v>41296</v>
      </c>
      <c r="B568" s="122">
        <v>5.2546296296296292E-2</v>
      </c>
      <c r="C568" s="26" t="s">
        <v>1145</v>
      </c>
    </row>
    <row r="569" spans="1:3" x14ac:dyDescent="0.25">
      <c r="A569" s="36">
        <v>41296</v>
      </c>
      <c r="B569" s="122">
        <v>5.2546296296296292E-2</v>
      </c>
      <c r="C569" s="26" t="s">
        <v>1105</v>
      </c>
    </row>
    <row r="570" spans="1:3" x14ac:dyDescent="0.25">
      <c r="A570" s="36">
        <v>41296</v>
      </c>
      <c r="B570" s="122">
        <v>5.2546296296296292E-2</v>
      </c>
      <c r="C570" s="26" t="s">
        <v>1119</v>
      </c>
    </row>
    <row r="571" spans="1:3" x14ac:dyDescent="0.25">
      <c r="A571" s="36">
        <v>41296</v>
      </c>
      <c r="B571" s="122">
        <v>5.2546296296296292E-2</v>
      </c>
      <c r="C571" s="26" t="s">
        <v>1216</v>
      </c>
    </row>
    <row r="572" spans="1:3" x14ac:dyDescent="0.25">
      <c r="A572" s="36">
        <v>41296</v>
      </c>
      <c r="B572" s="122">
        <v>5.2546296296296292E-2</v>
      </c>
      <c r="C572" s="26" t="s">
        <v>1240</v>
      </c>
    </row>
    <row r="573" spans="1:3" x14ac:dyDescent="0.25">
      <c r="A573" s="36">
        <v>41296</v>
      </c>
      <c r="B573" s="122">
        <v>5.2546296296296292E-2</v>
      </c>
      <c r="C573" s="26" t="s">
        <v>1132</v>
      </c>
    </row>
    <row r="574" spans="1:3" x14ac:dyDescent="0.25">
      <c r="A574" s="36">
        <v>41296</v>
      </c>
      <c r="B574" s="122">
        <v>5.2546296296296292E-2</v>
      </c>
      <c r="C574" s="26" t="s">
        <v>1158</v>
      </c>
    </row>
    <row r="575" spans="1:3" x14ac:dyDescent="0.25">
      <c r="A575" s="36">
        <v>41296</v>
      </c>
      <c r="B575" s="122">
        <v>5.2546296296296292E-2</v>
      </c>
      <c r="C575" s="26" t="s">
        <v>1224</v>
      </c>
    </row>
    <row r="576" spans="1:3" x14ac:dyDescent="0.25">
      <c r="A576" s="36">
        <v>41296</v>
      </c>
      <c r="B576" s="122">
        <v>5.2546296296296292E-2</v>
      </c>
      <c r="C576" s="26" t="s">
        <v>1233</v>
      </c>
    </row>
    <row r="577" spans="1:3" x14ac:dyDescent="0.25">
      <c r="A577" s="36">
        <v>41296</v>
      </c>
      <c r="B577" s="122">
        <v>5.2546296296296292E-2</v>
      </c>
      <c r="C577" s="26" t="s">
        <v>1108</v>
      </c>
    </row>
    <row r="578" spans="1:3" x14ac:dyDescent="0.25">
      <c r="A578" s="36">
        <v>41296</v>
      </c>
      <c r="B578" s="122">
        <v>5.2546296296296292E-2</v>
      </c>
      <c r="C578" s="26" t="s">
        <v>1274</v>
      </c>
    </row>
    <row r="579" spans="1:3" x14ac:dyDescent="0.25">
      <c r="A579" s="36">
        <v>41296</v>
      </c>
      <c r="B579" s="122">
        <v>5.2546296296296292E-2</v>
      </c>
      <c r="C579" s="26" t="s">
        <v>1083</v>
      </c>
    </row>
    <row r="580" spans="1:3" x14ac:dyDescent="0.25">
      <c r="A580" s="36">
        <v>41296</v>
      </c>
      <c r="B580" s="122">
        <v>5.2546296296296292E-2</v>
      </c>
      <c r="C580" s="26" t="s">
        <v>1168</v>
      </c>
    </row>
    <row r="581" spans="1:3" x14ac:dyDescent="0.25">
      <c r="A581" s="36">
        <v>41296</v>
      </c>
      <c r="B581" s="122">
        <v>5.2546296296296292E-2</v>
      </c>
      <c r="C581" s="26" t="s">
        <v>1177</v>
      </c>
    </row>
    <row r="582" spans="1:3" x14ac:dyDescent="0.25">
      <c r="A582" s="36">
        <v>41296</v>
      </c>
      <c r="B582" s="122">
        <v>5.2546296296296292E-2</v>
      </c>
      <c r="C582" s="26" t="s">
        <v>1194</v>
      </c>
    </row>
    <row r="583" spans="1:3" x14ac:dyDescent="0.25">
      <c r="A583" s="36">
        <v>41296</v>
      </c>
      <c r="B583" s="122">
        <v>5.2557870370370373E-2</v>
      </c>
      <c r="C583" s="26" t="s">
        <v>1081</v>
      </c>
    </row>
    <row r="584" spans="1:3" x14ac:dyDescent="0.25">
      <c r="A584" s="36">
        <v>41296</v>
      </c>
      <c r="B584" s="122">
        <v>5.2557870370370373E-2</v>
      </c>
      <c r="C584" s="26" t="s">
        <v>1090</v>
      </c>
    </row>
    <row r="585" spans="1:3" x14ac:dyDescent="0.25">
      <c r="A585" s="36">
        <v>41296</v>
      </c>
      <c r="B585" s="122">
        <v>5.2557870370370373E-2</v>
      </c>
      <c r="C585" s="26" t="s">
        <v>1090</v>
      </c>
    </row>
    <row r="586" spans="1:3" x14ac:dyDescent="0.25">
      <c r="A586" s="36">
        <v>41296</v>
      </c>
      <c r="B586" s="122">
        <v>5.2557870370370373E-2</v>
      </c>
      <c r="C586" s="26" t="s">
        <v>1210</v>
      </c>
    </row>
    <row r="587" spans="1:3" x14ac:dyDescent="0.25">
      <c r="A587" s="36">
        <v>41296</v>
      </c>
      <c r="B587" s="122">
        <v>5.2557870370370373E-2</v>
      </c>
      <c r="C587" s="26" t="s">
        <v>1270</v>
      </c>
    </row>
    <row r="588" spans="1:3" x14ac:dyDescent="0.25">
      <c r="A588" s="36">
        <v>41296</v>
      </c>
      <c r="B588" s="122">
        <v>5.2557870370370373E-2</v>
      </c>
      <c r="C588" s="26" t="s">
        <v>1099</v>
      </c>
    </row>
    <row r="589" spans="1:3" x14ac:dyDescent="0.25">
      <c r="A589" s="36">
        <v>41296</v>
      </c>
      <c r="B589" s="122">
        <v>5.2557870370370373E-2</v>
      </c>
      <c r="C589" s="26" t="s">
        <v>1099</v>
      </c>
    </row>
    <row r="590" spans="1:3" x14ac:dyDescent="0.25">
      <c r="A590" s="36">
        <v>41296</v>
      </c>
      <c r="B590" s="122">
        <v>5.2557870370370373E-2</v>
      </c>
      <c r="C590" s="26" t="s">
        <v>1141</v>
      </c>
    </row>
    <row r="591" spans="1:3" x14ac:dyDescent="0.25">
      <c r="A591" s="36">
        <v>41296</v>
      </c>
      <c r="B591" s="122">
        <v>5.2557870370370373E-2</v>
      </c>
      <c r="C591" s="26" t="s">
        <v>1195</v>
      </c>
    </row>
    <row r="592" spans="1:3" x14ac:dyDescent="0.25">
      <c r="A592" s="36">
        <v>41296</v>
      </c>
      <c r="B592" s="122">
        <v>5.2557870370370373E-2</v>
      </c>
      <c r="C592" s="26" t="s">
        <v>1204</v>
      </c>
    </row>
    <row r="593" spans="1:3" x14ac:dyDescent="0.25">
      <c r="A593" s="36">
        <v>41296</v>
      </c>
      <c r="B593" s="122">
        <v>5.2557870370370373E-2</v>
      </c>
      <c r="C593" s="26" t="s">
        <v>1155</v>
      </c>
    </row>
    <row r="594" spans="1:3" x14ac:dyDescent="0.25">
      <c r="A594" s="36">
        <v>41296</v>
      </c>
      <c r="B594" s="122">
        <v>5.2557870370370373E-2</v>
      </c>
      <c r="C594" s="26" t="s">
        <v>1215</v>
      </c>
    </row>
    <row r="595" spans="1:3" x14ac:dyDescent="0.25">
      <c r="A595" s="36">
        <v>41296</v>
      </c>
      <c r="B595" s="122">
        <v>5.2557870370370373E-2</v>
      </c>
      <c r="C595" s="26" t="s">
        <v>1098</v>
      </c>
    </row>
    <row r="596" spans="1:3" x14ac:dyDescent="0.25">
      <c r="A596" s="36">
        <v>41296</v>
      </c>
      <c r="B596" s="122">
        <v>5.2557870370370373E-2</v>
      </c>
      <c r="C596" s="26" t="s">
        <v>1196</v>
      </c>
    </row>
    <row r="597" spans="1:3" x14ac:dyDescent="0.25">
      <c r="A597" s="36">
        <v>41296</v>
      </c>
      <c r="B597" s="122">
        <v>5.2557870370370373E-2</v>
      </c>
      <c r="C597" s="26" t="s">
        <v>1088</v>
      </c>
    </row>
    <row r="598" spans="1:3" x14ac:dyDescent="0.25">
      <c r="A598" s="36">
        <v>41296</v>
      </c>
      <c r="B598" s="122">
        <v>5.2557870370370373E-2</v>
      </c>
      <c r="C598" s="26" t="s">
        <v>1171</v>
      </c>
    </row>
    <row r="599" spans="1:3" x14ac:dyDescent="0.25">
      <c r="A599" s="36">
        <v>41296</v>
      </c>
      <c r="B599" s="122">
        <v>5.2557870370370373E-2</v>
      </c>
      <c r="C599" s="26" t="s">
        <v>1123</v>
      </c>
    </row>
    <row r="600" spans="1:3" x14ac:dyDescent="0.25">
      <c r="A600" s="36">
        <v>41296</v>
      </c>
      <c r="B600" s="122">
        <v>5.2557870370370373E-2</v>
      </c>
      <c r="C600" s="26" t="s">
        <v>1209</v>
      </c>
    </row>
    <row r="601" spans="1:3" x14ac:dyDescent="0.25">
      <c r="A601" s="36">
        <v>41296</v>
      </c>
      <c r="B601" s="122">
        <v>5.2557870370370373E-2</v>
      </c>
      <c r="C601" s="26" t="s">
        <v>1319</v>
      </c>
    </row>
    <row r="602" spans="1:3" x14ac:dyDescent="0.25">
      <c r="A602" s="36">
        <v>41296</v>
      </c>
      <c r="B602" s="122">
        <v>5.2557870370370373E-2</v>
      </c>
      <c r="C602" s="26" t="s">
        <v>1320</v>
      </c>
    </row>
    <row r="603" spans="1:3" x14ac:dyDescent="0.25">
      <c r="A603" s="36">
        <v>41296</v>
      </c>
      <c r="B603" s="122">
        <v>5.2557870370370373E-2</v>
      </c>
      <c r="C603" s="26" t="s">
        <v>1321</v>
      </c>
    </row>
    <row r="604" spans="1:3" x14ac:dyDescent="0.25">
      <c r="A604" s="36">
        <v>41296</v>
      </c>
      <c r="B604" s="122">
        <v>5.2557870370370373E-2</v>
      </c>
      <c r="C604" s="26" t="s">
        <v>1322</v>
      </c>
    </row>
    <row r="605" spans="1:3" x14ac:dyDescent="0.25">
      <c r="A605" s="36">
        <v>41297</v>
      </c>
      <c r="B605" s="122">
        <v>7.3391203703703708E-2</v>
      </c>
      <c r="C605" s="26" t="s">
        <v>1328</v>
      </c>
    </row>
    <row r="606" spans="1:3" x14ac:dyDescent="0.25">
      <c r="A606" s="36">
        <v>41297</v>
      </c>
      <c r="B606" s="122">
        <v>8.622685185185186E-2</v>
      </c>
      <c r="C606" s="26" t="s">
        <v>1329</v>
      </c>
    </row>
    <row r="607" spans="1:3" x14ac:dyDescent="0.25">
      <c r="A607" s="36">
        <v>41297</v>
      </c>
      <c r="B607" s="122">
        <v>8.819444444444445E-2</v>
      </c>
      <c r="C607" s="26" t="s">
        <v>1330</v>
      </c>
    </row>
    <row r="608" spans="1:3" x14ac:dyDescent="0.25">
      <c r="A608" s="36">
        <v>41297</v>
      </c>
      <c r="B608" s="122">
        <v>8.997685185185185E-2</v>
      </c>
      <c r="C608" s="26" t="s">
        <v>1331</v>
      </c>
    </row>
    <row r="609" spans="1:3" x14ac:dyDescent="0.25">
      <c r="A609" s="36">
        <v>41297</v>
      </c>
      <c r="B609" s="122">
        <v>9.0474537037037048E-2</v>
      </c>
      <c r="C609" s="26" t="s">
        <v>1332</v>
      </c>
    </row>
    <row r="610" spans="1:3" x14ac:dyDescent="0.25">
      <c r="A610" s="36">
        <v>41297</v>
      </c>
      <c r="B610" s="122">
        <v>9.0520833333333328E-2</v>
      </c>
      <c r="C610" s="26" t="s">
        <v>1331</v>
      </c>
    </row>
    <row r="611" spans="1:3" x14ac:dyDescent="0.25">
      <c r="A611" s="36">
        <v>41297</v>
      </c>
      <c r="B611" s="122">
        <v>9.0532407407407409E-2</v>
      </c>
      <c r="C611" s="26" t="s">
        <v>1333</v>
      </c>
    </row>
    <row r="612" spans="1:3" x14ac:dyDescent="0.25">
      <c r="A612" s="36">
        <v>41297</v>
      </c>
      <c r="B612" s="122">
        <v>9.0555555555555556E-2</v>
      </c>
      <c r="C612" s="26" t="s">
        <v>1334</v>
      </c>
    </row>
    <row r="613" spans="1:3" x14ac:dyDescent="0.25">
      <c r="A613" s="36">
        <v>41297</v>
      </c>
      <c r="B613" s="122">
        <v>9.0613425925925917E-2</v>
      </c>
      <c r="C613" s="26" t="s">
        <v>1335</v>
      </c>
    </row>
    <row r="614" spans="1:3" x14ac:dyDescent="0.25">
      <c r="A614" s="36">
        <v>41297</v>
      </c>
      <c r="B614" s="122">
        <v>9.0624999999999997E-2</v>
      </c>
      <c r="C614" s="26" t="s">
        <v>1336</v>
      </c>
    </row>
    <row r="615" spans="1:3" x14ac:dyDescent="0.25">
      <c r="A615" s="36">
        <v>41297</v>
      </c>
      <c r="B615" s="122">
        <v>9.0636574074074064E-2</v>
      </c>
      <c r="C615" s="26" t="s">
        <v>1336</v>
      </c>
    </row>
    <row r="616" spans="1:3" x14ac:dyDescent="0.25">
      <c r="A616" s="36">
        <v>41297</v>
      </c>
      <c r="B616" s="122">
        <v>9.0648148148148144E-2</v>
      </c>
      <c r="C616" s="26" t="s">
        <v>1337</v>
      </c>
    </row>
    <row r="617" spans="1:3" x14ac:dyDescent="0.25">
      <c r="A617" s="36">
        <v>41297</v>
      </c>
      <c r="B617" s="122">
        <v>9.0775462962962961E-2</v>
      </c>
      <c r="C617" s="26" t="s">
        <v>1338</v>
      </c>
    </row>
    <row r="618" spans="1:3" x14ac:dyDescent="0.25">
      <c r="A618" s="36">
        <v>41297</v>
      </c>
      <c r="B618" s="122">
        <v>9.0787037037037041E-2</v>
      </c>
      <c r="C618" s="26" t="s">
        <v>1337</v>
      </c>
    </row>
    <row r="619" spans="1:3" x14ac:dyDescent="0.25">
      <c r="A619" s="36">
        <v>41297</v>
      </c>
      <c r="B619" s="122">
        <v>9.0798611111111108E-2</v>
      </c>
      <c r="C619" s="26" t="s">
        <v>1339</v>
      </c>
    </row>
    <row r="620" spans="1:3" ht="45" x14ac:dyDescent="0.25">
      <c r="A620" s="36">
        <v>41297</v>
      </c>
      <c r="B620" s="122">
        <v>9.8483796296296292E-2</v>
      </c>
      <c r="C620" s="765" t="s">
        <v>1340</v>
      </c>
    </row>
    <row r="621" spans="1:3" x14ac:dyDescent="0.25">
      <c r="A621" s="36">
        <v>41297</v>
      </c>
      <c r="B621" s="122">
        <v>0.10562500000000001</v>
      </c>
      <c r="C621" s="26" t="s">
        <v>1331</v>
      </c>
    </row>
    <row r="622" spans="1:3" x14ac:dyDescent="0.25">
      <c r="A622" s="36">
        <v>41297</v>
      </c>
      <c r="B622" s="122">
        <v>0.93285879629629631</v>
      </c>
      <c r="C622" s="26" t="s">
        <v>1280</v>
      </c>
    </row>
    <row r="623" spans="1:3" x14ac:dyDescent="0.25">
      <c r="A623" s="36">
        <v>41297</v>
      </c>
      <c r="B623" s="122">
        <v>0.93285879629629631</v>
      </c>
      <c r="C623" s="26" t="s">
        <v>1281</v>
      </c>
    </row>
    <row r="624" spans="1:3" x14ac:dyDescent="0.25">
      <c r="A624" s="36">
        <v>41297</v>
      </c>
      <c r="B624" s="122">
        <v>0.93285879629629631</v>
      </c>
      <c r="C624" s="26" t="s">
        <v>1283</v>
      </c>
    </row>
    <row r="625" spans="1:3" x14ac:dyDescent="0.25">
      <c r="A625" s="36">
        <v>41297</v>
      </c>
      <c r="B625" s="122">
        <v>0.93285879629629631</v>
      </c>
      <c r="C625" s="26" t="s">
        <v>1284</v>
      </c>
    </row>
    <row r="626" spans="1:3" x14ac:dyDescent="0.25">
      <c r="A626" s="36">
        <v>41297</v>
      </c>
      <c r="B626" s="122">
        <v>0.93285879629629631</v>
      </c>
      <c r="C626" s="26" t="s">
        <v>1285</v>
      </c>
    </row>
    <row r="627" spans="1:3" x14ac:dyDescent="0.25">
      <c r="A627" s="36">
        <v>41297</v>
      </c>
      <c r="B627" s="122">
        <v>0.93285879629629631</v>
      </c>
      <c r="C627" s="26" t="s">
        <v>1286</v>
      </c>
    </row>
    <row r="628" spans="1:3" x14ac:dyDescent="0.25">
      <c r="A628" s="36">
        <v>41297</v>
      </c>
      <c r="B628" s="122">
        <v>0.93285879629629631</v>
      </c>
      <c r="C628" s="26" t="s">
        <v>1287</v>
      </c>
    </row>
    <row r="629" spans="1:3" x14ac:dyDescent="0.25">
      <c r="A629" s="36">
        <v>41297</v>
      </c>
      <c r="B629" s="122">
        <v>0.93285879629629631</v>
      </c>
      <c r="C629" s="26" t="s">
        <v>1285</v>
      </c>
    </row>
    <row r="630" spans="1:3" x14ac:dyDescent="0.25">
      <c r="A630" s="36">
        <v>41297</v>
      </c>
      <c r="B630" s="122">
        <v>0.93285879629629631</v>
      </c>
      <c r="C630" s="26" t="s">
        <v>1288</v>
      </c>
    </row>
    <row r="631" spans="1:3" x14ac:dyDescent="0.25">
      <c r="A631" s="36">
        <v>41297</v>
      </c>
      <c r="B631" s="122">
        <v>0.93285879629629631</v>
      </c>
      <c r="C631" s="26" t="s">
        <v>1288</v>
      </c>
    </row>
    <row r="632" spans="1:3" x14ac:dyDescent="0.25">
      <c r="A632" s="36">
        <v>41297</v>
      </c>
      <c r="B632" s="122">
        <v>0.93285879629629631</v>
      </c>
      <c r="C632" s="26" t="s">
        <v>1290</v>
      </c>
    </row>
    <row r="633" spans="1:3" x14ac:dyDescent="0.25">
      <c r="A633" s="36">
        <v>41297</v>
      </c>
      <c r="B633" s="122">
        <v>0.93285879629629631</v>
      </c>
      <c r="C633" s="26" t="s">
        <v>1291</v>
      </c>
    </row>
    <row r="634" spans="1:3" x14ac:dyDescent="0.25">
      <c r="A634" s="36">
        <v>41297</v>
      </c>
      <c r="B634" s="122">
        <v>0.93285879629629631</v>
      </c>
      <c r="C634" s="26" t="s">
        <v>1292</v>
      </c>
    </row>
    <row r="635" spans="1:3" x14ac:dyDescent="0.25">
      <c r="A635" s="36">
        <v>41297</v>
      </c>
      <c r="B635" s="122">
        <v>0.93285879629629631</v>
      </c>
      <c r="C635" s="26" t="s">
        <v>1293</v>
      </c>
    </row>
    <row r="636" spans="1:3" x14ac:dyDescent="0.25">
      <c r="A636" s="36">
        <v>41297</v>
      </c>
      <c r="B636" s="122">
        <v>0.93285879629629631</v>
      </c>
      <c r="C636" s="26" t="s">
        <v>1294</v>
      </c>
    </row>
    <row r="637" spans="1:3" x14ac:dyDescent="0.25">
      <c r="A637" s="36">
        <v>41297</v>
      </c>
      <c r="B637" s="122">
        <v>0.93285879629629631</v>
      </c>
      <c r="C637" s="26" t="s">
        <v>1285</v>
      </c>
    </row>
    <row r="638" spans="1:3" x14ac:dyDescent="0.25">
      <c r="A638" s="36">
        <v>41297</v>
      </c>
      <c r="B638" s="122">
        <v>0.93285879629629631</v>
      </c>
      <c r="C638" s="26" t="s">
        <v>1283</v>
      </c>
    </row>
    <row r="639" spans="1:3" x14ac:dyDescent="0.25">
      <c r="A639" s="36">
        <v>41297</v>
      </c>
      <c r="B639" s="122">
        <v>0.9422800925925926</v>
      </c>
      <c r="C639" s="26" t="s">
        <v>1342</v>
      </c>
    </row>
    <row r="640" spans="1:3" ht="45" x14ac:dyDescent="0.25">
      <c r="A640" s="36">
        <v>41297</v>
      </c>
      <c r="B640" s="122">
        <v>0.94253472222222223</v>
      </c>
      <c r="C640" s="765" t="s">
        <v>1343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0"/>
  <sheetViews>
    <sheetView zoomScale="85" zoomScaleNormal="85" workbookViewId="0">
      <pane xSplit="1" ySplit="5" topLeftCell="B99" activePane="bottomRight" state="frozen"/>
      <selection pane="topRight" activeCell="B1" sqref="B1"/>
      <selection pane="bottomLeft" activeCell="A6" sqref="A6"/>
      <selection pane="bottomRight" activeCell="P123" sqref="P123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4">
        <v>41258</v>
      </c>
    </row>
    <row r="2" spans="1:38" s="315" customFormat="1" ht="19.5" x14ac:dyDescent="0.3">
      <c r="C2" s="316" t="s">
        <v>696</v>
      </c>
    </row>
    <row r="3" spans="1:38" s="315" customFormat="1" x14ac:dyDescent="0.25"/>
    <row r="4" spans="1:38" s="315" customFormat="1" ht="15.75" thickBot="1" x14ac:dyDescent="0.3">
      <c r="A4" s="315" t="s">
        <v>776</v>
      </c>
    </row>
    <row r="5" spans="1:38" s="315" customFormat="1" ht="23.25" thickBot="1" x14ac:dyDescent="0.3">
      <c r="A5" s="254" t="s">
        <v>783</v>
      </c>
      <c r="B5" s="317" t="s">
        <v>697</v>
      </c>
      <c r="C5" s="318" t="s">
        <v>568</v>
      </c>
      <c r="D5" s="318" t="s">
        <v>698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699</v>
      </c>
      <c r="L5" s="323" t="s">
        <v>700</v>
      </c>
      <c r="M5" s="323" t="s">
        <v>701</v>
      </c>
      <c r="N5" s="324" t="s">
        <v>702</v>
      </c>
      <c r="O5" s="324" t="s">
        <v>703</v>
      </c>
      <c r="P5" s="324" t="s">
        <v>704</v>
      </c>
      <c r="Q5" s="324" t="s">
        <v>705</v>
      </c>
      <c r="R5" s="324" t="s">
        <v>706</v>
      </c>
      <c r="S5" s="323" t="s">
        <v>0</v>
      </c>
      <c r="T5" s="322" t="s">
        <v>2</v>
      </c>
      <c r="U5" s="322" t="s">
        <v>707</v>
      </c>
      <c r="V5" s="322" t="s">
        <v>708</v>
      </c>
      <c r="W5" s="322" t="s">
        <v>1</v>
      </c>
      <c r="X5" s="322" t="s">
        <v>709</v>
      </c>
      <c r="Y5" s="322" t="s">
        <v>710</v>
      </c>
      <c r="Z5" s="320" t="s">
        <v>62</v>
      </c>
      <c r="AA5" s="322" t="s">
        <v>64</v>
      </c>
      <c r="AB5" s="323" t="s">
        <v>61</v>
      </c>
      <c r="AC5" s="322" t="s">
        <v>63</v>
      </c>
      <c r="AD5" s="700" t="s">
        <v>57</v>
      </c>
      <c r="AE5" s="728" t="s">
        <v>997</v>
      </c>
      <c r="AF5" s="727" t="s">
        <v>354</v>
      </c>
      <c r="AG5" s="750" t="s">
        <v>1049</v>
      </c>
      <c r="AH5" s="750" t="s">
        <v>1050</v>
      </c>
      <c r="AI5" s="750" t="s">
        <v>1046</v>
      </c>
      <c r="AJ5" s="750" t="s">
        <v>956</v>
      </c>
      <c r="AK5" s="727" t="s">
        <v>117</v>
      </c>
      <c r="AL5" s="727" t="s">
        <v>206</v>
      </c>
    </row>
    <row r="6" spans="1:38" s="315" customFormat="1" x14ac:dyDescent="0.25">
      <c r="A6" s="255" t="s">
        <v>784</v>
      </c>
      <c r="B6" s="325" t="s">
        <v>201</v>
      </c>
      <c r="C6" s="326" t="str">
        <f>IF(D6="","",1)</f>
        <v/>
      </c>
      <c r="D6" s="501"/>
      <c r="E6" s="501"/>
      <c r="F6" s="327" t="str">
        <f>TRIM(G6)&amp;TRIM(J6)&amp;ROUND(S6/1000,0)</f>
        <v>0</v>
      </c>
      <c r="AE6" s="701" t="s">
        <v>866</v>
      </c>
      <c r="AF6" s="701" t="s">
        <v>866</v>
      </c>
      <c r="AG6" s="701" t="s">
        <v>866</v>
      </c>
      <c r="AH6" s="701" t="s">
        <v>866</v>
      </c>
      <c r="AI6" s="701" t="s">
        <v>866</v>
      </c>
      <c r="AJ6" s="701" t="s">
        <v>866</v>
      </c>
      <c r="AK6" s="701" t="s">
        <v>866</v>
      </c>
      <c r="AL6" s="701" t="s">
        <v>866</v>
      </c>
    </row>
    <row r="7" spans="1:38" s="315" customFormat="1" x14ac:dyDescent="0.25">
      <c r="A7" s="254" t="s">
        <v>785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1011</v>
      </c>
      <c r="AL7" s="328" t="s">
        <v>1011</v>
      </c>
    </row>
    <row r="8" spans="1:38" s="315" customFormat="1" x14ac:dyDescent="0.25">
      <c r="A8" s="254" t="s">
        <v>786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3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7" customFormat="1" ht="38.25" x14ac:dyDescent="0.25">
      <c r="A9" s="254" t="s">
        <v>787</v>
      </c>
      <c r="B9" s="351"/>
      <c r="C9" s="351"/>
      <c r="D9" s="351"/>
      <c r="E9" s="351"/>
      <c r="G9" s="351"/>
      <c r="H9" s="351"/>
      <c r="K9" s="351"/>
      <c r="L9" s="738"/>
      <c r="M9" s="738"/>
      <c r="N9" s="738"/>
      <c r="O9" s="738"/>
      <c r="P9" s="738"/>
      <c r="Q9" s="738"/>
      <c r="R9" s="738"/>
      <c r="S9" s="738"/>
      <c r="T9" s="738"/>
      <c r="U9" s="739"/>
      <c r="V9" s="738"/>
      <c r="W9" s="738"/>
      <c r="X9" s="738"/>
      <c r="Y9" s="738"/>
      <c r="Z9" s="738"/>
      <c r="AA9" s="738"/>
      <c r="AE9" s="351" t="s">
        <v>998</v>
      </c>
      <c r="AF9" s="740" t="s">
        <v>913</v>
      </c>
      <c r="AG9" s="751" t="s">
        <v>1052</v>
      </c>
      <c r="AH9" s="751" t="s">
        <v>1054</v>
      </c>
      <c r="AI9" s="751" t="s">
        <v>1055</v>
      </c>
      <c r="AJ9" s="751" t="s">
        <v>1056</v>
      </c>
      <c r="AK9" s="741"/>
      <c r="AL9" s="741" t="s">
        <v>1039</v>
      </c>
    </row>
    <row r="10" spans="1:38" s="315" customFormat="1" x14ac:dyDescent="0.25">
      <c r="A10" s="254" t="s">
        <v>788</v>
      </c>
      <c r="B10" s="474" t="s">
        <v>779</v>
      </c>
      <c r="C10" s="474"/>
      <c r="D10" s="474" t="s">
        <v>815</v>
      </c>
      <c r="E10" s="474" t="s">
        <v>816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3"/>
      <c r="V10" s="330"/>
      <c r="W10" s="330"/>
      <c r="X10" s="330"/>
      <c r="Y10" s="330"/>
      <c r="Z10" s="330"/>
      <c r="AA10" s="330"/>
      <c r="AK10" s="474" t="s">
        <v>1035</v>
      </c>
      <c r="AL10" s="474" t="s">
        <v>1035</v>
      </c>
    </row>
    <row r="11" spans="1:38" s="315" customFormat="1" x14ac:dyDescent="0.25">
      <c r="Z11" s="330"/>
    </row>
    <row r="12" spans="1:38" s="315" customFormat="1" x14ac:dyDescent="0.25">
      <c r="A12" s="315" t="s">
        <v>775</v>
      </c>
      <c r="Z12" s="330"/>
    </row>
    <row r="13" spans="1:38" s="315" customFormat="1" ht="15.75" thickBot="1" x14ac:dyDescent="0.3">
      <c r="B13" s="315" t="s">
        <v>711</v>
      </c>
      <c r="C13" s="315" t="s">
        <v>712</v>
      </c>
      <c r="D13" s="315" t="s">
        <v>712</v>
      </c>
      <c r="E13" s="315" t="s">
        <v>712</v>
      </c>
      <c r="F13" s="315" t="s">
        <v>712</v>
      </c>
      <c r="H13" s="315" t="s">
        <v>712</v>
      </c>
      <c r="I13" s="315" t="s">
        <v>712</v>
      </c>
      <c r="J13" s="315" t="s">
        <v>712</v>
      </c>
      <c r="K13" s="315" t="s">
        <v>712</v>
      </c>
      <c r="R13" s="331" t="s">
        <v>711</v>
      </c>
    </row>
    <row r="14" spans="1:38" s="315" customFormat="1" ht="15.75" thickBot="1" x14ac:dyDescent="0.3">
      <c r="A14" s="799">
        <f>1 - COUNTIF(A$3:A12,"")/COUNTA(A$3:A12)</f>
        <v>0.75</v>
      </c>
      <c r="B14" s="800"/>
      <c r="C14" s="800"/>
      <c r="D14" s="801"/>
      <c r="E14" s="332"/>
      <c r="F14" s="333">
        <f>R14-SUMIF(B$1:B12,"1",R$1:R12)</f>
        <v>0</v>
      </c>
      <c r="G14" s="334" t="e">
        <f>F14/R14</f>
        <v>#DIV/0!</v>
      </c>
      <c r="H14" s="335" t="e">
        <f>1-G14</f>
        <v>#DIV/0!</v>
      </c>
      <c r="I14" s="336" t="s">
        <v>713</v>
      </c>
      <c r="J14" s="337"/>
      <c r="K14" s="338"/>
      <c r="L14" s="339"/>
      <c r="M14" s="339"/>
      <c r="N14" s="339"/>
      <c r="O14" s="339"/>
      <c r="P14" s="339"/>
      <c r="Q14" s="339"/>
      <c r="R14" s="333">
        <f>SUM(R$3:R12)</f>
        <v>0</v>
      </c>
    </row>
    <row r="15" spans="1:38" s="315" customFormat="1" x14ac:dyDescent="0.25"/>
    <row r="16" spans="1:38" s="315" customFormat="1" x14ac:dyDescent="0.25">
      <c r="A16" s="315" t="s">
        <v>777</v>
      </c>
    </row>
    <row r="17" spans="1:27" s="315" customFormat="1" ht="15.75" thickBot="1" x14ac:dyDescent="0.3">
      <c r="B17" s="315" t="s">
        <v>968</v>
      </c>
    </row>
    <row r="18" spans="1:27" s="351" customFormat="1" ht="60.75" thickBot="1" x14ac:dyDescent="0.3">
      <c r="A18" s="254" t="s">
        <v>783</v>
      </c>
      <c r="B18" s="340" t="s">
        <v>714</v>
      </c>
      <c r="C18" s="341" t="s">
        <v>715</v>
      </c>
      <c r="D18" s="341" t="s">
        <v>716</v>
      </c>
      <c r="E18" s="342" t="s">
        <v>717</v>
      </c>
      <c r="F18" s="343" t="s">
        <v>718</v>
      </c>
      <c r="G18" s="344" t="s">
        <v>719</v>
      </c>
      <c r="H18" s="345" t="s">
        <v>720</v>
      </c>
      <c r="I18" s="346"/>
      <c r="J18" s="347"/>
      <c r="K18" s="348" t="s">
        <v>594</v>
      </c>
      <c r="L18" s="348"/>
      <c r="M18" s="349" t="s">
        <v>595</v>
      </c>
      <c r="N18" s="347" t="s">
        <v>707</v>
      </c>
      <c r="O18" s="347" t="s">
        <v>1</v>
      </c>
      <c r="P18" s="347" t="s">
        <v>58</v>
      </c>
      <c r="Q18" s="347" t="s">
        <v>721</v>
      </c>
      <c r="R18" s="347" t="s">
        <v>722</v>
      </c>
      <c r="S18" s="347" t="s">
        <v>723</v>
      </c>
      <c r="T18" s="348" t="s">
        <v>724</v>
      </c>
      <c r="U18" s="350" t="s">
        <v>725</v>
      </c>
      <c r="V18" s="350" t="s">
        <v>726</v>
      </c>
      <c r="W18" s="350" t="s">
        <v>727</v>
      </c>
      <c r="X18" s="347" t="s">
        <v>728</v>
      </c>
      <c r="Y18" s="347" t="s">
        <v>729</v>
      </c>
      <c r="Z18" s="347" t="s">
        <v>57</v>
      </c>
      <c r="AA18" s="347" t="s">
        <v>730</v>
      </c>
    </row>
    <row r="19" spans="1:27" s="315" customFormat="1" ht="18" customHeight="1" x14ac:dyDescent="0.25">
      <c r="A19" s="255" t="s">
        <v>784</v>
      </c>
      <c r="B19" s="352" t="s">
        <v>70</v>
      </c>
      <c r="C19" s="353" t="s">
        <v>741</v>
      </c>
      <c r="D19" s="354"/>
      <c r="E19" s="355">
        <v>1</v>
      </c>
      <c r="F19" s="356" t="str">
        <f>IF(AND(U19=W19,W19&gt;0),"1","")</f>
        <v/>
      </c>
      <c r="G19" s="357" t="str">
        <f>IF(U19=V19,"1","")</f>
        <v/>
      </c>
      <c r="H19" s="666"/>
      <c r="I19" s="665" t="str">
        <f>IF(S19="",TRIM(K19),TRIM(MID(S19,9,55))&amp;"/"&amp;TRIM(K19))</f>
        <v>2009-1-065</v>
      </c>
      <c r="J19" s="358"/>
      <c r="K19" s="359" t="s">
        <v>731</v>
      </c>
      <c r="L19" s="359"/>
      <c r="M19" s="360">
        <v>40058</v>
      </c>
      <c r="N19" s="358" t="s">
        <v>11</v>
      </c>
      <c r="O19" s="358" t="s">
        <v>80</v>
      </c>
      <c r="P19" s="358" t="s">
        <v>732</v>
      </c>
      <c r="Q19" s="358"/>
      <c r="R19" s="358" t="s">
        <v>733</v>
      </c>
      <c r="S19" s="358"/>
      <c r="T19" s="359" t="s">
        <v>100</v>
      </c>
      <c r="U19" s="361">
        <v>324000</v>
      </c>
      <c r="V19" s="361">
        <v>0</v>
      </c>
      <c r="W19" s="361">
        <v>0</v>
      </c>
      <c r="X19" s="358" t="s">
        <v>45</v>
      </c>
      <c r="Y19" s="362"/>
      <c r="Z19" s="362" t="s">
        <v>734</v>
      </c>
      <c r="AA19" s="358" t="s">
        <v>735</v>
      </c>
    </row>
    <row r="20" spans="1:27" s="315" customFormat="1" x14ac:dyDescent="0.25">
      <c r="A20" s="254" t="s">
        <v>785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3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786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3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787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3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788</v>
      </c>
      <c r="B23" s="328" t="s">
        <v>779</v>
      </c>
      <c r="C23" s="328" t="s">
        <v>791</v>
      </c>
      <c r="D23" s="315" t="s">
        <v>789</v>
      </c>
      <c r="E23" s="328"/>
      <c r="F23" s="329"/>
      <c r="G23" s="328"/>
      <c r="H23" s="328" t="s">
        <v>790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3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778</v>
      </c>
    </row>
    <row r="26" spans="1:27" s="378" customFormat="1" ht="15" customHeight="1" thickBot="1" x14ac:dyDescent="0.3">
      <c r="A26" s="364"/>
      <c r="B26" s="365"/>
      <c r="C26" s="366"/>
      <c r="D26" s="366"/>
      <c r="E26" s="367"/>
      <c r="F26" s="368"/>
      <c r="G26" s="369"/>
      <c r="H26" s="369"/>
      <c r="I26" s="370"/>
      <c r="J26" s="371"/>
      <c r="K26" s="371"/>
      <c r="L26" s="372"/>
      <c r="M26" s="370"/>
      <c r="N26" s="373"/>
      <c r="O26" s="373"/>
      <c r="P26" s="374"/>
      <c r="Q26" s="374"/>
      <c r="R26" s="374"/>
      <c r="S26" s="375"/>
      <c r="T26" s="376"/>
      <c r="U26" s="376"/>
      <c r="V26" s="376"/>
      <c r="W26" s="374"/>
      <c r="X26" s="377"/>
      <c r="Y26" s="377"/>
      <c r="Z26" s="374"/>
    </row>
    <row r="27" spans="1:27" s="378" customFormat="1" ht="15" customHeight="1" x14ac:dyDescent="0.25">
      <c r="A27" s="364"/>
      <c r="B27" s="379" t="s">
        <v>736</v>
      </c>
      <c r="C27" s="429">
        <f>COUNTIF(B$1:B24,B27)</f>
        <v>0</v>
      </c>
      <c r="D27" s="437" t="e">
        <f>C27/C32</f>
        <v>#DIV/0!</v>
      </c>
      <c r="E27" s="380"/>
      <c r="F27" s="368"/>
      <c r="G27" s="369"/>
      <c r="H27" s="369"/>
      <c r="I27" s="381"/>
      <c r="J27" s="430">
        <f>SUMIF(B$3:B24,B27,T$3:T31)</f>
        <v>0</v>
      </c>
      <c r="K27" s="441"/>
      <c r="L27" s="442" t="e">
        <f>J27/J32</f>
        <v>#DIV/0!</v>
      </c>
      <c r="M27" s="373"/>
      <c r="N27" s="373"/>
      <c r="O27" s="373"/>
      <c r="P27" s="374"/>
      <c r="Q27" s="374"/>
      <c r="R27" s="374"/>
      <c r="S27" s="375" t="s">
        <v>713</v>
      </c>
      <c r="T27" s="383">
        <f>SUM(T$1:T26)</f>
        <v>48</v>
      </c>
      <c r="U27" s="383">
        <f>SUM(U$1:U26)</f>
        <v>324012</v>
      </c>
      <c r="V27" s="383">
        <f>SUM(V$1:V26)</f>
        <v>11</v>
      </c>
      <c r="W27" s="374" t="s">
        <v>737</v>
      </c>
      <c r="X27" s="377"/>
      <c r="Y27" s="377"/>
      <c r="Z27" s="374"/>
    </row>
    <row r="28" spans="1:27" s="378" customFormat="1" ht="15" customHeight="1" x14ac:dyDescent="0.25">
      <c r="A28" s="364"/>
      <c r="B28" s="384" t="s">
        <v>738</v>
      </c>
      <c r="C28" s="431">
        <f>COUNTIF(B$1:B24,B28)</f>
        <v>0</v>
      </c>
      <c r="D28" s="438" t="e">
        <f>C28/C32</f>
        <v>#DIV/0!</v>
      </c>
      <c r="E28" s="380"/>
      <c r="F28" s="368"/>
      <c r="G28" s="369"/>
      <c r="H28" s="369"/>
      <c r="I28" s="381"/>
      <c r="J28" s="432">
        <f>SUMIF(B$3:B27,B28,T$3:T32)</f>
        <v>0</v>
      </c>
      <c r="K28" s="443"/>
      <c r="L28" s="444" t="e">
        <f>J28/J32</f>
        <v>#DIV/0!</v>
      </c>
      <c r="M28" s="373"/>
      <c r="N28" s="373"/>
      <c r="O28" s="373"/>
      <c r="S28" s="385"/>
      <c r="T28" s="386"/>
      <c r="U28" s="386"/>
      <c r="V28" s="386"/>
      <c r="X28" s="387"/>
      <c r="Y28" s="387"/>
    </row>
    <row r="29" spans="1:27" s="378" customFormat="1" ht="15" customHeight="1" x14ac:dyDescent="0.25">
      <c r="A29" s="364"/>
      <c r="B29" s="388" t="s">
        <v>739</v>
      </c>
      <c r="C29" s="433">
        <f>COUNTIF(B$1:B24,B29)</f>
        <v>0</v>
      </c>
      <c r="D29" s="439" t="e">
        <f>C29/C32</f>
        <v>#DIV/0!</v>
      </c>
      <c r="E29" s="380"/>
      <c r="F29" s="368"/>
      <c r="G29" s="369"/>
      <c r="H29" s="369"/>
      <c r="I29" s="381"/>
      <c r="J29" s="434">
        <f>SUMIF(B$3:B28,B29,T$3:T32)</f>
        <v>0</v>
      </c>
      <c r="K29" s="445"/>
      <c r="L29" s="446" t="e">
        <f>J29/J32</f>
        <v>#DIV/0!</v>
      </c>
      <c r="M29" s="370"/>
      <c r="N29" s="373"/>
      <c r="O29" s="373"/>
      <c r="S29" s="385"/>
      <c r="T29" s="386"/>
      <c r="U29" s="386"/>
      <c r="V29" s="386"/>
      <c r="X29" s="387"/>
      <c r="Y29" s="387"/>
    </row>
    <row r="30" spans="1:27" s="378" customFormat="1" ht="15" customHeight="1" thickBot="1" x14ac:dyDescent="0.3">
      <c r="A30" s="364"/>
      <c r="B30" s="389" t="s">
        <v>740</v>
      </c>
      <c r="C30" s="435">
        <f>COUNTIF(B$1:B27,B30)</f>
        <v>0</v>
      </c>
      <c r="D30" s="440" t="e">
        <f>C30/C32</f>
        <v>#DIV/0!</v>
      </c>
      <c r="E30" s="380"/>
      <c r="F30" s="368"/>
      <c r="G30" s="369"/>
      <c r="H30" s="369"/>
      <c r="I30" s="381"/>
      <c r="J30" s="436">
        <f>SUMIF(B$3:B29,B30,T$3:T32)</f>
        <v>0</v>
      </c>
      <c r="K30" s="447"/>
      <c r="L30" s="448" t="e">
        <f>J30/J32</f>
        <v>#DIV/0!</v>
      </c>
      <c r="M30" s="370"/>
      <c r="N30" s="373"/>
      <c r="O30" s="373"/>
      <c r="S30" s="385"/>
      <c r="T30" s="386"/>
      <c r="U30" s="386"/>
      <c r="V30" s="386"/>
      <c r="X30" s="387"/>
      <c r="Y30" s="387"/>
    </row>
    <row r="31" spans="1:27" s="378" customFormat="1" ht="15" customHeight="1" thickTop="1" thickBot="1" x14ac:dyDescent="0.3">
      <c r="A31" s="390"/>
      <c r="B31" s="391" t="s">
        <v>741</v>
      </c>
      <c r="C31" s="392">
        <f>COUNTIF(B$1:B24,B31)</f>
        <v>0</v>
      </c>
      <c r="D31" s="393" t="e">
        <f>C31/C32</f>
        <v>#DIV/0!</v>
      </c>
      <c r="E31" s="394"/>
      <c r="F31" s="395"/>
      <c r="G31" s="396"/>
      <c r="H31" s="396"/>
      <c r="I31" s="397"/>
      <c r="J31" s="449">
        <f>SUMIF(B$3:B30,B31,T$3:T32)</f>
        <v>0</v>
      </c>
      <c r="K31" s="450"/>
      <c r="L31" s="451" t="e">
        <f>J31/J32</f>
        <v>#DIV/0!</v>
      </c>
      <c r="M31" s="398"/>
      <c r="N31" s="398"/>
      <c r="O31" s="398"/>
      <c r="S31" s="385"/>
      <c r="T31" s="386"/>
      <c r="U31" s="386"/>
      <c r="V31" s="386"/>
      <c r="X31" s="387"/>
      <c r="Y31" s="387"/>
    </row>
    <row r="32" spans="1:27" s="378" customFormat="1" ht="15" customHeight="1" x14ac:dyDescent="0.25">
      <c r="A32" s="364"/>
      <c r="B32" s="399"/>
      <c r="C32" s="400">
        <f>SUM(C27:C31)</f>
        <v>0</v>
      </c>
      <c r="D32" s="366"/>
      <c r="E32" s="380"/>
      <c r="F32" s="368"/>
      <c r="G32" s="369"/>
      <c r="H32" s="369"/>
      <c r="I32" s="381"/>
      <c r="J32" s="401">
        <f>SUM(J27:J31)</f>
        <v>0</v>
      </c>
      <c r="K32" s="382"/>
      <c r="L32" s="402"/>
      <c r="M32" s="370"/>
      <c r="N32" s="373"/>
      <c r="O32" s="373"/>
      <c r="S32" s="385"/>
      <c r="T32" s="386"/>
      <c r="U32" s="386"/>
      <c r="V32" s="386"/>
      <c r="X32" s="387"/>
      <c r="Y32" s="387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3" t="s">
        <v>742</v>
      </c>
    </row>
    <row r="35" spans="1:26" s="315" customFormat="1" ht="17.25" x14ac:dyDescent="0.4">
      <c r="A35" s="254" t="s">
        <v>783</v>
      </c>
      <c r="B35" s="404" t="s">
        <v>697</v>
      </c>
      <c r="C35" s="405"/>
    </row>
    <row r="36" spans="1:26" s="315" customFormat="1" ht="17.25" x14ac:dyDescent="0.4">
      <c r="A36" s="255" t="s">
        <v>784</v>
      </c>
      <c r="B36" s="406"/>
      <c r="C36" s="405"/>
    </row>
    <row r="37" spans="1:26" s="315" customFormat="1" x14ac:dyDescent="0.25">
      <c r="A37" s="254" t="s">
        <v>785</v>
      </c>
      <c r="B37" s="328">
        <v>0.5</v>
      </c>
      <c r="C37" s="328"/>
    </row>
    <row r="38" spans="1:26" s="315" customFormat="1" x14ac:dyDescent="0.25">
      <c r="A38" s="254" t="s">
        <v>786</v>
      </c>
      <c r="B38" s="328">
        <v>3</v>
      </c>
      <c r="C38" s="328"/>
    </row>
    <row r="39" spans="1:26" s="315" customFormat="1" x14ac:dyDescent="0.25">
      <c r="A39" s="254" t="s">
        <v>787</v>
      </c>
      <c r="B39" s="328"/>
      <c r="C39" s="328"/>
    </row>
    <row r="40" spans="1:26" s="315" customFormat="1" x14ac:dyDescent="0.25">
      <c r="A40" s="254" t="s">
        <v>788</v>
      </c>
      <c r="B40" s="328" t="s">
        <v>779</v>
      </c>
      <c r="C40" s="328"/>
    </row>
    <row r="41" spans="1:26" s="315" customFormat="1" x14ac:dyDescent="0.25"/>
    <row r="42" spans="1:26" s="425" customFormat="1" ht="7.5" customHeight="1" x14ac:dyDescent="0.25">
      <c r="D42" s="426"/>
      <c r="E42" s="426"/>
    </row>
    <row r="43" spans="1:26" s="410" customFormat="1" ht="19.5" x14ac:dyDescent="0.3">
      <c r="A43" s="315"/>
      <c r="C43" s="411" t="s">
        <v>758</v>
      </c>
    </row>
    <row r="44" spans="1:26" s="410" customFormat="1" x14ac:dyDescent="0.25"/>
    <row r="45" spans="1:26" s="410" customFormat="1" x14ac:dyDescent="0.25">
      <c r="A45" s="410" t="s">
        <v>759</v>
      </c>
    </row>
    <row r="46" spans="1:26" s="410" customFormat="1" ht="17.25" x14ac:dyDescent="0.4">
      <c r="A46" s="405" t="s">
        <v>760</v>
      </c>
      <c r="B46" s="412" t="s">
        <v>761</v>
      </c>
      <c r="E46" s="410" t="s">
        <v>762</v>
      </c>
    </row>
    <row r="47" spans="1:26" s="410" customFormat="1" x14ac:dyDescent="0.25">
      <c r="A47" s="413">
        <v>4240</v>
      </c>
      <c r="B47" s="414" t="str">
        <f>IF(D47="&lt;&lt;ПУСТО&gt;&gt;",C47&amp;ROUND(F47/1000,0),D47&amp;C47&amp;ROUND(F47/1000,0))</f>
        <v>0</v>
      </c>
      <c r="E47" s="410" t="s">
        <v>763</v>
      </c>
    </row>
    <row r="48" spans="1:26" s="410" customFormat="1" x14ac:dyDescent="0.25">
      <c r="A48" s="415">
        <v>8</v>
      </c>
      <c r="B48" s="415">
        <v>1</v>
      </c>
      <c r="E48" s="410" t="s">
        <v>764</v>
      </c>
    </row>
    <row r="49" spans="1:8" s="410" customFormat="1" x14ac:dyDescent="0.25"/>
    <row r="50" spans="1:8" s="410" customFormat="1" ht="15.75" thickBot="1" x14ac:dyDescent="0.3">
      <c r="A50" s="410" t="s">
        <v>765</v>
      </c>
    </row>
    <row r="51" spans="1:8" s="410" customFormat="1" ht="15.75" x14ac:dyDescent="0.3">
      <c r="A51" s="416">
        <f>(SUMIF(A$43:A47,0,F$43:F47)-F51)/1000000</f>
        <v>0</v>
      </c>
      <c r="B51" s="408"/>
      <c r="C51" s="409"/>
      <c r="E51" s="417" t="s">
        <v>766</v>
      </c>
      <c r="F51" s="418">
        <f>SUMIF(I$43:I48,"Наталья Константиновна Лидер",F$43:F48)</f>
        <v>0</v>
      </c>
    </row>
    <row r="52" spans="1:8" s="410" customFormat="1" ht="16.5" thickBot="1" x14ac:dyDescent="0.35">
      <c r="A52" s="419">
        <f>COUNTIF(A$43:A47,0)-F52</f>
        <v>0</v>
      </c>
      <c r="B52" s="408"/>
      <c r="C52" s="409" t="s">
        <v>612</v>
      </c>
      <c r="E52" s="420"/>
      <c r="F52" s="421">
        <f>COUNTIF(I$43:I53,"Наталья Константиновна Лидер")</f>
        <v>0</v>
      </c>
    </row>
    <row r="53" spans="1:8" s="410" customFormat="1" x14ac:dyDescent="0.25"/>
    <row r="54" spans="1:8" s="410" customFormat="1" x14ac:dyDescent="0.25">
      <c r="A54" s="410" t="s">
        <v>767</v>
      </c>
    </row>
    <row r="55" spans="1:8" s="410" customFormat="1" ht="15.75" thickBot="1" x14ac:dyDescent="0.3">
      <c r="B55" s="410" t="s">
        <v>970</v>
      </c>
    </row>
    <row r="56" spans="1:8" s="410" customFormat="1" ht="17.25" x14ac:dyDescent="0.4">
      <c r="A56" s="802" t="s">
        <v>566</v>
      </c>
      <c r="B56" s="254" t="s">
        <v>783</v>
      </c>
      <c r="C56" s="405" t="s">
        <v>760</v>
      </c>
      <c r="D56" s="405" t="s">
        <v>768</v>
      </c>
      <c r="G56" s="410" t="s">
        <v>762</v>
      </c>
    </row>
    <row r="57" spans="1:8" s="410" customFormat="1" x14ac:dyDescent="0.25">
      <c r="A57" s="803"/>
      <c r="B57" s="255" t="s">
        <v>784</v>
      </c>
      <c r="C57" s="406" t="str">
        <f>IFERROR(MATCH(D57,#REF!,0),IF(N58="Не состоялся","-"," "))</f>
        <v xml:space="preserve"> </v>
      </c>
      <c r="D57" s="422" t="str">
        <f>IF(G57="",F57,G57&amp;"/"&amp;F57)</f>
        <v>Match=&lt;номер строки Договора1С&gt;/</v>
      </c>
      <c r="G57" s="410" t="s">
        <v>769</v>
      </c>
    </row>
    <row r="58" spans="1:8" s="410" customFormat="1" x14ac:dyDescent="0.25">
      <c r="A58" s="803"/>
      <c r="B58" s="254" t="s">
        <v>785</v>
      </c>
      <c r="C58" s="410">
        <v>10</v>
      </c>
      <c r="D58" s="415">
        <v>1</v>
      </c>
      <c r="F58" s="668" t="str">
        <f>"/=""Не состоялся"":"&amp;F59</f>
        <v>/="Не состоялся":/="Договор расторгнут"</v>
      </c>
      <c r="G58" s="410" t="s">
        <v>770</v>
      </c>
    </row>
    <row r="59" spans="1:8" s="315" customFormat="1" x14ac:dyDescent="0.25">
      <c r="A59" s="803"/>
      <c r="B59" s="254" t="s">
        <v>786</v>
      </c>
      <c r="C59" s="328">
        <v>2</v>
      </c>
      <c r="D59" s="328"/>
      <c r="F59" s="667" t="s">
        <v>972</v>
      </c>
    </row>
    <row r="60" spans="1:8" s="315" customFormat="1" x14ac:dyDescent="0.25">
      <c r="A60" s="803"/>
      <c r="B60" s="254" t="s">
        <v>787</v>
      </c>
      <c r="C60" s="328"/>
      <c r="D60" s="328"/>
    </row>
    <row r="61" spans="1:8" s="315" customFormat="1" ht="15.75" thickBot="1" x14ac:dyDescent="0.3">
      <c r="A61" s="804"/>
      <c r="B61" s="254" t="s">
        <v>788</v>
      </c>
      <c r="C61" s="328" t="s">
        <v>969</v>
      </c>
      <c r="D61" s="328"/>
      <c r="F61" s="415" t="str">
        <f>"10/="""":"&amp;F58</f>
        <v>10/="":/="Не состоялся":/="Договор расторгнут"</v>
      </c>
      <c r="G61" s="315" t="s">
        <v>973</v>
      </c>
    </row>
    <row r="62" spans="1:8" s="410" customFormat="1" x14ac:dyDescent="0.25">
      <c r="E62" s="315"/>
      <c r="H62" s="315"/>
    </row>
    <row r="63" spans="1:8" s="410" customFormat="1" x14ac:dyDescent="0.25">
      <c r="A63" s="410" t="s">
        <v>771</v>
      </c>
      <c r="E63" s="315"/>
      <c r="H63" s="315"/>
    </row>
    <row r="64" spans="1:8" s="410" customFormat="1" ht="15.75" thickBot="1" x14ac:dyDescent="0.3">
      <c r="B64" s="410" t="s">
        <v>971</v>
      </c>
    </row>
    <row r="65" spans="1:35" s="410" customFormat="1" ht="15.75" thickBot="1" x14ac:dyDescent="0.3">
      <c r="A65" s="407">
        <f>COUNTIF(A$2:A59,"")-COUNTIF(M$2:M56,"Не состоялся")-COUNTIF(M$2:M56,"Договор расторгнут")</f>
        <v>25</v>
      </c>
      <c r="B65" s="408"/>
    </row>
    <row r="66" spans="1:35" s="410" customFormat="1" x14ac:dyDescent="0.25">
      <c r="B66" s="408"/>
    </row>
    <row r="67" spans="1:35" s="410" customFormat="1" x14ac:dyDescent="0.25">
      <c r="A67" s="410" t="s">
        <v>743</v>
      </c>
    </row>
    <row r="68" spans="1:35" s="410" customFormat="1" x14ac:dyDescent="0.25">
      <c r="A68" s="423" t="s">
        <v>744</v>
      </c>
      <c r="B68" s="423" t="s">
        <v>745</v>
      </c>
      <c r="C68" s="423" t="s">
        <v>746</v>
      </c>
      <c r="D68" s="423" t="s">
        <v>747</v>
      </c>
      <c r="E68" s="423" t="s">
        <v>748</v>
      </c>
      <c r="F68" s="423" t="s">
        <v>749</v>
      </c>
      <c r="G68" s="423" t="s">
        <v>750</v>
      </c>
      <c r="H68" s="423" t="s">
        <v>751</v>
      </c>
      <c r="I68" s="423" t="s">
        <v>752</v>
      </c>
    </row>
    <row r="69" spans="1:35" s="410" customFormat="1" x14ac:dyDescent="0.25">
      <c r="A69" s="410" t="s">
        <v>753</v>
      </c>
      <c r="B69" s="410" t="s">
        <v>754</v>
      </c>
      <c r="D69" s="415" t="s">
        <v>568</v>
      </c>
      <c r="E69" s="415">
        <v>1</v>
      </c>
      <c r="F69" s="410" t="s">
        <v>755</v>
      </c>
      <c r="G69" s="410" t="s">
        <v>756</v>
      </c>
      <c r="H69" s="410" t="s">
        <v>561</v>
      </c>
      <c r="I69" s="410" t="s">
        <v>757</v>
      </c>
    </row>
    <row r="70" spans="1:35" s="425" customFormat="1" ht="7.5" customHeight="1" x14ac:dyDescent="0.25">
      <c r="D70" s="426"/>
      <c r="E70" s="426"/>
    </row>
    <row r="71" spans="1:35" s="410" customFormat="1" ht="19.5" x14ac:dyDescent="0.3">
      <c r="A71" s="315"/>
      <c r="C71" s="411" t="s">
        <v>840</v>
      </c>
      <c r="I71" s="410">
        <f>G77</f>
        <v>6</v>
      </c>
    </row>
    <row r="72" spans="1:35" s="315" customFormat="1" x14ac:dyDescent="0.25"/>
    <row r="73" spans="1:35" s="315" customFormat="1" x14ac:dyDescent="0.25">
      <c r="A73" s="315" t="s">
        <v>881</v>
      </c>
    </row>
    <row r="74" spans="1:35" s="315" customFormat="1" ht="25.5" x14ac:dyDescent="0.25">
      <c r="A74" s="254" t="s">
        <v>783</v>
      </c>
      <c r="B74" s="566" t="s">
        <v>841</v>
      </c>
      <c r="C74" s="568" t="s">
        <v>359</v>
      </c>
      <c r="D74" s="569" t="s">
        <v>842</v>
      </c>
      <c r="E74" s="545" t="s">
        <v>843</v>
      </c>
      <c r="F74" s="545" t="s">
        <v>58</v>
      </c>
      <c r="G74" s="545" t="s">
        <v>793</v>
      </c>
      <c r="H74" s="545" t="s">
        <v>818</v>
      </c>
      <c r="I74" s="545" t="s">
        <v>884</v>
      </c>
      <c r="K74" s="542" t="s">
        <v>849</v>
      </c>
      <c r="L74" s="543" t="s">
        <v>844</v>
      </c>
      <c r="M74" s="544"/>
      <c r="N74" s="532" t="s">
        <v>688</v>
      </c>
      <c r="O74" s="532" t="s">
        <v>689</v>
      </c>
      <c r="P74" s="532" t="s">
        <v>65</v>
      </c>
      <c r="Q74" s="532" t="s">
        <v>1</v>
      </c>
      <c r="R74" s="533" t="s">
        <v>690</v>
      </c>
      <c r="S74" s="534" t="s">
        <v>845</v>
      </c>
      <c r="T74" s="535" t="s">
        <v>691</v>
      </c>
      <c r="U74" s="532" t="s">
        <v>692</v>
      </c>
      <c r="V74" s="536" t="s">
        <v>685</v>
      </c>
      <c r="W74" s="537" t="s">
        <v>685</v>
      </c>
      <c r="X74" s="537" t="s">
        <v>685</v>
      </c>
      <c r="Y74" s="537" t="s">
        <v>685</v>
      </c>
      <c r="Z74" s="532" t="s">
        <v>685</v>
      </c>
      <c r="AA74" s="532" t="s">
        <v>846</v>
      </c>
      <c r="AB74" s="532" t="s">
        <v>685</v>
      </c>
      <c r="AC74" s="532" t="s">
        <v>685</v>
      </c>
      <c r="AD74" s="538" t="s">
        <v>847</v>
      </c>
      <c r="AE74" s="539" t="s">
        <v>685</v>
      </c>
      <c r="AF74" s="532" t="s">
        <v>685</v>
      </c>
      <c r="AG74" s="532" t="s">
        <v>685</v>
      </c>
      <c r="AH74" s="540" t="s">
        <v>848</v>
      </c>
      <c r="AI74" s="541"/>
    </row>
    <row r="75" spans="1:35" s="315" customFormat="1" x14ac:dyDescent="0.25">
      <c r="A75" s="255" t="s">
        <v>784</v>
      </c>
      <c r="B75" s="567"/>
      <c r="C75" s="326"/>
      <c r="D75" s="570">
        <f>R75</f>
        <v>0</v>
      </c>
      <c r="E75" s="501"/>
      <c r="F75" s="329"/>
      <c r="G75" s="563"/>
    </row>
    <row r="76" spans="1:35" s="315" customFormat="1" x14ac:dyDescent="0.25">
      <c r="A76" s="254" t="s">
        <v>785</v>
      </c>
      <c r="B76" s="328">
        <v>8</v>
      </c>
      <c r="C76" s="328">
        <v>13</v>
      </c>
      <c r="D76" s="328">
        <v>7</v>
      </c>
      <c r="E76" s="328">
        <v>11</v>
      </c>
      <c r="F76" s="329">
        <v>20</v>
      </c>
      <c r="G76" s="330">
        <v>5</v>
      </c>
      <c r="H76" s="330">
        <v>15</v>
      </c>
      <c r="I76" s="330">
        <v>10</v>
      </c>
      <c r="J76" s="330">
        <v>6</v>
      </c>
      <c r="K76" s="330">
        <v>6</v>
      </c>
      <c r="L76" s="330">
        <v>10</v>
      </c>
      <c r="M76" s="330">
        <v>1</v>
      </c>
      <c r="N76" s="330">
        <v>45</v>
      </c>
      <c r="O76" s="330">
        <v>13</v>
      </c>
      <c r="P76" s="330">
        <v>16</v>
      </c>
      <c r="Q76" s="330">
        <v>10</v>
      </c>
      <c r="R76" s="330">
        <v>10</v>
      </c>
      <c r="S76" s="330">
        <v>10</v>
      </c>
      <c r="T76" s="330">
        <v>10</v>
      </c>
      <c r="U76" s="330">
        <v>10</v>
      </c>
      <c r="V76" s="330">
        <v>10</v>
      </c>
      <c r="W76" s="330">
        <v>0</v>
      </c>
      <c r="X76" s="330">
        <v>0</v>
      </c>
      <c r="Y76" s="330">
        <v>0</v>
      </c>
      <c r="Z76" s="330">
        <v>0</v>
      </c>
      <c r="AA76" s="330">
        <v>0</v>
      </c>
      <c r="AB76" s="330">
        <v>0</v>
      </c>
      <c r="AC76" s="330">
        <v>0</v>
      </c>
      <c r="AD76" s="330">
        <v>0</v>
      </c>
      <c r="AE76" s="330">
        <v>0</v>
      </c>
      <c r="AF76" s="330">
        <v>0</v>
      </c>
      <c r="AG76" s="330">
        <v>0</v>
      </c>
      <c r="AH76" s="330">
        <v>0</v>
      </c>
      <c r="AI76" s="330">
        <v>0</v>
      </c>
    </row>
    <row r="77" spans="1:35" s="315" customFormat="1" x14ac:dyDescent="0.25">
      <c r="A77" s="254" t="s">
        <v>786</v>
      </c>
      <c r="B77" s="328">
        <v>6</v>
      </c>
      <c r="C77" s="328">
        <v>6</v>
      </c>
      <c r="D77" s="328"/>
      <c r="E77" s="328">
        <v>6</v>
      </c>
      <c r="F77" s="315">
        <v>6</v>
      </c>
      <c r="G77" s="328">
        <v>6</v>
      </c>
      <c r="H77" s="315">
        <v>6</v>
      </c>
      <c r="I77" s="328">
        <v>6</v>
      </c>
      <c r="J77" s="329">
        <v>-1</v>
      </c>
      <c r="K77" s="328"/>
      <c r="N77" s="328"/>
      <c r="O77" s="330"/>
      <c r="P77" s="330"/>
      <c r="Q77" s="330"/>
      <c r="R77" s="330"/>
      <c r="S77" s="330"/>
      <c r="T77" s="330"/>
      <c r="U77" s="330"/>
      <c r="V77" s="330"/>
      <c r="W77" s="330"/>
      <c r="X77" s="363"/>
      <c r="Y77" s="330"/>
      <c r="Z77" s="330"/>
      <c r="AA77" s="330"/>
      <c r="AB77" s="330"/>
      <c r="AC77" s="330"/>
      <c r="AD77" s="330"/>
    </row>
    <row r="78" spans="1:35" s="315" customFormat="1" ht="44.25" customHeight="1" x14ac:dyDescent="0.25">
      <c r="A78" s="254" t="s">
        <v>787</v>
      </c>
      <c r="B78" s="564" t="s">
        <v>882</v>
      </c>
      <c r="C78" s="564" t="s">
        <v>883</v>
      </c>
      <c r="D78" s="328"/>
      <c r="E78" s="564" t="s">
        <v>868</v>
      </c>
      <c r="F78" s="564" t="s">
        <v>867</v>
      </c>
      <c r="G78" s="565"/>
      <c r="H78" s="565" t="s">
        <v>873</v>
      </c>
      <c r="I78" s="565" t="s">
        <v>885</v>
      </c>
      <c r="J78" s="328"/>
      <c r="K78" s="328"/>
      <c r="N78" s="562" t="s">
        <v>871</v>
      </c>
      <c r="O78" s="330"/>
      <c r="P78" s="330"/>
      <c r="Q78" s="330"/>
      <c r="R78" s="330"/>
      <c r="S78" s="330"/>
      <c r="T78" s="330"/>
      <c r="U78" s="330"/>
      <c r="V78" s="330"/>
      <c r="W78" s="330"/>
      <c r="X78" s="363"/>
      <c r="Y78" s="330"/>
      <c r="Z78" s="330"/>
      <c r="AA78" s="330"/>
      <c r="AB78" s="330"/>
      <c r="AC78" s="330"/>
      <c r="AD78" s="330"/>
    </row>
    <row r="79" spans="1:35" s="315" customFormat="1" x14ac:dyDescent="0.25">
      <c r="A79" s="254" t="s">
        <v>788</v>
      </c>
      <c r="B79" s="474"/>
      <c r="C79" s="474"/>
      <c r="D79" s="474"/>
      <c r="E79" s="474"/>
      <c r="F79" s="329"/>
      <c r="G79" s="328"/>
      <c r="H79" s="328"/>
      <c r="I79" s="328"/>
      <c r="J79" s="328"/>
      <c r="K79" s="328"/>
      <c r="N79" s="328"/>
      <c r="O79" s="330"/>
      <c r="P79" s="330"/>
      <c r="Q79" s="330"/>
      <c r="R79" s="330"/>
      <c r="S79" s="330"/>
      <c r="T79" s="330"/>
      <c r="U79" s="330"/>
      <c r="V79" s="330"/>
      <c r="W79" s="330"/>
      <c r="X79" s="363"/>
      <c r="Y79" s="330"/>
      <c r="Z79" s="330"/>
      <c r="AA79" s="330"/>
      <c r="AB79" s="330"/>
      <c r="AC79" s="330"/>
      <c r="AD79" s="330"/>
    </row>
    <row r="80" spans="1:35" s="315" customFormat="1" x14ac:dyDescent="0.25">
      <c r="N80" s="315" t="s">
        <v>872</v>
      </c>
    </row>
    <row r="81" spans="1:36" s="315" customFormat="1" ht="15.75" thickBot="1" x14ac:dyDescent="0.3">
      <c r="A81" s="315" t="s">
        <v>865</v>
      </c>
      <c r="F81" s="315">
        <v>5</v>
      </c>
      <c r="I81" s="315">
        <v>8</v>
      </c>
      <c r="P81" s="315">
        <v>10</v>
      </c>
      <c r="T81" s="315">
        <v>14</v>
      </c>
    </row>
    <row r="82" spans="1:36" s="315" customFormat="1" ht="75" x14ac:dyDescent="0.25">
      <c r="A82" s="697" t="s">
        <v>598</v>
      </c>
      <c r="B82" s="584" t="s">
        <v>899</v>
      </c>
      <c r="C82" s="545" t="s">
        <v>66</v>
      </c>
      <c r="D82" s="545" t="s">
        <v>793</v>
      </c>
      <c r="E82" s="545" t="s">
        <v>369</v>
      </c>
      <c r="F82" s="557" t="s">
        <v>1</v>
      </c>
      <c r="G82" s="557" t="s">
        <v>869</v>
      </c>
      <c r="H82" s="561" t="s">
        <v>818</v>
      </c>
      <c r="I82" s="561" t="s">
        <v>149</v>
      </c>
      <c r="J82" s="561" t="s">
        <v>62</v>
      </c>
      <c r="K82" s="561"/>
      <c r="L82" s="561"/>
      <c r="M82" s="545" t="s">
        <v>850</v>
      </c>
      <c r="N82" s="546" t="s">
        <v>188</v>
      </c>
      <c r="O82" s="545" t="s">
        <v>851</v>
      </c>
      <c r="P82" s="545" t="s">
        <v>852</v>
      </c>
      <c r="Q82" s="548" t="s">
        <v>856</v>
      </c>
      <c r="R82" s="548" t="s">
        <v>683</v>
      </c>
      <c r="S82" s="547" t="s">
        <v>684</v>
      </c>
      <c r="T82" s="548" t="s">
        <v>687</v>
      </c>
      <c r="U82" s="549" t="s">
        <v>685</v>
      </c>
      <c r="V82" s="549" t="s">
        <v>686</v>
      </c>
      <c r="W82" s="549" t="s">
        <v>853</v>
      </c>
      <c r="X82" s="549" t="s">
        <v>854</v>
      </c>
      <c r="Y82" s="549" t="s">
        <v>855</v>
      </c>
    </row>
    <row r="83" spans="1:36" s="315" customFormat="1" x14ac:dyDescent="0.25">
      <c r="A83" s="698"/>
      <c r="B83" s="255" t="s">
        <v>784</v>
      </c>
      <c r="D83" s="558"/>
      <c r="M83" s="329"/>
      <c r="N83" s="326"/>
      <c r="O83" s="501"/>
      <c r="P83" s="501"/>
      <c r="Q83" s="328" t="s">
        <v>866</v>
      </c>
      <c r="R83" s="328" t="s">
        <v>866</v>
      </c>
      <c r="S83" s="328" t="s">
        <v>866</v>
      </c>
      <c r="T83" s="328" t="s">
        <v>866</v>
      </c>
      <c r="U83" s="328" t="s">
        <v>866</v>
      </c>
      <c r="V83" s="328" t="s">
        <v>866</v>
      </c>
      <c r="W83" s="328" t="s">
        <v>866</v>
      </c>
      <c r="X83" s="328" t="s">
        <v>866</v>
      </c>
      <c r="Y83" s="328" t="s">
        <v>866</v>
      </c>
    </row>
    <row r="84" spans="1:36" s="315" customFormat="1" x14ac:dyDescent="0.25">
      <c r="A84" s="698"/>
      <c r="B84" s="254" t="s">
        <v>785</v>
      </c>
      <c r="C84" s="328">
        <v>9</v>
      </c>
      <c r="D84" s="328">
        <v>5</v>
      </c>
      <c r="E84" s="328">
        <v>22</v>
      </c>
      <c r="F84" s="328">
        <v>10</v>
      </c>
      <c r="G84" s="328">
        <v>1</v>
      </c>
      <c r="H84" s="328">
        <v>15</v>
      </c>
      <c r="I84" s="328">
        <v>10</v>
      </c>
      <c r="J84" s="328">
        <v>8</v>
      </c>
      <c r="K84" s="328">
        <v>1</v>
      </c>
      <c r="L84" s="328">
        <v>1</v>
      </c>
      <c r="M84" s="328">
        <v>12</v>
      </c>
      <c r="N84" s="328">
        <v>14</v>
      </c>
      <c r="O84" s="328">
        <v>12</v>
      </c>
      <c r="P84" s="328">
        <v>8</v>
      </c>
      <c r="Q84" s="328">
        <v>47</v>
      </c>
      <c r="R84" s="328">
        <v>44</v>
      </c>
      <c r="S84" s="328">
        <v>8</v>
      </c>
      <c r="T84" s="328">
        <v>44</v>
      </c>
      <c r="U84" s="328">
        <v>9</v>
      </c>
      <c r="V84" s="328">
        <v>25</v>
      </c>
      <c r="W84" s="328">
        <v>22</v>
      </c>
      <c r="X84" s="328">
        <v>0</v>
      </c>
      <c r="Y84" s="330">
        <v>0</v>
      </c>
    </row>
    <row r="85" spans="1:36" s="315" customFormat="1" x14ac:dyDescent="0.25">
      <c r="A85" s="698"/>
      <c r="B85" s="254" t="s">
        <v>786</v>
      </c>
      <c r="C85" s="328">
        <v>15</v>
      </c>
      <c r="D85" s="328">
        <v>19</v>
      </c>
      <c r="E85" s="328">
        <v>2</v>
      </c>
      <c r="G85" s="315">
        <v>-1</v>
      </c>
      <c r="M85" s="328"/>
      <c r="N85" s="328"/>
      <c r="O85" s="328"/>
      <c r="P85" s="328"/>
      <c r="T85" s="328"/>
      <c r="U85" s="330"/>
      <c r="V85" s="330"/>
      <c r="W85" s="330"/>
      <c r="X85" s="330"/>
      <c r="Y85" s="330"/>
    </row>
    <row r="86" spans="1:36" s="315" customFormat="1" ht="30" x14ac:dyDescent="0.25">
      <c r="A86" s="698"/>
      <c r="B86" s="254" t="s">
        <v>787</v>
      </c>
      <c r="C86" s="328" t="s">
        <v>988</v>
      </c>
      <c r="D86" s="718" t="s">
        <v>1005</v>
      </c>
      <c r="E86" s="559" t="s">
        <v>867</v>
      </c>
      <c r="G86" s="328"/>
      <c r="M86" s="328"/>
      <c r="N86" s="328"/>
      <c r="O86" s="328"/>
      <c r="P86" s="328"/>
      <c r="Q86" s="328"/>
      <c r="T86" s="328"/>
      <c r="U86" s="330"/>
      <c r="V86" s="330"/>
      <c r="W86" s="330"/>
      <c r="X86" s="330"/>
      <c r="Y86" s="330"/>
      <c r="Z86" s="330"/>
      <c r="AA86" s="330"/>
      <c r="AB86" s="330"/>
      <c r="AC86" s="330"/>
      <c r="AD86" s="363"/>
      <c r="AE86" s="330"/>
      <c r="AF86" s="330"/>
      <c r="AG86" s="330"/>
      <c r="AH86" s="330"/>
      <c r="AI86" s="330"/>
      <c r="AJ86" s="330"/>
    </row>
    <row r="87" spans="1:36" s="315" customFormat="1" x14ac:dyDescent="0.25">
      <c r="A87" s="698"/>
      <c r="B87" s="254" t="s">
        <v>788</v>
      </c>
      <c r="D87" s="329"/>
      <c r="E87" s="328"/>
      <c r="F87" s="328"/>
      <c r="H87" s="328"/>
      <c r="K87" s="328"/>
      <c r="L87" s="330"/>
      <c r="M87" s="474"/>
      <c r="N87" s="474"/>
      <c r="O87" s="474"/>
      <c r="P87" s="474"/>
      <c r="Q87" s="330"/>
      <c r="R87" s="330"/>
      <c r="S87" s="330"/>
      <c r="T87" s="330"/>
      <c r="U87" s="330"/>
      <c r="V87" s="330"/>
      <c r="W87" s="330"/>
      <c r="X87" s="330"/>
      <c r="Y87" s="363"/>
      <c r="Z87" s="330"/>
      <c r="AA87" s="330"/>
      <c r="AB87" s="330"/>
      <c r="AC87" s="330"/>
      <c r="AD87" s="330"/>
      <c r="AE87" s="330"/>
    </row>
    <row r="89" spans="1:36" x14ac:dyDescent="0.25">
      <c r="D89" s="315">
        <v>5</v>
      </c>
      <c r="E89" s="315">
        <v>5</v>
      </c>
      <c r="J89" s="328"/>
      <c r="K89" s="328">
        <v>5</v>
      </c>
      <c r="L89" s="315">
        <v>5</v>
      </c>
      <c r="M89" s="329">
        <v>-1</v>
      </c>
      <c r="N89" s="328"/>
      <c r="O89" s="328"/>
      <c r="P89" s="328"/>
    </row>
    <row r="90" spans="1:36" ht="48.75" x14ac:dyDescent="0.25">
      <c r="D90" s="559" t="s">
        <v>867</v>
      </c>
      <c r="E90" s="559" t="s">
        <v>868</v>
      </c>
      <c r="F90" s="328" t="s">
        <v>988</v>
      </c>
      <c r="K90" s="560" t="s">
        <v>870</v>
      </c>
      <c r="L90" s="560" t="s">
        <v>873</v>
      </c>
      <c r="M90" s="560"/>
      <c r="N90" s="560"/>
      <c r="O90" s="560"/>
      <c r="P90" s="560"/>
    </row>
    <row r="92" spans="1:36" s="425" customFormat="1" ht="7.5" customHeight="1" x14ac:dyDescent="0.25">
      <c r="D92" s="426"/>
      <c r="E92" s="426"/>
    </row>
    <row r="93" spans="1:36" s="410" customFormat="1" ht="19.5" x14ac:dyDescent="0.3">
      <c r="A93" s="315"/>
      <c r="C93" s="411" t="s">
        <v>772</v>
      </c>
      <c r="I93" s="410">
        <f>G124</f>
        <v>0</v>
      </c>
    </row>
    <row r="95" spans="1:36" ht="15.75" thickBot="1" x14ac:dyDescent="0.3">
      <c r="A95" s="30" t="s">
        <v>250</v>
      </c>
    </row>
    <row r="96" spans="1:36" ht="16.5" thickBot="1" x14ac:dyDescent="0.3">
      <c r="A96" s="33">
        <v>40954</v>
      </c>
      <c r="B96" s="34" t="s">
        <v>215</v>
      </c>
      <c r="D96" s="35">
        <v>1</v>
      </c>
    </row>
    <row r="97" spans="1:27" s="315" customFormat="1" x14ac:dyDescent="0.25">
      <c r="A97" s="474"/>
      <c r="B97" s="474"/>
      <c r="C97" s="474"/>
      <c r="D97" s="474"/>
      <c r="E97" s="474"/>
      <c r="F97" s="329"/>
      <c r="G97" s="328"/>
      <c r="H97" s="328"/>
      <c r="K97" s="328"/>
      <c r="L97" s="330"/>
      <c r="M97" s="330"/>
      <c r="N97" s="330"/>
      <c r="O97" s="330"/>
      <c r="P97" s="330"/>
      <c r="Q97" s="330"/>
      <c r="R97" s="330"/>
      <c r="S97" s="330"/>
      <c r="T97" s="330"/>
      <c r="U97" s="363"/>
      <c r="V97" s="330"/>
      <c r="W97" s="330"/>
      <c r="X97" s="330"/>
      <c r="Y97" s="330"/>
      <c r="Z97" s="330"/>
      <c r="AA97" s="330"/>
    </row>
    <row r="98" spans="1:27" s="629" customFormat="1" ht="7.5" customHeight="1" x14ac:dyDescent="0.25">
      <c r="D98" s="630"/>
      <c r="E98" s="630"/>
    </row>
    <row r="99" spans="1:27" s="315" customFormat="1" ht="19.5" x14ac:dyDescent="0.3">
      <c r="C99" s="316" t="s">
        <v>937</v>
      </c>
    </row>
    <row r="101" spans="1:27" ht="15.75" thickBot="1" x14ac:dyDescent="0.3">
      <c r="A101" s="30" t="s">
        <v>809</v>
      </c>
    </row>
    <row r="102" spans="1:27" ht="15.75" thickBot="1" x14ac:dyDescent="0.3">
      <c r="A102" s="254" t="s">
        <v>674</v>
      </c>
      <c r="B102" s="4" t="s">
        <v>119</v>
      </c>
      <c r="C102" s="4" t="s">
        <v>120</v>
      </c>
      <c r="D102" s="4" t="s">
        <v>121</v>
      </c>
      <c r="E102" s="4" t="s">
        <v>122</v>
      </c>
      <c r="F102" s="4" t="s">
        <v>123</v>
      </c>
      <c r="G102" s="3" t="s">
        <v>118</v>
      </c>
      <c r="H102" s="64" t="s">
        <v>116</v>
      </c>
      <c r="I102" s="64" t="s">
        <v>814</v>
      </c>
    </row>
    <row r="103" spans="1:27" s="1" customFormat="1" x14ac:dyDescent="0.25">
      <c r="A103" s="255" t="s">
        <v>588</v>
      </c>
      <c r="I103" s="145"/>
      <c r="J103" s="145"/>
      <c r="K103" s="8"/>
      <c r="L103" s="6"/>
      <c r="M103" s="12"/>
      <c r="N103"/>
      <c r="O103"/>
      <c r="P103"/>
      <c r="Q103"/>
      <c r="R103"/>
      <c r="S103"/>
      <c r="T103"/>
      <c r="U103"/>
      <c r="V103"/>
      <c r="W103"/>
    </row>
    <row r="104" spans="1:27" x14ac:dyDescent="0.25">
      <c r="A104" s="254" t="s">
        <v>675</v>
      </c>
      <c r="B104" s="145" t="s">
        <v>1007</v>
      </c>
      <c r="C104" s="145" t="s">
        <v>113</v>
      </c>
      <c r="D104" s="145" t="s">
        <v>1007</v>
      </c>
      <c r="E104" s="145" t="s">
        <v>113</v>
      </c>
      <c r="F104" s="145" t="s">
        <v>1011</v>
      </c>
      <c r="G104" s="145" t="s">
        <v>1007</v>
      </c>
      <c r="H104" s="145" t="s">
        <v>1010</v>
      </c>
      <c r="I104" s="145" t="s">
        <v>1010</v>
      </c>
      <c r="J104" s="145"/>
      <c r="K104" s="145"/>
      <c r="L104" s="145"/>
      <c r="M104" s="145"/>
    </row>
    <row r="105" spans="1:27" x14ac:dyDescent="0.25">
      <c r="A105" s="254" t="s">
        <v>676</v>
      </c>
      <c r="B105" s="145" t="s">
        <v>126</v>
      </c>
      <c r="C105" s="145" t="s">
        <v>112</v>
      </c>
      <c r="D105" s="145" t="s">
        <v>128</v>
      </c>
      <c r="E105" s="145" t="s">
        <v>111</v>
      </c>
      <c r="F105" s="145" t="s">
        <v>810</v>
      </c>
      <c r="G105" s="462" t="s">
        <v>115</v>
      </c>
      <c r="H105" s="577" t="s">
        <v>888</v>
      </c>
      <c r="I105" s="145" t="s">
        <v>91</v>
      </c>
      <c r="J105" s="145"/>
      <c r="K105" s="145"/>
      <c r="L105" s="145"/>
      <c r="M105" s="145"/>
    </row>
    <row r="106" spans="1:27" x14ac:dyDescent="0.25">
      <c r="A106" s="254" t="s">
        <v>677</v>
      </c>
      <c r="E106" t="s">
        <v>797</v>
      </c>
      <c r="H106" s="57"/>
      <c r="I106" s="92"/>
      <c r="M106" s="92"/>
      <c r="N106" s="92"/>
      <c r="O106" s="455"/>
      <c r="P106" s="92"/>
    </row>
    <row r="107" spans="1:27" x14ac:dyDescent="0.25">
      <c r="A107" s="254" t="s">
        <v>796</v>
      </c>
      <c r="E107" s="252"/>
      <c r="G107" s="252" t="s">
        <v>811</v>
      </c>
      <c r="H107" s="576" t="s">
        <v>887</v>
      </c>
      <c r="I107" s="328"/>
      <c r="N107" s="253"/>
      <c r="R107" s="456"/>
      <c r="S107" s="456"/>
      <c r="T107" s="456"/>
      <c r="U107" s="456"/>
      <c r="V107" s="456"/>
    </row>
    <row r="109" spans="1:27" ht="15.75" thickBot="1" x14ac:dyDescent="0.3">
      <c r="A109" s="30" t="s">
        <v>1325</v>
      </c>
    </row>
    <row r="110" spans="1:27" ht="15.75" thickBot="1" x14ac:dyDescent="0.3">
      <c r="A110" s="254" t="s">
        <v>674</v>
      </c>
      <c r="B110" s="118" t="s">
        <v>119</v>
      </c>
      <c r="C110" s="118" t="s">
        <v>120</v>
      </c>
      <c r="D110" s="118" t="s">
        <v>121</v>
      </c>
      <c r="E110" s="118" t="s">
        <v>122</v>
      </c>
      <c r="F110" s="118" t="s">
        <v>123</v>
      </c>
      <c r="G110" s="117" t="s">
        <v>118</v>
      </c>
      <c r="H110" s="64" t="s">
        <v>116</v>
      </c>
      <c r="I110" s="64" t="s">
        <v>814</v>
      </c>
    </row>
    <row r="111" spans="1:27" s="1" customFormat="1" x14ac:dyDescent="0.25">
      <c r="A111" s="255" t="s">
        <v>588</v>
      </c>
      <c r="I111" s="145"/>
      <c r="J111" s="145"/>
      <c r="K111" s="8"/>
      <c r="L111" s="6"/>
      <c r="M111" s="12"/>
      <c r="N111"/>
      <c r="O111"/>
      <c r="P111"/>
      <c r="Q111"/>
      <c r="R111"/>
      <c r="S111"/>
      <c r="T111"/>
      <c r="U111"/>
      <c r="V111"/>
      <c r="W111"/>
    </row>
    <row r="112" spans="1:27" x14ac:dyDescent="0.25">
      <c r="A112" s="254" t="s">
        <v>675</v>
      </c>
      <c r="B112" s="145" t="s">
        <v>1007</v>
      </c>
      <c r="C112" s="145" t="s">
        <v>113</v>
      </c>
      <c r="D112" s="145" t="s">
        <v>1007</v>
      </c>
      <c r="E112" s="145" t="s">
        <v>113</v>
      </c>
      <c r="F112" s="145" t="s">
        <v>1011</v>
      </c>
      <c r="G112" s="145" t="s">
        <v>1007</v>
      </c>
      <c r="H112" s="145" t="s">
        <v>1010</v>
      </c>
      <c r="I112" s="145" t="s">
        <v>1010</v>
      </c>
      <c r="J112" s="145"/>
      <c r="K112" s="145"/>
      <c r="L112" s="145"/>
      <c r="M112" s="145"/>
    </row>
    <row r="113" spans="1:25" x14ac:dyDescent="0.25">
      <c r="A113" s="254" t="s">
        <v>676</v>
      </c>
      <c r="B113" s="145" t="s">
        <v>126</v>
      </c>
      <c r="C113" s="145" t="s">
        <v>112</v>
      </c>
      <c r="D113" s="145" t="s">
        <v>128</v>
      </c>
      <c r="E113" s="145" t="s">
        <v>111</v>
      </c>
      <c r="F113" s="145" t="s">
        <v>810</v>
      </c>
      <c r="G113" s="462" t="s">
        <v>115</v>
      </c>
      <c r="H113" s="784" t="s">
        <v>838</v>
      </c>
      <c r="I113" s="145" t="s">
        <v>91</v>
      </c>
      <c r="J113" s="145"/>
      <c r="K113" s="145"/>
      <c r="L113" s="145"/>
      <c r="M113" s="145"/>
    </row>
    <row r="114" spans="1:25" x14ac:dyDescent="0.25">
      <c r="A114" s="254" t="s">
        <v>677</v>
      </c>
      <c r="B114" t="s">
        <v>1326</v>
      </c>
      <c r="E114" t="s">
        <v>797</v>
      </c>
      <c r="H114" s="785" t="s">
        <v>1327</v>
      </c>
      <c r="I114" s="92"/>
      <c r="M114" s="92"/>
      <c r="N114" s="92"/>
      <c r="O114" s="455"/>
      <c r="P114" s="92"/>
    </row>
    <row r="115" spans="1:25" x14ac:dyDescent="0.25">
      <c r="A115" s="254" t="s">
        <v>796</v>
      </c>
      <c r="E115" s="252"/>
      <c r="G115" s="252" t="s">
        <v>811</v>
      </c>
      <c r="H115" s="786"/>
      <c r="I115" s="328"/>
      <c r="N115" s="253"/>
      <c r="R115" s="456"/>
      <c r="S115" s="456"/>
      <c r="T115" s="456"/>
      <c r="U115" s="456"/>
      <c r="V115" s="456"/>
    </row>
    <row r="117" spans="1:25" ht="15.75" thickBot="1" x14ac:dyDescent="0.3">
      <c r="A117" s="30" t="s">
        <v>1015</v>
      </c>
    </row>
    <row r="118" spans="1:25" s="256" customFormat="1" ht="15.75" thickBot="1" x14ac:dyDescent="0.3">
      <c r="A118" s="254" t="s">
        <v>674</v>
      </c>
      <c r="B118" s="257" t="s">
        <v>151</v>
      </c>
      <c r="C118" s="257" t="s">
        <v>120</v>
      </c>
      <c r="D118" s="259" t="s">
        <v>152</v>
      </c>
      <c r="E118" s="258" t="s">
        <v>153</v>
      </c>
      <c r="F118" s="258" t="s">
        <v>154</v>
      </c>
      <c r="G118" s="260" t="s">
        <v>155</v>
      </c>
      <c r="H118" s="259" t="s">
        <v>156</v>
      </c>
      <c r="I118" s="260" t="s">
        <v>157</v>
      </c>
      <c r="J118" s="258" t="s">
        <v>158</v>
      </c>
      <c r="K118" s="260" t="s">
        <v>159</v>
      </c>
      <c r="L118" s="259" t="s">
        <v>160</v>
      </c>
      <c r="M118" s="261" t="s">
        <v>122</v>
      </c>
      <c r="N118" s="262" t="s">
        <v>161</v>
      </c>
      <c r="O118" s="262" t="s">
        <v>162</v>
      </c>
      <c r="P118" s="262" t="s">
        <v>163</v>
      </c>
      <c r="Q118" s="262" t="s">
        <v>164</v>
      </c>
      <c r="R118" s="481" t="s">
        <v>165</v>
      </c>
      <c r="S118" s="481" t="s">
        <v>166</v>
      </c>
      <c r="T118" s="481" t="s">
        <v>167</v>
      </c>
      <c r="U118" s="481" t="s">
        <v>168</v>
      </c>
      <c r="V118" s="481" t="s">
        <v>169</v>
      </c>
    </row>
    <row r="119" spans="1:25" s="1" customFormat="1" x14ac:dyDescent="0.25">
      <c r="A119" s="255" t="s">
        <v>588</v>
      </c>
      <c r="B119" s="6" t="s">
        <v>125</v>
      </c>
      <c r="C119" s="7">
        <v>40918</v>
      </c>
      <c r="D119" s="8" t="s">
        <v>11</v>
      </c>
      <c r="E119" s="9"/>
      <c r="F119" s="8" t="s">
        <v>98</v>
      </c>
      <c r="G119" s="10"/>
      <c r="H119" s="8" t="s">
        <v>99</v>
      </c>
      <c r="I119" s="11"/>
      <c r="J119" s="8" t="s">
        <v>79</v>
      </c>
      <c r="K119" s="8"/>
      <c r="L119" s="6" t="s">
        <v>100</v>
      </c>
      <c r="M119" s="12">
        <v>130000</v>
      </c>
      <c r="N119" s="13" t="s">
        <v>45</v>
      </c>
      <c r="O119" s="454" t="s">
        <v>17</v>
      </c>
      <c r="P119" s="14"/>
      <c r="Q119" s="15"/>
      <c r="R119" s="16"/>
      <c r="S119" s="16"/>
      <c r="T119" s="16"/>
      <c r="U119" s="16"/>
      <c r="V119" s="16"/>
      <c r="W119" s="453"/>
    </row>
    <row r="120" spans="1:25" x14ac:dyDescent="0.25">
      <c r="A120" s="254" t="s">
        <v>675</v>
      </c>
      <c r="B120" s="145" t="s">
        <v>1007</v>
      </c>
      <c r="C120" s="145" t="s">
        <v>1007</v>
      </c>
      <c r="D120" s="145" t="s">
        <v>1008</v>
      </c>
      <c r="E120" s="145" t="s">
        <v>1009</v>
      </c>
      <c r="F120" s="145" t="s">
        <v>1008</v>
      </c>
      <c r="G120" s="145" t="s">
        <v>1009</v>
      </c>
      <c r="H120" s="145" t="s">
        <v>1007</v>
      </c>
      <c r="I120" s="145" t="s">
        <v>1009</v>
      </c>
      <c r="J120" s="145" t="s">
        <v>1008</v>
      </c>
      <c r="K120" s="145" t="s">
        <v>1007</v>
      </c>
      <c r="L120" s="145" t="s">
        <v>94</v>
      </c>
      <c r="M120" s="145" t="s">
        <v>132</v>
      </c>
      <c r="N120" s="145" t="s">
        <v>112</v>
      </c>
      <c r="O120" s="145" t="s">
        <v>91</v>
      </c>
      <c r="P120" s="145" t="s">
        <v>92</v>
      </c>
      <c r="Q120" s="145" t="s">
        <v>91</v>
      </c>
      <c r="R120" s="145" t="s">
        <v>113</v>
      </c>
      <c r="S120" s="145" t="s">
        <v>113</v>
      </c>
      <c r="T120" s="145" t="s">
        <v>1008</v>
      </c>
      <c r="U120" s="145" t="s">
        <v>92</v>
      </c>
      <c r="V120" s="145" t="s">
        <v>92</v>
      </c>
    </row>
    <row r="121" spans="1:25" x14ac:dyDescent="0.25">
      <c r="A121" s="254" t="s">
        <v>676</v>
      </c>
      <c r="B121" s="145">
        <v>10</v>
      </c>
      <c r="C121" s="145">
        <v>12</v>
      </c>
      <c r="D121" s="145" t="s">
        <v>131</v>
      </c>
      <c r="E121" s="145" t="s">
        <v>131</v>
      </c>
      <c r="F121" s="145" t="s">
        <v>130</v>
      </c>
      <c r="G121" s="145" t="s">
        <v>130</v>
      </c>
      <c r="H121" s="145" t="s">
        <v>110</v>
      </c>
      <c r="I121" s="145" t="s">
        <v>70</v>
      </c>
      <c r="J121" s="145" t="s">
        <v>127</v>
      </c>
      <c r="K121" s="145">
        <v>18</v>
      </c>
      <c r="L121" s="145" t="s">
        <v>133</v>
      </c>
      <c r="M121" s="145" t="s">
        <v>242</v>
      </c>
      <c r="N121" s="145" t="s">
        <v>673</v>
      </c>
      <c r="O121" s="145" t="s">
        <v>673</v>
      </c>
      <c r="P121" s="145" t="s">
        <v>673</v>
      </c>
      <c r="Q121" s="145">
        <v>12</v>
      </c>
      <c r="R121" s="145" t="s">
        <v>70</v>
      </c>
      <c r="S121" s="145" t="s">
        <v>70</v>
      </c>
      <c r="T121" s="145" t="s">
        <v>70</v>
      </c>
      <c r="U121" s="145" t="s">
        <v>70</v>
      </c>
      <c r="V121" s="145" t="s">
        <v>70</v>
      </c>
    </row>
    <row r="122" spans="1:25" x14ac:dyDescent="0.25">
      <c r="A122" s="254" t="s">
        <v>677</v>
      </c>
      <c r="E122" s="252" t="s">
        <v>794</v>
      </c>
      <c r="G122" s="252" t="s">
        <v>795</v>
      </c>
      <c r="I122" s="92"/>
      <c r="K122" s="252" t="s">
        <v>159</v>
      </c>
      <c r="M122" s="92" t="s">
        <v>797</v>
      </c>
      <c r="N122" s="92"/>
      <c r="O122" s="455" t="s">
        <v>798</v>
      </c>
      <c r="P122" s="92" t="s">
        <v>803</v>
      </c>
    </row>
    <row r="123" spans="1:25" x14ac:dyDescent="0.25">
      <c r="A123" s="254" t="s">
        <v>796</v>
      </c>
      <c r="E123" s="252"/>
      <c r="G123" s="252"/>
      <c r="I123" s="328"/>
      <c r="K123" s="456" t="s">
        <v>811</v>
      </c>
      <c r="N123" s="253"/>
      <c r="R123" s="456" t="s">
        <v>801</v>
      </c>
      <c r="S123" s="456" t="s">
        <v>802</v>
      </c>
      <c r="T123" s="456" t="s">
        <v>1014</v>
      </c>
      <c r="U123" s="456" t="s">
        <v>799</v>
      </c>
      <c r="V123" s="456" t="s">
        <v>800</v>
      </c>
    </row>
    <row r="125" spans="1:25" ht="15.75" thickBot="1" x14ac:dyDescent="0.3">
      <c r="A125" s="30" t="s">
        <v>942</v>
      </c>
      <c r="B125" s="30"/>
      <c r="C125" s="30"/>
      <c r="D125" s="30"/>
      <c r="E125" s="30"/>
      <c r="F125" s="30"/>
      <c r="G125" s="30"/>
      <c r="H125" s="30"/>
      <c r="I125" s="30"/>
      <c r="J125" s="30"/>
      <c r="P125" s="30"/>
      <c r="Q125" s="30"/>
    </row>
    <row r="126" spans="1:25" ht="15.75" thickBot="1" x14ac:dyDescent="0.3">
      <c r="A126" s="697" t="s">
        <v>931</v>
      </c>
      <c r="B126" s="254" t="s">
        <v>674</v>
      </c>
      <c r="C126" s="4" t="s">
        <v>205</v>
      </c>
      <c r="D126" s="4" t="s">
        <v>206</v>
      </c>
      <c r="E126" s="4" t="s">
        <v>207</v>
      </c>
      <c r="F126" s="4" t="s">
        <v>208</v>
      </c>
      <c r="G126" s="4" t="s">
        <v>122</v>
      </c>
      <c r="H126" s="4" t="s">
        <v>209</v>
      </c>
      <c r="I126" s="4" t="s">
        <v>210</v>
      </c>
      <c r="J126" s="4" t="s">
        <v>211</v>
      </c>
      <c r="K126" s="4" t="s">
        <v>348</v>
      </c>
      <c r="L126" s="4" t="s">
        <v>347</v>
      </c>
      <c r="M126" s="4" t="s">
        <v>255</v>
      </c>
      <c r="N126" s="4" t="s">
        <v>262</v>
      </c>
      <c r="P126" s="118" t="s">
        <v>210</v>
      </c>
      <c r="Q126" s="118" t="s">
        <v>211</v>
      </c>
      <c r="R126" s="118" t="s">
        <v>348</v>
      </c>
      <c r="S126" s="118" t="s">
        <v>347</v>
      </c>
      <c r="T126" s="118" t="s">
        <v>255</v>
      </c>
      <c r="U126" s="118" t="s">
        <v>262</v>
      </c>
    </row>
    <row r="127" spans="1:25" s="1" customFormat="1" x14ac:dyDescent="0.25">
      <c r="A127" s="698"/>
      <c r="B127" s="255" t="s">
        <v>588</v>
      </c>
      <c r="C127" s="500" t="s">
        <v>943</v>
      </c>
      <c r="D127" s="7" t="s">
        <v>945</v>
      </c>
      <c r="E127" s="600" t="s">
        <v>946</v>
      </c>
      <c r="F127" s="9"/>
      <c r="G127" s="650">
        <v>2298687.7200000002</v>
      </c>
      <c r="H127" s="10"/>
      <c r="I127" s="658" t="s">
        <v>141</v>
      </c>
      <c r="J127" s="722" t="s">
        <v>963</v>
      </c>
      <c r="K127" s="658"/>
      <c r="L127" s="658"/>
      <c r="M127" s="659"/>
      <c r="N127" s="660"/>
      <c r="O127"/>
      <c r="P127" s="8" t="s">
        <v>141</v>
      </c>
      <c r="Q127" s="651"/>
      <c r="R127" s="8" t="s">
        <v>948</v>
      </c>
      <c r="S127" s="8" t="s">
        <v>141</v>
      </c>
      <c r="T127" s="6" t="s">
        <v>9</v>
      </c>
      <c r="U127" s="12" t="s">
        <v>951</v>
      </c>
      <c r="V127"/>
      <c r="W127"/>
      <c r="X127"/>
      <c r="Y127"/>
    </row>
    <row r="128" spans="1:25" x14ac:dyDescent="0.25">
      <c r="A128" s="698"/>
      <c r="B128" s="254" t="s">
        <v>675</v>
      </c>
      <c r="C128" s="145" t="s">
        <v>110</v>
      </c>
      <c r="D128" s="145" t="s">
        <v>944</v>
      </c>
      <c r="E128" s="145" t="s">
        <v>132</v>
      </c>
      <c r="F128" s="145" t="s">
        <v>110</v>
      </c>
      <c r="G128" s="145" t="s">
        <v>110</v>
      </c>
      <c r="H128" s="145" t="s">
        <v>91</v>
      </c>
      <c r="I128" s="594"/>
      <c r="J128" s="269"/>
      <c r="K128" s="145"/>
      <c r="L128" s="145"/>
      <c r="M128" s="145"/>
      <c r="N128" s="145"/>
      <c r="P128" s="145">
        <v>10</v>
      </c>
      <c r="Q128" s="145" t="s">
        <v>113</v>
      </c>
      <c r="R128" s="145" t="s">
        <v>112</v>
      </c>
      <c r="S128" s="145" t="s">
        <v>132</v>
      </c>
      <c r="T128" s="145" t="s">
        <v>113</v>
      </c>
      <c r="U128" s="145" t="s">
        <v>113</v>
      </c>
    </row>
    <row r="129" spans="1:25" x14ac:dyDescent="0.25">
      <c r="A129" s="698"/>
      <c r="B129" s="254" t="s">
        <v>676</v>
      </c>
      <c r="C129" s="145" t="s">
        <v>91</v>
      </c>
      <c r="D129" s="145" t="s">
        <v>91</v>
      </c>
      <c r="E129" s="145" t="s">
        <v>130</v>
      </c>
      <c r="F129" s="145" t="s">
        <v>242</v>
      </c>
      <c r="G129" s="145" t="s">
        <v>892</v>
      </c>
      <c r="H129" s="145" t="s">
        <v>673</v>
      </c>
      <c r="I129" s="594" t="s">
        <v>133</v>
      </c>
      <c r="J129" s="269"/>
      <c r="K129" s="145"/>
      <c r="L129" s="145"/>
      <c r="M129" s="145"/>
      <c r="N129" s="145"/>
      <c r="P129" s="145" t="s">
        <v>113</v>
      </c>
      <c r="Q129" s="145" t="s">
        <v>113</v>
      </c>
      <c r="R129" s="145"/>
      <c r="S129" s="145" t="s">
        <v>113</v>
      </c>
      <c r="T129" s="145" t="s">
        <v>810</v>
      </c>
      <c r="U129" s="145" t="s">
        <v>41</v>
      </c>
    </row>
    <row r="130" spans="1:25" x14ac:dyDescent="0.25">
      <c r="A130" s="698"/>
      <c r="B130" s="254" t="s">
        <v>677</v>
      </c>
      <c r="D130" s="252" t="s">
        <v>1036</v>
      </c>
      <c r="F130" s="252" t="s">
        <v>954</v>
      </c>
      <c r="G130" s="721" t="s">
        <v>1017</v>
      </c>
      <c r="H130" s="252" t="s">
        <v>798</v>
      </c>
      <c r="I130" s="652" t="s">
        <v>1018</v>
      </c>
      <c r="K130" s="595"/>
      <c r="L130" s="652"/>
      <c r="M130" s="652"/>
      <c r="N130" s="653"/>
      <c r="P130" s="252" t="s">
        <v>957</v>
      </c>
      <c r="Q130" s="652" t="s">
        <v>947</v>
      </c>
      <c r="R130" s="595"/>
      <c r="S130" s="652" t="s">
        <v>949</v>
      </c>
      <c r="T130" s="652" t="s">
        <v>950</v>
      </c>
      <c r="U130" s="653"/>
    </row>
    <row r="131" spans="1:25" x14ac:dyDescent="0.25">
      <c r="A131" s="698"/>
      <c r="B131" s="254" t="s">
        <v>796</v>
      </c>
      <c r="C131" t="s">
        <v>1033</v>
      </c>
      <c r="D131" t="s">
        <v>953</v>
      </c>
      <c r="F131" s="252"/>
      <c r="H131" s="252"/>
      <c r="J131" s="571"/>
      <c r="L131" s="456"/>
      <c r="Q131" s="328"/>
      <c r="S131" s="456"/>
      <c r="U131" t="s">
        <v>952</v>
      </c>
    </row>
    <row r="133" spans="1:25" ht="15.75" thickBot="1" x14ac:dyDescent="0.3">
      <c r="A133" s="30" t="s">
        <v>1041</v>
      </c>
      <c r="B133" s="30"/>
      <c r="C133" s="30"/>
      <c r="D133" s="30"/>
      <c r="E133" s="30"/>
      <c r="F133" s="30"/>
      <c r="G133" s="30"/>
      <c r="H133" s="30"/>
      <c r="I133" s="30"/>
      <c r="J133" s="30"/>
    </row>
    <row r="134" spans="1:25" ht="15.75" thickBot="1" x14ac:dyDescent="0.3">
      <c r="A134" s="697" t="s">
        <v>561</v>
      </c>
      <c r="B134" s="254" t="s">
        <v>674</v>
      </c>
      <c r="C134" s="118" t="s">
        <v>205</v>
      </c>
      <c r="D134" s="118" t="s">
        <v>206</v>
      </c>
      <c r="E134" s="118" t="s">
        <v>207</v>
      </c>
      <c r="F134" s="118" t="s">
        <v>208</v>
      </c>
      <c r="G134" s="118" t="s">
        <v>122</v>
      </c>
      <c r="H134" s="118" t="s">
        <v>209</v>
      </c>
      <c r="I134" s="118" t="s">
        <v>210</v>
      </c>
      <c r="J134" s="118" t="s">
        <v>211</v>
      </c>
      <c r="K134" s="118" t="s">
        <v>348</v>
      </c>
      <c r="L134" s="118" t="s">
        <v>347</v>
      </c>
      <c r="M134" s="118" t="s">
        <v>255</v>
      </c>
      <c r="N134" s="118" t="s">
        <v>262</v>
      </c>
      <c r="Q134" s="752" t="s">
        <v>351</v>
      </c>
    </row>
    <row r="135" spans="1:25" s="1" customFormat="1" x14ac:dyDescent="0.25">
      <c r="A135" s="698"/>
      <c r="B135" s="255" t="s">
        <v>588</v>
      </c>
      <c r="C135" s="500" t="s">
        <v>943</v>
      </c>
      <c r="D135" s="7" t="s">
        <v>945</v>
      </c>
      <c r="E135" s="600" t="s">
        <v>946</v>
      </c>
      <c r="F135" s="9"/>
      <c r="G135" s="650">
        <v>2298687.7200000002</v>
      </c>
      <c r="H135" s="10"/>
      <c r="I135" s="746" t="s">
        <v>106</v>
      </c>
      <c r="J135" s="722" t="s">
        <v>963</v>
      </c>
      <c r="K135" s="757" t="s">
        <v>1063</v>
      </c>
      <c r="L135" s="757" t="s">
        <v>137</v>
      </c>
      <c r="M135" s="755" t="s">
        <v>7</v>
      </c>
      <c r="N135" s="660"/>
      <c r="O135"/>
      <c r="P135"/>
      <c r="Q135" s="752" t="s">
        <v>350</v>
      </c>
      <c r="R135"/>
      <c r="S135"/>
      <c r="T135"/>
      <c r="U135"/>
      <c r="V135"/>
      <c r="W135"/>
      <c r="X135"/>
      <c r="Y135"/>
    </row>
    <row r="136" spans="1:25" x14ac:dyDescent="0.25">
      <c r="A136" s="698"/>
      <c r="B136" s="254" t="s">
        <v>675</v>
      </c>
      <c r="C136" s="145" t="s">
        <v>110</v>
      </c>
      <c r="D136" s="145" t="s">
        <v>944</v>
      </c>
      <c r="E136" s="145" t="s">
        <v>132</v>
      </c>
      <c r="F136" s="145" t="s">
        <v>110</v>
      </c>
      <c r="G136" s="145" t="s">
        <v>110</v>
      </c>
      <c r="H136" s="145" t="s">
        <v>91</v>
      </c>
      <c r="I136" s="145" t="s">
        <v>838</v>
      </c>
      <c r="J136" s="269"/>
      <c r="K136" s="145"/>
      <c r="L136" s="145"/>
      <c r="M136" s="145" t="s">
        <v>128</v>
      </c>
      <c r="N136" s="145"/>
      <c r="Q136" s="752" t="s">
        <v>956</v>
      </c>
    </row>
    <row r="137" spans="1:25" x14ac:dyDescent="0.25">
      <c r="A137" s="698"/>
      <c r="B137" s="254" t="s">
        <v>676</v>
      </c>
      <c r="C137" s="145" t="s">
        <v>70</v>
      </c>
      <c r="D137" s="145" t="s">
        <v>1065</v>
      </c>
      <c r="E137" s="269" t="s">
        <v>112</v>
      </c>
      <c r="F137" s="269" t="s">
        <v>892</v>
      </c>
      <c r="G137" s="145" t="s">
        <v>896</v>
      </c>
      <c r="H137" s="145" t="s">
        <v>897</v>
      </c>
      <c r="I137" s="145" t="s">
        <v>1044</v>
      </c>
      <c r="J137" s="269" t="s">
        <v>70</v>
      </c>
      <c r="K137" s="145" t="s">
        <v>1044</v>
      </c>
      <c r="L137" s="145" t="s">
        <v>1044</v>
      </c>
      <c r="M137" s="145" t="s">
        <v>892</v>
      </c>
      <c r="N137" s="145"/>
      <c r="Q137" s="752" t="s">
        <v>203</v>
      </c>
    </row>
    <row r="138" spans="1:25" ht="75" x14ac:dyDescent="0.25">
      <c r="A138" s="698"/>
      <c r="B138" s="254" t="s">
        <v>677</v>
      </c>
      <c r="C138" s="269" t="s">
        <v>1038</v>
      </c>
      <c r="D138" s="269" t="s">
        <v>1040</v>
      </c>
      <c r="E138" s="252"/>
      <c r="F138" s="745" t="s">
        <v>954</v>
      </c>
      <c r="G138" s="269" t="s">
        <v>1038</v>
      </c>
      <c r="H138" s="269" t="s">
        <v>798</v>
      </c>
      <c r="I138" s="753" t="s">
        <v>1058</v>
      </c>
      <c r="J138" s="760" t="s">
        <v>1066</v>
      </c>
      <c r="K138" s="754" t="s">
        <v>1062</v>
      </c>
      <c r="L138" s="753"/>
      <c r="M138" s="756" t="s">
        <v>1061</v>
      </c>
      <c r="N138" s="653"/>
      <c r="Q138" s="752" t="s">
        <v>959</v>
      </c>
    </row>
    <row r="139" spans="1:25" x14ac:dyDescent="0.25">
      <c r="A139" s="698"/>
      <c r="B139" s="254" t="s">
        <v>796</v>
      </c>
      <c r="E139" s="92"/>
      <c r="F139" s="252"/>
      <c r="H139" s="252"/>
      <c r="I139" s="252"/>
      <c r="J139" s="571"/>
      <c r="L139" s="456"/>
      <c r="M139" s="592"/>
    </row>
    <row r="140" spans="1:25" x14ac:dyDescent="0.25">
      <c r="I140" s="2"/>
    </row>
    <row r="141" spans="1:25" ht="15.75" thickBot="1" x14ac:dyDescent="0.3">
      <c r="A141" s="662" t="s">
        <v>965</v>
      </c>
      <c r="B141" s="30"/>
      <c r="C141" s="30"/>
      <c r="D141" s="30"/>
      <c r="E141" s="30"/>
      <c r="F141" s="30"/>
      <c r="G141" s="30"/>
      <c r="H141" s="30"/>
      <c r="I141" s="30"/>
      <c r="J141" s="30"/>
    </row>
    <row r="142" spans="1:25" ht="15.75" thickBot="1" x14ac:dyDescent="0.3">
      <c r="A142" s="3" t="s">
        <v>118</v>
      </c>
      <c r="B142" s="3" t="s">
        <v>117</v>
      </c>
      <c r="J142" s="31"/>
    </row>
    <row r="144" spans="1:25" ht="15.75" thickBot="1" x14ac:dyDescent="0.3">
      <c r="A144" s="30" t="s">
        <v>251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124</v>
      </c>
      <c r="B145" s="3" t="s">
        <v>252</v>
      </c>
      <c r="J145" s="31"/>
    </row>
    <row r="147" spans="1:22" ht="15.75" thickBot="1" x14ac:dyDescent="0.3">
      <c r="A147" s="687" t="s">
        <v>979</v>
      </c>
      <c r="B147" s="688"/>
      <c r="C147" s="688"/>
      <c r="D147" s="688"/>
      <c r="E147" s="688"/>
      <c r="F147" s="30"/>
      <c r="G147" s="30"/>
      <c r="H147" s="30"/>
      <c r="I147" s="30"/>
      <c r="J147" s="30"/>
    </row>
    <row r="148" spans="1:22" ht="15.75" thickBot="1" x14ac:dyDescent="0.3">
      <c r="A148" s="4" t="s">
        <v>335</v>
      </c>
      <c r="B148" s="4" t="s">
        <v>336</v>
      </c>
      <c r="C148" s="4" t="s">
        <v>208</v>
      </c>
      <c r="D148" s="4" t="s">
        <v>344</v>
      </c>
      <c r="E148" s="4" t="s">
        <v>165</v>
      </c>
      <c r="F148" s="4" t="s">
        <v>166</v>
      </c>
      <c r="G148" s="4" t="s">
        <v>167</v>
      </c>
      <c r="H148" s="4" t="s">
        <v>168</v>
      </c>
      <c r="I148" s="4" t="s">
        <v>169</v>
      </c>
      <c r="J148" s="4" t="s">
        <v>337</v>
      </c>
      <c r="K148" s="4" t="s">
        <v>338</v>
      </c>
      <c r="L148" s="4" t="s">
        <v>339</v>
      </c>
      <c r="M148" s="4" t="s">
        <v>340</v>
      </c>
      <c r="N148" s="118" t="s">
        <v>341</v>
      </c>
      <c r="O148" s="118" t="s">
        <v>342</v>
      </c>
      <c r="P148" s="118" t="s">
        <v>343</v>
      </c>
      <c r="Q148" s="118" t="s">
        <v>553</v>
      </c>
      <c r="R148" s="118" t="s">
        <v>552</v>
      </c>
      <c r="S148" s="118" t="s">
        <v>554</v>
      </c>
      <c r="T148" s="118" t="s">
        <v>555</v>
      </c>
      <c r="U148" s="118" t="s">
        <v>556</v>
      </c>
      <c r="V148" s="120" t="s">
        <v>547</v>
      </c>
    </row>
    <row r="150" spans="1:22" ht="15.75" thickBot="1" x14ac:dyDescent="0.3">
      <c r="A150" s="30" t="s">
        <v>560</v>
      </c>
    </row>
    <row r="151" spans="1:22" ht="15.75" thickBot="1" x14ac:dyDescent="0.3">
      <c r="A151" s="118" t="s">
        <v>136</v>
      </c>
      <c r="B151" s="118" t="s">
        <v>369</v>
      </c>
      <c r="C151" s="118" t="s">
        <v>344</v>
      </c>
      <c r="D151" s="118" t="s">
        <v>341</v>
      </c>
      <c r="E151" s="118" t="s">
        <v>165</v>
      </c>
      <c r="F151" s="118" t="s">
        <v>166</v>
      </c>
      <c r="G151" s="118" t="s">
        <v>167</v>
      </c>
      <c r="H151" s="118" t="s">
        <v>168</v>
      </c>
      <c r="I151" s="118" t="s">
        <v>169</v>
      </c>
      <c r="J151" s="118" t="s">
        <v>553</v>
      </c>
      <c r="K151" s="118" t="s">
        <v>552</v>
      </c>
      <c r="L151" s="118" t="s">
        <v>554</v>
      </c>
      <c r="M151" s="118" t="s">
        <v>555</v>
      </c>
      <c r="N151" s="118" t="s">
        <v>556</v>
      </c>
    </row>
    <row r="153" spans="1:22" ht="15.75" thickBot="1" x14ac:dyDescent="0.3">
      <c r="A153" s="30" t="s">
        <v>558</v>
      </c>
    </row>
    <row r="154" spans="1:22" ht="15.75" thickBot="1" x14ac:dyDescent="0.3">
      <c r="A154" s="4" t="s">
        <v>345</v>
      </c>
      <c r="B154" s="4" t="s">
        <v>369</v>
      </c>
      <c r="C154" s="118" t="s">
        <v>559</v>
      </c>
    </row>
    <row r="155" spans="1:22" x14ac:dyDescent="0.25">
      <c r="A155" s="119" t="s">
        <v>110</v>
      </c>
      <c r="B155" s="119" t="s">
        <v>134</v>
      </c>
      <c r="C155" s="119" t="s">
        <v>111</v>
      </c>
    </row>
    <row r="156" spans="1:22" x14ac:dyDescent="0.25">
      <c r="A156" s="26"/>
      <c r="B156" s="26"/>
    </row>
    <row r="157" spans="1:22" ht="15.75" thickBot="1" x14ac:dyDescent="0.3">
      <c r="A157" s="65" t="s">
        <v>357</v>
      </c>
      <c r="B157" s="26"/>
    </row>
    <row r="158" spans="1:22" ht="15.75" thickBot="1" x14ac:dyDescent="0.3">
      <c r="A158" s="4" t="s">
        <v>345</v>
      </c>
      <c r="B158" s="4" t="s">
        <v>167</v>
      </c>
      <c r="C158" s="59"/>
    </row>
    <row r="160" spans="1:22" ht="15.75" thickBot="1" x14ac:dyDescent="0.3">
      <c r="A160" s="65" t="s">
        <v>538</v>
      </c>
      <c r="B160" s="26"/>
    </row>
    <row r="161" spans="1:47" ht="15.75" thickBot="1" x14ac:dyDescent="0.3">
      <c r="A161" s="3" t="s">
        <v>512</v>
      </c>
      <c r="B161" s="3" t="s">
        <v>124</v>
      </c>
      <c r="C161" s="3" t="s">
        <v>496</v>
      </c>
    </row>
    <row r="163" spans="1:47" ht="15.75" thickBot="1" x14ac:dyDescent="0.3">
      <c r="A163" s="65" t="s">
        <v>544</v>
      </c>
      <c r="B163" s="119"/>
    </row>
    <row r="164" spans="1:47" ht="15.75" thickBot="1" x14ac:dyDescent="0.3">
      <c r="A164" s="117" t="s">
        <v>367</v>
      </c>
      <c r="B164" s="117" t="s">
        <v>188</v>
      </c>
      <c r="C164" s="117" t="s">
        <v>543</v>
      </c>
    </row>
    <row r="166" spans="1:47" ht="15.75" thickBot="1" x14ac:dyDescent="0.3">
      <c r="A166" s="65" t="s">
        <v>548</v>
      </c>
      <c r="B166" s="119"/>
    </row>
    <row r="167" spans="1:47" ht="29.25" customHeight="1" thickBot="1" x14ac:dyDescent="0.3">
      <c r="A167" s="117" t="s">
        <v>557</v>
      </c>
      <c r="B167" s="121" t="s">
        <v>356</v>
      </c>
      <c r="C167" s="121" t="s">
        <v>359</v>
      </c>
      <c r="D167" s="121" t="s">
        <v>549</v>
      </c>
      <c r="E167" s="121" t="s">
        <v>358</v>
      </c>
      <c r="F167" s="121" t="s">
        <v>1</v>
      </c>
      <c r="G167" s="121" t="s">
        <v>58</v>
      </c>
      <c r="H167" s="121" t="s">
        <v>367</v>
      </c>
      <c r="I167" s="121" t="s">
        <v>551</v>
      </c>
      <c r="J167" s="121" t="s">
        <v>550</v>
      </c>
    </row>
    <row r="168" spans="1:47" s="119" customFormat="1" x14ac:dyDescent="0.25">
      <c r="A168" s="119" t="s">
        <v>115</v>
      </c>
      <c r="B168" s="119" t="s">
        <v>112</v>
      </c>
      <c r="C168" s="119" t="s">
        <v>129</v>
      </c>
      <c r="D168" s="119" t="s">
        <v>129</v>
      </c>
      <c r="E168" s="119" t="s">
        <v>115</v>
      </c>
      <c r="F168" s="119" t="s">
        <v>242</v>
      </c>
      <c r="G168" s="119" t="s">
        <v>71</v>
      </c>
      <c r="H168" s="119" t="s">
        <v>132</v>
      </c>
      <c r="I168" s="119" t="s">
        <v>115</v>
      </c>
      <c r="J168" s="119" t="s">
        <v>115</v>
      </c>
    </row>
    <row r="170" spans="1:47" ht="15.75" thickBot="1" x14ac:dyDescent="0.3">
      <c r="A170" s="65" t="s">
        <v>520</v>
      </c>
    </row>
    <row r="171" spans="1:47" ht="71.25" thickBot="1" x14ac:dyDescent="0.3">
      <c r="A171" s="96" t="s">
        <v>516</v>
      </c>
      <c r="B171" s="97" t="s">
        <v>517</v>
      </c>
      <c r="C171" s="98">
        <v>40057</v>
      </c>
      <c r="D171" s="98">
        <v>40087</v>
      </c>
      <c r="E171" s="98">
        <v>40118</v>
      </c>
      <c r="F171" s="98">
        <v>40148</v>
      </c>
      <c r="G171" s="99" t="s">
        <v>114</v>
      </c>
      <c r="H171" s="98">
        <v>40179</v>
      </c>
      <c r="I171" s="98">
        <v>40210</v>
      </c>
      <c r="J171" s="98">
        <v>40238</v>
      </c>
      <c r="K171" s="98">
        <v>40269</v>
      </c>
      <c r="L171" s="98">
        <v>40299</v>
      </c>
      <c r="M171" s="98">
        <v>40330</v>
      </c>
      <c r="N171" s="98">
        <v>40360</v>
      </c>
      <c r="O171" s="98">
        <v>40391</v>
      </c>
      <c r="P171" s="98">
        <v>40422</v>
      </c>
      <c r="Q171" s="98">
        <v>40452</v>
      </c>
      <c r="R171" s="98">
        <v>40483</v>
      </c>
      <c r="S171" s="98">
        <v>40513</v>
      </c>
      <c r="T171" s="99" t="s">
        <v>135</v>
      </c>
      <c r="U171" s="98">
        <v>40544</v>
      </c>
      <c r="V171" s="98">
        <v>40575</v>
      </c>
      <c r="W171" s="98">
        <v>40603</v>
      </c>
      <c r="X171" s="98">
        <v>40634</v>
      </c>
      <c r="Y171" s="98">
        <v>40664</v>
      </c>
      <c r="Z171" s="98">
        <v>40695</v>
      </c>
      <c r="AA171" s="98">
        <v>40725</v>
      </c>
      <c r="AB171" s="98">
        <v>40756</v>
      </c>
      <c r="AC171" s="98">
        <v>40787</v>
      </c>
      <c r="AD171" s="98">
        <v>40817</v>
      </c>
      <c r="AE171" s="98">
        <v>40848</v>
      </c>
      <c r="AF171" s="98">
        <v>40878</v>
      </c>
      <c r="AG171" s="99" t="s">
        <v>108</v>
      </c>
      <c r="AH171" s="98">
        <v>40909</v>
      </c>
      <c r="AI171" s="98">
        <v>40940</v>
      </c>
      <c r="AJ171" s="98">
        <v>40969</v>
      </c>
      <c r="AK171" s="98">
        <v>41000</v>
      </c>
      <c r="AL171" s="98">
        <v>41030</v>
      </c>
      <c r="AM171" s="98">
        <v>41061</v>
      </c>
      <c r="AN171" s="98">
        <v>41091</v>
      </c>
      <c r="AO171" s="98">
        <v>41122</v>
      </c>
      <c r="AP171" s="98">
        <v>41153</v>
      </c>
      <c r="AQ171" s="98">
        <v>41183</v>
      </c>
      <c r="AR171" s="98">
        <v>41214</v>
      </c>
      <c r="AS171" s="98">
        <v>41244</v>
      </c>
      <c r="AT171" s="99" t="s">
        <v>109</v>
      </c>
      <c r="AU171" s="100" t="s">
        <v>519</v>
      </c>
    </row>
    <row r="172" spans="1:47" x14ac:dyDescent="0.25">
      <c r="A172" s="101" t="s">
        <v>489</v>
      </c>
      <c r="B172" s="93" t="s">
        <v>488</v>
      </c>
      <c r="C172" s="104"/>
      <c r="D172" s="104"/>
      <c r="E172" s="104"/>
      <c r="F172" s="105"/>
      <c r="G172" s="110">
        <f t="shared" ref="G172:G204" si="0">SUM(C172:F172)</f>
        <v>0</v>
      </c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10">
        <f t="shared" ref="T172:T204" si="1">SUM(H172:S172)</f>
        <v>0</v>
      </c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10">
        <f t="shared" ref="AG172:AG204" si="2">SUM(U172:AF172)</f>
        <v>0</v>
      </c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10">
        <f t="shared" ref="AT172:AT204" si="3">SUM(AH172:AS172)</f>
        <v>0</v>
      </c>
      <c r="AU172" s="111">
        <f t="shared" ref="AU172:AU204" si="4">G172+T172+AG172+AT172</f>
        <v>0</v>
      </c>
    </row>
    <row r="173" spans="1:47" x14ac:dyDescent="0.25">
      <c r="A173" s="101" t="s">
        <v>489</v>
      </c>
      <c r="B173" s="93" t="s">
        <v>457</v>
      </c>
      <c r="C173" s="106"/>
      <c r="D173" s="106"/>
      <c r="E173" s="106"/>
      <c r="F173" s="107"/>
      <c r="G173" s="112">
        <f t="shared" si="0"/>
        <v>0</v>
      </c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12">
        <f t="shared" si="1"/>
        <v>0</v>
      </c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12">
        <f t="shared" si="2"/>
        <v>0</v>
      </c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  <c r="AT173" s="112">
        <f t="shared" si="3"/>
        <v>0</v>
      </c>
      <c r="AU173" s="111">
        <f t="shared" si="4"/>
        <v>0</v>
      </c>
    </row>
    <row r="174" spans="1:47" x14ac:dyDescent="0.25">
      <c r="A174" s="101" t="s">
        <v>489</v>
      </c>
      <c r="B174" s="93" t="s">
        <v>455</v>
      </c>
      <c r="C174" s="106"/>
      <c r="D174" s="106"/>
      <c r="E174" s="106"/>
      <c r="F174" s="107"/>
      <c r="G174" s="112">
        <f t="shared" si="0"/>
        <v>0</v>
      </c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12">
        <f t="shared" si="1"/>
        <v>0</v>
      </c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12">
        <f t="shared" si="2"/>
        <v>0</v>
      </c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  <c r="AT174" s="112">
        <f t="shared" si="3"/>
        <v>0</v>
      </c>
      <c r="AU174" s="111">
        <f t="shared" si="4"/>
        <v>0</v>
      </c>
    </row>
    <row r="175" spans="1:47" x14ac:dyDescent="0.25">
      <c r="A175" s="102" t="s">
        <v>489</v>
      </c>
      <c r="B175" s="93" t="s">
        <v>378</v>
      </c>
      <c r="C175" s="106"/>
      <c r="D175" s="106"/>
      <c r="E175" s="106"/>
      <c r="F175" s="107"/>
      <c r="G175" s="112">
        <f t="shared" si="0"/>
        <v>0</v>
      </c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12">
        <f t="shared" si="1"/>
        <v>0</v>
      </c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12">
        <f t="shared" si="2"/>
        <v>0</v>
      </c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  <c r="AT175" s="112">
        <f t="shared" si="3"/>
        <v>0</v>
      </c>
      <c r="AU175" s="111">
        <f t="shared" si="4"/>
        <v>0</v>
      </c>
    </row>
    <row r="176" spans="1:47" x14ac:dyDescent="0.25">
      <c r="A176" s="101" t="s">
        <v>489</v>
      </c>
      <c r="B176" s="93" t="s">
        <v>466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456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1" t="s">
        <v>489</v>
      </c>
      <c r="B178" s="93" t="s">
        <v>374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487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503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504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484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506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513</v>
      </c>
      <c r="B184" s="93" t="s">
        <v>485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513</v>
      </c>
      <c r="B185" s="93" t="s">
        <v>486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2" t="s">
        <v>490</v>
      </c>
      <c r="B186" s="93" t="s">
        <v>483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2" t="s">
        <v>490</v>
      </c>
      <c r="B187" s="93" t="s">
        <v>460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2" t="s">
        <v>490</v>
      </c>
      <c r="B188" s="93" t="s">
        <v>505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490</v>
      </c>
      <c r="B189" s="93" t="s">
        <v>458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490</v>
      </c>
      <c r="B190" s="93" t="s">
        <v>514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490</v>
      </c>
      <c r="B191" s="93" t="s">
        <v>510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2" t="s">
        <v>490</v>
      </c>
      <c r="B192" s="93" t="s">
        <v>509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373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507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1" t="s">
        <v>493</v>
      </c>
      <c r="B195" s="93" t="s">
        <v>508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493</v>
      </c>
      <c r="B196" s="93" t="s">
        <v>459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493</v>
      </c>
      <c r="B197" s="93" t="s">
        <v>494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491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492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511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495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42</v>
      </c>
      <c r="B202" s="93" t="s">
        <v>42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375</v>
      </c>
      <c r="B203" s="93" t="s">
        <v>375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ht="15.75" thickBot="1" x14ac:dyDescent="0.3">
      <c r="A204" s="103" t="s">
        <v>515</v>
      </c>
      <c r="B204" s="94" t="s">
        <v>515</v>
      </c>
      <c r="C204" s="108"/>
      <c r="D204" s="108"/>
      <c r="E204" s="108"/>
      <c r="F204" s="109"/>
      <c r="G204" s="113">
        <f t="shared" si="0"/>
        <v>0</v>
      </c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13">
        <f t="shared" si="1"/>
        <v>0</v>
      </c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13">
        <f t="shared" si="2"/>
        <v>0</v>
      </c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13">
        <f t="shared" si="3"/>
        <v>0</v>
      </c>
      <c r="AU204" s="114">
        <f t="shared" si="4"/>
        <v>0</v>
      </c>
    </row>
    <row r="205" spans="1:47" ht="15.75" thickBot="1" x14ac:dyDescent="0.3">
      <c r="A205" s="92"/>
      <c r="B205" s="95" t="s">
        <v>518</v>
      </c>
      <c r="C205" s="32">
        <f t="shared" ref="C205:AU205" si="5">SUM(C172:C204)</f>
        <v>0</v>
      </c>
      <c r="D205" s="32">
        <f t="shared" si="5"/>
        <v>0</v>
      </c>
      <c r="E205" s="32">
        <f t="shared" si="5"/>
        <v>0</v>
      </c>
      <c r="F205" s="32">
        <f t="shared" si="5"/>
        <v>0</v>
      </c>
      <c r="G205" s="116">
        <f t="shared" si="5"/>
        <v>0</v>
      </c>
      <c r="H205" s="32">
        <f t="shared" si="5"/>
        <v>0</v>
      </c>
      <c r="I205" s="32">
        <f t="shared" si="5"/>
        <v>0</v>
      </c>
      <c r="J205" s="32">
        <f t="shared" si="5"/>
        <v>0</v>
      </c>
      <c r="K205" s="32">
        <f t="shared" si="5"/>
        <v>0</v>
      </c>
      <c r="L205" s="32">
        <f t="shared" si="5"/>
        <v>0</v>
      </c>
      <c r="M205" s="32">
        <f t="shared" si="5"/>
        <v>0</v>
      </c>
      <c r="N205" s="32">
        <f t="shared" si="5"/>
        <v>0</v>
      </c>
      <c r="O205" s="32">
        <f t="shared" si="5"/>
        <v>0</v>
      </c>
      <c r="P205" s="32">
        <f t="shared" si="5"/>
        <v>0</v>
      </c>
      <c r="Q205" s="32">
        <f t="shared" si="5"/>
        <v>0</v>
      </c>
      <c r="R205" s="32">
        <f t="shared" si="5"/>
        <v>0</v>
      </c>
      <c r="S205" s="32">
        <f t="shared" si="5"/>
        <v>0</v>
      </c>
      <c r="T205" s="116">
        <f t="shared" si="5"/>
        <v>0</v>
      </c>
      <c r="U205" s="32">
        <f t="shared" si="5"/>
        <v>0</v>
      </c>
      <c r="V205" s="32">
        <f t="shared" si="5"/>
        <v>0</v>
      </c>
      <c r="W205" s="32">
        <f t="shared" si="5"/>
        <v>0</v>
      </c>
      <c r="X205" s="32">
        <f t="shared" si="5"/>
        <v>0</v>
      </c>
      <c r="Y205" s="32">
        <f t="shared" si="5"/>
        <v>0</v>
      </c>
      <c r="Z205" s="32">
        <f t="shared" si="5"/>
        <v>0</v>
      </c>
      <c r="AA205" s="32">
        <f t="shared" si="5"/>
        <v>0</v>
      </c>
      <c r="AB205" s="32">
        <f t="shared" si="5"/>
        <v>0</v>
      </c>
      <c r="AC205" s="32">
        <f t="shared" si="5"/>
        <v>0</v>
      </c>
      <c r="AD205" s="32">
        <f t="shared" si="5"/>
        <v>0</v>
      </c>
      <c r="AE205" s="32">
        <f t="shared" si="5"/>
        <v>0</v>
      </c>
      <c r="AF205" s="32">
        <f t="shared" si="5"/>
        <v>0</v>
      </c>
      <c r="AG205" s="116">
        <f t="shared" si="5"/>
        <v>0</v>
      </c>
      <c r="AH205" s="32">
        <f t="shared" si="5"/>
        <v>0</v>
      </c>
      <c r="AI205" s="32">
        <f t="shared" si="5"/>
        <v>0</v>
      </c>
      <c r="AJ205" s="32">
        <f t="shared" si="5"/>
        <v>0</v>
      </c>
      <c r="AK205" s="32">
        <f t="shared" si="5"/>
        <v>0</v>
      </c>
      <c r="AL205" s="32">
        <f t="shared" si="5"/>
        <v>0</v>
      </c>
      <c r="AM205" s="32">
        <f t="shared" si="5"/>
        <v>0</v>
      </c>
      <c r="AN205" s="32">
        <f t="shared" si="5"/>
        <v>0</v>
      </c>
      <c r="AO205" s="32">
        <f t="shared" si="5"/>
        <v>0</v>
      </c>
      <c r="AP205" s="32">
        <f t="shared" si="5"/>
        <v>0</v>
      </c>
      <c r="AQ205" s="32">
        <f t="shared" si="5"/>
        <v>0</v>
      </c>
      <c r="AR205" s="32">
        <f t="shared" si="5"/>
        <v>0</v>
      </c>
      <c r="AS205" s="32">
        <f t="shared" si="5"/>
        <v>0</v>
      </c>
      <c r="AT205" s="116">
        <f t="shared" si="5"/>
        <v>0</v>
      </c>
      <c r="AU205" s="115">
        <f t="shared" si="5"/>
        <v>0</v>
      </c>
    </row>
    <row r="1144" spans="1:23" ht="15.75" thickBot="1" x14ac:dyDescent="0.3">
      <c r="A1144" s="364"/>
      <c r="B1144" s="365"/>
      <c r="C1144" s="366"/>
      <c r="D1144" s="366"/>
      <c r="E1144" s="367"/>
      <c r="F1144" s="368"/>
      <c r="G1144" s="369"/>
      <c r="H1144" s="369"/>
      <c r="I1144" s="370"/>
      <c r="J1144" s="371"/>
      <c r="K1144" s="371"/>
      <c r="L1144" s="372"/>
      <c r="M1144" s="370"/>
      <c r="N1144" s="373"/>
      <c r="O1144" s="373"/>
      <c r="P1144" s="374"/>
      <c r="Q1144" s="374"/>
      <c r="R1144" s="374"/>
      <c r="S1144" s="375"/>
      <c r="T1144" s="376"/>
      <c r="U1144" s="376"/>
      <c r="V1144" s="376"/>
      <c r="W1144" s="374"/>
    </row>
    <row r="1145" spans="1:23" x14ac:dyDescent="0.25">
      <c r="A1145" s="364"/>
      <c r="B1145" s="379" t="s">
        <v>736</v>
      </c>
      <c r="C1145" s="429">
        <f>COUNTIF(B$1:B1142,B1145)</f>
        <v>1</v>
      </c>
      <c r="D1145" s="437">
        <f>C1145/C1150</f>
        <v>0.2</v>
      </c>
      <c r="E1145" s="380"/>
      <c r="F1145" s="368"/>
      <c r="G1145" s="369"/>
      <c r="H1145" s="369"/>
      <c r="I1145" s="381"/>
      <c r="J1145" s="430">
        <f>SUMIF(B$3:B1142,B1145,T$3:T1149)</f>
        <v>48</v>
      </c>
      <c r="K1145" s="441"/>
      <c r="L1145" s="442">
        <f>J1145/J1150</f>
        <v>1</v>
      </c>
      <c r="M1145" s="373"/>
      <c r="N1145" s="373"/>
      <c r="O1145" s="373"/>
      <c r="P1145" s="374"/>
      <c r="Q1145" s="374"/>
      <c r="R1145" s="374"/>
      <c r="S1145" s="375" t="s">
        <v>713</v>
      </c>
      <c r="T1145" s="383">
        <v>1261915799.52244</v>
      </c>
      <c r="U1145" s="383" t="e">
        <f>SUM(#REF!)</f>
        <v>#REF!</v>
      </c>
      <c r="V1145" s="383" t="e">
        <f>SUM(#REF!)</f>
        <v>#REF!</v>
      </c>
      <c r="W1145" s="374" t="s">
        <v>737</v>
      </c>
    </row>
    <row r="1146" spans="1:23" x14ac:dyDescent="0.25">
      <c r="A1146" s="364"/>
      <c r="B1146" s="384" t="s">
        <v>738</v>
      </c>
      <c r="C1146" s="431">
        <f>COUNTIF(B$1:B1142,B1146)</f>
        <v>1</v>
      </c>
      <c r="D1146" s="438">
        <f>C1146/C1150</f>
        <v>0.2</v>
      </c>
      <c r="E1146" s="380"/>
      <c r="F1146" s="368"/>
      <c r="G1146" s="369"/>
      <c r="H1146" s="369"/>
      <c r="I1146" s="381"/>
      <c r="J1146" s="432">
        <f>SUMIF(B$3:B1145,B1146,T$3:T1150)</f>
        <v>0</v>
      </c>
      <c r="K1146" s="443"/>
      <c r="L1146" s="444">
        <f>J1146/J1150</f>
        <v>0</v>
      </c>
      <c r="M1146" s="373"/>
      <c r="N1146" s="373"/>
      <c r="O1146" s="373"/>
      <c r="P1146" s="378"/>
      <c r="Q1146" s="378"/>
      <c r="R1146" s="378"/>
      <c r="S1146" s="385"/>
      <c r="T1146" s="386"/>
      <c r="U1146" s="386"/>
      <c r="V1146" s="386"/>
      <c r="W1146" s="378"/>
    </row>
    <row r="1147" spans="1:23" x14ac:dyDescent="0.25">
      <c r="A1147" s="364"/>
      <c r="B1147" s="388" t="s">
        <v>739</v>
      </c>
      <c r="C1147" s="433">
        <f>COUNTIF(B$1:B1142,B1147)</f>
        <v>1</v>
      </c>
      <c r="D1147" s="439">
        <f>C1147/C1150</f>
        <v>0.2</v>
      </c>
      <c r="E1147" s="380"/>
      <c r="F1147" s="368"/>
      <c r="G1147" s="369"/>
      <c r="H1147" s="369"/>
      <c r="I1147" s="381"/>
      <c r="J1147" s="434">
        <f>SUMIF(B$3:B1146,B1147,T$3:T1150)</f>
        <v>0</v>
      </c>
      <c r="K1147" s="445"/>
      <c r="L1147" s="446">
        <f>J1147/J1150</f>
        <v>0</v>
      </c>
      <c r="M1147" s="370"/>
      <c r="N1147" s="373"/>
      <c r="O1147" s="373"/>
      <c r="P1147" s="378"/>
      <c r="Q1147" s="378"/>
      <c r="R1147" s="378"/>
      <c r="S1147" s="385"/>
      <c r="T1147" s="386"/>
      <c r="U1147" s="386"/>
      <c r="V1147" s="386"/>
      <c r="W1147" s="378"/>
    </row>
    <row r="1148" spans="1:23" ht="15.75" thickBot="1" x14ac:dyDescent="0.3">
      <c r="A1148" s="364"/>
      <c r="B1148" s="389" t="s">
        <v>740</v>
      </c>
      <c r="C1148" s="435">
        <f>COUNTIF(B$1:B1145,B1148)</f>
        <v>1</v>
      </c>
      <c r="D1148" s="440">
        <f>C1148/C1150</f>
        <v>0.2</v>
      </c>
      <c r="E1148" s="380"/>
      <c r="F1148" s="368"/>
      <c r="G1148" s="369"/>
      <c r="H1148" s="369"/>
      <c r="I1148" s="381"/>
      <c r="J1148" s="436">
        <f>SUMIF(B$3:B1147,B1148,T$3:T1150)</f>
        <v>0</v>
      </c>
      <c r="K1148" s="447"/>
      <c r="L1148" s="448">
        <f>J1148/J1150</f>
        <v>0</v>
      </c>
      <c r="M1148" s="370"/>
      <c r="N1148" s="373"/>
      <c r="O1148" s="373"/>
      <c r="P1148" s="378"/>
      <c r="Q1148" s="378"/>
      <c r="R1148" s="378"/>
      <c r="S1148" s="385"/>
      <c r="T1148" s="386"/>
      <c r="U1148" s="386"/>
      <c r="V1148" s="386"/>
      <c r="W1148" s="378"/>
    </row>
    <row r="1149" spans="1:23" ht="16.5" thickTop="1" thickBot="1" x14ac:dyDescent="0.3">
      <c r="A1149" s="390"/>
      <c r="B1149" s="391" t="s">
        <v>741</v>
      </c>
      <c r="C1149" s="392">
        <f>COUNTIF(B$1:B1142,B1149)</f>
        <v>1</v>
      </c>
      <c r="D1149" s="393">
        <f>C1149/C1150</f>
        <v>0.2</v>
      </c>
      <c r="E1149" s="394"/>
      <c r="F1149" s="395"/>
      <c r="G1149" s="396"/>
      <c r="H1149" s="396"/>
      <c r="I1149" s="397"/>
      <c r="J1149" s="449">
        <f>SUMIF(B$3:B1148,B1149,T$3:T1150)</f>
        <v>0</v>
      </c>
      <c r="K1149" s="450"/>
      <c r="L1149" s="451">
        <f>J1149/J1150</f>
        <v>0</v>
      </c>
      <c r="M1149" s="398"/>
      <c r="N1149" s="398"/>
      <c r="O1149" s="398"/>
      <c r="P1149" s="378"/>
      <c r="Q1149" s="378"/>
      <c r="R1149" s="378"/>
      <c r="S1149" s="385"/>
      <c r="T1149" s="386"/>
      <c r="U1149" s="386"/>
      <c r="V1149" s="386"/>
      <c r="W1149" s="378"/>
    </row>
    <row r="1150" spans="1:23" x14ac:dyDescent="0.25">
      <c r="A1150" s="364"/>
      <c r="B1150" s="399"/>
      <c r="C1150" s="400">
        <f>SUM(C1145:C1149)</f>
        <v>5</v>
      </c>
      <c r="D1150" s="366"/>
      <c r="E1150" s="380"/>
      <c r="F1150" s="368"/>
      <c r="G1150" s="369"/>
      <c r="H1150" s="369"/>
      <c r="I1150" s="381"/>
      <c r="J1150" s="401">
        <f>SUM(J1145:J1149)</f>
        <v>48</v>
      </c>
      <c r="K1150" s="382"/>
      <c r="L1150" s="402"/>
      <c r="M1150" s="370"/>
      <c r="N1150" s="373"/>
      <c r="O1150" s="373"/>
      <c r="P1150" s="378"/>
      <c r="Q1150" s="378"/>
      <c r="R1150" s="378"/>
      <c r="S1150" s="385"/>
      <c r="T1150" s="386"/>
      <c r="U1150" s="386"/>
      <c r="V1150" s="386"/>
      <c r="W1150" s="378"/>
    </row>
  </sheetData>
  <mergeCells count="2">
    <mergeCell ref="A14:D14"/>
    <mergeCell ref="A56:A61"/>
  </mergeCells>
  <conditionalFormatting sqref="B6">
    <cfRule type="cellIs" dxfId="3" priority="6" operator="lessThanOrEqual">
      <formula>0</formula>
    </cfRule>
  </conditionalFormatting>
  <conditionalFormatting sqref="C57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0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5" customFormat="1" ht="7.5" customHeight="1" x14ac:dyDescent="0.25">
      <c r="D1" s="426"/>
      <c r="E1" s="426"/>
      <c r="F1" s="426"/>
      <c r="G1" s="426"/>
      <c r="K1" s="596"/>
    </row>
    <row r="2" spans="1:34" s="315" customFormat="1" ht="19.5" x14ac:dyDescent="0.3">
      <c r="C2" s="316" t="s">
        <v>792</v>
      </c>
      <c r="K2" s="596"/>
    </row>
    <row r="4" spans="1:34" ht="15.75" thickBot="1" x14ac:dyDescent="0.3">
      <c r="A4" s="30" t="s">
        <v>999</v>
      </c>
    </row>
    <row r="5" spans="1:34" s="1" customFormat="1" ht="15.75" thickBot="1" x14ac:dyDescent="0.3">
      <c r="A5"/>
      <c r="B5" s="482" t="s">
        <v>900</v>
      </c>
      <c r="C5" s="694">
        <f>MATCH("NewOpp",E5:N5,0)+4</f>
        <v>12</v>
      </c>
      <c r="D5" s="694">
        <f>MATCH("STOP",E5:N5,0)+4</f>
        <v>14</v>
      </c>
      <c r="K5" s="522"/>
      <c r="L5" s="483" t="s">
        <v>817</v>
      </c>
      <c r="M5" s="484" t="s">
        <v>819</v>
      </c>
      <c r="N5" s="578" t="s">
        <v>891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22" customFormat="1" x14ac:dyDescent="0.25">
      <c r="A6" s="520"/>
      <c r="B6" s="521"/>
      <c r="C6" s="525"/>
      <c r="D6" s="485"/>
      <c r="L6" s="523"/>
      <c r="M6" s="523"/>
      <c r="N6" s="524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5">
        <v>0</v>
      </c>
      <c r="B7" s="491" t="s">
        <v>590</v>
      </c>
      <c r="C7" s="489" t="s">
        <v>590</v>
      </c>
      <c r="D7" s="490" t="s">
        <v>590</v>
      </c>
      <c r="E7" s="572">
        <v>0</v>
      </c>
      <c r="F7" s="572">
        <v>0</v>
      </c>
      <c r="G7" s="572">
        <v>0</v>
      </c>
      <c r="H7" s="572">
        <v>0</v>
      </c>
      <c r="I7" s="572">
        <v>0</v>
      </c>
      <c r="J7" s="572">
        <v>0</v>
      </c>
      <c r="K7" s="572">
        <v>17</v>
      </c>
      <c r="L7" s="573" t="s">
        <v>892</v>
      </c>
      <c r="M7" s="573" t="s">
        <v>130</v>
      </c>
      <c r="N7" s="573" t="s">
        <v>130</v>
      </c>
      <c r="O7" s="573" t="s">
        <v>127</v>
      </c>
      <c r="P7" s="573" t="s">
        <v>892</v>
      </c>
      <c r="Q7" s="573" t="s">
        <v>131</v>
      </c>
      <c r="R7" s="573" t="s">
        <v>113</v>
      </c>
      <c r="S7" s="573" t="s">
        <v>71</v>
      </c>
      <c r="T7" s="573" t="s">
        <v>113</v>
      </c>
      <c r="U7" s="573" t="s">
        <v>113</v>
      </c>
      <c r="V7" s="573" t="s">
        <v>113</v>
      </c>
      <c r="W7" s="573" t="s">
        <v>110</v>
      </c>
      <c r="X7" s="573" t="s">
        <v>91</v>
      </c>
      <c r="Y7" s="573" t="s">
        <v>110</v>
      </c>
      <c r="Z7" s="572">
        <v>0</v>
      </c>
      <c r="AA7" s="455"/>
      <c r="AB7" s="92"/>
    </row>
    <row r="8" spans="1:34" x14ac:dyDescent="0.25">
      <c r="A8" s="520"/>
      <c r="B8" s="491" t="s">
        <v>676</v>
      </c>
      <c r="C8" s="489"/>
      <c r="D8" s="490"/>
      <c r="E8" s="571"/>
      <c r="F8" s="571"/>
      <c r="G8" s="571"/>
      <c r="H8" s="571"/>
      <c r="I8" s="571"/>
      <c r="J8" s="571"/>
      <c r="K8" s="571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5"/>
      <c r="AA8" s="92"/>
    </row>
    <row r="9" spans="1:34" x14ac:dyDescent="0.25">
      <c r="A9" s="520"/>
      <c r="B9" s="491" t="s">
        <v>677</v>
      </c>
      <c r="C9" s="489"/>
      <c r="D9" s="490"/>
      <c r="E9" s="571"/>
      <c r="F9" s="571"/>
      <c r="G9" s="571"/>
      <c r="H9" s="571"/>
      <c r="I9" s="571"/>
      <c r="J9" s="571"/>
      <c r="K9" s="571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5"/>
      <c r="AA9" s="92"/>
    </row>
    <row r="10" spans="1:34" ht="15.75" thickBot="1" x14ac:dyDescent="0.3">
      <c r="A10" s="520"/>
      <c r="B10" s="492" t="s">
        <v>796</v>
      </c>
      <c r="C10" s="489"/>
      <c r="D10" s="490"/>
      <c r="E10" s="571"/>
      <c r="F10" s="571"/>
      <c r="G10" s="571"/>
      <c r="H10" s="571"/>
      <c r="I10" s="571"/>
      <c r="J10" s="571"/>
      <c r="K10" s="571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5"/>
      <c r="AA10" s="92"/>
    </row>
    <row r="11" spans="1:34" s="5" customFormat="1" ht="23.25" thickBot="1" x14ac:dyDescent="0.3">
      <c r="A11" s="802" t="s">
        <v>561</v>
      </c>
      <c r="B11" s="583" t="s">
        <v>898</v>
      </c>
      <c r="C11" s="486" t="s">
        <v>820</v>
      </c>
      <c r="D11" s="487"/>
      <c r="E11" s="317" t="s">
        <v>697</v>
      </c>
      <c r="F11" s="593" t="s">
        <v>65</v>
      </c>
      <c r="G11" s="593" t="s">
        <v>920</v>
      </c>
      <c r="H11" s="586" t="s">
        <v>62</v>
      </c>
      <c r="I11" s="586"/>
      <c r="J11" s="318" t="s">
        <v>925</v>
      </c>
      <c r="K11" s="611" t="s">
        <v>354</v>
      </c>
      <c r="L11" s="614" t="s">
        <v>919</v>
      </c>
      <c r="M11" s="605" t="s">
        <v>68</v>
      </c>
      <c r="N11" s="605" t="s">
        <v>67</v>
      </c>
      <c r="O11" s="606" t="s">
        <v>66</v>
      </c>
      <c r="P11" s="605" t="s">
        <v>822</v>
      </c>
      <c r="Q11" s="608" t="s">
        <v>0</v>
      </c>
      <c r="R11" s="809" t="s">
        <v>2</v>
      </c>
      <c r="S11" s="810"/>
      <c r="T11" s="607" t="s">
        <v>1</v>
      </c>
      <c r="U11" s="606" t="s">
        <v>62</v>
      </c>
      <c r="V11" s="607" t="s">
        <v>64</v>
      </c>
      <c r="W11" s="609" t="s">
        <v>61</v>
      </c>
      <c r="X11" s="610" t="s">
        <v>63</v>
      </c>
      <c r="Y11" s="607" t="s">
        <v>57</v>
      </c>
      <c r="Z11"/>
    </row>
    <row r="12" spans="1:34" s="5" customFormat="1" ht="15.75" thickBot="1" x14ac:dyDescent="0.3">
      <c r="A12" s="803"/>
      <c r="B12" s="488" t="s">
        <v>122</v>
      </c>
      <c r="C12" s="489" t="s">
        <v>820</v>
      </c>
      <c r="D12" s="574"/>
      <c r="E12" s="500"/>
      <c r="F12" s="612"/>
      <c r="G12"/>
      <c r="H12"/>
      <c r="I12"/>
      <c r="J12" s="478"/>
      <c r="K12" s="604"/>
      <c r="L12" s="613">
        <f>HYPERLINK("https://eu1.salesforce.com/"&amp;E12,F12)</f>
        <v>0</v>
      </c>
      <c r="M12" s="600"/>
      <c r="N12" s="600"/>
      <c r="O12" s="601"/>
      <c r="P12" s="670">
        <v>1234567.8899999999</v>
      </c>
      <c r="Q12" s="670">
        <v>1234567.8899999999</v>
      </c>
      <c r="R12" s="811"/>
      <c r="S12" s="812"/>
      <c r="T12" s="602"/>
      <c r="U12" s="613">
        <f>HYPERLINK("https://eu1.salesforce.com/"&amp;G12,H12)</f>
        <v>0</v>
      </c>
      <c r="V12" s="603"/>
      <c r="W12" s="603"/>
      <c r="X12" s="603"/>
      <c r="Y12" s="603"/>
    </row>
    <row r="13" spans="1:34" x14ac:dyDescent="0.25">
      <c r="A13" s="803"/>
      <c r="B13" s="491" t="s">
        <v>675</v>
      </c>
      <c r="C13" s="489"/>
      <c r="D13" s="490"/>
      <c r="E13" s="571">
        <v>0.5</v>
      </c>
      <c r="F13" s="571"/>
      <c r="J13" s="571">
        <v>0.5</v>
      </c>
      <c r="K13" s="571">
        <v>17</v>
      </c>
      <c r="L13" s="269" t="s">
        <v>892</v>
      </c>
      <c r="M13" s="269" t="s">
        <v>130</v>
      </c>
      <c r="N13" s="269" t="s">
        <v>113</v>
      </c>
      <c r="O13" s="269" t="s">
        <v>111</v>
      </c>
      <c r="P13" s="269" t="s">
        <v>974</v>
      </c>
      <c r="Q13" s="269" t="s">
        <v>974</v>
      </c>
      <c r="R13" s="269" t="s">
        <v>893</v>
      </c>
      <c r="S13" s="269"/>
      <c r="T13" s="269" t="s">
        <v>113</v>
      </c>
      <c r="U13" s="269" t="s">
        <v>128</v>
      </c>
      <c r="V13" s="269" t="s">
        <v>128</v>
      </c>
      <c r="W13" s="269" t="s">
        <v>974</v>
      </c>
      <c r="X13" s="269" t="s">
        <v>91</v>
      </c>
      <c r="Y13" s="269" t="s">
        <v>110</v>
      </c>
      <c r="AA13" s="455"/>
      <c r="AB13" s="92"/>
    </row>
    <row r="14" spans="1:34" x14ac:dyDescent="0.25">
      <c r="A14" s="803"/>
      <c r="B14" s="491" t="s">
        <v>676</v>
      </c>
      <c r="C14" s="489"/>
      <c r="D14" s="490"/>
      <c r="E14" s="571">
        <v>1</v>
      </c>
      <c r="F14" s="571">
        <v>9</v>
      </c>
      <c r="G14" s="571">
        <v>25</v>
      </c>
      <c r="H14" s="478">
        <v>25</v>
      </c>
      <c r="I14" s="478"/>
      <c r="J14" s="571" t="s">
        <v>924</v>
      </c>
      <c r="K14" s="571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810</v>
      </c>
      <c r="S14" s="269"/>
      <c r="T14" s="269" t="s">
        <v>892</v>
      </c>
      <c r="U14" s="269"/>
      <c r="V14" s="269" t="s">
        <v>894</v>
      </c>
      <c r="W14" s="269" t="s">
        <v>896</v>
      </c>
      <c r="X14" s="269" t="s">
        <v>897</v>
      </c>
      <c r="Y14" s="269" t="s">
        <v>895</v>
      </c>
      <c r="AD14" s="456"/>
      <c r="AE14" s="456"/>
      <c r="AF14" s="456"/>
      <c r="AG14" s="456"/>
      <c r="AH14" s="456"/>
    </row>
    <row r="15" spans="1:34" x14ac:dyDescent="0.25">
      <c r="A15" s="803"/>
      <c r="B15" s="491" t="s">
        <v>677</v>
      </c>
      <c r="C15" s="489"/>
      <c r="D15" s="490"/>
      <c r="E15" s="571"/>
      <c r="F15" s="571"/>
      <c r="G15" s="571" t="s">
        <v>921</v>
      </c>
      <c r="H15" t="s">
        <v>923</v>
      </c>
      <c r="J15" s="571"/>
      <c r="K15" s="587" t="s">
        <v>913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6"/>
      <c r="AE15" s="456"/>
      <c r="AF15" s="456"/>
      <c r="AG15" s="456"/>
      <c r="AH15" s="456"/>
    </row>
    <row r="16" spans="1:34" ht="15.75" thickBot="1" x14ac:dyDescent="0.3">
      <c r="A16" s="804"/>
      <c r="B16" s="492" t="s">
        <v>796</v>
      </c>
      <c r="C16" s="495"/>
      <c r="D16" s="496"/>
      <c r="E16" s="580"/>
      <c r="F16" s="580"/>
      <c r="G16" s="580" t="s">
        <v>922</v>
      </c>
      <c r="J16" s="580" t="s">
        <v>926</v>
      </c>
      <c r="K16" s="580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6"/>
      <c r="AC16" s="456"/>
      <c r="AD16" s="456"/>
      <c r="AE16" s="456"/>
      <c r="AF16" s="456"/>
    </row>
    <row r="17" spans="1:37" s="5" customFormat="1" ht="30.75" thickBot="1" x14ac:dyDescent="0.3">
      <c r="A17" s="802" t="s">
        <v>136</v>
      </c>
      <c r="B17" s="584" t="s">
        <v>899</v>
      </c>
      <c r="C17" s="486" t="s">
        <v>820</v>
      </c>
      <c r="D17" s="487"/>
      <c r="E17" s="507" t="s">
        <v>698</v>
      </c>
      <c r="F17" s="507"/>
      <c r="G17" s="507"/>
      <c r="H17" s="508" t="s">
        <v>832</v>
      </c>
      <c r="I17" s="508"/>
      <c r="J17" s="509" t="s">
        <v>599</v>
      </c>
      <c r="K17" s="598"/>
      <c r="L17" s="615" t="s">
        <v>831</v>
      </c>
      <c r="M17" s="616" t="s">
        <v>825</v>
      </c>
      <c r="N17" s="617" t="s">
        <v>830</v>
      </c>
      <c r="O17" s="617" t="s">
        <v>826</v>
      </c>
      <c r="P17" s="618" t="s">
        <v>827</v>
      </c>
      <c r="Q17" s="618" t="s">
        <v>828</v>
      </c>
      <c r="R17" s="813" t="s">
        <v>829</v>
      </c>
      <c r="S17" s="814"/>
      <c r="T17" s="615" t="s">
        <v>909</v>
      </c>
      <c r="W17" s="615" t="s">
        <v>911</v>
      </c>
      <c r="X17" s="510"/>
    </row>
    <row r="18" spans="1:37" s="5" customFormat="1" ht="15.75" thickBot="1" x14ac:dyDescent="0.3">
      <c r="A18" s="803"/>
      <c r="B18" s="488" t="s">
        <v>122</v>
      </c>
      <c r="C18" s="489" t="s">
        <v>927</v>
      </c>
      <c r="D18" s="619">
        <f>E12</f>
        <v>0</v>
      </c>
      <c r="H18" s="620"/>
      <c r="I18" s="620"/>
      <c r="J18" s="621"/>
      <c r="K18" s="597"/>
      <c r="L18" s="622"/>
      <c r="M18" s="624"/>
      <c r="N18" s="623"/>
      <c r="O18" s="623"/>
      <c r="P18" s="623"/>
      <c r="Q18" s="624"/>
      <c r="R18" s="815"/>
      <c r="S18" s="816"/>
      <c r="T18" s="625"/>
      <c r="W18" s="672"/>
      <c r="X18" s="510"/>
    </row>
    <row r="19" spans="1:37" x14ac:dyDescent="0.25">
      <c r="A19" s="803"/>
      <c r="B19" s="491" t="s">
        <v>675</v>
      </c>
      <c r="C19" s="489"/>
      <c r="D19" s="490"/>
      <c r="E19" s="328">
        <v>0.5</v>
      </c>
      <c r="F19" s="328"/>
      <c r="G19" s="328"/>
      <c r="H19" s="328">
        <v>0.5</v>
      </c>
      <c r="I19" s="328"/>
      <c r="J19" s="328">
        <v>0.5</v>
      </c>
      <c r="K19" s="571"/>
      <c r="L19" s="497">
        <v>14</v>
      </c>
      <c r="M19" s="497">
        <v>10</v>
      </c>
      <c r="N19" s="497">
        <v>10</v>
      </c>
      <c r="O19" s="497">
        <v>10</v>
      </c>
      <c r="P19" s="497">
        <v>30</v>
      </c>
      <c r="Q19" s="497">
        <v>10</v>
      </c>
      <c r="R19" s="497">
        <v>40</v>
      </c>
      <c r="S19" s="497"/>
      <c r="T19" s="497">
        <v>26</v>
      </c>
      <c r="W19" s="269" t="s">
        <v>974</v>
      </c>
      <c r="X19" s="478"/>
    </row>
    <row r="20" spans="1:37" x14ac:dyDescent="0.25">
      <c r="A20" s="803"/>
      <c r="B20" s="491" t="s">
        <v>676</v>
      </c>
      <c r="C20" s="489"/>
      <c r="D20" s="490"/>
      <c r="E20" s="478">
        <v>4</v>
      </c>
      <c r="J20" s="2"/>
      <c r="K20"/>
      <c r="L20" s="478">
        <v>4</v>
      </c>
      <c r="M20" s="478">
        <v>4</v>
      </c>
      <c r="N20" s="497">
        <v>4</v>
      </c>
      <c r="O20" s="497">
        <v>4</v>
      </c>
      <c r="P20" s="497">
        <v>4</v>
      </c>
      <c r="Q20" s="497">
        <v>4</v>
      </c>
      <c r="R20" s="497">
        <v>4</v>
      </c>
      <c r="S20" s="497"/>
      <c r="T20" s="497">
        <v>4</v>
      </c>
      <c r="W20" s="497">
        <v>4</v>
      </c>
      <c r="X20" s="478"/>
    </row>
    <row r="21" spans="1:37" x14ac:dyDescent="0.25">
      <c r="A21" s="803"/>
      <c r="B21" s="491" t="s">
        <v>677</v>
      </c>
      <c r="C21" s="489"/>
      <c r="D21" s="490"/>
      <c r="E21" s="478"/>
      <c r="K21"/>
      <c r="L21" s="478"/>
      <c r="M21" s="478"/>
      <c r="N21" s="478"/>
      <c r="O21" s="478"/>
      <c r="P21" s="478"/>
      <c r="Q21" s="478"/>
      <c r="R21" s="478"/>
      <c r="S21" s="478"/>
      <c r="T21" s="478"/>
      <c r="W21" s="478"/>
      <c r="X21" s="478"/>
    </row>
    <row r="22" spans="1:37" s="1" customFormat="1" ht="15.75" thickBot="1" x14ac:dyDescent="0.3">
      <c r="A22" s="804"/>
      <c r="B22" s="492" t="s">
        <v>796</v>
      </c>
      <c r="C22" s="493"/>
      <c r="D22" s="494"/>
      <c r="E22" s="582" t="s">
        <v>901</v>
      </c>
      <c r="F22" s="582"/>
      <c r="G22"/>
      <c r="H22"/>
      <c r="I22"/>
      <c r="J22" s="2"/>
      <c r="K22" s="580"/>
      <c r="L22" s="582" t="s">
        <v>902</v>
      </c>
      <c r="M22" s="582" t="s">
        <v>903</v>
      </c>
      <c r="N22" s="582" t="s">
        <v>904</v>
      </c>
      <c r="O22" s="582" t="s">
        <v>905</v>
      </c>
      <c r="P22" s="582" t="s">
        <v>906</v>
      </c>
      <c r="Q22" s="582" t="s">
        <v>907</v>
      </c>
      <c r="R22" s="582" t="s">
        <v>908</v>
      </c>
      <c r="S22" s="497"/>
      <c r="T22" s="582" t="s">
        <v>910</v>
      </c>
      <c r="U22" s="582"/>
      <c r="X22" s="582" t="s">
        <v>912</v>
      </c>
      <c r="Y22" s="498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2" t="s">
        <v>573</v>
      </c>
      <c r="B23" s="585" t="s">
        <v>914</v>
      </c>
      <c r="C23" s="486" t="s">
        <v>820</v>
      </c>
      <c r="D23" s="487"/>
      <c r="E23" s="318" t="s">
        <v>157</v>
      </c>
      <c r="F23" s="318" t="s">
        <v>915</v>
      </c>
      <c r="G23" s="318" t="s">
        <v>818</v>
      </c>
      <c r="H23" s="690" t="s">
        <v>984</v>
      </c>
      <c r="I23" s="690" t="s">
        <v>920</v>
      </c>
      <c r="J23" s="504" t="s">
        <v>599</v>
      </c>
      <c r="K23" s="599"/>
      <c r="L23" s="805" t="s">
        <v>818</v>
      </c>
      <c r="M23" s="806"/>
      <c r="N23" s="663" t="s">
        <v>823</v>
      </c>
      <c r="O23" s="499" t="s">
        <v>975</v>
      </c>
      <c r="P23" s="499" t="s">
        <v>821</v>
      </c>
      <c r="Q23" s="499" t="s">
        <v>824</v>
      </c>
      <c r="R23" s="499" t="s">
        <v>917</v>
      </c>
      <c r="S23" s="499" t="s">
        <v>916</v>
      </c>
      <c r="T23" s="499" t="s">
        <v>1</v>
      </c>
      <c r="U23" s="499" t="s">
        <v>62</v>
      </c>
      <c r="V23" s="499" t="s">
        <v>688</v>
      </c>
      <c r="W23" s="499" t="s">
        <v>598</v>
      </c>
      <c r="X23" s="499" t="s">
        <v>833</v>
      </c>
      <c r="Y23" s="499" t="s">
        <v>367</v>
      </c>
      <c r="Z23" s="145"/>
      <c r="AA23" s="145"/>
      <c r="AB23" s="145"/>
    </row>
    <row r="24" spans="1:37" ht="15.75" thickBot="1" x14ac:dyDescent="0.3">
      <c r="A24" s="803"/>
      <c r="B24" s="488" t="s">
        <v>122</v>
      </c>
      <c r="C24" s="626" t="str">
        <f>IF(LEN(J12)=0,"",J12)</f>
        <v/>
      </c>
      <c r="D24" s="590">
        <v>1</v>
      </c>
      <c r="F24" s="502"/>
      <c r="G24" s="328"/>
      <c r="H24" s="505"/>
      <c r="I24" s="505"/>
      <c r="J24" s="503"/>
      <c r="K24" s="628" t="s">
        <v>930</v>
      </c>
      <c r="L24" s="807">
        <f>HYPERLINK("https://eu1.salesforce.com/"&amp;F24,G24)</f>
        <v>0</v>
      </c>
      <c r="M24" s="808"/>
      <c r="N24" s="1"/>
      <c r="O24" s="1"/>
      <c r="P24" s="671"/>
      <c r="Q24" s="1"/>
      <c r="R24" s="1"/>
      <c r="S24" s="1"/>
      <c r="T24" s="696"/>
      <c r="U24" s="695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3"/>
      <c r="B25" s="491" t="s">
        <v>675</v>
      </c>
      <c r="C25" s="489"/>
      <c r="D25" s="490"/>
      <c r="E25" s="328">
        <v>0.5</v>
      </c>
      <c r="F25" s="328"/>
      <c r="G25" s="328"/>
      <c r="H25" s="328">
        <v>10</v>
      </c>
      <c r="I25" s="328"/>
      <c r="J25" s="328">
        <v>0.5</v>
      </c>
      <c r="K25" s="571"/>
      <c r="L25" s="591" t="s">
        <v>892</v>
      </c>
      <c r="M25" s="591"/>
      <c r="N25" s="591" t="s">
        <v>113</v>
      </c>
      <c r="O25" s="591"/>
      <c r="P25" s="269" t="s">
        <v>1022</v>
      </c>
      <c r="Q25" s="269" t="s">
        <v>1023</v>
      </c>
      <c r="R25" s="591"/>
      <c r="S25" s="591"/>
      <c r="T25" s="591" t="s">
        <v>113</v>
      </c>
      <c r="U25" s="591" t="s">
        <v>113</v>
      </c>
      <c r="V25" s="591" t="s">
        <v>113</v>
      </c>
      <c r="W25" s="591" t="s">
        <v>128</v>
      </c>
      <c r="X25" s="591" t="s">
        <v>128</v>
      </c>
      <c r="Y25" s="591" t="s">
        <v>128</v>
      </c>
      <c r="AB25" s="92"/>
      <c r="AD25" s="455"/>
      <c r="AE25" s="92"/>
    </row>
    <row r="26" spans="1:37" ht="15.75" thickBot="1" x14ac:dyDescent="0.3">
      <c r="A26" s="803"/>
      <c r="B26" s="491" t="s">
        <v>676</v>
      </c>
      <c r="C26" s="489" t="s">
        <v>70</v>
      </c>
      <c r="D26" s="588" t="s">
        <v>128</v>
      </c>
      <c r="E26" s="581" t="s">
        <v>928</v>
      </c>
      <c r="F26" s="478" t="s">
        <v>70</v>
      </c>
      <c r="G26" s="478">
        <v>3</v>
      </c>
      <c r="H26" s="497" t="s">
        <v>986</v>
      </c>
      <c r="I26" s="497" t="s">
        <v>986</v>
      </c>
      <c r="J26" s="497"/>
      <c r="K26" s="705"/>
      <c r="L26" s="478"/>
      <c r="M26" s="478"/>
      <c r="N26" s="497" t="s">
        <v>838</v>
      </c>
      <c r="O26" s="497">
        <v>26</v>
      </c>
      <c r="P26" s="497" t="s">
        <v>131</v>
      </c>
      <c r="Q26" s="478" t="s">
        <v>129</v>
      </c>
      <c r="R26" s="478" t="s">
        <v>918</v>
      </c>
      <c r="S26" s="591" t="s">
        <v>111</v>
      </c>
      <c r="T26" s="497" t="s">
        <v>113</v>
      </c>
      <c r="U26" s="497"/>
      <c r="V26" s="594"/>
      <c r="W26" s="594"/>
      <c r="X26" s="594"/>
      <c r="Y26" s="594"/>
      <c r="AG26" s="456"/>
      <c r="AH26" s="456"/>
      <c r="AI26" s="456"/>
      <c r="AJ26" s="456"/>
      <c r="AK26" s="456"/>
    </row>
    <row r="27" spans="1:37" ht="45" x14ac:dyDescent="0.25">
      <c r="A27" s="803"/>
      <c r="B27" s="491" t="s">
        <v>677</v>
      </c>
      <c r="C27" s="489"/>
      <c r="D27" s="490"/>
      <c r="E27" s="589" t="s">
        <v>989</v>
      </c>
      <c r="K27" s="627" t="s">
        <v>990</v>
      </c>
      <c r="L27" s="627" t="s">
        <v>929</v>
      </c>
      <c r="M27" s="592"/>
      <c r="N27" s="592"/>
      <c r="O27" s="592"/>
      <c r="T27" s="592"/>
      <c r="U27" s="627" t="s">
        <v>929</v>
      </c>
      <c r="AG27" s="456"/>
      <c r="AH27" s="456"/>
      <c r="AI27" s="456"/>
      <c r="AJ27" s="456"/>
      <c r="AK27" s="456"/>
    </row>
    <row r="28" spans="1:37" ht="15.75" thickBot="1" x14ac:dyDescent="0.3">
      <c r="A28" s="804"/>
      <c r="B28" s="492" t="s">
        <v>796</v>
      </c>
      <c r="C28" s="495"/>
      <c r="D28" s="494"/>
      <c r="E28" s="119"/>
      <c r="H28" s="580" t="s">
        <v>983</v>
      </c>
      <c r="I28" s="580" t="s">
        <v>987</v>
      </c>
      <c r="K28"/>
      <c r="L28" s="2"/>
      <c r="AB28" s="253"/>
      <c r="AF28" s="456"/>
      <c r="AG28" s="456"/>
      <c r="AH28" s="456"/>
      <c r="AI28" s="456"/>
      <c r="AJ28" s="456"/>
    </row>
    <row r="29" spans="1:37" x14ac:dyDescent="0.25">
      <c r="K29"/>
    </row>
    <row r="30" spans="1:37" ht="15.75" thickBot="1" x14ac:dyDescent="0.3">
      <c r="A30" s="30" t="s">
        <v>976</v>
      </c>
    </row>
    <row r="31" spans="1:37" s="1" customFormat="1" ht="15.75" thickBot="1" x14ac:dyDescent="0.3">
      <c r="A31"/>
      <c r="B31" s="482" t="s">
        <v>900</v>
      </c>
      <c r="C31" s="525" t="s">
        <v>133</v>
      </c>
      <c r="D31" s="525" t="s">
        <v>131</v>
      </c>
      <c r="K31" s="522"/>
      <c r="L31" s="483" t="s">
        <v>932</v>
      </c>
      <c r="M31" s="484" t="s">
        <v>819</v>
      </c>
      <c r="N31" s="578" t="s">
        <v>891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22" customFormat="1" x14ac:dyDescent="0.25">
      <c r="A32" s="520"/>
      <c r="B32" s="521"/>
      <c r="C32" s="525"/>
      <c r="D32" s="485"/>
      <c r="L32" s="523"/>
      <c r="M32" s="523"/>
      <c r="N32" s="524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5">
        <v>0</v>
      </c>
      <c r="B33" s="491" t="s">
        <v>590</v>
      </c>
      <c r="C33" s="489" t="s">
        <v>590</v>
      </c>
      <c r="D33" s="490" t="s">
        <v>590</v>
      </c>
      <c r="E33" s="572">
        <v>0</v>
      </c>
      <c r="F33" s="572">
        <v>0</v>
      </c>
      <c r="G33" s="572">
        <v>0</v>
      </c>
      <c r="H33" s="572">
        <v>0</v>
      </c>
      <c r="I33" s="572"/>
      <c r="J33" s="572">
        <v>0</v>
      </c>
      <c r="K33" s="572">
        <v>17</v>
      </c>
      <c r="L33" s="573" t="s">
        <v>892</v>
      </c>
      <c r="M33" s="573" t="s">
        <v>130</v>
      </c>
      <c r="N33" s="573" t="s">
        <v>130</v>
      </c>
      <c r="O33" s="573" t="s">
        <v>127</v>
      </c>
      <c r="P33" s="573" t="s">
        <v>892</v>
      </c>
      <c r="Q33" s="573" t="s">
        <v>131</v>
      </c>
      <c r="R33" s="573" t="s">
        <v>113</v>
      </c>
      <c r="S33" s="573" t="s">
        <v>71</v>
      </c>
      <c r="T33" s="573" t="s">
        <v>113</v>
      </c>
      <c r="U33" s="573" t="s">
        <v>113</v>
      </c>
      <c r="V33" s="573" t="s">
        <v>113</v>
      </c>
      <c r="W33" s="573" t="s">
        <v>110</v>
      </c>
      <c r="X33" s="573" t="s">
        <v>91</v>
      </c>
      <c r="Y33" s="573" t="s">
        <v>110</v>
      </c>
      <c r="AA33" s="455"/>
      <c r="AB33" s="92"/>
    </row>
    <row r="34" spans="1:35" x14ac:dyDescent="0.25">
      <c r="A34" s="520"/>
      <c r="B34" s="491" t="s">
        <v>676</v>
      </c>
      <c r="C34" s="489"/>
      <c r="D34" s="490"/>
      <c r="E34" s="571"/>
      <c r="F34" s="571"/>
      <c r="G34" s="571"/>
      <c r="H34" s="571"/>
      <c r="I34" s="571"/>
      <c r="J34" s="571"/>
      <c r="K34" s="571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5"/>
      <c r="AA34" s="92"/>
    </row>
    <row r="35" spans="1:35" x14ac:dyDescent="0.25">
      <c r="A35" s="520"/>
      <c r="B35" s="491" t="s">
        <v>677</v>
      </c>
      <c r="C35" s="489"/>
      <c r="D35" s="490"/>
      <c r="E35" s="571"/>
      <c r="F35" s="571"/>
      <c r="G35" s="571"/>
      <c r="H35" s="571"/>
      <c r="I35" s="571"/>
      <c r="J35" s="571"/>
      <c r="K35" s="571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5"/>
      <c r="AA35" s="92"/>
    </row>
    <row r="36" spans="1:35" ht="15.75" thickBot="1" x14ac:dyDescent="0.3">
      <c r="A36" s="520"/>
      <c r="B36" s="492" t="s">
        <v>796</v>
      </c>
      <c r="C36" s="489"/>
      <c r="D36" s="490"/>
      <c r="E36" s="571"/>
      <c r="F36" s="571"/>
      <c r="G36" s="571"/>
      <c r="H36" s="571"/>
      <c r="I36" s="571"/>
      <c r="J36" s="571"/>
      <c r="K36" s="571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5"/>
      <c r="AA36" s="92"/>
    </row>
    <row r="37" spans="1:35" s="5" customFormat="1" ht="23.25" thickBot="1" x14ac:dyDescent="0.3">
      <c r="A37" s="802" t="s">
        <v>561</v>
      </c>
      <c r="B37" s="583" t="s">
        <v>898</v>
      </c>
      <c r="C37" s="486" t="s">
        <v>820</v>
      </c>
      <c r="D37" s="487"/>
      <c r="E37" s="317" t="s">
        <v>697</v>
      </c>
      <c r="F37" s="593" t="s">
        <v>65</v>
      </c>
      <c r="G37" s="593" t="s">
        <v>920</v>
      </c>
      <c r="H37" s="586" t="s">
        <v>62</v>
      </c>
      <c r="I37" s="586"/>
      <c r="J37" s="318" t="s">
        <v>925</v>
      </c>
      <c r="K37" s="611" t="s">
        <v>354</v>
      </c>
      <c r="L37" s="614" t="s">
        <v>919</v>
      </c>
      <c r="M37" s="605" t="s">
        <v>68</v>
      </c>
      <c r="N37" s="605" t="s">
        <v>67</v>
      </c>
      <c r="O37" s="606" t="s">
        <v>66</v>
      </c>
      <c r="P37" s="605" t="s">
        <v>822</v>
      </c>
      <c r="Q37" s="608" t="s">
        <v>0</v>
      </c>
      <c r="R37" s="809" t="s">
        <v>2</v>
      </c>
      <c r="S37" s="810"/>
      <c r="T37" s="607" t="s">
        <v>1</v>
      </c>
      <c r="U37" s="606" t="s">
        <v>62</v>
      </c>
      <c r="V37" s="607" t="s">
        <v>64</v>
      </c>
      <c r="W37" s="609" t="s">
        <v>61</v>
      </c>
      <c r="X37" s="610" t="s">
        <v>63</v>
      </c>
      <c r="Y37" s="607" t="s">
        <v>57</v>
      </c>
      <c r="Z37"/>
    </row>
    <row r="38" spans="1:35" s="5" customFormat="1" ht="15.75" thickBot="1" x14ac:dyDescent="0.3">
      <c r="A38" s="803"/>
      <c r="B38" s="488" t="s">
        <v>122</v>
      </c>
      <c r="C38" s="489" t="s">
        <v>820</v>
      </c>
      <c r="D38" s="574"/>
      <c r="E38" s="500"/>
      <c r="F38" s="612"/>
      <c r="G38"/>
      <c r="H38"/>
      <c r="I38"/>
      <c r="J38" s="478"/>
      <c r="K38" s="604"/>
      <c r="L38" s="613">
        <f>HYPERLINK("https://eu1.salesforce.com/"&amp;E38,F38)</f>
        <v>0</v>
      </c>
      <c r="M38" s="600"/>
      <c r="N38" s="600"/>
      <c r="O38" s="601"/>
      <c r="P38" s="670">
        <v>1234567.8899999999</v>
      </c>
      <c r="Q38" s="670">
        <v>1234567.8899999999</v>
      </c>
      <c r="R38" s="811"/>
      <c r="S38" s="812"/>
      <c r="T38" s="602"/>
      <c r="U38" s="613">
        <f>HYPERLINK("https://eu1.salesforce.com/"&amp;G38,H38)</f>
        <v>0</v>
      </c>
      <c r="V38" s="603"/>
      <c r="W38" s="603"/>
      <c r="X38" s="603"/>
      <c r="Y38" s="603"/>
    </row>
    <row r="39" spans="1:35" x14ac:dyDescent="0.25">
      <c r="A39" s="803"/>
      <c r="B39" s="491" t="s">
        <v>675</v>
      </c>
      <c r="C39" s="489"/>
      <c r="D39" s="490"/>
      <c r="E39" s="571">
        <v>0.5</v>
      </c>
      <c r="F39" s="571"/>
      <c r="J39" s="571">
        <v>0.5</v>
      </c>
      <c r="K39" s="571">
        <v>17</v>
      </c>
      <c r="L39" s="269" t="s">
        <v>892</v>
      </c>
      <c r="M39" s="269" t="s">
        <v>130</v>
      </c>
      <c r="N39" s="269" t="s">
        <v>113</v>
      </c>
      <c r="O39" s="269" t="s">
        <v>111</v>
      </c>
      <c r="P39" s="269" t="s">
        <v>974</v>
      </c>
      <c r="Q39" s="269" t="s">
        <v>974</v>
      </c>
      <c r="R39" s="269" t="s">
        <v>893</v>
      </c>
      <c r="S39" s="269"/>
      <c r="T39" s="269" t="s">
        <v>113</v>
      </c>
      <c r="U39" s="269" t="s">
        <v>128</v>
      </c>
      <c r="V39" s="269" t="s">
        <v>128</v>
      </c>
      <c r="W39" s="269" t="s">
        <v>974</v>
      </c>
      <c r="X39" s="269" t="s">
        <v>91</v>
      </c>
      <c r="Y39" s="269" t="s">
        <v>110</v>
      </c>
      <c r="AA39" s="455"/>
      <c r="AB39" s="92"/>
    </row>
    <row r="40" spans="1:35" x14ac:dyDescent="0.25">
      <c r="A40" s="803"/>
      <c r="B40" s="491" t="s">
        <v>676</v>
      </c>
      <c r="C40" s="489"/>
      <c r="D40" s="490"/>
      <c r="E40" s="571">
        <v>1</v>
      </c>
      <c r="F40" s="571">
        <v>9</v>
      </c>
      <c r="G40" s="571">
        <v>25</v>
      </c>
      <c r="H40" s="478">
        <v>25</v>
      </c>
      <c r="I40" s="478"/>
      <c r="J40" s="571" t="s">
        <v>924</v>
      </c>
      <c r="K40" s="571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810</v>
      </c>
      <c r="S40" s="269"/>
      <c r="T40" s="269" t="s">
        <v>892</v>
      </c>
      <c r="U40" s="269"/>
      <c r="V40" s="269" t="s">
        <v>894</v>
      </c>
      <c r="W40" s="269" t="s">
        <v>896</v>
      </c>
      <c r="X40" s="269" t="s">
        <v>897</v>
      </c>
      <c r="Y40" s="269" t="s">
        <v>895</v>
      </c>
      <c r="AD40" s="456"/>
      <c r="AE40" s="456"/>
      <c r="AF40" s="456"/>
      <c r="AG40" s="456"/>
      <c r="AH40" s="456"/>
    </row>
    <row r="41" spans="1:35" x14ac:dyDescent="0.25">
      <c r="A41" s="803"/>
      <c r="B41" s="491" t="s">
        <v>677</v>
      </c>
      <c r="C41" s="489"/>
      <c r="D41" s="490"/>
      <c r="E41" s="571"/>
      <c r="F41" s="571"/>
      <c r="G41" s="571" t="s">
        <v>921</v>
      </c>
      <c r="H41" t="s">
        <v>923</v>
      </c>
      <c r="J41" s="571"/>
      <c r="K41" s="587" t="s">
        <v>913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6"/>
      <c r="AE41" s="456"/>
      <c r="AF41" s="456"/>
      <c r="AG41" s="456"/>
      <c r="AH41" s="456"/>
    </row>
    <row r="42" spans="1:35" ht="15.75" thickBot="1" x14ac:dyDescent="0.3">
      <c r="A42" s="804"/>
      <c r="B42" s="492" t="s">
        <v>796</v>
      </c>
      <c r="C42" s="495"/>
      <c r="D42" s="496"/>
      <c r="E42" s="580"/>
      <c r="F42" s="580"/>
      <c r="G42" s="580" t="s">
        <v>922</v>
      </c>
      <c r="J42" s="580" t="s">
        <v>926</v>
      </c>
      <c r="K42" s="580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6"/>
      <c r="AC42" s="456"/>
      <c r="AD42" s="456"/>
      <c r="AE42" s="456"/>
      <c r="AF42" s="456"/>
    </row>
    <row r="43" spans="1:35" s="5" customFormat="1" ht="30.75" thickBot="1" x14ac:dyDescent="0.3">
      <c r="A43" s="802" t="s">
        <v>136</v>
      </c>
      <c r="B43" s="584" t="s">
        <v>899</v>
      </c>
      <c r="C43" s="486" t="s">
        <v>820</v>
      </c>
      <c r="D43" s="487"/>
      <c r="E43" s="507" t="s">
        <v>698</v>
      </c>
      <c r="F43" s="507"/>
      <c r="G43" s="507"/>
      <c r="H43" s="508" t="s">
        <v>832</v>
      </c>
      <c r="I43" s="508"/>
      <c r="J43" s="509" t="s">
        <v>599</v>
      </c>
      <c r="K43" s="598"/>
      <c r="L43" s="669" t="s">
        <v>831</v>
      </c>
      <c r="M43" s="616" t="s">
        <v>825</v>
      </c>
      <c r="N43" s="617" t="s">
        <v>830</v>
      </c>
      <c r="O43" s="617" t="s">
        <v>826</v>
      </c>
      <c r="P43" s="618" t="s">
        <v>827</v>
      </c>
      <c r="Q43" s="618" t="s">
        <v>828</v>
      </c>
      <c r="R43" s="813" t="s">
        <v>829</v>
      </c>
      <c r="S43" s="814"/>
      <c r="T43" s="669" t="s">
        <v>909</v>
      </c>
      <c r="W43" s="669" t="s">
        <v>911</v>
      </c>
      <c r="X43" s="510"/>
    </row>
    <row r="44" spans="1:35" s="5" customFormat="1" ht="15.75" thickBot="1" x14ac:dyDescent="0.3">
      <c r="A44" s="803"/>
      <c r="B44" s="488" t="s">
        <v>122</v>
      </c>
      <c r="C44" s="489" t="s">
        <v>927</v>
      </c>
      <c r="D44" s="619">
        <f>E38</f>
        <v>0</v>
      </c>
      <c r="H44" s="620"/>
      <c r="I44" s="620"/>
      <c r="J44" s="621"/>
      <c r="K44" s="597"/>
      <c r="L44" s="622"/>
      <c r="M44" s="624"/>
      <c r="N44" s="623"/>
      <c r="O44" s="623"/>
      <c r="P44" s="623"/>
      <c r="Q44" s="624"/>
      <c r="R44" s="815"/>
      <c r="S44" s="816"/>
      <c r="T44" s="625"/>
      <c r="W44" s="672"/>
      <c r="X44" s="510"/>
    </row>
    <row r="45" spans="1:35" x14ac:dyDescent="0.25">
      <c r="A45" s="803"/>
      <c r="B45" s="491" t="s">
        <v>675</v>
      </c>
      <c r="C45" s="489"/>
      <c r="D45" s="490"/>
      <c r="E45" s="328">
        <v>0.5</v>
      </c>
      <c r="F45" s="328"/>
      <c r="G45" s="328"/>
      <c r="H45" s="328">
        <v>0.5</v>
      </c>
      <c r="I45" s="328"/>
      <c r="J45" s="328">
        <v>0.5</v>
      </c>
      <c r="K45" s="571"/>
      <c r="L45" s="497">
        <v>14</v>
      </c>
      <c r="M45" s="497">
        <v>10</v>
      </c>
      <c r="N45" s="497">
        <v>10</v>
      </c>
      <c r="O45" s="497">
        <v>10</v>
      </c>
      <c r="P45" s="497">
        <v>30</v>
      </c>
      <c r="Q45" s="497">
        <v>10</v>
      </c>
      <c r="R45" s="497">
        <v>40</v>
      </c>
      <c r="S45" s="497"/>
      <c r="T45" s="497">
        <v>26</v>
      </c>
      <c r="W45" s="269" t="s">
        <v>974</v>
      </c>
      <c r="X45" s="478"/>
    </row>
    <row r="46" spans="1:35" x14ac:dyDescent="0.25">
      <c r="A46" s="803"/>
      <c r="B46" s="491" t="s">
        <v>676</v>
      </c>
      <c r="C46" s="489"/>
      <c r="D46" s="490"/>
      <c r="E46" s="478">
        <v>4</v>
      </c>
      <c r="J46" s="2"/>
      <c r="K46"/>
      <c r="L46" s="478">
        <v>4</v>
      </c>
      <c r="M46" s="478">
        <v>4</v>
      </c>
      <c r="N46" s="497">
        <v>4</v>
      </c>
      <c r="O46" s="497">
        <v>4</v>
      </c>
      <c r="P46" s="497">
        <v>4</v>
      </c>
      <c r="Q46" s="497">
        <v>4</v>
      </c>
      <c r="R46" s="497">
        <v>4</v>
      </c>
      <c r="S46" s="497"/>
      <c r="T46" s="497">
        <v>4</v>
      </c>
      <c r="W46" s="497">
        <v>4</v>
      </c>
      <c r="X46" s="478"/>
    </row>
    <row r="47" spans="1:35" x14ac:dyDescent="0.25">
      <c r="A47" s="803"/>
      <c r="B47" s="491" t="s">
        <v>677</v>
      </c>
      <c r="C47" s="489"/>
      <c r="D47" s="490"/>
      <c r="E47" s="478"/>
      <c r="K47"/>
      <c r="L47" s="478"/>
      <c r="M47" s="478"/>
      <c r="N47" s="478"/>
      <c r="O47" s="478"/>
      <c r="P47" s="478"/>
      <c r="Q47" s="478"/>
      <c r="R47" s="478"/>
      <c r="S47" s="478"/>
      <c r="T47" s="478"/>
      <c r="W47" s="478"/>
      <c r="X47" s="478"/>
    </row>
    <row r="48" spans="1:35" s="1" customFormat="1" ht="15.75" thickBot="1" x14ac:dyDescent="0.3">
      <c r="A48" s="804"/>
      <c r="B48" s="492" t="s">
        <v>796</v>
      </c>
      <c r="C48" s="493"/>
      <c r="D48" s="494"/>
      <c r="E48" s="582" t="s">
        <v>901</v>
      </c>
      <c r="F48" s="582"/>
      <c r="G48"/>
      <c r="H48"/>
      <c r="I48"/>
      <c r="J48" s="2"/>
      <c r="K48" s="580"/>
      <c r="L48" s="582" t="s">
        <v>902</v>
      </c>
      <c r="M48" s="582" t="s">
        <v>903</v>
      </c>
      <c r="N48" s="582" t="s">
        <v>904</v>
      </c>
      <c r="O48" s="582" t="s">
        <v>905</v>
      </c>
      <c r="P48" s="582" t="s">
        <v>906</v>
      </c>
      <c r="Q48" s="582" t="s">
        <v>907</v>
      </c>
      <c r="R48" s="582" t="s">
        <v>908</v>
      </c>
      <c r="S48" s="497"/>
      <c r="T48" s="582" t="s">
        <v>910</v>
      </c>
      <c r="W48" s="582" t="s">
        <v>912</v>
      </c>
      <c r="X48" s="498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2" t="s">
        <v>573</v>
      </c>
      <c r="B49" s="585" t="s">
        <v>914</v>
      </c>
      <c r="C49" s="486" t="s">
        <v>820</v>
      </c>
      <c r="D49" s="487"/>
      <c r="E49" s="318" t="s">
        <v>157</v>
      </c>
      <c r="F49" s="318" t="s">
        <v>915</v>
      </c>
      <c r="G49" s="318" t="s">
        <v>818</v>
      </c>
      <c r="H49" s="506" t="s">
        <v>62</v>
      </c>
      <c r="I49" s="506"/>
      <c r="J49" s="504" t="s">
        <v>599</v>
      </c>
      <c r="K49" s="599"/>
      <c r="L49" s="805" t="s">
        <v>818</v>
      </c>
      <c r="M49" s="806"/>
      <c r="N49" s="663" t="s">
        <v>823</v>
      </c>
      <c r="O49" s="499" t="s">
        <v>975</v>
      </c>
      <c r="P49" s="499" t="s">
        <v>821</v>
      </c>
      <c r="Q49" s="499" t="s">
        <v>824</v>
      </c>
      <c r="R49" s="499" t="s">
        <v>917</v>
      </c>
      <c r="S49" s="499" t="s">
        <v>916</v>
      </c>
      <c r="T49" s="499" t="s">
        <v>1</v>
      </c>
      <c r="U49" s="499" t="s">
        <v>688</v>
      </c>
      <c r="V49" s="499" t="s">
        <v>598</v>
      </c>
      <c r="W49" s="499" t="s">
        <v>833</v>
      </c>
      <c r="X49" s="499" t="s">
        <v>367</v>
      </c>
      <c r="Y49" s="145"/>
      <c r="Z49" s="145"/>
      <c r="AA49" s="145"/>
    </row>
    <row r="50" spans="1:36" ht="15.75" thickBot="1" x14ac:dyDescent="0.3">
      <c r="A50" s="803"/>
      <c r="B50" s="488" t="s">
        <v>122</v>
      </c>
      <c r="C50" s="626" t="str">
        <f>IF(LEN(J38)=0,"",J38)</f>
        <v/>
      </c>
      <c r="D50" s="590">
        <v>1</v>
      </c>
      <c r="F50" s="502"/>
      <c r="G50" s="328"/>
      <c r="H50" s="505"/>
      <c r="I50" s="505"/>
      <c r="J50" s="503"/>
      <c r="K50" s="628" t="s">
        <v>930</v>
      </c>
      <c r="L50" s="807">
        <f>HYPERLINK("https://eu1.salesforce.com/"&amp;F50,G50)</f>
        <v>0</v>
      </c>
      <c r="M50" s="808"/>
      <c r="N50" s="1"/>
      <c r="O50" s="1"/>
      <c r="P50" s="671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3"/>
      <c r="B51" s="491" t="s">
        <v>675</v>
      </c>
      <c r="C51" s="489"/>
      <c r="D51" s="490"/>
      <c r="E51" s="328">
        <v>0.5</v>
      </c>
      <c r="F51" s="328"/>
      <c r="G51" s="328"/>
      <c r="H51" s="328">
        <v>0.5</v>
      </c>
      <c r="I51" s="328"/>
      <c r="J51" s="328">
        <v>0.5</v>
      </c>
      <c r="K51" s="571"/>
      <c r="L51" s="591" t="s">
        <v>892</v>
      </c>
      <c r="M51" s="591"/>
      <c r="N51" s="591" t="s">
        <v>113</v>
      </c>
      <c r="O51" s="591"/>
      <c r="P51" s="269" t="s">
        <v>1022</v>
      </c>
      <c r="Q51" s="269" t="s">
        <v>1023</v>
      </c>
      <c r="R51" s="591"/>
      <c r="S51" s="591"/>
      <c r="T51" s="591" t="s">
        <v>113</v>
      </c>
      <c r="U51" s="591" t="s">
        <v>113</v>
      </c>
      <c r="V51" s="591" t="s">
        <v>128</v>
      </c>
      <c r="W51" s="591" t="s">
        <v>128</v>
      </c>
      <c r="X51" s="591" t="s">
        <v>128</v>
      </c>
      <c r="AA51" s="92"/>
      <c r="AC51" s="455"/>
      <c r="AD51" s="92"/>
    </row>
    <row r="52" spans="1:36" x14ac:dyDescent="0.25">
      <c r="A52" s="803"/>
      <c r="B52" s="491" t="s">
        <v>676</v>
      </c>
      <c r="C52" s="489" t="s">
        <v>70</v>
      </c>
      <c r="D52" s="588" t="s">
        <v>128</v>
      </c>
      <c r="E52" s="581" t="s">
        <v>928</v>
      </c>
      <c r="F52" s="478" t="s">
        <v>70</v>
      </c>
      <c r="G52" s="478">
        <v>3</v>
      </c>
      <c r="H52" s="497"/>
      <c r="I52" s="497"/>
      <c r="J52" s="497"/>
      <c r="K52" s="497"/>
      <c r="L52" s="478"/>
      <c r="M52" s="478"/>
      <c r="N52" s="497" t="s">
        <v>838</v>
      </c>
      <c r="O52" s="497">
        <v>26</v>
      </c>
      <c r="P52" s="497" t="s">
        <v>131</v>
      </c>
      <c r="Q52" s="478" t="s">
        <v>129</v>
      </c>
      <c r="R52" s="478" t="s">
        <v>918</v>
      </c>
      <c r="S52" s="591" t="s">
        <v>111</v>
      </c>
      <c r="T52" s="497" t="s">
        <v>113</v>
      </c>
      <c r="U52" s="594"/>
      <c r="V52" s="594"/>
      <c r="W52" s="594"/>
      <c r="X52" s="594"/>
      <c r="Y52" s="595"/>
      <c r="AF52" s="456"/>
      <c r="AG52" s="456"/>
      <c r="AH52" s="456"/>
      <c r="AI52" s="456"/>
      <c r="AJ52" s="456"/>
    </row>
    <row r="53" spans="1:36" ht="45" x14ac:dyDescent="0.25">
      <c r="A53" s="803"/>
      <c r="B53" s="491" t="s">
        <v>677</v>
      </c>
      <c r="C53" s="489"/>
      <c r="D53" s="490"/>
      <c r="E53" s="589" t="s">
        <v>981</v>
      </c>
      <c r="K53" s="627" t="s">
        <v>929</v>
      </c>
      <c r="L53" s="627" t="s">
        <v>929</v>
      </c>
      <c r="M53" s="592"/>
      <c r="N53" s="592"/>
      <c r="O53" s="592"/>
      <c r="T53" s="592"/>
      <c r="AF53" s="456"/>
      <c r="AG53" s="456"/>
      <c r="AH53" s="456"/>
      <c r="AI53" s="456"/>
      <c r="AJ53" s="456"/>
    </row>
    <row r="54" spans="1:36" ht="15.75" thickBot="1" x14ac:dyDescent="0.3">
      <c r="A54" s="804"/>
      <c r="B54" s="492" t="s">
        <v>796</v>
      </c>
      <c r="C54" s="495"/>
      <c r="D54" s="494"/>
      <c r="E54" s="119"/>
      <c r="H54" s="580"/>
      <c r="I54" s="580"/>
      <c r="K54"/>
      <c r="L54" s="2"/>
      <c r="AB54" s="253"/>
      <c r="AF54" s="456"/>
      <c r="AG54" s="456"/>
      <c r="AH54" s="456"/>
      <c r="AI54" s="456"/>
      <c r="AJ54" s="456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</vt:i4>
      </vt:variant>
    </vt:vector>
  </HeadingPairs>
  <TitlesOfParts>
    <vt:vector size="62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Payment_MyCol</vt:lpstr>
      <vt:lpstr>Payment_Summary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2013-01-23T18:37:59Z</dcterms:modified>
</cp:coreProperties>
</file>