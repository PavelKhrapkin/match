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14505" yWindow="-15" windowWidth="1431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Header!$B$169:$K$174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Header!$B$161:$M$166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Header!#REF!</definedName>
    <definedName name="HDR_P_ADSKlink" comment="14/5/12 новые связи Платежей и Контрактов ADSK">Header!#REF!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Header!$B$77:$AK$82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L79" i="1989" l="1"/>
  <c r="F79" i="1989"/>
  <c r="C79" i="1989"/>
  <c r="C80" i="1989"/>
  <c r="M79" i="1989"/>
  <c r="K80" i="1989" l="1"/>
  <c r="F80" i="1989"/>
  <c r="C47" i="1989" l="1"/>
  <c r="F78" i="763" l="1"/>
  <c r="L94" i="1989" l="1"/>
  <c r="F94" i="1989"/>
  <c r="T33" i="1988" l="1"/>
  <c r="L47" i="1989" l="1"/>
  <c r="F10" i="1989" l="1"/>
  <c r="C60" i="763" l="1"/>
  <c r="Y14" i="763" l="1"/>
  <c r="R14" i="763"/>
  <c r="AA14" i="763" s="1"/>
  <c r="AB14" i="763" s="1"/>
  <c r="AC14" i="763" s="1"/>
  <c r="C30" i="1989" l="1"/>
  <c r="H67" i="1989" l="1"/>
  <c r="L67" i="1989"/>
  <c r="K66" i="1989"/>
  <c r="K67" i="1989" s="1"/>
  <c r="G67" i="1989" s="1"/>
  <c r="C67" i="1989"/>
  <c r="K68" i="1989"/>
  <c r="C68" i="1989"/>
  <c r="M48" i="659" l="1"/>
  <c r="M50" i="659"/>
  <c r="M51" i="659" s="1"/>
  <c r="M54" i="659" l="1"/>
  <c r="M55" i="659" s="1"/>
  <c r="P49" i="659"/>
  <c r="P53" i="659" s="1"/>
  <c r="G83" i="1989" l="1"/>
  <c r="C84" i="1989" l="1"/>
  <c r="M83" i="1989"/>
  <c r="N83" i="1989"/>
  <c r="L83" i="1989"/>
  <c r="K83" i="1989"/>
  <c r="F84" i="1989" s="1"/>
  <c r="H83" i="1989" s="1"/>
  <c r="C83" i="1989"/>
  <c r="K82" i="1989" l="1"/>
  <c r="K84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5" i="763"/>
  <c r="V1151" i="763"/>
  <c r="U1151" i="763"/>
  <c r="AS211" i="763"/>
  <c r="AR211" i="763"/>
  <c r="AQ211" i="763"/>
  <c r="AP211" i="763"/>
  <c r="AO211" i="763"/>
  <c r="AN211" i="763"/>
  <c r="AM211" i="763"/>
  <c r="AL211" i="763"/>
  <c r="AK211" i="763"/>
  <c r="AJ211" i="763"/>
  <c r="AI211" i="763"/>
  <c r="AH211" i="763"/>
  <c r="AF211" i="763"/>
  <c r="AE211" i="763"/>
  <c r="AD211" i="763"/>
  <c r="AC211" i="763"/>
  <c r="AB211" i="763"/>
  <c r="AA211" i="763"/>
  <c r="Z211" i="763"/>
  <c r="Y211" i="763"/>
  <c r="X211" i="763"/>
  <c r="W211" i="763"/>
  <c r="V211" i="763"/>
  <c r="U211" i="763"/>
  <c r="S211" i="763"/>
  <c r="R211" i="763"/>
  <c r="Q211" i="763"/>
  <c r="P211" i="763"/>
  <c r="O211" i="763"/>
  <c r="N211" i="763"/>
  <c r="M211" i="763"/>
  <c r="L211" i="763"/>
  <c r="K211" i="763"/>
  <c r="J211" i="763"/>
  <c r="I211" i="763"/>
  <c r="H211" i="763"/>
  <c r="F211" i="763"/>
  <c r="E211" i="763"/>
  <c r="D211" i="763"/>
  <c r="C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AT184" i="763"/>
  <c r="AG184" i="763"/>
  <c r="T184" i="763"/>
  <c r="G184" i="763"/>
  <c r="AT183" i="763"/>
  <c r="AG183" i="763"/>
  <c r="T183" i="763"/>
  <c r="G183" i="763"/>
  <c r="AT182" i="763"/>
  <c r="AG182" i="763"/>
  <c r="T182" i="763"/>
  <c r="G182" i="763"/>
  <c r="AT181" i="763"/>
  <c r="AG181" i="763"/>
  <c r="T181" i="763"/>
  <c r="G181" i="763"/>
  <c r="AT180" i="763"/>
  <c r="AG180" i="763"/>
  <c r="T180" i="763"/>
  <c r="G180" i="763"/>
  <c r="AT179" i="763"/>
  <c r="AG179" i="763"/>
  <c r="T179" i="763"/>
  <c r="G179" i="763"/>
  <c r="AT178" i="763"/>
  <c r="AG178" i="763"/>
  <c r="T178" i="763"/>
  <c r="G178" i="763"/>
  <c r="I96" i="763"/>
  <c r="I74" i="763"/>
  <c r="F61" i="763"/>
  <c r="F64" i="763" s="1"/>
  <c r="D60" i="763"/>
  <c r="F55" i="763"/>
  <c r="A55" i="763" s="1"/>
  <c r="F54" i="763"/>
  <c r="A54" i="763" s="1"/>
  <c r="D47" i="763"/>
  <c r="C1154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1" i="763" s="1"/>
  <c r="J27" i="763"/>
  <c r="C27" i="763"/>
  <c r="I19" i="763"/>
  <c r="G19" i="763"/>
  <c r="F19" i="763"/>
  <c r="F6" i="763"/>
  <c r="C6" i="763"/>
  <c r="L130" i="1989"/>
  <c r="L53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1" i="1989"/>
  <c r="C91" i="1989"/>
  <c r="K90" i="1989"/>
  <c r="K91" i="1989" s="1"/>
  <c r="K86" i="1989"/>
  <c r="F76" i="1989"/>
  <c r="K76" i="1989" s="1"/>
  <c r="C76" i="1989"/>
  <c r="M75" i="1989"/>
  <c r="L75" i="1989"/>
  <c r="C75" i="1989"/>
  <c r="F72" i="1989"/>
  <c r="K72" i="1989" s="1"/>
  <c r="C72" i="1989"/>
  <c r="M71" i="1989"/>
  <c r="L71" i="1989"/>
  <c r="C71" i="1989"/>
  <c r="K70" i="1989"/>
  <c r="K71" i="1989" s="1"/>
  <c r="C64" i="1989"/>
  <c r="L63" i="1989"/>
  <c r="C63" i="1989"/>
  <c r="K62" i="1989"/>
  <c r="K60" i="1989"/>
  <c r="K63" i="1989" s="1"/>
  <c r="N53" i="1989"/>
  <c r="F53" i="1989"/>
  <c r="C53" i="1989"/>
  <c r="C51" i="1989"/>
  <c r="K49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4" i="1989" s="1"/>
  <c r="K75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K78" i="1989" l="1"/>
  <c r="K79" i="1989" s="1"/>
  <c r="K94" i="1989"/>
  <c r="AU178" i="763"/>
  <c r="AU180" i="763"/>
  <c r="AU182" i="763"/>
  <c r="AU184" i="763"/>
  <c r="AU186" i="763"/>
  <c r="AU188" i="763"/>
  <c r="AU190" i="763"/>
  <c r="AU192" i="763"/>
  <c r="AU194" i="763"/>
  <c r="AU196" i="763"/>
  <c r="AU198" i="763"/>
  <c r="AU200" i="763"/>
  <c r="AU202" i="763"/>
  <c r="AU204" i="763"/>
  <c r="AU206" i="763"/>
  <c r="AU208" i="763"/>
  <c r="AU210" i="763"/>
  <c r="AU205" i="763"/>
  <c r="T211" i="763"/>
  <c r="K44" i="1989"/>
  <c r="K47" i="1989" s="1"/>
  <c r="K40" i="1989"/>
  <c r="AG211" i="763"/>
  <c r="AT211" i="763"/>
  <c r="AU179" i="763"/>
  <c r="AU181" i="763"/>
  <c r="AU183" i="763"/>
  <c r="AU185" i="763"/>
  <c r="C32" i="763"/>
  <c r="D27" i="763" s="1"/>
  <c r="AU187" i="763"/>
  <c r="AU189" i="763"/>
  <c r="AU191" i="763"/>
  <c r="AU193" i="763"/>
  <c r="AU195" i="763"/>
  <c r="AU197" i="763"/>
  <c r="AU199" i="763"/>
  <c r="AU201" i="763"/>
  <c r="J32" i="763"/>
  <c r="L31" i="763" s="1"/>
  <c r="G211" i="763"/>
  <c r="AU203" i="763"/>
  <c r="AU207" i="763"/>
  <c r="AU209" i="763"/>
  <c r="A68" i="763"/>
  <c r="J1154" i="763"/>
  <c r="J1155" i="763"/>
  <c r="C1152" i="763"/>
  <c r="J1152" i="763"/>
  <c r="C1153" i="763"/>
  <c r="J1153" i="763"/>
  <c r="C1151" i="763"/>
  <c r="K22" i="1989"/>
  <c r="K41" i="1989"/>
  <c r="K50" i="1989"/>
  <c r="K51" i="1989"/>
  <c r="K23" i="1989"/>
  <c r="K15" i="1989"/>
  <c r="K18" i="1989"/>
  <c r="K53" i="1989"/>
  <c r="K21" i="1989"/>
  <c r="AU211" i="763" l="1"/>
  <c r="D29" i="763"/>
  <c r="L30" i="763"/>
  <c r="L28" i="763"/>
  <c r="L27" i="763"/>
  <c r="L29" i="763"/>
  <c r="C1156" i="763"/>
  <c r="D1152" i="763" s="1"/>
  <c r="D30" i="763"/>
  <c r="J1156" i="763"/>
  <c r="L1155" i="763" s="1"/>
  <c r="D28" i="763"/>
  <c r="D31" i="763"/>
  <c r="D1153" i="763" l="1"/>
  <c r="D1151" i="763"/>
  <c r="D1154" i="763"/>
  <c r="D1155" i="763"/>
  <c r="L1152" i="763"/>
  <c r="L1154" i="763"/>
  <c r="L1153" i="763"/>
  <c r="L1151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<sst xmlns="http://schemas.openxmlformats.org/spreadsheetml/2006/main" count="2930" uniqueCount="1363">
  <si>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</si>
  <si>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</si>
  <si>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</si>
  <si>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</si>
  <si>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</si>
  <si>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</si>
  <si>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</si>
  <si>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</si>
  <si>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</si>
  <si>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</si>
  <si>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</si>
  <si>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</si>
  <si>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</si>
  <si>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</si>
  <si>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</si>
  <si>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</si>
  <si>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</si>
  <si>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</si>
  <si>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</si>
  <si>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</si>
  <si>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</si>
  <si>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</si>
  <si>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</si>
  <si>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</si>
  <si>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</si>
  <si>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</si>
  <si>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</si>
  <si>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</si>
  <si>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</si>
  <si>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</si>
  <si>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</si>
  <si>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</si>
  <si>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</si>
  <si>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</si>
  <si>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</si>
  <si>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</si>
  <si>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</si>
  <si>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</si>
  <si>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</si>
  <si>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</si>
  <si>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</si>
  <si>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</si>
  <si>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</si>
  <si>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</si>
  <si>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</si>
  <si>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</si>
  <si>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</si>
  <si>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</si>
  <si>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</si>
  <si>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</si>
  <si>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</si>
  <si>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</si>
  <si>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</si>
  <si>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</si>
  <si>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</si>
  <si>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</si>
  <si>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</si>
  <si>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</si>
  <si>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</si>
  <si>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</si>
  <si>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</si>
  <si>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</si>
  <si>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</si>
  <si>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</si>
  <si>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</si>
  <si>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</si>
  <si>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</si>
  <si>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</si>
  <si>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</si>
  <si>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</si>
  <si>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</si>
  <si>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</si>
  <si>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</si>
  <si>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</si>
  <si>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</si>
  <si>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</si>
  <si>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</si>
  <si>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</si>
  <si>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</si>
  <si>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</si>
  <si>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</si>
  <si>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</si>
  <si>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</si>
  <si>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</si>
  <si>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</si>
  <si>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</si>
  <si>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</si>
  <si>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</si>
  <si>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</si>
  <si>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</si>
  <si>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</si>
  <si>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</si>
  <si>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</si>
  <si>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</si>
  <si>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</si>
  <si>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</si>
  <si>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</si>
  <si>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</si>
  <si>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</si>
  <si>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</si>
  <si>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</si>
  <si>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</si>
  <si>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</si>
  <si>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</si>
  <si>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</si>
  <si>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</si>
  <si>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</si>
  <si>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</si>
  <si>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</si>
  <si>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</si>
  <si>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</si>
  <si>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</si>
  <si>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</si>
  <si>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</si>
  <si>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</si>
  <si>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</si>
  <si>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</si>
  <si>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</si>
  <si>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</si>
  <si>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</si>
  <si>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</si>
  <si>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</si>
  <si>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</si>
  <si>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</si>
  <si>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</si>
  <si>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</si>
  <si>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</si>
  <si>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</si>
  <si>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</si>
  <si>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</si>
  <si>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</si>
  <si>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</si>
  <si>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</si>
  <si>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</si>
  <si>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</si>
  <si>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</si>
  <si>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</si>
  <si>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</si>
  <si>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</si>
  <si>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</si>
  <si>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</si>
  <si>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</si>
  <si>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</si>
  <si>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</si>
  <si>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</si>
  <si>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</si>
  <si>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</si>
  <si>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</si>
  <si>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</si>
  <si>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</si>
  <si>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</si>
  <si>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</si>
  <si>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</si>
  <si>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</si>
  <si>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</si>
  <si>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</si>
  <si>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</si>
  <si>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</si>
  <si>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</si>
  <si>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</si>
  <si>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</si>
  <si>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</si>
  <si>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</si>
  <si>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</si>
  <si>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</si>
  <si>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</si>
  <si>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</si>
  <si>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</si>
  <si>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</si>
  <si>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</si>
  <si>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</si>
  <si>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</si>
  <si>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</si>
  <si>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</si>
  <si>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</si>
  <si>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</si>
  <si>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</si>
  <si>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</si>
  <si>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</si>
  <si>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</si>
  <si>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</si>
  <si>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</si>
  <si>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</si>
  <si>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</si>
  <si>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</si>
  <si>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</si>
  <si>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</si>
  <si>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</si>
  <si>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</si>
  <si>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</si>
  <si>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</si>
  <si>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</si>
  <si>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</si>
  <si>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</si>
  <si>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</si>
  <si>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</si>
  <si>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</si>
  <si>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</si>
  <si>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</si>
  <si>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</si>
  <si>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</si>
  <si>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</si>
  <si>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</si>
  <si>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</si>
  <si>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</si>
  <si>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</si>
  <si>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</si>
  <si>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</si>
  <si>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</si>
  <si>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</si>
  <si>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</si>
  <si>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</si>
  <si>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</si>
  <si>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</si>
  <si>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</si>
  <si>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</si>
  <si>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</si>
  <si>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</si>
  <si>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</si>
  <si>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</si>
  <si>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</si>
  <si>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</si>
  <si>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</si>
  <si>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</si>
  <si>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</si>
  <si>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</si>
  <si>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</si>
  <si>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</si>
  <si>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</si>
  <si>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</si>
  <si>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</si>
  <si>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</si>
  <si>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</si>
  <si>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</si>
  <si>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</si>
  <si>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</si>
  <si>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</si>
  <si>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</si>
  <si>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</si>
  <si>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</si>
  <si>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</si>
  <si>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</si>
  <si>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</si>
  <si>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</si>
  <si>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</si>
  <si>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</si>
  <si>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</si>
  <si>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</si>
  <si>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</si>
  <si>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</si>
  <si>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</si>
  <si>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</si>
  <si>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</si>
  <si>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</si>
  <si>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</si>
  <si>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</si>
  <si>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</si>
  <si>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</si>
  <si>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</si>
  <si>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</si>
  <si>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</si>
  <si>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</si>
  <si>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</si>
  <si>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</si>
  <si>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</si>
  <si>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</si>
  <si>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</si>
  <si>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</si>
  <si>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</si>
  <si>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</si>
  <si>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</si>
  <si>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</si>
  <si>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</si>
  <si>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</si>
  <si>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</si>
  <si>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</si>
  <si>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</si>
  <si>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</si>
  <si>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</si>
  <si>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</si>
  <si>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</si>
  <si>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</si>
  <si>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</si>
  <si>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</si>
  <si>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</si>
  <si>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</si>
  <si>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</si>
  <si>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</si>
  <si>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</si>
  <si>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</si>
  <si>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</si>
  <si>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</si>
  <si>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</si>
  <si>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</si>
  <si>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</si>
  <si>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</si>
  <si>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</si>
  <si>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</si>
  <si>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</si>
  <si>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</si>
  <si>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</si>
  <si>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</si>
  <si>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</si>
  <si>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</si>
  <si>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</si>
  <si>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</si>
  <si>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</si>
  <si>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</si>
  <si>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</si>
  <si>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</si>
  <si>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</si>
  <si>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</si>
  <si>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</si>
  <si>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</si>
  <si>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</si>
  <si>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</si>
  <si>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</si>
  <si>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</si>
  <si>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</si>
  <si>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</si>
  <si>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</si>
  <si>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</si>
  <si>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</si>
  <si>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</si>
  <si>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</si>
  <si>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</si>
  <si>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</si>
  <si>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</si>
  <si>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</si>
  <si>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</si>
  <si>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</si>
  <si>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</si>
  <si>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</si>
  <si>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</si>
  <si>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</si>
  <si>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</si>
  <si>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</si>
  <si>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</si>
  <si>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</si>
  <si>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</si>
  <si>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</si>
  <si>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</si>
  <si>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</si>
  <si>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</si>
  <si>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</si>
  <si>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</si>
  <si>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</si>
  <si>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</si>
  <si>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</si>
  <si>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</si>
  <si>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</si>
  <si>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</si>
  <si>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</si>
  <si>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</si>
  <si>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</si>
  <si>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</si>
  <si>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</si>
  <si>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</si>
  <si>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</si>
  <si>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</si>
  <si>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</si>
  <si>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</si>
  <si>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</si>
  <si>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</si>
  <si>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</si>
  <si>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</si>
  <si>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</si>
  <si>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</si>
  <si>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</si>
  <si>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</si>
  <si>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</si>
  <si>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</si>
  <si>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</si>
  <si>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</si>
  <si>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</si>
  <si>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</si>
  <si>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</si>
  <si>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</si>
  <si>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</si>
  <si>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</si>
  <si>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</si>
  <si>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</si>
  <si>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</si>
  <si>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</si>
  <si>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</si>
  <si>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</si>
  <si>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</si>
  <si>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</si>
  <si>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</si>
  <si>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</si>
  <si>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</si>
  <si>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</si>
  <si>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</si>
  <si>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</si>
  <si>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</si>
  <si>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</si>
  <si>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</si>
  <si>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</si>
  <si>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</si>
  <si>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</si>
  <si>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</si>
  <si>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</si>
  <si>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</si>
  <si>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</si>
  <si>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</si>
  <si>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</si>
  <si>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</si>
  <si>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</si>
  <si>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</si>
  <si>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</si>
  <si>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</si>
  <si>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</si>
  <si>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</si>
  <si>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</si>
  <si>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</si>
  <si>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</si>
  <si>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</si>
  <si>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</si>
  <si>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</si>
  <si>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</si>
  <si>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</si>
  <si>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</si>
  <si>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</si>
  <si>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</si>
  <si>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</si>
  <si>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</si>
  <si>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</si>
  <si>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</si>
  <si>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</si>
  <si>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</si>
  <si>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</si>
  <si>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</si>
  <si>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</si>
  <si>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</si>
  <si>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</si>
  <si>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</si>
  <si>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</si>
  <si>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</si>
  <si>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</si>
  <si>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</si>
  <si>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</si>
  <si>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</si>
  <si>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</si>
  <si>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</si>
  <si>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</si>
  <si>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</si>
  <si>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</si>
  <si>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</si>
  <si>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</si>
  <si>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</si>
  <si>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</si>
  <si>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</si>
  <si>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</si>
  <si>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</si>
  <si>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</si>
  <si>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</si>
  <si>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</si>
  <si>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</si>
  <si>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</si>
  <si>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</si>
  <si>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</si>
  <si>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</si>
  <si>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</si>
  <si>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</si>
  <si>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</si>
  <si>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</si>
  <si>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</si>
  <si>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</si>
  <si>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</si>
  <si>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</si>
  <si>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</si>
  <si>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</si>
  <si>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</si>
  <si>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</si>
  <si>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</si>
  <si>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</si>
  <si>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</si>
  <si>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</si>
  <si>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</si>
  <si>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</si>
  <si>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</si>
  <si>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</si>
  <si>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</si>
  <si>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</si>
  <si>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</si>
  <si>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</si>
  <si>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</si>
  <si>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</si>
  <si>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</si>
  <si>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</si>
  <si>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</si>
  <si>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</si>
  <si>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</si>
  <si>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</si>
  <si>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</si>
  <si>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</si>
  <si>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</si>
  <si>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</si>
  <si>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</si>
  <si>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</si>
  <si>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</si>
  <si>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</si>
  <si>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</si>
  <si>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</si>
  <si>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</si>
  <si>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</si>
  <si>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</si>
  <si>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</si>
  <si>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</si>
  <si>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</si>
  <si>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</si>
  <si>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</si>
  <si>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</si>
  <si>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</si>
  <si>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</si>
  <si>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</si>
  <si>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</si>
  <si>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</si>
  <si>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</si>
  <si>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</si>
  <si>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</si>
  <si>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</si>
  <si>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</si>
  <si>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</si>
  <si>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</si>
  <si>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</si>
  <si>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</si>
  <si>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</si>
  <si>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</si>
  <si>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</si>
  <si>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</si>
  <si>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</si>
  <si>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</si>
  <si>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</si>
  <si>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</si>
  <si>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</si>
  <si>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</si>
  <si>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</si>
  <si>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</si>
  <si>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</si>
  <si>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</si>
  <si>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</si>
  <si>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</si>
  <si>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</si>
  <si>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</si>
  <si>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</si>
  <si>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</si>
  <si>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</si>
  <si>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</si>
  <si>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</si>
  <si>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</si>
  <si>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</si>
  <si>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</si>
  <si>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</si>
  <si>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</si>
  <si>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</si>
  <si>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</si>
  <si>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</si>
  <si>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</si>
  <si>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</si>
  <si>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</si>
  <si>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</si>
  <si>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</si>
  <si>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</si>
  <si>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</si>
  <si>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</si>
  <si>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</si>
  <si>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</si>
  <si>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</si>
  <si>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</si>
  <si>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</si>
  <si>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</si>
  <si>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</si>
  <si>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</si>
  <si>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</si>
  <si>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</si>
  <si>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</si>
  <si>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</si>
  <si>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</si>
  <si>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</si>
  <si>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</si>
  <si>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</si>
  <si>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</si>
  <si>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</si>
  <si>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</si>
  <si>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</si>
  <si>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</si>
  <si>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</si>
  <si>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</si>
  <si>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</si>
  <si>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</si>
  <si>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</si>
  <si>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</si>
  <si>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</si>
  <si>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</si>
  <si>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</si>
  <si>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</si>
  <si>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</si>
  <si>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</si>
  <si>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</si>
  <si>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</si>
  <si>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</si>
  <si>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</si>
  <si>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</si>
  <si>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</si>
  <si>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</si>
  <si>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</si>
  <si>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</si>
  <si>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</si>
  <si>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</si>
  <si>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</si>
  <si>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</si>
  <si>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</si>
  <si>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</si>
  <si>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</si>
  <si>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</si>
  <si>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</si>
  <si>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</si>
  <si>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</si>
  <si>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</si>
  <si>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</si>
  <si>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</si>
  <si>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</si>
  <si>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</si>
  <si>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</si>
  <si>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</si>
  <si>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</si>
  <si>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</si>
  <si>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</si>
  <si>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</si>
  <si>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</si>
  <si>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</si>
  <si>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</si>
  <si>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</si>
  <si>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</si>
  <si>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</si>
  <si>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</si>
  <si>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</si>
  <si>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</si>
  <si>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</si>
  <si>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</si>
  <si>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</si>
  <si>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</si>
  <si>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</si>
  <si>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</si>
  <si>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</si>
  <si>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</si>
  <si>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</si>
  <si>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</si>
  <si>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</si>
  <si>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</si>
  <si>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</si>
  <si>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</si>
  <si>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</si>
  <si>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</si>
  <si>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</si>
  <si>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</si>
  <si>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</si>
  <si>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</si>
  <si>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</si>
  <si>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</si>
  <si>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</si>
  <si>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</si>
  <si>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</si>
  <si>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</si>
  <si>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</si>
  <si>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</si>
  <si>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</si>
  <si>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</si>
  <si>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</si>
  <si>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</si>
  <si>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</si>
  <si>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</si>
  <si>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</si>
  <si>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</si>
  <si>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</si>
  <si>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</si>
  <si>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</si>
  <si>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</si>
  <si>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</si>
  <si>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</si>
  <si>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</si>
  <si>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</si>
  <si>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</si>
  <si>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</si>
  <si>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</si>
  <si>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</si>
  <si>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</si>
  <si>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</si>
  <si>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</si>
  <si>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</si>
  <si>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</si>
  <si>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</si>
  <si>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</si>
  <si>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</si>
  <si>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</si>
  <si>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</si>
  <si>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</si>
  <si>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</si>
  <si>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</si>
  <si>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</si>
  <si>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</si>
  <si>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</si>
  <si>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</si>
  <si>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</si>
  <si>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</si>
  <si>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</si>
  <si>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</si>
  <si>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</si>
  <si>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</si>
  <si>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</si>
  <si>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</si>
  <si>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</si>
  <si>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</si>
  <si>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</si>
  <si>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</si>
  <si>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</si>
  <si>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</si>
  <si>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</si>
  <si>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</si>
  <si>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</si>
  <si>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</si>
  <si>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</si>
  <si>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</si>
  <si>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</si>
  <si>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</si>
  <si>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</si>
  <si>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</si>
  <si>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</si>
  <si>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</si>
  <si>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</si>
  <si>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</si>
  <si>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</si>
  <si>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</si>
  <si>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</si>
  <si>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</si>
  <si>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</si>
  <si>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</si>
  <si>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</si>
  <si>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</si>
  <si>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</si>
  <si>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</si>
  <si>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</si>
  <si>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</si>
  <si>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</si>
  <si>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</si>
  <si>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</si>
  <si>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</si>
  <si>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</si>
  <si>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</si>
  <si>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</si>
  <si>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</si>
  <si>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</si>
  <si>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</si>
  <si>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</si>
  <si>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</si>
  <si>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</si>
  <si>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</si>
  <si>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</si>
  <si>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</si>
  <si>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</si>
  <si>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</si>
  <si>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</si>
  <si>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</si>
  <si>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</si>
  <si>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</si>
  <si>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</si>
  <si>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</si>
  <si>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</si>
  <si>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</si>
  <si>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</si>
  <si>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</si>
  <si>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</si>
  <si>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</si>
  <si>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</si>
  <si>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</si>
  <si>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</si>
  <si>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</si>
  <si>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</si>
  <si>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</si>
  <si>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</si>
  <si>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</si>
  <si>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</si>
  <si>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</si>
  <si>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</si>
  <si>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</si>
  <si>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</si>
  <si>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</si>
  <si>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</si>
  <si>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</si>
  <si>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</si>
  <si>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</si>
  <si>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</si>
  <si>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</si>
  <si>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</si>
  <si>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</si>
  <si>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</si>
  <si>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</si>
  <si>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</si>
  <si>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</si>
  <si>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</si>
  <si>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</si>
  <si>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</si>
  <si>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</si>
  <si>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</si>
  <si>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</si>
  <si>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</si>
  <si>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</si>
  <si>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</si>
  <si>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</si>
  <si>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</si>
  <si>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</si>
  <si>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</si>
  <si>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</si>
  <si>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</si>
  <si>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</si>
  <si>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</si>
  <si>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</si>
  <si>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</si>
  <si>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</si>
  <si>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</si>
  <si>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</si>
  <si>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</si>
  <si>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</si>
  <si>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</si>
  <si>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</si>
  <si>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</si>
  <si>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</si>
  <si>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</si>
  <si>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</si>
  <si>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</si>
  <si>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</si>
  <si>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</si>
  <si>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</si>
  <si>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</si>
  <si>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</si>
  <si>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</si>
  <si>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</si>
  <si>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</si>
  <si>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</si>
  <si>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</si>
  <si>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</si>
  <si>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</si>
  <si>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</si>
  <si>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</si>
  <si>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</si>
  <si>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</si>
  <si>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</si>
  <si>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</si>
  <si>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</si>
  <si>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</si>
  <si>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</si>
  <si>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</si>
  <si>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</si>
  <si>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</si>
  <si>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</si>
  <si>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</si>
  <si>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</si>
  <si>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</si>
  <si>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</si>
  <si>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</si>
  <si>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</si>
  <si>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</si>
  <si>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</si>
  <si>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</si>
  <si>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</si>
  <si>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</si>
  <si>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</si>
  <si>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</si>
  <si>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</si>
  <si>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</si>
  <si>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</si>
  <si>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</si>
  <si>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</si>
  <si>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</si>
  <si>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</si>
  <si>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</si>
  <si>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</si>
  <si>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</si>
  <si>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</si>
  <si>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</si>
  <si>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</si>
  <si>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</si>
  <si>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</si>
  <si>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</si>
  <si>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</si>
  <si>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</si>
  <si>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</si>
  <si>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</si>
  <si>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</si>
  <si>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</si>
  <si>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</si>
  <si>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</si>
  <si>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</si>
  <si>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</si>
  <si>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</si>
  <si>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</si>
  <si>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</si>
  <si>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</si>
  <si>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</si>
  <si>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</si>
  <si>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</si>
  <si>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</si>
  <si>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</si>
  <si>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</si>
  <si>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</si>
  <si>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</si>
  <si>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</si>
  <si>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</si>
  <si>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</si>
  <si>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</si>
  <si>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</si>
  <si>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</si>
  <si>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</si>
  <si>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</si>
  <si>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</si>
  <si>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</si>
  <si>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</si>
  <si>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</si>
  <si>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</si>
  <si>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</si>
  <si>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</si>
  <si>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</si>
  <si>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</si>
  <si>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</si>
  <si>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</si>
  <si>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</si>
  <si>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</si>
  <si>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</si>
  <si>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</si>
  <si>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</si>
  <si>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</si>
  <si>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</si>
  <si>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</si>
  <si>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</si>
  <si>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</si>
  <si>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</si>
  <si>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</si>
  <si>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</si>
  <si>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</si>
  <si>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</si>
  <si>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</si>
  <si>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</si>
  <si>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</si>
  <si>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</si>
  <si>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</si>
  <si>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</si>
  <si>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</si>
  <si>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</si>
  <si>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</si>
  <si>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</si>
  <si>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</si>
  <si>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</si>
  <si>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</si>
  <si>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</si>
  <si>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</si>
  <si>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</si>
  <si>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</si>
  <si>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</si>
  <si>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</si>
  <si>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</si>
  <si>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</si>
  <si>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</si>
  <si>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</si>
  <si>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</si>
  <si>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</si>
  <si>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</si>
  <si>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</si>
  <si>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</si>
  <si>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</si>
  <si>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</si>
  <si>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</si>
  <si>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</si>
  <si>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</si>
  <si>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</si>
  <si>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</si>
  <si>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</si>
  <si>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</si>
  <si>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</si>
  <si>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</si>
  <si>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</si>
  <si>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</si>
  <si>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</si>
  <si>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</si>
  <si>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</si>
  <si>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</si>
  <si>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</si>
  <si>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</si>
  <si>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</si>
  <si>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</si>
  <si>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</si>
  <si>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</si>
  <si>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</si>
  <si>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</si>
  <si>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</si>
  <si>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</si>
  <si>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</si>
  <si>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</si>
  <si>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</si>
  <si>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</si>
  <si>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</si>
  <si>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</si>
  <si>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</si>
  <si>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</si>
  <si>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</si>
  <si>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</si>
  <si>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</si>
  <si>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</si>
  <si>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</si>
  <si>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</si>
  <si>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</si>
  <si>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</si>
  <si>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</si>
  <si>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</si>
  <si>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</si>
  <si>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</si>
  <si>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</si>
  <si>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</si>
  <si>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</si>
  <si>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</si>
  <si>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</si>
  <si>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</si>
  <si>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</si>
  <si>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</si>
  <si>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</si>
  <si>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</si>
  <si>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</si>
  <si>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</si>
  <si>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</si>
  <si>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</si>
  <si>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</si>
  <si>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</si>
  <si>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</si>
  <si>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</si>
  <si>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</si>
  <si>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</si>
  <si>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</si>
  <si>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</si>
  <si>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</si>
  <si>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</si>
  <si>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</si>
  <si>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</si>
  <si>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</si>
  <si>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</si>
  <si>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</si>
  <si>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</si>
  <si>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</si>
  <si>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</si>
  <si>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</si>
  <si>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</si>
  <si>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</si>
  <si>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</si>
  <si>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</si>
  <si>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</si>
  <si>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</si>
  <si>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</si>
  <si>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</si>
  <si>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</si>
  <si>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</si>
  <si>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</si>
  <si>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</si>
  <si>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</si>
  <si>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</si>
  <si>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</si>
  <si>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</si>
  <si>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</si>
  <si>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</si>
  <si>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</si>
  <si>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</si>
  <si>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</si>
  <si>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</si>
  <si>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</si>
  <si>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</si>
  <si>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</si>
  <si>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</si>
  <si>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</si>
  <si>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</si>
  <si>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</si>
  <si>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</si>
  <si>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</si>
  <si>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</si>
  <si>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</si>
  <si>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</si>
  <si>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</si>
  <si>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</si>
  <si>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</si>
  <si>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</si>
  <si>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</si>
  <si>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</si>
  <si>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</si>
  <si>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</si>
  <si>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</si>
  <si>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</si>
  <si>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&lt;! ERROR !&gt; Неизвестный тип товара нормативный документ рд5р.6207-93 электронная версия/1;нормативный документ ост5р.9613-84 электронная версия/1;нормативный документ рд5.0663-90 электронная версия/1;нормативный документ ост5р.6180-81 электронная версия/1;</t>
  </si>
  <si>
    <t>&lt;! ERROR !&gt; Неизвестный тип товара панель lfd samsung 460ut-b black 46"/1;</t>
  </si>
  <si>
    <t>&lt;! ERROR !&gt; Неизвестный тип товара коммутатор extron dvs 605 (60-1059-01)/1;</t>
  </si>
  <si>
    <t>&lt;! ERROR !&gt; Неизвестный тип товара закрепитель z-bond 90 cyanoacrylate, 2 кг. (50349)/2;</t>
  </si>
  <si>
    <t>MoveToMatch: В файл 'SFDC.xlsx' загружен новый отчет 'SF'; EOL=4503 строк, в прежнем 4492</t>
  </si>
  <si>
    <t>adapt profile: total = 16,76_x000D_
By steps =  15,84 0,03</t>
  </si>
  <si>
    <t>adapt profile: total = 121,24_x000D_
By steps =  13,33 0,03 10,70 4,80 0,04 0,01 0,01 0,01 0,02 0,01 0,02 0,02 0,02 0,03 0,01 0,01 0,02 0,00 0,00 0,02 0,00 0,00 0,02 0,03 0,02 0,00 0,01 0,00 0,02 0,71 52,11 4,79 6,00 6,73 6,04 7,95 6,18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</si>
  <si>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</si>
  <si>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MoveToMatch: В файл 'SFDC.xlsx' загружен новый отчет 'SForders'; EOL=359 строк, в прежнем 359</t>
  </si>
  <si>
    <t>SForders/12:7/0</t>
  </si>
  <si>
    <t>MoveToMatch: В файл 'Stock.xlsx' загружен новый отчет 'Заказы'; EOL=1655 строк, в прежнем 1634</t>
  </si>
  <si>
    <t>&lt;! ERROR !&gt; GetRep.CheckStamp&gt; Не найден Штамп в Документе ''_x000D_
_x000D_
Этот Документ надо загрузить в match заново или _x000D_
исправить параметры в TOCmatch.</t>
  </si>
  <si>
    <t>MoveToMatch: В файл 'Stock.xlsx' загружен новый отчет 'Заказы'; EOL=1655 строк, в прежнем 1655</t>
  </si>
  <si>
    <t>ВНИМАНИЕ:&lt;&gt; Процесс LOAD_Order перед выполнением Шага GetInv1C</t>
  </si>
  <si>
    <t>SForders/12:4/0</t>
  </si>
  <si>
    <t>SForders/12:11/0</t>
  </si>
  <si>
    <t>SForders/12:5/0</t>
  </si>
  <si>
    <t>MoveToMatch: В файл 'SFDC.xlsx' загружен новый отчет 'SForders'; EOL=596 строк, в прежнем 359</t>
  </si>
  <si>
    <t>ВНИМАНИЕ:&lt;&gt; Процесс LOAD_Order перед выполнением Шага Adapt</t>
  </si>
  <si>
    <t>&lt;! ERROR !&gt; Adapter&gt; Не существует GetInv1C</t>
  </si>
  <si>
    <t>adapt profile: total = 8,25_x000D_
By steps =  1,54 0,39 0,30 1,19 0,01 1,00 1,11 0,41 0,35 0,00 0,00 0,00 0,00 0,00 0,00 0,00 0,00 0,00 0,00 0,00 0,00 0,00 0,00 0,00 0,00 0,00 0,00 0,00 0,00 0,00 0,00 0,00 0,00 0,00 0,00 0,00</t>
  </si>
  <si>
    <t>SF/18:4/0</t>
  </si>
  <si>
    <t>SF/18:5/0</t>
  </si>
  <si>
    <t>SF/18:11/0</t>
  </si>
  <si>
    <t>SF/18:7/0</t>
  </si>
  <si>
    <t>MoveToMatch: В файл '1C.xlsx' загружен новый отчет 'Платежи'; EOL=5647 строк, в прежнем 5630</t>
  </si>
  <si>
    <t>adapt profile: total = 166,17_x000D_
By steps =  5,23 0,03 10,09 5,64 0,05 0,04 0,02 0,02 0,02 0,04 0,01 0,03 0,03 0,02 0,02 0,03 0,00 0,01 0,00 0,03 0,02 0,00 0,04 0,04 0,02 0,02 0,02 0,04 0,02 0,86 102,55 4,98 5,96 5,06 4,69 6,81 6,38</t>
  </si>
  <si>
    <t>Norma, строительство, нии лот, нормативный документ</t>
  </si>
  <si>
    <t>MoveToMatch: В файл '1C.xlsx' загружен новый отчет 'Договоры'; EOL=1300 строк, в прежнем 1293</t>
  </si>
  <si>
    <t>adapt profile: total = 4,14_x000D_
By steps =  1,01 0,49 0,45 0,01 0,00 0,00 0,46 0,01 0,00 0,00 0,00 0,00 0,00 0,00 0,00 0,01 0,00 0,00 0,01 0,02 0,01 0,00 0,01 0,02 0,01 0,00</t>
  </si>
  <si>
    <t>MoveToMatch: В файл 'SFDC.xlsx' загружен новый отчет 'SFopp'; EOL=3364 строк, в прежнем 3363</t>
  </si>
  <si>
    <t>MoveToMatch: В файл 'SFDC.xlsx' загружен новый отчет 'SFD'; EOL=1068 строк, в прежнем 1067</t>
  </si>
  <si>
    <t>adapt profile: total = 4,91_x000D_
By steps =  3,37 0,02</t>
  </si>
  <si>
    <t>adapt profile: total = 8,16_x000D_
By steps =  0,96 3,66 0,73 0,00 0,00 0,00 0,55 0,01 0,00 0,00 0,00 0,00 0,00 0,00 0,01 0,00 0,00 0,01 0,00 0,00 0,00 0,00 0,00 0,02 0,01 0,01</t>
  </si>
  <si>
    <t>MoveToMatch: В файл 'SFDC.xlsx' загружен новый отчет 'SF'; EOL=4505 строк, в прежнем 4503</t>
  </si>
  <si>
    <t>adapt profile: total = 17,53_x000D_
By steps =  11,16 0,10</t>
  </si>
  <si>
    <t>adapt profile: total = 77,95_x000D_
By steps =  16,13 0,08 17,47 3,38 0,05 0,03 0,05 0,03 0,02 0,03 0,02 0,01 0,03 0,02 0,02 0,01 0,03 0,03 0,02 0,01 0,01 0,00 0,02 0,02 0,00 0,05 0,02 0,02 0,01 0,76 4,24 3,37 3,00 3,55 3,23 7,21 6,87</t>
  </si>
  <si>
    <t>MoveToMatch: В файл 'SFDC.xlsx' загружен новый отчет 'ADSKfrSF'; EOL=1787 строк, в прежнем 1770</t>
  </si>
  <si>
    <t>MoveToMatch: В файл 'SFDC.xlsx' загружен новый отчет 'SForders'; EOL=599 строк, в прежнем 596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</si>
  <si>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</si>
  <si>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</si>
  <si>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</si>
  <si>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</si>
  <si>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</si>
  <si>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</si>
  <si>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</si>
  <si>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</si>
  <si>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</si>
  <si>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</si>
  <si>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</si>
  <si>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</si>
  <si>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</si>
  <si>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</si>
  <si>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6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</si>
  <si>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</si>
  <si>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</si>
  <si>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</si>
  <si>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</si>
  <si>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</si>
  <si>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</si>
  <si>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</si>
  <si>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</si>
  <si>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</si>
  <si>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</si>
  <si>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</si>
  <si>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</si>
  <si>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</si>
  <si>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</si>
  <si>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</si>
  <si>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</si>
  <si>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</si>
  <si>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</si>
  <si>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</si>
  <si>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</si>
  <si>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</si>
  <si>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</si>
  <si>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</si>
  <si>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</si>
  <si>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</si>
  <si>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</si>
  <si>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</si>
  <si>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</si>
  <si>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</si>
  <si>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</si>
  <si>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</si>
  <si>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</si>
  <si>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</si>
  <si>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</si>
  <si>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</si>
  <si>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</si>
  <si>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</si>
  <si>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</si>
  <si>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</si>
  <si>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</si>
  <si>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</si>
  <si>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</si>
  <si>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</si>
  <si>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</si>
  <si>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</si>
  <si>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</si>
  <si>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</si>
  <si>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</si>
  <si>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</si>
  <si>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</si>
  <si>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</si>
  <si>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</si>
  <si>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</si>
  <si>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</si>
  <si>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</si>
  <si>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</si>
  <si>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</si>
  <si>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</si>
  <si>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</si>
  <si>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</si>
  <si>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</si>
  <si>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</si>
  <si>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</si>
  <si>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</si>
  <si>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</si>
  <si>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</si>
  <si>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</si>
  <si>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</si>
  <si>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</si>
  <si>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</si>
  <si>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</si>
  <si>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</si>
  <si>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</si>
  <si>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</si>
  <si>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</si>
  <si>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</si>
  <si>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</si>
  <si>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</si>
  <si>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</si>
  <si>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</si>
  <si>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</si>
  <si>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</si>
  <si>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</si>
  <si>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</si>
  <si>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</si>
  <si>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</si>
  <si>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</si>
  <si>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</si>
  <si>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</si>
  <si>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</si>
  <si>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</si>
  <si>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</si>
  <si>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</si>
  <si>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</si>
  <si>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</si>
  <si>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</si>
  <si>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</si>
  <si>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</si>
  <si>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</si>
  <si>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</si>
  <si>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</si>
  <si>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</si>
  <si>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</si>
  <si>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</si>
  <si>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</si>
  <si>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</si>
  <si>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</si>
  <si>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</si>
  <si>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</si>
  <si>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</si>
  <si>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</si>
  <si>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</si>
  <si>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</si>
  <si>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</si>
  <si>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</si>
  <si>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</si>
  <si>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</si>
  <si>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</si>
  <si>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</si>
  <si>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</si>
  <si>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SFD/2:18(2013-1-41)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</si>
  <si>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</si>
  <si>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</si>
  <si>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</si>
  <si>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WrCSV&gt; в 'Payment.txt' записано 10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</si>
  <si>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</si>
  <si>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</si>
  <si>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</si>
  <si>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</si>
  <si>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</si>
  <si>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</si>
  <si>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</si>
  <si>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</si>
  <si>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</si>
  <si>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</si>
  <si>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</si>
  <si>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</si>
  <si>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</si>
  <si>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</si>
  <si>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</si>
  <si>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</si>
  <si>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</si>
  <si>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</si>
  <si>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</si>
  <si>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8,14_x000D_
By steps =  0,05 0,02 0,02 0,01 0,02 0,02 0,03 0,01</t>
  </si>
  <si>
    <t>WrCSV&gt; в 'Payment.txt' записано 23 строк.</t>
  </si>
  <si>
    <t>adapt profile: total = 8,23_x000D_
By steps =  0,05 0,02 0,02 0,01 0,03 0,02 0,03 0,00</t>
  </si>
  <si>
    <t>WrCSV&gt; в 'Payment.txt' записано 14 строк.</t>
  </si>
  <si>
    <t>MoveToMatch: В файл 'SFDC.xlsx' загружен новый отчет 'SF'; EOL=4516 строк, в прежнем 4505</t>
  </si>
  <si>
    <t>adapt profile: total = 18,91_x000D_
By steps =  11,61 0,03</t>
  </si>
  <si>
    <t>adapt profile: total = 83,21_x000D_
By steps =  17,34 0,09 18,98 3,59 0,03 0,02 0,05 0,01 0,02 0,02 0,02 0,02 0,02 0,02 0,01 0,02 0,03 0,02 0,01 0,01 0,02 0,01 0,01 0,03 0,01 0,02 0,02 0,02 0,01 1,02 4,50 3,63 3,12 3,49 3,30 7,55 7,52</t>
  </si>
  <si>
    <t>MoveToMatch: В файл 'SFDC.xlsx' загружен новый отчет 'SFD'; EOL=1073 строк, в прежнем 1068</t>
  </si>
  <si>
    <t>adapt profile: total = 4,17_x000D_
By steps =  2,88 0,02</t>
  </si>
  <si>
    <t>adapt profile: total = 7,59_x000D_
By steps =  1,12 3,23 0,73 0,00 0,00 0,01 0,56 0,02 0,02 0,00 0,00 0,01 0,01 0,00 0,01 0,01 0,00 0,01 0,01 0,01 0,00 0,00 0,00 0,00 0,00 0,00</t>
  </si>
  <si>
    <t>MoveToMatch: В файл 'SFDC.xlsx' загружен новый отчет 'SF'; EOL=4520 строк, в прежнем 4516</t>
  </si>
  <si>
    <t>adapt profile: total = 18,78_x000D_
By steps =  11,63 0,07</t>
  </si>
  <si>
    <t>adapt profile: total = 87,48_x000D_
By steps =  16,66 0,14 18,49 4,15 0,06 0,01 0,01 0,02 0,03 0,03 0,02 0,02 0,02 0,02 0,02 0,03 0,03 0,01 0,03 0,02 0,01 0,02 0,02 0,02 0,01 0,02 0,02 0,02 0,02 0,74 4,62 3,84 3,87 4,05 4,18 9,03 8,57</t>
  </si>
  <si>
    <t>MoveToMatch: В файл 'SFDC.xlsx' загружен новый отчет 'SF'; EOL=4522 строк, в прежнем 4520</t>
  </si>
  <si>
    <t>adapt profile: total = 20,58_x000D_
By steps =  13,36 0,09</t>
  </si>
  <si>
    <t>adapt profile: total = 87,46_x000D_
By steps =  16,42 0,09 18,72 4,56 0,01 0,00 0,05 0,07 0,02 0,02 0,04 0,03 0,00 0,00 0,02 0,00 0,02 0,01 0,01 0,02 0,01 0,02 0,02 0,01 0,01 0,05 0,02 0,01 0,02 0,84 4,75 3,94 3,99 4,02 3,80 8,95 8,27</t>
  </si>
  <si>
    <t>MoveToMatch: В файл 'SFDC.xlsx' загружен новый отчет 'SFD'; EOL=1073 строк, в прежнем 1073</t>
  </si>
  <si>
    <t>adapt profile: total = 5,09_x000D_
By steps =  3,13 0,03</t>
  </si>
  <si>
    <t>adapt profile: total = 8,48_x000D_
By steps =  1,08 3,91 0,68 0,00 0,01 0,00 0,64 0,00 0,00 0,00 0,00 0,01 0,00 0,00 0,01 0,02 0,00 0,00 0,00 0,00 0,00 0,00 0,00 0,00 0,01 0,01</t>
  </si>
  <si>
    <t>MoveToMatch: В файл 'SFDC.xlsx' загружен новый отчет 'SFopp'; EOL=3366 строк, в прежнем 3364</t>
  </si>
  <si>
    <t>MoveToMatch: В файл 'SFDC.xlsx' загружен новый отчет 'SF'; EOL=4525 строк, в прежнем 4522</t>
  </si>
  <si>
    <t>adapt profile: total = 21,88_x000D_
By steps =  14,20 0,09</t>
  </si>
  <si>
    <t>adapt profile: total = 88,88_x000D_
By steps =  16,89 0,13 18,40 4,73 0,05 0,02 0,04 0,03 0,02 0,02 0,02 0,02 0,02 0,02 0,04 0,02 0,03 0,03 0,04 0,00 0,02 0,03 0,02 0,02 0,02 0,04 0,01 0,04 0,02 0,85 4,68 3,75 4,00 4,28 3,87 9,21 8,99</t>
  </si>
  <si>
    <t>MoveToMatch: В файл 'SFDC.xlsx' загружен новый отчет 'SFopp'; EOL=3366 строк, в прежнем 3366</t>
  </si>
  <si>
    <t>MoveToMatch: В файл 'SFDC.xlsx' загружен новый отчет 'SFopp'; EOL=3369 строк, в прежнем 3366</t>
  </si>
  <si>
    <t>MoveToMatch: В файл 'SFDC.xlsx' загружен новый отчет 'SF'; EOL=4528 строк, в прежнем 4525</t>
  </si>
  <si>
    <t>adapt profile: total = 18,31_x000D_
By steps =  12,23 0,05</t>
  </si>
  <si>
    <t>adapt profile: total = 86,57_x000D_
By steps =  16,52 0,10 19,19 4,01 0,05 0,04 0,02 0,01 0,02 0,02 0,02 0,02 0,02 0,00 0,01 0,02 0,02 0,02 0,02 0,02 0,05 0,01 0,05 0,01 0,02 0,05 0,01 0,04 0,02 0,82 4,40 3,66 3,66 4,20 4,09 8,76 8,50</t>
  </si>
  <si>
    <t>adapt profile: total = 12,11_x000D_
By steps =  2,95 1,07 1,05 1,17 0,01 1,14 1,02 1,08 1,09 0,00 0,00 0,00 0,00 0,00 0,00 0,00 0,00 0,00 0,00 0,00 0,00 0,00 0,00 0,00 0,00 0,00 0,00 0,00 0,00 0,00 0,00 0,00 0,00 0,00 0,00 0,00</t>
  </si>
  <si>
    <t>25.4.13 HDR_NewOrder - шалон Новых Заказов для занесения в SF</t>
  </si>
  <si>
    <t>MoveToMatch: В файл 'SFDC.xlsx' загружен новый отчет 'SForders'; EOL=605 строк, в прежнем 599</t>
  </si>
  <si>
    <t>Opp_Id</t>
  </si>
  <si>
    <t>TMPgoodType</t>
  </si>
  <si>
    <t>OrderName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</si>
  <si>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</si>
  <si>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</si>
  <si>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</si>
  <si>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</si>
  <si>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</si>
  <si>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</si>
  <si>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</si>
  <si>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</si>
  <si>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</si>
  <si>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</si>
  <si>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</si>
  <si>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</si>
  <si>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&lt;! ERROR !&gt; NewSheet&gt; Нет Шаблона (шапки) 'HDR_NewOrder' для листа NewOrder</t>
  </si>
  <si>
    <t>&lt;! ERROR !&gt; Adapter&gt; Не существует GetInv</t>
  </si>
  <si>
    <t>C:\Users\Pavel_Khrapkin\Documents\Pavel\match\DBs\</t>
  </si>
  <si>
    <t>MoveToMatch: В файл '1C.xlsx' загружен новый отчет 'Договоры'; EOL=1303 строк, в прежнем 1300</t>
  </si>
  <si>
    <t>adapt profile: total = 4,10_x000D_
By steps =  0,78 0,95 1,01 0,00 0,00 0,00 0,99 0,01 0,00 0,01 0,01 0,00 0,00 0,00 0,00 0,00 0,00 0,00 0,00 0,01 0,00 0,00 0,00 0,00 0,00 0,01</t>
  </si>
  <si>
    <t>MoveToMatch: В файл '1C.xlsx' загружен новый отчет 'Платежи'; EOL=5661 строк, в прежнем 5647</t>
  </si>
  <si>
    <t>&lt;! ERROR !&gt; GetRep.CheckStamp&gt; Не найден Штамп в Документе 'SF'_x000D_
_x000D_
Этот Документ надо загрузить в match заново или _x000D_
исправить параметры в TOCmatch.</t>
  </si>
  <si>
    <t>MoveToMatch: В файл '1C.xlsx' загружен новый отчет 'Платежи'; EOL=5661 строк, в прежнем 5661</t>
  </si>
  <si>
    <t>adapt profile: total = 8,33_x000D_
By steps =  8,07 0,02</t>
  </si>
  <si>
    <t>adapt profile: total = 1,98_x000D_
By steps =  1,16 0,00 0,00 0,00 0,00 0,00 0,01 0,00 0,00 0,00 0,00 0,00 0,00 0,00 0,00 0,00 0,00 0,00 0,00 0,00 0,00 0,00 0,00 0,00 0,00 0,00</t>
  </si>
  <si>
    <t>MoveToMatch: В файл '1C.xlsx' загружен новый отчет 'Договоры'; EOL=1303 строк, в прежнем 1303</t>
  </si>
  <si>
    <t>adapt profile: total = 2,73_x000D_
By steps =  0,83 0,51 0,52 0,00 0,00 0,00 0,46 0,00 0,00 0,00 0,00 0,00 0,00 0,01 0,00 0,00 0,00 0,01 0,00 0,00 0,00 0,01 0,00 0,00 0,00 0,00</t>
  </si>
  <si>
    <t>MoveToMatch: В файл 'SFDC.xlsx' загружен новый отчет 'SF'; EOL=4537 строк, в прежнем 4528</t>
  </si>
  <si>
    <t>adapt profile: total = 24,72_x000D_
By steps =  23,85 0,03</t>
  </si>
  <si>
    <t>adapt profile: total = 164,07_x000D_
By steps =  6,01 0,03 24,90 6,70 0,03 0,02 0,01 0,02 0,01 0,01 0,01 0,02 0,01 0,01 0,01 0,01 0,01 0,01 0,02 0,01 0,02 0,01 0,01 0,01 0,00 0,01 0,02 0,01 0,01 1,62 4,21 9,77 18,89 23,04 19,41 33,09 14,64</t>
  </si>
  <si>
    <t>MoveToMatch: В файл 'SFDC.xlsx' загружен новый отчет 'SFopp'; EOL=3372 строк, в прежнем 3369</t>
  </si>
  <si>
    <t>MoveToMatch: В файл 'SFDC.xlsx' загружен новый отчет 'SFacc'; EOL=4168 строк, в прежнем 4165</t>
  </si>
  <si>
    <t>adapt profile: total = 646,43_x000D_
By steps =  28,77 0,08 38,51 27,18 0,06 0,02 0,03 0,02 0,01 0,02 0,02 0,02 0,03 0,03 0,02 0,01 0,02 0,01 0,04 0,02 0,02 0,01 0,04 0,02 0,02 0,03 0,02 0,02 0,02 3,50 7,59 49,98 99,57 128,10 105,50 129,69 24,43</t>
  </si>
  <si>
    <t>adapt profile: total = 5,19_x000D_
By steps =  0,85 2,95 0,38 0,01 0,00 0,00 0,61 0,00 0,00 0,00 0,00 0,00 0,00 0,00 0,00 0,00 0,00 0,00 0,00 0,00 0,00 0,00 0,00 0,00 0,00 0,00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</si>
  <si>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</si>
  <si>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</si>
  <si>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EOL=606 строк, в прежнем 605</t>
  </si>
  <si>
    <t>WrCSV&gt; в 'Orders.txt' записано 66 строк.</t>
  </si>
  <si>
    <t>InvCSDrub</t>
  </si>
  <si>
    <t>InvCSDeur</t>
  </si>
  <si>
    <t>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</si>
</sst>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45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70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4" borderId="77" xfId="709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170" fontId="0" fillId="8" borderId="0" xfId="0" applyNumberFormat="1" applyFill="1" applyAlignment="1">
      <alignment horizontal="center"/>
    </xf>
    <xf numFmtId="0" fontId="1" fillId="6" borderId="0" xfId="731" applyFill="1" applyAlignment="1">
      <alignment horizont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8"/>
  <sheetViews>
    <sheetView zoomScale="90" zoomScaleNormal="90" workbookViewId="0">
      <selection activeCell="U18" sqref="U18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41392.109050925923</v>
      </c>
      <c r="C1" s="124" t="s">
        <v>573</v>
      </c>
      <c r="J1" s="455" t="s">
        <v>1339</v>
      </c>
      <c r="K1" s="166"/>
      <c r="L1" s="57"/>
      <c r="M1" s="57"/>
      <c r="N1" s="57"/>
      <c r="O1" s="816" t="s">
        <v>582</v>
      </c>
      <c r="P1" s="816" t="s">
        <v>825</v>
      </c>
      <c r="Q1" s="816"/>
      <c r="R1" s="816"/>
      <c r="S1" s="816"/>
    </row>
    <row r="2" spans="1:23" ht="20.25" customHeight="1" x14ac:dyDescent="0.25">
      <c r="O2" s="817"/>
      <c r="P2" s="817"/>
      <c r="Q2" s="817"/>
      <c r="R2" s="817"/>
      <c r="S2" s="817"/>
    </row>
    <row r="3" spans="1:23" s="122" customFormat="1" x14ac:dyDescent="0.25">
      <c r="A3" s="122" t="s">
        <v>120</v>
      </c>
      <c r="B3" s="122" t="s">
        <v>552</v>
      </c>
      <c r="C3" s="157" t="s">
        <v>553</v>
      </c>
      <c r="D3" s="122" t="s">
        <v>578</v>
      </c>
      <c r="E3" s="122" t="s">
        <v>583</v>
      </c>
      <c r="F3" s="122" t="s">
        <v>592</v>
      </c>
      <c r="G3" s="122" t="s">
        <v>616</v>
      </c>
      <c r="H3" s="122" t="s">
        <v>554</v>
      </c>
      <c r="I3" s="122" t="s">
        <v>555</v>
      </c>
      <c r="J3" s="126" t="s">
        <v>559</v>
      </c>
      <c r="K3" s="142" t="s">
        <v>574</v>
      </c>
      <c r="L3" s="126" t="s">
        <v>575</v>
      </c>
      <c r="M3" s="126" t="s">
        <v>576</v>
      </c>
      <c r="N3" s="157" t="s">
        <v>594</v>
      </c>
      <c r="O3" s="122" t="s">
        <v>579</v>
      </c>
      <c r="T3" s="122" t="s">
        <v>581</v>
      </c>
    </row>
    <row r="4" spans="1:23" s="170" customFormat="1" x14ac:dyDescent="0.25">
      <c r="A4" s="247"/>
      <c r="B4" s="168" t="s">
        <v>597</v>
      </c>
      <c r="C4" s="169">
        <v>48</v>
      </c>
      <c r="H4" s="168" t="s">
        <v>598</v>
      </c>
      <c r="I4" s="168" t="s">
        <v>597</v>
      </c>
      <c r="J4" s="168" t="s">
        <v>597</v>
      </c>
      <c r="K4" s="171" t="s">
        <v>599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615</v>
      </c>
      <c r="C5" s="169" t="s">
        <v>912</v>
      </c>
      <c r="H5" s="168" t="s">
        <v>598</v>
      </c>
      <c r="I5" s="168" t="s">
        <v>615</v>
      </c>
      <c r="J5" s="168" t="s">
        <v>615</v>
      </c>
      <c r="K5" s="171" t="s">
        <v>599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602</v>
      </c>
      <c r="C6" s="169" t="s">
        <v>553</v>
      </c>
      <c r="H6" s="168" t="s">
        <v>666</v>
      </c>
      <c r="I6" s="168"/>
      <c r="J6" s="168" t="s">
        <v>600</v>
      </c>
      <c r="K6" s="171" t="s">
        <v>599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601</v>
      </c>
      <c r="K7" s="171" t="s">
        <v>577</v>
      </c>
      <c r="L7" s="152">
        <v>6</v>
      </c>
      <c r="M7" s="152">
        <v>1</v>
      </c>
      <c r="N7" s="167"/>
    </row>
    <row r="8" spans="1:23" s="135" customFormat="1" x14ac:dyDescent="0.25">
      <c r="A8" s="248">
        <v>41391.250150462962</v>
      </c>
      <c r="B8" s="135" t="s">
        <v>551</v>
      </c>
      <c r="C8" s="140">
        <v>5661</v>
      </c>
      <c r="D8" s="140">
        <v>5</v>
      </c>
      <c r="E8" s="140">
        <v>2</v>
      </c>
      <c r="F8" t="s">
        <v>643</v>
      </c>
      <c r="G8" s="140" t="s">
        <v>112</v>
      </c>
      <c r="H8" s="135" t="s">
        <v>669</v>
      </c>
      <c r="I8" s="146" t="s">
        <v>551</v>
      </c>
      <c r="J8" s="136" t="s">
        <v>68</v>
      </c>
      <c r="K8" s="143" t="s">
        <v>577</v>
      </c>
      <c r="L8" s="141">
        <v>1</v>
      </c>
      <c r="M8" s="141" t="s">
        <v>645</v>
      </c>
      <c r="N8" s="134">
        <v>41391</v>
      </c>
      <c r="O8" s="145" t="s">
        <v>314</v>
      </c>
      <c r="P8" s="145"/>
      <c r="Q8" s="145"/>
      <c r="T8" s="135" t="s">
        <v>626</v>
      </c>
      <c r="W8" s="158"/>
    </row>
    <row r="9" spans="1:23" s="148" customFormat="1" x14ac:dyDescent="0.25">
      <c r="A9" s="249"/>
      <c r="B9" s="148" t="s">
        <v>551</v>
      </c>
      <c r="C9" s="149"/>
      <c r="D9" s="149"/>
      <c r="E9" s="149"/>
      <c r="J9" s="150" t="s">
        <v>67</v>
      </c>
      <c r="K9" s="151" t="s">
        <v>577</v>
      </c>
      <c r="L9" s="152">
        <v>1</v>
      </c>
      <c r="M9" s="152" t="s">
        <v>650</v>
      </c>
      <c r="N9" s="147"/>
      <c r="O9" s="153"/>
      <c r="P9" s="153"/>
      <c r="Q9" s="153"/>
      <c r="T9" s="159"/>
    </row>
    <row r="10" spans="1:23" x14ac:dyDescent="0.25">
      <c r="A10" s="247">
        <v>41391.250231481485</v>
      </c>
      <c r="B10" t="s">
        <v>556</v>
      </c>
      <c r="C10" s="144">
        <v>1303</v>
      </c>
      <c r="D10" s="138">
        <v>8</v>
      </c>
      <c r="E10" s="138">
        <v>2</v>
      </c>
      <c r="F10" t="s">
        <v>643</v>
      </c>
      <c r="G10" s="149" t="s">
        <v>112</v>
      </c>
      <c r="H10" t="s">
        <v>669</v>
      </c>
      <c r="I10" s="162" t="s">
        <v>556</v>
      </c>
      <c r="J10" s="127" t="s">
        <v>584</v>
      </c>
      <c r="K10" s="128" t="s">
        <v>577</v>
      </c>
      <c r="L10" s="152">
        <v>1</v>
      </c>
      <c r="M10" s="152" t="s">
        <v>868</v>
      </c>
      <c r="N10" s="123">
        <v>41391</v>
      </c>
      <c r="O10" s="137" t="s">
        <v>314</v>
      </c>
      <c r="P10" s="137"/>
      <c r="Q10" s="137"/>
      <c r="T10" t="s">
        <v>627</v>
      </c>
    </row>
    <row r="11" spans="1:23" x14ac:dyDescent="0.25">
      <c r="A11" s="249"/>
      <c r="B11" t="s">
        <v>556</v>
      </c>
      <c r="C11" s="144"/>
      <c r="D11" s="138"/>
      <c r="E11" s="138"/>
      <c r="G11" s="148"/>
      <c r="I11" s="148"/>
      <c r="J11" s="127" t="s">
        <v>585</v>
      </c>
      <c r="K11" s="128" t="s">
        <v>577</v>
      </c>
      <c r="L11" s="152">
        <v>1</v>
      </c>
      <c r="M11" s="152" t="s">
        <v>867</v>
      </c>
      <c r="N11" s="123"/>
      <c r="O11" s="160"/>
      <c r="P11" s="160"/>
      <c r="Q11" s="160"/>
    </row>
    <row r="12" spans="1:23" x14ac:dyDescent="0.25">
      <c r="A12" s="247">
        <v>41385.576840277776</v>
      </c>
      <c r="B12" t="s">
        <v>557</v>
      </c>
      <c r="C12" s="144">
        <v>1186</v>
      </c>
      <c r="D12" s="144">
        <v>1</v>
      </c>
      <c r="E12" s="144">
        <v>0</v>
      </c>
      <c r="F12" t="s">
        <v>643</v>
      </c>
      <c r="G12" s="149" t="s">
        <v>71</v>
      </c>
      <c r="H12" t="s">
        <v>669</v>
      </c>
      <c r="I12" s="163" t="s">
        <v>557</v>
      </c>
      <c r="J12" s="127" t="s">
        <v>65</v>
      </c>
      <c r="K12" s="128" t="s">
        <v>577</v>
      </c>
      <c r="L12" s="152" t="s">
        <v>644</v>
      </c>
      <c r="M12" s="152" t="s">
        <v>646</v>
      </c>
      <c r="N12" s="123">
        <v>41385</v>
      </c>
      <c r="O12" s="137" t="s">
        <v>314</v>
      </c>
      <c r="P12" s="137"/>
      <c r="Q12" s="137"/>
      <c r="T12" t="s">
        <v>628</v>
      </c>
    </row>
    <row r="13" spans="1:23" x14ac:dyDescent="0.25">
      <c r="A13" s="249"/>
      <c r="B13" t="s">
        <v>557</v>
      </c>
      <c r="C13" s="144"/>
      <c r="D13" s="144"/>
      <c r="E13" s="144"/>
      <c r="G13" s="2"/>
      <c r="I13" s="148"/>
      <c r="J13" s="127" t="s">
        <v>586</v>
      </c>
      <c r="K13" s="128" t="s">
        <v>577</v>
      </c>
      <c r="L13" s="152" t="s">
        <v>644</v>
      </c>
      <c r="M13" s="152" t="s">
        <v>647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41391.238217592596</v>
      </c>
      <c r="B14" s="135" t="s">
        <v>558</v>
      </c>
      <c r="C14" s="140">
        <v>4537</v>
      </c>
      <c r="D14" s="140">
        <v>2</v>
      </c>
      <c r="E14" s="140">
        <v>6</v>
      </c>
      <c r="F14" s="135" t="s">
        <v>606</v>
      </c>
      <c r="G14" s="140" t="s">
        <v>91</v>
      </c>
      <c r="H14" s="135" t="str">
        <f t="shared" ref="H14:H21" si="0">H$6</f>
        <v>SFDC.xlsx</v>
      </c>
      <c r="I14" s="164" t="s">
        <v>558</v>
      </c>
      <c r="J14" s="136" t="s">
        <v>560</v>
      </c>
      <c r="K14" s="143" t="s">
        <v>577</v>
      </c>
      <c r="L14" s="141">
        <v>2</v>
      </c>
      <c r="M14" s="141" t="s">
        <v>648</v>
      </c>
      <c r="N14" s="269">
        <v>41391.236805555556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41391.234872685185</v>
      </c>
      <c r="B15" t="s">
        <v>561</v>
      </c>
      <c r="C15" s="144">
        <v>1073</v>
      </c>
      <c r="D15" s="138">
        <v>2</v>
      </c>
      <c r="E15" s="138">
        <v>6</v>
      </c>
      <c r="F15" t="s">
        <v>606</v>
      </c>
      <c r="G15" s="149" t="s">
        <v>91</v>
      </c>
      <c r="H15" t="str">
        <f t="shared" si="0"/>
        <v>SFDC.xlsx</v>
      </c>
      <c r="I15" s="165" t="s">
        <v>561</v>
      </c>
      <c r="J15" s="127" t="s">
        <v>562</v>
      </c>
      <c r="K15" s="128" t="s">
        <v>577</v>
      </c>
      <c r="L15" s="139">
        <v>2</v>
      </c>
      <c r="M15" s="139" t="s">
        <v>648</v>
      </c>
      <c r="N15" s="123">
        <v>41391.234027777777</v>
      </c>
      <c r="O15" s="137"/>
      <c r="Q15" s="137"/>
      <c r="T15" s="148" t="str">
        <f>Process!F32</f>
        <v>LOAD_SFD</v>
      </c>
    </row>
    <row r="16" spans="1:23" ht="15.75" x14ac:dyDescent="0.3">
      <c r="A16" s="247">
        <v>41391.241736111115</v>
      </c>
      <c r="B16" t="s">
        <v>563</v>
      </c>
      <c r="C16" s="144">
        <v>3372</v>
      </c>
      <c r="D16" s="138" t="s">
        <v>580</v>
      </c>
      <c r="E16" s="138">
        <v>6</v>
      </c>
      <c r="F16" t="s">
        <v>593</v>
      </c>
      <c r="G16" s="149" t="s">
        <v>91</v>
      </c>
      <c r="H16" t="str">
        <f t="shared" si="0"/>
        <v>SFDC.xlsx</v>
      </c>
      <c r="I16" s="165" t="s">
        <v>563</v>
      </c>
      <c r="J16" s="129" t="s">
        <v>564</v>
      </c>
      <c r="K16" s="128" t="s">
        <v>577</v>
      </c>
      <c r="L16" s="139">
        <v>2</v>
      </c>
      <c r="M16" s="139">
        <v>1</v>
      </c>
      <c r="N16" s="123">
        <v>41391.240972222222</v>
      </c>
      <c r="O16" s="137"/>
      <c r="Q16" s="137"/>
    </row>
    <row r="17" spans="1:20" ht="15.75" x14ac:dyDescent="0.3">
      <c r="A17" s="247">
        <v>41391.242615740739</v>
      </c>
      <c r="B17" t="s">
        <v>136</v>
      </c>
      <c r="C17" s="144">
        <v>4168</v>
      </c>
      <c r="D17" s="138" t="s">
        <v>580</v>
      </c>
      <c r="E17" s="138">
        <v>6</v>
      </c>
      <c r="F17" t="s">
        <v>593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577</v>
      </c>
      <c r="L17" s="139">
        <v>2</v>
      </c>
      <c r="M17" s="139">
        <v>1</v>
      </c>
      <c r="N17" s="123">
        <v>41391.241666666669</v>
      </c>
      <c r="O17" s="137"/>
      <c r="Q17" s="137"/>
      <c r="T17" t="str">
        <f>Process!F38</f>
        <v>LOAD_SFacc</v>
      </c>
    </row>
    <row r="18" spans="1:20" ht="15.75" x14ac:dyDescent="0.3">
      <c r="A18" s="247">
        <v>41385.53261574074</v>
      </c>
      <c r="B18" t="s">
        <v>566</v>
      </c>
      <c r="C18" s="144">
        <v>8361</v>
      </c>
      <c r="D18" s="138" t="s">
        <v>580</v>
      </c>
      <c r="E18" s="138">
        <v>6</v>
      </c>
      <c r="F18" t="s">
        <v>593</v>
      </c>
      <c r="G18" s="149" t="s">
        <v>113</v>
      </c>
      <c r="H18" t="str">
        <f t="shared" si="0"/>
        <v>SFDC.xlsx</v>
      </c>
      <c r="I18" s="165" t="s">
        <v>566</v>
      </c>
      <c r="J18" s="130" t="s">
        <v>565</v>
      </c>
      <c r="K18" s="128" t="s">
        <v>577</v>
      </c>
      <c r="L18" s="139">
        <v>2</v>
      </c>
      <c r="M18" s="139">
        <v>1</v>
      </c>
      <c r="N18" s="123">
        <v>41385.531944444447</v>
      </c>
      <c r="O18" s="137"/>
      <c r="Q18" s="137"/>
    </row>
    <row r="19" spans="1:20" ht="15.75" x14ac:dyDescent="0.3">
      <c r="A19" s="247">
        <v>41388.787199074075</v>
      </c>
      <c r="B19" t="s">
        <v>568</v>
      </c>
      <c r="C19" s="144">
        <v>1787</v>
      </c>
      <c r="D19" s="138" t="s">
        <v>580</v>
      </c>
      <c r="E19" s="138">
        <v>6</v>
      </c>
      <c r="F19" t="s">
        <v>593</v>
      </c>
      <c r="G19" s="149" t="s">
        <v>71</v>
      </c>
      <c r="H19" t="str">
        <f t="shared" si="0"/>
        <v>SFDC.xlsx</v>
      </c>
      <c r="I19" s="165" t="s">
        <v>568</v>
      </c>
      <c r="J19" s="131" t="s">
        <v>567</v>
      </c>
      <c r="K19" s="128" t="s">
        <v>577</v>
      </c>
      <c r="L19" s="139">
        <v>2</v>
      </c>
      <c r="M19" s="139">
        <v>1</v>
      </c>
      <c r="N19" s="123">
        <v>41388.786805555559</v>
      </c>
      <c r="O19" s="137"/>
      <c r="Q19" s="137"/>
    </row>
    <row r="20" spans="1:20" ht="15.75" x14ac:dyDescent="0.3">
      <c r="A20" s="814">
        <v>41385.529618055552</v>
      </c>
      <c r="B20" t="s">
        <v>569</v>
      </c>
      <c r="C20" s="144">
        <v>193</v>
      </c>
      <c r="D20" s="138" t="s">
        <v>580</v>
      </c>
      <c r="E20" s="138">
        <v>6</v>
      </c>
      <c r="F20" t="s">
        <v>593</v>
      </c>
      <c r="G20" s="149" t="s">
        <v>91</v>
      </c>
      <c r="H20" t="str">
        <f t="shared" si="0"/>
        <v>SFDC.xlsx</v>
      </c>
      <c r="I20" s="165" t="s">
        <v>569</v>
      </c>
      <c r="J20" s="132" t="s">
        <v>570</v>
      </c>
      <c r="K20" s="128" t="s">
        <v>577</v>
      </c>
      <c r="L20" s="139">
        <v>2</v>
      </c>
      <c r="M20" s="139">
        <v>1</v>
      </c>
      <c r="N20" s="123">
        <v>41385.529166666667</v>
      </c>
      <c r="O20" s="137"/>
      <c r="Q20" s="137"/>
    </row>
    <row r="21" spans="1:20" ht="15.75" x14ac:dyDescent="0.3">
      <c r="A21" s="247">
        <v>41391.718668981484</v>
      </c>
      <c r="B21" t="s">
        <v>571</v>
      </c>
      <c r="C21" s="144">
        <v>606</v>
      </c>
      <c r="D21" s="138" t="s">
        <v>580</v>
      </c>
      <c r="E21" s="138">
        <v>6</v>
      </c>
      <c r="F21" t="s">
        <v>593</v>
      </c>
      <c r="G21" s="149" t="s">
        <v>113</v>
      </c>
      <c r="H21" t="str">
        <f t="shared" si="0"/>
        <v>SFDC.xlsx</v>
      </c>
      <c r="I21" s="550" t="s">
        <v>571</v>
      </c>
      <c r="J21" s="133" t="s">
        <v>572</v>
      </c>
      <c r="K21" s="294" t="s">
        <v>577</v>
      </c>
      <c r="L21" s="139">
        <v>2</v>
      </c>
      <c r="M21" s="139">
        <v>1</v>
      </c>
      <c r="N21" s="161">
        <v>41391.718055555553</v>
      </c>
      <c r="O21" s="549"/>
      <c r="P21" s="296"/>
      <c r="Q21" s="549"/>
      <c r="R21" s="296"/>
      <c r="S21" s="296"/>
    </row>
    <row r="22" spans="1:20" s="135" customFormat="1" x14ac:dyDescent="0.25">
      <c r="A22" s="798">
        <v>41369.796909722223</v>
      </c>
      <c r="B22" s="135" t="s">
        <v>587</v>
      </c>
      <c r="C22" s="156">
        <v>9955</v>
      </c>
      <c r="D22" s="156" t="s">
        <v>130</v>
      </c>
      <c r="E22" s="156" t="s">
        <v>580</v>
      </c>
      <c r="F22" s="135" t="s">
        <v>595</v>
      </c>
      <c r="G22" s="521">
        <v>10</v>
      </c>
      <c r="H22" s="135" t="s">
        <v>670</v>
      </c>
      <c r="I22" s="277" t="str">
        <f>B22</f>
        <v>Склад</v>
      </c>
      <c r="J22" s="136" t="s">
        <v>65</v>
      </c>
      <c r="K22" s="151" t="s">
        <v>599</v>
      </c>
      <c r="L22" s="141" t="s">
        <v>648</v>
      </c>
      <c r="M22" s="141" t="s">
        <v>969</v>
      </c>
      <c r="N22" s="134">
        <v>41349.908078703702</v>
      </c>
      <c r="O22" s="153" t="s">
        <v>314</v>
      </c>
      <c r="P22" s="159"/>
      <c r="Q22" s="548" t="s">
        <v>849</v>
      </c>
      <c r="R22" s="276"/>
      <c r="S22" s="159"/>
      <c r="T22" s="135" t="s">
        <v>632</v>
      </c>
    </row>
    <row r="23" spans="1:20" s="148" customFormat="1" x14ac:dyDescent="0.25">
      <c r="A23" s="273"/>
      <c r="C23" s="274"/>
      <c r="D23" s="274"/>
      <c r="E23" s="274"/>
      <c r="I23" s="159"/>
      <c r="J23" s="150" t="s">
        <v>671</v>
      </c>
      <c r="K23" s="151" t="s">
        <v>577</v>
      </c>
      <c r="L23" s="152" t="s">
        <v>648</v>
      </c>
      <c r="M23" s="152" t="s">
        <v>970</v>
      </c>
      <c r="N23" s="147"/>
      <c r="O23" s="153" t="s">
        <v>314</v>
      </c>
      <c r="Q23" s="153"/>
      <c r="R23" s="276"/>
    </row>
    <row r="24" spans="1:20" s="148" customFormat="1" x14ac:dyDescent="0.25">
      <c r="A24" s="273"/>
      <c r="C24" s="274"/>
      <c r="D24" s="274"/>
      <c r="E24" s="274"/>
      <c r="I24" s="159"/>
      <c r="J24" s="150" t="s">
        <v>672</v>
      </c>
      <c r="K24" s="151" t="s">
        <v>577</v>
      </c>
      <c r="L24" s="152" t="s">
        <v>648</v>
      </c>
      <c r="M24" s="152" t="s">
        <v>971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673</v>
      </c>
      <c r="K25" s="151" t="s">
        <v>577</v>
      </c>
      <c r="L25" s="152" t="s">
        <v>648</v>
      </c>
      <c r="M25" s="152" t="s">
        <v>972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674</v>
      </c>
      <c r="K26" s="151" t="s">
        <v>577</v>
      </c>
      <c r="L26" s="152" t="s">
        <v>648</v>
      </c>
      <c r="M26" s="152" t="s">
        <v>973</v>
      </c>
      <c r="N26" s="147"/>
      <c r="O26" s="153" t="s">
        <v>314</v>
      </c>
      <c r="Q26" s="153"/>
      <c r="R26" s="276"/>
    </row>
    <row r="27" spans="1:20" s="279" customFormat="1" x14ac:dyDescent="0.25">
      <c r="A27" s="278"/>
      <c r="C27" s="280"/>
      <c r="D27" s="280"/>
      <c r="E27" s="280"/>
      <c r="I27" s="159"/>
      <c r="J27" s="281" t="s">
        <v>675</v>
      </c>
      <c r="K27" s="282" t="s">
        <v>577</v>
      </c>
      <c r="L27" s="283" t="s">
        <v>648</v>
      </c>
      <c r="M27" s="283" t="s">
        <v>974</v>
      </c>
      <c r="N27" s="284"/>
      <c r="O27" s="285"/>
      <c r="Q27" s="285"/>
      <c r="R27" s="286"/>
    </row>
    <row r="28" spans="1:20" s="287" customFormat="1" x14ac:dyDescent="0.25">
      <c r="A28" s="802">
        <v>41392.109050925923</v>
      </c>
      <c r="B28" s="287" t="s">
        <v>591</v>
      </c>
      <c r="C28" s="288">
        <v>1655</v>
      </c>
      <c r="D28" s="522">
        <v>8</v>
      </c>
      <c r="E28" s="522">
        <v>19</v>
      </c>
      <c r="F28" s="287" t="s">
        <v>1331</v>
      </c>
      <c r="G28" s="522">
        <v>10</v>
      </c>
      <c r="H28" s="287" t="s">
        <v>670</v>
      </c>
      <c r="I28" s="275" t="str">
        <f>B28</f>
        <v>Заказы</v>
      </c>
      <c r="J28" s="289" t="s">
        <v>676</v>
      </c>
      <c r="K28" s="290" t="s">
        <v>577</v>
      </c>
      <c r="L28" s="291" t="s">
        <v>648</v>
      </c>
      <c r="M28" s="291" t="s">
        <v>859</v>
      </c>
      <c r="N28" s="292">
        <v>41387.899629629632</v>
      </c>
      <c r="O28" s="287" t="s">
        <v>314</v>
      </c>
      <c r="P28" s="523">
        <v>2</v>
      </c>
      <c r="Q28" s="547" t="s">
        <v>848</v>
      </c>
      <c r="R28" s="148"/>
      <c r="S28" s="148"/>
      <c r="T28" s="287" t="s">
        <v>633</v>
      </c>
    </row>
    <row r="29" spans="1:20" s="148" customFormat="1" x14ac:dyDescent="0.25">
      <c r="A29" s="293"/>
      <c r="C29" s="274"/>
      <c r="J29" s="150" t="s">
        <v>677</v>
      </c>
      <c r="K29" s="151" t="s">
        <v>577</v>
      </c>
      <c r="L29" s="152" t="s">
        <v>648</v>
      </c>
      <c r="M29" s="152" t="s">
        <v>860</v>
      </c>
      <c r="N29" s="147"/>
      <c r="O29" s="148" t="s">
        <v>314</v>
      </c>
      <c r="P29" s="524">
        <v>2</v>
      </c>
    </row>
    <row r="30" spans="1:20" x14ac:dyDescent="0.25">
      <c r="A30" s="262"/>
      <c r="C30" s="268"/>
      <c r="H30" s="148"/>
      <c r="I30" s="148"/>
      <c r="J30" s="150" t="s">
        <v>65</v>
      </c>
      <c r="K30" s="151" t="s">
        <v>577</v>
      </c>
      <c r="L30" s="152" t="s">
        <v>648</v>
      </c>
      <c r="M30" s="152" t="s">
        <v>861</v>
      </c>
      <c r="N30" s="147"/>
      <c r="O30" t="s">
        <v>314</v>
      </c>
      <c r="P30" s="524">
        <v>2</v>
      </c>
    </row>
    <row r="31" spans="1:20" x14ac:dyDescent="0.25">
      <c r="A31" s="262"/>
      <c r="C31" s="268"/>
      <c r="H31" s="148"/>
      <c r="I31" s="148"/>
      <c r="J31" s="150" t="s">
        <v>1</v>
      </c>
      <c r="K31" s="151" t="s">
        <v>577</v>
      </c>
      <c r="L31" s="152" t="s">
        <v>648</v>
      </c>
      <c r="M31" s="152" t="s">
        <v>862</v>
      </c>
      <c r="N31" s="147"/>
      <c r="O31" t="s">
        <v>314</v>
      </c>
      <c r="P31" s="524">
        <v>2</v>
      </c>
    </row>
    <row r="32" spans="1:20" x14ac:dyDescent="0.25">
      <c r="A32" s="262"/>
      <c r="C32" s="268"/>
      <c r="H32" s="148"/>
      <c r="I32" s="148"/>
      <c r="J32" s="150" t="s">
        <v>678</v>
      </c>
      <c r="K32" s="151" t="s">
        <v>577</v>
      </c>
      <c r="L32" s="152" t="s">
        <v>648</v>
      </c>
      <c r="M32" s="152" t="s">
        <v>1062</v>
      </c>
      <c r="N32" s="147"/>
      <c r="P32" s="524">
        <v>2</v>
      </c>
    </row>
    <row r="33" spans="1:20" s="287" customFormat="1" x14ac:dyDescent="0.25">
      <c r="A33" s="799">
        <v>41370.590057870373</v>
      </c>
      <c r="B33" s="287" t="s">
        <v>1066</v>
      </c>
      <c r="C33" s="288">
        <v>984</v>
      </c>
      <c r="F33" s="287" t="s">
        <v>593</v>
      </c>
      <c r="G33" s="522">
        <v>10</v>
      </c>
      <c r="H33" s="287" t="s">
        <v>670</v>
      </c>
      <c r="I33" s="793" t="s">
        <v>1066</v>
      </c>
      <c r="J33" s="289" t="s">
        <v>1069</v>
      </c>
      <c r="K33" s="290" t="s">
        <v>599</v>
      </c>
      <c r="L33" s="291">
        <v>2</v>
      </c>
      <c r="M33" s="291">
        <v>1</v>
      </c>
      <c r="N33" s="292">
        <v>41370.585509259261</v>
      </c>
      <c r="O33" s="145" t="s">
        <v>314</v>
      </c>
      <c r="P33" s="523"/>
      <c r="T33" s="287" t="str">
        <f>Process!F93</f>
        <v>HANDL_BTOmails</v>
      </c>
    </row>
    <row r="34" spans="1:20" s="148" customFormat="1" x14ac:dyDescent="0.25">
      <c r="A34" s="293"/>
      <c r="C34" s="274"/>
      <c r="J34" s="150" t="s">
        <v>1070</v>
      </c>
      <c r="K34" s="151" t="s">
        <v>599</v>
      </c>
      <c r="L34" s="152">
        <v>3</v>
      </c>
      <c r="M34" s="152">
        <v>1</v>
      </c>
      <c r="N34" s="147"/>
      <c r="O34" t="s">
        <v>314</v>
      </c>
      <c r="P34" s="524"/>
    </row>
    <row r="35" spans="1:20" s="148" customFormat="1" x14ac:dyDescent="0.25">
      <c r="A35" s="293"/>
      <c r="C35" s="274"/>
      <c r="J35" s="150" t="s">
        <v>1071</v>
      </c>
      <c r="K35" s="151" t="s">
        <v>599</v>
      </c>
      <c r="L35" s="152">
        <v>4</v>
      </c>
      <c r="M35" s="152">
        <v>1</v>
      </c>
      <c r="N35" s="147"/>
      <c r="P35" s="524"/>
    </row>
    <row r="36" spans="1:20" s="135" customFormat="1" x14ac:dyDescent="0.25">
      <c r="A36" s="248"/>
      <c r="B36" s="135" t="s">
        <v>588</v>
      </c>
      <c r="C36" s="156" t="s">
        <v>590</v>
      </c>
      <c r="D36" s="156" t="s">
        <v>126</v>
      </c>
      <c r="E36" s="156"/>
      <c r="F36" s="454"/>
      <c r="H36" s="135" t="s">
        <v>596</v>
      </c>
      <c r="I36" s="272" t="s">
        <v>683</v>
      </c>
      <c r="J36" s="136" t="s">
        <v>681</v>
      </c>
      <c r="K36" s="143" t="s">
        <v>577</v>
      </c>
      <c r="L36" s="141">
        <v>3</v>
      </c>
      <c r="M36" s="141">
        <v>1</v>
      </c>
      <c r="N36" s="134"/>
      <c r="O36" s="145" t="s">
        <v>314</v>
      </c>
      <c r="Q36" s="145"/>
      <c r="R36" s="154"/>
      <c r="T36" s="135" t="s">
        <v>634</v>
      </c>
    </row>
    <row r="37" spans="1:20" x14ac:dyDescent="0.25">
      <c r="A37" s="249"/>
      <c r="I37" s="148"/>
      <c r="J37" s="150" t="s">
        <v>682</v>
      </c>
      <c r="K37" s="151" t="s">
        <v>577</v>
      </c>
      <c r="L37" s="152">
        <v>3</v>
      </c>
      <c r="M37" s="152">
        <v>3</v>
      </c>
      <c r="O37" t="s">
        <v>314</v>
      </c>
    </row>
    <row r="38" spans="1:20" x14ac:dyDescent="0.25">
      <c r="A38" s="249"/>
      <c r="I38" s="148"/>
      <c r="J38" s="150" t="s">
        <v>188</v>
      </c>
      <c r="K38" s="151" t="s">
        <v>577</v>
      </c>
      <c r="L38" s="152">
        <v>3</v>
      </c>
      <c r="M38" s="152">
        <v>9</v>
      </c>
      <c r="O38" t="s">
        <v>314</v>
      </c>
    </row>
    <row r="39" spans="1:20" s="296" customFormat="1" x14ac:dyDescent="0.25">
      <c r="A39" s="295"/>
      <c r="C39" s="297"/>
      <c r="J39" s="298" t="s">
        <v>365</v>
      </c>
      <c r="K39" s="294" t="s">
        <v>577</v>
      </c>
      <c r="L39" s="299">
        <v>3</v>
      </c>
      <c r="M39" s="299">
        <v>21</v>
      </c>
    </row>
    <row r="40" spans="1:20" s="701" customFormat="1" x14ac:dyDescent="0.25">
      <c r="A40" s="709">
        <v>0</v>
      </c>
      <c r="B40" s="701" t="s">
        <v>980</v>
      </c>
      <c r="C40" s="702">
        <v>1</v>
      </c>
      <c r="D40" s="702"/>
      <c r="E40" s="702"/>
      <c r="H40" s="701" t="s">
        <v>918</v>
      </c>
      <c r="I40" s="710" t="str">
        <f>B40</f>
        <v>DicAcc</v>
      </c>
      <c r="J40" s="703"/>
      <c r="K40" s="704" t="s">
        <v>919</v>
      </c>
      <c r="L40" s="705"/>
      <c r="M40" s="705"/>
      <c r="N40" s="706">
        <v>41237.062407407408</v>
      </c>
      <c r="O40" s="707"/>
      <c r="P40" s="701" t="s">
        <v>979</v>
      </c>
      <c r="Q40" s="707"/>
      <c r="R40" s="708"/>
    </row>
    <row r="41" spans="1:20" s="784" customFormat="1" x14ac:dyDescent="0.25">
      <c r="A41" s="783">
        <v>0</v>
      </c>
      <c r="B41" s="784" t="s">
        <v>1065</v>
      </c>
      <c r="C41" s="785">
        <v>92</v>
      </c>
      <c r="D41" s="785"/>
      <c r="E41" s="785"/>
      <c r="F41" s="784" t="s">
        <v>1091</v>
      </c>
      <c r="H41" s="784" t="s">
        <v>918</v>
      </c>
      <c r="I41" s="786" t="s">
        <v>1065</v>
      </c>
      <c r="J41" s="787"/>
      <c r="K41" s="788" t="s">
        <v>919</v>
      </c>
      <c r="L41" s="789"/>
      <c r="M41" s="789"/>
      <c r="N41" s="790">
        <v>41372.090173611112</v>
      </c>
      <c r="O41" s="791"/>
      <c r="P41" s="784" t="s">
        <v>1084</v>
      </c>
      <c r="Q41" s="791"/>
      <c r="R41" s="792"/>
    </row>
    <row r="42" spans="1:20" s="148" customFormat="1" x14ac:dyDescent="0.25">
      <c r="A42" s="649">
        <v>41388.802974537037</v>
      </c>
      <c r="B42" s="148" t="s">
        <v>793</v>
      </c>
      <c r="C42" s="274">
        <v>1</v>
      </c>
      <c r="D42" s="274"/>
      <c r="E42" s="274"/>
      <c r="F42" s="148" t="s">
        <v>620</v>
      </c>
      <c r="H42" s="148" t="s">
        <v>918</v>
      </c>
      <c r="I42" s="628" t="s">
        <v>793</v>
      </c>
      <c r="J42" s="150"/>
      <c r="K42" s="151" t="s">
        <v>919</v>
      </c>
      <c r="L42" s="152"/>
      <c r="M42" s="152"/>
      <c r="N42" s="147">
        <v>41388.802870370368</v>
      </c>
      <c r="O42" s="153"/>
      <c r="P42" s="148" t="s">
        <v>913</v>
      </c>
      <c r="Q42" s="153"/>
      <c r="R42" s="276"/>
    </row>
    <row r="43" spans="1:20" s="148" customFormat="1" x14ac:dyDescent="0.25">
      <c r="A43" s="649">
        <v>41388.807662037034</v>
      </c>
      <c r="B43" s="148" t="s">
        <v>668</v>
      </c>
      <c r="C43" s="274">
        <v>1</v>
      </c>
      <c r="D43" s="274"/>
      <c r="E43" s="274"/>
      <c r="F43" s="148" t="s">
        <v>620</v>
      </c>
      <c r="H43" s="148" t="s">
        <v>918</v>
      </c>
      <c r="I43" s="628" t="s">
        <v>668</v>
      </c>
      <c r="J43" s="150"/>
      <c r="K43" s="151" t="s">
        <v>919</v>
      </c>
      <c r="L43" s="152"/>
      <c r="M43" s="152"/>
      <c r="N43" s="147">
        <v>41388.807638888888</v>
      </c>
      <c r="O43" s="153"/>
      <c r="P43" s="148" t="s">
        <v>914</v>
      </c>
      <c r="Q43" s="153"/>
      <c r="R43" s="276"/>
    </row>
    <row r="44" spans="1:20" s="148" customFormat="1" x14ac:dyDescent="0.25">
      <c r="A44" s="649">
        <v>41344.979027777779</v>
      </c>
      <c r="B44" s="148" t="s">
        <v>803</v>
      </c>
      <c r="C44" s="274">
        <v>1</v>
      </c>
      <c r="D44" s="274"/>
      <c r="E44" s="274"/>
      <c r="F44" s="148" t="s">
        <v>769</v>
      </c>
      <c r="H44" s="148" t="s">
        <v>918</v>
      </c>
      <c r="I44" s="628" t="s">
        <v>803</v>
      </c>
      <c r="J44" s="150"/>
      <c r="K44" s="151" t="s">
        <v>919</v>
      </c>
      <c r="L44" s="152"/>
      <c r="M44" s="152"/>
      <c r="N44" s="147">
        <v>41344.97896990741</v>
      </c>
      <c r="O44" s="153"/>
      <c r="P44" s="148" t="s">
        <v>916</v>
      </c>
      <c r="Q44" s="153"/>
      <c r="R44" s="276"/>
    </row>
    <row r="45" spans="1:20" s="148" customFormat="1" x14ac:dyDescent="0.25">
      <c r="A45" s="273"/>
      <c r="B45" s="148" t="s">
        <v>910</v>
      </c>
      <c r="C45" s="274" t="s">
        <v>91</v>
      </c>
      <c r="D45" s="274"/>
      <c r="E45" s="274"/>
      <c r="H45" s="148" t="s">
        <v>918</v>
      </c>
      <c r="I45" s="628" t="s">
        <v>910</v>
      </c>
      <c r="J45" s="150"/>
      <c r="K45" s="151" t="s">
        <v>919</v>
      </c>
      <c r="L45" s="152"/>
      <c r="M45" s="152"/>
      <c r="N45" s="147"/>
      <c r="O45" s="153"/>
      <c r="P45" s="638"/>
      <c r="Q45" s="639"/>
      <c r="R45" s="640"/>
      <c r="S45" s="638"/>
      <c r="T45" s="638"/>
    </row>
    <row r="46" spans="1:20" s="148" customFormat="1" x14ac:dyDescent="0.25">
      <c r="A46" s="649">
        <v>41392.109050925923</v>
      </c>
      <c r="B46" s="148" t="s">
        <v>1331</v>
      </c>
      <c r="C46" s="274">
        <v>66</v>
      </c>
      <c r="D46" s="274"/>
      <c r="E46" s="274"/>
      <c r="F46" s="148" t="s">
        <v>620</v>
      </c>
      <c r="H46" s="148" t="s">
        <v>918</v>
      </c>
      <c r="I46" s="628" t="s">
        <v>1331</v>
      </c>
      <c r="J46" s="150"/>
      <c r="K46" s="151" t="s">
        <v>919</v>
      </c>
      <c r="L46" s="152"/>
      <c r="M46" s="152"/>
      <c r="N46" s="147">
        <v>41392.108344907407</v>
      </c>
      <c r="O46" s="811"/>
      <c r="P46" s="159" t="s">
        <v>1332</v>
      </c>
      <c r="Q46" s="811"/>
      <c r="R46" s="276"/>
      <c r="S46" s="159"/>
      <c r="T46" s="159"/>
    </row>
    <row r="47" spans="1:20" s="630" customFormat="1" x14ac:dyDescent="0.25">
      <c r="A47" s="650"/>
      <c r="B47" s="630" t="s">
        <v>944</v>
      </c>
      <c r="C47" s="631" t="s">
        <v>896</v>
      </c>
      <c r="D47" s="631"/>
      <c r="E47" s="631"/>
      <c r="H47" s="630" t="s">
        <v>918</v>
      </c>
      <c r="I47" s="632" t="s">
        <v>911</v>
      </c>
      <c r="J47" s="633"/>
      <c r="K47" s="634" t="s">
        <v>919</v>
      </c>
      <c r="L47" s="635"/>
      <c r="M47" s="635"/>
      <c r="N47" s="636"/>
      <c r="O47" s="637"/>
      <c r="P47" s="641" t="s">
        <v>945</v>
      </c>
      <c r="Q47" s="642"/>
      <c r="R47" s="643"/>
      <c r="S47" s="641"/>
      <c r="T47" s="641"/>
    </row>
    <row r="48" spans="1:20" s="296" customFormat="1" x14ac:dyDescent="0.25">
      <c r="A48" s="651"/>
      <c r="B48" s="296" t="s">
        <v>909</v>
      </c>
      <c r="C48" s="625" t="s">
        <v>115</v>
      </c>
      <c r="D48" s="625"/>
      <c r="E48" s="625"/>
      <c r="H48" s="296" t="s">
        <v>918</v>
      </c>
      <c r="I48" s="629" t="s">
        <v>909</v>
      </c>
      <c r="J48" s="298"/>
      <c r="K48" s="294" t="s">
        <v>919</v>
      </c>
      <c r="L48" s="299"/>
      <c r="M48" s="299"/>
      <c r="N48" s="626"/>
      <c r="O48" s="549"/>
      <c r="P48" s="296" t="s">
        <v>917</v>
      </c>
      <c r="Q48" s="549"/>
      <c r="R48" s="627"/>
    </row>
    <row r="49" spans="1:1" x14ac:dyDescent="0.25">
      <c r="A49" s="249"/>
    </row>
    <row r="50" spans="1:1" x14ac:dyDescent="0.25">
      <c r="A50" s="249"/>
    </row>
    <row r="51" spans="1:1" x14ac:dyDescent="0.25">
      <c r="A51" s="249"/>
    </row>
    <row r="52" spans="1:1" x14ac:dyDescent="0.25">
      <c r="A52" s="249"/>
    </row>
    <row r="53" spans="1:1" x14ac:dyDescent="0.25">
      <c r="A53" s="249"/>
    </row>
    <row r="54" spans="1:1" x14ac:dyDescent="0.25">
      <c r="A54" s="249"/>
    </row>
    <row r="55" spans="1:1" x14ac:dyDescent="0.25">
      <c r="A55" s="249"/>
    </row>
    <row r="56" spans="1:1" x14ac:dyDescent="0.25">
      <c r="A56" s="249"/>
    </row>
    <row r="57" spans="1:1" x14ac:dyDescent="0.25">
      <c r="A57" s="249"/>
    </row>
    <row r="58" spans="1:1" x14ac:dyDescent="0.25">
      <c r="A58" s="249"/>
    </row>
    <row r="59" spans="1:1" x14ac:dyDescent="0.25">
      <c r="A59" s="249"/>
    </row>
    <row r="60" spans="1:1" x14ac:dyDescent="0.25">
      <c r="A60" s="249"/>
    </row>
    <row r="61" spans="1:1" x14ac:dyDescent="0.25">
      <c r="A61" s="249"/>
    </row>
    <row r="62" spans="1:1" x14ac:dyDescent="0.25">
      <c r="A62" s="249"/>
    </row>
    <row r="63" spans="1:1" x14ac:dyDescent="0.25">
      <c r="A63" s="249"/>
    </row>
    <row r="64" spans="1:1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31"/>
  <sheetViews>
    <sheetView tabSelected="1" topLeftCell="A67" workbookViewId="0">
      <selection activeCell="E78" sqref="E78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41392.109050925923</v>
      </c>
      <c r="C1" s="124" t="s">
        <v>603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18" t="s">
        <v>607</v>
      </c>
      <c r="F3" s="820" t="s">
        <v>608</v>
      </c>
      <c r="G3" s="821"/>
      <c r="H3" s="821"/>
      <c r="I3" s="821"/>
      <c r="J3" s="822"/>
      <c r="K3" s="820" t="s">
        <v>609</v>
      </c>
      <c r="L3" s="821"/>
      <c r="M3" s="821"/>
      <c r="N3" s="821"/>
      <c r="O3" s="822"/>
    </row>
    <row r="4" spans="1:15" s="122" customFormat="1" ht="15.75" thickBot="1" x14ac:dyDescent="0.3">
      <c r="B4" s="157" t="s">
        <v>604</v>
      </c>
      <c r="C4" s="122" t="s">
        <v>605</v>
      </c>
      <c r="E4" s="819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593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7"/>
      <c r="B6" s="778" t="s">
        <v>613</v>
      </c>
      <c r="C6" s="777"/>
      <c r="E6" s="189"/>
      <c r="F6" s="188" t="s">
        <v>626</v>
      </c>
      <c r="G6" s="173"/>
      <c r="H6" s="173"/>
      <c r="I6" s="173"/>
      <c r="J6" s="174"/>
      <c r="K6" s="187" t="s">
        <v>551</v>
      </c>
      <c r="L6" s="173"/>
      <c r="M6" s="173"/>
      <c r="N6" s="173"/>
      <c r="O6" s="174"/>
    </row>
    <row r="7" spans="1:15" s="172" customFormat="1" hidden="1" outlineLevel="1" x14ac:dyDescent="0.25">
      <c r="A7" s="752">
        <v>41391.236516203702</v>
      </c>
      <c r="B7" s="753" t="s">
        <v>595</v>
      </c>
      <c r="C7" s="301" t="s">
        <v>593</v>
      </c>
      <c r="D7" s="195"/>
      <c r="E7" s="196" t="s">
        <v>70</v>
      </c>
      <c r="F7" s="424" t="s">
        <v>761</v>
      </c>
      <c r="G7" s="425" t="s">
        <v>762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2">
        <v>41391.250104166669</v>
      </c>
      <c r="B8" s="753" t="s">
        <v>769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TOCmatch!B$20</f>
        <v>SF_PA</v>
      </c>
      <c r="O8" s="198"/>
    </row>
    <row r="9" spans="1:15" s="172" customFormat="1" hidden="1" outlineLevel="1" x14ac:dyDescent="0.25">
      <c r="A9" s="752">
        <v>41391.250104166669</v>
      </c>
      <c r="B9" s="753" t="s">
        <v>606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7">
        <v>41391.250138888892</v>
      </c>
      <c r="B10" s="755" t="s">
        <v>617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2">
        <v>41391.250150462962</v>
      </c>
      <c r="B11" s="753" t="s">
        <v>643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6"/>
      <c r="B12" s="757" t="s">
        <v>614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613</v>
      </c>
      <c r="C13" s="463"/>
      <c r="D13" s="464"/>
      <c r="E13" s="465" t="s">
        <v>201</v>
      </c>
      <c r="F13" s="466" t="s">
        <v>627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2">
        <v>41391.235983796294</v>
      </c>
      <c r="B14" s="753" t="s">
        <v>595</v>
      </c>
      <c r="C14" s="301" t="s">
        <v>593</v>
      </c>
      <c r="D14" s="195"/>
      <c r="E14" s="196" t="s">
        <v>70</v>
      </c>
      <c r="F14" s="424" t="s">
        <v>767</v>
      </c>
      <c r="G14" s="425" t="s">
        <v>768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2">
        <v>41391.250219907408</v>
      </c>
      <c r="B15" s="753" t="s">
        <v>769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7">
        <v>41391.250219907408</v>
      </c>
      <c r="B16" s="753" t="s">
        <v>606</v>
      </c>
      <c r="C16" s="301" t="str">
        <f>B15</f>
        <v>Adapt</v>
      </c>
      <c r="D16" s="195"/>
      <c r="E16" s="196" t="s">
        <v>70</v>
      </c>
      <c r="F16" s="270" t="s">
        <v>556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7">
        <v>41391.250219907408</v>
      </c>
      <c r="B17" s="755" t="s">
        <v>610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2">
        <v>41391.250231481485</v>
      </c>
      <c r="B18" s="753" t="s">
        <v>643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6"/>
      <c r="B19" s="757" t="s">
        <v>614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2"/>
      <c r="B20" s="753" t="s">
        <v>613</v>
      </c>
      <c r="C20" s="754"/>
      <c r="D20" s="211"/>
      <c r="E20" s="196"/>
      <c r="F20" s="219" t="s">
        <v>628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2">
        <v>41385.576793981483</v>
      </c>
      <c r="B21" s="753" t="s">
        <v>642</v>
      </c>
      <c r="C21" s="301" t="s">
        <v>593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2">
        <v>41385.576793981483</v>
      </c>
      <c r="B22" s="753" t="s">
        <v>595</v>
      </c>
      <c r="C22" s="658" t="str">
        <f>B21</f>
        <v>Acc1C_Bottom</v>
      </c>
      <c r="D22" s="195"/>
      <c r="E22" s="196" t="s">
        <v>70</v>
      </c>
      <c r="F22" s="199" t="s">
        <v>649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194">
        <v>41385.576840277776</v>
      </c>
      <c r="B23" s="195" t="s">
        <v>769</v>
      </c>
      <c r="C23" s="159" t="str">
        <f>B22</f>
        <v>InsMyCol</v>
      </c>
      <c r="D23" s="195"/>
      <c r="E23" s="196" t="s">
        <v>201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194">
        <v>41385.576840277776</v>
      </c>
      <c r="B24" s="195" t="s">
        <v>643</v>
      </c>
      <c r="C24" s="159" t="str">
        <f>B23</f>
        <v>Adapt</v>
      </c>
      <c r="D24" s="5"/>
      <c r="E24" s="217" t="s">
        <v>201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00"/>
      <c r="B25" s="239" t="s">
        <v>614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5"/>
      <c r="B26" s="696" t="s">
        <v>613</v>
      </c>
      <c r="C26" s="697"/>
      <c r="D26" s="308"/>
      <c r="E26" s="309" t="s">
        <v>201</v>
      </c>
      <c r="F26" s="310" t="s">
        <v>629</v>
      </c>
      <c r="G26" s="308"/>
      <c r="H26" s="308"/>
      <c r="I26" s="308"/>
      <c r="J26" s="311"/>
      <c r="K26" s="312" t="s">
        <v>558</v>
      </c>
      <c r="L26" s="313"/>
      <c r="M26" s="308"/>
      <c r="N26" s="313"/>
      <c r="O26" s="311"/>
    </row>
    <row r="27" spans="1:15" hidden="1" outlineLevel="1" x14ac:dyDescent="0.25">
      <c r="A27" s="752">
        <v>41391.237928240742</v>
      </c>
      <c r="B27" s="753" t="s">
        <v>595</v>
      </c>
      <c r="C27" s="301" t="s">
        <v>593</v>
      </c>
      <c r="D27" s="195"/>
      <c r="E27" s="196" t="s">
        <v>70</v>
      </c>
      <c r="F27" s="199" t="s">
        <v>611</v>
      </c>
      <c r="G27" s="200" t="s">
        <v>612</v>
      </c>
      <c r="H27" s="214"/>
      <c r="I27" s="214"/>
      <c r="J27" s="221"/>
      <c r="K27" s="222" t="s">
        <v>558</v>
      </c>
      <c r="L27" s="214"/>
      <c r="M27" s="214"/>
      <c r="N27" s="214"/>
      <c r="O27" s="221"/>
    </row>
    <row r="28" spans="1:15" ht="45" hidden="1" outlineLevel="1" x14ac:dyDescent="0.25">
      <c r="A28" s="752">
        <v>41391.238217592596</v>
      </c>
      <c r="B28" s="753" t="s">
        <v>769</v>
      </c>
      <c r="C28" s="301" t="s">
        <v>637</v>
      </c>
      <c r="D28" s="214"/>
      <c r="E28" s="217" t="s">
        <v>70</v>
      </c>
      <c r="F28" s="199" t="s">
        <v>611</v>
      </c>
      <c r="G28" s="200"/>
      <c r="H28" s="214"/>
      <c r="I28" s="214"/>
      <c r="J28" s="221"/>
      <c r="K28" s="222" t="s">
        <v>558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2">
        <v>41391.238217592596</v>
      </c>
      <c r="B29" s="753" t="s">
        <v>606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558</v>
      </c>
      <c r="L29" s="214"/>
      <c r="M29" s="214"/>
      <c r="N29" s="214"/>
      <c r="O29" s="215"/>
    </row>
    <row r="30" spans="1:15" hidden="1" outlineLevel="1" x14ac:dyDescent="0.25">
      <c r="A30" s="752">
        <v>41391.240185185183</v>
      </c>
      <c r="B30" s="755" t="s">
        <v>651</v>
      </c>
      <c r="C30" s="658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551</v>
      </c>
      <c r="L30" s="214"/>
      <c r="M30" s="214"/>
      <c r="N30" s="214"/>
      <c r="O30" s="221"/>
    </row>
    <row r="31" spans="1:15" s="186" customFormat="1" hidden="1" outlineLevel="1" x14ac:dyDescent="0.25">
      <c r="A31" s="756"/>
      <c r="B31" s="757" t="s">
        <v>614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558</v>
      </c>
      <c r="L31" s="210"/>
      <c r="M31" s="207"/>
      <c r="N31" s="210"/>
      <c r="O31" s="208"/>
    </row>
    <row r="32" spans="1:15" s="172" customFormat="1" collapsed="1" x14ac:dyDescent="0.25">
      <c r="A32" s="714"/>
      <c r="B32" s="227" t="s">
        <v>613</v>
      </c>
      <c r="C32" s="715"/>
      <c r="D32" s="302"/>
      <c r="E32" s="303" t="s">
        <v>201</v>
      </c>
      <c r="F32" s="304" t="s">
        <v>630</v>
      </c>
      <c r="G32" s="302"/>
      <c r="H32" s="302"/>
      <c r="I32" s="302"/>
      <c r="J32" s="305"/>
      <c r="K32" s="306" t="s">
        <v>561</v>
      </c>
      <c r="L32" s="307"/>
      <c r="M32" s="302"/>
      <c r="N32" s="307"/>
      <c r="O32" s="305"/>
    </row>
    <row r="33" spans="1:15" hidden="1" outlineLevel="1" x14ac:dyDescent="0.25">
      <c r="A33" s="752">
        <v>41391.234768518516</v>
      </c>
      <c r="B33" s="753" t="s">
        <v>595</v>
      </c>
      <c r="C33" s="301" t="s">
        <v>593</v>
      </c>
      <c r="D33" s="195"/>
      <c r="E33" s="196" t="s">
        <v>70</v>
      </c>
      <c r="F33" s="199" t="s">
        <v>638</v>
      </c>
      <c r="G33" s="200" t="s">
        <v>639</v>
      </c>
      <c r="H33" s="214"/>
      <c r="I33" s="214"/>
      <c r="J33" s="221"/>
      <c r="K33" s="222" t="s">
        <v>561</v>
      </c>
      <c r="M33" s="214"/>
      <c r="N33" s="214"/>
      <c r="O33" s="221"/>
    </row>
    <row r="34" spans="1:15" hidden="1" outlineLevel="1" x14ac:dyDescent="0.25">
      <c r="A34" s="194">
        <v>41391.234872685185</v>
      </c>
      <c r="B34" s="195" t="s">
        <v>769</v>
      </c>
      <c r="C34" s="234" t="str">
        <f>B33</f>
        <v>InsMyCol</v>
      </c>
      <c r="D34" s="195"/>
      <c r="E34" s="196" t="s">
        <v>201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561</v>
      </c>
      <c r="L34" s="5" t="str">
        <f>TOCmatch!B$10</f>
        <v>Договоры</v>
      </c>
      <c r="M34" s="214"/>
      <c r="N34" s="214"/>
      <c r="O34" s="221"/>
    </row>
    <row r="35" spans="1:15" hidden="1" outlineLevel="1" x14ac:dyDescent="0.25">
      <c r="A35" s="194">
        <v>41391.234872685185</v>
      </c>
      <c r="B35" s="195" t="s">
        <v>606</v>
      </c>
      <c r="C35" s="234" t="str">
        <f>B34</f>
        <v>Adapt</v>
      </c>
      <c r="D35" s="195"/>
      <c r="E35" s="196" t="s">
        <v>201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561</v>
      </c>
      <c r="L35" s="214"/>
      <c r="M35" s="214"/>
      <c r="N35" s="214"/>
      <c r="O35" s="215"/>
    </row>
    <row r="36" spans="1:15" hidden="1" outlineLevel="1" x14ac:dyDescent="0.25">
      <c r="A36" s="194">
        <v>41388.852777777778</v>
      </c>
      <c r="B36" s="201" t="s">
        <v>651</v>
      </c>
      <c r="C36" s="159" t="str">
        <f>B35</f>
        <v>DateSort</v>
      </c>
      <c r="D36" s="5"/>
      <c r="E36" s="217" t="s">
        <v>201</v>
      </c>
      <c r="F36" s="199" t="str">
        <f>F13</f>
        <v>LOAD_1C_DOG</v>
      </c>
      <c r="G36" s="200"/>
      <c r="H36" s="214"/>
      <c r="I36" s="214"/>
      <c r="J36" s="221"/>
      <c r="K36" s="222" t="s">
        <v>556</v>
      </c>
      <c r="L36" s="214"/>
      <c r="M36" s="214"/>
      <c r="N36" s="214"/>
      <c r="O36" s="221"/>
    </row>
    <row r="37" spans="1:15" s="186" customFormat="1" hidden="1" outlineLevel="1" x14ac:dyDescent="0.25">
      <c r="A37" s="203"/>
      <c r="B37" s="204" t="s">
        <v>614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613</v>
      </c>
      <c r="C38" s="463"/>
      <c r="D38" s="464"/>
      <c r="E38" s="465" t="s">
        <v>201</v>
      </c>
      <c r="F38" s="466" t="s">
        <v>631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2">
        <v>41391.250150462962</v>
      </c>
      <c r="B39" s="753" t="s">
        <v>651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2">
        <v>41391.250231481485</v>
      </c>
      <c r="B40" s="753" t="s">
        <v>651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194">
        <v>41385.531412037039</v>
      </c>
      <c r="B41" s="195" t="s">
        <v>651</v>
      </c>
      <c r="C41" s="234"/>
      <c r="D41" s="5"/>
      <c r="E41" s="217" t="s">
        <v>201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00"/>
      <c r="B42" s="239" t="s">
        <v>614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collapsed="1" x14ac:dyDescent="0.25">
      <c r="A43" s="777"/>
      <c r="B43" s="778" t="s">
        <v>613</v>
      </c>
      <c r="C43" s="777"/>
      <c r="E43" s="189"/>
      <c r="F43" s="188" t="s">
        <v>633</v>
      </c>
      <c r="G43" s="173"/>
      <c r="H43" s="173"/>
      <c r="I43" s="173"/>
      <c r="J43" s="174"/>
      <c r="K43" s="187" t="str">
        <f>TOCmatch!B28</f>
        <v>Заказы</v>
      </c>
      <c r="L43" s="173"/>
      <c r="M43" s="173"/>
      <c r="N43" s="173"/>
      <c r="O43" s="174"/>
    </row>
    <row r="44" spans="1:15" s="172" customFormat="1" outlineLevel="1" x14ac:dyDescent="0.25">
      <c r="A44" s="752">
        <v>41389.659594907411</v>
      </c>
      <c r="B44" s="753" t="s">
        <v>842</v>
      </c>
      <c r="C44" s="301" t="s">
        <v>593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outlineLevel="1" x14ac:dyDescent="0.25">
      <c r="A45" s="752">
        <v>41389.65960648148</v>
      </c>
      <c r="B45" s="753" t="s">
        <v>595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outlineLevel="1" x14ac:dyDescent="0.25">
      <c r="A46" s="216"/>
      <c r="B46" s="195" t="s">
        <v>618</v>
      </c>
      <c r="C46" s="235"/>
      <c r="D46" s="195"/>
      <c r="E46" s="196"/>
      <c r="F46" s="213" t="s">
        <v>70</v>
      </c>
      <c r="G46" s="220"/>
      <c r="H46" s="197"/>
      <c r="I46" s="197"/>
      <c r="J46" s="198"/>
      <c r="K46" s="546"/>
      <c r="L46" s="200"/>
      <c r="M46" s="197"/>
      <c r="N46" s="200"/>
      <c r="O46" s="198"/>
    </row>
    <row r="47" spans="1:15" s="172" customFormat="1" outlineLevel="1" x14ac:dyDescent="0.25">
      <c r="A47" s="194">
        <v>41389.659861111111</v>
      </c>
      <c r="B47" s="195" t="s">
        <v>769</v>
      </c>
      <c r="C47" s="655" t="str">
        <f>B45</f>
        <v>InsMyCol</v>
      </c>
      <c r="D47" s="195"/>
      <c r="E47" s="196" t="s">
        <v>70</v>
      </c>
      <c r="F47" s="188" t="s">
        <v>847</v>
      </c>
      <c r="G47" s="220"/>
      <c r="H47" s="220"/>
      <c r="I47" s="220"/>
      <c r="J47" s="544"/>
      <c r="K47" s="199" t="str">
        <f>K44</f>
        <v>Заказы</v>
      </c>
      <c r="L47" s="200" t="str">
        <f>TOCmatch!B9</f>
        <v>Платежи</v>
      </c>
      <c r="M47" s="197"/>
      <c r="O47" s="198"/>
    </row>
    <row r="48" spans="1:15" s="186" customFormat="1" ht="15.75" outlineLevel="1" thickBot="1" x14ac:dyDescent="0.3">
      <c r="A48" s="203"/>
      <c r="B48" s="204" t="s">
        <v>614</v>
      </c>
      <c r="C48" s="236"/>
      <c r="D48" s="204"/>
      <c r="E48" s="205"/>
      <c r="F48" s="206"/>
      <c r="G48" s="207"/>
      <c r="H48" s="207"/>
      <c r="I48" s="207"/>
      <c r="J48" s="208"/>
      <c r="K48" s="209"/>
      <c r="L48" s="210"/>
      <c r="M48" s="207"/>
      <c r="N48" s="210"/>
      <c r="O48" s="208"/>
    </row>
    <row r="49" spans="1:15" s="172" customFormat="1" ht="16.5" thickTop="1" thickBot="1" x14ac:dyDescent="0.3">
      <c r="A49" s="777"/>
      <c r="B49" s="778" t="s">
        <v>613</v>
      </c>
      <c r="C49" s="777"/>
      <c r="E49" s="475" t="s">
        <v>201</v>
      </c>
      <c r="F49" s="188" t="s">
        <v>632</v>
      </c>
      <c r="G49" s="173"/>
      <c r="H49" s="173"/>
      <c r="I49" s="173"/>
      <c r="J49" s="174"/>
      <c r="K49" s="187" t="str">
        <f>TOCmatch!B22</f>
        <v>Склад</v>
      </c>
      <c r="L49" s="173"/>
      <c r="M49" s="173"/>
      <c r="N49" s="173"/>
      <c r="O49" s="174"/>
    </row>
    <row r="50" spans="1:15" s="172" customFormat="1" ht="15.75" outlineLevel="1" thickTop="1" x14ac:dyDescent="0.25">
      <c r="A50" s="752">
        <v>41369.796759259261</v>
      </c>
      <c r="B50" s="753" t="s">
        <v>842</v>
      </c>
      <c r="C50" s="301" t="s">
        <v>593</v>
      </c>
      <c r="D50" s="195"/>
      <c r="E50" s="196" t="s">
        <v>70</v>
      </c>
      <c r="F50" s="213" t="s">
        <v>843</v>
      </c>
      <c r="G50" s="220"/>
      <c r="H50" s="197"/>
      <c r="I50" s="197"/>
      <c r="J50" s="198"/>
      <c r="K50" s="546" t="str">
        <f>K49</f>
        <v>Склад</v>
      </c>
      <c r="L50" s="200"/>
      <c r="M50" s="197"/>
      <c r="N50" s="200"/>
      <c r="O50" s="198"/>
    </row>
    <row r="51" spans="1:15" s="172" customFormat="1" outlineLevel="1" x14ac:dyDescent="0.25">
      <c r="A51" s="752">
        <v>41369.796909722223</v>
      </c>
      <c r="B51" s="753" t="s">
        <v>595</v>
      </c>
      <c r="C51" s="472" t="str">
        <f>B50</f>
        <v>RowDel</v>
      </c>
      <c r="D51" s="195"/>
      <c r="E51" s="196" t="s">
        <v>70</v>
      </c>
      <c r="F51" s="199" t="s">
        <v>844</v>
      </c>
      <c r="G51" s="220"/>
      <c r="H51" s="197"/>
      <c r="I51" s="197"/>
      <c r="J51" s="198"/>
      <c r="K51" s="199" t="str">
        <f>K49</f>
        <v>Склад</v>
      </c>
      <c r="L51" s="200"/>
      <c r="M51" s="197"/>
      <c r="N51" s="200"/>
      <c r="O51" s="198"/>
    </row>
    <row r="52" spans="1:15" s="172" customFormat="1" x14ac:dyDescent="0.25">
      <c r="A52" s="194"/>
      <c r="B52" s="195" t="s">
        <v>618</v>
      </c>
      <c r="C52" s="235"/>
      <c r="D52" s="195"/>
      <c r="E52" s="196" t="s">
        <v>201</v>
      </c>
      <c r="F52" s="213" t="s">
        <v>70</v>
      </c>
      <c r="G52" s="220" t="s">
        <v>963</v>
      </c>
      <c r="H52" s="197"/>
      <c r="I52" s="197"/>
      <c r="J52" s="198"/>
      <c r="K52" s="199"/>
      <c r="L52" s="200"/>
      <c r="M52" s="197"/>
      <c r="N52" s="200"/>
      <c r="O52" s="198"/>
    </row>
    <row r="53" spans="1:15" s="172" customFormat="1" outlineLevel="1" x14ac:dyDescent="0.25">
      <c r="A53" s="194">
        <v>41249.044224537036</v>
      </c>
      <c r="B53" s="195" t="s">
        <v>769</v>
      </c>
      <c r="C53" s="655" t="str">
        <f>B51</f>
        <v>InsMyCol</v>
      </c>
      <c r="D53" s="195"/>
      <c r="E53" s="196" t="s">
        <v>201</v>
      </c>
      <c r="F53" s="188" t="str">
        <f>F51</f>
        <v>Stock_MyCol</v>
      </c>
      <c r="G53" s="220"/>
      <c r="H53" s="197"/>
      <c r="I53" s="197"/>
      <c r="J53" s="198"/>
      <c r="K53" s="199" t="str">
        <f>K49</f>
        <v>Склад</v>
      </c>
      <c r="L53" s="200" t="str">
        <f>L130</f>
        <v>Платежи</v>
      </c>
      <c r="M53" s="197"/>
      <c r="N53" s="300" t="str">
        <f>TOCmatch!B14</f>
        <v>SF</v>
      </c>
      <c r="O53" s="198"/>
    </row>
    <row r="54" spans="1:15" s="186" customFormat="1" ht="15.75" outlineLevel="1" thickBot="1" x14ac:dyDescent="0.3">
      <c r="A54" s="203"/>
      <c r="B54" s="204" t="s">
        <v>614</v>
      </c>
      <c r="C54" s="236"/>
      <c r="D54" s="204"/>
      <c r="E54" s="205" t="s">
        <v>201</v>
      </c>
      <c r="F54" s="206"/>
      <c r="G54" s="207"/>
      <c r="H54" s="207"/>
      <c r="I54" s="207"/>
      <c r="J54" s="208"/>
      <c r="K54" s="209"/>
      <c r="L54" s="210"/>
      <c r="M54" s="207"/>
      <c r="N54" s="210"/>
      <c r="O54" s="208"/>
    </row>
    <row r="55" spans="1:15" s="172" customFormat="1" ht="15.75" thickTop="1" x14ac:dyDescent="0.25">
      <c r="A55" s="695"/>
      <c r="B55" s="696" t="s">
        <v>613</v>
      </c>
      <c r="C55" s="697"/>
      <c r="D55" s="308"/>
      <c r="E55" s="309" t="s">
        <v>201</v>
      </c>
      <c r="F55" s="310" t="s">
        <v>635</v>
      </c>
      <c r="G55" s="308"/>
      <c r="H55" s="308"/>
      <c r="I55" s="308"/>
      <c r="J55" s="311"/>
      <c r="K55" s="470" t="s">
        <v>551</v>
      </c>
      <c r="L55" s="313"/>
      <c r="M55" s="308"/>
      <c r="N55" s="313"/>
      <c r="O55" s="311"/>
    </row>
    <row r="56" spans="1:15" s="172" customFormat="1" x14ac:dyDescent="0.25">
      <c r="A56" s="216"/>
      <c r="B56" s="195" t="s">
        <v>618</v>
      </c>
      <c r="C56" s="235"/>
      <c r="D56" s="195"/>
      <c r="E56" s="196"/>
      <c r="F56" s="213" t="s">
        <v>70</v>
      </c>
      <c r="G56" s="220"/>
      <c r="H56" s="197"/>
      <c r="I56" s="197"/>
      <c r="J56" s="198"/>
      <c r="K56" s="199"/>
      <c r="L56" s="200"/>
      <c r="M56" s="197"/>
      <c r="N56" s="200"/>
      <c r="O56" s="198"/>
    </row>
    <row r="57" spans="1:15" ht="30" x14ac:dyDescent="0.25">
      <c r="A57" s="216"/>
      <c r="B57" s="201" t="s">
        <v>652</v>
      </c>
      <c r="C57" s="234" t="s">
        <v>653</v>
      </c>
      <c r="D57" s="5"/>
      <c r="E57" s="217" t="s">
        <v>201</v>
      </c>
      <c r="F57" s="199"/>
      <c r="G57" s="200"/>
      <c r="H57" s="214"/>
      <c r="I57" s="214"/>
      <c r="J57" s="221"/>
      <c r="K57" s="222" t="s">
        <v>551</v>
      </c>
      <c r="L57" s="214"/>
      <c r="M57" s="214"/>
      <c r="N57" s="214"/>
      <c r="O57" s="221"/>
    </row>
    <row r="58" spans="1:15" x14ac:dyDescent="0.25">
      <c r="A58" s="216"/>
      <c r="B58" s="201" t="s">
        <v>620</v>
      </c>
      <c r="C58" s="238" t="s">
        <v>619</v>
      </c>
      <c r="D58" s="5"/>
      <c r="E58" s="217"/>
      <c r="F58" s="199" t="s">
        <v>621</v>
      </c>
      <c r="G58" s="200" t="s">
        <v>622</v>
      </c>
      <c r="H58" s="214" t="s">
        <v>623</v>
      </c>
      <c r="I58" s="214" t="s">
        <v>624</v>
      </c>
      <c r="J58" s="221"/>
      <c r="K58" s="222"/>
      <c r="L58" s="214"/>
      <c r="M58" s="214"/>
      <c r="N58" s="214"/>
      <c r="O58" s="221"/>
    </row>
    <row r="59" spans="1:15" s="186" customFormat="1" ht="15.75" thickBot="1" x14ac:dyDescent="0.3">
      <c r="A59" s="203"/>
      <c r="B59" s="204" t="s">
        <v>614</v>
      </c>
      <c r="C59" s="236"/>
      <c r="D59" s="204"/>
      <c r="E59" s="205" t="s">
        <v>201</v>
      </c>
      <c r="F59" s="206"/>
      <c r="G59" s="207"/>
      <c r="H59" s="207"/>
      <c r="I59" s="207"/>
      <c r="J59" s="208"/>
      <c r="K59" s="209"/>
      <c r="L59" s="210"/>
      <c r="M59" s="207"/>
      <c r="N59" s="210"/>
      <c r="O59" s="208"/>
    </row>
    <row r="60" spans="1:15" s="172" customFormat="1" ht="16.5" thickTop="1" thickBot="1" x14ac:dyDescent="0.3">
      <c r="A60" s="194"/>
      <c r="B60" s="195" t="s">
        <v>613</v>
      </c>
      <c r="C60" s="237"/>
      <c r="D60" s="211"/>
      <c r="E60" s="475" t="s">
        <v>201</v>
      </c>
      <c r="F60" s="212" t="s">
        <v>792</v>
      </c>
      <c r="G60" s="197"/>
      <c r="H60" s="197"/>
      <c r="I60" s="197"/>
      <c r="J60" s="198"/>
      <c r="K60" s="187" t="str">
        <f>TOCmatch!B8</f>
        <v>Платежи</v>
      </c>
      <c r="L60" s="200"/>
      <c r="M60" s="197"/>
      <c r="N60" s="200"/>
      <c r="O60" s="198"/>
    </row>
    <row r="61" spans="1:15" s="172" customFormat="1" ht="15.75" thickTop="1" x14ac:dyDescent="0.25">
      <c r="A61" s="194"/>
      <c r="B61" s="195" t="s">
        <v>618</v>
      </c>
      <c r="C61" s="235"/>
      <c r="D61" s="195"/>
      <c r="E61" s="196" t="s">
        <v>201</v>
      </c>
      <c r="F61" s="213" t="s">
        <v>70</v>
      </c>
      <c r="G61" s="220"/>
      <c r="H61" s="197"/>
      <c r="I61" s="197"/>
      <c r="J61" s="198"/>
      <c r="K61" s="199"/>
      <c r="L61" s="200"/>
      <c r="M61" s="197"/>
      <c r="N61" s="200"/>
      <c r="O61" s="198"/>
    </row>
    <row r="62" spans="1:15" s="172" customFormat="1" x14ac:dyDescent="0.25">
      <c r="A62" s="263">
        <v>41260.062905092593</v>
      </c>
      <c r="B62" s="264" t="s">
        <v>667</v>
      </c>
      <c r="C62" s="265"/>
      <c r="D62" s="211"/>
      <c r="E62" s="196" t="s">
        <v>70</v>
      </c>
      <c r="F62" s="266" t="s">
        <v>793</v>
      </c>
      <c r="G62" s="197"/>
      <c r="H62" s="197"/>
      <c r="I62" s="197"/>
      <c r="J62" s="198"/>
      <c r="K62" s="266" t="str">
        <f>F62</f>
        <v>NewPayment</v>
      </c>
      <c r="L62" s="200"/>
      <c r="M62" s="197"/>
      <c r="N62" s="200"/>
      <c r="O62" s="198"/>
    </row>
    <row r="63" spans="1:15" s="172" customFormat="1" x14ac:dyDescent="0.25">
      <c r="A63" s="194"/>
      <c r="B63" s="195" t="s">
        <v>794</v>
      </c>
      <c r="C63" s="460" t="str">
        <f>B62</f>
        <v>NewSheet</v>
      </c>
      <c r="D63" s="195"/>
      <c r="E63" s="196" t="s">
        <v>201</v>
      </c>
      <c r="F63" s="213"/>
      <c r="G63" s="220"/>
      <c r="H63" s="197"/>
      <c r="I63" s="197"/>
      <c r="J63" s="198"/>
      <c r="K63" s="199" t="str">
        <f>K60</f>
        <v>Платежи</v>
      </c>
      <c r="L63" s="300" t="str">
        <f>TOCmatch!B16</f>
        <v>SFopp</v>
      </c>
      <c r="M63" s="197"/>
      <c r="N63" s="200"/>
      <c r="O63" s="198"/>
    </row>
    <row r="64" spans="1:15" s="172" customFormat="1" x14ac:dyDescent="0.25">
      <c r="A64" s="194"/>
      <c r="B64" s="201" t="s">
        <v>620</v>
      </c>
      <c r="C64" s="460" t="str">
        <f>B63</f>
        <v>NewPaidOpp</v>
      </c>
      <c r="D64" s="195"/>
      <c r="E64" s="196" t="s">
        <v>201</v>
      </c>
      <c r="F64" s="266" t="s">
        <v>793</v>
      </c>
      <c r="G64" s="200" t="s">
        <v>791</v>
      </c>
      <c r="H64" s="214" t="s">
        <v>798</v>
      </c>
      <c r="I64" s="214" t="s">
        <v>799</v>
      </c>
      <c r="J64" s="198"/>
      <c r="K64" s="199"/>
      <c r="L64" s="200"/>
      <c r="M64" s="197"/>
      <c r="N64" s="200"/>
      <c r="O64" s="198"/>
    </row>
    <row r="65" spans="1:19" s="186" customFormat="1" ht="15.75" thickBot="1" x14ac:dyDescent="0.3">
      <c r="A65" s="203"/>
      <c r="B65" s="204" t="s">
        <v>614</v>
      </c>
      <c r="C65" s="236">
        <v>224</v>
      </c>
      <c r="D65" s="204"/>
      <c r="E65" s="205" t="s">
        <v>201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9" s="172" customFormat="1" ht="16.5" thickTop="1" thickBot="1" x14ac:dyDescent="0.3">
      <c r="A66" s="194"/>
      <c r="B66" s="195" t="s">
        <v>613</v>
      </c>
      <c r="C66" s="237"/>
      <c r="D66" s="211"/>
      <c r="E66" s="475" t="s">
        <v>201</v>
      </c>
      <c r="F66" s="212" t="s">
        <v>1048</v>
      </c>
      <c r="G66" s="197"/>
      <c r="H66" s="197"/>
      <c r="I66" s="197"/>
      <c r="J66" s="198"/>
      <c r="K66" s="187" t="str">
        <f>TOCmatch!B8</f>
        <v>Платежи</v>
      </c>
      <c r="L66" s="200"/>
      <c r="M66" s="197"/>
      <c r="N66" s="200"/>
      <c r="O66" s="198"/>
      <c r="P66" s="761"/>
    </row>
    <row r="67" spans="1:19" s="172" customFormat="1" ht="15.75" thickTop="1" x14ac:dyDescent="0.25">
      <c r="A67" s="194">
        <v>41388.802974537037</v>
      </c>
      <c r="B67" s="195" t="s">
        <v>769</v>
      </c>
      <c r="C67" s="800" t="str">
        <f>F6&amp;"/"&amp;B10</f>
        <v>LOAD_1C_P/PaymentPaint</v>
      </c>
      <c r="D67" s="195"/>
      <c r="E67" s="196" t="s">
        <v>201</v>
      </c>
      <c r="F67" s="763" t="s">
        <v>1049</v>
      </c>
      <c r="G67" s="764" t="str">
        <f>K67</f>
        <v>Платежи</v>
      </c>
      <c r="H67" s="765" t="str">
        <f>F68</f>
        <v>NewPayment</v>
      </c>
      <c r="I67" s="197"/>
      <c r="J67" s="198"/>
      <c r="K67" s="199" t="str">
        <f>K66</f>
        <v>Платежи</v>
      </c>
      <c r="L67" s="300" t="str">
        <f>TOCmatch!B16</f>
        <v>SFopp</v>
      </c>
      <c r="N67" s="200"/>
      <c r="O67" s="198"/>
      <c r="P67" s="761"/>
    </row>
    <row r="68" spans="1:19" s="172" customFormat="1" x14ac:dyDescent="0.25">
      <c r="A68" s="194">
        <v>41388.802974537037</v>
      </c>
      <c r="B68" s="201" t="s">
        <v>620</v>
      </c>
      <c r="C68" s="460" t="str">
        <f>B67</f>
        <v>Adapt</v>
      </c>
      <c r="D68" s="195"/>
      <c r="E68" s="196" t="s">
        <v>201</v>
      </c>
      <c r="F68" s="266" t="s">
        <v>793</v>
      </c>
      <c r="G68" s="200" t="s">
        <v>791</v>
      </c>
      <c r="H68" s="214" t="s">
        <v>798</v>
      </c>
      <c r="I68" s="214" t="s">
        <v>799</v>
      </c>
      <c r="J68" s="198"/>
      <c r="K68" s="266" t="str">
        <f>F68</f>
        <v>NewPayment</v>
      </c>
      <c r="M68" s="197"/>
      <c r="N68" s="200"/>
      <c r="O68" s="198"/>
      <c r="P68" s="761"/>
    </row>
    <row r="69" spans="1:19" s="186" customFormat="1" ht="15.75" thickBot="1" x14ac:dyDescent="0.3">
      <c r="A69" s="203"/>
      <c r="B69" s="204" t="s">
        <v>614</v>
      </c>
      <c r="C69" s="780">
        <v>13</v>
      </c>
      <c r="D69" s="204"/>
      <c r="E69" s="202" t="s">
        <v>201</v>
      </c>
      <c r="F69" s="206"/>
      <c r="G69" s="207"/>
      <c r="H69" s="207"/>
      <c r="I69" s="207"/>
      <c r="J69" s="208"/>
      <c r="K69" s="209"/>
      <c r="L69" s="210"/>
      <c r="M69" s="207"/>
      <c r="N69" s="210"/>
      <c r="O69" s="208"/>
      <c r="P69" s="762"/>
    </row>
    <row r="70" spans="1:19" s="172" customFormat="1" ht="16.5" thickTop="1" thickBot="1" x14ac:dyDescent="0.3">
      <c r="A70" s="194"/>
      <c r="B70" s="195" t="s">
        <v>613</v>
      </c>
      <c r="C70" s="237"/>
      <c r="D70" s="211"/>
      <c r="E70" s="475" t="s">
        <v>201</v>
      </c>
      <c r="F70" s="212" t="s">
        <v>795</v>
      </c>
      <c r="G70" s="197"/>
      <c r="H70" s="197"/>
      <c r="I70" s="197"/>
      <c r="J70" s="198"/>
      <c r="K70" s="187" t="str">
        <f>TOCmatch!B8</f>
        <v>Платежи</v>
      </c>
      <c r="L70" s="200"/>
      <c r="M70" s="197"/>
      <c r="N70" s="200"/>
      <c r="O70" s="198"/>
    </row>
    <row r="71" spans="1:19" s="172" customFormat="1" ht="15.75" thickTop="1" x14ac:dyDescent="0.25">
      <c r="A71" s="194">
        <v>41388.789525462962</v>
      </c>
      <c r="B71" s="195" t="s">
        <v>978</v>
      </c>
      <c r="C71" s="800" t="str">
        <f>F6&amp;"/"&amp;B10</f>
        <v>LOAD_1C_P/PaymentPaint</v>
      </c>
      <c r="D71" s="195"/>
      <c r="E71" s="196" t="s">
        <v>201</v>
      </c>
      <c r="F71" s="266" t="s">
        <v>793</v>
      </c>
      <c r="G71" s="220"/>
      <c r="H71" s="197"/>
      <c r="I71" s="197"/>
      <c r="J71" s="198"/>
      <c r="K71" s="199" t="str">
        <f>K70</f>
        <v>Платежи</v>
      </c>
      <c r="L71" s="300" t="str">
        <f>TOCmatch!B15</f>
        <v>SFD</v>
      </c>
      <c r="M71" s="300" t="str">
        <f>TOCmatch!B16</f>
        <v>SFopp</v>
      </c>
      <c r="N71" s="200"/>
      <c r="O71" s="198"/>
    </row>
    <row r="72" spans="1:19" s="172" customFormat="1" x14ac:dyDescent="0.25">
      <c r="A72" s="194">
        <v>41388.789525462962</v>
      </c>
      <c r="B72" s="201" t="s">
        <v>620</v>
      </c>
      <c r="C72" s="460" t="str">
        <f>B71</f>
        <v>PaidContr</v>
      </c>
      <c r="D72" s="195"/>
      <c r="E72" s="196" t="s">
        <v>201</v>
      </c>
      <c r="F72" s="267" t="str">
        <f>F71</f>
        <v>NewPayment</v>
      </c>
      <c r="G72" s="200" t="s">
        <v>791</v>
      </c>
      <c r="H72" s="214" t="s">
        <v>798</v>
      </c>
      <c r="I72" s="214" t="s">
        <v>799</v>
      </c>
      <c r="J72" s="198"/>
      <c r="K72" s="266" t="str">
        <f>F72</f>
        <v>NewPayment</v>
      </c>
      <c r="M72" s="197"/>
      <c r="N72" s="200"/>
      <c r="O72" s="198"/>
    </row>
    <row r="73" spans="1:19" s="186" customFormat="1" ht="15.75" thickBot="1" x14ac:dyDescent="0.3">
      <c r="A73" s="203"/>
      <c r="B73" s="204" t="s">
        <v>614</v>
      </c>
      <c r="C73" s="780">
        <v>9</v>
      </c>
      <c r="D73" s="204"/>
      <c r="E73" s="202" t="s">
        <v>201</v>
      </c>
      <c r="F73" s="206"/>
      <c r="G73" s="207"/>
      <c r="H73" s="207"/>
      <c r="I73" s="207"/>
      <c r="J73" s="208"/>
      <c r="K73" s="209"/>
      <c r="L73" s="210"/>
      <c r="M73" s="207"/>
      <c r="N73" s="210"/>
      <c r="O73" s="208"/>
    </row>
    <row r="74" spans="1:19" s="172" customFormat="1" ht="16.5" thickTop="1" thickBot="1" x14ac:dyDescent="0.3">
      <c r="A74" s="194"/>
      <c r="B74" s="195" t="s">
        <v>613</v>
      </c>
      <c r="C74" s="237"/>
      <c r="D74" s="211"/>
      <c r="E74" s="475" t="s">
        <v>201</v>
      </c>
      <c r="F74" s="474" t="s">
        <v>658</v>
      </c>
      <c r="G74" s="197"/>
      <c r="H74" s="197"/>
      <c r="I74" s="197"/>
      <c r="J74" s="198"/>
      <c r="K74" s="187" t="str">
        <f>K13</f>
        <v>Договоры</v>
      </c>
      <c r="L74" s="200"/>
      <c r="M74" s="197"/>
      <c r="N74" s="200"/>
      <c r="O74" s="198"/>
    </row>
    <row r="75" spans="1:19" s="172" customFormat="1" ht="15.75" thickTop="1" x14ac:dyDescent="0.25">
      <c r="A75" s="194">
        <v>41388.807662037034</v>
      </c>
      <c r="B75" s="195" t="s">
        <v>657</v>
      </c>
      <c r="C75" s="800" t="str">
        <f>F13&amp;"/"&amp;B14</f>
        <v>LOAD_1C_DOG/InsMyCol</v>
      </c>
      <c r="D75" s="195"/>
      <c r="E75" s="196" t="s">
        <v>201</v>
      </c>
      <c r="F75" s="266" t="s">
        <v>668</v>
      </c>
      <c r="G75" s="220"/>
      <c r="H75" s="197"/>
      <c r="I75" s="197"/>
      <c r="J75" s="198"/>
      <c r="K75" s="199" t="str">
        <f>K74</f>
        <v>Договоры</v>
      </c>
      <c r="L75" s="300" t="str">
        <f>TOCmatch!B15</f>
        <v>SFD</v>
      </c>
      <c r="M75" s="300" t="str">
        <f>TOCmatch!B17</f>
        <v>SFacc</v>
      </c>
      <c r="N75" s="200"/>
      <c r="O75" s="198"/>
    </row>
    <row r="76" spans="1:19" s="172" customFormat="1" x14ac:dyDescent="0.25">
      <c r="A76" s="194">
        <v>41388.807662037034</v>
      </c>
      <c r="B76" s="201" t="s">
        <v>620</v>
      </c>
      <c r="C76" s="460" t="str">
        <f>B75</f>
        <v>NewContr</v>
      </c>
      <c r="D76" s="195"/>
      <c r="E76" s="196" t="s">
        <v>201</v>
      </c>
      <c r="F76" s="267" t="str">
        <f>F75</f>
        <v>NewContract</v>
      </c>
      <c r="G76" s="200" t="s">
        <v>791</v>
      </c>
      <c r="H76" s="214" t="s">
        <v>659</v>
      </c>
      <c r="I76" s="214" t="s">
        <v>660</v>
      </c>
      <c r="J76" s="198"/>
      <c r="K76" s="266" t="str">
        <f>F76</f>
        <v>NewContract</v>
      </c>
      <c r="M76" s="197"/>
      <c r="N76" s="200"/>
      <c r="O76" s="198"/>
    </row>
    <row r="77" spans="1:19" s="186" customFormat="1" ht="15.75" thickBot="1" x14ac:dyDescent="0.3">
      <c r="A77" s="203"/>
      <c r="B77" s="204" t="s">
        <v>614</v>
      </c>
      <c r="C77" s="780">
        <v>0</v>
      </c>
      <c r="D77" s="204"/>
      <c r="E77" s="205" t="s">
        <v>201</v>
      </c>
      <c r="F77" s="206"/>
      <c r="G77" s="207"/>
      <c r="H77" s="207"/>
      <c r="I77" s="207"/>
      <c r="J77" s="208"/>
      <c r="K77" s="209"/>
      <c r="L77" s="210"/>
      <c r="M77" s="207"/>
      <c r="N77" s="210"/>
      <c r="O77" s="208"/>
    </row>
    <row r="78" spans="1:19" s="172" customFormat="1" ht="16.5" thickTop="1" thickBot="1" x14ac:dyDescent="0.3">
      <c r="A78" s="752"/>
      <c r="B78" s="753" t="s">
        <v>613</v>
      </c>
      <c r="C78" s="754"/>
      <c r="D78" s="211"/>
      <c r="E78" s="475" t="s">
        <v>580</v>
      </c>
      <c r="F78" s="474" t="s">
        <v>1333</v>
      </c>
      <c r="G78" s="197"/>
      <c r="H78" s="197"/>
      <c r="I78" s="197"/>
      <c r="J78" s="198"/>
      <c r="K78" s="187" t="str">
        <f>TOCmatch!I28</f>
        <v>Заказы</v>
      </c>
      <c r="L78" s="200"/>
      <c r="M78" s="197"/>
      <c r="N78" s="200"/>
      <c r="O78" s="198"/>
      <c r="P78" s="812"/>
      <c r="Q78" s="812"/>
      <c r="R78" s="812"/>
      <c r="S78" s="812"/>
    </row>
    <row r="79" spans="1:19" s="172" customFormat="1" ht="15.75" thickTop="1" x14ac:dyDescent="0.25">
      <c r="A79" s="752">
        <v>41392.109050925923</v>
      </c>
      <c r="B79" s="753" t="s">
        <v>1331</v>
      </c>
      <c r="C79" s="843" t="str">
        <f>F43&amp;"/"&amp;B47</f>
        <v>LOAD_Order/Adapt</v>
      </c>
      <c r="D79" s="195"/>
      <c r="E79" s="196" t="s">
        <v>70</v>
      </c>
      <c r="F79" s="266" t="str">
        <f>TOCmatch!I46</f>
        <v>NewOrder</v>
      </c>
      <c r="G79" s="220"/>
      <c r="H79" s="197"/>
      <c r="I79" s="197"/>
      <c r="J79" s="198"/>
      <c r="K79" s="199" t="str">
        <f>K78</f>
        <v>Заказы</v>
      </c>
      <c r="L79" s="300" t="str">
        <f>TOCmatch!I8</f>
        <v>Платежи</v>
      </c>
      <c r="M79" s="300" t="str">
        <f>TOCmatch!B21</f>
        <v>SForders</v>
      </c>
      <c r="N79" s="200"/>
      <c r="O79" s="198"/>
      <c r="P79" s="812"/>
      <c r="Q79" s="812"/>
      <c r="R79" s="812"/>
      <c r="S79" s="812"/>
    </row>
    <row r="80" spans="1:19" s="172" customFormat="1" x14ac:dyDescent="0.25">
      <c r="A80" s="752">
        <v>41392.109050925923</v>
      </c>
      <c r="B80" s="755" t="s">
        <v>620</v>
      </c>
      <c r="C80" s="573" t="str">
        <f>B79</f>
        <v>NewOrder</v>
      </c>
      <c r="D80" s="195"/>
      <c r="E80" s="196" t="s">
        <v>70</v>
      </c>
      <c r="F80" s="267" t="str">
        <f>F79</f>
        <v>NewOrder</v>
      </c>
      <c r="G80" s="200" t="s">
        <v>791</v>
      </c>
      <c r="H80" s="214" t="s">
        <v>1334</v>
      </c>
      <c r="I80" s="214" t="s">
        <v>1335</v>
      </c>
      <c r="J80" s="198"/>
      <c r="K80" s="266" t="str">
        <f>F80</f>
        <v>NewOrder</v>
      </c>
      <c r="M80" s="197"/>
      <c r="N80" s="200"/>
      <c r="O80" s="198"/>
      <c r="P80" s="812"/>
      <c r="Q80" s="812"/>
      <c r="R80" s="812"/>
      <c r="S80" s="812"/>
    </row>
    <row r="81" spans="1:19" s="186" customFormat="1" ht="15.75" thickBot="1" x14ac:dyDescent="0.3">
      <c r="A81" s="756"/>
      <c r="B81" s="757" t="s">
        <v>614</v>
      </c>
      <c r="C81" s="844">
        <v>65</v>
      </c>
      <c r="D81" s="204"/>
      <c r="E81" s="205" t="s">
        <v>201</v>
      </c>
      <c r="F81" s="206"/>
      <c r="G81" s="207"/>
      <c r="H81" s="207"/>
      <c r="I81" s="207"/>
      <c r="J81" s="208"/>
      <c r="K81" s="209"/>
      <c r="L81" s="210"/>
      <c r="M81" s="207"/>
      <c r="N81" s="210"/>
      <c r="O81" s="208"/>
      <c r="P81" s="813"/>
      <c r="Q81" s="813"/>
      <c r="R81" s="813"/>
      <c r="S81" s="813"/>
    </row>
    <row r="82" spans="1:19" s="172" customFormat="1" ht="16.5" thickTop="1" thickBot="1" x14ac:dyDescent="0.3">
      <c r="A82" s="194"/>
      <c r="B82" s="195" t="s">
        <v>613</v>
      </c>
      <c r="C82" s="237"/>
      <c r="D82" s="211"/>
      <c r="E82" s="475" t="s">
        <v>201</v>
      </c>
      <c r="F82" s="474" t="s">
        <v>1011</v>
      </c>
      <c r="G82" s="197"/>
      <c r="H82" s="197"/>
      <c r="I82" s="197"/>
      <c r="J82" s="198"/>
      <c r="K82" s="187" t="str">
        <f>TOCmatch!B8</f>
        <v>Платежи</v>
      </c>
      <c r="L82" s="200"/>
      <c r="M82" s="197"/>
      <c r="N82" s="200"/>
      <c r="O82" s="198"/>
      <c r="P82" s="730"/>
    </row>
    <row r="83" spans="1:19" s="172" customFormat="1" ht="30.75" thickTop="1" x14ac:dyDescent="0.25">
      <c r="A83" s="194">
        <v>41344.979027777779</v>
      </c>
      <c r="B83" s="195" t="s">
        <v>769</v>
      </c>
      <c r="C83" s="781" t="str">
        <f>F74&amp;"/"&amp;B76</f>
        <v>HANDL_NewContract/WrCSV</v>
      </c>
      <c r="D83" s="195"/>
      <c r="E83" s="196" t="s">
        <v>201</v>
      </c>
      <c r="F83" s="732" t="s">
        <v>1016</v>
      </c>
      <c r="G83" s="460" t="str">
        <f>TOCmatch!B8</f>
        <v>Платежи</v>
      </c>
      <c r="H83" s="746" t="str">
        <f>F84</f>
        <v>NewOpp</v>
      </c>
      <c r="I83" s="197"/>
      <c r="J83" s="198"/>
      <c r="K83" s="266" t="str">
        <f>TOCmatch!B44</f>
        <v>NewOpp</v>
      </c>
      <c r="L83" s="200" t="str">
        <f>TOCmatch!B8</f>
        <v>Платежи</v>
      </c>
      <c r="M83" s="300" t="str">
        <f>TOCmatch!B15</f>
        <v>SFD</v>
      </c>
      <c r="N83" s="300" t="str">
        <f>TOCmatch!B16</f>
        <v>SFopp</v>
      </c>
      <c r="O83" s="198"/>
      <c r="P83" s="730"/>
    </row>
    <row r="84" spans="1:19" s="172" customFormat="1" x14ac:dyDescent="0.25">
      <c r="A84" s="194">
        <v>41344.938113425924</v>
      </c>
      <c r="B84" s="201" t="s">
        <v>620</v>
      </c>
      <c r="C84" s="460" t="str">
        <f>B83</f>
        <v>Adapt</v>
      </c>
      <c r="D84" s="195"/>
      <c r="E84" s="196" t="s">
        <v>201</v>
      </c>
      <c r="F84" s="267" t="str">
        <f>K83</f>
        <v>NewOpp</v>
      </c>
      <c r="G84" s="200" t="s">
        <v>791</v>
      </c>
      <c r="H84" s="214" t="s">
        <v>864</v>
      </c>
      <c r="I84" s="214" t="s">
        <v>942</v>
      </c>
      <c r="J84" s="198"/>
      <c r="K84" s="266" t="str">
        <f>F84</f>
        <v>NewOpp</v>
      </c>
      <c r="M84" s="197"/>
      <c r="N84" s="200"/>
      <c r="O84" s="198"/>
      <c r="P84" s="730"/>
    </row>
    <row r="85" spans="1:19" s="186" customFormat="1" x14ac:dyDescent="0.25">
      <c r="A85" s="203"/>
      <c r="B85" s="204" t="s">
        <v>614</v>
      </c>
      <c r="C85" s="780">
        <v>217</v>
      </c>
      <c r="D85" s="204"/>
      <c r="E85" s="205" t="s">
        <v>201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  <c r="P85" s="731"/>
    </row>
    <row r="86" spans="1:19" s="172" customFormat="1" x14ac:dyDescent="0.25">
      <c r="A86" s="752"/>
      <c r="B86" s="753" t="s">
        <v>613</v>
      </c>
      <c r="C86" s="754"/>
      <c r="D86" s="211"/>
      <c r="E86" s="196" t="s">
        <v>201</v>
      </c>
      <c r="F86" s="212" t="s">
        <v>654</v>
      </c>
      <c r="G86" s="197"/>
      <c r="H86" s="197"/>
      <c r="I86" s="197"/>
      <c r="J86" s="198"/>
      <c r="K86" s="187" t="str">
        <f>TOCmatch!B10</f>
        <v>Договоры</v>
      </c>
      <c r="L86" s="200"/>
      <c r="M86" s="197"/>
      <c r="N86" s="200"/>
      <c r="O86" s="198"/>
    </row>
    <row r="87" spans="1:19" x14ac:dyDescent="0.25">
      <c r="A87" s="216"/>
      <c r="B87" s="201" t="s">
        <v>655</v>
      </c>
      <c r="C87" s="234" t="s">
        <v>657</v>
      </c>
      <c r="D87" s="5"/>
      <c r="E87" s="217" t="s">
        <v>201</v>
      </c>
      <c r="F87" s="199"/>
      <c r="G87" s="200"/>
      <c r="H87" s="214"/>
      <c r="I87" s="214"/>
      <c r="J87" s="221"/>
      <c r="K87" s="222" t="s">
        <v>556</v>
      </c>
      <c r="L87" s="214"/>
      <c r="M87" s="214"/>
      <c r="N87" s="214"/>
      <c r="O87" s="221"/>
    </row>
    <row r="88" spans="1:19" x14ac:dyDescent="0.25">
      <c r="A88" s="216"/>
      <c r="B88" s="201" t="s">
        <v>620</v>
      </c>
      <c r="C88" s="238" t="s">
        <v>655</v>
      </c>
      <c r="D88" s="5"/>
      <c r="E88" s="217"/>
      <c r="F88" s="199" t="s">
        <v>656</v>
      </c>
      <c r="G88" s="200" t="s">
        <v>622</v>
      </c>
      <c r="H88" s="214" t="s">
        <v>623</v>
      </c>
      <c r="I88" s="214" t="s">
        <v>624</v>
      </c>
      <c r="J88" s="221"/>
      <c r="K88" s="222"/>
      <c r="L88" s="214"/>
      <c r="M88" s="214"/>
      <c r="N88" s="214"/>
      <c r="O88" s="221"/>
    </row>
    <row r="89" spans="1:19" s="246" customFormat="1" ht="15.75" thickBot="1" x14ac:dyDescent="0.3">
      <c r="A89" s="700"/>
      <c r="B89" s="239" t="s">
        <v>614</v>
      </c>
      <c r="C89" s="700"/>
      <c r="D89" s="239"/>
      <c r="E89" s="240" t="s">
        <v>201</v>
      </c>
      <c r="F89" s="241"/>
      <c r="G89" s="242"/>
      <c r="H89" s="242"/>
      <c r="I89" s="242"/>
      <c r="J89" s="243"/>
      <c r="K89" s="244"/>
      <c r="L89" s="245"/>
      <c r="M89" s="242"/>
      <c r="N89" s="245"/>
      <c r="O89" s="243"/>
    </row>
    <row r="90" spans="1:19" s="172" customFormat="1" ht="15.75" thickTop="1" x14ac:dyDescent="0.25">
      <c r="A90" s="194"/>
      <c r="B90" s="195" t="s">
        <v>613</v>
      </c>
      <c r="C90" s="237"/>
      <c r="D90" s="211"/>
      <c r="E90" s="196" t="s">
        <v>201</v>
      </c>
      <c r="F90" s="212" t="s">
        <v>981</v>
      </c>
      <c r="G90" s="197"/>
      <c r="H90" s="197"/>
      <c r="I90" s="197"/>
      <c r="J90" s="198"/>
      <c r="K90" s="187" t="str">
        <f>TOCmatch!B12</f>
        <v>Список клиентов 1C</v>
      </c>
      <c r="L90" s="200"/>
      <c r="M90" s="197"/>
      <c r="N90" s="200"/>
      <c r="O90" s="198"/>
    </row>
    <row r="91" spans="1:19" x14ac:dyDescent="0.25">
      <c r="A91" s="194">
        <v>41237.062696759262</v>
      </c>
      <c r="B91" s="201" t="s">
        <v>982</v>
      </c>
      <c r="C91" s="159" t="str">
        <f>F20&amp;"/"&amp;B22</f>
        <v>LOAD_1C_ACC/InsMyCol</v>
      </c>
      <c r="D91" s="5"/>
      <c r="E91" s="217" t="s">
        <v>201</v>
      </c>
      <c r="F91" s="199" t="s">
        <v>980</v>
      </c>
      <c r="G91" s="200"/>
      <c r="H91" s="214"/>
      <c r="I91" s="214"/>
      <c r="J91" s="221"/>
      <c r="K91" t="str">
        <f>K90</f>
        <v>Список клиентов 1C</v>
      </c>
      <c r="L91" s="214"/>
      <c r="M91" s="214"/>
      <c r="N91" s="300" t="str">
        <f>TOCmatch!B17</f>
        <v>SFacc</v>
      </c>
      <c r="O91" s="221"/>
    </row>
    <row r="92" spans="1:19" s="186" customFormat="1" x14ac:dyDescent="0.25">
      <c r="A92" s="203"/>
      <c r="B92" s="204" t="s">
        <v>614</v>
      </c>
      <c r="C92" s="236"/>
      <c r="D92" s="204"/>
      <c r="E92" s="205" t="s">
        <v>201</v>
      </c>
      <c r="F92" s="206"/>
      <c r="G92" s="207"/>
      <c r="H92" s="207"/>
      <c r="I92" s="207"/>
      <c r="J92" s="208"/>
      <c r="K92" s="209"/>
      <c r="L92" s="210"/>
      <c r="M92" s="207"/>
      <c r="N92" s="210"/>
      <c r="O92" s="208"/>
    </row>
    <row r="93" spans="1:19" s="172" customFormat="1" x14ac:dyDescent="0.25">
      <c r="A93" s="194"/>
      <c r="B93" s="195" t="s">
        <v>613</v>
      </c>
      <c r="C93" s="237"/>
      <c r="D93" s="211"/>
      <c r="E93" s="196" t="s">
        <v>201</v>
      </c>
      <c r="F93" s="212" t="s">
        <v>1067</v>
      </c>
      <c r="G93" s="197"/>
      <c r="H93" s="197"/>
      <c r="I93" s="197"/>
      <c r="J93" s="198"/>
      <c r="K93" s="187" t="s">
        <v>1066</v>
      </c>
      <c r="L93" s="200"/>
      <c r="M93" s="197"/>
      <c r="N93" s="200"/>
      <c r="O93" s="198"/>
    </row>
    <row r="94" spans="1:19" x14ac:dyDescent="0.25">
      <c r="A94" s="194">
        <v>41372.092175925929</v>
      </c>
      <c r="B94" s="201" t="s">
        <v>1068</v>
      </c>
      <c r="C94" s="159" t="s">
        <v>593</v>
      </c>
      <c r="D94" s="5"/>
      <c r="E94" s="217" t="s">
        <v>201</v>
      </c>
      <c r="F94" s="786" t="str">
        <f>TOCmatch!B41</f>
        <v>BTOlog</v>
      </c>
      <c r="G94" s="200"/>
      <c r="H94" s="214"/>
      <c r="I94" s="214"/>
      <c r="J94" s="221"/>
      <c r="K94" s="275" t="str">
        <f>TOCmatch!I28</f>
        <v>Заказы</v>
      </c>
      <c r="L94" s="795" t="str">
        <f>TOCmatch!B33</f>
        <v>BTOmails</v>
      </c>
      <c r="M94" s="794"/>
      <c r="N94" s="214"/>
      <c r="O94" s="221"/>
    </row>
    <row r="95" spans="1:19" s="186" customFormat="1" ht="15.75" thickBot="1" x14ac:dyDescent="0.3">
      <c r="A95" s="203"/>
      <c r="B95" s="204" t="s">
        <v>614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</row>
    <row r="96" spans="1:19" s="513" customFormat="1" ht="16.5" thickTop="1" thickBot="1" x14ac:dyDescent="0.3">
      <c r="A96" s="758">
        <v>41201.045671296299</v>
      </c>
      <c r="B96" s="759" t="s">
        <v>613</v>
      </c>
      <c r="C96" s="760"/>
      <c r="D96" s="507"/>
      <c r="E96" s="508" t="s">
        <v>201</v>
      </c>
      <c r="F96" s="509" t="s">
        <v>820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823</v>
      </c>
      <c r="C97" s="458"/>
      <c r="D97" s="195"/>
      <c r="E97" s="449" t="s">
        <v>70</v>
      </c>
      <c r="F97" s="199" t="str">
        <f>F74</f>
        <v>HANDL_NewContract</v>
      </c>
      <c r="G97" s="686" t="str">
        <f>F96</f>
        <v>WP_PaidOpp</v>
      </c>
      <c r="H97" s="686" t="str">
        <f>B103</f>
        <v>WP_Paid</v>
      </c>
      <c r="I97" s="687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822</v>
      </c>
      <c r="C98" s="573" t="str">
        <f>B97</f>
        <v>ProcReset</v>
      </c>
      <c r="D98" s="195"/>
      <c r="E98" s="196" t="s">
        <v>70</v>
      </c>
      <c r="F98" s="514">
        <f>C77</f>
        <v>0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823</v>
      </c>
      <c r="C99" s="458"/>
      <c r="D99" s="195"/>
      <c r="E99" s="449" t="s">
        <v>70</v>
      </c>
      <c r="F99" s="199" t="str">
        <f>F70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822</v>
      </c>
      <c r="C100" s="460" t="str">
        <f>B98</f>
        <v>CheckProc0</v>
      </c>
      <c r="D100" s="195"/>
      <c r="E100" s="196" t="s">
        <v>201</v>
      </c>
      <c r="F100" s="699">
        <f>C73</f>
        <v>9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667</v>
      </c>
      <c r="C101" s="237"/>
      <c r="D101" s="211"/>
      <c r="E101" s="196" t="s">
        <v>201</v>
      </c>
      <c r="F101" s="266" t="s">
        <v>803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667</v>
      </c>
      <c r="C102" s="237"/>
      <c r="D102" s="211"/>
      <c r="E102" s="196" t="s">
        <v>201</v>
      </c>
      <c r="F102" s="266" t="s">
        <v>793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7"/>
      <c r="B103" s="668" t="s">
        <v>960</v>
      </c>
      <c r="C103" s="669" t="str">
        <f>B98</f>
        <v>CheckProc0</v>
      </c>
      <c r="D103" s="668"/>
      <c r="E103" s="670" t="s">
        <v>201</v>
      </c>
      <c r="F103" s="671" t="s">
        <v>821</v>
      </c>
      <c r="G103" s="685" t="s">
        <v>201</v>
      </c>
      <c r="H103" s="673"/>
      <c r="I103" s="673"/>
      <c r="J103" s="674"/>
      <c r="K103" s="675" t="str">
        <f>K96</f>
        <v>Платежи</v>
      </c>
      <c r="L103" s="676" t="str">
        <f>TOCmatch!B17</f>
        <v>SFacc</v>
      </c>
      <c r="M103" s="676" t="str">
        <f>TOCmatch!B16</f>
        <v>SFopp</v>
      </c>
      <c r="N103" s="676" t="str">
        <f>TOCmatch!B15</f>
        <v>SFD</v>
      </c>
      <c r="O103" s="674"/>
    </row>
    <row r="104" spans="1:15" s="172" customFormat="1" ht="15.75" thickTop="1" x14ac:dyDescent="0.25">
      <c r="A104" s="194"/>
      <c r="B104" s="201" t="s">
        <v>620</v>
      </c>
      <c r="C104" s="460" t="str">
        <f>B103</f>
        <v>WP_Paid</v>
      </c>
      <c r="D104" s="195"/>
      <c r="E104" s="196" t="s">
        <v>201</v>
      </c>
      <c r="F104" s="266" t="s">
        <v>803</v>
      </c>
      <c r="G104" s="200" t="s">
        <v>791</v>
      </c>
      <c r="H104" s="214" t="s">
        <v>864</v>
      </c>
      <c r="I104" s="214" t="s">
        <v>942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620</v>
      </c>
      <c r="C105" s="460" t="str">
        <f>B103</f>
        <v>WP_Paid</v>
      </c>
      <c r="D105" s="195"/>
      <c r="E105" s="196" t="s">
        <v>201</v>
      </c>
      <c r="F105" s="266" t="s">
        <v>793</v>
      </c>
      <c r="G105" s="200" t="s">
        <v>791</v>
      </c>
      <c r="H105" s="214" t="s">
        <v>798</v>
      </c>
      <c r="I105" s="214" t="s">
        <v>799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6"/>
      <c r="B106" s="201" t="s">
        <v>614</v>
      </c>
      <c r="C106" s="717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80" customFormat="1" ht="15.75" thickBot="1" x14ac:dyDescent="0.3">
      <c r="A107" s="714">
        <v>41201.045671296299</v>
      </c>
      <c r="B107" s="227" t="s">
        <v>613</v>
      </c>
      <c r="C107" s="715"/>
      <c r="D107" s="302"/>
      <c r="E107" s="677" t="s">
        <v>201</v>
      </c>
      <c r="F107" s="678" t="s">
        <v>955</v>
      </c>
      <c r="G107" s="302"/>
      <c r="H107" s="302"/>
      <c r="I107" s="302"/>
      <c r="J107" s="305"/>
      <c r="K107" s="679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667</v>
      </c>
      <c r="C108" s="265"/>
      <c r="D108" s="211"/>
      <c r="E108" s="196"/>
      <c r="F108" s="266" t="s">
        <v>910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958</v>
      </c>
      <c r="C109" s="460" t="str">
        <f>B108</f>
        <v>NewSheet</v>
      </c>
      <c r="D109" s="211"/>
      <c r="E109" s="196"/>
      <c r="F109" s="683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618</v>
      </c>
      <c r="C110" s="235"/>
      <c r="D110" s="195"/>
      <c r="E110" s="196" t="s">
        <v>201</v>
      </c>
      <c r="F110" s="213" t="s">
        <v>580</v>
      </c>
      <c r="G110" s="220" t="s">
        <v>963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7">
        <v>41218.824293981481</v>
      </c>
      <c r="B111" s="668" t="s">
        <v>960</v>
      </c>
      <c r="C111" s="669" t="str">
        <f>B109</f>
        <v>SFaccDicBuild</v>
      </c>
      <c r="D111" s="668"/>
      <c r="E111" s="670" t="s">
        <v>201</v>
      </c>
      <c r="F111" s="671" t="s">
        <v>956</v>
      </c>
      <c r="G111" s="672"/>
      <c r="H111" s="673"/>
      <c r="I111" s="673"/>
      <c r="J111" s="674"/>
      <c r="K111" s="675" t="str">
        <f>K107</f>
        <v>Платежи</v>
      </c>
      <c r="L111" s="676">
        <f>TOCmatch!B27</f>
        <v>0</v>
      </c>
      <c r="M111" s="676">
        <f>TOCmatch!B26</f>
        <v>0</v>
      </c>
      <c r="N111" s="676">
        <f>TOCmatch!B25</f>
        <v>0</v>
      </c>
      <c r="O111" s="674"/>
    </row>
    <row r="112" spans="1:15" s="172" customFormat="1" ht="15.75" thickTop="1" x14ac:dyDescent="0.25">
      <c r="A112" s="194">
        <v>41218.824293981481</v>
      </c>
      <c r="B112" s="201" t="s">
        <v>620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791</v>
      </c>
      <c r="H112" s="214" t="s">
        <v>864</v>
      </c>
      <c r="I112" s="214" t="s">
        <v>942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614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613</v>
      </c>
      <c r="C114" s="237"/>
      <c r="D114" s="211"/>
      <c r="E114" s="196" t="s">
        <v>201</v>
      </c>
      <c r="F114" s="212" t="s">
        <v>636</v>
      </c>
      <c r="G114" s="197"/>
      <c r="H114" s="197"/>
      <c r="I114" s="197"/>
      <c r="J114" s="198"/>
      <c r="K114" s="187" t="s">
        <v>551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618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625</v>
      </c>
      <c r="C116" s="234" t="s">
        <v>653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551</v>
      </c>
      <c r="L116" s="214" t="s">
        <v>563</v>
      </c>
      <c r="M116" s="214"/>
      <c r="N116" s="214"/>
      <c r="O116" s="221"/>
    </row>
    <row r="117" spans="1:15" s="186" customFormat="1" x14ac:dyDescent="0.25">
      <c r="A117" s="203"/>
      <c r="B117" s="204" t="s">
        <v>614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590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589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589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590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596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618</v>
      </c>
      <c r="C122" s="235"/>
      <c r="D122" s="195"/>
      <c r="E122" s="196" t="s">
        <v>201</v>
      </c>
      <c r="F122" s="213" t="s">
        <v>580</v>
      </c>
      <c r="G122" s="220" t="s">
        <v>963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641</v>
      </c>
      <c r="C124" s="234" t="s">
        <v>640</v>
      </c>
      <c r="D124" s="214"/>
      <c r="E124" s="217" t="s">
        <v>201</v>
      </c>
      <c r="F124" s="213" t="s">
        <v>561</v>
      </c>
      <c r="G124" s="200" t="s">
        <v>556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595</v>
      </c>
      <c r="C127" s="234" t="s">
        <v>593</v>
      </c>
      <c r="D127" s="195"/>
      <c r="E127" s="196" t="s">
        <v>201</v>
      </c>
      <c r="F127" s="424" t="s">
        <v>767</v>
      </c>
      <c r="G127" s="425" t="s">
        <v>768</v>
      </c>
      <c r="H127" s="197"/>
      <c r="I127" s="197"/>
      <c r="J127" s="215"/>
      <c r="K127" s="199">
        <f>TOCmatch!B99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5" t="str">
        <f>B51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796</v>
      </c>
      <c r="J130" s="544"/>
      <c r="K130" s="546" t="str">
        <f>K49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workbookViewId="0">
      <selection activeCell="B22" sqref="B2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1" t="s">
        <v>1047</v>
      </c>
      <c r="B3" s="25" t="s">
        <v>84</v>
      </c>
      <c r="C3" s="21" t="s">
        <v>11</v>
      </c>
    </row>
    <row r="4" spans="1:7" x14ac:dyDescent="0.25">
      <c r="A4" s="751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19" t="s">
        <v>214</v>
      </c>
      <c r="B8" s="65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1" t="s">
        <v>232</v>
      </c>
    </row>
    <row r="9" spans="1:7" x14ac:dyDescent="0.25">
      <c r="A9" s="51" t="s">
        <v>35</v>
      </c>
      <c r="B9" s="67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0">
        <v>0</v>
      </c>
    </row>
    <row r="10" spans="1:7" ht="50.25" customHeight="1" x14ac:dyDescent="0.25">
      <c r="A10" s="52" t="s">
        <v>7</v>
      </c>
      <c r="B10" s="68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2">
        <v>0</v>
      </c>
    </row>
    <row r="11" spans="1:7" x14ac:dyDescent="0.25">
      <c r="A11" s="51" t="s">
        <v>34</v>
      </c>
      <c r="B11" s="67"/>
      <c r="C11" s="22" t="s">
        <v>69</v>
      </c>
      <c r="D11" s="38" t="s">
        <v>256</v>
      </c>
      <c r="E11" s="39"/>
      <c r="F11" s="45" t="s">
        <v>259</v>
      </c>
      <c r="G11" s="62">
        <v>1</v>
      </c>
    </row>
    <row r="12" spans="1:7" x14ac:dyDescent="0.25">
      <c r="A12" s="51" t="s">
        <v>38</v>
      </c>
      <c r="B12" s="67" t="s">
        <v>59</v>
      </c>
      <c r="C12" s="22" t="s">
        <v>37</v>
      </c>
      <c r="D12" s="17" t="s">
        <v>172</v>
      </c>
      <c r="E12" s="22"/>
      <c r="F12" s="44" t="s">
        <v>104</v>
      </c>
      <c r="G12" s="60">
        <v>0</v>
      </c>
    </row>
    <row r="13" spans="1:7" x14ac:dyDescent="0.25">
      <c r="A13" s="51" t="s">
        <v>29</v>
      </c>
      <c r="B13" s="67" t="s">
        <v>55</v>
      </c>
      <c r="C13" s="22" t="s">
        <v>21</v>
      </c>
      <c r="D13" s="17" t="s">
        <v>173</v>
      </c>
      <c r="E13" s="22"/>
      <c r="F13" s="54" t="s">
        <v>254</v>
      </c>
      <c r="G13" s="60">
        <v>0</v>
      </c>
    </row>
    <row r="14" spans="1:7" x14ac:dyDescent="0.25">
      <c r="A14" s="51" t="s">
        <v>28</v>
      </c>
      <c r="B14" s="67" t="s">
        <v>52</v>
      </c>
      <c r="C14" s="22" t="s">
        <v>20</v>
      </c>
      <c r="D14" s="17" t="s">
        <v>174</v>
      </c>
      <c r="E14" s="22" t="s">
        <v>33</v>
      </c>
      <c r="F14" s="54" t="s">
        <v>535</v>
      </c>
      <c r="G14" s="60">
        <v>0</v>
      </c>
    </row>
    <row r="15" spans="1:7" x14ac:dyDescent="0.25">
      <c r="A15" s="51" t="s">
        <v>6</v>
      </c>
      <c r="B15" s="67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0">
        <v>0</v>
      </c>
    </row>
    <row r="16" spans="1:7" x14ac:dyDescent="0.25">
      <c r="A16" s="51" t="s">
        <v>1002</v>
      </c>
      <c r="B16" s="68" t="s">
        <v>1001</v>
      </c>
      <c r="C16" s="720" t="s">
        <v>1003</v>
      </c>
      <c r="D16" s="27" t="s">
        <v>1004</v>
      </c>
      <c r="E16" s="27"/>
      <c r="F16" s="54" t="s">
        <v>248</v>
      </c>
      <c r="G16" s="60">
        <v>0</v>
      </c>
    </row>
    <row r="17" spans="1:7" x14ac:dyDescent="0.25">
      <c r="A17" s="51" t="s">
        <v>27</v>
      </c>
      <c r="B17" s="67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0">
        <v>0</v>
      </c>
    </row>
    <row r="18" spans="1:7" x14ac:dyDescent="0.25">
      <c r="A18" s="51" t="s">
        <v>95</v>
      </c>
      <c r="B18" s="69"/>
      <c r="C18" s="22" t="s">
        <v>78</v>
      </c>
      <c r="D18" s="17" t="s">
        <v>258</v>
      </c>
      <c r="E18" s="22"/>
      <c r="F18" s="54" t="s">
        <v>107</v>
      </c>
      <c r="G18" s="60">
        <v>0</v>
      </c>
    </row>
    <row r="19" spans="1:7" x14ac:dyDescent="0.25">
      <c r="A19" s="51" t="s">
        <v>10</v>
      </c>
      <c r="B19" s="67" t="s">
        <v>46</v>
      </c>
      <c r="C19" s="22" t="s">
        <v>19</v>
      </c>
      <c r="D19" s="17" t="s">
        <v>177</v>
      </c>
      <c r="E19" s="22" t="s">
        <v>5</v>
      </c>
      <c r="F19" s="54" t="s">
        <v>363</v>
      </c>
      <c r="G19" s="60">
        <v>0</v>
      </c>
    </row>
    <row r="20" spans="1:7" x14ac:dyDescent="0.25">
      <c r="A20" s="51" t="s">
        <v>9</v>
      </c>
      <c r="B20" s="69"/>
      <c r="C20" s="22" t="s">
        <v>76</v>
      </c>
      <c r="D20" s="17" t="s">
        <v>181</v>
      </c>
      <c r="E20" s="50" t="s">
        <v>5</v>
      </c>
      <c r="F20" s="54" t="s">
        <v>203</v>
      </c>
      <c r="G20" s="60">
        <v>0</v>
      </c>
    </row>
    <row r="21" spans="1:7" x14ac:dyDescent="0.25">
      <c r="A21" s="51" t="s">
        <v>30</v>
      </c>
      <c r="B21" s="67" t="s">
        <v>60</v>
      </c>
      <c r="C21" s="22" t="s">
        <v>25</v>
      </c>
      <c r="D21" s="27" t="s">
        <v>243</v>
      </c>
      <c r="E21" s="27" t="s">
        <v>245</v>
      </c>
      <c r="F21" s="54" t="s">
        <v>538</v>
      </c>
      <c r="G21" s="60">
        <v>0</v>
      </c>
    </row>
    <row r="22" spans="1:7" x14ac:dyDescent="0.25">
      <c r="A22" s="51" t="s">
        <v>32</v>
      </c>
      <c r="B22" s="67" t="s">
        <v>83</v>
      </c>
      <c r="C22" s="22" t="s">
        <v>22</v>
      </c>
      <c r="D22" s="17" t="s">
        <v>182</v>
      </c>
      <c r="E22" s="22" t="s">
        <v>22</v>
      </c>
      <c r="F22" s="54" t="s">
        <v>534</v>
      </c>
      <c r="G22" s="60">
        <v>0</v>
      </c>
    </row>
    <row r="23" spans="1:7" ht="30" x14ac:dyDescent="0.25">
      <c r="A23" s="52" t="s">
        <v>31</v>
      </c>
      <c r="B23" s="68" t="s">
        <v>48</v>
      </c>
      <c r="C23" s="37" t="s">
        <v>16</v>
      </c>
      <c r="D23" s="38" t="s">
        <v>178</v>
      </c>
      <c r="E23" s="39" t="s">
        <v>220</v>
      </c>
      <c r="F23" s="53" t="s">
        <v>536</v>
      </c>
      <c r="G23" s="60">
        <v>0</v>
      </c>
    </row>
    <row r="24" spans="1:7" x14ac:dyDescent="0.25">
      <c r="A24" s="51" t="s">
        <v>33</v>
      </c>
      <c r="B24" s="67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0">
        <v>0</v>
      </c>
    </row>
    <row r="25" spans="1:7" x14ac:dyDescent="0.25">
      <c r="A25" s="51" t="s">
        <v>221</v>
      </c>
      <c r="B25" s="67" t="s">
        <v>50</v>
      </c>
      <c r="C25" s="22" t="s">
        <v>74</v>
      </c>
      <c r="D25" s="17" t="s">
        <v>171</v>
      </c>
      <c r="E25" s="27"/>
      <c r="F25" s="54" t="s">
        <v>106</v>
      </c>
      <c r="G25" s="60">
        <v>0</v>
      </c>
    </row>
    <row r="26" spans="1:7" x14ac:dyDescent="0.25">
      <c r="A26" s="51" t="s">
        <v>12</v>
      </c>
      <c r="B26" s="68" t="s">
        <v>73</v>
      </c>
      <c r="C26" s="22" t="s">
        <v>24</v>
      </c>
      <c r="D26" s="17" t="s">
        <v>179</v>
      </c>
      <c r="E26" s="27"/>
      <c r="F26" s="54" t="s">
        <v>248</v>
      </c>
      <c r="G26" s="60">
        <v>0</v>
      </c>
    </row>
    <row r="27" spans="1:7" x14ac:dyDescent="0.25">
      <c r="A27" s="51" t="s">
        <v>1006</v>
      </c>
      <c r="B27" s="68" t="s">
        <v>1005</v>
      </c>
      <c r="C27" s="720" t="s">
        <v>1003</v>
      </c>
      <c r="D27" s="27" t="s">
        <v>1004</v>
      </c>
      <c r="E27" s="27"/>
      <c r="F27" s="54" t="s">
        <v>248</v>
      </c>
      <c r="G27" s="60">
        <v>0</v>
      </c>
    </row>
    <row r="28" spans="1:7" x14ac:dyDescent="0.25">
      <c r="A28" s="51" t="s">
        <v>96</v>
      </c>
      <c r="B28" s="67" t="s">
        <v>98</v>
      </c>
      <c r="C28" s="22" t="s">
        <v>97</v>
      </c>
      <c r="D28" s="17" t="s">
        <v>180</v>
      </c>
      <c r="E28" s="27"/>
      <c r="F28" s="54" t="s">
        <v>364</v>
      </c>
      <c r="G28" s="60">
        <v>0</v>
      </c>
    </row>
    <row r="29" spans="1:7" x14ac:dyDescent="0.25">
      <c r="A29" s="51" t="s">
        <v>4</v>
      </c>
      <c r="B29" s="67" t="s">
        <v>72</v>
      </c>
      <c r="C29" s="22" t="s">
        <v>69</v>
      </c>
      <c r="D29" s="17" t="s">
        <v>256</v>
      </c>
      <c r="E29" s="27"/>
      <c r="F29" s="54" t="s">
        <v>264</v>
      </c>
      <c r="G29" s="60">
        <v>1</v>
      </c>
    </row>
    <row r="30" spans="1:7" x14ac:dyDescent="0.25">
      <c r="A30" s="51" t="s">
        <v>39</v>
      </c>
      <c r="B30" s="67" t="s">
        <v>80</v>
      </c>
      <c r="C30" s="22" t="s">
        <v>69</v>
      </c>
      <c r="D30" s="38" t="s">
        <v>256</v>
      </c>
      <c r="E30" s="27"/>
      <c r="F30" s="54" t="s">
        <v>106</v>
      </c>
      <c r="G30" s="60">
        <v>0</v>
      </c>
    </row>
    <row r="31" spans="1:7" x14ac:dyDescent="0.25">
      <c r="A31" s="51" t="s">
        <v>5</v>
      </c>
      <c r="B31" s="67" t="s">
        <v>54</v>
      </c>
      <c r="C31" s="22" t="s">
        <v>76</v>
      </c>
      <c r="D31" s="17" t="s">
        <v>181</v>
      </c>
      <c r="E31" s="27"/>
      <c r="F31" s="54" t="s">
        <v>537</v>
      </c>
      <c r="G31" s="60">
        <v>0</v>
      </c>
    </row>
    <row r="32" spans="1:7" x14ac:dyDescent="0.25">
      <c r="A32" s="51" t="s">
        <v>105</v>
      </c>
      <c r="B32" s="67" t="s">
        <v>81</v>
      </c>
      <c r="C32" s="22" t="s">
        <v>40</v>
      </c>
      <c r="D32" s="17" t="s">
        <v>257</v>
      </c>
      <c r="E32" s="22"/>
      <c r="F32" s="54" t="s">
        <v>143</v>
      </c>
      <c r="G32" s="60">
        <v>0</v>
      </c>
    </row>
    <row r="33" spans="1:17" x14ac:dyDescent="0.25">
      <c r="A33" s="51" t="s">
        <v>26</v>
      </c>
      <c r="B33" s="67" t="s">
        <v>49</v>
      </c>
      <c r="C33" s="22" t="s">
        <v>22</v>
      </c>
      <c r="D33" s="17" t="s">
        <v>182</v>
      </c>
      <c r="E33" s="27"/>
      <c r="F33" s="54" t="s">
        <v>263</v>
      </c>
      <c r="G33" s="60">
        <v>0</v>
      </c>
    </row>
    <row r="34" spans="1:17" x14ac:dyDescent="0.25">
      <c r="A34" s="51" t="s">
        <v>13</v>
      </c>
      <c r="B34" s="67" t="s">
        <v>47</v>
      </c>
      <c r="C34" s="22" t="s">
        <v>23</v>
      </c>
      <c r="D34" s="17" t="s">
        <v>183</v>
      </c>
      <c r="E34" s="27"/>
      <c r="F34" s="54" t="s">
        <v>253</v>
      </c>
      <c r="G34" s="60">
        <v>0</v>
      </c>
    </row>
    <row r="35" spans="1:17" x14ac:dyDescent="0.25">
      <c r="A35" s="51" t="s">
        <v>25</v>
      </c>
      <c r="B35" s="67"/>
      <c r="C35" s="22" t="s">
        <v>25</v>
      </c>
      <c r="D35" s="27" t="s">
        <v>243</v>
      </c>
      <c r="E35" s="27"/>
      <c r="F35" s="44"/>
      <c r="G35" s="60">
        <v>0</v>
      </c>
    </row>
    <row r="37" spans="1:17" x14ac:dyDescent="0.25">
      <c r="A37" s="19" t="s">
        <v>161</v>
      </c>
      <c r="B37" s="65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23" t="s">
        <v>354</v>
      </c>
      <c r="I41" s="824"/>
      <c r="J41" s="824"/>
      <c r="K41" s="817"/>
      <c r="L41" s="27"/>
    </row>
    <row r="42" spans="1:17" ht="15.75" x14ac:dyDescent="0.25">
      <c r="A42" s="27" t="s">
        <v>1017</v>
      </c>
      <c r="H42" s="723"/>
      <c r="I42" s="724"/>
      <c r="J42" s="724"/>
      <c r="K42" s="722"/>
      <c r="L42" s="27"/>
      <c r="M42" s="825" t="s">
        <v>354</v>
      </c>
      <c r="N42" s="826"/>
      <c r="O42" s="826"/>
      <c r="P42" s="826"/>
      <c r="Q42" s="827"/>
    </row>
    <row r="43" spans="1:17" ht="30" x14ac:dyDescent="0.25">
      <c r="A43" s="27" t="s">
        <v>223</v>
      </c>
      <c r="B43" s="25" t="s">
        <v>375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59" t="s">
        <v>352</v>
      </c>
      <c r="I43" s="59" t="s">
        <v>353</v>
      </c>
      <c r="J43" s="59" t="s">
        <v>934</v>
      </c>
      <c r="K43" s="648" t="s">
        <v>933</v>
      </c>
      <c r="M43" s="737" t="s">
        <v>1021</v>
      </c>
      <c r="N43" s="735" t="s">
        <v>350</v>
      </c>
      <c r="O43" s="735" t="s">
        <v>1020</v>
      </c>
      <c r="P43" s="735" t="s">
        <v>934</v>
      </c>
      <c r="Q43" s="736" t="s">
        <v>933</v>
      </c>
    </row>
    <row r="44" spans="1:17" ht="15.75" x14ac:dyDescent="0.3">
      <c r="A44" s="27" t="s">
        <v>137</v>
      </c>
      <c r="B44" s="70" t="s">
        <v>990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1019</v>
      </c>
      <c r="N44" s="27" t="s">
        <v>349</v>
      </c>
      <c r="O44" s="27" t="s">
        <v>1020</v>
      </c>
      <c r="P44" s="27" t="s">
        <v>1043</v>
      </c>
    </row>
    <row r="45" spans="1:17" ht="45" x14ac:dyDescent="0.3">
      <c r="A45" s="27" t="s">
        <v>106</v>
      </c>
      <c r="B45" s="70" t="s">
        <v>989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8" t="s">
        <v>1027</v>
      </c>
      <c r="N45" s="748" t="s">
        <v>1041</v>
      </c>
      <c r="O45" s="748"/>
      <c r="P45" s="748" t="s">
        <v>1042</v>
      </c>
    </row>
    <row r="46" spans="1:17" ht="15.75" x14ac:dyDescent="0.3">
      <c r="A46" s="27" t="s">
        <v>18</v>
      </c>
      <c r="B46" s="70" t="s">
        <v>1120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0" t="b">
        <v>1</v>
      </c>
      <c r="M46" s="749"/>
      <c r="N46" s="748" t="s">
        <v>1031</v>
      </c>
      <c r="O46" s="749"/>
      <c r="P46" s="749"/>
    </row>
    <row r="47" spans="1:17" ht="15.75" x14ac:dyDescent="0.3">
      <c r="A47" s="27" t="s">
        <v>139</v>
      </c>
      <c r="B47" s="70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49"/>
      <c r="N47" s="749"/>
      <c r="O47" s="749"/>
      <c r="P47" s="748" t="s">
        <v>1040</v>
      </c>
    </row>
    <row r="48" spans="1:17" ht="15.75" x14ac:dyDescent="0.3">
      <c r="A48" s="27" t="s">
        <v>144</v>
      </c>
      <c r="B48" s="70" t="s">
        <v>1008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1000</v>
      </c>
      <c r="H48" s="27" t="s">
        <v>350</v>
      </c>
      <c r="I48" s="27" t="s">
        <v>351</v>
      </c>
      <c r="J48" s="27"/>
      <c r="M48" s="749" t="str">
        <f>N46</f>
        <v>$.*</v>
      </c>
      <c r="N48" s="749"/>
      <c r="O48" s="749"/>
      <c r="P48" s="749"/>
    </row>
    <row r="49" spans="1:17" ht="15.75" x14ac:dyDescent="0.3">
      <c r="A49" s="27" t="s">
        <v>224</v>
      </c>
      <c r="B49" s="70" t="s">
        <v>1046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936</v>
      </c>
      <c r="M49" s="749"/>
      <c r="N49" s="749"/>
      <c r="O49" s="749"/>
      <c r="P49" s="748" t="str">
        <f>N46</f>
        <v>$.*</v>
      </c>
    </row>
    <row r="50" spans="1:17" x14ac:dyDescent="0.25">
      <c r="A50" s="27" t="s">
        <v>198</v>
      </c>
      <c r="B50" s="70" t="s">
        <v>1061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1000</v>
      </c>
      <c r="H50" s="27" t="s">
        <v>350</v>
      </c>
      <c r="I50" s="27" t="s">
        <v>351</v>
      </c>
      <c r="J50" s="27"/>
      <c r="M50" s="749" t="str">
        <f>N46</f>
        <v>$.*</v>
      </c>
      <c r="N50" s="749"/>
      <c r="O50" s="749"/>
      <c r="P50" s="749"/>
    </row>
    <row r="51" spans="1:17" ht="15.75" x14ac:dyDescent="0.3">
      <c r="A51" s="27" t="s">
        <v>107</v>
      </c>
      <c r="B51" s="70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1000</v>
      </c>
      <c r="H51" s="27" t="s">
        <v>350</v>
      </c>
      <c r="I51" s="27" t="s">
        <v>351</v>
      </c>
      <c r="J51" s="27"/>
      <c r="M51" s="749" t="str">
        <f>M50</f>
        <v>$.*</v>
      </c>
      <c r="N51" s="749"/>
      <c r="O51" s="749"/>
      <c r="P51" s="749"/>
    </row>
    <row r="52" spans="1:17" ht="191.25" x14ac:dyDescent="0.3">
      <c r="A52" s="27" t="s">
        <v>225</v>
      </c>
      <c r="B52" s="721" t="s">
        <v>1064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937</v>
      </c>
      <c r="M52" s="748" t="s">
        <v>1022</v>
      </c>
      <c r="N52" s="749"/>
      <c r="O52" s="749"/>
      <c r="P52" s="748" t="s">
        <v>1025</v>
      </c>
    </row>
    <row r="53" spans="1:17" ht="15.75" x14ac:dyDescent="0.3">
      <c r="A53" s="27" t="s">
        <v>934</v>
      </c>
      <c r="B53" s="70" t="s">
        <v>1092</v>
      </c>
      <c r="C53" s="50" t="s">
        <v>996</v>
      </c>
      <c r="D53" s="49"/>
      <c r="E53" s="48"/>
      <c r="F53" s="44"/>
      <c r="G53" s="56"/>
      <c r="H53" s="27"/>
      <c r="I53" s="27"/>
      <c r="J53" s="27"/>
      <c r="K53" s="27" t="s">
        <v>936</v>
      </c>
      <c r="M53" s="749"/>
      <c r="N53" s="749"/>
      <c r="O53" s="749"/>
      <c r="P53" s="749" t="str">
        <f>P49</f>
        <v>$.*</v>
      </c>
    </row>
    <row r="54" spans="1:17" ht="15.75" x14ac:dyDescent="0.3">
      <c r="A54" s="27" t="s">
        <v>203</v>
      </c>
      <c r="B54" s="70" t="s">
        <v>1100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0" t="str">
        <f>N46</f>
        <v>$.*</v>
      </c>
      <c r="N54" s="748" t="s">
        <v>700</v>
      </c>
      <c r="O54" s="749"/>
      <c r="P54" s="749"/>
    </row>
    <row r="55" spans="1:17" ht="15.75" x14ac:dyDescent="0.3">
      <c r="A55" s="27" t="s">
        <v>104</v>
      </c>
      <c r="B55" s="70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1000</v>
      </c>
      <c r="H55" s="27" t="s">
        <v>350</v>
      </c>
      <c r="I55" s="27" t="s">
        <v>351</v>
      </c>
      <c r="J55" s="27"/>
      <c r="M55" s="749" t="str">
        <f>M54</f>
        <v>$.*</v>
      </c>
      <c r="N55" s="749"/>
      <c r="O55" s="749"/>
      <c r="P55" s="749"/>
    </row>
    <row r="56" spans="1:17" ht="15.75" x14ac:dyDescent="0.3">
      <c r="A56" s="27" t="s">
        <v>143</v>
      </c>
      <c r="B56" s="70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1000</v>
      </c>
      <c r="H56" s="27" t="s">
        <v>350</v>
      </c>
      <c r="I56" s="27" t="s">
        <v>351</v>
      </c>
      <c r="J56" s="27"/>
      <c r="M56" s="748" t="s">
        <v>1045</v>
      </c>
      <c r="N56" s="748" t="s">
        <v>1044</v>
      </c>
      <c r="O56" s="749"/>
      <c r="P56" s="749"/>
    </row>
    <row r="57" spans="1:17" x14ac:dyDescent="0.25">
      <c r="A57" s="55" t="s">
        <v>247</v>
      </c>
      <c r="B57" s="70" t="s">
        <v>997</v>
      </c>
      <c r="C57" s="50"/>
      <c r="D57" s="28"/>
      <c r="E57" s="48"/>
      <c r="F57" s="44"/>
      <c r="M57" s="748" t="s">
        <v>1034</v>
      </c>
      <c r="N57" s="748" t="s">
        <v>1034</v>
      </c>
      <c r="O57" s="749"/>
      <c r="P57" s="748" t="s">
        <v>1034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49"/>
      <c r="N58" s="749"/>
      <c r="O58" s="749"/>
      <c r="P58" s="749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49"/>
      <c r="N59" s="749"/>
      <c r="O59" s="749"/>
      <c r="P59" s="749"/>
    </row>
    <row r="60" spans="1:17" x14ac:dyDescent="0.25">
      <c r="C60" s="50"/>
      <c r="D60" s="50" t="s">
        <v>993</v>
      </c>
      <c r="E60" s="48"/>
      <c r="F60" s="44"/>
      <c r="M60" s="749"/>
      <c r="N60" s="749"/>
      <c r="O60" s="749"/>
      <c r="P60" s="749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49"/>
      <c r="N61" s="749"/>
      <c r="O61" s="749"/>
      <c r="P61" s="749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49"/>
      <c r="N62" s="749"/>
      <c r="O62" s="749"/>
      <c r="P62" s="749"/>
    </row>
    <row r="63" spans="1:17" x14ac:dyDescent="0.25">
      <c r="A63" s="27" t="s">
        <v>938</v>
      </c>
      <c r="C63" s="28"/>
      <c r="D63" s="50"/>
      <c r="F63" s="44"/>
      <c r="Q63" s="27" t="s">
        <v>1033</v>
      </c>
    </row>
    <row r="64" spans="1:17" x14ac:dyDescent="0.25">
      <c r="A64" s="27" t="s">
        <v>936</v>
      </c>
      <c r="B64" s="67" t="s">
        <v>939</v>
      </c>
      <c r="C64" s="28"/>
      <c r="D64" s="50"/>
      <c r="F64" s="44"/>
      <c r="Q64" s="740" t="s">
        <v>351</v>
      </c>
    </row>
    <row r="65" spans="1:17" x14ac:dyDescent="0.25">
      <c r="A65" s="27" t="s">
        <v>350</v>
      </c>
      <c r="B65" s="67" t="s">
        <v>940</v>
      </c>
      <c r="C65" s="28"/>
      <c r="D65" s="50"/>
      <c r="F65" s="44"/>
      <c r="Q65" s="740" t="s">
        <v>350</v>
      </c>
    </row>
    <row r="66" spans="1:17" x14ac:dyDescent="0.25">
      <c r="A66" s="27"/>
      <c r="B66" s="67"/>
      <c r="C66" s="28"/>
      <c r="D66" s="50"/>
      <c r="F66" s="44"/>
      <c r="Q66" s="740" t="s">
        <v>934</v>
      </c>
    </row>
    <row r="67" spans="1:17" x14ac:dyDescent="0.25">
      <c r="A67" s="27"/>
      <c r="B67" s="28"/>
      <c r="C67" s="28"/>
      <c r="D67" s="50"/>
      <c r="F67" s="44"/>
      <c r="Q67" s="740" t="s">
        <v>203</v>
      </c>
    </row>
    <row r="68" spans="1:17" x14ac:dyDescent="0.25">
      <c r="A68" s="27"/>
      <c r="B68" s="28"/>
      <c r="C68" s="28"/>
      <c r="D68" s="50"/>
      <c r="F68" s="44"/>
      <c r="Q68" s="740" t="s">
        <v>937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1" t="s">
        <v>539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519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529</v>
      </c>
    </row>
    <row r="80" spans="1:17" x14ac:dyDescent="0.25">
      <c r="A80" s="27" t="s">
        <v>526</v>
      </c>
      <c r="B80" s="25" t="s">
        <v>70</v>
      </c>
    </row>
    <row r="81" spans="1:7" x14ac:dyDescent="0.25">
      <c r="A81" s="27" t="s">
        <v>361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358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530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528</v>
      </c>
      <c r="F110" s="17"/>
      <c r="G110" s="17"/>
    </row>
    <row r="111" spans="1:7" x14ac:dyDescent="0.25">
      <c r="A111" s="27" t="s">
        <v>527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531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360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532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525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359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533</v>
      </c>
      <c r="F156" s="17"/>
      <c r="G156" s="17"/>
    </row>
    <row r="157" spans="1:7" x14ac:dyDescent="0.25">
      <c r="A157" s="27" t="s">
        <v>518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520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2" t="s">
        <v>470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521</v>
      </c>
      <c r="B163" s="25" t="s">
        <v>522</v>
      </c>
      <c r="F163" s="17"/>
      <c r="G163" s="17"/>
    </row>
    <row r="164" spans="1:7" x14ac:dyDescent="0.25">
      <c r="A164" s="17" t="s">
        <v>495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497</v>
      </c>
      <c r="B168" s="73" t="s">
        <v>498</v>
      </c>
      <c r="F168" s="17"/>
      <c r="G168" s="17"/>
    </row>
    <row r="169" spans="1:7" x14ac:dyDescent="0.25">
      <c r="A169" s="27" t="s">
        <v>524</v>
      </c>
      <c r="B169" s="73" t="s">
        <v>523</v>
      </c>
      <c r="F169" s="17"/>
      <c r="G169" s="17"/>
    </row>
    <row r="170" spans="1:7" x14ac:dyDescent="0.25">
      <c r="A170" s="17" t="s">
        <v>468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469</v>
      </c>
      <c r="B177" s="27"/>
    </row>
    <row r="178" spans="1:7" x14ac:dyDescent="0.25">
      <c r="A178" s="17" t="s">
        <v>517</v>
      </c>
      <c r="F178" s="17"/>
      <c r="G178" s="17"/>
    </row>
    <row r="179" spans="1:7" x14ac:dyDescent="0.25">
      <c r="A179" s="17" t="s">
        <v>197</v>
      </c>
      <c r="C179" s="27" t="s">
        <v>499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496</v>
      </c>
      <c r="B181" s="17" t="s">
        <v>466</v>
      </c>
      <c r="F181" s="17"/>
      <c r="G181" s="17"/>
    </row>
    <row r="182" spans="1:7" x14ac:dyDescent="0.25">
      <c r="A182" s="17" t="s">
        <v>494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465</v>
      </c>
    </row>
    <row r="185" spans="1:7" x14ac:dyDescent="0.25">
      <c r="A185" s="17" t="s">
        <v>467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2" t="s">
        <v>477</v>
      </c>
      <c r="E190" s="73"/>
      <c r="F190" s="17"/>
      <c r="G190" s="17"/>
    </row>
    <row r="191" spans="1:7" x14ac:dyDescent="0.25">
      <c r="A191" s="27" t="s">
        <v>471</v>
      </c>
      <c r="E191"/>
      <c r="F191" s="17"/>
      <c r="G191" s="17"/>
    </row>
    <row r="192" spans="1:7" x14ac:dyDescent="0.25">
      <c r="A192" s="27" t="s">
        <v>472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473</v>
      </c>
      <c r="E194"/>
      <c r="F194" s="17"/>
      <c r="G194" s="17"/>
    </row>
    <row r="195" spans="1:7" x14ac:dyDescent="0.25">
      <c r="A195" s="17" t="s">
        <v>474</v>
      </c>
      <c r="E195"/>
      <c r="F195" s="17"/>
      <c r="G195" s="17"/>
    </row>
    <row r="196" spans="1:7" x14ac:dyDescent="0.25">
      <c r="D196" s="73"/>
      <c r="E196"/>
      <c r="F196" s="17"/>
      <c r="G196" s="17"/>
    </row>
    <row r="197" spans="1:7" x14ac:dyDescent="0.25">
      <c r="A197" s="71" t="s">
        <v>478</v>
      </c>
      <c r="D197" s="73"/>
      <c r="E197" s="73"/>
      <c r="F197" s="17"/>
      <c r="G197" s="17"/>
    </row>
    <row r="198" spans="1:7" x14ac:dyDescent="0.25">
      <c r="A198" s="27" t="s">
        <v>475</v>
      </c>
      <c r="D198" s="73"/>
      <c r="E198"/>
    </row>
    <row r="199" spans="1:7" x14ac:dyDescent="0.25">
      <c r="A199" s="27" t="s">
        <v>476</v>
      </c>
      <c r="D199" s="73"/>
      <c r="E199"/>
      <c r="F199" s="17"/>
      <c r="G199" s="17"/>
    </row>
    <row r="200" spans="1:7" x14ac:dyDescent="0.25">
      <c r="A200" s="27" t="s">
        <v>190</v>
      </c>
      <c r="D200" s="73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2" t="s">
        <v>369</v>
      </c>
      <c r="F202" s="17"/>
      <c r="G202" s="17"/>
    </row>
    <row r="203" spans="1:7" x14ac:dyDescent="0.25">
      <c r="A203" s="27" t="s">
        <v>368</v>
      </c>
      <c r="F203" s="17"/>
      <c r="G203" s="17"/>
    </row>
    <row r="204" spans="1:7" x14ac:dyDescent="0.25">
      <c r="A204" s="27" t="s">
        <v>461</v>
      </c>
      <c r="F204" s="17"/>
      <c r="G204" s="17"/>
    </row>
    <row r="205" spans="1:7" x14ac:dyDescent="0.25">
      <c r="A205" s="27" t="s">
        <v>459</v>
      </c>
    </row>
    <row r="206" spans="1:7" x14ac:dyDescent="0.25">
      <c r="A206" s="27" t="s">
        <v>463</v>
      </c>
    </row>
    <row r="207" spans="1:7" x14ac:dyDescent="0.25">
      <c r="A207" s="27" t="s">
        <v>460</v>
      </c>
    </row>
    <row r="208" spans="1:7" x14ac:dyDescent="0.25">
      <c r="A208" s="27" t="s">
        <v>366</v>
      </c>
    </row>
    <row r="209" spans="1:7" x14ac:dyDescent="0.25">
      <c r="A209" s="27" t="s">
        <v>462</v>
      </c>
    </row>
    <row r="210" spans="1:7" x14ac:dyDescent="0.25">
      <c r="A210" s="27" t="s">
        <v>370</v>
      </c>
    </row>
    <row r="211" spans="1:7" x14ac:dyDescent="0.25">
      <c r="A211" s="27" t="s">
        <v>362</v>
      </c>
    </row>
    <row r="212" spans="1:7" ht="15.75" thickBot="1" x14ac:dyDescent="0.3"/>
    <row r="213" spans="1:7" x14ac:dyDescent="0.25">
      <c r="A213" s="74" t="s">
        <v>374</v>
      </c>
      <c r="B213" s="78"/>
      <c r="C213" s="81" t="s">
        <v>479</v>
      </c>
      <c r="D213" s="82" t="s">
        <v>480</v>
      </c>
      <c r="E213" s="83"/>
      <c r="F213" s="84"/>
      <c r="G213" s="17"/>
    </row>
    <row r="214" spans="1:7" x14ac:dyDescent="0.25">
      <c r="A214" s="75" t="s">
        <v>486</v>
      </c>
      <c r="B214" s="79" t="s">
        <v>487</v>
      </c>
      <c r="C214" s="85" t="s">
        <v>457</v>
      </c>
      <c r="D214" s="29" t="s">
        <v>377</v>
      </c>
      <c r="E214" s="29"/>
      <c r="F214" s="76"/>
      <c r="G214" s="17"/>
    </row>
    <row r="215" spans="1:7" x14ac:dyDescent="0.25">
      <c r="A215" s="75" t="s">
        <v>455</v>
      </c>
      <c r="B215" s="79" t="s">
        <v>487</v>
      </c>
      <c r="C215" s="85" t="s">
        <v>373</v>
      </c>
      <c r="D215" s="29" t="s">
        <v>378</v>
      </c>
      <c r="E215" s="29"/>
      <c r="F215" s="76"/>
      <c r="G215" s="17"/>
    </row>
    <row r="216" spans="1:7" x14ac:dyDescent="0.25">
      <c r="A216" s="75" t="s">
        <v>453</v>
      </c>
      <c r="B216" s="79" t="s">
        <v>487</v>
      </c>
      <c r="C216" s="85" t="s">
        <v>373</v>
      </c>
      <c r="D216" s="29" t="s">
        <v>379</v>
      </c>
      <c r="E216" s="29"/>
      <c r="F216" s="76"/>
      <c r="G216" s="17"/>
    </row>
    <row r="217" spans="1:7" x14ac:dyDescent="0.25">
      <c r="A217" s="75" t="s">
        <v>376</v>
      </c>
      <c r="B217" s="80" t="s">
        <v>487</v>
      </c>
      <c r="C217" s="85" t="s">
        <v>373</v>
      </c>
      <c r="D217" s="29" t="s">
        <v>380</v>
      </c>
      <c r="E217" s="29"/>
      <c r="F217" s="76"/>
      <c r="G217" s="17"/>
    </row>
    <row r="218" spans="1:7" x14ac:dyDescent="0.25">
      <c r="A218" s="75" t="s">
        <v>464</v>
      </c>
      <c r="B218" s="79" t="s">
        <v>487</v>
      </c>
      <c r="C218" s="85" t="s">
        <v>485</v>
      </c>
      <c r="D218" s="29" t="s">
        <v>381</v>
      </c>
      <c r="E218" s="29"/>
      <c r="F218" s="76"/>
      <c r="G218" s="17"/>
    </row>
    <row r="219" spans="1:7" x14ac:dyDescent="0.25">
      <c r="A219" s="75" t="s">
        <v>454</v>
      </c>
      <c r="B219" s="79" t="s">
        <v>487</v>
      </c>
      <c r="C219" s="85" t="s">
        <v>490</v>
      </c>
      <c r="D219" s="29" t="s">
        <v>382</v>
      </c>
      <c r="E219" s="29"/>
      <c r="F219" s="76"/>
      <c r="G219" s="17"/>
    </row>
    <row r="220" spans="1:7" x14ac:dyDescent="0.25">
      <c r="A220" s="75" t="s">
        <v>372</v>
      </c>
      <c r="B220" s="79" t="s">
        <v>487</v>
      </c>
      <c r="C220" s="85" t="s">
        <v>458</v>
      </c>
      <c r="D220" s="29" t="s">
        <v>383</v>
      </c>
      <c r="E220" s="29"/>
      <c r="F220" s="76"/>
      <c r="G220" s="17"/>
    </row>
    <row r="221" spans="1:7" x14ac:dyDescent="0.25">
      <c r="A221" s="75" t="s">
        <v>485</v>
      </c>
      <c r="B221" s="79" t="s">
        <v>487</v>
      </c>
      <c r="C221" s="85" t="s">
        <v>511</v>
      </c>
      <c r="D221" s="29" t="s">
        <v>384</v>
      </c>
      <c r="E221" s="29"/>
      <c r="F221" s="76"/>
      <c r="G221" s="17"/>
    </row>
    <row r="222" spans="1:7" x14ac:dyDescent="0.25">
      <c r="A222" s="75" t="s">
        <v>500</v>
      </c>
      <c r="B222" s="79" t="s">
        <v>487</v>
      </c>
      <c r="C222" s="85" t="s">
        <v>511</v>
      </c>
      <c r="D222" s="29" t="s">
        <v>385</v>
      </c>
      <c r="E222" s="29"/>
      <c r="F222" s="76"/>
      <c r="G222" s="17"/>
    </row>
    <row r="223" spans="1:7" x14ac:dyDescent="0.25">
      <c r="A223" s="75" t="s">
        <v>501</v>
      </c>
      <c r="B223" s="79" t="s">
        <v>487</v>
      </c>
      <c r="C223" s="85" t="s">
        <v>511</v>
      </c>
      <c r="D223" s="29" t="s">
        <v>386</v>
      </c>
      <c r="E223" s="29"/>
      <c r="F223" s="76"/>
      <c r="G223" s="17"/>
    </row>
    <row r="224" spans="1:7" x14ac:dyDescent="0.25">
      <c r="A224" s="75" t="s">
        <v>482</v>
      </c>
      <c r="B224" s="79" t="s">
        <v>487</v>
      </c>
      <c r="C224" s="85" t="s">
        <v>453</v>
      </c>
      <c r="D224" s="80" t="s">
        <v>387</v>
      </c>
      <c r="E224" s="29"/>
      <c r="F224" s="76"/>
      <c r="G224" s="17"/>
    </row>
    <row r="225" spans="1:7" x14ac:dyDescent="0.25">
      <c r="A225" s="75" t="s">
        <v>503</v>
      </c>
      <c r="B225" s="79" t="s">
        <v>487</v>
      </c>
      <c r="C225" s="85" t="s">
        <v>453</v>
      </c>
      <c r="D225" s="29" t="s">
        <v>388</v>
      </c>
      <c r="E225" s="29"/>
      <c r="F225" s="76"/>
      <c r="G225" s="17"/>
    </row>
    <row r="226" spans="1:7" x14ac:dyDescent="0.25">
      <c r="A226" s="75" t="s">
        <v>483</v>
      </c>
      <c r="B226" s="79" t="s">
        <v>509</v>
      </c>
      <c r="C226" s="85" t="s">
        <v>481</v>
      </c>
      <c r="D226" s="29" t="s">
        <v>389</v>
      </c>
      <c r="E226" s="29"/>
      <c r="F226" s="76"/>
      <c r="G226" s="17"/>
    </row>
    <row r="227" spans="1:7" x14ac:dyDescent="0.25">
      <c r="A227" s="75" t="s">
        <v>484</v>
      </c>
      <c r="B227" s="79" t="s">
        <v>509</v>
      </c>
      <c r="C227" s="85" t="s">
        <v>376</v>
      </c>
      <c r="D227" s="29" t="s">
        <v>390</v>
      </c>
      <c r="E227" s="29"/>
      <c r="F227" s="76"/>
      <c r="G227" s="17"/>
    </row>
    <row r="228" spans="1:7" x14ac:dyDescent="0.25">
      <c r="A228" s="75" t="s">
        <v>371</v>
      </c>
      <c r="B228" s="79" t="s">
        <v>488</v>
      </c>
      <c r="C228" s="85" t="s">
        <v>372</v>
      </c>
      <c r="D228" s="29" t="s">
        <v>391</v>
      </c>
      <c r="E228" s="29"/>
      <c r="F228" s="76"/>
      <c r="G228" s="17"/>
    </row>
    <row r="229" spans="1:7" x14ac:dyDescent="0.25">
      <c r="A229" s="75" t="s">
        <v>481</v>
      </c>
      <c r="B229" s="80" t="s">
        <v>488</v>
      </c>
      <c r="C229" s="85" t="s">
        <v>484</v>
      </c>
      <c r="D229" s="29" t="s">
        <v>392</v>
      </c>
      <c r="E229" s="29"/>
      <c r="F229" s="76"/>
      <c r="G229" s="17"/>
    </row>
    <row r="230" spans="1:7" x14ac:dyDescent="0.25">
      <c r="A230" s="75" t="s">
        <v>458</v>
      </c>
      <c r="B230" s="80" t="s">
        <v>488</v>
      </c>
      <c r="C230" s="85" t="s">
        <v>484</v>
      </c>
      <c r="D230" s="29" t="s">
        <v>393</v>
      </c>
      <c r="E230" s="29"/>
      <c r="F230" s="76"/>
      <c r="G230" s="17"/>
    </row>
    <row r="231" spans="1:7" x14ac:dyDescent="0.25">
      <c r="A231" s="75" t="s">
        <v>502</v>
      </c>
      <c r="B231" s="80" t="s">
        <v>488</v>
      </c>
      <c r="C231" s="85" t="s">
        <v>454</v>
      </c>
      <c r="D231" s="29" t="s">
        <v>394</v>
      </c>
      <c r="E231" s="29"/>
      <c r="F231" s="76"/>
      <c r="G231" s="17"/>
    </row>
    <row r="232" spans="1:7" x14ac:dyDescent="0.25">
      <c r="A232" s="75" t="s">
        <v>456</v>
      </c>
      <c r="B232" s="79" t="s">
        <v>488</v>
      </c>
      <c r="C232" s="85" t="s">
        <v>456</v>
      </c>
      <c r="D232" s="29" t="s">
        <v>395</v>
      </c>
      <c r="E232" s="29"/>
      <c r="F232" s="76"/>
      <c r="G232" s="17"/>
    </row>
    <row r="233" spans="1:7" x14ac:dyDescent="0.25">
      <c r="A233" s="75" t="s">
        <v>510</v>
      </c>
      <c r="B233" s="79" t="s">
        <v>488</v>
      </c>
      <c r="C233" s="85" t="s">
        <v>455</v>
      </c>
      <c r="D233" s="29" t="s">
        <v>396</v>
      </c>
      <c r="E233" s="29"/>
      <c r="F233" s="76"/>
      <c r="G233" s="17"/>
    </row>
    <row r="234" spans="1:7" x14ac:dyDescent="0.25">
      <c r="A234" s="75" t="s">
        <v>507</v>
      </c>
      <c r="B234" s="79" t="s">
        <v>488</v>
      </c>
      <c r="C234" s="85" t="s">
        <v>376</v>
      </c>
      <c r="D234" s="29" t="s">
        <v>397</v>
      </c>
      <c r="E234" s="29"/>
      <c r="F234" s="76"/>
      <c r="G234" s="17"/>
    </row>
    <row r="235" spans="1:7" x14ac:dyDescent="0.25">
      <c r="A235" s="75" t="s">
        <v>506</v>
      </c>
      <c r="B235" s="80" t="s">
        <v>488</v>
      </c>
      <c r="C235" s="85" t="s">
        <v>464</v>
      </c>
      <c r="D235" s="29" t="s">
        <v>398</v>
      </c>
      <c r="E235" s="29"/>
      <c r="F235" s="76"/>
      <c r="G235" s="17"/>
    </row>
    <row r="236" spans="1:7" x14ac:dyDescent="0.25">
      <c r="A236" s="75" t="s">
        <v>504</v>
      </c>
      <c r="B236" s="79" t="s">
        <v>488</v>
      </c>
      <c r="C236" s="85" t="s">
        <v>464</v>
      </c>
      <c r="D236" s="29" t="s">
        <v>399</v>
      </c>
      <c r="E236" s="29"/>
      <c r="F236" s="76"/>
      <c r="G236" s="17"/>
    </row>
    <row r="237" spans="1:7" x14ac:dyDescent="0.25">
      <c r="A237" s="75" t="s">
        <v>505</v>
      </c>
      <c r="B237" s="79" t="s">
        <v>491</v>
      </c>
      <c r="C237" s="85" t="s">
        <v>486</v>
      </c>
      <c r="D237" s="29" t="s">
        <v>400</v>
      </c>
      <c r="E237" s="29"/>
      <c r="F237" s="76"/>
      <c r="G237" s="17"/>
    </row>
    <row r="238" spans="1:7" x14ac:dyDescent="0.25">
      <c r="A238" s="75" t="s">
        <v>457</v>
      </c>
      <c r="B238" s="79" t="s">
        <v>491</v>
      </c>
      <c r="C238" s="85" t="s">
        <v>486</v>
      </c>
      <c r="D238" s="29" t="s">
        <v>401</v>
      </c>
      <c r="E238" s="29"/>
      <c r="F238" s="76"/>
      <c r="G238" s="17"/>
    </row>
    <row r="239" spans="1:7" x14ac:dyDescent="0.25">
      <c r="A239" s="75" t="s">
        <v>492</v>
      </c>
      <c r="B239" s="79" t="s">
        <v>491</v>
      </c>
      <c r="C239" s="85" t="s">
        <v>486</v>
      </c>
      <c r="D239" s="29" t="s">
        <v>402</v>
      </c>
      <c r="E239" s="29"/>
      <c r="F239" s="76"/>
      <c r="G239" s="17"/>
    </row>
    <row r="240" spans="1:7" x14ac:dyDescent="0.25">
      <c r="A240" s="75" t="s">
        <v>489</v>
      </c>
      <c r="B240" s="79" t="s">
        <v>491</v>
      </c>
      <c r="C240" s="85" t="s">
        <v>500</v>
      </c>
      <c r="D240" s="29" t="s">
        <v>403</v>
      </c>
      <c r="E240" s="29"/>
      <c r="F240" s="76"/>
      <c r="G240" s="17"/>
    </row>
    <row r="241" spans="1:7" x14ac:dyDescent="0.25">
      <c r="A241" s="75" t="s">
        <v>490</v>
      </c>
      <c r="B241" s="79" t="s">
        <v>491</v>
      </c>
      <c r="C241" s="85" t="s">
        <v>482</v>
      </c>
      <c r="D241" s="29" t="s">
        <v>404</v>
      </c>
      <c r="E241" s="29"/>
      <c r="F241" s="76"/>
      <c r="G241" s="17"/>
    </row>
    <row r="242" spans="1:7" x14ac:dyDescent="0.25">
      <c r="A242" s="75" t="s">
        <v>508</v>
      </c>
      <c r="B242" s="79" t="s">
        <v>491</v>
      </c>
      <c r="C242" s="85" t="s">
        <v>482</v>
      </c>
      <c r="D242" s="29" t="s">
        <v>405</v>
      </c>
      <c r="E242" s="29"/>
      <c r="F242" s="76"/>
      <c r="G242" s="17"/>
    </row>
    <row r="243" spans="1:7" x14ac:dyDescent="0.25">
      <c r="A243" s="75" t="s">
        <v>493</v>
      </c>
      <c r="B243" s="79" t="s">
        <v>491</v>
      </c>
      <c r="C243" s="85" t="s">
        <v>482</v>
      </c>
      <c r="D243" s="29" t="s">
        <v>406</v>
      </c>
      <c r="E243" s="29"/>
      <c r="F243" s="76"/>
      <c r="G243" s="17"/>
    </row>
    <row r="244" spans="1:7" x14ac:dyDescent="0.25">
      <c r="A244" s="75" t="s">
        <v>42</v>
      </c>
      <c r="B244" s="79" t="s">
        <v>42</v>
      </c>
      <c r="C244" s="85" t="s">
        <v>483</v>
      </c>
      <c r="D244" s="29" t="s">
        <v>407</v>
      </c>
      <c r="E244" s="29"/>
      <c r="F244" s="76"/>
      <c r="G244" s="17"/>
    </row>
    <row r="245" spans="1:7" x14ac:dyDescent="0.25">
      <c r="A245" s="75" t="s">
        <v>373</v>
      </c>
      <c r="B245" s="79" t="s">
        <v>373</v>
      </c>
      <c r="C245" s="85" t="s">
        <v>483</v>
      </c>
      <c r="D245" s="29" t="s">
        <v>408</v>
      </c>
      <c r="E245" s="29"/>
      <c r="F245" s="76"/>
      <c r="G245" s="17"/>
    </row>
    <row r="246" spans="1:7" ht="15.75" thickBot="1" x14ac:dyDescent="0.3">
      <c r="A246" s="77" t="s">
        <v>511</v>
      </c>
      <c r="B246" s="90" t="s">
        <v>511</v>
      </c>
      <c r="C246" s="85" t="s">
        <v>483</v>
      </c>
      <c r="D246" s="29" t="s">
        <v>409</v>
      </c>
      <c r="E246" s="29"/>
      <c r="F246" s="76"/>
      <c r="G246" s="17"/>
    </row>
    <row r="247" spans="1:7" x14ac:dyDescent="0.25">
      <c r="C247" s="85" t="s">
        <v>455</v>
      </c>
      <c r="D247" s="29" t="s">
        <v>410</v>
      </c>
      <c r="E247" s="29"/>
      <c r="F247" s="76"/>
      <c r="G247" s="17"/>
    </row>
    <row r="248" spans="1:7" x14ac:dyDescent="0.25">
      <c r="C248" s="85" t="s">
        <v>455</v>
      </c>
      <c r="D248" s="29" t="s">
        <v>411</v>
      </c>
      <c r="E248" s="29"/>
      <c r="F248" s="76"/>
      <c r="G248" s="17"/>
    </row>
    <row r="249" spans="1:7" x14ac:dyDescent="0.25">
      <c r="C249" s="85" t="s">
        <v>455</v>
      </c>
      <c r="D249" s="29" t="s">
        <v>412</v>
      </c>
      <c r="E249" s="29"/>
      <c r="F249" s="76"/>
      <c r="G249" s="17"/>
    </row>
    <row r="250" spans="1:7" x14ac:dyDescent="0.25">
      <c r="C250" s="85" t="s">
        <v>503</v>
      </c>
      <c r="D250" s="29" t="s">
        <v>413</v>
      </c>
      <c r="E250" s="29"/>
      <c r="F250" s="76"/>
      <c r="G250" s="17"/>
    </row>
    <row r="251" spans="1:7" x14ac:dyDescent="0.25">
      <c r="C251" s="85" t="s">
        <v>376</v>
      </c>
      <c r="D251" s="29" t="s">
        <v>414</v>
      </c>
      <c r="E251" s="29"/>
      <c r="F251" s="76"/>
      <c r="G251" s="17"/>
    </row>
    <row r="252" spans="1:7" x14ac:dyDescent="0.25">
      <c r="C252" s="85" t="s">
        <v>501</v>
      </c>
      <c r="D252" s="29" t="s">
        <v>415</v>
      </c>
      <c r="E252" s="29"/>
      <c r="F252" s="76"/>
      <c r="G252" s="17"/>
    </row>
    <row r="253" spans="1:7" x14ac:dyDescent="0.25">
      <c r="C253" s="85" t="s">
        <v>481</v>
      </c>
      <c r="D253" s="29" t="s">
        <v>416</v>
      </c>
      <c r="E253" s="29"/>
      <c r="F253" s="76"/>
      <c r="G253" s="17"/>
    </row>
    <row r="254" spans="1:7" x14ac:dyDescent="0.25">
      <c r="C254" s="85" t="s">
        <v>373</v>
      </c>
      <c r="D254" s="29" t="s">
        <v>417</v>
      </c>
      <c r="E254" s="29"/>
      <c r="F254" s="76"/>
      <c r="G254" s="17"/>
    </row>
    <row r="255" spans="1:7" x14ac:dyDescent="0.25">
      <c r="C255" s="85" t="s">
        <v>373</v>
      </c>
      <c r="D255" s="29" t="s">
        <v>418</v>
      </c>
      <c r="E255" s="29"/>
      <c r="F255" s="76"/>
      <c r="G255" s="17"/>
    </row>
    <row r="256" spans="1:7" x14ac:dyDescent="0.25">
      <c r="B256" s="17"/>
      <c r="C256" s="85" t="s">
        <v>458</v>
      </c>
      <c r="D256" s="29" t="s">
        <v>419</v>
      </c>
      <c r="E256" s="29"/>
      <c r="F256" s="76"/>
      <c r="G256" s="17"/>
    </row>
    <row r="257" spans="2:7" x14ac:dyDescent="0.25">
      <c r="B257" s="17"/>
      <c r="C257" s="85" t="s">
        <v>458</v>
      </c>
      <c r="D257" s="29" t="s">
        <v>420</v>
      </c>
      <c r="E257" s="29"/>
      <c r="F257" s="76"/>
      <c r="G257" s="17"/>
    </row>
    <row r="258" spans="2:7" x14ac:dyDescent="0.25">
      <c r="B258" s="17"/>
      <c r="C258" s="85" t="s">
        <v>506</v>
      </c>
      <c r="D258" s="29" t="s">
        <v>421</v>
      </c>
      <c r="E258" s="29"/>
      <c r="F258" s="76"/>
      <c r="G258" s="17"/>
    </row>
    <row r="259" spans="2:7" x14ac:dyDescent="0.25">
      <c r="B259" s="17"/>
      <c r="C259" s="85" t="s">
        <v>507</v>
      </c>
      <c r="D259" s="29" t="s">
        <v>422</v>
      </c>
      <c r="E259" s="29"/>
      <c r="F259" s="76"/>
      <c r="G259" s="17"/>
    </row>
    <row r="260" spans="2:7" x14ac:dyDescent="0.25">
      <c r="B260" s="17"/>
      <c r="C260" s="85" t="s">
        <v>507</v>
      </c>
      <c r="D260" s="29" t="s">
        <v>423</v>
      </c>
      <c r="E260" s="29"/>
      <c r="F260" s="76"/>
      <c r="G260" s="17"/>
    </row>
    <row r="261" spans="2:7" x14ac:dyDescent="0.25">
      <c r="B261" s="17"/>
      <c r="C261" s="85" t="s">
        <v>507</v>
      </c>
      <c r="D261" s="29" t="s">
        <v>424</v>
      </c>
      <c r="E261" s="29"/>
      <c r="F261" s="76"/>
      <c r="G261" s="17"/>
    </row>
    <row r="262" spans="2:7" x14ac:dyDescent="0.25">
      <c r="B262" s="17"/>
      <c r="C262" s="85" t="s">
        <v>371</v>
      </c>
      <c r="D262" s="29" t="s">
        <v>425</v>
      </c>
      <c r="E262" s="29"/>
      <c r="F262" s="76"/>
      <c r="G262" s="17"/>
    </row>
    <row r="263" spans="2:7" x14ac:dyDescent="0.25">
      <c r="B263" s="17"/>
      <c r="C263" s="85" t="s">
        <v>371</v>
      </c>
      <c r="D263" s="29" t="s">
        <v>426</v>
      </c>
      <c r="E263" s="29"/>
      <c r="F263" s="76"/>
      <c r="G263" s="17"/>
    </row>
    <row r="264" spans="2:7" x14ac:dyDescent="0.25">
      <c r="B264" s="17"/>
      <c r="C264" s="85" t="s">
        <v>371</v>
      </c>
      <c r="D264" s="29" t="s">
        <v>427</v>
      </c>
      <c r="E264" s="29"/>
      <c r="F264" s="76"/>
      <c r="G264" s="17"/>
    </row>
    <row r="265" spans="2:7" x14ac:dyDescent="0.25">
      <c r="B265" s="17"/>
      <c r="C265" s="85" t="s">
        <v>502</v>
      </c>
      <c r="D265" s="29" t="s">
        <v>428</v>
      </c>
      <c r="E265" s="29"/>
      <c r="F265" s="76"/>
      <c r="G265" s="17"/>
    </row>
    <row r="266" spans="2:7" x14ac:dyDescent="0.25">
      <c r="B266" s="17"/>
      <c r="C266" s="85" t="s">
        <v>502</v>
      </c>
      <c r="D266" s="29" t="s">
        <v>429</v>
      </c>
      <c r="E266" s="29"/>
      <c r="F266" s="76"/>
      <c r="G266" s="17"/>
    </row>
    <row r="267" spans="2:7" x14ac:dyDescent="0.25">
      <c r="B267" s="17"/>
      <c r="C267" s="85" t="s">
        <v>502</v>
      </c>
      <c r="D267" s="29" t="s">
        <v>430</v>
      </c>
      <c r="E267" s="29"/>
      <c r="F267" s="76"/>
      <c r="G267" s="17"/>
    </row>
    <row r="268" spans="2:7" x14ac:dyDescent="0.25">
      <c r="B268" s="17"/>
      <c r="C268" s="85" t="s">
        <v>510</v>
      </c>
      <c r="D268" s="29" t="s">
        <v>431</v>
      </c>
      <c r="E268" s="29"/>
      <c r="F268" s="76"/>
      <c r="G268" s="17"/>
    </row>
    <row r="269" spans="2:7" x14ac:dyDescent="0.25">
      <c r="B269" s="17"/>
      <c r="C269" s="85" t="s">
        <v>510</v>
      </c>
      <c r="D269" s="29" t="s">
        <v>432</v>
      </c>
      <c r="E269" s="29"/>
      <c r="F269" s="76"/>
      <c r="G269" s="17"/>
    </row>
    <row r="270" spans="2:7" x14ac:dyDescent="0.25">
      <c r="B270" s="17"/>
      <c r="C270" s="85" t="s">
        <v>510</v>
      </c>
      <c r="D270" s="29" t="s">
        <v>433</v>
      </c>
      <c r="E270" s="29"/>
      <c r="F270" s="76"/>
      <c r="G270" s="17"/>
    </row>
    <row r="271" spans="2:7" x14ac:dyDescent="0.25">
      <c r="B271" s="17"/>
      <c r="C271" s="85" t="s">
        <v>508</v>
      </c>
      <c r="D271" s="29" t="s">
        <v>434</v>
      </c>
      <c r="E271" s="29"/>
      <c r="F271" s="76"/>
      <c r="G271" s="17"/>
    </row>
    <row r="272" spans="2:7" x14ac:dyDescent="0.25">
      <c r="B272" s="17"/>
      <c r="C272" s="85" t="s">
        <v>504</v>
      </c>
      <c r="D272" s="29" t="s">
        <v>435</v>
      </c>
      <c r="E272" s="29"/>
      <c r="F272" s="76"/>
      <c r="G272" s="17"/>
    </row>
    <row r="273" spans="2:7" x14ac:dyDescent="0.25">
      <c r="B273" s="17"/>
      <c r="C273" s="85" t="s">
        <v>504</v>
      </c>
      <c r="D273" s="29" t="s">
        <v>436</v>
      </c>
      <c r="E273" s="29"/>
      <c r="F273" s="76"/>
      <c r="G273" s="17"/>
    </row>
    <row r="274" spans="2:7" x14ac:dyDescent="0.25">
      <c r="B274" s="17"/>
      <c r="C274" s="85" t="s">
        <v>504</v>
      </c>
      <c r="D274" s="29" t="s">
        <v>437</v>
      </c>
      <c r="E274" s="29"/>
      <c r="F274" s="76"/>
      <c r="G274" s="17"/>
    </row>
    <row r="275" spans="2:7" x14ac:dyDescent="0.25">
      <c r="B275" s="17"/>
      <c r="C275" s="85" t="s">
        <v>504</v>
      </c>
      <c r="D275" s="29" t="s">
        <v>438</v>
      </c>
      <c r="E275" s="29"/>
      <c r="F275" s="76"/>
      <c r="G275" s="17"/>
    </row>
    <row r="276" spans="2:7" x14ac:dyDescent="0.25">
      <c r="B276" s="17"/>
      <c r="C276" s="85" t="s">
        <v>504</v>
      </c>
      <c r="D276" s="29" t="s">
        <v>439</v>
      </c>
      <c r="E276" s="29"/>
      <c r="F276" s="76"/>
      <c r="G276" s="17"/>
    </row>
    <row r="277" spans="2:7" x14ac:dyDescent="0.25">
      <c r="B277" s="17"/>
      <c r="C277" s="85" t="s">
        <v>504</v>
      </c>
      <c r="D277" s="29" t="s">
        <v>440</v>
      </c>
      <c r="E277" s="29"/>
      <c r="F277" s="76"/>
      <c r="G277" s="17"/>
    </row>
    <row r="278" spans="2:7" x14ac:dyDescent="0.25">
      <c r="B278" s="17"/>
      <c r="C278" s="85" t="s">
        <v>481</v>
      </c>
      <c r="D278" s="29" t="s">
        <v>441</v>
      </c>
      <c r="E278" s="29"/>
      <c r="F278" s="76"/>
      <c r="G278" s="17"/>
    </row>
    <row r="279" spans="2:7" x14ac:dyDescent="0.25">
      <c r="B279" s="17"/>
      <c r="C279" s="85" t="s">
        <v>481</v>
      </c>
      <c r="D279" s="29" t="s">
        <v>442</v>
      </c>
      <c r="E279" s="29"/>
      <c r="F279" s="76"/>
      <c r="G279" s="17"/>
    </row>
    <row r="280" spans="2:7" x14ac:dyDescent="0.25">
      <c r="B280" s="17"/>
      <c r="C280" s="85" t="s">
        <v>481</v>
      </c>
      <c r="D280" s="29" t="s">
        <v>443</v>
      </c>
      <c r="E280" s="29"/>
      <c r="F280" s="76"/>
      <c r="G280" s="17"/>
    </row>
    <row r="281" spans="2:7" x14ac:dyDescent="0.25">
      <c r="B281" s="17"/>
      <c r="C281" s="85" t="s">
        <v>490</v>
      </c>
      <c r="D281" s="29" t="s">
        <v>444</v>
      </c>
      <c r="E281" s="29"/>
      <c r="F281" s="76"/>
      <c r="G281" s="17"/>
    </row>
    <row r="282" spans="2:7" x14ac:dyDescent="0.25">
      <c r="B282" s="17"/>
      <c r="C282" s="85" t="s">
        <v>490</v>
      </c>
      <c r="D282" s="29" t="s">
        <v>445</v>
      </c>
      <c r="E282" s="29"/>
      <c r="F282" s="76"/>
      <c r="G282" s="17"/>
    </row>
    <row r="283" spans="2:7" x14ac:dyDescent="0.25">
      <c r="B283" s="17"/>
      <c r="C283" s="85" t="s">
        <v>490</v>
      </c>
      <c r="D283" s="29" t="s">
        <v>446</v>
      </c>
      <c r="E283" s="29"/>
      <c r="F283" s="76"/>
      <c r="G283" s="17"/>
    </row>
    <row r="284" spans="2:7" x14ac:dyDescent="0.25">
      <c r="B284" s="17"/>
      <c r="C284" s="85" t="s">
        <v>489</v>
      </c>
      <c r="D284" s="29" t="s">
        <v>447</v>
      </c>
      <c r="E284" s="29"/>
      <c r="F284" s="76"/>
      <c r="G284" s="17"/>
    </row>
    <row r="285" spans="2:7" x14ac:dyDescent="0.25">
      <c r="B285" s="17"/>
      <c r="C285" s="85" t="s">
        <v>489</v>
      </c>
      <c r="D285" s="29" t="s">
        <v>448</v>
      </c>
      <c r="E285" s="29"/>
      <c r="F285" s="76"/>
      <c r="G285" s="17"/>
    </row>
    <row r="286" spans="2:7" x14ac:dyDescent="0.25">
      <c r="B286" s="17"/>
      <c r="C286" s="85" t="s">
        <v>489</v>
      </c>
      <c r="D286" s="29" t="s">
        <v>449</v>
      </c>
      <c r="E286" s="29"/>
      <c r="F286" s="76"/>
      <c r="G286" s="17"/>
    </row>
    <row r="287" spans="2:7" x14ac:dyDescent="0.25">
      <c r="B287" s="17"/>
      <c r="C287" s="85" t="s">
        <v>505</v>
      </c>
      <c r="D287" s="80" t="s">
        <v>450</v>
      </c>
      <c r="E287" s="29"/>
      <c r="F287" s="76"/>
      <c r="G287" s="17"/>
    </row>
    <row r="288" spans="2:7" x14ac:dyDescent="0.25">
      <c r="B288" s="17"/>
      <c r="C288" s="85" t="s">
        <v>492</v>
      </c>
      <c r="D288" s="80" t="s">
        <v>451</v>
      </c>
      <c r="E288" s="29"/>
      <c r="F288" s="76"/>
      <c r="G288" s="17"/>
    </row>
    <row r="289" spans="1:7" ht="15.75" thickBot="1" x14ac:dyDescent="0.3">
      <c r="B289" s="17"/>
      <c r="C289" s="86" t="s">
        <v>493</v>
      </c>
      <c r="D289" s="89" t="s">
        <v>452</v>
      </c>
      <c r="E289" s="87"/>
      <c r="F289" s="88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423"/>
  <sheetViews>
    <sheetView topLeftCell="A34" workbookViewId="0">
      <selection activeCell="C48" sqref="C48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41385</v>
      </c>
      <c r="C1" s="58" t="s">
        <v>215</v>
      </c>
      <c r="D1" s="40">
        <v>423</v>
      </c>
    </row>
    <row r="2" spans="1:4" x14ac:dyDescent="0.25">
      <c r="A2" s="36">
        <v>41385</v>
      </c>
      <c r="B2" s="121">
        <v>0.64753472222222219</v>
      </c>
      <c r="C2" s="26" t="s">
        <v>1060</v>
      </c>
    </row>
    <row r="3" spans="1:4" x14ac:dyDescent="0.25">
      <c r="A3" s="36">
        <v>41385</v>
      </c>
      <c r="B3" s="121">
        <v>0.64774305555555556</v>
      </c>
      <c r="C3" s="26" t="s">
        <v>1097</v>
      </c>
    </row>
    <row r="4" spans="1:4" ht="30" x14ac:dyDescent="0.25">
      <c r="A4" s="36">
        <v>41385</v>
      </c>
      <c r="B4" s="121">
        <v>0.647974537037037</v>
      </c>
      <c r="C4" s="779" t="s">
        <v>1098</v>
      </c>
    </row>
    <row r="5" spans="1:4" x14ac:dyDescent="0.25">
      <c r="A5" s="36">
        <v>41385</v>
      </c>
      <c r="B5" s="121">
        <v>0.64878472222222217</v>
      </c>
      <c r="C5" s="26" t="s">
        <v>1093</v>
      </c>
    </row>
    <row r="6" spans="1:4" x14ac:dyDescent="0.25">
      <c r="A6" s="36">
        <v>41385</v>
      </c>
      <c r="B6" s="121">
        <v>0.64902777777777776</v>
      </c>
      <c r="C6" s="26" t="s">
        <v>1094</v>
      </c>
    </row>
    <row r="7" spans="1:4" x14ac:dyDescent="0.25">
      <c r="A7" s="36">
        <v>41385</v>
      </c>
      <c r="B7" s="121">
        <v>0.64913194444444444</v>
      </c>
      <c r="C7" s="26" t="s">
        <v>1094</v>
      </c>
    </row>
    <row r="8" spans="1:4" x14ac:dyDescent="0.25">
      <c r="A8" s="36">
        <v>41385</v>
      </c>
      <c r="B8" s="121">
        <v>0.64916666666666667</v>
      </c>
      <c r="C8" s="26" t="s">
        <v>1094</v>
      </c>
    </row>
    <row r="9" spans="1:4" x14ac:dyDescent="0.25">
      <c r="A9" s="36">
        <v>41385</v>
      </c>
      <c r="B9" s="121">
        <v>0.64922453703703698</v>
      </c>
      <c r="C9" s="26" t="s">
        <v>1094</v>
      </c>
    </row>
    <row r="10" spans="1:4" x14ac:dyDescent="0.25">
      <c r="A10" s="36">
        <v>41385</v>
      </c>
      <c r="B10" s="121">
        <v>0.64927083333333335</v>
      </c>
      <c r="C10" s="26" t="s">
        <v>1095</v>
      </c>
    </row>
    <row r="11" spans="1:4" x14ac:dyDescent="0.25">
      <c r="A11" s="36">
        <v>41385</v>
      </c>
      <c r="B11" s="121">
        <v>0.64930555555555558</v>
      </c>
      <c r="C11" s="26" t="s">
        <v>1096</v>
      </c>
    </row>
    <row r="12" spans="1:4" ht="45" x14ac:dyDescent="0.25">
      <c r="A12" s="36">
        <v>41385</v>
      </c>
      <c r="B12" s="121">
        <v>0.64937500000000004</v>
      </c>
      <c r="C12" s="779" t="s">
        <v>1099</v>
      </c>
    </row>
    <row r="13" spans="1:4" x14ac:dyDescent="0.25">
      <c r="A13" s="36">
        <v>41386</v>
      </c>
      <c r="B13" s="121">
        <v>0.79934027777777772</v>
      </c>
      <c r="C13" s="26" t="s">
        <v>1101</v>
      </c>
    </row>
    <row r="14" spans="1:4" x14ac:dyDescent="0.25">
      <c r="A14" s="36">
        <v>41386</v>
      </c>
      <c r="B14" s="121">
        <v>0.82584490740740746</v>
      </c>
      <c r="C14" s="26" t="s">
        <v>1103</v>
      </c>
    </row>
    <row r="15" spans="1:4" ht="60" x14ac:dyDescent="0.25">
      <c r="A15" s="36">
        <v>41386</v>
      </c>
      <c r="B15" s="121">
        <v>0.82584490740740746</v>
      </c>
      <c r="C15" s="779" t="s">
        <v>1104</v>
      </c>
    </row>
    <row r="16" spans="1:4" x14ac:dyDescent="0.25">
      <c r="A16" s="36">
        <v>41386</v>
      </c>
      <c r="B16" s="121">
        <v>0.82945601851851858</v>
      </c>
      <c r="C16" s="26" t="s">
        <v>1105</v>
      </c>
    </row>
    <row r="17" spans="1:3" ht="60" x14ac:dyDescent="0.25">
      <c r="A17" s="36">
        <v>41386</v>
      </c>
      <c r="B17" s="121">
        <v>0.82945601851851858</v>
      </c>
      <c r="C17" s="779" t="s">
        <v>1104</v>
      </c>
    </row>
    <row r="18" spans="1:3" x14ac:dyDescent="0.25">
      <c r="A18" s="36">
        <v>41386</v>
      </c>
      <c r="B18" s="121">
        <v>0.8366203703703704</v>
      </c>
      <c r="C18" s="26" t="s">
        <v>1105</v>
      </c>
    </row>
    <row r="19" spans="1:3" x14ac:dyDescent="0.25">
      <c r="A19" s="36">
        <v>41386</v>
      </c>
      <c r="B19" s="121">
        <v>0.83685185185185185</v>
      </c>
      <c r="C19" s="26" t="s">
        <v>1106</v>
      </c>
    </row>
    <row r="20" spans="1:3" x14ac:dyDescent="0.25">
      <c r="A20" s="36">
        <v>41386</v>
      </c>
      <c r="B20" s="121">
        <v>0.84329861111111104</v>
      </c>
      <c r="C20" s="26" t="s">
        <v>1105</v>
      </c>
    </row>
    <row r="21" spans="1:3" ht="60" x14ac:dyDescent="0.25">
      <c r="A21" s="36">
        <v>41386</v>
      </c>
      <c r="B21" s="121">
        <v>0.84329861111111104</v>
      </c>
      <c r="C21" s="779" t="s">
        <v>1104</v>
      </c>
    </row>
    <row r="22" spans="1:3" x14ac:dyDescent="0.25">
      <c r="A22" s="36">
        <v>41386</v>
      </c>
      <c r="B22" s="121">
        <v>0.84386574074074072</v>
      </c>
      <c r="C22" s="26" t="s">
        <v>1105</v>
      </c>
    </row>
    <row r="23" spans="1:3" x14ac:dyDescent="0.25">
      <c r="A23" s="36">
        <v>41386</v>
      </c>
      <c r="B23" s="121">
        <v>0.84387731481481476</v>
      </c>
      <c r="C23" s="26" t="s">
        <v>1106</v>
      </c>
    </row>
    <row r="24" spans="1:3" x14ac:dyDescent="0.25">
      <c r="A24" s="36">
        <v>41386</v>
      </c>
      <c r="B24" s="121">
        <v>0.84586805555555555</v>
      </c>
      <c r="C24" s="26" t="s">
        <v>1105</v>
      </c>
    </row>
    <row r="25" spans="1:3" ht="60" x14ac:dyDescent="0.25">
      <c r="A25" s="36">
        <v>41386</v>
      </c>
      <c r="B25" s="121">
        <v>0.84586805555555555</v>
      </c>
      <c r="C25" s="779" t="s">
        <v>1104</v>
      </c>
    </row>
    <row r="26" spans="1:3" x14ac:dyDescent="0.25">
      <c r="A26" s="36">
        <v>41386</v>
      </c>
      <c r="B26" s="121">
        <v>0.84614583333333337</v>
      </c>
      <c r="C26" s="26" t="s">
        <v>1105</v>
      </c>
    </row>
    <row r="27" spans="1:3" x14ac:dyDescent="0.25">
      <c r="A27" s="36">
        <v>41386</v>
      </c>
      <c r="B27" s="121">
        <v>0.8461574074074073</v>
      </c>
      <c r="C27" s="26" t="s">
        <v>1106</v>
      </c>
    </row>
    <row r="28" spans="1:3" x14ac:dyDescent="0.25">
      <c r="A28" s="36">
        <v>41386</v>
      </c>
      <c r="B28" s="121">
        <v>0.85115740740740742</v>
      </c>
      <c r="C28" s="26" t="s">
        <v>1105</v>
      </c>
    </row>
    <row r="29" spans="1:3" ht="60" x14ac:dyDescent="0.25">
      <c r="A29" s="36">
        <v>41386</v>
      </c>
      <c r="B29" s="121">
        <v>0.85115740740740742</v>
      </c>
      <c r="C29" s="779" t="s">
        <v>1104</v>
      </c>
    </row>
    <row r="30" spans="1:3" x14ac:dyDescent="0.25">
      <c r="A30" s="36">
        <v>41386</v>
      </c>
      <c r="B30" s="121">
        <v>0.85143518518518524</v>
      </c>
      <c r="C30" s="26" t="s">
        <v>1105</v>
      </c>
    </row>
    <row r="31" spans="1:3" x14ac:dyDescent="0.25">
      <c r="A31" s="36">
        <v>41386</v>
      </c>
      <c r="B31" s="121">
        <v>0.85144675925925928</v>
      </c>
      <c r="C31" s="26" t="s">
        <v>1106</v>
      </c>
    </row>
    <row r="32" spans="1:3" x14ac:dyDescent="0.25">
      <c r="A32" s="36">
        <v>41387</v>
      </c>
      <c r="B32" s="121">
        <v>0.82535879629629638</v>
      </c>
      <c r="C32" s="26" t="s">
        <v>1105</v>
      </c>
    </row>
    <row r="33" spans="1:3" ht="60" x14ac:dyDescent="0.25">
      <c r="A33" s="36">
        <v>41387</v>
      </c>
      <c r="B33" s="121">
        <v>0.82535879629629638</v>
      </c>
      <c r="C33" s="779" t="s">
        <v>1104</v>
      </c>
    </row>
    <row r="34" spans="1:3" x14ac:dyDescent="0.25">
      <c r="A34" s="36">
        <v>41387</v>
      </c>
      <c r="B34" s="121">
        <v>0.8256134259259259</v>
      </c>
      <c r="C34" s="26" t="s">
        <v>1105</v>
      </c>
    </row>
    <row r="35" spans="1:3" x14ac:dyDescent="0.25">
      <c r="A35" s="36">
        <v>41387</v>
      </c>
      <c r="B35" s="121">
        <v>0.82562500000000005</v>
      </c>
      <c r="C35" s="26" t="s">
        <v>1106</v>
      </c>
    </row>
    <row r="36" spans="1:3" x14ac:dyDescent="0.25">
      <c r="A36" s="36">
        <v>41387</v>
      </c>
      <c r="B36" s="121">
        <v>0.87412037037037038</v>
      </c>
      <c r="C36" s="26" t="s">
        <v>1110</v>
      </c>
    </row>
    <row r="37" spans="1:3" x14ac:dyDescent="0.25">
      <c r="A37" s="36">
        <v>41387</v>
      </c>
      <c r="B37" s="121">
        <v>0.8756018518518518</v>
      </c>
      <c r="C37" s="26" t="s">
        <v>1105</v>
      </c>
    </row>
    <row r="38" spans="1:3" ht="60" x14ac:dyDescent="0.25">
      <c r="A38" s="36">
        <v>41387</v>
      </c>
      <c r="B38" s="121">
        <v>0.8756018518518518</v>
      </c>
      <c r="C38" s="779" t="s">
        <v>1104</v>
      </c>
    </row>
    <row r="39" spans="1:3" x14ac:dyDescent="0.25">
      <c r="A39" s="36">
        <v>41387</v>
      </c>
      <c r="B39" s="121">
        <v>0.87586805555555547</v>
      </c>
      <c r="C39" s="26" t="s">
        <v>1105</v>
      </c>
    </row>
    <row r="40" spans="1:3" x14ac:dyDescent="0.25">
      <c r="A40" s="36">
        <v>41387</v>
      </c>
      <c r="B40" s="121">
        <v>0.87587962962962962</v>
      </c>
      <c r="C40" s="26" t="s">
        <v>1111</v>
      </c>
    </row>
    <row r="41" spans="1:3" x14ac:dyDescent="0.25">
      <c r="A41" s="36">
        <v>41387</v>
      </c>
      <c r="B41" s="121">
        <v>0.87981481481481483</v>
      </c>
      <c r="C41" s="26" t="s">
        <v>1112</v>
      </c>
    </row>
    <row r="42" spans="1:3" x14ac:dyDescent="0.25">
      <c r="A42" s="36">
        <v>41387</v>
      </c>
      <c r="B42" s="121">
        <v>0.8834953703703704</v>
      </c>
      <c r="C42" s="26" t="s">
        <v>1105</v>
      </c>
    </row>
    <row r="43" spans="1:3" ht="60" x14ac:dyDescent="0.25">
      <c r="A43" s="36">
        <v>41387</v>
      </c>
      <c r="B43" s="121">
        <v>0.8834953703703704</v>
      </c>
      <c r="C43" s="779" t="s">
        <v>1104</v>
      </c>
    </row>
    <row r="44" spans="1:3" x14ac:dyDescent="0.25">
      <c r="A44" s="36">
        <v>41387</v>
      </c>
      <c r="B44" s="121">
        <v>0.88376157407407396</v>
      </c>
      <c r="C44" s="26" t="s">
        <v>1105</v>
      </c>
    </row>
    <row r="45" spans="1:3" x14ac:dyDescent="0.25">
      <c r="A45" s="36">
        <v>41387</v>
      </c>
      <c r="B45" s="121">
        <v>0.88376157407407396</v>
      </c>
      <c r="C45" s="26" t="s">
        <v>1111</v>
      </c>
    </row>
    <row r="46" spans="1:3" ht="45" x14ac:dyDescent="0.25">
      <c r="A46" s="36">
        <v>41387</v>
      </c>
      <c r="B46" s="121">
        <v>0.88392361111111117</v>
      </c>
      <c r="C46" s="779" t="s">
        <v>1113</v>
      </c>
    </row>
    <row r="47" spans="1:3" x14ac:dyDescent="0.25">
      <c r="A47" s="36">
        <v>41388</v>
      </c>
      <c r="B47" s="121">
        <v>0.77559027777777778</v>
      </c>
      <c r="C47" s="26" t="s">
        <v>1118</v>
      </c>
    </row>
    <row r="48" spans="1:3" x14ac:dyDescent="0.25">
      <c r="A48" s="36">
        <v>41388</v>
      </c>
      <c r="B48" s="121">
        <v>0.77651620370370367</v>
      </c>
      <c r="C48" s="26" t="s">
        <v>1093</v>
      </c>
    </row>
    <row r="49" spans="1:3" ht="45" x14ac:dyDescent="0.25">
      <c r="A49" s="36">
        <v>41388</v>
      </c>
      <c r="B49" s="121">
        <v>0.77766203703703696</v>
      </c>
      <c r="C49" s="779" t="s">
        <v>1119</v>
      </c>
    </row>
    <row r="50" spans="1:3" x14ac:dyDescent="0.25">
      <c r="A50" s="36">
        <v>41388</v>
      </c>
      <c r="B50" s="121">
        <v>0.77968749999999998</v>
      </c>
      <c r="C50" s="26" t="s">
        <v>1121</v>
      </c>
    </row>
    <row r="51" spans="1:3" ht="45" x14ac:dyDescent="0.25">
      <c r="A51" s="36">
        <v>41388</v>
      </c>
      <c r="B51" s="121">
        <v>0.77994212962962972</v>
      </c>
      <c r="C51" s="779" t="s">
        <v>1122</v>
      </c>
    </row>
    <row r="52" spans="1:3" x14ac:dyDescent="0.25">
      <c r="A52" s="36">
        <v>41388</v>
      </c>
      <c r="B52" s="121">
        <v>0.78418981481481476</v>
      </c>
      <c r="C52" s="26" t="s">
        <v>1123</v>
      </c>
    </row>
    <row r="53" spans="1:3" x14ac:dyDescent="0.25">
      <c r="A53" s="36">
        <v>41388</v>
      </c>
      <c r="B53" s="121">
        <v>0.78460648148148149</v>
      </c>
      <c r="C53" s="26" t="s">
        <v>1124</v>
      </c>
    </row>
    <row r="54" spans="1:3" ht="30" x14ac:dyDescent="0.25">
      <c r="A54" s="36">
        <v>41388</v>
      </c>
      <c r="B54" s="121">
        <v>0.78467592592592583</v>
      </c>
      <c r="C54" s="779" t="s">
        <v>1125</v>
      </c>
    </row>
    <row r="55" spans="1:3" ht="45" x14ac:dyDescent="0.25">
      <c r="A55" s="36">
        <v>41388</v>
      </c>
      <c r="B55" s="121">
        <v>0.78478009259259263</v>
      </c>
      <c r="C55" s="779" t="s">
        <v>1126</v>
      </c>
    </row>
    <row r="56" spans="1:3" x14ac:dyDescent="0.25">
      <c r="A56" s="36">
        <v>41388</v>
      </c>
      <c r="B56" s="121">
        <v>0.7852662037037037</v>
      </c>
      <c r="C56" s="26" t="s">
        <v>1127</v>
      </c>
    </row>
    <row r="57" spans="1:3" ht="30" x14ac:dyDescent="0.25">
      <c r="A57" s="36">
        <v>41388</v>
      </c>
      <c r="B57" s="121">
        <v>0.78553240740740737</v>
      </c>
      <c r="C57" s="779" t="s">
        <v>1128</v>
      </c>
    </row>
    <row r="58" spans="1:3" ht="45" x14ac:dyDescent="0.25">
      <c r="A58" s="36">
        <v>41388</v>
      </c>
      <c r="B58" s="121">
        <v>0.78644675925925922</v>
      </c>
      <c r="C58" s="779" t="s">
        <v>1129</v>
      </c>
    </row>
    <row r="59" spans="1:3" x14ac:dyDescent="0.25">
      <c r="A59" s="36">
        <v>41388</v>
      </c>
      <c r="B59" s="121">
        <v>0.78719907407407408</v>
      </c>
      <c r="C59" s="26" t="s">
        <v>1130</v>
      </c>
    </row>
    <row r="60" spans="1:3" x14ac:dyDescent="0.25">
      <c r="A60" s="36">
        <v>41388</v>
      </c>
      <c r="B60" s="121">
        <v>0.78752314814814817</v>
      </c>
      <c r="C60" s="26" t="s">
        <v>1131</v>
      </c>
    </row>
    <row r="61" spans="1:3" x14ac:dyDescent="0.25">
      <c r="A61" s="36">
        <v>41388</v>
      </c>
      <c r="B61" s="121">
        <v>0.78791666666666671</v>
      </c>
      <c r="C61" s="26" t="s">
        <v>1132</v>
      </c>
    </row>
    <row r="62" spans="1:3" x14ac:dyDescent="0.25">
      <c r="A62" s="36">
        <v>41388</v>
      </c>
      <c r="B62" s="121">
        <v>0.78791666666666671</v>
      </c>
      <c r="C62" s="26" t="s">
        <v>1133</v>
      </c>
    </row>
    <row r="63" spans="1:3" x14ac:dyDescent="0.25">
      <c r="A63" s="36">
        <v>41388</v>
      </c>
      <c r="B63" s="121">
        <v>0.78791666666666671</v>
      </c>
      <c r="C63" s="26" t="s">
        <v>1134</v>
      </c>
    </row>
    <row r="64" spans="1:3" x14ac:dyDescent="0.25">
      <c r="A64" s="36">
        <v>41388</v>
      </c>
      <c r="B64" s="121">
        <v>0.78791666666666671</v>
      </c>
      <c r="C64" s="26" t="s">
        <v>1133</v>
      </c>
    </row>
    <row r="65" spans="1:3" x14ac:dyDescent="0.25">
      <c r="A65" s="36">
        <v>41388</v>
      </c>
      <c r="B65" s="121">
        <v>0.78791666666666671</v>
      </c>
      <c r="C65" s="26" t="s">
        <v>1135</v>
      </c>
    </row>
    <row r="66" spans="1:3" x14ac:dyDescent="0.25">
      <c r="A66" s="36">
        <v>41388</v>
      </c>
      <c r="B66" s="121">
        <v>0.78791666666666671</v>
      </c>
      <c r="C66" s="26" t="s">
        <v>1135</v>
      </c>
    </row>
    <row r="67" spans="1:3" x14ac:dyDescent="0.25">
      <c r="A67" s="36">
        <v>41388</v>
      </c>
      <c r="B67" s="121">
        <v>0.78791666666666671</v>
      </c>
      <c r="C67" s="26" t="s">
        <v>1136</v>
      </c>
    </row>
    <row r="68" spans="1:3" x14ac:dyDescent="0.25">
      <c r="A68" s="36">
        <v>41388</v>
      </c>
      <c r="B68" s="121">
        <v>0.78791666666666671</v>
      </c>
      <c r="C68" s="26" t="s">
        <v>1137</v>
      </c>
    </row>
    <row r="69" spans="1:3" x14ac:dyDescent="0.25">
      <c r="A69" s="36">
        <v>41388</v>
      </c>
      <c r="B69" s="121">
        <v>0.78791666666666671</v>
      </c>
      <c r="C69" s="26" t="s">
        <v>1138</v>
      </c>
    </row>
    <row r="70" spans="1:3" x14ac:dyDescent="0.25">
      <c r="A70" s="36">
        <v>41388</v>
      </c>
      <c r="B70" s="121">
        <v>0.78791666666666671</v>
      </c>
      <c r="C70" s="26" t="s">
        <v>1139</v>
      </c>
    </row>
    <row r="71" spans="1:3" x14ac:dyDescent="0.25">
      <c r="A71" s="36">
        <v>41388</v>
      </c>
      <c r="B71" s="121">
        <v>0.78791666666666671</v>
      </c>
      <c r="C71" s="26" t="s">
        <v>1140</v>
      </c>
    </row>
    <row r="72" spans="1:3" x14ac:dyDescent="0.25">
      <c r="A72" s="36">
        <v>41388</v>
      </c>
      <c r="B72" s="121">
        <v>0.78791666666666671</v>
      </c>
      <c r="C72" s="26" t="s">
        <v>1141</v>
      </c>
    </row>
    <row r="73" spans="1:3" x14ac:dyDescent="0.25">
      <c r="A73" s="36">
        <v>41388</v>
      </c>
      <c r="B73" s="121">
        <v>0.78791666666666671</v>
      </c>
      <c r="C73" s="26" t="s">
        <v>1133</v>
      </c>
    </row>
    <row r="74" spans="1:3" x14ac:dyDescent="0.25">
      <c r="A74" s="36">
        <v>41388</v>
      </c>
      <c r="B74" s="121">
        <v>0.78791666666666671</v>
      </c>
      <c r="C74" s="26" t="s">
        <v>1142</v>
      </c>
    </row>
    <row r="75" spans="1:3" x14ac:dyDescent="0.25">
      <c r="A75" s="36">
        <v>41388</v>
      </c>
      <c r="B75" s="121">
        <v>0.78791666666666671</v>
      </c>
      <c r="C75" s="26" t="s">
        <v>1142</v>
      </c>
    </row>
    <row r="76" spans="1:3" x14ac:dyDescent="0.25">
      <c r="A76" s="36">
        <v>41388</v>
      </c>
      <c r="B76" s="121">
        <v>0.78791666666666671</v>
      </c>
      <c r="C76" s="26" t="s">
        <v>1143</v>
      </c>
    </row>
    <row r="77" spans="1:3" x14ac:dyDescent="0.25">
      <c r="A77" s="36">
        <v>41388</v>
      </c>
      <c r="B77" s="121">
        <v>0.78791666666666671</v>
      </c>
      <c r="C77" s="26" t="s">
        <v>1138</v>
      </c>
    </row>
    <row r="78" spans="1:3" x14ac:dyDescent="0.25">
      <c r="A78" s="36">
        <v>41388</v>
      </c>
      <c r="B78" s="121">
        <v>0.78791666666666671</v>
      </c>
      <c r="C78" s="26" t="s">
        <v>1138</v>
      </c>
    </row>
    <row r="79" spans="1:3" x14ac:dyDescent="0.25">
      <c r="A79" s="36">
        <v>41388</v>
      </c>
      <c r="B79" s="121">
        <v>0.78791666666666671</v>
      </c>
      <c r="C79" s="26" t="s">
        <v>1144</v>
      </c>
    </row>
    <row r="80" spans="1:3" x14ac:dyDescent="0.25">
      <c r="A80" s="36">
        <v>41388</v>
      </c>
      <c r="B80" s="121">
        <v>0.78791666666666671</v>
      </c>
      <c r="C80" s="26" t="s">
        <v>1145</v>
      </c>
    </row>
    <row r="81" spans="1:3" x14ac:dyDescent="0.25">
      <c r="A81" s="36">
        <v>41388</v>
      </c>
      <c r="B81" s="121">
        <v>0.78791666666666671</v>
      </c>
      <c r="C81" s="26" t="s">
        <v>1144</v>
      </c>
    </row>
    <row r="82" spans="1:3" x14ac:dyDescent="0.25">
      <c r="A82" s="36">
        <v>41388</v>
      </c>
      <c r="B82" s="121">
        <v>0.78791666666666671</v>
      </c>
      <c r="C82" s="26" t="s">
        <v>1142</v>
      </c>
    </row>
    <row r="83" spans="1:3" x14ac:dyDescent="0.25">
      <c r="A83" s="36">
        <v>41388</v>
      </c>
      <c r="B83" s="121">
        <v>0.78792824074074075</v>
      </c>
      <c r="C83" s="26" t="s">
        <v>1146</v>
      </c>
    </row>
    <row r="84" spans="1:3" x14ac:dyDescent="0.25">
      <c r="A84" s="36">
        <v>41388</v>
      </c>
      <c r="B84" s="121">
        <v>0.78947916666666673</v>
      </c>
      <c r="C84" s="26" t="s">
        <v>1147</v>
      </c>
    </row>
    <row r="85" spans="1:3" x14ac:dyDescent="0.25">
      <c r="A85" s="36">
        <v>41388</v>
      </c>
      <c r="B85" s="121">
        <v>0.78947916666666673</v>
      </c>
      <c r="C85" s="26" t="s">
        <v>1148</v>
      </c>
    </row>
    <row r="86" spans="1:3" x14ac:dyDescent="0.25">
      <c r="A86" s="36">
        <v>41388</v>
      </c>
      <c r="B86" s="121">
        <v>0.78949074074074066</v>
      </c>
      <c r="C86" s="26" t="s">
        <v>1149</v>
      </c>
    </row>
    <row r="87" spans="1:3" x14ac:dyDescent="0.25">
      <c r="A87" s="36">
        <v>41388</v>
      </c>
      <c r="B87" s="121">
        <v>0.78949074074074066</v>
      </c>
      <c r="C87" s="26" t="s">
        <v>1150</v>
      </c>
    </row>
    <row r="88" spans="1:3" x14ac:dyDescent="0.25">
      <c r="A88" s="36">
        <v>41388</v>
      </c>
      <c r="B88" s="121">
        <v>0.78949074074074066</v>
      </c>
      <c r="C88" s="26" t="s">
        <v>1151</v>
      </c>
    </row>
    <row r="89" spans="1:3" x14ac:dyDescent="0.25">
      <c r="A89" s="36">
        <v>41388</v>
      </c>
      <c r="B89" s="121">
        <v>0.78949074074074066</v>
      </c>
      <c r="C89" s="26" t="s">
        <v>1152</v>
      </c>
    </row>
    <row r="90" spans="1:3" x14ac:dyDescent="0.25">
      <c r="A90" s="36">
        <v>41388</v>
      </c>
      <c r="B90" s="121">
        <v>0.78949074074074066</v>
      </c>
      <c r="C90" s="26" t="s">
        <v>1153</v>
      </c>
    </row>
    <row r="91" spans="1:3" x14ac:dyDescent="0.25">
      <c r="A91" s="36">
        <v>41388</v>
      </c>
      <c r="B91" s="121">
        <v>0.78949074074074066</v>
      </c>
      <c r="C91" s="26" t="s">
        <v>1154</v>
      </c>
    </row>
    <row r="92" spans="1:3" x14ac:dyDescent="0.25">
      <c r="A92" s="36">
        <v>41388</v>
      </c>
      <c r="B92" s="121">
        <v>0.78949074074074066</v>
      </c>
      <c r="C92" s="26" t="s">
        <v>1155</v>
      </c>
    </row>
    <row r="93" spans="1:3" x14ac:dyDescent="0.25">
      <c r="A93" s="36">
        <v>41388</v>
      </c>
      <c r="B93" s="121">
        <v>0.78949074074074066</v>
      </c>
      <c r="C93" s="26" t="s">
        <v>1156</v>
      </c>
    </row>
    <row r="94" spans="1:3" x14ac:dyDescent="0.25">
      <c r="A94" s="36">
        <v>41388</v>
      </c>
      <c r="B94" s="121">
        <v>0.78949074074074066</v>
      </c>
      <c r="C94" s="26" t="s">
        <v>1157</v>
      </c>
    </row>
    <row r="95" spans="1:3" x14ac:dyDescent="0.25">
      <c r="A95" s="36">
        <v>41388</v>
      </c>
      <c r="B95" s="121">
        <v>0.78949074074074066</v>
      </c>
      <c r="C95" s="26" t="s">
        <v>1158</v>
      </c>
    </row>
    <row r="96" spans="1:3" x14ac:dyDescent="0.25">
      <c r="A96" s="36">
        <v>41388</v>
      </c>
      <c r="B96" s="121">
        <v>0.78949074074074066</v>
      </c>
      <c r="C96" s="26" t="s">
        <v>1159</v>
      </c>
    </row>
    <row r="97" spans="1:3" x14ac:dyDescent="0.25">
      <c r="A97" s="36">
        <v>41388</v>
      </c>
      <c r="B97" s="121">
        <v>0.78949074074074066</v>
      </c>
      <c r="C97" s="26" t="s">
        <v>1160</v>
      </c>
    </row>
    <row r="98" spans="1:3" x14ac:dyDescent="0.25">
      <c r="A98" s="36">
        <v>41388</v>
      </c>
      <c r="B98" s="121">
        <v>0.78949074074074066</v>
      </c>
      <c r="C98" s="26" t="s">
        <v>1161</v>
      </c>
    </row>
    <row r="99" spans="1:3" x14ac:dyDescent="0.25">
      <c r="A99" s="36">
        <v>41388</v>
      </c>
      <c r="B99" s="121">
        <v>0.78949074074074066</v>
      </c>
      <c r="C99" s="26" t="s">
        <v>1162</v>
      </c>
    </row>
    <row r="100" spans="1:3" x14ac:dyDescent="0.25">
      <c r="A100" s="36">
        <v>41388</v>
      </c>
      <c r="B100" s="121">
        <v>0.78949074074074066</v>
      </c>
      <c r="C100" s="26" t="s">
        <v>1163</v>
      </c>
    </row>
    <row r="101" spans="1:3" x14ac:dyDescent="0.25">
      <c r="A101" s="36">
        <v>41388</v>
      </c>
      <c r="B101" s="121">
        <v>0.78949074074074066</v>
      </c>
      <c r="C101" s="26" t="s">
        <v>1164</v>
      </c>
    </row>
    <row r="102" spans="1:3" x14ac:dyDescent="0.25">
      <c r="A102" s="36">
        <v>41388</v>
      </c>
      <c r="B102" s="121">
        <v>0.78949074074074066</v>
      </c>
      <c r="C102" s="26" t="s">
        <v>1151</v>
      </c>
    </row>
    <row r="103" spans="1:3" x14ac:dyDescent="0.25">
      <c r="A103" s="36">
        <v>41388</v>
      </c>
      <c r="B103" s="121">
        <v>0.78949074074074066</v>
      </c>
      <c r="C103" s="26" t="s">
        <v>1165</v>
      </c>
    </row>
    <row r="104" spans="1:3" x14ac:dyDescent="0.25">
      <c r="A104" s="36">
        <v>41388</v>
      </c>
      <c r="B104" s="121">
        <v>0.78949074074074066</v>
      </c>
      <c r="C104" s="26" t="s">
        <v>1166</v>
      </c>
    </row>
    <row r="105" spans="1:3" x14ac:dyDescent="0.25">
      <c r="A105" s="36">
        <v>41388</v>
      </c>
      <c r="B105" s="121">
        <v>0.78949074074074066</v>
      </c>
      <c r="C105" s="26" t="s">
        <v>1167</v>
      </c>
    </row>
    <row r="106" spans="1:3" x14ac:dyDescent="0.25">
      <c r="A106" s="36">
        <v>41388</v>
      </c>
      <c r="B106" s="121">
        <v>0.78949074074074066</v>
      </c>
      <c r="C106" s="26" t="s">
        <v>1168</v>
      </c>
    </row>
    <row r="107" spans="1:3" x14ac:dyDescent="0.25">
      <c r="A107" s="36">
        <v>41388</v>
      </c>
      <c r="B107" s="121">
        <v>0.78949074074074066</v>
      </c>
      <c r="C107" s="26" t="s">
        <v>1169</v>
      </c>
    </row>
    <row r="108" spans="1:3" x14ac:dyDescent="0.25">
      <c r="A108" s="36">
        <v>41388</v>
      </c>
      <c r="B108" s="121">
        <v>0.78949074074074066</v>
      </c>
      <c r="C108" s="26" t="s">
        <v>1170</v>
      </c>
    </row>
    <row r="109" spans="1:3" x14ac:dyDescent="0.25">
      <c r="A109" s="36">
        <v>41388</v>
      </c>
      <c r="B109" s="121">
        <v>0.78949074074074066</v>
      </c>
      <c r="C109" s="26" t="s">
        <v>1171</v>
      </c>
    </row>
    <row r="110" spans="1:3" x14ac:dyDescent="0.25">
      <c r="A110" s="36">
        <v>41388</v>
      </c>
      <c r="B110" s="121">
        <v>0.78949074074074066</v>
      </c>
      <c r="C110" s="26" t="s">
        <v>1172</v>
      </c>
    </row>
    <row r="111" spans="1:3" x14ac:dyDescent="0.25">
      <c r="A111" s="36">
        <v>41388</v>
      </c>
      <c r="B111" s="121">
        <v>0.78950231481481481</v>
      </c>
      <c r="C111" s="26" t="s">
        <v>1173</v>
      </c>
    </row>
    <row r="112" spans="1:3" x14ac:dyDescent="0.25">
      <c r="A112" s="36">
        <v>41388</v>
      </c>
      <c r="B112" s="121">
        <v>0.78950231481481481</v>
      </c>
      <c r="C112" s="26" t="s">
        <v>1174</v>
      </c>
    </row>
    <row r="113" spans="1:3" x14ac:dyDescent="0.25">
      <c r="A113" s="36">
        <v>41388</v>
      </c>
      <c r="B113" s="121">
        <v>0.78950231481481481</v>
      </c>
      <c r="C113" s="26" t="s">
        <v>1154</v>
      </c>
    </row>
    <row r="114" spans="1:3" x14ac:dyDescent="0.25">
      <c r="A114" s="36">
        <v>41388</v>
      </c>
      <c r="B114" s="121">
        <v>0.78950231481481481</v>
      </c>
      <c r="C114" s="26" t="s">
        <v>1175</v>
      </c>
    </row>
    <row r="115" spans="1:3" x14ac:dyDescent="0.25">
      <c r="A115" s="36">
        <v>41388</v>
      </c>
      <c r="B115" s="121">
        <v>0.78950231481481481</v>
      </c>
      <c r="C115" s="26" t="s">
        <v>1176</v>
      </c>
    </row>
    <row r="116" spans="1:3" x14ac:dyDescent="0.25">
      <c r="A116" s="36">
        <v>41388</v>
      </c>
      <c r="B116" s="121">
        <v>0.78950231481481481</v>
      </c>
      <c r="C116" s="26" t="s">
        <v>1177</v>
      </c>
    </row>
    <row r="117" spans="1:3" x14ac:dyDescent="0.25">
      <c r="A117" s="36">
        <v>41388</v>
      </c>
      <c r="B117" s="121">
        <v>0.78950231481481481</v>
      </c>
      <c r="C117" s="26" t="s">
        <v>1178</v>
      </c>
    </row>
    <row r="118" spans="1:3" x14ac:dyDescent="0.25">
      <c r="A118" s="36">
        <v>41388</v>
      </c>
      <c r="B118" s="121">
        <v>0.78950231481481481</v>
      </c>
      <c r="C118" s="26" t="s">
        <v>1178</v>
      </c>
    </row>
    <row r="119" spans="1:3" x14ac:dyDescent="0.25">
      <c r="A119" s="36">
        <v>41388</v>
      </c>
      <c r="B119" s="121">
        <v>0.78950231481481481</v>
      </c>
      <c r="C119" s="26" t="s">
        <v>1179</v>
      </c>
    </row>
    <row r="120" spans="1:3" x14ac:dyDescent="0.25">
      <c r="A120" s="36">
        <v>41388</v>
      </c>
      <c r="B120" s="121">
        <v>0.78950231481481481</v>
      </c>
      <c r="C120" s="26" t="s">
        <v>1178</v>
      </c>
    </row>
    <row r="121" spans="1:3" x14ac:dyDescent="0.25">
      <c r="A121" s="36">
        <v>41388</v>
      </c>
      <c r="B121" s="121">
        <v>0.78950231481481481</v>
      </c>
      <c r="C121" s="26" t="s">
        <v>1178</v>
      </c>
    </row>
    <row r="122" spans="1:3" x14ac:dyDescent="0.25">
      <c r="A122" s="36">
        <v>41388</v>
      </c>
      <c r="B122" s="121">
        <v>0.78950231481481481</v>
      </c>
      <c r="C122" s="26" t="s">
        <v>1154</v>
      </c>
    </row>
    <row r="123" spans="1:3" x14ac:dyDescent="0.25">
      <c r="A123" s="36">
        <v>41388</v>
      </c>
      <c r="B123" s="121">
        <v>0.78950231481481481</v>
      </c>
      <c r="C123" s="26" t="s">
        <v>1180</v>
      </c>
    </row>
    <row r="124" spans="1:3" x14ac:dyDescent="0.25">
      <c r="A124" s="36">
        <v>41388</v>
      </c>
      <c r="B124" s="121">
        <v>0.78951388888888896</v>
      </c>
      <c r="C124" s="26" t="s">
        <v>1172</v>
      </c>
    </row>
    <row r="125" spans="1:3" x14ac:dyDescent="0.25">
      <c r="A125" s="36">
        <v>41388</v>
      </c>
      <c r="B125" s="121">
        <v>0.78951388888888896</v>
      </c>
      <c r="C125" s="26" t="s">
        <v>1172</v>
      </c>
    </row>
    <row r="126" spans="1:3" x14ac:dyDescent="0.25">
      <c r="A126" s="36">
        <v>41388</v>
      </c>
      <c r="B126" s="121">
        <v>0.78951388888888896</v>
      </c>
      <c r="C126" s="26" t="s">
        <v>1181</v>
      </c>
    </row>
    <row r="127" spans="1:3" x14ac:dyDescent="0.25">
      <c r="A127" s="36">
        <v>41388</v>
      </c>
      <c r="B127" s="121">
        <v>0.78951388888888896</v>
      </c>
      <c r="C127" s="26" t="s">
        <v>1172</v>
      </c>
    </row>
    <row r="128" spans="1:3" x14ac:dyDescent="0.25">
      <c r="A128" s="36">
        <v>41388</v>
      </c>
      <c r="B128" s="121">
        <v>0.78951388888888896</v>
      </c>
      <c r="C128" s="26" t="s">
        <v>1170</v>
      </c>
    </row>
    <row r="129" spans="1:3" x14ac:dyDescent="0.25">
      <c r="A129" s="36">
        <v>41388</v>
      </c>
      <c r="B129" s="121">
        <v>0.78951388888888896</v>
      </c>
      <c r="C129" s="26" t="s">
        <v>1178</v>
      </c>
    </row>
    <row r="130" spans="1:3" x14ac:dyDescent="0.25">
      <c r="A130" s="36">
        <v>41388</v>
      </c>
      <c r="B130" s="121">
        <v>0.78951388888888896</v>
      </c>
      <c r="C130" s="26" t="s">
        <v>1182</v>
      </c>
    </row>
    <row r="131" spans="1:3" x14ac:dyDescent="0.25">
      <c r="A131" s="36">
        <v>41388</v>
      </c>
      <c r="B131" s="121">
        <v>0.78951388888888896</v>
      </c>
      <c r="C131" s="26" t="s">
        <v>1183</v>
      </c>
    </row>
    <row r="132" spans="1:3" x14ac:dyDescent="0.25">
      <c r="A132" s="36">
        <v>41388</v>
      </c>
      <c r="B132" s="121">
        <v>0.78951388888888896</v>
      </c>
      <c r="C132" s="26" t="s">
        <v>1184</v>
      </c>
    </row>
    <row r="133" spans="1:3" x14ac:dyDescent="0.25">
      <c r="A133" s="36">
        <v>41388</v>
      </c>
      <c r="B133" s="121">
        <v>0.78951388888888896</v>
      </c>
      <c r="C133" s="26" t="s">
        <v>1178</v>
      </c>
    </row>
    <row r="134" spans="1:3" x14ac:dyDescent="0.25">
      <c r="A134" s="36">
        <v>41388</v>
      </c>
      <c r="B134" s="121">
        <v>0.78951388888888896</v>
      </c>
      <c r="C134" s="26" t="s">
        <v>1185</v>
      </c>
    </row>
    <row r="135" spans="1:3" x14ac:dyDescent="0.25">
      <c r="A135" s="36">
        <v>41388</v>
      </c>
      <c r="B135" s="121">
        <v>0.78951388888888896</v>
      </c>
      <c r="C135" s="26" t="s">
        <v>1186</v>
      </c>
    </row>
    <row r="136" spans="1:3" x14ac:dyDescent="0.25">
      <c r="A136" s="36">
        <v>41388</v>
      </c>
      <c r="B136" s="121">
        <v>0.78951388888888896</v>
      </c>
      <c r="C136" s="26" t="s">
        <v>1187</v>
      </c>
    </row>
    <row r="137" spans="1:3" x14ac:dyDescent="0.25">
      <c r="A137" s="36">
        <v>41388</v>
      </c>
      <c r="B137" s="121">
        <v>0.78951388888888896</v>
      </c>
      <c r="C137" s="26" t="s">
        <v>1188</v>
      </c>
    </row>
    <row r="138" spans="1:3" x14ac:dyDescent="0.25">
      <c r="A138" s="36">
        <v>41388</v>
      </c>
      <c r="B138" s="121">
        <v>0.78951388888888896</v>
      </c>
      <c r="C138" s="26" t="s">
        <v>1189</v>
      </c>
    </row>
    <row r="139" spans="1:3" x14ac:dyDescent="0.25">
      <c r="A139" s="36">
        <v>41388</v>
      </c>
      <c r="B139" s="121">
        <v>0.78951388888888896</v>
      </c>
      <c r="C139" s="26" t="s">
        <v>1190</v>
      </c>
    </row>
    <row r="140" spans="1:3" x14ac:dyDescent="0.25">
      <c r="A140" s="36">
        <v>41388</v>
      </c>
      <c r="B140" s="121">
        <v>0.78951388888888896</v>
      </c>
      <c r="C140" s="26" t="s">
        <v>1191</v>
      </c>
    </row>
    <row r="141" spans="1:3" x14ac:dyDescent="0.25">
      <c r="A141" s="36">
        <v>41388</v>
      </c>
      <c r="B141" s="121">
        <v>0.78951388888888896</v>
      </c>
      <c r="C141" s="26" t="s">
        <v>1192</v>
      </c>
    </row>
    <row r="142" spans="1:3" x14ac:dyDescent="0.25">
      <c r="A142" s="36">
        <v>41388</v>
      </c>
      <c r="B142" s="121">
        <v>0.78951388888888896</v>
      </c>
      <c r="C142" s="26" t="s">
        <v>1193</v>
      </c>
    </row>
    <row r="143" spans="1:3" x14ac:dyDescent="0.25">
      <c r="A143" s="36">
        <v>41388</v>
      </c>
      <c r="B143" s="121">
        <v>0.78951388888888896</v>
      </c>
      <c r="C143" s="26" t="s">
        <v>1194</v>
      </c>
    </row>
    <row r="144" spans="1:3" x14ac:dyDescent="0.25">
      <c r="A144" s="36">
        <v>41388</v>
      </c>
      <c r="B144" s="121">
        <v>0.78951388888888896</v>
      </c>
      <c r="C144" s="26" t="s">
        <v>1195</v>
      </c>
    </row>
    <row r="145" spans="1:3" x14ac:dyDescent="0.25">
      <c r="A145" s="36">
        <v>41388</v>
      </c>
      <c r="B145" s="121">
        <v>0.78951388888888896</v>
      </c>
      <c r="C145" s="26" t="s">
        <v>1178</v>
      </c>
    </row>
    <row r="146" spans="1:3" x14ac:dyDescent="0.25">
      <c r="A146" s="36">
        <v>41388</v>
      </c>
      <c r="B146" s="121">
        <v>0.78951388888888896</v>
      </c>
      <c r="C146" s="26" t="s">
        <v>1195</v>
      </c>
    </row>
    <row r="147" spans="1:3" x14ac:dyDescent="0.25">
      <c r="A147" s="36">
        <v>41388</v>
      </c>
      <c r="B147" s="121">
        <v>0.78951388888888896</v>
      </c>
      <c r="C147" s="26" t="s">
        <v>1196</v>
      </c>
    </row>
    <row r="148" spans="1:3" x14ac:dyDescent="0.25">
      <c r="A148" s="36">
        <v>41388</v>
      </c>
      <c r="B148" s="121">
        <v>0.78951388888888896</v>
      </c>
      <c r="C148" s="26" t="s">
        <v>1195</v>
      </c>
    </row>
    <row r="149" spans="1:3" x14ac:dyDescent="0.25">
      <c r="A149" s="36">
        <v>41388</v>
      </c>
      <c r="B149" s="121">
        <v>0.78951388888888896</v>
      </c>
      <c r="C149" s="26" t="s">
        <v>1195</v>
      </c>
    </row>
    <row r="150" spans="1:3" x14ac:dyDescent="0.25">
      <c r="A150" s="36">
        <v>41388</v>
      </c>
      <c r="B150" s="121">
        <v>0.78951388888888896</v>
      </c>
      <c r="C150" s="26" t="s">
        <v>1197</v>
      </c>
    </row>
    <row r="151" spans="1:3" x14ac:dyDescent="0.25">
      <c r="A151" s="36">
        <v>41388</v>
      </c>
      <c r="B151" s="121">
        <v>0.78951388888888896</v>
      </c>
      <c r="C151" s="26" t="s">
        <v>1198</v>
      </c>
    </row>
    <row r="152" spans="1:3" x14ac:dyDescent="0.25">
      <c r="A152" s="36">
        <v>41388</v>
      </c>
      <c r="B152" s="121">
        <v>0.78951388888888896</v>
      </c>
      <c r="C152" s="26" t="s">
        <v>1199</v>
      </c>
    </row>
    <row r="153" spans="1:3" x14ac:dyDescent="0.25">
      <c r="A153" s="36">
        <v>41388</v>
      </c>
      <c r="B153" s="121">
        <v>0.78951388888888896</v>
      </c>
      <c r="C153" s="26" t="s">
        <v>1200</v>
      </c>
    </row>
    <row r="154" spans="1:3" x14ac:dyDescent="0.25">
      <c r="A154" s="36">
        <v>41388</v>
      </c>
      <c r="B154" s="121">
        <v>0.78951388888888896</v>
      </c>
      <c r="C154" s="26" t="s">
        <v>1201</v>
      </c>
    </row>
    <row r="155" spans="1:3" x14ac:dyDescent="0.25">
      <c r="A155" s="36">
        <v>41388</v>
      </c>
      <c r="B155" s="121">
        <v>0.78951388888888896</v>
      </c>
      <c r="C155" s="26" t="s">
        <v>1202</v>
      </c>
    </row>
    <row r="156" spans="1:3" x14ac:dyDescent="0.25">
      <c r="A156" s="36">
        <v>41388</v>
      </c>
      <c r="B156" s="121">
        <v>0.78951388888888896</v>
      </c>
      <c r="C156" s="26" t="s">
        <v>1202</v>
      </c>
    </row>
    <row r="157" spans="1:3" x14ac:dyDescent="0.25">
      <c r="A157" s="36">
        <v>41388</v>
      </c>
      <c r="B157" s="121">
        <v>0.78951388888888896</v>
      </c>
      <c r="C157" s="26" t="s">
        <v>1203</v>
      </c>
    </row>
    <row r="158" spans="1:3" x14ac:dyDescent="0.25">
      <c r="A158" s="36">
        <v>41388</v>
      </c>
      <c r="B158" s="121">
        <v>0.78951388888888896</v>
      </c>
      <c r="C158" s="26" t="s">
        <v>1204</v>
      </c>
    </row>
    <row r="159" spans="1:3" x14ac:dyDescent="0.25">
      <c r="A159" s="36">
        <v>41388</v>
      </c>
      <c r="B159" s="121">
        <v>0.78951388888888896</v>
      </c>
      <c r="C159" s="26" t="s">
        <v>1205</v>
      </c>
    </row>
    <row r="160" spans="1:3" x14ac:dyDescent="0.25">
      <c r="A160" s="36">
        <v>41388</v>
      </c>
      <c r="B160" s="121">
        <v>0.78951388888888896</v>
      </c>
      <c r="C160" s="26" t="s">
        <v>1206</v>
      </c>
    </row>
    <row r="161" spans="1:3" x14ac:dyDescent="0.25">
      <c r="A161" s="36">
        <v>41388</v>
      </c>
      <c r="B161" s="121">
        <v>0.78951388888888896</v>
      </c>
      <c r="C161" s="26" t="s">
        <v>1207</v>
      </c>
    </row>
    <row r="162" spans="1:3" x14ac:dyDescent="0.25">
      <c r="A162" s="36">
        <v>41388</v>
      </c>
      <c r="B162" s="121">
        <v>0.78951388888888896</v>
      </c>
      <c r="C162" s="26" t="s">
        <v>1181</v>
      </c>
    </row>
    <row r="163" spans="1:3" x14ac:dyDescent="0.25">
      <c r="A163" s="36">
        <v>41388</v>
      </c>
      <c r="B163" s="121">
        <v>0.78951388888888896</v>
      </c>
      <c r="C163" s="26" t="s">
        <v>1208</v>
      </c>
    </row>
    <row r="164" spans="1:3" x14ac:dyDescent="0.25">
      <c r="A164" s="36">
        <v>41388</v>
      </c>
      <c r="B164" s="121">
        <v>0.78951388888888896</v>
      </c>
      <c r="C164" s="26" t="s">
        <v>1209</v>
      </c>
    </row>
    <row r="165" spans="1:3" x14ac:dyDescent="0.25">
      <c r="A165" s="36">
        <v>41388</v>
      </c>
      <c r="B165" s="121">
        <v>0.78951388888888896</v>
      </c>
      <c r="C165" s="26" t="s">
        <v>1210</v>
      </c>
    </row>
    <row r="166" spans="1:3" x14ac:dyDescent="0.25">
      <c r="A166" s="36">
        <v>41388</v>
      </c>
      <c r="B166" s="121">
        <v>0.78951388888888896</v>
      </c>
      <c r="C166" s="26" t="s">
        <v>1211</v>
      </c>
    </row>
    <row r="167" spans="1:3" x14ac:dyDescent="0.25">
      <c r="A167" s="36">
        <v>41388</v>
      </c>
      <c r="B167" s="121">
        <v>0.78951388888888896</v>
      </c>
      <c r="C167" s="26" t="s">
        <v>1212</v>
      </c>
    </row>
    <row r="168" spans="1:3" x14ac:dyDescent="0.25">
      <c r="A168" s="36">
        <v>41388</v>
      </c>
      <c r="B168" s="121">
        <v>0.78951388888888896</v>
      </c>
      <c r="C168" s="26" t="s">
        <v>1213</v>
      </c>
    </row>
    <row r="169" spans="1:3" x14ac:dyDescent="0.25">
      <c r="A169" s="36">
        <v>41388</v>
      </c>
      <c r="B169" s="121">
        <v>0.78951388888888896</v>
      </c>
      <c r="C169" s="26" t="s">
        <v>1214</v>
      </c>
    </row>
    <row r="170" spans="1:3" x14ac:dyDescent="0.25">
      <c r="A170" s="36">
        <v>41388</v>
      </c>
      <c r="B170" s="121">
        <v>0.78951388888888896</v>
      </c>
      <c r="C170" s="26" t="s">
        <v>1215</v>
      </c>
    </row>
    <row r="171" spans="1:3" x14ac:dyDescent="0.25">
      <c r="A171" s="36">
        <v>41388</v>
      </c>
      <c r="B171" s="121">
        <v>0.78951388888888896</v>
      </c>
      <c r="C171" s="26" t="s">
        <v>1216</v>
      </c>
    </row>
    <row r="172" spans="1:3" x14ac:dyDescent="0.25">
      <c r="A172" s="36">
        <v>41388</v>
      </c>
      <c r="B172" s="121">
        <v>0.78951388888888896</v>
      </c>
      <c r="C172" s="26" t="s">
        <v>1217</v>
      </c>
    </row>
    <row r="173" spans="1:3" x14ac:dyDescent="0.25">
      <c r="A173" s="36">
        <v>41388</v>
      </c>
      <c r="B173" s="121">
        <v>0.78951388888888896</v>
      </c>
      <c r="C173" s="26" t="s">
        <v>1218</v>
      </c>
    </row>
    <row r="174" spans="1:3" x14ac:dyDescent="0.25">
      <c r="A174" s="36">
        <v>41388</v>
      </c>
      <c r="B174" s="121">
        <v>0.78951388888888896</v>
      </c>
      <c r="C174" s="26" t="s">
        <v>1185</v>
      </c>
    </row>
    <row r="175" spans="1:3" x14ac:dyDescent="0.25">
      <c r="A175" s="36">
        <v>41388</v>
      </c>
      <c r="B175" s="121">
        <v>0.78951388888888896</v>
      </c>
      <c r="C175" s="26" t="s">
        <v>1219</v>
      </c>
    </row>
    <row r="176" spans="1:3" x14ac:dyDescent="0.25">
      <c r="A176" s="36">
        <v>41388</v>
      </c>
      <c r="B176" s="121">
        <v>0.78951388888888896</v>
      </c>
      <c r="C176" s="26" t="s">
        <v>1220</v>
      </c>
    </row>
    <row r="177" spans="1:3" x14ac:dyDescent="0.25">
      <c r="A177" s="36">
        <v>41388</v>
      </c>
      <c r="B177" s="121">
        <v>0.78951388888888896</v>
      </c>
      <c r="C177" s="26" t="s">
        <v>1221</v>
      </c>
    </row>
    <row r="178" spans="1:3" x14ac:dyDescent="0.25">
      <c r="A178" s="36">
        <v>41388</v>
      </c>
      <c r="B178" s="121">
        <v>0.78951388888888896</v>
      </c>
      <c r="C178" s="26" t="s">
        <v>1222</v>
      </c>
    </row>
    <row r="179" spans="1:3" x14ac:dyDescent="0.25">
      <c r="A179" s="36">
        <v>41388</v>
      </c>
      <c r="B179" s="121">
        <v>0.78951388888888896</v>
      </c>
      <c r="C179" s="26" t="s">
        <v>1223</v>
      </c>
    </row>
    <row r="180" spans="1:3" x14ac:dyDescent="0.25">
      <c r="A180" s="36">
        <v>41388</v>
      </c>
      <c r="B180" s="121">
        <v>0.78951388888888896</v>
      </c>
      <c r="C180" s="26" t="s">
        <v>1170</v>
      </c>
    </row>
    <row r="181" spans="1:3" x14ac:dyDescent="0.25">
      <c r="A181" s="36">
        <v>41388</v>
      </c>
      <c r="B181" s="121">
        <v>0.78951388888888896</v>
      </c>
      <c r="C181" s="26" t="s">
        <v>1224</v>
      </c>
    </row>
    <row r="182" spans="1:3" x14ac:dyDescent="0.25">
      <c r="A182" s="36">
        <v>41388</v>
      </c>
      <c r="B182" s="121">
        <v>0.78951388888888896</v>
      </c>
      <c r="C182" s="26" t="s">
        <v>1225</v>
      </c>
    </row>
    <row r="183" spans="1:3" x14ac:dyDescent="0.25">
      <c r="A183" s="36">
        <v>41388</v>
      </c>
      <c r="B183" s="121">
        <v>0.78951388888888896</v>
      </c>
      <c r="C183" s="26" t="s">
        <v>1208</v>
      </c>
    </row>
    <row r="184" spans="1:3" x14ac:dyDescent="0.25">
      <c r="A184" s="36">
        <v>41388</v>
      </c>
      <c r="B184" s="121">
        <v>0.78951388888888896</v>
      </c>
      <c r="C184" s="26" t="s">
        <v>1226</v>
      </c>
    </row>
    <row r="185" spans="1:3" x14ac:dyDescent="0.25">
      <c r="A185" s="36">
        <v>41388</v>
      </c>
      <c r="B185" s="121">
        <v>0.78951388888888896</v>
      </c>
      <c r="C185" s="26" t="s">
        <v>1227</v>
      </c>
    </row>
    <row r="186" spans="1:3" x14ac:dyDescent="0.25">
      <c r="A186" s="36">
        <v>41388</v>
      </c>
      <c r="B186" s="121">
        <v>0.78951388888888896</v>
      </c>
      <c r="C186" s="26" t="s">
        <v>1227</v>
      </c>
    </row>
    <row r="187" spans="1:3" x14ac:dyDescent="0.25">
      <c r="A187" s="36">
        <v>41388</v>
      </c>
      <c r="B187" s="121">
        <v>0.78951388888888896</v>
      </c>
      <c r="C187" s="26" t="s">
        <v>1228</v>
      </c>
    </row>
    <row r="188" spans="1:3" x14ac:dyDescent="0.25">
      <c r="A188" s="36">
        <v>41388</v>
      </c>
      <c r="B188" s="121">
        <v>0.78951388888888896</v>
      </c>
      <c r="C188" s="26" t="s">
        <v>1229</v>
      </c>
    </row>
    <row r="189" spans="1:3" x14ac:dyDescent="0.25">
      <c r="A189" s="36">
        <v>41388</v>
      </c>
      <c r="B189" s="121">
        <v>0.78951388888888896</v>
      </c>
      <c r="C189" s="26" t="s">
        <v>1230</v>
      </c>
    </row>
    <row r="190" spans="1:3" x14ac:dyDescent="0.25">
      <c r="A190" s="36">
        <v>41388</v>
      </c>
      <c r="B190" s="121">
        <v>0.78951388888888896</v>
      </c>
      <c r="C190" s="26" t="s">
        <v>1230</v>
      </c>
    </row>
    <row r="191" spans="1:3" x14ac:dyDescent="0.25">
      <c r="A191" s="36">
        <v>41388</v>
      </c>
      <c r="B191" s="121">
        <v>0.78951388888888896</v>
      </c>
      <c r="C191" s="26" t="s">
        <v>1222</v>
      </c>
    </row>
    <row r="192" spans="1:3" x14ac:dyDescent="0.25">
      <c r="A192" s="36">
        <v>41388</v>
      </c>
      <c r="B192" s="121">
        <v>0.78951388888888896</v>
      </c>
      <c r="C192" s="26" t="s">
        <v>1231</v>
      </c>
    </row>
    <row r="193" spans="1:3" x14ac:dyDescent="0.25">
      <c r="A193" s="36">
        <v>41388</v>
      </c>
      <c r="B193" s="121">
        <v>0.78951388888888896</v>
      </c>
      <c r="C193" s="26" t="s">
        <v>1232</v>
      </c>
    </row>
    <row r="194" spans="1:3" x14ac:dyDescent="0.25">
      <c r="A194" s="36">
        <v>41388</v>
      </c>
      <c r="B194" s="121">
        <v>0.78951388888888896</v>
      </c>
      <c r="C194" s="26" t="s">
        <v>1233</v>
      </c>
    </row>
    <row r="195" spans="1:3" x14ac:dyDescent="0.25">
      <c r="A195" s="36">
        <v>41388</v>
      </c>
      <c r="B195" s="121">
        <v>0.78951388888888896</v>
      </c>
      <c r="C195" s="26" t="s">
        <v>1191</v>
      </c>
    </row>
    <row r="196" spans="1:3" x14ac:dyDescent="0.25">
      <c r="A196" s="36">
        <v>41388</v>
      </c>
      <c r="B196" s="121">
        <v>0.78951388888888896</v>
      </c>
      <c r="C196" s="26" t="s">
        <v>1234</v>
      </c>
    </row>
    <row r="197" spans="1:3" x14ac:dyDescent="0.25">
      <c r="A197" s="36">
        <v>41388</v>
      </c>
      <c r="B197" s="121">
        <v>0.78951388888888896</v>
      </c>
      <c r="C197" s="26" t="s">
        <v>1235</v>
      </c>
    </row>
    <row r="198" spans="1:3" x14ac:dyDescent="0.25">
      <c r="A198" s="36">
        <v>41388</v>
      </c>
      <c r="B198" s="121">
        <v>0.78951388888888896</v>
      </c>
      <c r="C198" s="26" t="s">
        <v>1236</v>
      </c>
    </row>
    <row r="199" spans="1:3" x14ac:dyDescent="0.25">
      <c r="A199" s="36">
        <v>41388</v>
      </c>
      <c r="B199" s="121">
        <v>0.78951388888888896</v>
      </c>
      <c r="C199" s="26" t="s">
        <v>1231</v>
      </c>
    </row>
    <row r="200" spans="1:3" x14ac:dyDescent="0.25">
      <c r="A200" s="36">
        <v>41388</v>
      </c>
      <c r="B200" s="121">
        <v>0.78951388888888896</v>
      </c>
      <c r="C200" s="26" t="s">
        <v>1237</v>
      </c>
    </row>
    <row r="201" spans="1:3" x14ac:dyDescent="0.25">
      <c r="A201" s="36">
        <v>41388</v>
      </c>
      <c r="B201" s="121">
        <v>0.78951388888888896</v>
      </c>
      <c r="C201" s="26" t="s">
        <v>1238</v>
      </c>
    </row>
    <row r="202" spans="1:3" x14ac:dyDescent="0.25">
      <c r="A202" s="36">
        <v>41388</v>
      </c>
      <c r="B202" s="121">
        <v>0.78951388888888896</v>
      </c>
      <c r="C202" s="26" t="s">
        <v>1172</v>
      </c>
    </row>
    <row r="203" spans="1:3" x14ac:dyDescent="0.25">
      <c r="A203" s="36">
        <v>41388</v>
      </c>
      <c r="B203" s="121">
        <v>0.78951388888888896</v>
      </c>
      <c r="C203" s="26" t="s">
        <v>1172</v>
      </c>
    </row>
    <row r="204" spans="1:3" x14ac:dyDescent="0.25">
      <c r="A204" s="36">
        <v>41388</v>
      </c>
      <c r="B204" s="121">
        <v>0.78951388888888896</v>
      </c>
      <c r="C204" s="26" t="s">
        <v>1172</v>
      </c>
    </row>
    <row r="205" spans="1:3" x14ac:dyDescent="0.25">
      <c r="A205" s="36">
        <v>41388</v>
      </c>
      <c r="B205" s="121">
        <v>0.78951388888888896</v>
      </c>
      <c r="C205" s="26" t="s">
        <v>1239</v>
      </c>
    </row>
    <row r="206" spans="1:3" x14ac:dyDescent="0.25">
      <c r="A206" s="36">
        <v>41388</v>
      </c>
      <c r="B206" s="121">
        <v>0.78951388888888896</v>
      </c>
      <c r="C206" s="26" t="s">
        <v>1240</v>
      </c>
    </row>
    <row r="207" spans="1:3" x14ac:dyDescent="0.25">
      <c r="A207" s="36">
        <v>41388</v>
      </c>
      <c r="B207" s="121">
        <v>0.78951388888888896</v>
      </c>
      <c r="C207" s="26" t="s">
        <v>1183</v>
      </c>
    </row>
    <row r="208" spans="1:3" x14ac:dyDescent="0.25">
      <c r="A208" s="36">
        <v>41388</v>
      </c>
      <c r="B208" s="121">
        <v>0.78951388888888896</v>
      </c>
      <c r="C208" s="26" t="s">
        <v>1241</v>
      </c>
    </row>
    <row r="209" spans="1:3" x14ac:dyDescent="0.25">
      <c r="A209" s="36">
        <v>41388</v>
      </c>
      <c r="B209" s="121">
        <v>0.78951388888888896</v>
      </c>
      <c r="C209" s="26" t="s">
        <v>1242</v>
      </c>
    </row>
    <row r="210" spans="1:3" x14ac:dyDescent="0.25">
      <c r="A210" s="36">
        <v>41388</v>
      </c>
      <c r="B210" s="121">
        <v>0.78951388888888896</v>
      </c>
      <c r="C210" s="26" t="s">
        <v>1243</v>
      </c>
    </row>
    <row r="211" spans="1:3" x14ac:dyDescent="0.25">
      <c r="A211" s="36">
        <v>41388</v>
      </c>
      <c r="B211" s="121">
        <v>0.78951388888888896</v>
      </c>
      <c r="C211" s="26" t="s">
        <v>1244</v>
      </c>
    </row>
    <row r="212" spans="1:3" x14ac:dyDescent="0.25">
      <c r="A212" s="36">
        <v>41388</v>
      </c>
      <c r="B212" s="121">
        <v>0.78951388888888896</v>
      </c>
      <c r="C212" s="26" t="s">
        <v>1185</v>
      </c>
    </row>
    <row r="213" spans="1:3" x14ac:dyDescent="0.25">
      <c r="A213" s="36">
        <v>41388</v>
      </c>
      <c r="B213" s="121">
        <v>0.78951388888888896</v>
      </c>
      <c r="C213" s="26" t="s">
        <v>1245</v>
      </c>
    </row>
    <row r="214" spans="1:3" x14ac:dyDescent="0.25">
      <c r="A214" s="36">
        <v>41388</v>
      </c>
      <c r="B214" s="121">
        <v>0.78951388888888896</v>
      </c>
      <c r="C214" s="26" t="s">
        <v>1246</v>
      </c>
    </row>
    <row r="215" spans="1:3" x14ac:dyDescent="0.25">
      <c r="A215" s="36">
        <v>41388</v>
      </c>
      <c r="B215" s="121">
        <v>0.78951388888888896</v>
      </c>
      <c r="C215" s="26" t="s">
        <v>1247</v>
      </c>
    </row>
    <row r="216" spans="1:3" x14ac:dyDescent="0.25">
      <c r="A216" s="36">
        <v>41388</v>
      </c>
      <c r="B216" s="121">
        <v>0.78951388888888896</v>
      </c>
      <c r="C216" s="26" t="s">
        <v>1248</v>
      </c>
    </row>
    <row r="217" spans="1:3" x14ac:dyDescent="0.25">
      <c r="A217" s="36">
        <v>41388</v>
      </c>
      <c r="B217" s="121">
        <v>0.78951388888888896</v>
      </c>
      <c r="C217" s="26" t="s">
        <v>1249</v>
      </c>
    </row>
    <row r="218" spans="1:3" x14ac:dyDescent="0.25">
      <c r="A218" s="36">
        <v>41388</v>
      </c>
      <c r="B218" s="121">
        <v>0.78951388888888896</v>
      </c>
      <c r="C218" s="26" t="s">
        <v>1250</v>
      </c>
    </row>
    <row r="219" spans="1:3" x14ac:dyDescent="0.25">
      <c r="A219" s="36">
        <v>41388</v>
      </c>
      <c r="B219" s="121">
        <v>0.78951388888888896</v>
      </c>
      <c r="C219" s="26" t="s">
        <v>1250</v>
      </c>
    </row>
    <row r="220" spans="1:3" x14ac:dyDescent="0.25">
      <c r="A220" s="36">
        <v>41388</v>
      </c>
      <c r="B220" s="121">
        <v>0.78951388888888896</v>
      </c>
      <c r="C220" s="26" t="s">
        <v>1251</v>
      </c>
    </row>
    <row r="221" spans="1:3" x14ac:dyDescent="0.25">
      <c r="A221" s="36">
        <v>41388</v>
      </c>
      <c r="B221" s="121">
        <v>0.78951388888888896</v>
      </c>
      <c r="C221" s="26" t="s">
        <v>1180</v>
      </c>
    </row>
    <row r="222" spans="1:3" x14ac:dyDescent="0.25">
      <c r="A222" s="36">
        <v>41388</v>
      </c>
      <c r="B222" s="121">
        <v>0.78951388888888896</v>
      </c>
      <c r="C222" s="26" t="s">
        <v>1252</v>
      </c>
    </row>
    <row r="223" spans="1:3" x14ac:dyDescent="0.25">
      <c r="A223" s="36">
        <v>41388</v>
      </c>
      <c r="B223" s="121">
        <v>0.78951388888888896</v>
      </c>
      <c r="C223" s="26" t="s">
        <v>1253</v>
      </c>
    </row>
    <row r="224" spans="1:3" x14ac:dyDescent="0.25">
      <c r="A224" s="36">
        <v>41388</v>
      </c>
      <c r="B224" s="121">
        <v>0.78951388888888896</v>
      </c>
      <c r="C224" s="26" t="s">
        <v>1253</v>
      </c>
    </row>
    <row r="225" spans="1:3" x14ac:dyDescent="0.25">
      <c r="A225" s="36">
        <v>41388</v>
      </c>
      <c r="B225" s="121">
        <v>0.78951388888888896</v>
      </c>
      <c r="C225" s="26" t="s">
        <v>1254</v>
      </c>
    </row>
    <row r="226" spans="1:3" x14ac:dyDescent="0.25">
      <c r="A226" s="36">
        <v>41388</v>
      </c>
      <c r="B226" s="121">
        <v>0.78951388888888896</v>
      </c>
      <c r="C226" s="26" t="s">
        <v>1255</v>
      </c>
    </row>
    <row r="227" spans="1:3" x14ac:dyDescent="0.25">
      <c r="A227" s="36">
        <v>41388</v>
      </c>
      <c r="B227" s="121">
        <v>0.78951388888888896</v>
      </c>
      <c r="C227" s="26" t="s">
        <v>1256</v>
      </c>
    </row>
    <row r="228" spans="1:3" x14ac:dyDescent="0.25">
      <c r="A228" s="36">
        <v>41388</v>
      </c>
      <c r="B228" s="121">
        <v>0.78951388888888896</v>
      </c>
      <c r="C228" s="26" t="s">
        <v>1257</v>
      </c>
    </row>
    <row r="229" spans="1:3" x14ac:dyDescent="0.25">
      <c r="A229" s="36">
        <v>41388</v>
      </c>
      <c r="B229" s="121">
        <v>0.78951388888888896</v>
      </c>
      <c r="C229" s="26" t="s">
        <v>1258</v>
      </c>
    </row>
    <row r="230" spans="1:3" x14ac:dyDescent="0.25">
      <c r="A230" s="36">
        <v>41388</v>
      </c>
      <c r="B230" s="121">
        <v>0.78951388888888896</v>
      </c>
      <c r="C230" s="26" t="s">
        <v>1259</v>
      </c>
    </row>
    <row r="231" spans="1:3" x14ac:dyDescent="0.25">
      <c r="A231" s="36">
        <v>41388</v>
      </c>
      <c r="B231" s="121">
        <v>0.78951388888888896</v>
      </c>
      <c r="C231" s="26" t="s">
        <v>1258</v>
      </c>
    </row>
    <row r="232" spans="1:3" x14ac:dyDescent="0.25">
      <c r="A232" s="36">
        <v>41388</v>
      </c>
      <c r="B232" s="121">
        <v>0.78951388888888896</v>
      </c>
      <c r="C232" s="26" t="s">
        <v>1260</v>
      </c>
    </row>
    <row r="233" spans="1:3" x14ac:dyDescent="0.25">
      <c r="A233" s="36">
        <v>41388</v>
      </c>
      <c r="B233" s="121">
        <v>0.78951388888888896</v>
      </c>
      <c r="C233" s="26" t="s">
        <v>1261</v>
      </c>
    </row>
    <row r="234" spans="1:3" x14ac:dyDescent="0.25">
      <c r="A234" s="36">
        <v>41388</v>
      </c>
      <c r="B234" s="121">
        <v>0.78951388888888896</v>
      </c>
      <c r="C234" s="26" t="s">
        <v>1261</v>
      </c>
    </row>
    <row r="235" spans="1:3" x14ac:dyDescent="0.25">
      <c r="A235" s="36">
        <v>41388</v>
      </c>
      <c r="B235" s="121">
        <v>0.78951388888888896</v>
      </c>
      <c r="C235" s="26" t="s">
        <v>1183</v>
      </c>
    </row>
    <row r="236" spans="1:3" x14ac:dyDescent="0.25">
      <c r="A236" s="36">
        <v>41388</v>
      </c>
      <c r="B236" s="121">
        <v>0.78951388888888896</v>
      </c>
      <c r="C236" s="26" t="s">
        <v>1259</v>
      </c>
    </row>
    <row r="237" spans="1:3" x14ac:dyDescent="0.25">
      <c r="A237" s="36">
        <v>41388</v>
      </c>
      <c r="B237" s="121">
        <v>0.78951388888888896</v>
      </c>
      <c r="C237" s="26" t="s">
        <v>1170</v>
      </c>
    </row>
    <row r="238" spans="1:3" x14ac:dyDescent="0.25">
      <c r="A238" s="36">
        <v>41388</v>
      </c>
      <c r="B238" s="121">
        <v>0.78951388888888896</v>
      </c>
      <c r="C238" s="26" t="s">
        <v>1262</v>
      </c>
    </row>
    <row r="239" spans="1:3" x14ac:dyDescent="0.25">
      <c r="A239" s="36">
        <v>41388</v>
      </c>
      <c r="B239" s="121">
        <v>0.78951388888888896</v>
      </c>
      <c r="C239" s="26" t="s">
        <v>1263</v>
      </c>
    </row>
    <row r="240" spans="1:3" x14ac:dyDescent="0.25">
      <c r="A240" s="36">
        <v>41388</v>
      </c>
      <c r="B240" s="121">
        <v>0.78951388888888896</v>
      </c>
      <c r="C240" s="26" t="s">
        <v>1264</v>
      </c>
    </row>
    <row r="241" spans="1:3" x14ac:dyDescent="0.25">
      <c r="A241" s="36">
        <v>41388</v>
      </c>
      <c r="B241" s="121">
        <v>0.78951388888888896</v>
      </c>
      <c r="C241" s="26" t="s">
        <v>1265</v>
      </c>
    </row>
    <row r="242" spans="1:3" x14ac:dyDescent="0.25">
      <c r="A242" s="36">
        <v>41388</v>
      </c>
      <c r="B242" s="121">
        <v>0.78951388888888896</v>
      </c>
      <c r="C242" s="26" t="s">
        <v>1266</v>
      </c>
    </row>
    <row r="243" spans="1:3" x14ac:dyDescent="0.25">
      <c r="A243" s="36">
        <v>41388</v>
      </c>
      <c r="B243" s="121">
        <v>0.78951388888888896</v>
      </c>
      <c r="C243" s="26" t="s">
        <v>1253</v>
      </c>
    </row>
    <row r="244" spans="1:3" x14ac:dyDescent="0.25">
      <c r="A244" s="36">
        <v>41388</v>
      </c>
      <c r="B244" s="121">
        <v>0.78951388888888896</v>
      </c>
      <c r="C244" s="26" t="s">
        <v>1267</v>
      </c>
    </row>
    <row r="245" spans="1:3" x14ac:dyDescent="0.25">
      <c r="A245" s="36">
        <v>41388</v>
      </c>
      <c r="B245" s="121">
        <v>0.78951388888888896</v>
      </c>
      <c r="C245" s="26" t="s">
        <v>1268</v>
      </c>
    </row>
    <row r="246" spans="1:3" x14ac:dyDescent="0.25">
      <c r="A246" s="36">
        <v>41388</v>
      </c>
      <c r="B246" s="121">
        <v>0.78951388888888896</v>
      </c>
      <c r="C246" s="26" t="s">
        <v>1236</v>
      </c>
    </row>
    <row r="247" spans="1:3" x14ac:dyDescent="0.25">
      <c r="A247" s="36">
        <v>41388</v>
      </c>
      <c r="B247" s="121">
        <v>0.78951388888888896</v>
      </c>
      <c r="C247" s="26" t="s">
        <v>1269</v>
      </c>
    </row>
    <row r="248" spans="1:3" x14ac:dyDescent="0.25">
      <c r="A248" s="36">
        <v>41388</v>
      </c>
      <c r="B248" s="121">
        <v>0.78951388888888896</v>
      </c>
      <c r="C248" s="26" t="s">
        <v>1270</v>
      </c>
    </row>
    <row r="249" spans="1:3" x14ac:dyDescent="0.25">
      <c r="A249" s="36">
        <v>41388</v>
      </c>
      <c r="B249" s="121">
        <v>0.78951388888888896</v>
      </c>
      <c r="C249" s="26" t="s">
        <v>1228</v>
      </c>
    </row>
    <row r="250" spans="1:3" x14ac:dyDescent="0.25">
      <c r="A250" s="36">
        <v>41388</v>
      </c>
      <c r="B250" s="121">
        <v>0.78951388888888896</v>
      </c>
      <c r="C250" s="26" t="s">
        <v>1235</v>
      </c>
    </row>
    <row r="251" spans="1:3" x14ac:dyDescent="0.25">
      <c r="A251" s="36">
        <v>41388</v>
      </c>
      <c r="B251" s="121">
        <v>0.789525462962963</v>
      </c>
      <c r="C251" s="26" t="s">
        <v>1271</v>
      </c>
    </row>
    <row r="252" spans="1:3" x14ac:dyDescent="0.25">
      <c r="A252" s="36">
        <v>41388</v>
      </c>
      <c r="B252" s="121">
        <v>0.80265046296296294</v>
      </c>
      <c r="C252" s="26" t="s">
        <v>1272</v>
      </c>
    </row>
    <row r="253" spans="1:3" x14ac:dyDescent="0.25">
      <c r="A253" s="36">
        <v>41388</v>
      </c>
      <c r="B253" s="121">
        <v>0.80265046296296294</v>
      </c>
      <c r="C253" s="26" t="s">
        <v>1272</v>
      </c>
    </row>
    <row r="254" spans="1:3" x14ac:dyDescent="0.25">
      <c r="A254" s="36">
        <v>41388</v>
      </c>
      <c r="B254" s="121">
        <v>0.80265046296296294</v>
      </c>
      <c r="C254" s="26" t="s">
        <v>1273</v>
      </c>
    </row>
    <row r="255" spans="1:3" x14ac:dyDescent="0.25">
      <c r="A255" s="36">
        <v>41388</v>
      </c>
      <c r="B255" s="121">
        <v>0.80266203703703709</v>
      </c>
      <c r="C255" s="26" t="s">
        <v>1274</v>
      </c>
    </row>
    <row r="256" spans="1:3" x14ac:dyDescent="0.25">
      <c r="A256" s="36">
        <v>41388</v>
      </c>
      <c r="B256" s="121">
        <v>0.80267361111111113</v>
      </c>
      <c r="C256" s="26" t="s">
        <v>1275</v>
      </c>
    </row>
    <row r="257" spans="1:3" x14ac:dyDescent="0.25">
      <c r="A257" s="36">
        <v>41388</v>
      </c>
      <c r="B257" s="121">
        <v>0.80267361111111113</v>
      </c>
      <c r="C257" s="26" t="s">
        <v>1273</v>
      </c>
    </row>
    <row r="258" spans="1:3" x14ac:dyDescent="0.25">
      <c r="A258" s="36">
        <v>41388</v>
      </c>
      <c r="B258" s="121">
        <v>0.80267361111111113</v>
      </c>
      <c r="C258" s="26" t="s">
        <v>1273</v>
      </c>
    </row>
    <row r="259" spans="1:3" x14ac:dyDescent="0.25">
      <c r="A259" s="36">
        <v>41388</v>
      </c>
      <c r="B259" s="121">
        <v>0.80268518518518517</v>
      </c>
      <c r="C259" s="26" t="s">
        <v>1275</v>
      </c>
    </row>
    <row r="260" spans="1:3" x14ac:dyDescent="0.25">
      <c r="A260" s="36">
        <v>41388</v>
      </c>
      <c r="B260" s="121">
        <v>0.80269675925925921</v>
      </c>
      <c r="C260" s="26" t="s">
        <v>1276</v>
      </c>
    </row>
    <row r="261" spans="1:3" x14ac:dyDescent="0.25">
      <c r="A261" s="36">
        <v>41388</v>
      </c>
      <c r="B261" s="121">
        <v>0.80269675925925921</v>
      </c>
      <c r="C261" s="26" t="s">
        <v>1277</v>
      </c>
    </row>
    <row r="262" spans="1:3" x14ac:dyDescent="0.25">
      <c r="A262" s="36">
        <v>41388</v>
      </c>
      <c r="B262" s="121">
        <v>0.80269675925925921</v>
      </c>
      <c r="C262" s="26" t="s">
        <v>1278</v>
      </c>
    </row>
    <row r="263" spans="1:3" x14ac:dyDescent="0.25">
      <c r="A263" s="36">
        <v>41388</v>
      </c>
      <c r="B263" s="121">
        <v>0.80269675925925921</v>
      </c>
      <c r="C263" s="26" t="s">
        <v>1277</v>
      </c>
    </row>
    <row r="264" spans="1:3" x14ac:dyDescent="0.25">
      <c r="A264" s="36">
        <v>41388</v>
      </c>
      <c r="B264" s="121">
        <v>0.80270833333333336</v>
      </c>
      <c r="C264" s="26" t="s">
        <v>1277</v>
      </c>
    </row>
    <row r="265" spans="1:3" x14ac:dyDescent="0.25">
      <c r="A265" s="36">
        <v>41388</v>
      </c>
      <c r="B265" s="121">
        <v>0.80270833333333336</v>
      </c>
      <c r="C265" s="26" t="s">
        <v>1279</v>
      </c>
    </row>
    <row r="266" spans="1:3" x14ac:dyDescent="0.25">
      <c r="A266" s="36">
        <v>41388</v>
      </c>
      <c r="B266" s="121">
        <v>0.80270833333333336</v>
      </c>
      <c r="C266" s="26" t="s">
        <v>1280</v>
      </c>
    </row>
    <row r="267" spans="1:3" x14ac:dyDescent="0.25">
      <c r="A267" s="36">
        <v>41388</v>
      </c>
      <c r="B267" s="121">
        <v>0.80271990740740751</v>
      </c>
      <c r="C267" s="26" t="s">
        <v>1280</v>
      </c>
    </row>
    <row r="268" spans="1:3" x14ac:dyDescent="0.25">
      <c r="A268" s="36">
        <v>41388</v>
      </c>
      <c r="B268" s="121">
        <v>0.80271990740740751</v>
      </c>
      <c r="C268" s="26" t="s">
        <v>1281</v>
      </c>
    </row>
    <row r="269" spans="1:3" x14ac:dyDescent="0.25">
      <c r="A269" s="36">
        <v>41388</v>
      </c>
      <c r="B269" s="121">
        <v>0.80271990740740751</v>
      </c>
      <c r="C269" s="26" t="s">
        <v>1282</v>
      </c>
    </row>
    <row r="270" spans="1:3" x14ac:dyDescent="0.25">
      <c r="A270" s="36">
        <v>41388</v>
      </c>
      <c r="B270" s="121">
        <v>0.80271990740740751</v>
      </c>
      <c r="C270" s="26" t="s">
        <v>1283</v>
      </c>
    </row>
    <row r="271" spans="1:3" x14ac:dyDescent="0.25">
      <c r="A271" s="36">
        <v>41388</v>
      </c>
      <c r="B271" s="121">
        <v>0.80271990740740751</v>
      </c>
      <c r="C271" s="26" t="s">
        <v>1284</v>
      </c>
    </row>
    <row r="272" spans="1:3" x14ac:dyDescent="0.25">
      <c r="A272" s="36">
        <v>41388</v>
      </c>
      <c r="B272" s="121">
        <v>0.80271990740740751</v>
      </c>
      <c r="C272" s="26" t="s">
        <v>1277</v>
      </c>
    </row>
    <row r="273" spans="1:3" x14ac:dyDescent="0.25">
      <c r="A273" s="36">
        <v>41388</v>
      </c>
      <c r="B273" s="121">
        <v>0.80271990740740751</v>
      </c>
      <c r="C273" s="26" t="s">
        <v>1280</v>
      </c>
    </row>
    <row r="274" spans="1:3" x14ac:dyDescent="0.25">
      <c r="A274" s="36">
        <v>41388</v>
      </c>
      <c r="B274" s="121">
        <v>0.80271990740740751</v>
      </c>
      <c r="C274" s="26" t="s">
        <v>1283</v>
      </c>
    </row>
    <row r="275" spans="1:3" x14ac:dyDescent="0.25">
      <c r="A275" s="36">
        <v>41388</v>
      </c>
      <c r="B275" s="121">
        <v>0.80271990740740751</v>
      </c>
      <c r="C275" s="26" t="s">
        <v>1280</v>
      </c>
    </row>
    <row r="276" spans="1:3" x14ac:dyDescent="0.25">
      <c r="A276" s="36">
        <v>41388</v>
      </c>
      <c r="B276" s="121">
        <v>0.80271990740740751</v>
      </c>
      <c r="C276" s="26" t="s">
        <v>1283</v>
      </c>
    </row>
    <row r="277" spans="1:3" x14ac:dyDescent="0.25">
      <c r="A277" s="36">
        <v>41388</v>
      </c>
      <c r="B277" s="121">
        <v>0.80271990740740751</v>
      </c>
      <c r="C277" s="26" t="s">
        <v>1283</v>
      </c>
    </row>
    <row r="278" spans="1:3" x14ac:dyDescent="0.25">
      <c r="A278" s="36">
        <v>41388</v>
      </c>
      <c r="B278" s="121">
        <v>0.80271990740740751</v>
      </c>
      <c r="C278" s="26" t="s">
        <v>1282</v>
      </c>
    </row>
    <row r="279" spans="1:3" x14ac:dyDescent="0.25">
      <c r="A279" s="36">
        <v>41388</v>
      </c>
      <c r="B279" s="121">
        <v>0.80271990740740751</v>
      </c>
      <c r="C279" s="26" t="s">
        <v>1285</v>
      </c>
    </row>
    <row r="280" spans="1:3" x14ac:dyDescent="0.25">
      <c r="A280" s="36">
        <v>41388</v>
      </c>
      <c r="B280" s="121">
        <v>0.80271990740740751</v>
      </c>
      <c r="C280" s="26" t="s">
        <v>1273</v>
      </c>
    </row>
    <row r="281" spans="1:3" x14ac:dyDescent="0.25">
      <c r="A281" s="36">
        <v>41388</v>
      </c>
      <c r="B281" s="121">
        <v>0.80271990740740751</v>
      </c>
      <c r="C281" s="26" t="s">
        <v>1280</v>
      </c>
    </row>
    <row r="282" spans="1:3" x14ac:dyDescent="0.25">
      <c r="A282" s="36">
        <v>41388</v>
      </c>
      <c r="B282" s="121">
        <v>0.80271990740740751</v>
      </c>
      <c r="C282" s="26" t="s">
        <v>1284</v>
      </c>
    </row>
    <row r="283" spans="1:3" x14ac:dyDescent="0.25">
      <c r="A283" s="36">
        <v>41388</v>
      </c>
      <c r="B283" s="121">
        <v>0.80271990740740751</v>
      </c>
      <c r="C283" s="26" t="s">
        <v>1284</v>
      </c>
    </row>
    <row r="284" spans="1:3" x14ac:dyDescent="0.25">
      <c r="A284" s="36">
        <v>41388</v>
      </c>
      <c r="B284" s="121">
        <v>0.80273148148148143</v>
      </c>
      <c r="C284" s="26" t="s">
        <v>1280</v>
      </c>
    </row>
    <row r="285" spans="1:3" x14ac:dyDescent="0.25">
      <c r="A285" s="36">
        <v>41388</v>
      </c>
      <c r="B285" s="121">
        <v>0.80273148148148143</v>
      </c>
      <c r="C285" s="26" t="s">
        <v>1286</v>
      </c>
    </row>
    <row r="286" spans="1:3" x14ac:dyDescent="0.25">
      <c r="A286" s="36">
        <v>41388</v>
      </c>
      <c r="B286" s="121">
        <v>0.80273148148148143</v>
      </c>
      <c r="C286" s="26" t="s">
        <v>1287</v>
      </c>
    </row>
    <row r="287" spans="1:3" x14ac:dyDescent="0.25">
      <c r="A287" s="36">
        <v>41388</v>
      </c>
      <c r="B287" s="121">
        <v>0.80273148148148143</v>
      </c>
      <c r="C287" s="26" t="s">
        <v>1283</v>
      </c>
    </row>
    <row r="288" spans="1:3" x14ac:dyDescent="0.25">
      <c r="A288" s="36">
        <v>41388</v>
      </c>
      <c r="B288" s="121">
        <v>0.80273148148148143</v>
      </c>
      <c r="C288" s="26" t="s">
        <v>1288</v>
      </c>
    </row>
    <row r="289" spans="1:3" x14ac:dyDescent="0.25">
      <c r="A289" s="36">
        <v>41388</v>
      </c>
      <c r="B289" s="121">
        <v>0.80273148148148143</v>
      </c>
      <c r="C289" s="26" t="s">
        <v>1288</v>
      </c>
    </row>
    <row r="290" spans="1:3" x14ac:dyDescent="0.25">
      <c r="A290" s="36">
        <v>41388</v>
      </c>
      <c r="B290" s="121">
        <v>0.80273148148148143</v>
      </c>
      <c r="C290" s="26" t="s">
        <v>1289</v>
      </c>
    </row>
    <row r="291" spans="1:3" x14ac:dyDescent="0.25">
      <c r="A291" s="36">
        <v>41388</v>
      </c>
      <c r="B291" s="121">
        <v>0.80273148148148143</v>
      </c>
      <c r="C291" s="26" t="s">
        <v>1275</v>
      </c>
    </row>
    <row r="292" spans="1:3" x14ac:dyDescent="0.25">
      <c r="A292" s="36">
        <v>41388</v>
      </c>
      <c r="B292" s="121">
        <v>0.80273148148148143</v>
      </c>
      <c r="C292" s="26" t="s">
        <v>1290</v>
      </c>
    </row>
    <row r="293" spans="1:3" ht="30" x14ac:dyDescent="0.25">
      <c r="A293" s="36">
        <v>41388</v>
      </c>
      <c r="B293" s="121">
        <v>0.80274305555555558</v>
      </c>
      <c r="C293" s="779" t="s">
        <v>1291</v>
      </c>
    </row>
    <row r="294" spans="1:3" x14ac:dyDescent="0.25">
      <c r="A294" s="36">
        <v>41388</v>
      </c>
      <c r="B294" s="121">
        <v>0.80274305555555558</v>
      </c>
      <c r="C294" s="26" t="s">
        <v>1292</v>
      </c>
    </row>
    <row r="295" spans="1:3" x14ac:dyDescent="0.25">
      <c r="A295" s="36">
        <v>41388</v>
      </c>
      <c r="B295" s="121">
        <v>0.8028819444444445</v>
      </c>
      <c r="C295" s="26" t="s">
        <v>1272</v>
      </c>
    </row>
    <row r="296" spans="1:3" x14ac:dyDescent="0.25">
      <c r="A296" s="36">
        <v>41388</v>
      </c>
      <c r="B296" s="121">
        <v>0.8028819444444445</v>
      </c>
      <c r="C296" s="26" t="s">
        <v>1272</v>
      </c>
    </row>
    <row r="297" spans="1:3" x14ac:dyDescent="0.25">
      <c r="A297" s="36">
        <v>41388</v>
      </c>
      <c r="B297" s="121">
        <v>0.8028819444444445</v>
      </c>
      <c r="C297" s="26" t="s">
        <v>1273</v>
      </c>
    </row>
    <row r="298" spans="1:3" x14ac:dyDescent="0.25">
      <c r="A298" s="36">
        <v>41388</v>
      </c>
      <c r="B298" s="121">
        <v>0.8028819444444445</v>
      </c>
      <c r="C298" s="26" t="s">
        <v>1274</v>
      </c>
    </row>
    <row r="299" spans="1:3" x14ac:dyDescent="0.25">
      <c r="A299" s="36">
        <v>41388</v>
      </c>
      <c r="B299" s="121">
        <v>0.80290509259259257</v>
      </c>
      <c r="C299" s="26" t="s">
        <v>1275</v>
      </c>
    </row>
    <row r="300" spans="1:3" x14ac:dyDescent="0.25">
      <c r="A300" s="36">
        <v>41388</v>
      </c>
      <c r="B300" s="121">
        <v>0.80290509259259257</v>
      </c>
      <c r="C300" s="26" t="s">
        <v>1273</v>
      </c>
    </row>
    <row r="301" spans="1:3" x14ac:dyDescent="0.25">
      <c r="A301" s="36">
        <v>41388</v>
      </c>
      <c r="B301" s="121">
        <v>0.80290509259259257</v>
      </c>
      <c r="C301" s="26" t="s">
        <v>1273</v>
      </c>
    </row>
    <row r="302" spans="1:3" x14ac:dyDescent="0.25">
      <c r="A302" s="36">
        <v>41388</v>
      </c>
      <c r="B302" s="121">
        <v>0.80291666666666661</v>
      </c>
      <c r="C302" s="26" t="s">
        <v>1275</v>
      </c>
    </row>
    <row r="303" spans="1:3" x14ac:dyDescent="0.25">
      <c r="A303" s="36">
        <v>41388</v>
      </c>
      <c r="B303" s="121">
        <v>0.80292824074074076</v>
      </c>
      <c r="C303" s="26" t="s">
        <v>1276</v>
      </c>
    </row>
    <row r="304" spans="1:3" x14ac:dyDescent="0.25">
      <c r="A304" s="36">
        <v>41388</v>
      </c>
      <c r="B304" s="121">
        <v>0.80292824074074076</v>
      </c>
      <c r="C304" s="26" t="s">
        <v>1277</v>
      </c>
    </row>
    <row r="305" spans="1:3" x14ac:dyDescent="0.25">
      <c r="A305" s="36">
        <v>41388</v>
      </c>
      <c r="B305" s="121">
        <v>0.80292824074074076</v>
      </c>
      <c r="C305" s="26" t="s">
        <v>1278</v>
      </c>
    </row>
    <row r="306" spans="1:3" x14ac:dyDescent="0.25">
      <c r="A306" s="36">
        <v>41388</v>
      </c>
      <c r="B306" s="121">
        <v>0.80292824074074076</v>
      </c>
      <c r="C306" s="26" t="s">
        <v>1277</v>
      </c>
    </row>
    <row r="307" spans="1:3" x14ac:dyDescent="0.25">
      <c r="A307" s="36">
        <v>41388</v>
      </c>
      <c r="B307" s="121">
        <v>0.80293981481481491</v>
      </c>
      <c r="C307" s="26" t="s">
        <v>1277</v>
      </c>
    </row>
    <row r="308" spans="1:3" x14ac:dyDescent="0.25">
      <c r="A308" s="36">
        <v>41388</v>
      </c>
      <c r="B308" s="121">
        <v>0.80293981481481491</v>
      </c>
      <c r="C308" s="26" t="s">
        <v>1279</v>
      </c>
    </row>
    <row r="309" spans="1:3" x14ac:dyDescent="0.25">
      <c r="A309" s="36">
        <v>41388</v>
      </c>
      <c r="B309" s="121">
        <v>0.80293981481481491</v>
      </c>
      <c r="C309" s="26" t="s">
        <v>1280</v>
      </c>
    </row>
    <row r="310" spans="1:3" x14ac:dyDescent="0.25">
      <c r="A310" s="36">
        <v>41388</v>
      </c>
      <c r="B310" s="121">
        <v>0.80295138888888884</v>
      </c>
      <c r="C310" s="26" t="s">
        <v>1280</v>
      </c>
    </row>
    <row r="311" spans="1:3" x14ac:dyDescent="0.25">
      <c r="A311" s="36">
        <v>41388</v>
      </c>
      <c r="B311" s="121">
        <v>0.80295138888888884</v>
      </c>
      <c r="C311" s="26" t="s">
        <v>1281</v>
      </c>
    </row>
    <row r="312" spans="1:3" x14ac:dyDescent="0.25">
      <c r="A312" s="36">
        <v>41388</v>
      </c>
      <c r="B312" s="121">
        <v>0.80295138888888884</v>
      </c>
      <c r="C312" s="26" t="s">
        <v>1282</v>
      </c>
    </row>
    <row r="313" spans="1:3" x14ac:dyDescent="0.25">
      <c r="A313" s="36">
        <v>41388</v>
      </c>
      <c r="B313" s="121">
        <v>0.80295138888888884</v>
      </c>
      <c r="C313" s="26" t="s">
        <v>1283</v>
      </c>
    </row>
    <row r="314" spans="1:3" x14ac:dyDescent="0.25">
      <c r="A314" s="36">
        <v>41388</v>
      </c>
      <c r="B314" s="121">
        <v>0.80295138888888884</v>
      </c>
      <c r="C314" s="26" t="s">
        <v>1284</v>
      </c>
    </row>
    <row r="315" spans="1:3" x14ac:dyDescent="0.25">
      <c r="A315" s="36">
        <v>41388</v>
      </c>
      <c r="B315" s="121">
        <v>0.80295138888888884</v>
      </c>
      <c r="C315" s="26" t="s">
        <v>1277</v>
      </c>
    </row>
    <row r="316" spans="1:3" x14ac:dyDescent="0.25">
      <c r="A316" s="36">
        <v>41388</v>
      </c>
      <c r="B316" s="121">
        <v>0.80295138888888884</v>
      </c>
      <c r="C316" s="26" t="s">
        <v>1280</v>
      </c>
    </row>
    <row r="317" spans="1:3" x14ac:dyDescent="0.25">
      <c r="A317" s="36">
        <v>41388</v>
      </c>
      <c r="B317" s="121">
        <v>0.80295138888888884</v>
      </c>
      <c r="C317" s="26" t="s">
        <v>1283</v>
      </c>
    </row>
    <row r="318" spans="1:3" x14ac:dyDescent="0.25">
      <c r="A318" s="36">
        <v>41388</v>
      </c>
      <c r="B318" s="121">
        <v>0.80295138888888884</v>
      </c>
      <c r="C318" s="26" t="s">
        <v>1280</v>
      </c>
    </row>
    <row r="319" spans="1:3" x14ac:dyDescent="0.25">
      <c r="A319" s="36">
        <v>41388</v>
      </c>
      <c r="B319" s="121">
        <v>0.80295138888888884</v>
      </c>
      <c r="C319" s="26" t="s">
        <v>1283</v>
      </c>
    </row>
    <row r="320" spans="1:3" x14ac:dyDescent="0.25">
      <c r="A320" s="36">
        <v>41388</v>
      </c>
      <c r="B320" s="121">
        <v>0.80295138888888884</v>
      </c>
      <c r="C320" s="26" t="s">
        <v>1283</v>
      </c>
    </row>
    <row r="321" spans="1:3" x14ac:dyDescent="0.25">
      <c r="A321" s="36">
        <v>41388</v>
      </c>
      <c r="B321" s="121">
        <v>0.80295138888888884</v>
      </c>
      <c r="C321" s="26" t="s">
        <v>1282</v>
      </c>
    </row>
    <row r="322" spans="1:3" x14ac:dyDescent="0.25">
      <c r="A322" s="36">
        <v>41388</v>
      </c>
      <c r="B322" s="121">
        <v>0.80295138888888884</v>
      </c>
      <c r="C322" s="26" t="s">
        <v>1285</v>
      </c>
    </row>
    <row r="323" spans="1:3" x14ac:dyDescent="0.25">
      <c r="A323" s="36">
        <v>41388</v>
      </c>
      <c r="B323" s="121">
        <v>0.80295138888888884</v>
      </c>
      <c r="C323" s="26" t="s">
        <v>1273</v>
      </c>
    </row>
    <row r="324" spans="1:3" x14ac:dyDescent="0.25">
      <c r="A324" s="36">
        <v>41388</v>
      </c>
      <c r="B324" s="121">
        <v>0.80295138888888884</v>
      </c>
      <c r="C324" s="26" t="s">
        <v>1280</v>
      </c>
    </row>
    <row r="325" spans="1:3" x14ac:dyDescent="0.25">
      <c r="A325" s="36">
        <v>41388</v>
      </c>
      <c r="B325" s="121">
        <v>0.80295138888888884</v>
      </c>
      <c r="C325" s="26" t="s">
        <v>1284</v>
      </c>
    </row>
    <row r="326" spans="1:3" x14ac:dyDescent="0.25">
      <c r="A326" s="36">
        <v>41388</v>
      </c>
      <c r="B326" s="121">
        <v>0.80295138888888884</v>
      </c>
      <c r="C326" s="26" t="s">
        <v>1284</v>
      </c>
    </row>
    <row r="327" spans="1:3" x14ac:dyDescent="0.25">
      <c r="A327" s="36">
        <v>41388</v>
      </c>
      <c r="B327" s="121">
        <v>0.80296296296296299</v>
      </c>
      <c r="C327" s="26" t="s">
        <v>1280</v>
      </c>
    </row>
    <row r="328" spans="1:3" x14ac:dyDescent="0.25">
      <c r="A328" s="36">
        <v>41388</v>
      </c>
      <c r="B328" s="121">
        <v>0.80296296296296299</v>
      </c>
      <c r="C328" s="26" t="s">
        <v>1286</v>
      </c>
    </row>
    <row r="329" spans="1:3" x14ac:dyDescent="0.25">
      <c r="A329" s="36">
        <v>41388</v>
      </c>
      <c r="B329" s="121">
        <v>0.80296296296296299</v>
      </c>
      <c r="C329" s="26" t="s">
        <v>1287</v>
      </c>
    </row>
    <row r="330" spans="1:3" x14ac:dyDescent="0.25">
      <c r="A330" s="36">
        <v>41388</v>
      </c>
      <c r="B330" s="121">
        <v>0.80296296296296299</v>
      </c>
      <c r="C330" s="26" t="s">
        <v>1283</v>
      </c>
    </row>
    <row r="331" spans="1:3" x14ac:dyDescent="0.25">
      <c r="A331" s="36">
        <v>41388</v>
      </c>
      <c r="B331" s="121">
        <v>0.80296296296296299</v>
      </c>
      <c r="C331" s="26" t="s">
        <v>1288</v>
      </c>
    </row>
    <row r="332" spans="1:3" x14ac:dyDescent="0.25">
      <c r="A332" s="36">
        <v>41388</v>
      </c>
      <c r="B332" s="121">
        <v>0.80296296296296299</v>
      </c>
      <c r="C332" s="26" t="s">
        <v>1288</v>
      </c>
    </row>
    <row r="333" spans="1:3" x14ac:dyDescent="0.25">
      <c r="A333" s="36">
        <v>41388</v>
      </c>
      <c r="B333" s="121">
        <v>0.80296296296296299</v>
      </c>
      <c r="C333" s="26" t="s">
        <v>1289</v>
      </c>
    </row>
    <row r="334" spans="1:3" x14ac:dyDescent="0.25">
      <c r="A334" s="36">
        <v>41388</v>
      </c>
      <c r="B334" s="121">
        <v>0.80296296296296299</v>
      </c>
      <c r="C334" s="26" t="s">
        <v>1275</v>
      </c>
    </row>
    <row r="335" spans="1:3" x14ac:dyDescent="0.25">
      <c r="A335" s="36">
        <v>41388</v>
      </c>
      <c r="B335" s="121">
        <v>0.80296296296296299</v>
      </c>
      <c r="C335" s="26" t="s">
        <v>1290</v>
      </c>
    </row>
    <row r="336" spans="1:3" ht="30" x14ac:dyDescent="0.25">
      <c r="A336" s="36">
        <v>41388</v>
      </c>
      <c r="B336" s="121">
        <v>0.80297453703703703</v>
      </c>
      <c r="C336" s="779" t="s">
        <v>1293</v>
      </c>
    </row>
    <row r="337" spans="1:3" x14ac:dyDescent="0.25">
      <c r="A337" s="36">
        <v>41388</v>
      </c>
      <c r="B337" s="121">
        <v>0.80297453703703703</v>
      </c>
      <c r="C337" s="26" t="s">
        <v>1294</v>
      </c>
    </row>
    <row r="338" spans="1:3" x14ac:dyDescent="0.25">
      <c r="A338" s="36">
        <v>41388</v>
      </c>
      <c r="B338" s="121">
        <v>0.8055092592592592</v>
      </c>
      <c r="C338" s="26" t="s">
        <v>1295</v>
      </c>
    </row>
    <row r="339" spans="1:3" ht="30" x14ac:dyDescent="0.25">
      <c r="A339" s="36">
        <v>41388</v>
      </c>
      <c r="B339" s="121">
        <v>0.80579861111111117</v>
      </c>
      <c r="C339" s="779" t="s">
        <v>1296</v>
      </c>
    </row>
    <row r="340" spans="1:3" ht="45" x14ac:dyDescent="0.25">
      <c r="A340" s="36">
        <v>41388</v>
      </c>
      <c r="B340" s="121">
        <v>0.80677083333333333</v>
      </c>
      <c r="C340" s="779" t="s">
        <v>1297</v>
      </c>
    </row>
    <row r="341" spans="1:3" x14ac:dyDescent="0.25">
      <c r="A341" s="36">
        <v>41388</v>
      </c>
      <c r="B341" s="121">
        <v>0.80730324074074078</v>
      </c>
      <c r="C341" s="26" t="s">
        <v>1298</v>
      </c>
    </row>
    <row r="342" spans="1:3" ht="30" x14ac:dyDescent="0.25">
      <c r="A342" s="36">
        <v>41388</v>
      </c>
      <c r="B342" s="121">
        <v>0.80736111111111108</v>
      </c>
      <c r="C342" s="779" t="s">
        <v>1299</v>
      </c>
    </row>
    <row r="343" spans="1:3" ht="45" x14ac:dyDescent="0.25">
      <c r="A343" s="36">
        <v>41388</v>
      </c>
      <c r="B343" s="121">
        <v>0.80745370370370362</v>
      </c>
      <c r="C343" s="779" t="s">
        <v>1300</v>
      </c>
    </row>
    <row r="344" spans="1:3" x14ac:dyDescent="0.25">
      <c r="A344" s="36">
        <v>41388</v>
      </c>
      <c r="B344" s="121">
        <v>0.80765046296296295</v>
      </c>
      <c r="C344" s="26" t="s">
        <v>1132</v>
      </c>
    </row>
    <row r="345" spans="1:3" x14ac:dyDescent="0.25">
      <c r="A345" s="36">
        <v>41388</v>
      </c>
      <c r="B345" s="121">
        <v>0.80765046296296295</v>
      </c>
      <c r="C345" s="26" t="s">
        <v>1133</v>
      </c>
    </row>
    <row r="346" spans="1:3" x14ac:dyDescent="0.25">
      <c r="A346" s="36">
        <v>41388</v>
      </c>
      <c r="B346" s="121">
        <v>0.80765046296296295</v>
      </c>
      <c r="C346" s="26" t="s">
        <v>1134</v>
      </c>
    </row>
    <row r="347" spans="1:3" x14ac:dyDescent="0.25">
      <c r="A347" s="36">
        <v>41388</v>
      </c>
      <c r="B347" s="121">
        <v>0.80765046296296295</v>
      </c>
      <c r="C347" s="26" t="s">
        <v>1133</v>
      </c>
    </row>
    <row r="348" spans="1:3" x14ac:dyDescent="0.25">
      <c r="A348" s="36">
        <v>41388</v>
      </c>
      <c r="B348" s="121">
        <v>0.80765046296296295</v>
      </c>
      <c r="C348" s="26" t="s">
        <v>1135</v>
      </c>
    </row>
    <row r="349" spans="1:3" x14ac:dyDescent="0.25">
      <c r="A349" s="36">
        <v>41388</v>
      </c>
      <c r="B349" s="121">
        <v>0.80765046296296295</v>
      </c>
      <c r="C349" s="26" t="s">
        <v>1135</v>
      </c>
    </row>
    <row r="350" spans="1:3" x14ac:dyDescent="0.25">
      <c r="A350" s="36">
        <v>41388</v>
      </c>
      <c r="B350" s="121">
        <v>0.80766203703703709</v>
      </c>
      <c r="C350" s="26" t="s">
        <v>1136</v>
      </c>
    </row>
    <row r="351" spans="1:3" x14ac:dyDescent="0.25">
      <c r="A351" s="36">
        <v>41388</v>
      </c>
      <c r="B351" s="121">
        <v>0.80766203703703709</v>
      </c>
      <c r="C351" s="26" t="s">
        <v>1137</v>
      </c>
    </row>
    <row r="352" spans="1:3" x14ac:dyDescent="0.25">
      <c r="A352" s="36">
        <v>41388</v>
      </c>
      <c r="B352" s="121">
        <v>0.80766203703703709</v>
      </c>
      <c r="C352" s="26" t="s">
        <v>1138</v>
      </c>
    </row>
    <row r="353" spans="1:3" x14ac:dyDescent="0.25">
      <c r="A353" s="36">
        <v>41388</v>
      </c>
      <c r="B353" s="121">
        <v>0.80766203703703709</v>
      </c>
      <c r="C353" s="26" t="s">
        <v>1139</v>
      </c>
    </row>
    <row r="354" spans="1:3" x14ac:dyDescent="0.25">
      <c r="A354" s="36">
        <v>41388</v>
      </c>
      <c r="B354" s="121">
        <v>0.80766203703703709</v>
      </c>
      <c r="C354" s="26" t="s">
        <v>1140</v>
      </c>
    </row>
    <row r="355" spans="1:3" x14ac:dyDescent="0.25">
      <c r="A355" s="36">
        <v>41388</v>
      </c>
      <c r="B355" s="121">
        <v>0.80766203703703709</v>
      </c>
      <c r="C355" s="26" t="s">
        <v>1141</v>
      </c>
    </row>
    <row r="356" spans="1:3" x14ac:dyDescent="0.25">
      <c r="A356" s="36">
        <v>41388</v>
      </c>
      <c r="B356" s="121">
        <v>0.80766203703703709</v>
      </c>
      <c r="C356" s="26" t="s">
        <v>1133</v>
      </c>
    </row>
    <row r="357" spans="1:3" x14ac:dyDescent="0.25">
      <c r="A357" s="36">
        <v>41388</v>
      </c>
      <c r="B357" s="121">
        <v>0.80766203703703709</v>
      </c>
      <c r="C357" s="26" t="s">
        <v>1142</v>
      </c>
    </row>
    <row r="358" spans="1:3" x14ac:dyDescent="0.25">
      <c r="A358" s="36">
        <v>41388</v>
      </c>
      <c r="B358" s="121">
        <v>0.80766203703703709</v>
      </c>
      <c r="C358" s="26" t="s">
        <v>1142</v>
      </c>
    </row>
    <row r="359" spans="1:3" x14ac:dyDescent="0.25">
      <c r="A359" s="36">
        <v>41388</v>
      </c>
      <c r="B359" s="121">
        <v>0.80766203703703709</v>
      </c>
      <c r="C359" s="26" t="s">
        <v>1143</v>
      </c>
    </row>
    <row r="360" spans="1:3" x14ac:dyDescent="0.25">
      <c r="A360" s="36">
        <v>41388</v>
      </c>
      <c r="B360" s="121">
        <v>0.80766203703703709</v>
      </c>
      <c r="C360" s="26" t="s">
        <v>1138</v>
      </c>
    </row>
    <row r="361" spans="1:3" x14ac:dyDescent="0.25">
      <c r="A361" s="36">
        <v>41388</v>
      </c>
      <c r="B361" s="121">
        <v>0.80766203703703709</v>
      </c>
      <c r="C361" s="26" t="s">
        <v>1138</v>
      </c>
    </row>
    <row r="362" spans="1:3" x14ac:dyDescent="0.25">
      <c r="A362" s="36">
        <v>41388</v>
      </c>
      <c r="B362" s="121">
        <v>0.80766203703703709</v>
      </c>
      <c r="C362" s="26" t="s">
        <v>1144</v>
      </c>
    </row>
    <row r="363" spans="1:3" x14ac:dyDescent="0.25">
      <c r="A363" s="36">
        <v>41388</v>
      </c>
      <c r="B363" s="121">
        <v>0.80766203703703709</v>
      </c>
      <c r="C363" s="26" t="s">
        <v>1145</v>
      </c>
    </row>
    <row r="364" spans="1:3" x14ac:dyDescent="0.25">
      <c r="A364" s="36">
        <v>41388</v>
      </c>
      <c r="B364" s="121">
        <v>0.80766203703703709</v>
      </c>
      <c r="C364" s="26" t="s">
        <v>1144</v>
      </c>
    </row>
    <row r="365" spans="1:3" x14ac:dyDescent="0.25">
      <c r="A365" s="36">
        <v>41388</v>
      </c>
      <c r="B365" s="121">
        <v>0.80766203703703709</v>
      </c>
      <c r="C365" s="26" t="s">
        <v>1142</v>
      </c>
    </row>
    <row r="366" spans="1:3" x14ac:dyDescent="0.25">
      <c r="A366" s="36">
        <v>41388</v>
      </c>
      <c r="B366" s="121">
        <v>0.83750000000000002</v>
      </c>
      <c r="C366" s="26" t="s">
        <v>1301</v>
      </c>
    </row>
    <row r="367" spans="1:3" ht="30" x14ac:dyDescent="0.25">
      <c r="A367" s="36">
        <v>41388</v>
      </c>
      <c r="B367" s="121">
        <v>0.83778935185185188</v>
      </c>
      <c r="C367" s="779" t="s">
        <v>1302</v>
      </c>
    </row>
    <row r="368" spans="1:3" ht="45" x14ac:dyDescent="0.25">
      <c r="A368" s="36">
        <v>41388</v>
      </c>
      <c r="B368" s="121">
        <v>0.83880787037037041</v>
      </c>
      <c r="C368" s="779" t="s">
        <v>1303</v>
      </c>
    </row>
    <row r="369" spans="1:3" x14ac:dyDescent="0.25">
      <c r="A369" s="36">
        <v>41388</v>
      </c>
      <c r="B369" s="121">
        <v>0.85065972222222219</v>
      </c>
      <c r="C369" s="26" t="s">
        <v>1304</v>
      </c>
    </row>
    <row r="370" spans="1:3" ht="30" x14ac:dyDescent="0.25">
      <c r="A370" s="36">
        <v>41388</v>
      </c>
      <c r="B370" s="121">
        <v>0.85097222222222213</v>
      </c>
      <c r="C370" s="779" t="s">
        <v>1305</v>
      </c>
    </row>
    <row r="371" spans="1:3" ht="45" x14ac:dyDescent="0.25">
      <c r="A371" s="36">
        <v>41388</v>
      </c>
      <c r="B371" s="121">
        <v>0.85199074074074066</v>
      </c>
      <c r="C371" s="779" t="s">
        <v>1306</v>
      </c>
    </row>
    <row r="372" spans="1:3" x14ac:dyDescent="0.25">
      <c r="A372" s="36">
        <v>41388</v>
      </c>
      <c r="B372" s="121">
        <v>0.85248842592592589</v>
      </c>
      <c r="C372" s="26" t="s">
        <v>1307</v>
      </c>
    </row>
    <row r="373" spans="1:3" ht="30" x14ac:dyDescent="0.25">
      <c r="A373" s="36">
        <v>41388</v>
      </c>
      <c r="B373" s="121">
        <v>0.85255787037037034</v>
      </c>
      <c r="C373" s="779" t="s">
        <v>1308</v>
      </c>
    </row>
    <row r="374" spans="1:3" ht="45" x14ac:dyDescent="0.25">
      <c r="A374" s="36">
        <v>41388</v>
      </c>
      <c r="B374" s="121">
        <v>0.85266203703703702</v>
      </c>
      <c r="C374" s="779" t="s">
        <v>1309</v>
      </c>
    </row>
    <row r="375" spans="1:3" x14ac:dyDescent="0.25">
      <c r="A375" s="36">
        <v>41388</v>
      </c>
      <c r="B375" s="121">
        <v>0.85302083333333334</v>
      </c>
      <c r="C375" s="26" t="s">
        <v>1310</v>
      </c>
    </row>
    <row r="376" spans="1:3" x14ac:dyDescent="0.25">
      <c r="A376" s="36">
        <v>41388</v>
      </c>
      <c r="B376" s="121">
        <v>0.87656250000000002</v>
      </c>
      <c r="C376" s="26" t="s">
        <v>1311</v>
      </c>
    </row>
    <row r="377" spans="1:3" ht="30" x14ac:dyDescent="0.25">
      <c r="A377" s="36">
        <v>41388</v>
      </c>
      <c r="B377" s="121">
        <v>0.876886574074074</v>
      </c>
      <c r="C377" s="779" t="s">
        <v>1312</v>
      </c>
    </row>
    <row r="378" spans="1:3" ht="45" x14ac:dyDescent="0.25">
      <c r="A378" s="36">
        <v>41388</v>
      </c>
      <c r="B378" s="121">
        <v>0.87792824074074083</v>
      </c>
      <c r="C378" s="779" t="s">
        <v>1313</v>
      </c>
    </row>
    <row r="379" spans="1:3" x14ac:dyDescent="0.25">
      <c r="A379" s="36">
        <v>41388</v>
      </c>
      <c r="B379" s="121">
        <v>0.87848379629629625</v>
      </c>
      <c r="C379" s="26" t="s">
        <v>1314</v>
      </c>
    </row>
    <row r="380" spans="1:3" x14ac:dyDescent="0.25">
      <c r="A380" s="36">
        <v>41388</v>
      </c>
      <c r="B380" s="121">
        <v>0.89280092592592597</v>
      </c>
      <c r="C380" s="26" t="s">
        <v>1315</v>
      </c>
    </row>
    <row r="381" spans="1:3" x14ac:dyDescent="0.25">
      <c r="A381" s="36">
        <v>41388</v>
      </c>
      <c r="B381" s="121">
        <v>0.89538194444444441</v>
      </c>
      <c r="C381" s="26" t="s">
        <v>1316</v>
      </c>
    </row>
    <row r="382" spans="1:3" ht="30" x14ac:dyDescent="0.25">
      <c r="A382" s="36">
        <v>41388</v>
      </c>
      <c r="B382" s="121">
        <v>0.89565972222222223</v>
      </c>
      <c r="C382" s="779" t="s">
        <v>1317</v>
      </c>
    </row>
    <row r="383" spans="1:3" ht="45" x14ac:dyDescent="0.25">
      <c r="A383" s="36">
        <v>41388</v>
      </c>
      <c r="B383" s="121">
        <v>0.89667824074074076</v>
      </c>
      <c r="C383" s="779" t="s">
        <v>1318</v>
      </c>
    </row>
    <row r="384" spans="1:3" x14ac:dyDescent="0.25">
      <c r="A384" s="36">
        <v>41389</v>
      </c>
      <c r="B384" s="121">
        <v>0.65912037037037041</v>
      </c>
      <c r="C384" s="26" t="s">
        <v>1105</v>
      </c>
    </row>
    <row r="385" spans="1:3" ht="60" x14ac:dyDescent="0.25">
      <c r="A385" s="36">
        <v>41389</v>
      </c>
      <c r="B385" s="121">
        <v>0.65912037037037041</v>
      </c>
      <c r="C385" s="779" t="s">
        <v>1104</v>
      </c>
    </row>
    <row r="386" spans="1:3" x14ac:dyDescent="0.25">
      <c r="A386" s="36">
        <v>41389</v>
      </c>
      <c r="B386" s="121">
        <v>0.65959490740740734</v>
      </c>
      <c r="C386" s="26" t="s">
        <v>1105</v>
      </c>
    </row>
    <row r="387" spans="1:3" x14ac:dyDescent="0.25">
      <c r="A387" s="36">
        <v>41389</v>
      </c>
      <c r="B387" s="121">
        <v>0.65960648148148149</v>
      </c>
      <c r="C387" s="26" t="s">
        <v>1111</v>
      </c>
    </row>
    <row r="388" spans="1:3" ht="45" x14ac:dyDescent="0.25">
      <c r="A388" s="36">
        <v>41389</v>
      </c>
      <c r="B388" s="121">
        <v>0.65984953703703708</v>
      </c>
      <c r="C388" s="779" t="s">
        <v>1319</v>
      </c>
    </row>
    <row r="389" spans="1:3" x14ac:dyDescent="0.25">
      <c r="A389" s="36">
        <v>41390</v>
      </c>
      <c r="B389" s="121">
        <v>0.46836805555555555</v>
      </c>
      <c r="C389" s="26" t="s">
        <v>1321</v>
      </c>
    </row>
    <row r="390" spans="1:3" x14ac:dyDescent="0.25">
      <c r="A390" s="36">
        <v>41390</v>
      </c>
      <c r="B390" s="121">
        <v>0.81737268518518524</v>
      </c>
      <c r="C390" s="26" t="s">
        <v>1337</v>
      </c>
    </row>
    <row r="391" spans="1:3" x14ac:dyDescent="0.25">
      <c r="A391" s="36">
        <v>41390</v>
      </c>
      <c r="B391" s="121">
        <v>0.82027777777777777</v>
      </c>
      <c r="C391" s="26" t="s">
        <v>1337</v>
      </c>
    </row>
    <row r="392" spans="1:3" x14ac:dyDescent="0.25">
      <c r="A392" s="36">
        <v>41390</v>
      </c>
      <c r="B392" s="121">
        <v>0.82157407407407401</v>
      </c>
      <c r="C392" s="26" t="s">
        <v>1337</v>
      </c>
    </row>
    <row r="393" spans="1:3" x14ac:dyDescent="0.25">
      <c r="A393" s="36">
        <v>41390</v>
      </c>
      <c r="B393" s="121">
        <v>0.83111111111111102</v>
      </c>
      <c r="C393" s="26" t="s">
        <v>1338</v>
      </c>
    </row>
    <row r="394" spans="1:3" x14ac:dyDescent="0.25">
      <c r="A394" s="36">
        <v>41390</v>
      </c>
      <c r="B394" s="121">
        <v>0.83306712962962959</v>
      </c>
      <c r="C394" s="26" t="s">
        <v>1338</v>
      </c>
    </row>
    <row r="395" spans="1:3" x14ac:dyDescent="0.25">
      <c r="A395" s="36">
        <v>41391</v>
      </c>
      <c r="B395" s="121">
        <v>0.20136574074074076</v>
      </c>
      <c r="C395" s="26" t="s">
        <v>1340</v>
      </c>
    </row>
    <row r="396" spans="1:3" ht="45" x14ac:dyDescent="0.25">
      <c r="A396" s="36">
        <v>41391</v>
      </c>
      <c r="B396" s="121">
        <v>0.20150462962962964</v>
      </c>
      <c r="C396" s="779" t="s">
        <v>1341</v>
      </c>
    </row>
    <row r="397" spans="1:3" x14ac:dyDescent="0.25">
      <c r="A397" s="36">
        <v>41391</v>
      </c>
      <c r="B397" s="121">
        <v>0.23342592592592593</v>
      </c>
      <c r="C397" s="26" t="s">
        <v>1342</v>
      </c>
    </row>
    <row r="398" spans="1:3" ht="60" x14ac:dyDescent="0.25">
      <c r="A398" s="36">
        <v>41391</v>
      </c>
      <c r="B398" s="121">
        <v>0.23350694444444445</v>
      </c>
      <c r="C398" s="779" t="s">
        <v>1343</v>
      </c>
    </row>
    <row r="399" spans="1:3" x14ac:dyDescent="0.25">
      <c r="A399" s="36">
        <v>41391</v>
      </c>
      <c r="B399" s="121">
        <v>0.2341087962962963</v>
      </c>
      <c r="C399" s="26" t="s">
        <v>1344</v>
      </c>
    </row>
    <row r="400" spans="1:3" ht="60" x14ac:dyDescent="0.25">
      <c r="A400" s="36">
        <v>41391</v>
      </c>
      <c r="B400" s="121">
        <v>0.23418981481481482</v>
      </c>
      <c r="C400" s="779" t="s">
        <v>1343</v>
      </c>
    </row>
    <row r="401" spans="1:3" x14ac:dyDescent="0.25">
      <c r="A401" s="36">
        <v>41391</v>
      </c>
      <c r="B401" s="121">
        <v>0.23476851851851852</v>
      </c>
      <c r="C401" s="26" t="s">
        <v>1307</v>
      </c>
    </row>
    <row r="402" spans="1:3" ht="30" x14ac:dyDescent="0.25">
      <c r="A402" s="36">
        <v>41391</v>
      </c>
      <c r="B402" s="121">
        <v>0.2348726851851852</v>
      </c>
      <c r="C402" s="779" t="s">
        <v>1345</v>
      </c>
    </row>
    <row r="403" spans="1:3" ht="45" x14ac:dyDescent="0.25">
      <c r="A403" s="36">
        <v>41391</v>
      </c>
      <c r="B403" s="121">
        <v>0.23489583333333333</v>
      </c>
      <c r="C403" s="779" t="s">
        <v>1346</v>
      </c>
    </row>
    <row r="404" spans="1:3" x14ac:dyDescent="0.25">
      <c r="A404" s="36">
        <v>41391</v>
      </c>
      <c r="B404" s="121">
        <v>0.23587962962962963</v>
      </c>
      <c r="C404" s="26" t="s">
        <v>1347</v>
      </c>
    </row>
    <row r="405" spans="1:3" ht="45" x14ac:dyDescent="0.25">
      <c r="A405" s="36">
        <v>41391</v>
      </c>
      <c r="B405" s="121">
        <v>0.23601851851851852</v>
      </c>
      <c r="C405" s="779" t="s">
        <v>1348</v>
      </c>
    </row>
    <row r="406" spans="1:3" x14ac:dyDescent="0.25">
      <c r="A406" s="36">
        <v>41391</v>
      </c>
      <c r="B406" s="121">
        <v>0.23644675925925926</v>
      </c>
      <c r="C406" s="26" t="s">
        <v>1344</v>
      </c>
    </row>
    <row r="407" spans="1:3" ht="60" x14ac:dyDescent="0.25">
      <c r="A407" s="36">
        <v>41391</v>
      </c>
      <c r="B407" s="121">
        <v>0.23651620370370371</v>
      </c>
      <c r="C407" s="779" t="s">
        <v>1343</v>
      </c>
    </row>
    <row r="408" spans="1:3" x14ac:dyDescent="0.25">
      <c r="A408" s="36">
        <v>41391</v>
      </c>
      <c r="B408" s="121">
        <v>0.23788194444444444</v>
      </c>
      <c r="C408" s="26" t="s">
        <v>1349</v>
      </c>
    </row>
    <row r="409" spans="1:3" ht="30" x14ac:dyDescent="0.25">
      <c r="A409" s="36">
        <v>41391</v>
      </c>
      <c r="B409" s="121">
        <v>0.23821759259259259</v>
      </c>
      <c r="C409" s="779" t="s">
        <v>1350</v>
      </c>
    </row>
    <row r="410" spans="1:3" ht="45" x14ac:dyDescent="0.25">
      <c r="A410" s="36">
        <v>41391</v>
      </c>
      <c r="B410" s="121">
        <v>0.24011574074074074</v>
      </c>
      <c r="C410" s="779" t="s">
        <v>1351</v>
      </c>
    </row>
    <row r="411" spans="1:3" x14ac:dyDescent="0.25">
      <c r="A411" s="36">
        <v>41391</v>
      </c>
      <c r="B411" s="121">
        <v>0.24173611111111112</v>
      </c>
      <c r="C411" s="26" t="s">
        <v>1352</v>
      </c>
    </row>
    <row r="412" spans="1:3" x14ac:dyDescent="0.25">
      <c r="A412" s="36">
        <v>41391</v>
      </c>
      <c r="B412" s="121">
        <v>0.24261574074074074</v>
      </c>
      <c r="C412" s="26" t="s">
        <v>1353</v>
      </c>
    </row>
    <row r="413" spans="1:3" ht="60" x14ac:dyDescent="0.25">
      <c r="A413" s="36">
        <v>41391</v>
      </c>
      <c r="B413" s="121">
        <v>0.25010416666666668</v>
      </c>
      <c r="C413" s="779" t="s">
        <v>1354</v>
      </c>
    </row>
    <row r="414" spans="1:3" ht="45" x14ac:dyDescent="0.25">
      <c r="A414" s="36">
        <v>41391</v>
      </c>
      <c r="B414" s="121">
        <v>0.2502199074074074</v>
      </c>
      <c r="C414" s="779" t="s">
        <v>1355</v>
      </c>
    </row>
    <row r="415" spans="1:3" ht="60" x14ac:dyDescent="0.25">
      <c r="A415" s="36">
        <v>41391</v>
      </c>
      <c r="B415" s="121">
        <v>0.2502314814814815</v>
      </c>
      <c r="C415" s="779" t="s">
        <v>1356</v>
      </c>
    </row>
    <row r="416" spans="1:3" x14ac:dyDescent="0.25">
      <c r="A416" s="36">
        <v>41391</v>
      </c>
      <c r="B416" s="121">
        <v>0.71730324074074081</v>
      </c>
      <c r="C416" s="26" t="s">
        <v>1111</v>
      </c>
    </row>
    <row r="417" spans="1:3" ht="60" x14ac:dyDescent="0.25">
      <c r="A417" s="36">
        <v>41391</v>
      </c>
      <c r="B417" s="121">
        <v>0.71795138888888888</v>
      </c>
      <c r="C417" s="779" t="s">
        <v>1357</v>
      </c>
    </row>
    <row r="418" spans="1:3" x14ac:dyDescent="0.25">
      <c r="A418" s="36">
        <v>41391</v>
      </c>
      <c r="B418" s="121">
        <v>0.71866898148148151</v>
      </c>
      <c r="C418" s="26" t="s">
        <v>1358</v>
      </c>
    </row>
    <row r="419" spans="1:3" x14ac:dyDescent="0.25">
      <c r="A419" s="36">
        <v>41392</v>
      </c>
      <c r="B419" s="121">
        <v>5.1423611111111107E-2</v>
      </c>
      <c r="C419" s="26" t="s">
        <v>1359</v>
      </c>
    </row>
    <row r="420" spans="1:3" x14ac:dyDescent="0.25">
      <c r="A420" s="36">
        <v>41392</v>
      </c>
      <c r="B420" s="121">
        <v>5.3553240740740742E-2</v>
      </c>
      <c r="C420" s="26" t="s">
        <v>1359</v>
      </c>
    </row>
    <row r="421" spans="1:3" x14ac:dyDescent="0.25">
      <c r="A421" s="36">
        <v>41392</v>
      </c>
      <c r="B421" s="121">
        <v>5.67824074074074E-2</v>
      </c>
      <c r="C421" s="26" t="s">
        <v>1359</v>
      </c>
    </row>
    <row r="422" spans="1:3" x14ac:dyDescent="0.25">
      <c r="A422" s="36">
        <v>41392</v>
      </c>
      <c r="B422" s="121">
        <v>8.7268518518518523E-2</v>
      </c>
      <c r="C422" s="26" t="s">
        <v>1359</v>
      </c>
    </row>
    <row r="423" spans="1:3" x14ac:dyDescent="0.25">
      <c r="A423" s="36">
        <v>41392</v>
      </c>
      <c r="B423" s="121">
        <v>0.10905092592592593</v>
      </c>
      <c r="C423" s="26" t="s">
        <v>1359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6"/>
  <sheetViews>
    <sheetView topLeftCell="A139" zoomScale="80" zoomScaleNormal="80" workbookViewId="0">
      <selection activeCell="M164" sqref="M164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11.8554687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684</v>
      </c>
    </row>
    <row r="3" spans="1:38" s="314" customFormat="1" x14ac:dyDescent="0.25"/>
    <row r="4" spans="1:38" s="314" customFormat="1" ht="15.75" thickBot="1" x14ac:dyDescent="0.3">
      <c r="A4" s="314" t="s">
        <v>763</v>
      </c>
    </row>
    <row r="5" spans="1:38" s="314" customFormat="1" ht="23.25" thickBot="1" x14ac:dyDescent="0.3">
      <c r="A5" s="253" t="s">
        <v>770</v>
      </c>
      <c r="B5" s="316" t="s">
        <v>685</v>
      </c>
      <c r="C5" s="317" t="s">
        <v>558</v>
      </c>
      <c r="D5" s="317" t="s">
        <v>686</v>
      </c>
      <c r="E5" s="317" t="s">
        <v>569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687</v>
      </c>
      <c r="L5" s="322" t="s">
        <v>688</v>
      </c>
      <c r="M5" s="322" t="s">
        <v>689</v>
      </c>
      <c r="N5" s="323" t="s">
        <v>690</v>
      </c>
      <c r="O5" s="323" t="s">
        <v>691</v>
      </c>
      <c r="P5" s="323" t="s">
        <v>692</v>
      </c>
      <c r="Q5" s="323" t="s">
        <v>693</v>
      </c>
      <c r="R5" s="323" t="s">
        <v>694</v>
      </c>
      <c r="S5" s="322" t="s">
        <v>0</v>
      </c>
      <c r="T5" s="321" t="s">
        <v>2</v>
      </c>
      <c r="U5" s="321" t="s">
        <v>695</v>
      </c>
      <c r="V5" s="321" t="s">
        <v>696</v>
      </c>
      <c r="W5" s="321" t="s">
        <v>1</v>
      </c>
      <c r="X5" s="321" t="s">
        <v>697</v>
      </c>
      <c r="Y5" s="321" t="s">
        <v>698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3" t="s">
        <v>57</v>
      </c>
      <c r="AE5" s="719" t="s">
        <v>975</v>
      </c>
      <c r="AF5" s="718" t="s">
        <v>354</v>
      </c>
      <c r="AG5" s="738" t="s">
        <v>1023</v>
      </c>
      <c r="AH5" s="738" t="s">
        <v>1024</v>
      </c>
      <c r="AI5" s="738" t="s">
        <v>1020</v>
      </c>
      <c r="AJ5" s="738" t="s">
        <v>934</v>
      </c>
      <c r="AK5" s="718" t="s">
        <v>117</v>
      </c>
      <c r="AL5" s="718" t="s">
        <v>206</v>
      </c>
    </row>
    <row r="6" spans="1:38" s="314" customFormat="1" x14ac:dyDescent="0.25">
      <c r="A6" s="254" t="s">
        <v>771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4" t="s">
        <v>851</v>
      </c>
      <c r="AF6" s="694" t="s">
        <v>851</v>
      </c>
      <c r="AG6" s="694" t="s">
        <v>851</v>
      </c>
      <c r="AH6" s="694" t="s">
        <v>851</v>
      </c>
      <c r="AI6" s="694" t="s">
        <v>851</v>
      </c>
      <c r="AJ6" s="694" t="s">
        <v>851</v>
      </c>
      <c r="AK6" s="694" t="s">
        <v>851</v>
      </c>
      <c r="AL6" s="694" t="s">
        <v>851</v>
      </c>
    </row>
    <row r="7" spans="1:38" s="314" customFormat="1" x14ac:dyDescent="0.25">
      <c r="A7" s="253" t="s">
        <v>772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988</v>
      </c>
      <c r="AL7" s="327" t="s">
        <v>988</v>
      </c>
    </row>
    <row r="8" spans="1:38" s="314" customFormat="1" x14ac:dyDescent="0.25">
      <c r="A8" s="253" t="s">
        <v>773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5" customFormat="1" ht="38.25" x14ac:dyDescent="0.25">
      <c r="A9" s="253" t="s">
        <v>774</v>
      </c>
      <c r="B9" s="348"/>
      <c r="C9" s="348"/>
      <c r="D9" s="348"/>
      <c r="E9" s="348"/>
      <c r="G9" s="348"/>
      <c r="H9" s="348"/>
      <c r="K9" s="348"/>
      <c r="L9" s="726"/>
      <c r="M9" s="726"/>
      <c r="N9" s="726"/>
      <c r="O9" s="726"/>
      <c r="P9" s="726"/>
      <c r="Q9" s="726"/>
      <c r="R9" s="726"/>
      <c r="S9" s="726"/>
      <c r="T9" s="726"/>
      <c r="U9" s="727"/>
      <c r="V9" s="726"/>
      <c r="W9" s="726"/>
      <c r="X9" s="726"/>
      <c r="Y9" s="726"/>
      <c r="Z9" s="726"/>
      <c r="AA9" s="726"/>
      <c r="AE9" s="348" t="s">
        <v>976</v>
      </c>
      <c r="AF9" s="728" t="s">
        <v>891</v>
      </c>
      <c r="AG9" s="739" t="s">
        <v>1026</v>
      </c>
      <c r="AH9" s="739" t="s">
        <v>1028</v>
      </c>
      <c r="AI9" s="739" t="s">
        <v>1029</v>
      </c>
      <c r="AJ9" s="739" t="s">
        <v>1030</v>
      </c>
      <c r="AK9" s="729"/>
      <c r="AL9" s="729" t="s">
        <v>1013</v>
      </c>
    </row>
    <row r="10" spans="1:38" s="314" customFormat="1" x14ac:dyDescent="0.25">
      <c r="A10" s="253" t="s">
        <v>775</v>
      </c>
      <c r="B10" s="471" t="s">
        <v>766</v>
      </c>
      <c r="C10" s="471"/>
      <c r="D10" s="471" t="s">
        <v>801</v>
      </c>
      <c r="E10" s="471" t="s">
        <v>802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1009</v>
      </c>
      <c r="AL10" s="471" t="s">
        <v>1009</v>
      </c>
    </row>
    <row r="11" spans="1:38" s="314" customFormat="1" x14ac:dyDescent="0.25">
      <c r="Z11" s="329"/>
    </row>
    <row r="12" spans="1:38" s="314" customFormat="1" x14ac:dyDescent="0.25">
      <c r="A12" s="314" t="s">
        <v>1059</v>
      </c>
      <c r="Z12" s="329"/>
    </row>
    <row r="13" spans="1:38" s="314" customFormat="1" ht="15.75" thickBot="1" x14ac:dyDescent="0.3">
      <c r="B13" s="314" t="s">
        <v>699</v>
      </c>
      <c r="C13" s="314" t="s">
        <v>700</v>
      </c>
      <c r="D13" s="314" t="s">
        <v>700</v>
      </c>
      <c r="E13" s="314" t="s">
        <v>700</v>
      </c>
      <c r="F13" s="314" t="s">
        <v>700</v>
      </c>
      <c r="H13" s="314" t="s">
        <v>700</v>
      </c>
      <c r="I13" s="314" t="s">
        <v>700</v>
      </c>
      <c r="J13" s="314" t="s">
        <v>700</v>
      </c>
      <c r="K13" s="314" t="s">
        <v>700</v>
      </c>
      <c r="R13" s="330" t="s">
        <v>699</v>
      </c>
    </row>
    <row r="14" spans="1:38" s="770" customFormat="1" ht="15.75" thickBot="1" x14ac:dyDescent="0.3">
      <c r="F14" s="771"/>
      <c r="G14" s="772"/>
      <c r="H14" s="771"/>
      <c r="I14" s="333" t="s">
        <v>701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3"/>
      <c r="V14" s="774" t="s">
        <v>1054</v>
      </c>
      <c r="W14" s="769"/>
      <c r="X14" s="769"/>
      <c r="Y14" s="775">
        <f>1 - COUNTIF(A$3:A12,"")/COUNTA(A$3:A12)</f>
        <v>0.75</v>
      </c>
      <c r="Z14" s="774" t="s">
        <v>1058</v>
      </c>
      <c r="AA14" s="331">
        <f>R14-SUMIF(B$1:B12,"1",R$1:R12)</f>
        <v>0</v>
      </c>
      <c r="AB14" s="776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764</v>
      </c>
    </row>
    <row r="17" spans="1:27" s="314" customFormat="1" ht="15.75" thickBot="1" x14ac:dyDescent="0.3">
      <c r="B17" s="314" t="s">
        <v>946</v>
      </c>
    </row>
    <row r="18" spans="1:27" s="348" customFormat="1" ht="60.75" thickBot="1" x14ac:dyDescent="0.3">
      <c r="A18" s="253" t="s">
        <v>770</v>
      </c>
      <c r="B18" s="337" t="s">
        <v>702</v>
      </c>
      <c r="C18" s="338" t="s">
        <v>703</v>
      </c>
      <c r="D18" s="338" t="s">
        <v>704</v>
      </c>
      <c r="E18" s="339" t="s">
        <v>705</v>
      </c>
      <c r="F18" s="340" t="s">
        <v>706</v>
      </c>
      <c r="G18" s="341" t="s">
        <v>707</v>
      </c>
      <c r="H18" s="342" t="s">
        <v>708</v>
      </c>
      <c r="I18" s="343"/>
      <c r="J18" s="344"/>
      <c r="K18" s="345" t="s">
        <v>584</v>
      </c>
      <c r="L18" s="345"/>
      <c r="M18" s="346" t="s">
        <v>585</v>
      </c>
      <c r="N18" s="344" t="s">
        <v>695</v>
      </c>
      <c r="O18" s="344" t="s">
        <v>1</v>
      </c>
      <c r="P18" s="344" t="s">
        <v>58</v>
      </c>
      <c r="Q18" s="344" t="s">
        <v>709</v>
      </c>
      <c r="R18" s="344" t="s">
        <v>710</v>
      </c>
      <c r="S18" s="344" t="s">
        <v>711</v>
      </c>
      <c r="T18" s="345" t="s">
        <v>712</v>
      </c>
      <c r="U18" s="347" t="s">
        <v>713</v>
      </c>
      <c r="V18" s="347" t="s">
        <v>714</v>
      </c>
      <c r="W18" s="347" t="s">
        <v>715</v>
      </c>
      <c r="X18" s="344" t="s">
        <v>716</v>
      </c>
      <c r="Y18" s="344" t="s">
        <v>717</v>
      </c>
      <c r="Z18" s="344" t="s">
        <v>57</v>
      </c>
      <c r="AA18" s="344" t="s">
        <v>718</v>
      </c>
    </row>
    <row r="19" spans="1:27" s="314" customFormat="1" ht="18" customHeight="1" x14ac:dyDescent="0.25">
      <c r="A19" s="254" t="s">
        <v>771</v>
      </c>
      <c r="B19" s="349" t="s">
        <v>70</v>
      </c>
      <c r="C19" s="350" t="s">
        <v>729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60"/>
      <c r="I19" s="659" t="str">
        <f>IF(S19="",TRIM(K19),TRIM(MID(S19,9,55))&amp;"/"&amp;TRIM(K19))</f>
        <v>2009-1-065</v>
      </c>
      <c r="J19" s="355"/>
      <c r="K19" s="356" t="s">
        <v>719</v>
      </c>
      <c r="L19" s="356"/>
      <c r="M19" s="357">
        <v>40058</v>
      </c>
      <c r="N19" s="355" t="s">
        <v>11</v>
      </c>
      <c r="O19" s="355" t="s">
        <v>80</v>
      </c>
      <c r="P19" s="355" t="s">
        <v>720</v>
      </c>
      <c r="Q19" s="355"/>
      <c r="R19" s="355" t="s">
        <v>721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722</v>
      </c>
      <c r="AA19" s="355" t="s">
        <v>723</v>
      </c>
    </row>
    <row r="20" spans="1:27" s="314" customFormat="1" x14ac:dyDescent="0.25">
      <c r="A20" s="253" t="s">
        <v>772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773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774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775</v>
      </c>
      <c r="B23" s="327" t="s">
        <v>766</v>
      </c>
      <c r="C23" s="327" t="s">
        <v>778</v>
      </c>
      <c r="D23" s="314" t="s">
        <v>776</v>
      </c>
      <c r="E23" s="327"/>
      <c r="F23" s="328"/>
      <c r="G23" s="327"/>
      <c r="H23" s="327" t="s">
        <v>777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765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724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701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725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726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727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728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729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730</v>
      </c>
    </row>
    <row r="35" spans="1:26" s="314" customFormat="1" ht="17.25" x14ac:dyDescent="0.4">
      <c r="A35" s="253" t="s">
        <v>770</v>
      </c>
      <c r="B35" s="401" t="s">
        <v>685</v>
      </c>
      <c r="C35" s="402"/>
    </row>
    <row r="36" spans="1:26" s="314" customFormat="1" ht="17.25" x14ac:dyDescent="0.4">
      <c r="A36" s="254" t="s">
        <v>771</v>
      </c>
      <c r="B36" s="403"/>
      <c r="C36" s="402"/>
    </row>
    <row r="37" spans="1:26" s="314" customFormat="1" x14ac:dyDescent="0.25">
      <c r="A37" s="253" t="s">
        <v>772</v>
      </c>
      <c r="B37" s="327">
        <v>0.5</v>
      </c>
      <c r="C37" s="327"/>
    </row>
    <row r="38" spans="1:26" s="314" customFormat="1" x14ac:dyDescent="0.25">
      <c r="A38" s="253" t="s">
        <v>773</v>
      </c>
      <c r="B38" s="327">
        <v>3</v>
      </c>
      <c r="C38" s="327"/>
    </row>
    <row r="39" spans="1:26" s="314" customFormat="1" x14ac:dyDescent="0.25">
      <c r="A39" s="253" t="s">
        <v>774</v>
      </c>
      <c r="B39" s="327"/>
      <c r="C39" s="327"/>
    </row>
    <row r="40" spans="1:26" s="314" customFormat="1" x14ac:dyDescent="0.25">
      <c r="A40" s="253" t="s">
        <v>775</v>
      </c>
      <c r="B40" s="327" t="s">
        <v>766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746</v>
      </c>
    </row>
    <row r="44" spans="1:26" s="407" customFormat="1" x14ac:dyDescent="0.25"/>
    <row r="45" spans="1:26" s="407" customFormat="1" ht="15.75" thickBot="1" x14ac:dyDescent="0.3">
      <c r="A45" s="407" t="s">
        <v>747</v>
      </c>
    </row>
    <row r="46" spans="1:26" s="407" customFormat="1" ht="17.25" x14ac:dyDescent="0.4">
      <c r="A46" s="828" t="s">
        <v>551</v>
      </c>
      <c r="B46" s="253" t="s">
        <v>770</v>
      </c>
      <c r="C46" s="402" t="s">
        <v>748</v>
      </c>
      <c r="D46" s="409" t="s">
        <v>749</v>
      </c>
      <c r="G46" s="407" t="s">
        <v>750</v>
      </c>
    </row>
    <row r="47" spans="1:26" s="407" customFormat="1" x14ac:dyDescent="0.25">
      <c r="A47" s="829"/>
      <c r="B47" s="254" t="s">
        <v>771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751</v>
      </c>
    </row>
    <row r="48" spans="1:26" s="407" customFormat="1" x14ac:dyDescent="0.25">
      <c r="A48" s="829"/>
      <c r="B48" s="253" t="s">
        <v>772</v>
      </c>
      <c r="C48" s="412">
        <v>8</v>
      </c>
      <c r="D48" s="412">
        <v>1</v>
      </c>
      <c r="G48" s="407" t="s">
        <v>752</v>
      </c>
    </row>
    <row r="49" spans="1:7" s="407" customFormat="1" x14ac:dyDescent="0.25">
      <c r="A49" s="829"/>
      <c r="B49" s="253" t="s">
        <v>773</v>
      </c>
      <c r="C49" s="412">
        <v>2</v>
      </c>
      <c r="D49" s="412"/>
    </row>
    <row r="50" spans="1:7" s="407" customFormat="1" x14ac:dyDescent="0.25">
      <c r="A50" s="829"/>
      <c r="B50" s="253" t="s">
        <v>774</v>
      </c>
      <c r="C50" s="412"/>
      <c r="D50" s="412"/>
    </row>
    <row r="51" spans="1:7" s="407" customFormat="1" ht="15.75" thickBot="1" x14ac:dyDescent="0.3">
      <c r="A51" s="830"/>
      <c r="B51" s="253" t="s">
        <v>775</v>
      </c>
      <c r="C51" s="412" t="s">
        <v>1052</v>
      </c>
      <c r="D51" s="412"/>
      <c r="G51" s="314" t="s">
        <v>1053</v>
      </c>
    </row>
    <row r="52" spans="1:7" s="407" customFormat="1" x14ac:dyDescent="0.25"/>
    <row r="53" spans="1:7" s="407" customFormat="1" ht="15.75" thickBot="1" x14ac:dyDescent="0.3">
      <c r="A53" s="407" t="s">
        <v>753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754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601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755</v>
      </c>
    </row>
    <row r="58" spans="1:7" s="407" customFormat="1" ht="15.75" thickBot="1" x14ac:dyDescent="0.3">
      <c r="B58" s="407" t="s">
        <v>948</v>
      </c>
    </row>
    <row r="59" spans="1:7" s="407" customFormat="1" ht="17.25" x14ac:dyDescent="0.4">
      <c r="A59" s="828" t="s">
        <v>556</v>
      </c>
      <c r="B59" s="253" t="s">
        <v>770</v>
      </c>
      <c r="C59" s="402" t="s">
        <v>748</v>
      </c>
      <c r="D59" s="402" t="s">
        <v>756</v>
      </c>
      <c r="G59" s="407" t="s">
        <v>750</v>
      </c>
    </row>
    <row r="60" spans="1:7" s="407" customFormat="1" x14ac:dyDescent="0.25">
      <c r="A60" s="829"/>
      <c r="B60" s="254" t="s">
        <v>771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757</v>
      </c>
    </row>
    <row r="61" spans="1:7" s="407" customFormat="1" x14ac:dyDescent="0.25">
      <c r="A61" s="829"/>
      <c r="B61" s="253" t="s">
        <v>772</v>
      </c>
      <c r="C61" s="407">
        <v>10</v>
      </c>
      <c r="D61" s="412">
        <v>1</v>
      </c>
      <c r="F61" s="662" t="str">
        <f>"/=""Не состоялся"":"&amp;F62</f>
        <v>/="Не состоялся":/="Договор расторгнут"</v>
      </c>
      <c r="G61" s="407" t="s">
        <v>758</v>
      </c>
    </row>
    <row r="62" spans="1:7" s="314" customFormat="1" x14ac:dyDescent="0.25">
      <c r="A62" s="829"/>
      <c r="B62" s="253" t="s">
        <v>773</v>
      </c>
      <c r="C62" s="327">
        <v>2</v>
      </c>
      <c r="D62" s="327"/>
      <c r="F62" s="661" t="s">
        <v>950</v>
      </c>
    </row>
    <row r="63" spans="1:7" s="314" customFormat="1" x14ac:dyDescent="0.25">
      <c r="A63" s="829"/>
      <c r="B63" s="253" t="s">
        <v>774</v>
      </c>
      <c r="C63" s="327"/>
      <c r="D63" s="327"/>
    </row>
    <row r="64" spans="1:7" s="314" customFormat="1" ht="15.75" thickBot="1" x14ac:dyDescent="0.3">
      <c r="A64" s="830"/>
      <c r="B64" s="253" t="s">
        <v>775</v>
      </c>
      <c r="C64" s="327" t="s">
        <v>947</v>
      </c>
      <c r="D64" s="327"/>
      <c r="F64" s="412" t="str">
        <f>"10/="""":"&amp;F61</f>
        <v>10/="":/="Не состоялся":/="Договор расторгнут"</v>
      </c>
      <c r="G64" s="314" t="s">
        <v>951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759</v>
      </c>
      <c r="E66" s="314"/>
      <c r="H66" s="314"/>
    </row>
    <row r="67" spans="1:37" s="407" customFormat="1" ht="15.75" thickBot="1" x14ac:dyDescent="0.3">
      <c r="B67" s="407" t="s">
        <v>949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731</v>
      </c>
    </row>
    <row r="71" spans="1:37" s="407" customFormat="1" x14ac:dyDescent="0.25">
      <c r="A71" s="420" t="s">
        <v>732</v>
      </c>
      <c r="B71" s="420" t="s">
        <v>733</v>
      </c>
      <c r="C71" s="420" t="s">
        <v>734</v>
      </c>
      <c r="D71" s="420" t="s">
        <v>735</v>
      </c>
      <c r="E71" s="420" t="s">
        <v>736</v>
      </c>
      <c r="F71" s="420" t="s">
        <v>737</v>
      </c>
      <c r="G71" s="420" t="s">
        <v>738</v>
      </c>
      <c r="H71" s="420" t="s">
        <v>739</v>
      </c>
      <c r="I71" s="420" t="s">
        <v>740</v>
      </c>
    </row>
    <row r="72" spans="1:37" s="407" customFormat="1" x14ac:dyDescent="0.25">
      <c r="A72" s="407" t="s">
        <v>741</v>
      </c>
      <c r="B72" s="407" t="s">
        <v>742</v>
      </c>
      <c r="D72" s="412" t="s">
        <v>558</v>
      </c>
      <c r="E72" s="412">
        <v>1</v>
      </c>
      <c r="F72" s="407" t="s">
        <v>743</v>
      </c>
      <c r="G72" s="407" t="s">
        <v>744</v>
      </c>
      <c r="H72" s="407" t="s">
        <v>551</v>
      </c>
      <c r="I72" s="407" t="s">
        <v>745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826</v>
      </c>
      <c r="I74" s="407">
        <f>C80</f>
        <v>1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770</v>
      </c>
      <c r="B77" s="539" t="s">
        <v>854</v>
      </c>
      <c r="C77" s="539" t="s">
        <v>780</v>
      </c>
      <c r="D77" s="560" t="s">
        <v>827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804</v>
      </c>
      <c r="J77" s="539" t="s">
        <v>62</v>
      </c>
      <c r="L77" s="536" t="s">
        <v>834</v>
      </c>
      <c r="M77" s="537" t="s">
        <v>829</v>
      </c>
      <c r="N77" s="538"/>
      <c r="O77" s="526" t="s">
        <v>676</v>
      </c>
      <c r="P77" s="782" t="s">
        <v>1063</v>
      </c>
      <c r="Q77" s="526" t="s">
        <v>677</v>
      </c>
      <c r="R77" s="526" t="s">
        <v>65</v>
      </c>
      <c r="S77" s="526" t="s">
        <v>1</v>
      </c>
      <c r="T77" s="527" t="s">
        <v>678</v>
      </c>
      <c r="U77" s="528" t="s">
        <v>830</v>
      </c>
      <c r="V77" s="529" t="s">
        <v>679</v>
      </c>
      <c r="W77" s="526" t="s">
        <v>680</v>
      </c>
      <c r="X77" s="530" t="s">
        <v>673</v>
      </c>
      <c r="Y77" s="531" t="s">
        <v>673</v>
      </c>
      <c r="Z77" s="531" t="s">
        <v>673</v>
      </c>
      <c r="AA77" s="531" t="s">
        <v>673</v>
      </c>
      <c r="AB77" s="526" t="s">
        <v>673</v>
      </c>
      <c r="AC77" s="526" t="s">
        <v>831</v>
      </c>
      <c r="AD77" s="526" t="s">
        <v>673</v>
      </c>
      <c r="AE77" s="526" t="s">
        <v>673</v>
      </c>
      <c r="AF77" s="532" t="s">
        <v>832</v>
      </c>
      <c r="AG77" s="533" t="s">
        <v>673</v>
      </c>
      <c r="AH77" s="526" t="s">
        <v>673</v>
      </c>
      <c r="AI77" s="526" t="s">
        <v>673</v>
      </c>
      <c r="AJ77" s="534" t="s">
        <v>833</v>
      </c>
      <c r="AK77" s="535"/>
    </row>
    <row r="78" spans="1:37" s="314" customFormat="1" x14ac:dyDescent="0.25">
      <c r="A78" s="254" t="s">
        <v>771</v>
      </c>
      <c r="B78" s="801"/>
      <c r="C78" s="557"/>
      <c r="D78" s="561"/>
      <c r="E78" s="325"/>
      <c r="F78" s="796">
        <f>T78</f>
        <v>0</v>
      </c>
      <c r="G78" s="496"/>
      <c r="H78" s="328"/>
    </row>
    <row r="79" spans="1:37" s="314" customFormat="1" x14ac:dyDescent="0.25">
      <c r="A79" s="253" t="s">
        <v>772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773</v>
      </c>
      <c r="B80" s="327">
        <v>5</v>
      </c>
      <c r="C80" s="327">
        <v>1</v>
      </c>
      <c r="D80" s="327">
        <v>1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ht="44.25" customHeight="1" x14ac:dyDescent="0.25">
      <c r="A81" s="253" t="s">
        <v>774</v>
      </c>
      <c r="B81" s="559"/>
      <c r="C81" s="803"/>
      <c r="D81" s="558"/>
      <c r="E81" s="558"/>
      <c r="F81" s="327"/>
      <c r="G81" s="558"/>
      <c r="H81" s="558"/>
      <c r="I81" s="559"/>
      <c r="J81" s="559"/>
      <c r="K81" s="327"/>
      <c r="L81" s="327"/>
      <c r="O81" s="556" t="s">
        <v>856</v>
      </c>
      <c r="P81" s="556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775</v>
      </c>
      <c r="B82" s="327" t="s">
        <v>1102</v>
      </c>
      <c r="C82" s="327" t="s">
        <v>1114</v>
      </c>
      <c r="D82" s="471" t="s">
        <v>1115</v>
      </c>
      <c r="E82" s="471" t="s">
        <v>1108</v>
      </c>
      <c r="F82" s="471"/>
      <c r="G82" s="327" t="s">
        <v>1107</v>
      </c>
      <c r="H82" s="804" t="s">
        <v>1109</v>
      </c>
      <c r="I82" s="327" t="s">
        <v>1116</v>
      </c>
      <c r="J82" s="327" t="s">
        <v>1117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1" t="s">
        <v>587</v>
      </c>
      <c r="B85" s="578" t="s">
        <v>877</v>
      </c>
      <c r="C85" s="539" t="s">
        <v>66</v>
      </c>
      <c r="D85" s="539" t="s">
        <v>780</v>
      </c>
      <c r="E85" s="539" t="s">
        <v>367</v>
      </c>
      <c r="F85" s="551" t="s">
        <v>1</v>
      </c>
      <c r="G85" s="551" t="s">
        <v>854</v>
      </c>
      <c r="H85" s="555" t="s">
        <v>804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671</v>
      </c>
      <c r="S85" s="541" t="s">
        <v>672</v>
      </c>
      <c r="T85" s="542" t="s">
        <v>675</v>
      </c>
      <c r="U85" s="543" t="s">
        <v>673</v>
      </c>
      <c r="V85" s="543" t="s">
        <v>674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2"/>
      <c r="B86" s="254" t="s">
        <v>771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2"/>
      <c r="B87" s="253" t="s">
        <v>772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2"/>
      <c r="B88" s="253" t="s">
        <v>773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2"/>
      <c r="B89" s="253" t="s">
        <v>774</v>
      </c>
      <c r="C89" s="327" t="s">
        <v>966</v>
      </c>
      <c r="D89" s="711" t="s">
        <v>983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2"/>
      <c r="B90" s="253" t="s">
        <v>775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48.75" x14ac:dyDescent="0.25">
      <c r="D93" s="553" t="s">
        <v>852</v>
      </c>
      <c r="E93" s="553" t="s">
        <v>853</v>
      </c>
      <c r="F93" s="327" t="s">
        <v>966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760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3" customFormat="1" ht="7.5" customHeight="1" x14ac:dyDescent="0.25">
      <c r="D101" s="624"/>
      <c r="E101" s="624"/>
    </row>
    <row r="102" spans="1:27" s="314" customFormat="1" ht="19.5" x14ac:dyDescent="0.3">
      <c r="C102" s="315" t="s">
        <v>915</v>
      </c>
    </row>
    <row r="104" spans="1:27" ht="15.75" thickBot="1" x14ac:dyDescent="0.3">
      <c r="A104" s="30" t="s">
        <v>1056</v>
      </c>
    </row>
    <row r="105" spans="1:27" ht="15.75" thickBot="1" x14ac:dyDescent="0.3">
      <c r="A105" s="253" t="s">
        <v>662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3" t="s">
        <v>116</v>
      </c>
      <c r="I105" s="63" t="s">
        <v>800</v>
      </c>
    </row>
    <row r="106" spans="1:27" s="1" customFormat="1" x14ac:dyDescent="0.25">
      <c r="A106" s="254" t="s">
        <v>578</v>
      </c>
      <c r="I106" s="144"/>
      <c r="J106" s="144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3" t="s">
        <v>663</v>
      </c>
      <c r="B107" s="144" t="s">
        <v>984</v>
      </c>
      <c r="C107" s="144" t="s">
        <v>1055</v>
      </c>
      <c r="D107" s="144" t="s">
        <v>984</v>
      </c>
      <c r="E107" s="144" t="s">
        <v>113</v>
      </c>
      <c r="F107" s="144" t="s">
        <v>988</v>
      </c>
      <c r="G107" s="144" t="s">
        <v>984</v>
      </c>
      <c r="H107" s="144" t="s">
        <v>987</v>
      </c>
      <c r="I107" s="144" t="s">
        <v>987</v>
      </c>
      <c r="J107" s="144"/>
      <c r="K107" s="144"/>
      <c r="L107" s="144"/>
      <c r="M107" s="144"/>
    </row>
    <row r="108" spans="1:27" x14ac:dyDescent="0.25">
      <c r="A108" s="253" t="s">
        <v>664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796</v>
      </c>
      <c r="G108" s="459" t="s">
        <v>115</v>
      </c>
      <c r="H108" s="571" t="s">
        <v>866</v>
      </c>
      <c r="I108" s="144" t="s">
        <v>91</v>
      </c>
      <c r="J108" s="144"/>
      <c r="K108" s="144"/>
      <c r="L108" s="144"/>
      <c r="M108" s="144"/>
    </row>
    <row r="109" spans="1:27" x14ac:dyDescent="0.25">
      <c r="A109" s="253" t="s">
        <v>665</v>
      </c>
      <c r="E109" t="s">
        <v>784</v>
      </c>
      <c r="H109" s="57"/>
      <c r="I109" s="91"/>
      <c r="M109" s="91"/>
      <c r="N109" s="91"/>
      <c r="O109" s="452"/>
      <c r="P109" s="91"/>
    </row>
    <row r="110" spans="1:27" x14ac:dyDescent="0.25">
      <c r="A110" s="253" t="s">
        <v>783</v>
      </c>
      <c r="E110" s="251"/>
      <c r="G110" s="251" t="s">
        <v>797</v>
      </c>
      <c r="H110" s="570" t="s">
        <v>865</v>
      </c>
      <c r="I110" s="327"/>
      <c r="N110" s="252"/>
      <c r="R110" s="453"/>
      <c r="S110" s="453"/>
      <c r="T110" s="453"/>
      <c r="U110" s="453"/>
      <c r="V110" s="453"/>
    </row>
    <row r="112" spans="1:27" ht="15.75" thickBot="1" x14ac:dyDescent="0.3">
      <c r="A112" s="30" t="s">
        <v>1057</v>
      </c>
    </row>
    <row r="113" spans="1:23" ht="15.75" thickBot="1" x14ac:dyDescent="0.3">
      <c r="A113" s="253" t="s">
        <v>662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6" t="s">
        <v>118</v>
      </c>
      <c r="H113" s="63" t="s">
        <v>116</v>
      </c>
      <c r="I113" s="63" t="s">
        <v>800</v>
      </c>
    </row>
    <row r="114" spans="1:23" s="1" customFormat="1" x14ac:dyDescent="0.25">
      <c r="A114" s="254" t="s">
        <v>578</v>
      </c>
      <c r="I114" s="144"/>
      <c r="J114" s="144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3" t="s">
        <v>663</v>
      </c>
      <c r="B115" s="144" t="s">
        <v>984</v>
      </c>
      <c r="C115" s="144" t="s">
        <v>1055</v>
      </c>
      <c r="D115" s="144" t="s">
        <v>984</v>
      </c>
      <c r="E115" s="144" t="s">
        <v>113</v>
      </c>
      <c r="F115" s="144" t="s">
        <v>988</v>
      </c>
      <c r="G115" s="144" t="s">
        <v>984</v>
      </c>
      <c r="H115" s="144" t="s">
        <v>987</v>
      </c>
      <c r="I115" s="144" t="s">
        <v>987</v>
      </c>
      <c r="J115" s="144"/>
      <c r="K115" s="144"/>
      <c r="L115" s="144"/>
      <c r="M115" s="144"/>
    </row>
    <row r="116" spans="1:23" x14ac:dyDescent="0.25">
      <c r="A116" s="253" t="s">
        <v>664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796</v>
      </c>
      <c r="G116" s="459" t="s">
        <v>115</v>
      </c>
      <c r="H116" s="766" t="s">
        <v>824</v>
      </c>
      <c r="I116" s="144" t="s">
        <v>91</v>
      </c>
      <c r="J116" s="144"/>
      <c r="K116" s="144"/>
      <c r="L116" s="144"/>
      <c r="M116" s="144"/>
    </row>
    <row r="117" spans="1:23" x14ac:dyDescent="0.25">
      <c r="A117" s="253" t="s">
        <v>665</v>
      </c>
      <c r="B117" t="s">
        <v>1050</v>
      </c>
      <c r="E117" t="s">
        <v>784</v>
      </c>
      <c r="H117" s="767" t="s">
        <v>1051</v>
      </c>
      <c r="I117" s="91"/>
      <c r="M117" s="91"/>
      <c r="N117" s="91"/>
      <c r="O117" s="452"/>
      <c r="P117" s="91"/>
    </row>
    <row r="118" spans="1:23" x14ac:dyDescent="0.25">
      <c r="A118" s="253" t="s">
        <v>783</v>
      </c>
      <c r="E118" s="251"/>
      <c r="G118" s="251" t="s">
        <v>797</v>
      </c>
      <c r="H118" s="768"/>
      <c r="I118" s="327"/>
      <c r="N118" s="252"/>
      <c r="R118" s="453"/>
      <c r="S118" s="453"/>
      <c r="T118" s="453"/>
      <c r="U118" s="453"/>
      <c r="V118" s="453"/>
    </row>
    <row r="120" spans="1:23" ht="15.75" thickBot="1" x14ac:dyDescent="0.3">
      <c r="A120" s="30" t="s">
        <v>992</v>
      </c>
    </row>
    <row r="121" spans="1:23" s="255" customFormat="1" ht="15.75" thickBot="1" x14ac:dyDescent="0.3">
      <c r="A121" s="253" t="s">
        <v>662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3" s="1" customFormat="1" x14ac:dyDescent="0.25">
      <c r="A122" s="254" t="s">
        <v>578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3" x14ac:dyDescent="0.25">
      <c r="A123" s="253" t="s">
        <v>663</v>
      </c>
      <c r="B123" s="144" t="s">
        <v>984</v>
      </c>
      <c r="C123" s="144" t="s">
        <v>984</v>
      </c>
      <c r="D123" s="144" t="s">
        <v>985</v>
      </c>
      <c r="E123" s="144" t="s">
        <v>986</v>
      </c>
      <c r="F123" s="144" t="s">
        <v>985</v>
      </c>
      <c r="G123" s="144" t="s">
        <v>986</v>
      </c>
      <c r="H123" s="144" t="s">
        <v>984</v>
      </c>
      <c r="I123" s="144" t="s">
        <v>986</v>
      </c>
      <c r="J123" s="144" t="s">
        <v>985</v>
      </c>
      <c r="K123" s="144" t="s">
        <v>984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985</v>
      </c>
      <c r="U123" s="144" t="s">
        <v>92</v>
      </c>
      <c r="V123" s="144" t="s">
        <v>92</v>
      </c>
    </row>
    <row r="124" spans="1:23" x14ac:dyDescent="0.25">
      <c r="A124" s="253" t="s">
        <v>664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661</v>
      </c>
      <c r="O124" s="144" t="s">
        <v>661</v>
      </c>
      <c r="P124" s="144" t="s">
        <v>661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3" x14ac:dyDescent="0.25">
      <c r="A125" s="253" t="s">
        <v>665</v>
      </c>
      <c r="E125" s="251" t="s">
        <v>781</v>
      </c>
      <c r="G125" s="251" t="s">
        <v>782</v>
      </c>
      <c r="I125" s="91"/>
      <c r="K125" s="251" t="s">
        <v>159</v>
      </c>
      <c r="M125" s="91" t="s">
        <v>784</v>
      </c>
      <c r="N125" s="91"/>
      <c r="O125" s="452" t="s">
        <v>785</v>
      </c>
      <c r="P125" s="91" t="s">
        <v>790</v>
      </c>
    </row>
    <row r="126" spans="1:23" x14ac:dyDescent="0.25">
      <c r="A126" s="253" t="s">
        <v>783</v>
      </c>
      <c r="E126" s="251"/>
      <c r="G126" s="251"/>
      <c r="I126" s="327"/>
      <c r="K126" s="453" t="s">
        <v>797</v>
      </c>
      <c r="N126" s="252"/>
      <c r="R126" s="453" t="s">
        <v>788</v>
      </c>
      <c r="S126" s="453" t="s">
        <v>789</v>
      </c>
      <c r="T126" s="453" t="s">
        <v>991</v>
      </c>
      <c r="U126" s="453" t="s">
        <v>786</v>
      </c>
      <c r="V126" s="453" t="s">
        <v>787</v>
      </c>
    </row>
    <row r="128" spans="1:23" ht="15.75" thickBot="1" x14ac:dyDescent="0.3">
      <c r="A128" s="30" t="s">
        <v>920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1" t="s">
        <v>909</v>
      </c>
      <c r="B129" s="253" t="s">
        <v>662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2"/>
      <c r="B130" s="254" t="s">
        <v>578</v>
      </c>
      <c r="C130" s="495" t="s">
        <v>921</v>
      </c>
      <c r="D130" s="7" t="s">
        <v>923</v>
      </c>
      <c r="E130" s="594" t="s">
        <v>924</v>
      </c>
      <c r="F130" s="9"/>
      <c r="G130" s="644">
        <v>2298687.7200000002</v>
      </c>
      <c r="H130" s="10"/>
      <c r="I130" s="652" t="s">
        <v>141</v>
      </c>
      <c r="J130" s="713" t="s">
        <v>941</v>
      </c>
      <c r="K130" s="652"/>
      <c r="L130" s="652"/>
      <c r="M130" s="653"/>
      <c r="N130" s="654"/>
      <c r="O130"/>
      <c r="P130" s="8" t="s">
        <v>141</v>
      </c>
      <c r="Q130" s="645"/>
      <c r="R130" s="8" t="s">
        <v>926</v>
      </c>
      <c r="S130" s="8" t="s">
        <v>141</v>
      </c>
      <c r="T130" s="6" t="s">
        <v>9</v>
      </c>
      <c r="U130" s="12" t="s">
        <v>929</v>
      </c>
      <c r="V130"/>
      <c r="W130"/>
      <c r="X130"/>
      <c r="Y130"/>
    </row>
    <row r="131" spans="1:25" x14ac:dyDescent="0.25">
      <c r="A131" s="692"/>
      <c r="B131" s="253" t="s">
        <v>663</v>
      </c>
      <c r="C131" s="144" t="s">
        <v>110</v>
      </c>
      <c r="D131" s="144" t="s">
        <v>922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8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2"/>
      <c r="B132" s="253" t="s">
        <v>664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870</v>
      </c>
      <c r="H132" s="144" t="s">
        <v>661</v>
      </c>
      <c r="I132" s="588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796</v>
      </c>
      <c r="U132" s="144" t="s">
        <v>41</v>
      </c>
    </row>
    <row r="133" spans="1:25" x14ac:dyDescent="0.25">
      <c r="A133" s="692"/>
      <c r="B133" s="253" t="s">
        <v>665</v>
      </c>
      <c r="D133" s="251" t="s">
        <v>1010</v>
      </c>
      <c r="F133" s="251" t="s">
        <v>932</v>
      </c>
      <c r="G133" s="712" t="s">
        <v>994</v>
      </c>
      <c r="H133" s="251" t="s">
        <v>785</v>
      </c>
      <c r="I133" s="646" t="s">
        <v>995</v>
      </c>
      <c r="K133" s="589"/>
      <c r="L133" s="646"/>
      <c r="M133" s="646"/>
      <c r="N133" s="647"/>
      <c r="P133" s="251" t="s">
        <v>935</v>
      </c>
      <c r="Q133" s="646" t="s">
        <v>925</v>
      </c>
      <c r="R133" s="589"/>
      <c r="S133" s="646" t="s">
        <v>927</v>
      </c>
      <c r="T133" s="646" t="s">
        <v>928</v>
      </c>
      <c r="U133" s="647"/>
    </row>
    <row r="134" spans="1:25" x14ac:dyDescent="0.25">
      <c r="A134" s="692"/>
      <c r="B134" s="253" t="s">
        <v>783</v>
      </c>
      <c r="C134" t="s">
        <v>1007</v>
      </c>
      <c r="D134" t="s">
        <v>931</v>
      </c>
      <c r="F134" s="251"/>
      <c r="H134" s="251"/>
      <c r="J134" s="565"/>
      <c r="L134" s="453"/>
      <c r="Q134" s="327"/>
      <c r="S134" s="453"/>
      <c r="U134" t="s">
        <v>930</v>
      </c>
    </row>
    <row r="136" spans="1:25" ht="15.75" thickBot="1" x14ac:dyDescent="0.3">
      <c r="A136" s="30" t="s">
        <v>1015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1" t="s">
        <v>551</v>
      </c>
      <c r="B137" s="253" t="s">
        <v>662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40" t="s">
        <v>351</v>
      </c>
    </row>
    <row r="138" spans="1:25" s="1" customFormat="1" x14ac:dyDescent="0.25">
      <c r="A138" s="692"/>
      <c r="B138" s="254" t="s">
        <v>578</v>
      </c>
      <c r="C138" s="495" t="s">
        <v>921</v>
      </c>
      <c r="D138" s="7" t="s">
        <v>923</v>
      </c>
      <c r="E138" s="594" t="s">
        <v>924</v>
      </c>
      <c r="F138" s="9"/>
      <c r="G138" s="644">
        <v>2298687.7200000002</v>
      </c>
      <c r="H138" s="10"/>
      <c r="I138" s="734" t="s">
        <v>106</v>
      </c>
      <c r="J138" s="713" t="s">
        <v>941</v>
      </c>
      <c r="K138" s="745" t="s">
        <v>1037</v>
      </c>
      <c r="L138" s="745" t="s">
        <v>137</v>
      </c>
      <c r="M138" s="743" t="s">
        <v>7</v>
      </c>
      <c r="N138" s="654"/>
      <c r="O138"/>
      <c r="P138"/>
      <c r="Q138" s="740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2"/>
      <c r="B139" s="253" t="s">
        <v>663</v>
      </c>
      <c r="C139" s="144" t="s">
        <v>110</v>
      </c>
      <c r="D139" s="144" t="s">
        <v>922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824</v>
      </c>
      <c r="J139" s="268"/>
      <c r="K139" s="144"/>
      <c r="L139" s="144"/>
      <c r="M139" s="144" t="s">
        <v>128</v>
      </c>
      <c r="N139" s="144"/>
      <c r="Q139" s="740" t="s">
        <v>934</v>
      </c>
    </row>
    <row r="140" spans="1:25" x14ac:dyDescent="0.25">
      <c r="A140" s="692"/>
      <c r="B140" s="253" t="s">
        <v>664</v>
      </c>
      <c r="C140" s="144" t="s">
        <v>70</v>
      </c>
      <c r="D140" s="144" t="s">
        <v>1038</v>
      </c>
      <c r="E140" s="268" t="s">
        <v>112</v>
      </c>
      <c r="F140" s="268" t="s">
        <v>870</v>
      </c>
      <c r="G140" s="144" t="s">
        <v>874</v>
      </c>
      <c r="H140" s="144" t="s">
        <v>875</v>
      </c>
      <c r="I140" s="144" t="s">
        <v>1018</v>
      </c>
      <c r="J140" s="268" t="s">
        <v>70</v>
      </c>
      <c r="K140" s="144" t="s">
        <v>1018</v>
      </c>
      <c r="L140" s="144" t="s">
        <v>1018</v>
      </c>
      <c r="M140" s="144" t="s">
        <v>870</v>
      </c>
      <c r="N140" s="144"/>
      <c r="Q140" s="740" t="s">
        <v>203</v>
      </c>
    </row>
    <row r="141" spans="1:25" ht="75" x14ac:dyDescent="0.25">
      <c r="A141" s="692"/>
      <c r="B141" s="253" t="s">
        <v>665</v>
      </c>
      <c r="C141" s="268" t="s">
        <v>1012</v>
      </c>
      <c r="D141" s="268" t="s">
        <v>1014</v>
      </c>
      <c r="E141" s="251"/>
      <c r="F141" s="733" t="s">
        <v>932</v>
      </c>
      <c r="G141" s="268" t="s">
        <v>1012</v>
      </c>
      <c r="H141" s="268" t="s">
        <v>785</v>
      </c>
      <c r="I141" s="741" t="s">
        <v>1032</v>
      </c>
      <c r="J141" s="747" t="s">
        <v>1039</v>
      </c>
      <c r="K141" s="742" t="s">
        <v>1036</v>
      </c>
      <c r="L141" s="741"/>
      <c r="M141" s="744" t="s">
        <v>1035</v>
      </c>
      <c r="N141" s="647"/>
      <c r="Q141" s="740" t="s">
        <v>937</v>
      </c>
    </row>
    <row r="142" spans="1:25" x14ac:dyDescent="0.25">
      <c r="A142" s="692"/>
      <c r="B142" s="253" t="s">
        <v>783</v>
      </c>
      <c r="E142" s="91"/>
      <c r="F142" s="251"/>
      <c r="H142" s="251"/>
      <c r="I142" s="251"/>
      <c r="J142" s="565"/>
      <c r="L142" s="453"/>
      <c r="M142" s="586"/>
    </row>
    <row r="143" spans="1:25" x14ac:dyDescent="0.25">
      <c r="I143" s="2"/>
    </row>
    <row r="144" spans="1:25" ht="15.75" thickBot="1" x14ac:dyDescent="0.3">
      <c r="A144" s="656" t="s">
        <v>943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1" t="s">
        <v>957</v>
      </c>
      <c r="B150" s="682"/>
      <c r="C150" s="682"/>
      <c r="D150" s="682"/>
      <c r="E150" s="682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544</v>
      </c>
      <c r="R151" s="117" t="s">
        <v>543</v>
      </c>
      <c r="S151" s="117" t="s">
        <v>545</v>
      </c>
      <c r="T151" s="117" t="s">
        <v>546</v>
      </c>
      <c r="U151" s="117" t="s">
        <v>547</v>
      </c>
      <c r="V151" s="119" t="s">
        <v>540</v>
      </c>
    </row>
    <row r="153" spans="1:22" ht="15.75" thickBot="1" x14ac:dyDescent="0.3">
      <c r="A153" s="30" t="s">
        <v>550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544</v>
      </c>
      <c r="K154" s="117" t="s">
        <v>543</v>
      </c>
      <c r="L154" s="117" t="s">
        <v>545</v>
      </c>
      <c r="M154" s="117" t="s">
        <v>546</v>
      </c>
      <c r="N154" s="117" t="s">
        <v>547</v>
      </c>
    </row>
    <row r="156" spans="1:22" ht="15.75" thickBot="1" x14ac:dyDescent="0.3">
      <c r="A156" s="30" t="s">
        <v>548</v>
      </c>
    </row>
    <row r="157" spans="1:22" ht="15.75" thickBot="1" x14ac:dyDescent="0.3">
      <c r="A157" s="4" t="s">
        <v>345</v>
      </c>
      <c r="B157" s="4" t="s">
        <v>367</v>
      </c>
      <c r="C157" s="117" t="s">
        <v>549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x14ac:dyDescent="0.25">
      <c r="A159" s="26"/>
      <c r="B159" s="26"/>
    </row>
    <row r="160" spans="1:22" x14ac:dyDescent="0.25">
      <c r="A160" s="64" t="s">
        <v>1320</v>
      </c>
      <c r="B160" s="26"/>
    </row>
    <row r="161" spans="1:23" s="314" customFormat="1" ht="15" customHeight="1" x14ac:dyDescent="0.25">
      <c r="A161" s="253" t="s">
        <v>770</v>
      </c>
      <c r="B161" s="539" t="s">
        <v>1322</v>
      </c>
      <c r="C161" s="806" t="s">
        <v>1328</v>
      </c>
      <c r="D161" s="807" t="s">
        <v>1323</v>
      </c>
      <c r="E161" s="806" t="s">
        <v>1325</v>
      </c>
      <c r="F161" s="806" t="s">
        <v>1326</v>
      </c>
      <c r="G161" s="806" t="s">
        <v>1327</v>
      </c>
      <c r="H161" s="808" t="s">
        <v>1324</v>
      </c>
      <c r="I161" s="809" t="s">
        <v>1329</v>
      </c>
      <c r="J161" s="810" t="s">
        <v>1330</v>
      </c>
      <c r="K161" s="810" t="s">
        <v>1360</v>
      </c>
      <c r="L161" s="810" t="s">
        <v>1361</v>
      </c>
      <c r="M161" s="810" t="s">
        <v>1362</v>
      </c>
    </row>
    <row r="162" spans="1:23" s="314" customFormat="1" ht="15" customHeight="1" x14ac:dyDescent="0.25">
      <c r="A162" s="254" t="s">
        <v>771</v>
      </c>
      <c r="B162" s="557"/>
    </row>
    <row r="163" spans="1:23" s="314" customFormat="1" ht="15" customHeight="1" x14ac:dyDescent="0.25">
      <c r="A163" s="253" t="s">
        <v>772</v>
      </c>
      <c r="B163" s="327">
        <v>5</v>
      </c>
      <c r="C163" s="805">
        <v>45</v>
      </c>
      <c r="D163" s="805">
        <v>5</v>
      </c>
      <c r="E163" s="805">
        <v>13</v>
      </c>
      <c r="F163" s="805">
        <v>16</v>
      </c>
      <c r="G163" s="805">
        <v>10</v>
      </c>
      <c r="H163" s="805" t="s">
        <v>984</v>
      </c>
      <c r="I163" s="805" t="s">
        <v>984</v>
      </c>
      <c r="J163" s="805">
        <v>10</v>
      </c>
      <c r="K163" s="805" t="s">
        <v>984</v>
      </c>
      <c r="L163" s="805" t="s">
        <v>984</v>
      </c>
      <c r="M163" s="805" t="s">
        <v>984</v>
      </c>
    </row>
    <row r="164" spans="1:23" s="314" customFormat="1" ht="15" customHeight="1" x14ac:dyDescent="0.25">
      <c r="A164" s="253" t="s">
        <v>773</v>
      </c>
      <c r="B164" s="815" t="s">
        <v>866</v>
      </c>
      <c r="C164" s="327">
        <v>13</v>
      </c>
      <c r="D164" s="327">
        <v>14</v>
      </c>
      <c r="E164" s="327">
        <v>15</v>
      </c>
      <c r="F164" s="327">
        <v>16</v>
      </c>
      <c r="G164" s="327">
        <v>17</v>
      </c>
      <c r="H164" s="327">
        <v>18</v>
      </c>
      <c r="I164" s="327">
        <v>19</v>
      </c>
      <c r="J164" s="327">
        <v>20</v>
      </c>
      <c r="K164" s="327">
        <v>21</v>
      </c>
      <c r="L164" s="327">
        <v>22</v>
      </c>
      <c r="M164" s="327">
        <v>23</v>
      </c>
    </row>
    <row r="165" spans="1:23" s="314" customFormat="1" ht="15" customHeight="1" x14ac:dyDescent="0.25">
      <c r="A165" s="253" t="s">
        <v>774</v>
      </c>
      <c r="B165" s="803"/>
      <c r="C165" s="556"/>
      <c r="D165" s="556"/>
      <c r="E165" s="556"/>
      <c r="F165" s="556"/>
      <c r="G165" s="556"/>
      <c r="H165" s="556"/>
      <c r="I165" s="556"/>
      <c r="J165" s="556"/>
      <c r="K165" t="s">
        <v>784</v>
      </c>
      <c r="L165" t="s">
        <v>784</v>
      </c>
      <c r="M165"/>
    </row>
    <row r="166" spans="1:23" s="314" customFormat="1" ht="15" customHeight="1" x14ac:dyDescent="0.25">
      <c r="A166" s="253" t="s">
        <v>775</v>
      </c>
      <c r="B166" s="327" t="s">
        <v>1336</v>
      </c>
      <c r="C166" s="327"/>
      <c r="D166" s="327"/>
      <c r="E166" s="329"/>
      <c r="F166" s="329"/>
      <c r="G166" s="329"/>
      <c r="H166" s="329"/>
      <c r="I166" s="329"/>
      <c r="J166" s="329"/>
      <c r="K166" s="329"/>
      <c r="L166" s="329"/>
      <c r="M166" s="329"/>
      <c r="N166" s="329"/>
      <c r="O166" s="329"/>
      <c r="P166" s="329"/>
      <c r="Q166" s="360"/>
      <c r="R166" s="329"/>
      <c r="S166" s="329"/>
      <c r="T166" s="329"/>
      <c r="U166" s="329"/>
      <c r="V166" s="329"/>
      <c r="W166" s="329"/>
    </row>
    <row r="168" spans="1:23" ht="15.75" thickBot="1" x14ac:dyDescent="0.3">
      <c r="A168" s="64" t="s">
        <v>1072</v>
      </c>
      <c r="B168" s="118"/>
    </row>
    <row r="169" spans="1:23" ht="29.25" customHeight="1" thickBot="1" x14ac:dyDescent="0.3">
      <c r="A169" s="253" t="s">
        <v>662</v>
      </c>
      <c r="B169" s="120" t="s">
        <v>1073</v>
      </c>
      <c r="C169" s="120" t="s">
        <v>1074</v>
      </c>
      <c r="D169" s="120" t="s">
        <v>828</v>
      </c>
      <c r="E169" s="120" t="s">
        <v>357</v>
      </c>
      <c r="F169" s="120" t="s">
        <v>1</v>
      </c>
      <c r="G169" s="120" t="s">
        <v>58</v>
      </c>
      <c r="H169" s="120" t="s">
        <v>365</v>
      </c>
      <c r="I169" s="120" t="s">
        <v>542</v>
      </c>
      <c r="J169" s="120" t="s">
        <v>1075</v>
      </c>
      <c r="K169" s="120" t="s">
        <v>541</v>
      </c>
    </row>
    <row r="170" spans="1:23" s="118" customFormat="1" x14ac:dyDescent="0.25">
      <c r="A170" s="254" t="s">
        <v>578</v>
      </c>
      <c r="B170" s="118" t="s">
        <v>1077</v>
      </c>
      <c r="C170" s="118" t="s">
        <v>1078</v>
      </c>
      <c r="D170" s="564" t="s">
        <v>1081</v>
      </c>
      <c r="E170" s="325" t="s">
        <v>1080</v>
      </c>
      <c r="F170" s="118" t="s">
        <v>13</v>
      </c>
      <c r="G170" s="118" t="s">
        <v>1085</v>
      </c>
      <c r="H170" s="118" t="s">
        <v>1086</v>
      </c>
      <c r="I170" s="118" t="s">
        <v>1087</v>
      </c>
      <c r="J170" s="144" t="s">
        <v>70</v>
      </c>
    </row>
    <row r="171" spans="1:23" s="118" customFormat="1" x14ac:dyDescent="0.25">
      <c r="A171" s="253" t="s">
        <v>663</v>
      </c>
      <c r="B171" s="144" t="s">
        <v>111</v>
      </c>
      <c r="C171" s="144" t="s">
        <v>870</v>
      </c>
      <c r="D171" s="144" t="s">
        <v>987</v>
      </c>
      <c r="E171" s="144" t="s">
        <v>110</v>
      </c>
      <c r="F171" s="144" t="s">
        <v>242</v>
      </c>
      <c r="G171" s="144" t="s">
        <v>71</v>
      </c>
      <c r="H171" s="144" t="s">
        <v>132</v>
      </c>
      <c r="I171" s="144" t="s">
        <v>71</v>
      </c>
      <c r="J171" s="144" t="s">
        <v>112</v>
      </c>
      <c r="K171" s="144" t="s">
        <v>115</v>
      </c>
    </row>
    <row r="172" spans="1:23" s="118" customFormat="1" x14ac:dyDescent="0.25">
      <c r="A172" s="253" t="s">
        <v>664</v>
      </c>
      <c r="B172" s="118" t="s">
        <v>70</v>
      </c>
      <c r="C172" s="118" t="s">
        <v>70</v>
      </c>
      <c r="D172" s="144" t="s">
        <v>1083</v>
      </c>
      <c r="E172" s="118" t="s">
        <v>906</v>
      </c>
      <c r="F172" s="118" t="s">
        <v>906</v>
      </c>
      <c r="G172" s="118" t="s">
        <v>906</v>
      </c>
    </row>
    <row r="173" spans="1:23" s="118" customFormat="1" x14ac:dyDescent="0.25">
      <c r="A173" s="253" t="s">
        <v>665</v>
      </c>
      <c r="B173" s="118" t="s">
        <v>1076</v>
      </c>
      <c r="C173" s="118" t="s">
        <v>1079</v>
      </c>
      <c r="D173" s="144" t="s">
        <v>1082</v>
      </c>
    </row>
    <row r="174" spans="1:23" s="118" customFormat="1" x14ac:dyDescent="0.25">
      <c r="A174" s="253" t="s">
        <v>783</v>
      </c>
      <c r="E174" s="118" t="s">
        <v>1088</v>
      </c>
      <c r="F174" s="118" t="s">
        <v>1089</v>
      </c>
      <c r="G174" s="118" t="s">
        <v>1090</v>
      </c>
    </row>
    <row r="176" spans="1:23" ht="15.75" thickBot="1" x14ac:dyDescent="0.3">
      <c r="A176" s="64" t="s">
        <v>516</v>
      </c>
    </row>
    <row r="177" spans="1:47" ht="71.25" thickBot="1" x14ac:dyDescent="0.3">
      <c r="A177" s="95" t="s">
        <v>512</v>
      </c>
      <c r="B177" s="96" t="s">
        <v>513</v>
      </c>
      <c r="C177" s="97">
        <v>40057</v>
      </c>
      <c r="D177" s="97">
        <v>40087</v>
      </c>
      <c r="E177" s="97">
        <v>40118</v>
      </c>
      <c r="F177" s="97">
        <v>40148</v>
      </c>
      <c r="G177" s="98" t="s">
        <v>114</v>
      </c>
      <c r="H177" s="97">
        <v>40179</v>
      </c>
      <c r="I177" s="97">
        <v>40210</v>
      </c>
      <c r="J177" s="97">
        <v>40238</v>
      </c>
      <c r="K177" s="97">
        <v>40269</v>
      </c>
      <c r="L177" s="97">
        <v>40299</v>
      </c>
      <c r="M177" s="97">
        <v>40330</v>
      </c>
      <c r="N177" s="97">
        <v>40360</v>
      </c>
      <c r="O177" s="97">
        <v>40391</v>
      </c>
      <c r="P177" s="97">
        <v>40422</v>
      </c>
      <c r="Q177" s="97">
        <v>40452</v>
      </c>
      <c r="R177" s="97">
        <v>40483</v>
      </c>
      <c r="S177" s="97">
        <v>40513</v>
      </c>
      <c r="T177" s="98" t="s">
        <v>135</v>
      </c>
      <c r="U177" s="97">
        <v>40544</v>
      </c>
      <c r="V177" s="97">
        <v>40575</v>
      </c>
      <c r="W177" s="97">
        <v>40603</v>
      </c>
      <c r="X177" s="97">
        <v>40634</v>
      </c>
      <c r="Y177" s="97">
        <v>40664</v>
      </c>
      <c r="Z177" s="97">
        <v>40695</v>
      </c>
      <c r="AA177" s="97">
        <v>40725</v>
      </c>
      <c r="AB177" s="97">
        <v>40756</v>
      </c>
      <c r="AC177" s="97">
        <v>40787</v>
      </c>
      <c r="AD177" s="97">
        <v>40817</v>
      </c>
      <c r="AE177" s="97">
        <v>40848</v>
      </c>
      <c r="AF177" s="97">
        <v>40878</v>
      </c>
      <c r="AG177" s="98" t="s">
        <v>108</v>
      </c>
      <c r="AH177" s="97">
        <v>40909</v>
      </c>
      <c r="AI177" s="97">
        <v>40940</v>
      </c>
      <c r="AJ177" s="97">
        <v>40969</v>
      </c>
      <c r="AK177" s="97">
        <v>41000</v>
      </c>
      <c r="AL177" s="97">
        <v>41030</v>
      </c>
      <c r="AM177" s="97">
        <v>41061</v>
      </c>
      <c r="AN177" s="97">
        <v>41091</v>
      </c>
      <c r="AO177" s="97">
        <v>41122</v>
      </c>
      <c r="AP177" s="97">
        <v>41153</v>
      </c>
      <c r="AQ177" s="97">
        <v>41183</v>
      </c>
      <c r="AR177" s="97">
        <v>41214</v>
      </c>
      <c r="AS177" s="97">
        <v>41244</v>
      </c>
      <c r="AT177" s="98" t="s">
        <v>109</v>
      </c>
      <c r="AU177" s="99" t="s">
        <v>515</v>
      </c>
    </row>
    <row r="178" spans="1:47" x14ac:dyDescent="0.25">
      <c r="A178" s="100" t="s">
        <v>487</v>
      </c>
      <c r="B178" s="92" t="s">
        <v>486</v>
      </c>
      <c r="C178" s="103"/>
      <c r="D178" s="103"/>
      <c r="E178" s="103"/>
      <c r="F178" s="104"/>
      <c r="G178" s="109">
        <f t="shared" ref="G178:G210" si="0">SUM(C178:F178)</f>
        <v>0</v>
      </c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9">
        <f t="shared" ref="T178:T210" si="1">SUM(H178:S178)</f>
        <v>0</v>
      </c>
      <c r="U178" s="103"/>
      <c r="V178" s="103"/>
      <c r="W178" s="103"/>
      <c r="X178" s="103"/>
      <c r="Y178" s="103"/>
      <c r="Z178" s="103"/>
      <c r="AA178" s="103"/>
      <c r="AB178" s="103"/>
      <c r="AC178" s="103"/>
      <c r="AD178" s="103"/>
      <c r="AE178" s="103"/>
      <c r="AF178" s="103"/>
      <c r="AG178" s="109">
        <f t="shared" ref="AG178:AG210" si="2">SUM(U178:AF178)</f>
        <v>0</v>
      </c>
      <c r="AH178" s="103"/>
      <c r="AI178" s="103"/>
      <c r="AJ178" s="103"/>
      <c r="AK178" s="103"/>
      <c r="AL178" s="103"/>
      <c r="AM178" s="103"/>
      <c r="AN178" s="103"/>
      <c r="AO178" s="103"/>
      <c r="AP178" s="103"/>
      <c r="AQ178" s="103"/>
      <c r="AR178" s="103"/>
      <c r="AS178" s="103"/>
      <c r="AT178" s="109">
        <f t="shared" ref="AT178:AT210" si="3">SUM(AH178:AS178)</f>
        <v>0</v>
      </c>
      <c r="AU178" s="110">
        <f t="shared" ref="AU178:AU210" si="4">G178+T178+AG178+AT178</f>
        <v>0</v>
      </c>
    </row>
    <row r="179" spans="1:47" x14ac:dyDescent="0.25">
      <c r="A179" s="100" t="s">
        <v>487</v>
      </c>
      <c r="B179" s="92" t="s">
        <v>455</v>
      </c>
      <c r="C179" s="105"/>
      <c r="D179" s="105"/>
      <c r="E179" s="105"/>
      <c r="F179" s="106"/>
      <c r="G179" s="111">
        <f t="shared" si="0"/>
        <v>0</v>
      </c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11">
        <f t="shared" si="1"/>
        <v>0</v>
      </c>
      <c r="U179" s="105"/>
      <c r="V179" s="105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11">
        <f t="shared" si="2"/>
        <v>0</v>
      </c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105"/>
      <c r="AS179" s="105"/>
      <c r="AT179" s="111">
        <f t="shared" si="3"/>
        <v>0</v>
      </c>
      <c r="AU179" s="110">
        <f t="shared" si="4"/>
        <v>0</v>
      </c>
    </row>
    <row r="180" spans="1:47" x14ac:dyDescent="0.25">
      <c r="A180" s="100" t="s">
        <v>487</v>
      </c>
      <c r="B180" s="92" t="s">
        <v>453</v>
      </c>
      <c r="C180" s="105"/>
      <c r="D180" s="105"/>
      <c r="E180" s="105"/>
      <c r="F180" s="106"/>
      <c r="G180" s="111">
        <f t="shared" si="0"/>
        <v>0</v>
      </c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11">
        <f t="shared" si="1"/>
        <v>0</v>
      </c>
      <c r="U180" s="105"/>
      <c r="V180" s="105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11">
        <f t="shared" si="2"/>
        <v>0</v>
      </c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105"/>
      <c r="AS180" s="105"/>
      <c r="AT180" s="111">
        <f t="shared" si="3"/>
        <v>0</v>
      </c>
      <c r="AU180" s="110">
        <f t="shared" si="4"/>
        <v>0</v>
      </c>
    </row>
    <row r="181" spans="1:47" x14ac:dyDescent="0.25">
      <c r="A181" s="101" t="s">
        <v>487</v>
      </c>
      <c r="B181" s="92" t="s">
        <v>376</v>
      </c>
      <c r="C181" s="105"/>
      <c r="D181" s="105"/>
      <c r="E181" s="105"/>
      <c r="F181" s="106"/>
      <c r="G181" s="111">
        <f t="shared" si="0"/>
        <v>0</v>
      </c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11">
        <f t="shared" si="1"/>
        <v>0</v>
      </c>
      <c r="U181" s="105"/>
      <c r="V181" s="105"/>
      <c r="W181" s="105"/>
      <c r="X181" s="105"/>
      <c r="Y181" s="105"/>
      <c r="Z181" s="105"/>
      <c r="AA181" s="105"/>
      <c r="AB181" s="105"/>
      <c r="AC181" s="105"/>
      <c r="AD181" s="105"/>
      <c r="AE181" s="105"/>
      <c r="AF181" s="105"/>
      <c r="AG181" s="111">
        <f t="shared" si="2"/>
        <v>0</v>
      </c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105"/>
      <c r="AS181" s="105"/>
      <c r="AT181" s="111">
        <f t="shared" si="3"/>
        <v>0</v>
      </c>
      <c r="AU181" s="110">
        <f t="shared" si="4"/>
        <v>0</v>
      </c>
    </row>
    <row r="182" spans="1:47" x14ac:dyDescent="0.25">
      <c r="A182" s="100" t="s">
        <v>487</v>
      </c>
      <c r="B182" s="92" t="s">
        <v>464</v>
      </c>
      <c r="C182" s="105"/>
      <c r="D182" s="105"/>
      <c r="E182" s="105"/>
      <c r="F182" s="106"/>
      <c r="G182" s="111">
        <f t="shared" si="0"/>
        <v>0</v>
      </c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11">
        <f t="shared" si="1"/>
        <v>0</v>
      </c>
      <c r="U182" s="105"/>
      <c r="V182" s="105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11">
        <f t="shared" si="2"/>
        <v>0</v>
      </c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105"/>
      <c r="AS182" s="105"/>
      <c r="AT182" s="111">
        <f t="shared" si="3"/>
        <v>0</v>
      </c>
      <c r="AU182" s="110">
        <f t="shared" si="4"/>
        <v>0</v>
      </c>
    </row>
    <row r="183" spans="1:47" x14ac:dyDescent="0.25">
      <c r="A183" s="100" t="s">
        <v>487</v>
      </c>
      <c r="B183" s="92" t="s">
        <v>454</v>
      </c>
      <c r="C183" s="105"/>
      <c r="D183" s="105"/>
      <c r="E183" s="105"/>
      <c r="F183" s="106"/>
      <c r="G183" s="111">
        <f t="shared" si="0"/>
        <v>0</v>
      </c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11">
        <f t="shared" si="1"/>
        <v>0</v>
      </c>
      <c r="U183" s="105"/>
      <c r="V183" s="105"/>
      <c r="W183" s="105"/>
      <c r="X183" s="105"/>
      <c r="Y183" s="105"/>
      <c r="Z183" s="105"/>
      <c r="AA183" s="105"/>
      <c r="AB183" s="105"/>
      <c r="AC183" s="105"/>
      <c r="AD183" s="105"/>
      <c r="AE183" s="105"/>
      <c r="AF183" s="105"/>
      <c r="AG183" s="111">
        <f t="shared" si="2"/>
        <v>0</v>
      </c>
      <c r="AH183" s="105"/>
      <c r="AI183" s="105"/>
      <c r="AJ183" s="105"/>
      <c r="AK183" s="105"/>
      <c r="AL183" s="105"/>
      <c r="AM183" s="105"/>
      <c r="AN183" s="105"/>
      <c r="AO183" s="105"/>
      <c r="AP183" s="105"/>
      <c r="AQ183" s="105"/>
      <c r="AR183" s="105"/>
      <c r="AS183" s="105"/>
      <c r="AT183" s="111">
        <f t="shared" si="3"/>
        <v>0</v>
      </c>
      <c r="AU183" s="110">
        <f t="shared" si="4"/>
        <v>0</v>
      </c>
    </row>
    <row r="184" spans="1:47" x14ac:dyDescent="0.25">
      <c r="A184" s="100" t="s">
        <v>487</v>
      </c>
      <c r="B184" s="92" t="s">
        <v>372</v>
      </c>
      <c r="C184" s="105"/>
      <c r="D184" s="105"/>
      <c r="E184" s="105"/>
      <c r="F184" s="106"/>
      <c r="G184" s="111">
        <f t="shared" si="0"/>
        <v>0</v>
      </c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11">
        <f t="shared" si="1"/>
        <v>0</v>
      </c>
      <c r="U184" s="105"/>
      <c r="V184" s="105"/>
      <c r="W184" s="105"/>
      <c r="X184" s="105"/>
      <c r="Y184" s="105"/>
      <c r="Z184" s="105"/>
      <c r="AA184" s="105"/>
      <c r="AB184" s="105"/>
      <c r="AC184" s="105"/>
      <c r="AD184" s="105"/>
      <c r="AE184" s="105"/>
      <c r="AF184" s="105"/>
      <c r="AG184" s="111">
        <f t="shared" si="2"/>
        <v>0</v>
      </c>
      <c r="AH184" s="105"/>
      <c r="AI184" s="105"/>
      <c r="AJ184" s="105"/>
      <c r="AK184" s="105"/>
      <c r="AL184" s="105"/>
      <c r="AM184" s="105"/>
      <c r="AN184" s="105"/>
      <c r="AO184" s="105"/>
      <c r="AP184" s="105"/>
      <c r="AQ184" s="105"/>
      <c r="AR184" s="105"/>
      <c r="AS184" s="105"/>
      <c r="AT184" s="111">
        <f t="shared" si="3"/>
        <v>0</v>
      </c>
      <c r="AU184" s="110">
        <f t="shared" si="4"/>
        <v>0</v>
      </c>
    </row>
    <row r="185" spans="1:47" x14ac:dyDescent="0.25">
      <c r="A185" s="100" t="s">
        <v>487</v>
      </c>
      <c r="B185" s="92" t="s">
        <v>485</v>
      </c>
      <c r="C185" s="105"/>
      <c r="D185" s="105"/>
      <c r="E185" s="105"/>
      <c r="F185" s="106"/>
      <c r="G185" s="111">
        <f t="shared" si="0"/>
        <v>0</v>
      </c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11">
        <f t="shared" si="1"/>
        <v>0</v>
      </c>
      <c r="U185" s="105"/>
      <c r="V185" s="105"/>
      <c r="W185" s="105"/>
      <c r="X185" s="105"/>
      <c r="Y185" s="105"/>
      <c r="Z185" s="105"/>
      <c r="AA185" s="105"/>
      <c r="AB185" s="105"/>
      <c r="AC185" s="105"/>
      <c r="AD185" s="105"/>
      <c r="AE185" s="105"/>
      <c r="AF185" s="105"/>
      <c r="AG185" s="111">
        <f t="shared" si="2"/>
        <v>0</v>
      </c>
      <c r="AH185" s="105"/>
      <c r="AI185" s="105"/>
      <c r="AJ185" s="105"/>
      <c r="AK185" s="105"/>
      <c r="AL185" s="105"/>
      <c r="AM185" s="105"/>
      <c r="AN185" s="105"/>
      <c r="AO185" s="105"/>
      <c r="AP185" s="105"/>
      <c r="AQ185" s="105"/>
      <c r="AR185" s="105"/>
      <c r="AS185" s="105"/>
      <c r="AT185" s="111">
        <f t="shared" si="3"/>
        <v>0</v>
      </c>
      <c r="AU185" s="110">
        <f t="shared" si="4"/>
        <v>0</v>
      </c>
    </row>
    <row r="186" spans="1:47" x14ac:dyDescent="0.25">
      <c r="A186" s="100" t="s">
        <v>487</v>
      </c>
      <c r="B186" s="92" t="s">
        <v>500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501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0" t="s">
        <v>487</v>
      </c>
      <c r="B188" s="92" t="s">
        <v>482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503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509</v>
      </c>
      <c r="B190" s="92" t="s">
        <v>483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509</v>
      </c>
      <c r="B191" s="92" t="s">
        <v>484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1" t="s">
        <v>488</v>
      </c>
      <c r="B192" s="92" t="s">
        <v>481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1" t="s">
        <v>488</v>
      </c>
      <c r="B193" s="92" t="s">
        <v>458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1" t="s">
        <v>488</v>
      </c>
      <c r="B194" s="92" t="s">
        <v>502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488</v>
      </c>
      <c r="B195" s="92" t="s">
        <v>456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488</v>
      </c>
      <c r="B196" s="92" t="s">
        <v>510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488</v>
      </c>
      <c r="B197" s="92" t="s">
        <v>507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1" t="s">
        <v>488</v>
      </c>
      <c r="B198" s="92" t="s">
        <v>506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0" t="s">
        <v>488</v>
      </c>
      <c r="B199" s="92" t="s">
        <v>371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0" t="s">
        <v>488</v>
      </c>
      <c r="B200" s="92" t="s">
        <v>504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0" t="s">
        <v>491</v>
      </c>
      <c r="B201" s="92" t="s">
        <v>505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491</v>
      </c>
      <c r="B202" s="92" t="s">
        <v>457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491</v>
      </c>
      <c r="B203" s="92" t="s">
        <v>492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491</v>
      </c>
      <c r="B204" s="92" t="s">
        <v>489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0" t="s">
        <v>491</v>
      </c>
      <c r="B205" s="92" t="s">
        <v>490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491</v>
      </c>
      <c r="B206" s="92" t="s">
        <v>508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491</v>
      </c>
      <c r="B207" s="92" t="s">
        <v>493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42</v>
      </c>
      <c r="B208" s="92" t="s">
        <v>42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373</v>
      </c>
      <c r="B209" s="92" t="s">
        <v>373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ht="15.75" thickBot="1" x14ac:dyDescent="0.3">
      <c r="A210" s="102" t="s">
        <v>511</v>
      </c>
      <c r="B210" s="93" t="s">
        <v>511</v>
      </c>
      <c r="C210" s="107"/>
      <c r="D210" s="107"/>
      <c r="E210" s="107"/>
      <c r="F210" s="108"/>
      <c r="G210" s="112">
        <f t="shared" si="0"/>
        <v>0</v>
      </c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12">
        <f t="shared" si="1"/>
        <v>0</v>
      </c>
      <c r="U210" s="107"/>
      <c r="V210" s="107"/>
      <c r="W210" s="107"/>
      <c r="X210" s="107"/>
      <c r="Y210" s="107"/>
      <c r="Z210" s="107"/>
      <c r="AA210" s="107"/>
      <c r="AB210" s="107"/>
      <c r="AC210" s="107"/>
      <c r="AD210" s="107"/>
      <c r="AE210" s="107"/>
      <c r="AF210" s="107"/>
      <c r="AG210" s="112">
        <f t="shared" si="2"/>
        <v>0</v>
      </c>
      <c r="AH210" s="107"/>
      <c r="AI210" s="107"/>
      <c r="AJ210" s="107"/>
      <c r="AK210" s="107"/>
      <c r="AL210" s="107"/>
      <c r="AM210" s="107"/>
      <c r="AN210" s="107"/>
      <c r="AO210" s="107"/>
      <c r="AP210" s="107"/>
      <c r="AQ210" s="107"/>
      <c r="AR210" s="107"/>
      <c r="AS210" s="107"/>
      <c r="AT210" s="112">
        <f t="shared" si="3"/>
        <v>0</v>
      </c>
      <c r="AU210" s="113">
        <f t="shared" si="4"/>
        <v>0</v>
      </c>
    </row>
    <row r="211" spans="1:47" ht="15.75" thickBot="1" x14ac:dyDescent="0.3">
      <c r="A211" s="91"/>
      <c r="B211" s="94" t="s">
        <v>514</v>
      </c>
      <c r="C211" s="32">
        <f t="shared" ref="C211:AU211" si="5">SUM(C178:C210)</f>
        <v>0</v>
      </c>
      <c r="D211" s="32">
        <f t="shared" si="5"/>
        <v>0</v>
      </c>
      <c r="E211" s="32">
        <f t="shared" si="5"/>
        <v>0</v>
      </c>
      <c r="F211" s="32">
        <f t="shared" si="5"/>
        <v>0</v>
      </c>
      <c r="G211" s="115">
        <f t="shared" si="5"/>
        <v>0</v>
      </c>
      <c r="H211" s="32">
        <f t="shared" si="5"/>
        <v>0</v>
      </c>
      <c r="I211" s="32">
        <f t="shared" si="5"/>
        <v>0</v>
      </c>
      <c r="J211" s="32">
        <f t="shared" si="5"/>
        <v>0</v>
      </c>
      <c r="K211" s="32">
        <f t="shared" si="5"/>
        <v>0</v>
      </c>
      <c r="L211" s="32">
        <f t="shared" si="5"/>
        <v>0</v>
      </c>
      <c r="M211" s="32">
        <f t="shared" si="5"/>
        <v>0</v>
      </c>
      <c r="N211" s="32">
        <f t="shared" si="5"/>
        <v>0</v>
      </c>
      <c r="O211" s="32">
        <f t="shared" si="5"/>
        <v>0</v>
      </c>
      <c r="P211" s="32">
        <f t="shared" si="5"/>
        <v>0</v>
      </c>
      <c r="Q211" s="32">
        <f t="shared" si="5"/>
        <v>0</v>
      </c>
      <c r="R211" s="32">
        <f t="shared" si="5"/>
        <v>0</v>
      </c>
      <c r="S211" s="32">
        <f t="shared" si="5"/>
        <v>0</v>
      </c>
      <c r="T211" s="115">
        <f t="shared" si="5"/>
        <v>0</v>
      </c>
      <c r="U211" s="32">
        <f t="shared" si="5"/>
        <v>0</v>
      </c>
      <c r="V211" s="32">
        <f t="shared" si="5"/>
        <v>0</v>
      </c>
      <c r="W211" s="32">
        <f t="shared" si="5"/>
        <v>0</v>
      </c>
      <c r="X211" s="32">
        <f t="shared" si="5"/>
        <v>0</v>
      </c>
      <c r="Y211" s="32">
        <f t="shared" si="5"/>
        <v>0</v>
      </c>
      <c r="Z211" s="32">
        <f t="shared" si="5"/>
        <v>0</v>
      </c>
      <c r="AA211" s="32">
        <f t="shared" si="5"/>
        <v>0</v>
      </c>
      <c r="AB211" s="32">
        <f t="shared" si="5"/>
        <v>0</v>
      </c>
      <c r="AC211" s="32">
        <f t="shared" si="5"/>
        <v>0</v>
      </c>
      <c r="AD211" s="32">
        <f t="shared" si="5"/>
        <v>0</v>
      </c>
      <c r="AE211" s="32">
        <f t="shared" si="5"/>
        <v>0</v>
      </c>
      <c r="AF211" s="32">
        <f t="shared" si="5"/>
        <v>0</v>
      </c>
      <c r="AG211" s="115">
        <f t="shared" si="5"/>
        <v>0</v>
      </c>
      <c r="AH211" s="32">
        <f t="shared" si="5"/>
        <v>0</v>
      </c>
      <c r="AI211" s="32">
        <f t="shared" si="5"/>
        <v>0</v>
      </c>
      <c r="AJ211" s="32">
        <f t="shared" si="5"/>
        <v>0</v>
      </c>
      <c r="AK211" s="32">
        <f t="shared" si="5"/>
        <v>0</v>
      </c>
      <c r="AL211" s="32">
        <f t="shared" si="5"/>
        <v>0</v>
      </c>
      <c r="AM211" s="32">
        <f t="shared" si="5"/>
        <v>0</v>
      </c>
      <c r="AN211" s="32">
        <f t="shared" si="5"/>
        <v>0</v>
      </c>
      <c r="AO211" s="32">
        <f t="shared" si="5"/>
        <v>0</v>
      </c>
      <c r="AP211" s="32">
        <f t="shared" si="5"/>
        <v>0</v>
      </c>
      <c r="AQ211" s="32">
        <f t="shared" si="5"/>
        <v>0</v>
      </c>
      <c r="AR211" s="32">
        <f t="shared" si="5"/>
        <v>0</v>
      </c>
      <c r="AS211" s="32">
        <f t="shared" si="5"/>
        <v>0</v>
      </c>
      <c r="AT211" s="115">
        <f t="shared" si="5"/>
        <v>0</v>
      </c>
      <c r="AU211" s="114">
        <f t="shared" si="5"/>
        <v>0</v>
      </c>
    </row>
    <row r="1150" spans="1:23" ht="15.75" thickBot="1" x14ac:dyDescent="0.3">
      <c r="A1150" s="361"/>
      <c r="B1150" s="362"/>
      <c r="C1150" s="363"/>
      <c r="D1150" s="363"/>
      <c r="E1150" s="364"/>
      <c r="F1150" s="365"/>
      <c r="G1150" s="366"/>
      <c r="H1150" s="366"/>
      <c r="I1150" s="367"/>
      <c r="J1150" s="368"/>
      <c r="K1150" s="368"/>
      <c r="L1150" s="369"/>
      <c r="M1150" s="367"/>
      <c r="N1150" s="370"/>
      <c r="O1150" s="370"/>
      <c r="P1150" s="371"/>
      <c r="Q1150" s="371"/>
      <c r="R1150" s="371"/>
      <c r="S1150" s="372"/>
      <c r="T1150" s="373"/>
      <c r="U1150" s="373"/>
      <c r="V1150" s="373"/>
      <c r="W1150" s="371"/>
    </row>
    <row r="1151" spans="1:23" x14ac:dyDescent="0.25">
      <c r="A1151" s="361"/>
      <c r="B1151" s="376" t="s">
        <v>724</v>
      </c>
      <c r="C1151" s="426">
        <f>COUNTIF(B$1:B1148,B1151)</f>
        <v>1</v>
      </c>
      <c r="D1151" s="434">
        <f>C1151/C1156</f>
        <v>0.2</v>
      </c>
      <c r="E1151" s="377"/>
      <c r="F1151" s="365"/>
      <c r="G1151" s="366"/>
      <c r="H1151" s="366"/>
      <c r="I1151" s="378"/>
      <c r="J1151" s="427">
        <f>SUMIF(B$3:B1148,B1151,T$3:T1155)</f>
        <v>48</v>
      </c>
      <c r="K1151" s="438"/>
      <c r="L1151" s="439">
        <f>J1151/J1156</f>
        <v>1</v>
      </c>
      <c r="M1151" s="370"/>
      <c r="N1151" s="370"/>
      <c r="O1151" s="370"/>
      <c r="P1151" s="371"/>
      <c r="Q1151" s="371"/>
      <c r="R1151" s="371"/>
      <c r="S1151" s="372" t="s">
        <v>701</v>
      </c>
      <c r="T1151" s="380">
        <v>1261915799.52244</v>
      </c>
      <c r="U1151" s="380" t="e">
        <f>SUM(#REF!)</f>
        <v>#REF!</v>
      </c>
      <c r="V1151" s="380" t="e">
        <f>SUM(#REF!)</f>
        <v>#REF!</v>
      </c>
      <c r="W1151" s="371" t="s">
        <v>725</v>
      </c>
    </row>
    <row r="1152" spans="1:23" x14ac:dyDescent="0.25">
      <c r="A1152" s="361"/>
      <c r="B1152" s="381" t="s">
        <v>726</v>
      </c>
      <c r="C1152" s="428">
        <f>COUNTIF(B$1:B1148,B1152)</f>
        <v>1</v>
      </c>
      <c r="D1152" s="435">
        <f>C1152/C1156</f>
        <v>0.2</v>
      </c>
      <c r="E1152" s="377"/>
      <c r="F1152" s="365"/>
      <c r="G1152" s="366"/>
      <c r="H1152" s="366"/>
      <c r="I1152" s="378"/>
      <c r="J1152" s="429">
        <f>SUMIF(B$3:B1151,B1152,T$3:T1156)</f>
        <v>0</v>
      </c>
      <c r="K1152" s="440"/>
      <c r="L1152" s="441">
        <f>J1152/J1156</f>
        <v>0</v>
      </c>
      <c r="M1152" s="370"/>
      <c r="N1152" s="370"/>
      <c r="O1152" s="370"/>
      <c r="P1152" s="375"/>
      <c r="Q1152" s="375"/>
      <c r="R1152" s="375"/>
      <c r="S1152" s="382"/>
      <c r="T1152" s="383"/>
      <c r="U1152" s="383"/>
      <c r="V1152" s="383"/>
      <c r="W1152" s="375"/>
    </row>
    <row r="1153" spans="1:23" x14ac:dyDescent="0.25">
      <c r="A1153" s="361"/>
      <c r="B1153" s="385" t="s">
        <v>727</v>
      </c>
      <c r="C1153" s="430">
        <f>COUNTIF(B$1:B1148,B1153)</f>
        <v>1</v>
      </c>
      <c r="D1153" s="436">
        <f>C1153/C1156</f>
        <v>0.2</v>
      </c>
      <c r="E1153" s="377"/>
      <c r="F1153" s="365"/>
      <c r="G1153" s="366"/>
      <c r="H1153" s="366"/>
      <c r="I1153" s="378"/>
      <c r="J1153" s="431">
        <f>SUMIF(B$3:B1152,B1153,T$3:T1156)</f>
        <v>0</v>
      </c>
      <c r="K1153" s="442"/>
      <c r="L1153" s="443">
        <f>J1153/J1156</f>
        <v>0</v>
      </c>
      <c r="M1153" s="367"/>
      <c r="N1153" s="370"/>
      <c r="O1153" s="370"/>
      <c r="P1153" s="375"/>
      <c r="Q1153" s="375"/>
      <c r="R1153" s="375"/>
      <c r="S1153" s="382"/>
      <c r="T1153" s="383"/>
      <c r="U1153" s="383"/>
      <c r="V1153" s="383"/>
      <c r="W1153" s="375"/>
    </row>
    <row r="1154" spans="1:23" ht="15.75" thickBot="1" x14ac:dyDescent="0.3">
      <c r="A1154" s="361"/>
      <c r="B1154" s="386" t="s">
        <v>728</v>
      </c>
      <c r="C1154" s="432">
        <f>COUNTIF(B$1:B1151,B1154)</f>
        <v>1</v>
      </c>
      <c r="D1154" s="437">
        <f>C1154/C1156</f>
        <v>0.2</v>
      </c>
      <c r="E1154" s="377"/>
      <c r="F1154" s="365"/>
      <c r="G1154" s="366"/>
      <c r="H1154" s="366"/>
      <c r="I1154" s="378"/>
      <c r="J1154" s="433">
        <f>SUMIF(B$3:B1153,B1154,T$3:T1156)</f>
        <v>0</v>
      </c>
      <c r="K1154" s="444"/>
      <c r="L1154" s="445">
        <f>J1154/J1156</f>
        <v>0</v>
      </c>
      <c r="M1154" s="367"/>
      <c r="N1154" s="370"/>
      <c r="O1154" s="370"/>
      <c r="P1154" s="375"/>
      <c r="Q1154" s="375"/>
      <c r="R1154" s="375"/>
      <c r="S1154" s="382"/>
      <c r="T1154" s="383"/>
      <c r="U1154" s="383"/>
      <c r="V1154" s="383"/>
      <c r="W1154" s="375"/>
    </row>
    <row r="1155" spans="1:23" ht="16.5" thickTop="1" thickBot="1" x14ac:dyDescent="0.3">
      <c r="A1155" s="387"/>
      <c r="B1155" s="388" t="s">
        <v>729</v>
      </c>
      <c r="C1155" s="389">
        <f>COUNTIF(B$1:B1148,B1155)</f>
        <v>1</v>
      </c>
      <c r="D1155" s="390">
        <f>C1155/C1156</f>
        <v>0.2</v>
      </c>
      <c r="E1155" s="391"/>
      <c r="F1155" s="392"/>
      <c r="G1155" s="393"/>
      <c r="H1155" s="393"/>
      <c r="I1155" s="394"/>
      <c r="J1155" s="446">
        <f>SUMIF(B$3:B1154,B1155,T$3:T1156)</f>
        <v>0</v>
      </c>
      <c r="K1155" s="447"/>
      <c r="L1155" s="448">
        <f>J1155/J1156</f>
        <v>0</v>
      </c>
      <c r="M1155" s="395"/>
      <c r="N1155" s="395"/>
      <c r="O1155" s="395"/>
      <c r="P1155" s="375"/>
      <c r="Q1155" s="375"/>
      <c r="R1155" s="375"/>
      <c r="S1155" s="382"/>
      <c r="T1155" s="383"/>
      <c r="U1155" s="383"/>
      <c r="V1155" s="383"/>
      <c r="W1155" s="375"/>
    </row>
    <row r="1156" spans="1:23" x14ac:dyDescent="0.25">
      <c r="A1156" s="361"/>
      <c r="B1156" s="396"/>
      <c r="C1156" s="397">
        <f>SUM(C1151:C1155)</f>
        <v>5</v>
      </c>
      <c r="D1156" s="363"/>
      <c r="E1156" s="377"/>
      <c r="F1156" s="365"/>
      <c r="G1156" s="366"/>
      <c r="H1156" s="366"/>
      <c r="I1156" s="378"/>
      <c r="J1156" s="398">
        <f>SUM(J1151:J1155)</f>
        <v>48</v>
      </c>
      <c r="K1156" s="379"/>
      <c r="L1156" s="399"/>
      <c r="M1156" s="367"/>
      <c r="N1156" s="370"/>
      <c r="O1156" s="370"/>
      <c r="P1156" s="375"/>
      <c r="Q1156" s="375"/>
      <c r="R1156" s="375"/>
      <c r="S1156" s="382"/>
      <c r="T1156" s="383"/>
      <c r="U1156" s="383"/>
      <c r="V1156" s="383"/>
      <c r="W1156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/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90"/>
    </row>
    <row r="2" spans="1:34" s="314" customFormat="1" ht="19.5" x14ac:dyDescent="0.3">
      <c r="C2" s="315" t="s">
        <v>779</v>
      </c>
      <c r="K2" s="590"/>
    </row>
    <row r="4" spans="1:34" ht="15.75" thickBot="1" x14ac:dyDescent="0.3">
      <c r="A4" s="30" t="s">
        <v>977</v>
      </c>
    </row>
    <row r="5" spans="1:34" s="1" customFormat="1" ht="15.75" thickBot="1" x14ac:dyDescent="0.3">
      <c r="A5"/>
      <c r="B5" s="477" t="s">
        <v>878</v>
      </c>
      <c r="C5" s="688">
        <f>MATCH("NewOpp",E5:N5,0)+4</f>
        <v>12</v>
      </c>
      <c r="D5" s="688">
        <f>MATCH("STOP",E5:N5,0)+4</f>
        <v>14</v>
      </c>
      <c r="K5" s="517"/>
      <c r="L5" s="478" t="s">
        <v>803</v>
      </c>
      <c r="M5" s="479" t="s">
        <v>805</v>
      </c>
      <c r="N5" s="572" t="s">
        <v>869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9">
        <v>0</v>
      </c>
      <c r="B7" s="486" t="s">
        <v>580</v>
      </c>
      <c r="C7" s="484" t="s">
        <v>580</v>
      </c>
      <c r="D7" s="485" t="s">
        <v>580</v>
      </c>
      <c r="E7" s="566">
        <v>0</v>
      </c>
      <c r="F7" s="566">
        <v>0</v>
      </c>
      <c r="G7" s="566">
        <v>0</v>
      </c>
      <c r="H7" s="566">
        <v>0</v>
      </c>
      <c r="I7" s="566">
        <v>0</v>
      </c>
      <c r="J7" s="566">
        <v>0</v>
      </c>
      <c r="K7" s="566">
        <v>17</v>
      </c>
      <c r="L7" s="567" t="s">
        <v>870</v>
      </c>
      <c r="M7" s="567" t="s">
        <v>130</v>
      </c>
      <c r="N7" s="567" t="s">
        <v>130</v>
      </c>
      <c r="O7" s="567" t="s">
        <v>127</v>
      </c>
      <c r="P7" s="567" t="s">
        <v>870</v>
      </c>
      <c r="Q7" s="567" t="s">
        <v>131</v>
      </c>
      <c r="R7" s="567" t="s">
        <v>113</v>
      </c>
      <c r="S7" s="567" t="s">
        <v>71</v>
      </c>
      <c r="T7" s="567" t="s">
        <v>113</v>
      </c>
      <c r="U7" s="567" t="s">
        <v>113</v>
      </c>
      <c r="V7" s="567" t="s">
        <v>113</v>
      </c>
      <c r="W7" s="567" t="s">
        <v>110</v>
      </c>
      <c r="X7" s="567" t="s">
        <v>91</v>
      </c>
      <c r="Y7" s="567" t="s">
        <v>110</v>
      </c>
      <c r="Z7" s="566">
        <v>0</v>
      </c>
      <c r="AA7" s="452"/>
      <c r="AB7" s="91"/>
    </row>
    <row r="8" spans="1:34" x14ac:dyDescent="0.25">
      <c r="A8" s="515"/>
      <c r="B8" s="486" t="s">
        <v>664</v>
      </c>
      <c r="C8" s="484"/>
      <c r="D8" s="485"/>
      <c r="E8" s="565"/>
      <c r="F8" s="565"/>
      <c r="G8" s="565"/>
      <c r="H8" s="565"/>
      <c r="I8" s="565"/>
      <c r="J8" s="565"/>
      <c r="K8" s="565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665</v>
      </c>
      <c r="C9" s="484"/>
      <c r="D9" s="485"/>
      <c r="E9" s="565"/>
      <c r="F9" s="565"/>
      <c r="G9" s="565"/>
      <c r="H9" s="565"/>
      <c r="I9" s="565"/>
      <c r="J9" s="565"/>
      <c r="K9" s="565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783</v>
      </c>
      <c r="C10" s="484"/>
      <c r="D10" s="485"/>
      <c r="E10" s="565"/>
      <c r="F10" s="565"/>
      <c r="G10" s="565"/>
      <c r="H10" s="565"/>
      <c r="I10" s="565"/>
      <c r="J10" s="565"/>
      <c r="K10" s="565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28" t="s">
        <v>551</v>
      </c>
      <c r="B11" s="577" t="s">
        <v>876</v>
      </c>
      <c r="C11" s="481" t="s">
        <v>806</v>
      </c>
      <c r="D11" s="482"/>
      <c r="E11" s="316" t="s">
        <v>685</v>
      </c>
      <c r="F11" s="587" t="s">
        <v>65</v>
      </c>
      <c r="G11" s="587" t="s">
        <v>898</v>
      </c>
      <c r="H11" s="580" t="s">
        <v>62</v>
      </c>
      <c r="I11" s="580"/>
      <c r="J11" s="317" t="s">
        <v>903</v>
      </c>
      <c r="K11" s="605" t="s">
        <v>354</v>
      </c>
      <c r="L11" s="608" t="s">
        <v>897</v>
      </c>
      <c r="M11" s="599" t="s">
        <v>68</v>
      </c>
      <c r="N11" s="599" t="s">
        <v>67</v>
      </c>
      <c r="O11" s="600" t="s">
        <v>66</v>
      </c>
      <c r="P11" s="599" t="s">
        <v>808</v>
      </c>
      <c r="Q11" s="602" t="s">
        <v>0</v>
      </c>
      <c r="R11" s="835" t="s">
        <v>2</v>
      </c>
      <c r="S11" s="836"/>
      <c r="T11" s="601" t="s">
        <v>1</v>
      </c>
      <c r="U11" s="600" t="s">
        <v>62</v>
      </c>
      <c r="V11" s="601" t="s">
        <v>64</v>
      </c>
      <c r="W11" s="603" t="s">
        <v>61</v>
      </c>
      <c r="X11" s="604" t="s">
        <v>63</v>
      </c>
      <c r="Y11" s="601" t="s">
        <v>57</v>
      </c>
      <c r="Z11"/>
    </row>
    <row r="12" spans="1:34" s="5" customFormat="1" ht="15.75" thickBot="1" x14ac:dyDescent="0.3">
      <c r="A12" s="829"/>
      <c r="B12" s="483" t="s">
        <v>122</v>
      </c>
      <c r="C12" s="484" t="s">
        <v>806</v>
      </c>
      <c r="D12" s="568"/>
      <c r="E12" s="495"/>
      <c r="F12" s="606"/>
      <c r="G12"/>
      <c r="H12"/>
      <c r="I12"/>
      <c r="J12" s="473"/>
      <c r="K12" s="598"/>
      <c r="L12" s="607">
        <f>HYPERLINK("https://eu1.salesforce.com/"&amp;E12,F12)</f>
        <v>0</v>
      </c>
      <c r="M12" s="594"/>
      <c r="N12" s="594"/>
      <c r="O12" s="595"/>
      <c r="P12" s="664">
        <v>1234567.8899999999</v>
      </c>
      <c r="Q12" s="664">
        <v>1234567.8899999999</v>
      </c>
      <c r="R12" s="837"/>
      <c r="S12" s="838"/>
      <c r="T12" s="596"/>
      <c r="U12" s="607">
        <f>HYPERLINK("https://eu1.salesforce.com/"&amp;G12,H12)</f>
        <v>0</v>
      </c>
      <c r="V12" s="597"/>
      <c r="W12" s="597"/>
      <c r="X12" s="597"/>
      <c r="Y12" s="597"/>
    </row>
    <row r="13" spans="1:34" x14ac:dyDescent="0.25">
      <c r="A13" s="829"/>
      <c r="B13" s="486" t="s">
        <v>663</v>
      </c>
      <c r="C13" s="484"/>
      <c r="D13" s="485"/>
      <c r="E13" s="565">
        <v>0.5</v>
      </c>
      <c r="F13" s="565"/>
      <c r="J13" s="565">
        <v>0.5</v>
      </c>
      <c r="K13" s="565">
        <v>17</v>
      </c>
      <c r="L13" s="268" t="s">
        <v>870</v>
      </c>
      <c r="M13" s="268" t="s">
        <v>130</v>
      </c>
      <c r="N13" s="268" t="s">
        <v>113</v>
      </c>
      <c r="O13" s="268" t="s">
        <v>111</v>
      </c>
      <c r="P13" s="268" t="s">
        <v>952</v>
      </c>
      <c r="Q13" s="268" t="s">
        <v>952</v>
      </c>
      <c r="R13" s="268" t="s">
        <v>871</v>
      </c>
      <c r="S13" s="268"/>
      <c r="T13" s="268" t="s">
        <v>113</v>
      </c>
      <c r="U13" s="268" t="s">
        <v>128</v>
      </c>
      <c r="V13" s="268" t="s">
        <v>128</v>
      </c>
      <c r="W13" s="268" t="s">
        <v>952</v>
      </c>
      <c r="X13" s="268" t="s">
        <v>91</v>
      </c>
      <c r="Y13" s="268" t="s">
        <v>110</v>
      </c>
      <c r="AA13" s="452"/>
      <c r="AB13" s="91"/>
    </row>
    <row r="14" spans="1:34" x14ac:dyDescent="0.25">
      <c r="A14" s="829"/>
      <c r="B14" s="486" t="s">
        <v>664</v>
      </c>
      <c r="C14" s="484"/>
      <c r="D14" s="485"/>
      <c r="E14" s="565">
        <v>1</v>
      </c>
      <c r="F14" s="565">
        <v>9</v>
      </c>
      <c r="G14" s="565">
        <v>25</v>
      </c>
      <c r="H14" s="473">
        <v>25</v>
      </c>
      <c r="I14" s="473"/>
      <c r="J14" s="565" t="s">
        <v>902</v>
      </c>
      <c r="K14" s="565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796</v>
      </c>
      <c r="S14" s="268"/>
      <c r="T14" s="268" t="s">
        <v>870</v>
      </c>
      <c r="U14" s="268"/>
      <c r="V14" s="268" t="s">
        <v>872</v>
      </c>
      <c r="W14" s="268" t="s">
        <v>874</v>
      </c>
      <c r="X14" s="268" t="s">
        <v>875</v>
      </c>
      <c r="Y14" s="268" t="s">
        <v>873</v>
      </c>
      <c r="AD14" s="453"/>
      <c r="AE14" s="453"/>
      <c r="AF14" s="453"/>
      <c r="AG14" s="453"/>
      <c r="AH14" s="453"/>
    </row>
    <row r="15" spans="1:34" x14ac:dyDescent="0.25">
      <c r="A15" s="829"/>
      <c r="B15" s="486" t="s">
        <v>665</v>
      </c>
      <c r="C15" s="484"/>
      <c r="D15" s="485"/>
      <c r="E15" s="565"/>
      <c r="F15" s="565"/>
      <c r="G15" s="565" t="s">
        <v>899</v>
      </c>
      <c r="H15" t="s">
        <v>901</v>
      </c>
      <c r="J15" s="565"/>
      <c r="K15" s="581" t="s">
        <v>891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30"/>
      <c r="B16" s="487" t="s">
        <v>783</v>
      </c>
      <c r="C16" s="490"/>
      <c r="D16" s="491"/>
      <c r="E16" s="574"/>
      <c r="F16" s="574"/>
      <c r="G16" s="574" t="s">
        <v>900</v>
      </c>
      <c r="J16" s="574" t="s">
        <v>904</v>
      </c>
      <c r="K16" s="57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28" t="s">
        <v>136</v>
      </c>
      <c r="B17" s="578" t="s">
        <v>877</v>
      </c>
      <c r="C17" s="481" t="s">
        <v>806</v>
      </c>
      <c r="D17" s="482"/>
      <c r="E17" s="502" t="s">
        <v>686</v>
      </c>
      <c r="F17" s="502"/>
      <c r="G17" s="502"/>
      <c r="H17" s="503" t="s">
        <v>818</v>
      </c>
      <c r="I17" s="503"/>
      <c r="J17" s="504" t="s">
        <v>588</v>
      </c>
      <c r="K17" s="592"/>
      <c r="L17" s="609" t="s">
        <v>817</v>
      </c>
      <c r="M17" s="610" t="s">
        <v>811</v>
      </c>
      <c r="N17" s="611" t="s">
        <v>816</v>
      </c>
      <c r="O17" s="611" t="s">
        <v>812</v>
      </c>
      <c r="P17" s="612" t="s">
        <v>813</v>
      </c>
      <c r="Q17" s="612" t="s">
        <v>814</v>
      </c>
      <c r="R17" s="839" t="s">
        <v>815</v>
      </c>
      <c r="S17" s="840"/>
      <c r="T17" s="609" t="s">
        <v>887</v>
      </c>
      <c r="W17" s="609" t="s">
        <v>889</v>
      </c>
      <c r="X17" s="505"/>
    </row>
    <row r="18" spans="1:37" s="5" customFormat="1" ht="15.75" thickBot="1" x14ac:dyDescent="0.3">
      <c r="A18" s="829"/>
      <c r="B18" s="483" t="s">
        <v>122</v>
      </c>
      <c r="C18" s="484" t="s">
        <v>905</v>
      </c>
      <c r="D18" s="613">
        <f>E12</f>
        <v>0</v>
      </c>
      <c r="H18" s="614"/>
      <c r="I18" s="614"/>
      <c r="J18" s="615"/>
      <c r="K18" s="591"/>
      <c r="L18" s="616"/>
      <c r="M18" s="618"/>
      <c r="N18" s="617"/>
      <c r="O18" s="617"/>
      <c r="P18" s="617"/>
      <c r="Q18" s="618"/>
      <c r="R18" s="841"/>
      <c r="S18" s="842"/>
      <c r="T18" s="619"/>
      <c r="W18" s="666"/>
      <c r="X18" s="505"/>
    </row>
    <row r="19" spans="1:37" x14ac:dyDescent="0.25">
      <c r="A19" s="829"/>
      <c r="B19" s="486" t="s">
        <v>663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5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952</v>
      </c>
      <c r="X19" s="473"/>
    </row>
    <row r="20" spans="1:37" x14ac:dyDescent="0.25">
      <c r="A20" s="829"/>
      <c r="B20" s="486" t="s">
        <v>664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29"/>
      <c r="B21" s="486" t="s">
        <v>665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30"/>
      <c r="B22" s="487" t="s">
        <v>783</v>
      </c>
      <c r="C22" s="488"/>
      <c r="D22" s="489"/>
      <c r="E22" s="576" t="s">
        <v>879</v>
      </c>
      <c r="F22" s="576"/>
      <c r="G22"/>
      <c r="H22"/>
      <c r="I22"/>
      <c r="J22" s="2"/>
      <c r="K22" s="574"/>
      <c r="L22" s="576" t="s">
        <v>880</v>
      </c>
      <c r="M22" s="576" t="s">
        <v>881</v>
      </c>
      <c r="N22" s="576" t="s">
        <v>882</v>
      </c>
      <c r="O22" s="576" t="s">
        <v>883</v>
      </c>
      <c r="P22" s="576" t="s">
        <v>884</v>
      </c>
      <c r="Q22" s="576" t="s">
        <v>885</v>
      </c>
      <c r="R22" s="576" t="s">
        <v>886</v>
      </c>
      <c r="S22" s="492"/>
      <c r="T22" s="576" t="s">
        <v>888</v>
      </c>
      <c r="U22" s="576"/>
      <c r="X22" s="576" t="s">
        <v>890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28" t="s">
        <v>563</v>
      </c>
      <c r="B23" s="579" t="s">
        <v>892</v>
      </c>
      <c r="C23" s="481" t="s">
        <v>806</v>
      </c>
      <c r="D23" s="482"/>
      <c r="E23" s="317" t="s">
        <v>157</v>
      </c>
      <c r="F23" s="317" t="s">
        <v>893</v>
      </c>
      <c r="G23" s="317" t="s">
        <v>804</v>
      </c>
      <c r="H23" s="684" t="s">
        <v>962</v>
      </c>
      <c r="I23" s="684" t="s">
        <v>898</v>
      </c>
      <c r="J23" s="499" t="s">
        <v>588</v>
      </c>
      <c r="K23" s="593"/>
      <c r="L23" s="831" t="s">
        <v>804</v>
      </c>
      <c r="M23" s="832"/>
      <c r="N23" s="657" t="s">
        <v>809</v>
      </c>
      <c r="O23" s="494" t="s">
        <v>953</v>
      </c>
      <c r="P23" s="494" t="s">
        <v>807</v>
      </c>
      <c r="Q23" s="494" t="s">
        <v>810</v>
      </c>
      <c r="R23" s="494" t="s">
        <v>895</v>
      </c>
      <c r="S23" s="494" t="s">
        <v>894</v>
      </c>
      <c r="T23" s="494" t="s">
        <v>1</v>
      </c>
      <c r="U23" s="494" t="s">
        <v>62</v>
      </c>
      <c r="V23" s="494" t="s">
        <v>676</v>
      </c>
      <c r="W23" s="494" t="s">
        <v>587</v>
      </c>
      <c r="X23" s="494" t="s">
        <v>819</v>
      </c>
      <c r="Y23" s="494" t="s">
        <v>365</v>
      </c>
      <c r="Z23" s="144"/>
      <c r="AA23" s="144"/>
      <c r="AB23" s="144"/>
    </row>
    <row r="24" spans="1:37" ht="15.75" thickBot="1" x14ac:dyDescent="0.3">
      <c r="A24" s="829"/>
      <c r="B24" s="483" t="s">
        <v>122</v>
      </c>
      <c r="C24" s="620" t="str">
        <f>IF(LEN(J12)=0,"",J12)</f>
        <v/>
      </c>
      <c r="D24" s="584">
        <v>1</v>
      </c>
      <c r="F24" s="497"/>
      <c r="G24" s="327"/>
      <c r="H24" s="500"/>
      <c r="I24" s="500"/>
      <c r="J24" s="498"/>
      <c r="K24" s="622" t="s">
        <v>908</v>
      </c>
      <c r="L24" s="833">
        <f>HYPERLINK("https://eu1.salesforce.com/"&amp;F24,G24)</f>
        <v>0</v>
      </c>
      <c r="M24" s="834"/>
      <c r="N24" s="1"/>
      <c r="O24" s="1"/>
      <c r="P24" s="665"/>
      <c r="Q24" s="1"/>
      <c r="R24" s="1"/>
      <c r="S24" s="1"/>
      <c r="T24" s="690"/>
      <c r="U24" s="689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29"/>
      <c r="B25" s="486" t="s">
        <v>663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5"/>
      <c r="L25" s="585" t="s">
        <v>870</v>
      </c>
      <c r="M25" s="585"/>
      <c r="N25" s="585" t="s">
        <v>113</v>
      </c>
      <c r="O25" s="585"/>
      <c r="P25" s="268" t="s">
        <v>998</v>
      </c>
      <c r="Q25" s="268" t="s">
        <v>999</v>
      </c>
      <c r="R25" s="585"/>
      <c r="S25" s="585"/>
      <c r="T25" s="585" t="s">
        <v>113</v>
      </c>
      <c r="U25" s="585" t="s">
        <v>113</v>
      </c>
      <c r="V25" s="585" t="s">
        <v>113</v>
      </c>
      <c r="W25" s="585" t="s">
        <v>128</v>
      </c>
      <c r="X25" s="585" t="s">
        <v>128</v>
      </c>
      <c r="Y25" s="585" t="s">
        <v>128</v>
      </c>
      <c r="AB25" s="91"/>
      <c r="AD25" s="452"/>
      <c r="AE25" s="91"/>
    </row>
    <row r="26" spans="1:37" ht="15.75" thickBot="1" x14ac:dyDescent="0.3">
      <c r="A26" s="829"/>
      <c r="B26" s="486" t="s">
        <v>664</v>
      </c>
      <c r="C26" s="484" t="s">
        <v>70</v>
      </c>
      <c r="D26" s="582" t="s">
        <v>128</v>
      </c>
      <c r="E26" s="575" t="s">
        <v>906</v>
      </c>
      <c r="F26" s="473" t="s">
        <v>70</v>
      </c>
      <c r="G26" s="473">
        <v>3</v>
      </c>
      <c r="H26" s="492" t="s">
        <v>964</v>
      </c>
      <c r="I26" s="492" t="s">
        <v>964</v>
      </c>
      <c r="J26" s="492"/>
      <c r="K26" s="698"/>
      <c r="L26" s="473"/>
      <c r="M26" s="473"/>
      <c r="N26" s="492" t="s">
        <v>824</v>
      </c>
      <c r="O26" s="492">
        <v>26</v>
      </c>
      <c r="P26" s="492" t="s">
        <v>131</v>
      </c>
      <c r="Q26" s="473" t="s">
        <v>129</v>
      </c>
      <c r="R26" s="473" t="s">
        <v>896</v>
      </c>
      <c r="S26" s="585" t="s">
        <v>111</v>
      </c>
      <c r="T26" s="492" t="s">
        <v>113</v>
      </c>
      <c r="U26" s="492"/>
      <c r="V26" s="588"/>
      <c r="W26" s="588"/>
      <c r="X26" s="588"/>
      <c r="Y26" s="588"/>
      <c r="AG26" s="453"/>
      <c r="AH26" s="453"/>
      <c r="AI26" s="453"/>
      <c r="AJ26" s="453"/>
      <c r="AK26" s="453"/>
    </row>
    <row r="27" spans="1:37" ht="45" x14ac:dyDescent="0.25">
      <c r="A27" s="829"/>
      <c r="B27" s="486" t="s">
        <v>665</v>
      </c>
      <c r="C27" s="484"/>
      <c r="D27" s="485"/>
      <c r="E27" s="583" t="s">
        <v>967</v>
      </c>
      <c r="K27" s="621" t="s">
        <v>968</v>
      </c>
      <c r="L27" s="621" t="s">
        <v>907</v>
      </c>
      <c r="M27" s="586"/>
      <c r="N27" s="586"/>
      <c r="O27" s="586"/>
      <c r="T27" s="586"/>
      <c r="U27" s="621" t="s">
        <v>907</v>
      </c>
      <c r="AG27" s="453"/>
      <c r="AH27" s="453"/>
      <c r="AI27" s="453"/>
      <c r="AJ27" s="453"/>
      <c r="AK27" s="453"/>
    </row>
    <row r="28" spans="1:37" ht="15.75" thickBot="1" x14ac:dyDescent="0.3">
      <c r="A28" s="830"/>
      <c r="B28" s="487" t="s">
        <v>783</v>
      </c>
      <c r="C28" s="490"/>
      <c r="D28" s="489"/>
      <c r="E28" s="118"/>
      <c r="H28" s="574" t="s">
        <v>961</v>
      </c>
      <c r="I28" s="574" t="s">
        <v>965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954</v>
      </c>
    </row>
    <row r="31" spans="1:37" s="1" customFormat="1" ht="15.75" thickBot="1" x14ac:dyDescent="0.3">
      <c r="A31"/>
      <c r="B31" s="477" t="s">
        <v>878</v>
      </c>
      <c r="C31" s="520" t="s">
        <v>133</v>
      </c>
      <c r="D31" s="520" t="s">
        <v>131</v>
      </c>
      <c r="K31" s="517"/>
      <c r="L31" s="478" t="s">
        <v>910</v>
      </c>
      <c r="M31" s="479" t="s">
        <v>805</v>
      </c>
      <c r="N31" s="572" t="s">
        <v>869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9">
        <v>0</v>
      </c>
      <c r="B33" s="486" t="s">
        <v>580</v>
      </c>
      <c r="C33" s="484" t="s">
        <v>580</v>
      </c>
      <c r="D33" s="485" t="s">
        <v>580</v>
      </c>
      <c r="E33" s="566">
        <v>0</v>
      </c>
      <c r="F33" s="566">
        <v>0</v>
      </c>
      <c r="G33" s="566">
        <v>0</v>
      </c>
      <c r="H33" s="566">
        <v>0</v>
      </c>
      <c r="I33" s="566"/>
      <c r="J33" s="566">
        <v>0</v>
      </c>
      <c r="K33" s="566">
        <v>17</v>
      </c>
      <c r="L33" s="567" t="s">
        <v>870</v>
      </c>
      <c r="M33" s="567" t="s">
        <v>130</v>
      </c>
      <c r="N33" s="567" t="s">
        <v>130</v>
      </c>
      <c r="O33" s="567" t="s">
        <v>127</v>
      </c>
      <c r="P33" s="567" t="s">
        <v>870</v>
      </c>
      <c r="Q33" s="567" t="s">
        <v>131</v>
      </c>
      <c r="R33" s="567" t="s">
        <v>113</v>
      </c>
      <c r="S33" s="567" t="s">
        <v>71</v>
      </c>
      <c r="T33" s="567" t="s">
        <v>113</v>
      </c>
      <c r="U33" s="567" t="s">
        <v>113</v>
      </c>
      <c r="V33" s="567" t="s">
        <v>113</v>
      </c>
      <c r="W33" s="567" t="s">
        <v>110</v>
      </c>
      <c r="X33" s="567" t="s">
        <v>91</v>
      </c>
      <c r="Y33" s="567" t="s">
        <v>110</v>
      </c>
      <c r="AA33" s="452"/>
      <c r="AB33" s="91"/>
    </row>
    <row r="34" spans="1:35" x14ac:dyDescent="0.25">
      <c r="A34" s="515"/>
      <c r="B34" s="486" t="s">
        <v>664</v>
      </c>
      <c r="C34" s="484"/>
      <c r="D34" s="485"/>
      <c r="E34" s="565"/>
      <c r="F34" s="565"/>
      <c r="G34" s="565"/>
      <c r="H34" s="565"/>
      <c r="I34" s="565"/>
      <c r="J34" s="565"/>
      <c r="K34" s="565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665</v>
      </c>
      <c r="C35" s="484"/>
      <c r="D35" s="485"/>
      <c r="E35" s="565"/>
      <c r="F35" s="565"/>
      <c r="G35" s="565"/>
      <c r="H35" s="565"/>
      <c r="I35" s="565"/>
      <c r="J35" s="565"/>
      <c r="K35" s="565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783</v>
      </c>
      <c r="C36" s="484"/>
      <c r="D36" s="485"/>
      <c r="E36" s="565"/>
      <c r="F36" s="565"/>
      <c r="G36" s="565"/>
      <c r="H36" s="565"/>
      <c r="I36" s="565"/>
      <c r="J36" s="565"/>
      <c r="K36" s="565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28" t="s">
        <v>551</v>
      </c>
      <c r="B37" s="577" t="s">
        <v>876</v>
      </c>
      <c r="C37" s="481" t="s">
        <v>806</v>
      </c>
      <c r="D37" s="482"/>
      <c r="E37" s="316" t="s">
        <v>685</v>
      </c>
      <c r="F37" s="587" t="s">
        <v>65</v>
      </c>
      <c r="G37" s="587" t="s">
        <v>898</v>
      </c>
      <c r="H37" s="580" t="s">
        <v>62</v>
      </c>
      <c r="I37" s="580"/>
      <c r="J37" s="317" t="s">
        <v>903</v>
      </c>
      <c r="K37" s="605" t="s">
        <v>354</v>
      </c>
      <c r="L37" s="608" t="s">
        <v>897</v>
      </c>
      <c r="M37" s="599" t="s">
        <v>68</v>
      </c>
      <c r="N37" s="599" t="s">
        <v>67</v>
      </c>
      <c r="O37" s="600" t="s">
        <v>66</v>
      </c>
      <c r="P37" s="599" t="s">
        <v>808</v>
      </c>
      <c r="Q37" s="602" t="s">
        <v>0</v>
      </c>
      <c r="R37" s="835" t="s">
        <v>2</v>
      </c>
      <c r="S37" s="836"/>
      <c r="T37" s="601" t="s">
        <v>1</v>
      </c>
      <c r="U37" s="600" t="s">
        <v>62</v>
      </c>
      <c r="V37" s="601" t="s">
        <v>64</v>
      </c>
      <c r="W37" s="603" t="s">
        <v>61</v>
      </c>
      <c r="X37" s="604" t="s">
        <v>63</v>
      </c>
      <c r="Y37" s="601" t="s">
        <v>57</v>
      </c>
      <c r="Z37"/>
    </row>
    <row r="38" spans="1:35" s="5" customFormat="1" ht="15.75" thickBot="1" x14ac:dyDescent="0.3">
      <c r="A38" s="829"/>
      <c r="B38" s="483" t="s">
        <v>122</v>
      </c>
      <c r="C38" s="484" t="s">
        <v>806</v>
      </c>
      <c r="D38" s="568"/>
      <c r="E38" s="495"/>
      <c r="F38" s="606"/>
      <c r="G38"/>
      <c r="H38"/>
      <c r="I38"/>
      <c r="J38" s="473"/>
      <c r="K38" s="598"/>
      <c r="L38" s="607">
        <f>HYPERLINK("https://eu1.salesforce.com/"&amp;E38,F38)</f>
        <v>0</v>
      </c>
      <c r="M38" s="594"/>
      <c r="N38" s="594"/>
      <c r="O38" s="595"/>
      <c r="P38" s="664">
        <v>1234567.8899999999</v>
      </c>
      <c r="Q38" s="664">
        <v>1234567.8899999999</v>
      </c>
      <c r="R38" s="837"/>
      <c r="S38" s="838"/>
      <c r="T38" s="596"/>
      <c r="U38" s="607">
        <f>HYPERLINK("https://eu1.salesforce.com/"&amp;G38,H38)</f>
        <v>0</v>
      </c>
      <c r="V38" s="597"/>
      <c r="W38" s="597"/>
      <c r="X38" s="597"/>
      <c r="Y38" s="597"/>
    </row>
    <row r="39" spans="1:35" x14ac:dyDescent="0.25">
      <c r="A39" s="829"/>
      <c r="B39" s="486" t="s">
        <v>663</v>
      </c>
      <c r="C39" s="484"/>
      <c r="D39" s="485"/>
      <c r="E39" s="565">
        <v>0.5</v>
      </c>
      <c r="F39" s="565"/>
      <c r="J39" s="565">
        <v>0.5</v>
      </c>
      <c r="K39" s="565">
        <v>17</v>
      </c>
      <c r="L39" s="268" t="s">
        <v>870</v>
      </c>
      <c r="M39" s="268" t="s">
        <v>130</v>
      </c>
      <c r="N39" s="268" t="s">
        <v>113</v>
      </c>
      <c r="O39" s="268" t="s">
        <v>111</v>
      </c>
      <c r="P39" s="268" t="s">
        <v>952</v>
      </c>
      <c r="Q39" s="268" t="s">
        <v>952</v>
      </c>
      <c r="R39" s="268" t="s">
        <v>871</v>
      </c>
      <c r="S39" s="268"/>
      <c r="T39" s="268" t="s">
        <v>113</v>
      </c>
      <c r="U39" s="268" t="s">
        <v>128</v>
      </c>
      <c r="V39" s="268" t="s">
        <v>128</v>
      </c>
      <c r="W39" s="268" t="s">
        <v>952</v>
      </c>
      <c r="X39" s="268" t="s">
        <v>91</v>
      </c>
      <c r="Y39" s="268" t="s">
        <v>110</v>
      </c>
      <c r="AA39" s="452"/>
      <c r="AB39" s="91"/>
    </row>
    <row r="40" spans="1:35" x14ac:dyDescent="0.25">
      <c r="A40" s="829"/>
      <c r="B40" s="486" t="s">
        <v>664</v>
      </c>
      <c r="C40" s="484"/>
      <c r="D40" s="485"/>
      <c r="E40" s="565">
        <v>1</v>
      </c>
      <c r="F40" s="565">
        <v>9</v>
      </c>
      <c r="G40" s="565">
        <v>25</v>
      </c>
      <c r="H40" s="473">
        <v>25</v>
      </c>
      <c r="I40" s="473"/>
      <c r="J40" s="565" t="s">
        <v>902</v>
      </c>
      <c r="K40" s="565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796</v>
      </c>
      <c r="S40" s="268"/>
      <c r="T40" s="268" t="s">
        <v>870</v>
      </c>
      <c r="U40" s="268"/>
      <c r="V40" s="268" t="s">
        <v>872</v>
      </c>
      <c r="W40" s="268" t="s">
        <v>874</v>
      </c>
      <c r="X40" s="268" t="s">
        <v>875</v>
      </c>
      <c r="Y40" s="268" t="s">
        <v>873</v>
      </c>
      <c r="AD40" s="453"/>
      <c r="AE40" s="453"/>
      <c r="AF40" s="453"/>
      <c r="AG40" s="453"/>
      <c r="AH40" s="453"/>
    </row>
    <row r="41" spans="1:35" x14ac:dyDescent="0.25">
      <c r="A41" s="829"/>
      <c r="B41" s="486" t="s">
        <v>665</v>
      </c>
      <c r="C41" s="484"/>
      <c r="D41" s="485"/>
      <c r="E41" s="565"/>
      <c r="F41" s="565"/>
      <c r="G41" s="565" t="s">
        <v>899</v>
      </c>
      <c r="H41" t="s">
        <v>901</v>
      </c>
      <c r="J41" s="565"/>
      <c r="K41" s="581" t="s">
        <v>891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30"/>
      <c r="B42" s="487" t="s">
        <v>783</v>
      </c>
      <c r="C42" s="490"/>
      <c r="D42" s="491"/>
      <c r="E42" s="574"/>
      <c r="F42" s="574"/>
      <c r="G42" s="574" t="s">
        <v>900</v>
      </c>
      <c r="J42" s="574" t="s">
        <v>904</v>
      </c>
      <c r="K42" s="57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28" t="s">
        <v>136</v>
      </c>
      <c r="B43" s="578" t="s">
        <v>877</v>
      </c>
      <c r="C43" s="481" t="s">
        <v>806</v>
      </c>
      <c r="D43" s="482"/>
      <c r="E43" s="502" t="s">
        <v>686</v>
      </c>
      <c r="F43" s="502"/>
      <c r="G43" s="502"/>
      <c r="H43" s="503" t="s">
        <v>818</v>
      </c>
      <c r="I43" s="503"/>
      <c r="J43" s="504" t="s">
        <v>588</v>
      </c>
      <c r="K43" s="592"/>
      <c r="L43" s="663" t="s">
        <v>817</v>
      </c>
      <c r="M43" s="610" t="s">
        <v>811</v>
      </c>
      <c r="N43" s="611" t="s">
        <v>816</v>
      </c>
      <c r="O43" s="611" t="s">
        <v>812</v>
      </c>
      <c r="P43" s="612" t="s">
        <v>813</v>
      </c>
      <c r="Q43" s="612" t="s">
        <v>814</v>
      </c>
      <c r="R43" s="839" t="s">
        <v>815</v>
      </c>
      <c r="S43" s="840"/>
      <c r="T43" s="663" t="s">
        <v>887</v>
      </c>
      <c r="W43" s="663" t="s">
        <v>889</v>
      </c>
      <c r="X43" s="505"/>
    </row>
    <row r="44" spans="1:35" s="5" customFormat="1" ht="15.75" thickBot="1" x14ac:dyDescent="0.3">
      <c r="A44" s="829"/>
      <c r="B44" s="483" t="s">
        <v>122</v>
      </c>
      <c r="C44" s="484" t="s">
        <v>905</v>
      </c>
      <c r="D44" s="613">
        <f>E38</f>
        <v>0</v>
      </c>
      <c r="H44" s="614"/>
      <c r="I44" s="614"/>
      <c r="J44" s="615"/>
      <c r="K44" s="591"/>
      <c r="L44" s="616"/>
      <c r="M44" s="618"/>
      <c r="N44" s="617"/>
      <c r="O44" s="617"/>
      <c r="P44" s="617"/>
      <c r="Q44" s="618"/>
      <c r="R44" s="841"/>
      <c r="S44" s="842"/>
      <c r="T44" s="619"/>
      <c r="W44" s="666"/>
      <c r="X44" s="505"/>
    </row>
    <row r="45" spans="1:35" x14ac:dyDescent="0.25">
      <c r="A45" s="829"/>
      <c r="B45" s="486" t="s">
        <v>663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5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952</v>
      </c>
      <c r="X45" s="473"/>
    </row>
    <row r="46" spans="1:35" x14ac:dyDescent="0.25">
      <c r="A46" s="829"/>
      <c r="B46" s="486" t="s">
        <v>664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29"/>
      <c r="B47" s="486" t="s">
        <v>665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30"/>
      <c r="B48" s="487" t="s">
        <v>783</v>
      </c>
      <c r="C48" s="488"/>
      <c r="D48" s="489"/>
      <c r="E48" s="576" t="s">
        <v>879</v>
      </c>
      <c r="F48" s="576"/>
      <c r="G48"/>
      <c r="H48"/>
      <c r="I48"/>
      <c r="J48" s="2"/>
      <c r="K48" s="574"/>
      <c r="L48" s="576" t="s">
        <v>880</v>
      </c>
      <c r="M48" s="576" t="s">
        <v>881</v>
      </c>
      <c r="N48" s="576" t="s">
        <v>882</v>
      </c>
      <c r="O48" s="576" t="s">
        <v>883</v>
      </c>
      <c r="P48" s="576" t="s">
        <v>884</v>
      </c>
      <c r="Q48" s="576" t="s">
        <v>885</v>
      </c>
      <c r="R48" s="576" t="s">
        <v>886</v>
      </c>
      <c r="S48" s="492"/>
      <c r="T48" s="576" t="s">
        <v>888</v>
      </c>
      <c r="W48" s="576" t="s">
        <v>890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28" t="s">
        <v>563</v>
      </c>
      <c r="B49" s="579" t="s">
        <v>892</v>
      </c>
      <c r="C49" s="481" t="s">
        <v>806</v>
      </c>
      <c r="D49" s="482"/>
      <c r="E49" s="317" t="s">
        <v>157</v>
      </c>
      <c r="F49" s="317" t="s">
        <v>893</v>
      </c>
      <c r="G49" s="317" t="s">
        <v>804</v>
      </c>
      <c r="H49" s="501" t="s">
        <v>62</v>
      </c>
      <c r="I49" s="501"/>
      <c r="J49" s="499" t="s">
        <v>588</v>
      </c>
      <c r="K49" s="593"/>
      <c r="L49" s="831" t="s">
        <v>804</v>
      </c>
      <c r="M49" s="832"/>
      <c r="N49" s="657" t="s">
        <v>809</v>
      </c>
      <c r="O49" s="494" t="s">
        <v>953</v>
      </c>
      <c r="P49" s="494" t="s">
        <v>807</v>
      </c>
      <c r="Q49" s="494" t="s">
        <v>810</v>
      </c>
      <c r="R49" s="494" t="s">
        <v>895</v>
      </c>
      <c r="S49" s="494" t="s">
        <v>894</v>
      </c>
      <c r="T49" s="494" t="s">
        <v>1</v>
      </c>
      <c r="U49" s="494" t="s">
        <v>676</v>
      </c>
      <c r="V49" s="494" t="s">
        <v>587</v>
      </c>
      <c r="W49" s="494" t="s">
        <v>819</v>
      </c>
      <c r="X49" s="494" t="s">
        <v>365</v>
      </c>
      <c r="Y49" s="144"/>
      <c r="Z49" s="144"/>
      <c r="AA49" s="144"/>
    </row>
    <row r="50" spans="1:36" ht="15.75" thickBot="1" x14ac:dyDescent="0.3">
      <c r="A50" s="829"/>
      <c r="B50" s="483" t="s">
        <v>122</v>
      </c>
      <c r="C50" s="620" t="str">
        <f>IF(LEN(J38)=0,"",J38)</f>
        <v/>
      </c>
      <c r="D50" s="584">
        <v>1</v>
      </c>
      <c r="F50" s="497"/>
      <c r="G50" s="327"/>
      <c r="H50" s="500"/>
      <c r="I50" s="500"/>
      <c r="J50" s="498"/>
      <c r="K50" s="622" t="s">
        <v>908</v>
      </c>
      <c r="L50" s="833">
        <f>HYPERLINK("https://eu1.salesforce.com/"&amp;F50,G50)</f>
        <v>0</v>
      </c>
      <c r="M50" s="834"/>
      <c r="N50" s="1"/>
      <c r="O50" s="1"/>
      <c r="P50" s="665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29"/>
      <c r="B51" s="486" t="s">
        <v>663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5"/>
      <c r="L51" s="585" t="s">
        <v>870</v>
      </c>
      <c r="M51" s="585"/>
      <c r="N51" s="585" t="s">
        <v>113</v>
      </c>
      <c r="O51" s="585"/>
      <c r="P51" s="268" t="s">
        <v>998</v>
      </c>
      <c r="Q51" s="268" t="s">
        <v>999</v>
      </c>
      <c r="R51" s="585"/>
      <c r="S51" s="585"/>
      <c r="T51" s="585" t="s">
        <v>113</v>
      </c>
      <c r="U51" s="585" t="s">
        <v>113</v>
      </c>
      <c r="V51" s="585" t="s">
        <v>128</v>
      </c>
      <c r="W51" s="585" t="s">
        <v>128</v>
      </c>
      <c r="X51" s="585" t="s">
        <v>128</v>
      </c>
      <c r="AA51" s="91"/>
      <c r="AC51" s="452"/>
      <c r="AD51" s="91"/>
    </row>
    <row r="52" spans="1:36" x14ac:dyDescent="0.25">
      <c r="A52" s="829"/>
      <c r="B52" s="486" t="s">
        <v>664</v>
      </c>
      <c r="C52" s="484" t="s">
        <v>70</v>
      </c>
      <c r="D52" s="582" t="s">
        <v>128</v>
      </c>
      <c r="E52" s="575" t="s">
        <v>906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824</v>
      </c>
      <c r="O52" s="492">
        <v>26</v>
      </c>
      <c r="P52" s="492" t="s">
        <v>131</v>
      </c>
      <c r="Q52" s="473" t="s">
        <v>129</v>
      </c>
      <c r="R52" s="473" t="s">
        <v>896</v>
      </c>
      <c r="S52" s="585" t="s">
        <v>111</v>
      </c>
      <c r="T52" s="492" t="s">
        <v>113</v>
      </c>
      <c r="U52" s="588"/>
      <c r="V52" s="588"/>
      <c r="W52" s="588"/>
      <c r="X52" s="588"/>
      <c r="Y52" s="589"/>
      <c r="AF52" s="453"/>
      <c r="AG52" s="453"/>
      <c r="AH52" s="453"/>
      <c r="AI52" s="453"/>
      <c r="AJ52" s="453"/>
    </row>
    <row r="53" spans="1:36" ht="45" x14ac:dyDescent="0.25">
      <c r="A53" s="829"/>
      <c r="B53" s="486" t="s">
        <v>665</v>
      </c>
      <c r="C53" s="484"/>
      <c r="D53" s="485"/>
      <c r="E53" s="583" t="s">
        <v>959</v>
      </c>
      <c r="K53" s="621" t="s">
        <v>907</v>
      </c>
      <c r="L53" s="621" t="s">
        <v>907</v>
      </c>
      <c r="M53" s="586"/>
      <c r="N53" s="586"/>
      <c r="O53" s="586"/>
      <c r="T53" s="586"/>
      <c r="AF53" s="453"/>
      <c r="AG53" s="453"/>
      <c r="AH53" s="453"/>
      <c r="AI53" s="453"/>
      <c r="AJ53" s="453"/>
    </row>
    <row r="54" spans="1:36" ht="15.75" thickBot="1" x14ac:dyDescent="0.3">
      <c r="A54" s="830"/>
      <c r="B54" s="487" t="s">
        <v>783</v>
      </c>
      <c r="C54" s="490"/>
      <c r="D54" s="489"/>
      <c r="E54" s="118"/>
      <c r="H54" s="574"/>
      <c r="I54" s="574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2013-04-27T22:42:06Z</dcterms:modified>
</cp:coreProperties>
</file>