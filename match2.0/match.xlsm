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7680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Process!$A$4:$O$149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Header!$B$196:$C$201</definedName>
    <definedName name="HDR_A_SN_2" comment="Sheet_для_загрузки_output.csv_с_SN_из_License_Inquiry_PartnerCenter.Autodesk">Header!$B$204:$R$210</definedName>
    <definedName name="HDR_A_SN_3" comment="16.08.13 HDR_A_SN_3 - Sheet для Upsert данных по SN Autodesk в SF -- SN_UPDATE">Header!$B$212:$R$218</definedName>
    <definedName name="HDR_AccntUpd" comment="18.6.12 HDR_AccntUpd шапка изменений Организаций SF, включая связь с 1С">Header!$A$166:$N$166</definedName>
    <definedName name="HDR_AdAcc" comment="11.6.12 - Шапка полей новой Организации">Header!$A$163:$V$163</definedName>
    <definedName name="HDR_BTOlog" comment="7.4.13 HDR_BTOlog шапка для журнала писем БТО">Header!$B$188:$N$193</definedName>
    <definedName name="HDR_ContractUpdate">Header!$A$157:$B$157</definedName>
    <definedName name="HDR_ContrLnk" comment="18.3.12 шапка для листа C_ContrLnk - связка Договора с Проектом">Header!$A$157:$B$157</definedName>
    <definedName name="HDR_DicAcc" comment="19.6.12 HDR_AccDic - шапка Словаря Организаций">Header!$A$169:$C$170</definedName>
    <definedName name="HDR_NewAcc" comment="HDR_NewAcc для занесения новых Организаций в SF">Header!$A$163:$V$163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Header!$C$141:$N$146</definedName>
    <definedName name="HDR_NewOppByPaidContr">Header!$C$149:$N$154</definedName>
    <definedName name="HDR_NewOrder" comment="25.4.12 HDR_NewOrder - шапка для новых Заказов">Header!$B$173:$N$178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Header!$A$185:$C$185</definedName>
    <definedName name="HDR_P_ADSKlink" comment="14/5/12 новые связи Платежей и Контрактов ADSK">Header!$A$182:$C$182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Header!$A$160:$B$160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Header!$C$141:$L$141</definedName>
    <definedName name="OppTypeRng" comment="22.3.12">We!$A$52:$D$65</definedName>
    <definedName name="Orders_MyCol" comment="1.10.12 Orders_MyCol  - шаблон для колонок листа Заказов">Header!$B$81:$AL$86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We!$A$16:$E$43</definedName>
    <definedName name="TOCmatch" comment="11.7.12 TOCmatch - Оглавление по всем отчетам в базе данных" localSheetId="1">Process!$A$147:$L$150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9" i="3" l="1"/>
  <c r="L79" i="3"/>
  <c r="K76" i="3" l="1"/>
  <c r="F76" i="3" s="1"/>
  <c r="C76" i="3"/>
  <c r="AH9" i="6" l="1"/>
  <c r="AJ9" i="6" s="1"/>
  <c r="AK9" i="6"/>
  <c r="AI9" i="6" l="1"/>
  <c r="L75" i="3" l="1"/>
  <c r="M75" i="3"/>
  <c r="K75" i="3"/>
  <c r="C79" i="3"/>
  <c r="C75" i="3"/>
  <c r="K13" i="3"/>
  <c r="F13" i="3"/>
  <c r="C80" i="3"/>
  <c r="K74" i="3"/>
  <c r="K77" i="3" s="1"/>
  <c r="F77" i="3" s="1"/>
  <c r="F74" i="3"/>
  <c r="AE9" i="6"/>
  <c r="C41" i="3" l="1"/>
  <c r="C40" i="3"/>
  <c r="C39" i="3"/>
  <c r="C51" i="3"/>
  <c r="C50" i="3"/>
  <c r="C49" i="3"/>
  <c r="K48" i="3" l="1"/>
  <c r="F48" i="3"/>
  <c r="K56" i="3"/>
  <c r="F56" i="3"/>
  <c r="K47" i="3"/>
  <c r="F47" i="3"/>
  <c r="F38" i="3"/>
  <c r="K38" i="3"/>
  <c r="F12" i="3" l="1"/>
  <c r="K11" i="3"/>
  <c r="K12" i="3"/>
  <c r="K10" i="3"/>
  <c r="F11" i="3"/>
  <c r="F10" i="3"/>
  <c r="F9" i="3"/>
  <c r="F8" i="3"/>
  <c r="F7" i="3"/>
  <c r="K9" i="3"/>
  <c r="K8" i="3"/>
  <c r="K7" i="3"/>
  <c r="L58" i="3"/>
  <c r="L59" i="3"/>
  <c r="L60" i="3"/>
  <c r="K50" i="3" l="1"/>
  <c r="I44" i="6" l="1"/>
  <c r="K60" i="3" l="1"/>
  <c r="K59" i="3"/>
  <c r="K58" i="3"/>
  <c r="K57" i="3" l="1"/>
  <c r="C42" i="3" l="1"/>
  <c r="S42" i="3" l="1"/>
  <c r="L42" i="3" l="1"/>
  <c r="K41" i="3"/>
  <c r="K37" i="3"/>
  <c r="K40" i="3" s="1"/>
  <c r="N35" i="3"/>
  <c r="N34" i="3"/>
  <c r="N28" i="3"/>
  <c r="L27" i="3"/>
  <c r="M25" i="3"/>
  <c r="L25" i="3"/>
  <c r="N20" i="3"/>
  <c r="N17" i="3"/>
  <c r="M17" i="3"/>
  <c r="L17" i="3"/>
  <c r="K23" i="3"/>
  <c r="K26" i="3" s="1"/>
  <c r="K15" i="3"/>
  <c r="K45" i="3" l="1"/>
  <c r="L41" i="3"/>
  <c r="K27" i="3"/>
  <c r="K39" i="3"/>
  <c r="K44" i="3"/>
  <c r="K42" i="3"/>
  <c r="K24" i="3"/>
  <c r="K43" i="3"/>
  <c r="Y14" i="6"/>
  <c r="R14" i="6"/>
  <c r="AA14" i="6" s="1"/>
  <c r="C29" i="3" l="1"/>
  <c r="C21" i="3" l="1"/>
  <c r="K21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8" i="6"/>
  <c r="C1198" i="6"/>
  <c r="J1197" i="6"/>
  <c r="C1197" i="6"/>
  <c r="J1196" i="6"/>
  <c r="C1196" i="6"/>
  <c r="J1195" i="6"/>
  <c r="C1195" i="6"/>
  <c r="V1194" i="6"/>
  <c r="U1194" i="6"/>
  <c r="C119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G254" i="6"/>
  <c r="AF254" i="6"/>
  <c r="AD254" i="6"/>
  <c r="AC254" i="6"/>
  <c r="AB254" i="6"/>
  <c r="AA254" i="6"/>
  <c r="Z254" i="6"/>
  <c r="Y254" i="6"/>
  <c r="X254" i="6"/>
  <c r="W254" i="6"/>
  <c r="V254" i="6"/>
  <c r="U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F254" i="6"/>
  <c r="E254" i="6"/>
  <c r="D254" i="6"/>
  <c r="C254" i="6"/>
  <c r="AU253" i="6"/>
  <c r="AH253" i="6"/>
  <c r="T253" i="6"/>
  <c r="G253" i="6"/>
  <c r="AV253" i="6" s="1"/>
  <c r="AU252" i="6"/>
  <c r="AH252" i="6"/>
  <c r="T252" i="6"/>
  <c r="G252" i="6"/>
  <c r="AU251" i="6"/>
  <c r="AH251" i="6"/>
  <c r="T251" i="6"/>
  <c r="G251" i="6"/>
  <c r="AV251" i="6" s="1"/>
  <c r="AU250" i="6"/>
  <c r="AH250" i="6"/>
  <c r="T250" i="6"/>
  <c r="G250" i="6"/>
  <c r="AU249" i="6"/>
  <c r="AH249" i="6"/>
  <c r="T249" i="6"/>
  <c r="G249" i="6"/>
  <c r="AV249" i="6" s="1"/>
  <c r="AU248" i="6"/>
  <c r="AH248" i="6"/>
  <c r="T248" i="6"/>
  <c r="G248" i="6"/>
  <c r="AU247" i="6"/>
  <c r="AH247" i="6"/>
  <c r="T247" i="6"/>
  <c r="G247" i="6"/>
  <c r="AV247" i="6" s="1"/>
  <c r="AU246" i="6"/>
  <c r="AH246" i="6"/>
  <c r="T246" i="6"/>
  <c r="G246" i="6"/>
  <c r="AU245" i="6"/>
  <c r="AH245" i="6"/>
  <c r="T245" i="6"/>
  <c r="G245" i="6"/>
  <c r="AV245" i="6" s="1"/>
  <c r="AU244" i="6"/>
  <c r="AH244" i="6"/>
  <c r="T244" i="6"/>
  <c r="G244" i="6"/>
  <c r="AU243" i="6"/>
  <c r="AH243" i="6"/>
  <c r="T243" i="6"/>
  <c r="G243" i="6"/>
  <c r="AV243" i="6" s="1"/>
  <c r="AU242" i="6"/>
  <c r="AH242" i="6"/>
  <c r="T242" i="6"/>
  <c r="G242" i="6"/>
  <c r="AU241" i="6"/>
  <c r="AH241" i="6"/>
  <c r="T241" i="6"/>
  <c r="G241" i="6"/>
  <c r="AV241" i="6" s="1"/>
  <c r="AU240" i="6"/>
  <c r="AH240" i="6"/>
  <c r="T240" i="6"/>
  <c r="G240" i="6"/>
  <c r="AV240" i="6" s="1"/>
  <c r="AU239" i="6"/>
  <c r="AH239" i="6"/>
  <c r="T239" i="6"/>
  <c r="G239" i="6"/>
  <c r="AV239" i="6" s="1"/>
  <c r="AU238" i="6"/>
  <c r="AH238" i="6"/>
  <c r="T238" i="6"/>
  <c r="G238" i="6"/>
  <c r="AV238" i="6" s="1"/>
  <c r="AU237" i="6"/>
  <c r="AH237" i="6"/>
  <c r="T237" i="6"/>
  <c r="G237" i="6"/>
  <c r="AV237" i="6" s="1"/>
  <c r="AU236" i="6"/>
  <c r="AH236" i="6"/>
  <c r="T236" i="6"/>
  <c r="G236" i="6"/>
  <c r="AU235" i="6"/>
  <c r="AH235" i="6"/>
  <c r="T235" i="6"/>
  <c r="G235" i="6"/>
  <c r="AV235" i="6" s="1"/>
  <c r="AU234" i="6"/>
  <c r="AH234" i="6"/>
  <c r="T234" i="6"/>
  <c r="G234" i="6"/>
  <c r="AU233" i="6"/>
  <c r="AH233" i="6"/>
  <c r="T233" i="6"/>
  <c r="G233" i="6"/>
  <c r="AU232" i="6"/>
  <c r="AH232" i="6"/>
  <c r="T232" i="6"/>
  <c r="G232" i="6"/>
  <c r="AU231" i="6"/>
  <c r="AH231" i="6"/>
  <c r="T231" i="6"/>
  <c r="G231" i="6"/>
  <c r="AU230" i="6"/>
  <c r="AH230" i="6"/>
  <c r="T230" i="6"/>
  <c r="G230" i="6"/>
  <c r="AU229" i="6"/>
  <c r="AH229" i="6"/>
  <c r="T229" i="6"/>
  <c r="G229" i="6"/>
  <c r="AU228" i="6"/>
  <c r="AH228" i="6"/>
  <c r="T228" i="6"/>
  <c r="G228" i="6"/>
  <c r="AU227" i="6"/>
  <c r="AH227" i="6"/>
  <c r="T227" i="6"/>
  <c r="G227" i="6"/>
  <c r="AU226" i="6"/>
  <c r="AH226" i="6"/>
  <c r="T226" i="6"/>
  <c r="G226" i="6"/>
  <c r="AU225" i="6"/>
  <c r="AH225" i="6"/>
  <c r="T225" i="6"/>
  <c r="G225" i="6"/>
  <c r="AU224" i="6"/>
  <c r="AH224" i="6"/>
  <c r="T224" i="6"/>
  <c r="G224" i="6"/>
  <c r="AU223" i="6"/>
  <c r="AH223" i="6"/>
  <c r="T223" i="6"/>
  <c r="G223" i="6"/>
  <c r="AU222" i="6"/>
  <c r="AH222" i="6"/>
  <c r="T222" i="6"/>
  <c r="G222" i="6"/>
  <c r="AU221" i="6"/>
  <c r="AH221" i="6"/>
  <c r="T221" i="6"/>
  <c r="G221" i="6"/>
  <c r="L189" i="6"/>
  <c r="G181" i="6"/>
  <c r="C181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J31" i="6"/>
  <c r="C31" i="6"/>
  <c r="J30" i="6"/>
  <c r="C30" i="6"/>
  <c r="J29" i="6"/>
  <c r="C29" i="6"/>
  <c r="J28" i="6"/>
  <c r="C28" i="6"/>
  <c r="V27" i="6"/>
  <c r="U27" i="6"/>
  <c r="T27" i="6"/>
  <c r="J1194" i="6" s="1"/>
  <c r="J27" i="6"/>
  <c r="C27" i="6"/>
  <c r="I19" i="6"/>
  <c r="G19" i="6"/>
  <c r="F19" i="6"/>
  <c r="AB14" i="6"/>
  <c r="AC14" i="6" s="1"/>
  <c r="F7" i="6"/>
  <c r="C7" i="6"/>
  <c r="M62" i="4"/>
  <c r="M63" i="4" s="1"/>
  <c r="M58" i="4"/>
  <c r="M59" i="4" s="1"/>
  <c r="P57" i="4"/>
  <c r="P61" i="4" s="1"/>
  <c r="M56" i="4"/>
  <c r="C159" i="3"/>
  <c r="F141" i="3"/>
  <c r="K141" i="3" s="1"/>
  <c r="C141" i="3"/>
  <c r="C140" i="3"/>
  <c r="C138" i="3"/>
  <c r="K137" i="3"/>
  <c r="K140" i="3"/>
  <c r="K134" i="3"/>
  <c r="C134" i="3"/>
  <c r="K133" i="3"/>
  <c r="C133" i="3"/>
  <c r="C132" i="3"/>
  <c r="K131" i="3"/>
  <c r="K130" i="3"/>
  <c r="F129" i="3"/>
  <c r="C129" i="3"/>
  <c r="F128" i="3"/>
  <c r="F127" i="3"/>
  <c r="C127" i="3"/>
  <c r="H126" i="3"/>
  <c r="G126" i="3"/>
  <c r="F126" i="3"/>
  <c r="K125" i="3"/>
  <c r="K132" i="3" s="1"/>
  <c r="F123" i="3"/>
  <c r="K123" i="3" s="1"/>
  <c r="C123" i="3"/>
  <c r="C121" i="3"/>
  <c r="L120" i="3"/>
  <c r="K121" i="3" s="1"/>
  <c r="K120" i="3"/>
  <c r="G120" i="3"/>
  <c r="C117" i="3"/>
  <c r="F117" i="3"/>
  <c r="K117" i="3" s="1"/>
  <c r="C113" i="3"/>
  <c r="K113" i="3"/>
  <c r="C106" i="3"/>
  <c r="F106" i="3"/>
  <c r="H105" i="3" s="1"/>
  <c r="C105" i="3"/>
  <c r="C102" i="3"/>
  <c r="F102" i="3"/>
  <c r="K102" i="3" s="1"/>
  <c r="C101" i="3"/>
  <c r="K101" i="3"/>
  <c r="F98" i="3"/>
  <c r="K98" i="3" s="1"/>
  <c r="C98" i="3"/>
  <c r="C97" i="3"/>
  <c r="F94" i="3"/>
  <c r="K94" i="3" s="1"/>
  <c r="C94" i="3"/>
  <c r="C93" i="3"/>
  <c r="K93" i="3"/>
  <c r="K90" i="3"/>
  <c r="C90" i="3"/>
  <c r="H89" i="3"/>
  <c r="C89" i="3"/>
  <c r="K89" i="3"/>
  <c r="G89" i="3" s="1"/>
  <c r="C86" i="3"/>
  <c r="C85" i="3"/>
  <c r="K84" i="3"/>
  <c r="K85" i="3"/>
  <c r="L71" i="3"/>
  <c r="F71" i="3"/>
  <c r="C71" i="3"/>
  <c r="C69" i="3"/>
  <c r="K159" i="3"/>
  <c r="C65" i="3"/>
  <c r="C64" i="3"/>
  <c r="K64" i="3"/>
  <c r="F60" i="3"/>
  <c r="F59" i="3"/>
  <c r="F58" i="3"/>
  <c r="F53" i="3"/>
  <c r="C53" i="3"/>
  <c r="C52" i="3"/>
  <c r="F41" i="3"/>
  <c r="C35" i="3"/>
  <c r="C34" i="3"/>
  <c r="C33" i="3"/>
  <c r="K33" i="3"/>
  <c r="C28" i="3"/>
  <c r="C27" i="3"/>
  <c r="C26" i="3"/>
  <c r="C25" i="3"/>
  <c r="K20" i="3"/>
  <c r="C20" i="3"/>
  <c r="K19" i="3"/>
  <c r="C19" i="3"/>
  <c r="K18" i="3"/>
  <c r="C18" i="3"/>
  <c r="K17" i="3"/>
  <c r="C17" i="3"/>
  <c r="K16" i="3"/>
  <c r="I41" i="2"/>
  <c r="I29" i="2"/>
  <c r="I23" i="2"/>
  <c r="H22" i="2"/>
  <c r="H21" i="2"/>
  <c r="H20" i="2"/>
  <c r="H19" i="2"/>
  <c r="H18" i="2"/>
  <c r="H17" i="2"/>
  <c r="H16" i="2"/>
  <c r="H15" i="2"/>
  <c r="H14" i="2"/>
  <c r="AV227" i="6" l="1"/>
  <c r="AV236" i="6"/>
  <c r="AV252" i="6"/>
  <c r="AV223" i="6"/>
  <c r="AV225" i="6"/>
  <c r="AV222" i="6"/>
  <c r="AV224" i="6"/>
  <c r="AV226" i="6"/>
  <c r="AV229" i="6"/>
  <c r="C1199" i="6"/>
  <c r="D1198" i="6" s="1"/>
  <c r="T254" i="6"/>
  <c r="AV228" i="6"/>
  <c r="AV230" i="6"/>
  <c r="AV232" i="6"/>
  <c r="AV234" i="6"/>
  <c r="G254" i="6"/>
  <c r="AU254" i="6"/>
  <c r="AV242" i="6"/>
  <c r="AH254" i="6"/>
  <c r="AV231" i="6"/>
  <c r="AV233" i="6"/>
  <c r="AV244" i="6"/>
  <c r="AV246" i="6"/>
  <c r="AV248" i="6"/>
  <c r="AV250" i="6"/>
  <c r="AV221" i="6"/>
  <c r="K96" i="3"/>
  <c r="K97" i="3" s="1"/>
  <c r="K29" i="3"/>
  <c r="K28" i="3"/>
  <c r="K71" i="3"/>
  <c r="K25" i="3"/>
  <c r="J1199" i="6"/>
  <c r="L1195" i="6" s="1"/>
  <c r="C32" i="6"/>
  <c r="D27" i="6" s="1"/>
  <c r="J32" i="6"/>
  <c r="L27" i="6" s="1"/>
  <c r="K34" i="3"/>
  <c r="K63" i="3"/>
  <c r="K65" i="3" s="1"/>
  <c r="K68" i="3"/>
  <c r="K32" i="3"/>
  <c r="K69" i="3"/>
  <c r="K35" i="3"/>
  <c r="K106" i="3"/>
  <c r="D1194" i="6" l="1"/>
  <c r="AV254" i="6"/>
  <c r="D1195" i="6"/>
  <c r="D1197" i="6"/>
  <c r="D1196" i="6"/>
  <c r="L1194" i="6"/>
  <c r="L1197" i="6"/>
  <c r="L1198" i="6"/>
  <c r="L1196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<sst xmlns="http://schemas.openxmlformats.org/spreadsheetml/2006/main" count="4205" uniqueCount="1600">
  <si>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</si>
  <si>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</si>
  <si>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</si>
  <si>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</si>
  <si>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</si>
  <si>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</si>
  <si>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</si>
  <si>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</si>
  <si>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</si>
  <si>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</si>
  <si>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</si>
  <si>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</si>
  <si>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</si>
  <si>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</si>
  <si>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</si>
  <si>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</si>
  <si>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</si>
  <si>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</si>
  <si>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</si>
  <si>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</si>
  <si>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</si>
  <si>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</si>
  <si>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</si>
  <si>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</si>
  <si>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</si>
  <si>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</si>
  <si>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</si>
  <si>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</si>
  <si>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</si>
  <si>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</si>
  <si>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</si>
  <si>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</si>
  <si>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</si>
  <si>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</si>
  <si>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</si>
  <si>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</si>
  <si>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</si>
  <si>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</si>
  <si>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</si>
  <si>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</si>
  <si>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</si>
  <si>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</si>
  <si>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</si>
  <si>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</si>
  <si>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</si>
  <si>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</si>
  <si>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</si>
  <si>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</si>
  <si>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</si>
  <si>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</si>
  <si>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</si>
  <si>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</si>
  <si>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</si>
  <si>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</si>
  <si>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</si>
  <si>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</si>
  <si>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</si>
  <si>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</si>
  <si>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</si>
  <si>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</si>
  <si>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</si>
  <si>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</si>
  <si>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</si>
  <si>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</si>
  <si>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</si>
  <si>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</si>
  <si>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</si>
  <si>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</si>
  <si>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</si>
  <si>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</si>
  <si>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</si>
  <si>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</si>
  <si>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</si>
  <si>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</si>
  <si>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</si>
  <si>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</si>
  <si>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</si>
  <si>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</si>
  <si>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</si>
  <si>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</si>
  <si>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</si>
  <si>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</si>
  <si>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</si>
  <si>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</si>
  <si>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</si>
  <si>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</si>
  <si>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</si>
  <si>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</si>
  <si>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</si>
  <si>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</si>
  <si>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</si>
  <si>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</si>
  <si>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</si>
  <si>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</si>
  <si>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</si>
  <si>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</si>
  <si>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</si>
  <si>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</si>
  <si>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</si>
  <si>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</si>
  <si>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</si>
  <si>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</si>
  <si>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</si>
  <si>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</si>
  <si>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</si>
  <si>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</si>
  <si>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</si>
  <si>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</si>
  <si>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</si>
  <si>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</si>
  <si>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</si>
  <si>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</si>
  <si>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</si>
  <si>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</si>
  <si>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</si>
  <si>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</si>
  <si>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</si>
  <si>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</si>
  <si>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</si>
  <si>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</si>
  <si>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</si>
  <si>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</si>
  <si>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</si>
  <si>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</si>
  <si>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</si>
  <si>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</si>
  <si>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</si>
  <si>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</si>
  <si>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</si>
  <si>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</si>
  <si>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</si>
  <si>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</si>
  <si>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</si>
  <si>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</si>
  <si>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</si>
  <si>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</si>
  <si>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</si>
  <si>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</si>
  <si>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</si>
  <si>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</si>
  <si>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</si>
  <si>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</si>
  <si>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</si>
  <si>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</si>
  <si>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</si>
  <si>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</si>
  <si>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</si>
  <si>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</si>
  <si>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</si>
  <si>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</si>
  <si>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</si>
  <si>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</si>
  <si>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</si>
  <si>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</si>
  <si>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</si>
  <si>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</si>
  <si>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</si>
  <si>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</si>
  <si>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</si>
  <si>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</si>
  <si>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</si>
  <si>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</si>
  <si>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</si>
  <si>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</si>
  <si>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</si>
  <si>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</si>
  <si>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</si>
  <si>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</si>
  <si>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</si>
  <si>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</si>
  <si>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</si>
  <si>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</si>
  <si>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</si>
  <si>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</si>
  <si>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</si>
  <si>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</si>
  <si>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</si>
  <si>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</si>
  <si>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</si>
  <si>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</si>
  <si>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</si>
  <si>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</si>
  <si>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</si>
  <si>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</si>
  <si>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</si>
  <si>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</si>
  <si>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</si>
  <si>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</si>
  <si>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</si>
  <si>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</si>
  <si>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</si>
  <si>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</si>
  <si>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</si>
  <si>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</si>
  <si>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</si>
  <si>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</si>
  <si>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</si>
  <si>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</si>
  <si>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P_Paid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</si>
  <si>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</si>
  <si>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</si>
  <si>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</si>
  <si>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</si>
  <si>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</si>
  <si>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</si>
  <si>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</si>
  <si>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</si>
  <si>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</si>
  <si>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</si>
  <si>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</si>
  <si>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</si>
  <si>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</si>
  <si>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</si>
  <si>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</si>
  <si>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</si>
  <si>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</si>
  <si>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</si>
  <si>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</si>
  <si>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</si>
  <si>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</si>
  <si>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</si>
  <si>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</si>
  <si>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</si>
  <si>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</si>
  <si>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</si>
  <si>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</si>
  <si>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</si>
  <si>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</si>
  <si>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</si>
  <si>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</si>
  <si>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</si>
  <si>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</si>
  <si>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</si>
  <si>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</si>
  <si>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</si>
  <si>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</si>
  <si>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</si>
  <si>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</si>
  <si>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</si>
  <si>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</si>
  <si>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</si>
  <si>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</si>
  <si>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</si>
  <si>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</si>
  <si>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</si>
  <si>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</si>
  <si>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</si>
  <si>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</si>
  <si>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</si>
  <si>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</si>
  <si>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</si>
  <si>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</si>
  <si>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</si>
  <si>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</si>
  <si>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</si>
  <si>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</si>
  <si>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</si>
  <si>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</si>
  <si>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</si>
  <si>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</si>
  <si>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</si>
  <si>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</si>
  <si>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</si>
  <si>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</si>
  <si>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</si>
  <si>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</si>
  <si>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</si>
  <si>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</si>
  <si>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</si>
  <si>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</si>
  <si>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</si>
  <si>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</si>
  <si>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</si>
  <si>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</si>
  <si>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</si>
  <si>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</si>
  <si>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</si>
  <si>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</si>
  <si>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</si>
  <si>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</si>
  <si>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</si>
  <si>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</si>
  <si>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</si>
  <si>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</si>
  <si>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</si>
  <si>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</si>
  <si>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</si>
  <si>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</si>
  <si>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</si>
  <si>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</si>
  <si>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</si>
  <si>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</si>
  <si>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</si>
  <si>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</si>
  <si>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</si>
  <si>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</si>
  <si>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</si>
  <si>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</si>
  <si>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</si>
  <si>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</si>
  <si>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</si>
  <si>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</si>
  <si>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</si>
  <si>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</si>
  <si>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</si>
  <si>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</si>
  <si>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</si>
  <si>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</si>
  <si>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</si>
  <si>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</si>
  <si>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</si>
  <si>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</si>
  <si>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</si>
  <si>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</si>
  <si>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</si>
  <si>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</si>
  <si>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</si>
  <si>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</si>
  <si>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</si>
  <si>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</si>
  <si>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</si>
  <si>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</si>
  <si>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</si>
  <si>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</si>
  <si>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</si>
  <si>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</si>
  <si>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</si>
  <si>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</si>
  <si>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</si>
  <si>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</si>
  <si>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</si>
  <si>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</si>
  <si>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</si>
  <si>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</si>
  <si>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</si>
  <si>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</si>
  <si>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</si>
  <si>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</si>
  <si>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</si>
  <si>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</si>
  <si>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</si>
  <si>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</si>
  <si>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</si>
  <si>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</si>
  <si>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</si>
  <si>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</si>
  <si>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</si>
  <si>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</si>
  <si>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</si>
  <si>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</si>
  <si>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</si>
  <si>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</si>
  <si>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</si>
  <si>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</si>
  <si>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</si>
  <si>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</si>
  <si>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</si>
  <si>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</si>
  <si>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</si>
  <si>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</si>
  <si>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</si>
  <si>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</si>
  <si>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</si>
  <si>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</si>
  <si>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</si>
  <si>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</si>
  <si>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</si>
  <si>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</si>
  <si>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</si>
  <si>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</si>
  <si>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</si>
  <si>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</si>
  <si>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</si>
  <si>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</si>
  <si>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</si>
  <si>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</si>
  <si>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</si>
  <si>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</si>
  <si>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</si>
  <si>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</si>
  <si>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</si>
  <si>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</si>
  <si>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</si>
  <si>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</si>
  <si>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</si>
  <si>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</si>
  <si>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</si>
  <si>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</si>
  <si>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</si>
  <si>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</si>
  <si>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</si>
  <si>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</si>
  <si>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</si>
  <si>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</si>
  <si>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</si>
  <si>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</si>
  <si>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</si>
  <si>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</si>
  <si>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</si>
  <si>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</si>
  <si>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</si>
  <si>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</si>
  <si>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</si>
  <si>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</si>
  <si>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</si>
  <si>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</si>
  <si>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</si>
  <si>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</si>
  <si>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</si>
  <si>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</si>
  <si>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</si>
  <si>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</si>
  <si>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</si>
  <si>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</si>
  <si>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</si>
  <si>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</si>
  <si>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</si>
  <si>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</si>
  <si>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</si>
  <si>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</si>
  <si>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</si>
  <si>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</si>
  <si>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</si>
  <si>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</si>
  <si>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</si>
  <si>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</si>
  <si>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</si>
  <si>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</si>
  <si>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</si>
  <si>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</si>
  <si>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</si>
  <si>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</si>
  <si>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</si>
  <si>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</si>
  <si>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</si>
  <si>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</si>
  <si>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</si>
  <si>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</si>
  <si>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</si>
  <si>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</si>
  <si>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</si>
  <si>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</si>
  <si>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</si>
  <si>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</si>
  <si>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</si>
  <si>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</si>
  <si>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</si>
  <si>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</si>
  <si>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</si>
  <si>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</si>
  <si>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</si>
  <si>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</si>
  <si>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</si>
  <si>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</si>
  <si>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</si>
  <si>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</si>
  <si>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</si>
  <si>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</si>
  <si>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</si>
  <si>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</si>
  <si>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</si>
  <si>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</si>
  <si>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</si>
  <si>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</si>
  <si>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</si>
  <si>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</si>
  <si>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</si>
  <si>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</si>
  <si>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</si>
  <si>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</si>
  <si>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</si>
  <si>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</si>
  <si>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</si>
  <si>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</si>
  <si>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</si>
  <si>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</si>
  <si>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</si>
  <si>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</si>
  <si>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</si>
  <si>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</si>
  <si>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</si>
  <si>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</si>
  <si>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</si>
  <si>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</si>
  <si>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</si>
  <si>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</si>
  <si>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</si>
  <si>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</si>
  <si>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</si>
  <si>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</si>
  <si>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</si>
  <si>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</si>
  <si>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</si>
  <si>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</si>
  <si>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</si>
  <si>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</si>
  <si>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</si>
  <si>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</si>
  <si>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</si>
  <si>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</si>
  <si>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</si>
  <si>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</si>
  <si>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</si>
  <si>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</si>
  <si>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</si>
  <si>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</si>
  <si>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</si>
  <si>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</si>
  <si>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</si>
  <si>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</si>
  <si>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</si>
  <si>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</si>
  <si>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</si>
  <si>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</si>
  <si>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</si>
  <si>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</si>
  <si>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</si>
  <si>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</si>
  <si>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</si>
  <si>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</si>
  <si>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</si>
  <si>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</si>
  <si>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</si>
  <si>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</si>
  <si>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</si>
  <si>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</si>
  <si>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</si>
  <si>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</si>
  <si>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</si>
  <si>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</si>
  <si>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</si>
  <si>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</si>
  <si>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</si>
  <si>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</si>
  <si>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</si>
  <si>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</si>
  <si>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</si>
  <si>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</si>
  <si>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</si>
  <si>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</si>
  <si>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</si>
  <si>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</si>
  <si>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</si>
  <si>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</si>
  <si>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</si>
  <si>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</si>
  <si>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</si>
  <si>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</si>
  <si>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</si>
  <si>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</si>
  <si>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</si>
  <si>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</si>
  <si>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</si>
  <si>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</si>
  <si>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</si>
  <si>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</si>
  <si>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</si>
  <si>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</si>
  <si>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</si>
  <si>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</si>
  <si>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</si>
  <si>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</si>
  <si>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</si>
  <si>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</si>
  <si>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</si>
  <si>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</si>
  <si>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</si>
  <si>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</si>
  <si>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</si>
  <si>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</si>
  <si>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</si>
  <si>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</si>
  <si>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</si>
  <si>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</si>
  <si>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</si>
  <si>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</si>
  <si>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</si>
  <si>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</si>
  <si>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</si>
  <si>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</si>
  <si>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</si>
  <si>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</si>
  <si>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</si>
  <si>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</si>
  <si>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</si>
  <si>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</si>
  <si>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</si>
  <si>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</si>
  <si>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</si>
  <si>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</si>
  <si>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</si>
  <si>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</si>
  <si>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</si>
  <si>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</si>
  <si>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</si>
  <si>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</si>
  <si>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</si>
  <si>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</si>
  <si>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</si>
  <si>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</si>
  <si>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</si>
  <si>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</si>
  <si>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</si>
  <si>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</si>
  <si>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</si>
  <si>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</si>
  <si>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</si>
  <si>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</si>
  <si>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</si>
  <si>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</si>
  <si>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</si>
  <si>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</si>
  <si>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</si>
  <si>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</si>
  <si>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</si>
  <si>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</si>
  <si>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</si>
  <si>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</si>
  <si>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</si>
  <si>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</si>
  <si>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</si>
  <si>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</si>
  <si>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</si>
  <si>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</si>
  <si>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</si>
  <si>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</si>
  <si>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</si>
  <si>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</si>
  <si>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</si>
  <si>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</si>
  <si>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</si>
  <si>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</si>
  <si>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</si>
  <si>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</si>
  <si>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</si>
  <si>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</si>
  <si>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</si>
  <si>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</si>
  <si>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</si>
  <si>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</si>
  <si>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</si>
  <si>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</si>
  <si>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</si>
  <si>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</si>
  <si>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</si>
  <si>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</si>
  <si>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</si>
  <si>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</si>
  <si>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</si>
  <si>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</si>
  <si>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</si>
  <si>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</si>
  <si>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</si>
  <si>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</si>
  <si>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</si>
  <si>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</si>
  <si>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</si>
  <si>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</si>
  <si>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</si>
  <si>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</si>
  <si>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</si>
  <si>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</si>
  <si>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</si>
  <si>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</si>
  <si>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</si>
  <si>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</si>
  <si>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</si>
  <si>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</si>
  <si>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</si>
  <si>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</si>
  <si>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</si>
  <si>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</si>
  <si>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</si>
  <si>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</si>
  <si>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</si>
  <si>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</si>
  <si>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</si>
  <si>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</si>
  <si>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</si>
  <si>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</si>
  <si>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</si>
  <si>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</si>
  <si>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</si>
  <si>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</si>
  <si>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</si>
  <si>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</si>
  <si>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</si>
  <si>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</si>
  <si>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</si>
  <si>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</si>
  <si>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</si>
  <si>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</si>
  <si>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</si>
  <si>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</si>
  <si>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</si>
  <si>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</si>
  <si>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</si>
  <si>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</si>
  <si>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</si>
  <si>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</si>
  <si>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</si>
  <si>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</si>
  <si>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</si>
  <si>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</si>
  <si>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</si>
  <si>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</si>
  <si>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</si>
  <si>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</si>
  <si>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</si>
  <si>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</si>
  <si>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</si>
  <si>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</si>
  <si>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</si>
  <si>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</si>
  <si>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</si>
  <si>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</si>
  <si>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</si>
  <si>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</si>
  <si>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</si>
  <si>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</si>
  <si>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</si>
  <si>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</si>
  <si>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</si>
  <si>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</si>
  <si>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</si>
  <si>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</si>
  <si>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</si>
  <si>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</si>
  <si>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</si>
  <si>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</si>
  <si>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</si>
  <si>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</si>
  <si>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</si>
  <si>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</si>
  <si>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</si>
  <si>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</si>
  <si>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</si>
  <si>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</si>
  <si>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</si>
  <si>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</si>
  <si>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</si>
  <si>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</si>
  <si>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</si>
  <si>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</si>
  <si>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</si>
  <si>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</si>
  <si>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</si>
  <si>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</si>
  <si>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</si>
  <si>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</si>
  <si>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</si>
  <si>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</si>
  <si>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</si>
  <si>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</si>
  <si>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</si>
  <si>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</si>
  <si>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</si>
  <si>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</si>
  <si>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</si>
  <si>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</si>
  <si>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</si>
  <si>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</si>
  <si>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</si>
  <si>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</si>
  <si>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</si>
  <si>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</si>
  <si>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</si>
  <si>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</si>
  <si>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</si>
  <si>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</si>
  <si>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</si>
  <si>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</si>
  <si>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</si>
  <si>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</si>
  <si>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</si>
  <si>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</si>
  <si>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</si>
  <si>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</si>
  <si>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</si>
  <si>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</si>
  <si>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</si>
  <si>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</si>
  <si>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</si>
  <si>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</si>
  <si>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</si>
  <si>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</si>
  <si>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</si>
  <si>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</si>
  <si>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</si>
  <si>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</si>
  <si>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</si>
  <si>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</si>
  <si>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</si>
  <si>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</si>
  <si>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</si>
  <si>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</si>
  <si>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</si>
  <si>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</si>
  <si>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</si>
  <si>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</si>
  <si>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</si>
  <si>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</si>
  <si>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</si>
  <si>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</si>
  <si>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</si>
  <si>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</si>
  <si>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</si>
  <si>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</si>
  <si>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</si>
  <si>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</si>
  <si>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</si>
  <si>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</si>
  <si>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</si>
  <si>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</si>
  <si>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</si>
  <si>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</si>
  <si>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</si>
  <si>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</si>
  <si>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</si>
  <si>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</si>
  <si>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</si>
  <si>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</si>
  <si>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</si>
  <si>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</si>
  <si>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</si>
  <si>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</si>
  <si>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</si>
  <si>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</si>
  <si>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</si>
  <si>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</si>
  <si>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</si>
  <si>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</si>
  <si>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</si>
  <si>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</si>
  <si>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</si>
  <si>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</si>
  <si>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</si>
  <si>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</si>
  <si>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</si>
  <si>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</si>
  <si>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</si>
  <si>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</si>
  <si>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</si>
  <si>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</si>
  <si>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</si>
  <si>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</si>
  <si>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</si>
  <si>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</si>
  <si>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</si>
  <si>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</si>
  <si>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</si>
  <si>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</si>
  <si>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</si>
  <si>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</si>
  <si>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</si>
  <si>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</si>
  <si>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</si>
  <si>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</si>
  <si>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</si>
  <si>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</si>
  <si>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</si>
  <si>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</si>
  <si>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</si>
  <si>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</si>
  <si>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</si>
  <si>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</si>
  <si>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</si>
  <si>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</si>
  <si>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</si>
  <si>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</si>
  <si>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</si>
  <si>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</si>
  <si>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</si>
  <si>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</si>
  <si>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</si>
  <si>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</si>
  <si>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</si>
  <si>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</si>
  <si>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</si>
  <si>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</si>
  <si>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</si>
  <si>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</si>
  <si>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</si>
  <si>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</si>
  <si>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</si>
  <si>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</si>
  <si>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</si>
  <si>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</si>
  <si>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</si>
  <si>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</si>
  <si>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</si>
  <si>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</si>
  <si>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</si>
  <si>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</si>
  <si>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</si>
  <si>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</si>
  <si>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</si>
  <si>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</si>
  <si>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</si>
  <si>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</si>
  <si>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</si>
  <si>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</si>
  <si>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</si>
  <si>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</si>
  <si>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</si>
  <si>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</si>
  <si>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</si>
  <si>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</si>
  <si>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</si>
  <si>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</si>
  <si>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</si>
  <si>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</si>
  <si>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</si>
  <si>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</si>
  <si>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</si>
  <si>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</si>
  <si>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</si>
  <si>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</si>
  <si>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</si>
  <si>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</si>
  <si>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</si>
  <si>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</si>
  <si>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</si>
  <si>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</si>
  <si>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</si>
  <si>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</si>
  <si>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</si>
  <si>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</si>
  <si>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</si>
  <si>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</si>
  <si>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</si>
  <si>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</si>
  <si>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</si>
  <si>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</si>
  <si>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</si>
  <si>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</si>
  <si>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</si>
  <si>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</si>
  <si>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</si>
  <si>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</si>
  <si>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</si>
  <si>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</si>
  <si>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</si>
  <si>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</si>
  <si>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</si>
  <si>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</si>
  <si>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</si>
  <si>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</si>
  <si>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</si>
  <si>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</si>
  <si>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</si>
  <si>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</si>
  <si>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</si>
  <si>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</si>
  <si>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</si>
  <si>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</si>
  <si>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</si>
  <si>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</si>
  <si>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</si>
  <si>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</si>
  <si>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</si>
  <si>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</si>
  <si>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</si>
  <si>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</si>
  <si>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</si>
  <si>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</si>
  <si>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</si>
  <si>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</si>
  <si>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</si>
  <si>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</si>
  <si>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</si>
  <si>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</si>
  <si>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</si>
  <si>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</si>
  <si>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</si>
  <si>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</si>
  <si>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</si>
  <si>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</si>
  <si>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</si>
  <si>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</si>
  <si>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</si>
  <si>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</si>
  <si>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</si>
  <si>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</si>
  <si>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</si>
  <si>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</si>
  <si>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</si>
  <si>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</si>
  <si>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</si>
  <si>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</si>
  <si>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</si>
  <si>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</si>
  <si>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</si>
  <si>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</si>
  <si>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</si>
  <si>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</si>
  <si>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</si>
  <si>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</si>
  <si>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</si>
  <si>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</si>
  <si>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</si>
  <si>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</si>
  <si>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</si>
  <si>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</si>
  <si>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</si>
  <si>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</si>
  <si>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</si>
  <si>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</si>
  <si>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</si>
  <si>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</si>
  <si>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</si>
  <si>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</si>
  <si>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</si>
  <si>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</si>
  <si>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</si>
  <si>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</si>
  <si>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</si>
  <si>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</si>
  <si>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</si>
  <si>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</si>
  <si>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</si>
  <si>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</si>
  <si>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</si>
  <si>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</si>
  <si>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</si>
  <si>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</si>
  <si>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</si>
  <si>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</si>
  <si>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</si>
  <si>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</si>
  <si>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</si>
  <si>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</si>
  <si>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</si>
  <si>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</si>
  <si>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</si>
  <si>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</si>
  <si>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</si>
  <si>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</si>
  <si>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</si>
  <si>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</si>
  <si>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</si>
  <si>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</si>
  <si>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</si>
  <si>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</si>
  <si>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</si>
  <si>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</si>
  <si>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</si>
  <si>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</si>
  <si>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</si>
  <si>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</si>
  <si>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</si>
  <si>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</si>
  <si>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</si>
  <si>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</si>
  <si>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</si>
  <si>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</si>
  <si>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</si>
  <si>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</si>
  <si>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</si>
  <si>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</si>
  <si>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</si>
  <si>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</si>
  <si>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</si>
  <si>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</si>
  <si>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</si>
  <si>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</si>
  <si>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</si>
  <si>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</si>
  <si>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</si>
  <si>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</si>
  <si>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</si>
  <si>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</si>
  <si>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</si>
  <si>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</si>
  <si>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</si>
  <si>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</si>
  <si>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</si>
  <si>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</si>
  <si>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</si>
  <si>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</si>
  <si>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</si>
  <si>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</si>
  <si>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</si>
  <si>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</si>
  <si>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</si>
  <si>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</si>
  <si>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</si>
  <si>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</si>
  <si>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</si>
  <si>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</si>
  <si>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</si>
  <si>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</si>
  <si>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</si>
  <si>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</si>
  <si>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</si>
  <si>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</si>
  <si>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</si>
  <si>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</si>
  <si>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</si>
  <si>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</si>
  <si>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</si>
  <si>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</si>
  <si>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</si>
  <si>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</si>
  <si>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</si>
  <si>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</si>
  <si>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</si>
  <si>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</si>
  <si>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</si>
  <si>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</si>
  <si>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</si>
  <si>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</si>
  <si>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</si>
  <si>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</si>
  <si>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</si>
  <si>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</si>
  <si>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</si>
  <si>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</si>
  <si>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</si>
  <si>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</si>
  <si>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</si>
  <si>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</si>
  <si>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</si>
  <si>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</si>
  <si>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</si>
  <si>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</si>
  <si>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</si>
  <si>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</si>
  <si>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</si>
  <si>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</si>
  <si>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</si>
  <si>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</si>
  <si>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</si>
  <si>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</si>
  <si>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</si>
  <si>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</si>
  <si>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</si>
  <si>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</si>
  <si>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</si>
  <si>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</si>
  <si>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</si>
  <si>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</si>
  <si>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</si>
  <si>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</si>
  <si>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</si>
  <si>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</si>
  <si>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</si>
  <si>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</si>
  <si>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</si>
  <si>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</si>
  <si>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</si>
  <si>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</si>
  <si>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</si>
  <si>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</si>
  <si>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</si>
  <si>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</si>
  <si>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</si>
  <si>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</si>
  <si>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</si>
  <si>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</si>
  <si>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</si>
  <si>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</si>
  <si>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</si>
  <si>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</si>
  <si>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</si>
  <si>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</si>
  <si>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</si>
  <si>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</si>
  <si>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</si>
  <si>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</si>
  <si>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</si>
  <si>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</si>
  <si>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</si>
  <si>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</si>
  <si>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</si>
  <si>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</si>
  <si>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</si>
  <si>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</si>
  <si>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</si>
  <si>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</si>
  <si>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</si>
  <si>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</si>
  <si>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</si>
  <si>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</si>
  <si>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</si>
  <si>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</si>
  <si>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</si>
  <si>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</si>
  <si>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</si>
  <si>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</si>
  <si>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</si>
  <si>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</si>
  <si>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</si>
  <si>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</si>
  <si>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</si>
  <si>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</si>
  <si>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</si>
  <si>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</si>
  <si>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</si>
  <si>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MoveToMatch: В файл 'SFDC.xlsx' загружен новый отчет 'SFopp'; EOL=3531 строк, в прежнем 3529_x000D_
Это ПОЛНЫЙ документ.</t>
  </si>
  <si>
    <t>&lt;! ERROR !&gt; MoveToMatch:  не дата в ячейке ToDate='  .  .  '_x000D_
Входной документ P1Cpart.xlsx</t>
  </si>
  <si>
    <t>MoveToMatch: В файл '1C.xlsx' загружен новый отчет 'Платежи'; EOL=102 строк, в прежнем 5756_x000D_
Это изменяемая ЧАСТЬ данных.</t>
  </si>
  <si>
    <t>adapt profile: total = 1,10_x000D_
By steps =  0,25 0,00 0,20 0,03 0,00 0,00 0,00 0,00 0,00 0,00 0,00 0,00 0,00 0,00 0,00 0,00 0,00 0,00 0,00 0,00 0,00 0,00 0,00 0,00 0,00 0,00 0,00 0,00 0,00 0,01 0,12 0,05 0,07 0,07 0,06 0,10 0,11</t>
  </si>
  <si>
    <t>MoveToMatch: В файл '1C.xlsx' загружен новый отчет 'Платежи'; EOL=24 строк, в прежнем 5756_x000D_
Это изменяемая ЧАСТЬ данных.</t>
  </si>
  <si>
    <t>adapt profile: total = 3,95_x000D_
By steps =  0,09 0,00 0,11 0,50 0,00 0,00 0,00 0,00 0,00 0,00 0,00 0,00 0,00 0,00 0,00 0,00 0,00 0,00 0,00 0,00 0,00 0,00 0,00 0,00 0,00 0,00 0,00 0,00 0,00 0,01 0,02 0,29 0,66 0,72 0,72 0,73 0,07</t>
  </si>
  <si>
    <t>MoveToMatch: В файл 'SFDC.xlsx' загружен новый отчет 'SF'; EOL=4854 строк, в прежнем 4845_x000D_
Это ПОЛНЫЙ документ.</t>
  </si>
  <si>
    <t>adapt profile: total = 7,61_x000D_
By steps =  6,71 0,03</t>
  </si>
  <si>
    <t>adapt profile: total = 38,49_x000D_
By steps =  3,55 0,03 8,78 2,31 0,04 0,01 0,02 0,01 0,01 0,01 0,01 0,01 0,01 0,01 0,01 0,01 0,01 0,01 0,01 0,01 0,01 0,01 0,01 0,01 0,01 0,01 0,01 0,01 0,00 0,56 2,90 2,72 2,65 2,66 2,64 4,15 4,08</t>
  </si>
  <si>
    <t>MoveToMatch: В файл '1C.xlsx' загружен новый отчет 'Договоры'; EOL=45 строк, в прежнем 1380_x000D_
Это изменяемая ЧАСТЬ данных.</t>
  </si>
  <si>
    <t>adapt profile: total = 0,10_x000D_
By steps =  0,03 0,03 0,01 0,00 0,00 0,00 0,01 0,00 0,00 0,00 0,00 0,00 0,00 0,00 0,00 0,00 0,00 0,00 0,00 0,00 0,00 0,00 0,00 0,00 0,00 0,00</t>
  </si>
  <si>
    <t>MoveToMatch: В файл '1C.xlsx' загружен новый отчет 'Платежи'; EOL=24 строк, в прежнем 5770_x000D_
Это изменяемая ЧАСТЬ данных.</t>
  </si>
  <si>
    <t>adapt profile: total = 3,99_x000D_
By steps =  0,07 0,00 0,09 0,55 0,00 0,00 0,00 0,00 0,00 0,00 0,00 0,00 0,00 0,00 0,00 0,00 0,00 0,00 0,00 0,00 0,00 0,00 0,00 0,00 0,00 0,00 0,00 0,00 0,00 0,01 0,02 0,30 0,65 0,73 0,73 0,75 0,07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</si>
  <si>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</si>
  <si>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</si>
  <si>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</si>
  <si>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</si>
  <si>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</si>
  <si>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</si>
  <si>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</si>
  <si>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</si>
  <si>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t>MoveToMatch: В файл '1C.xlsx' загружен новый отчет 'Платежи'; EOL=12 строк, в прежнем 5770_x000D_
Это изменяемая ЧАСТЬ данных.</t>
  </si>
  <si>
    <t>adapt profile: total = 0,13_x000D_
By steps =  0,02 0,00 0,03 0,00 0,00 0,00 0,00 0,00 0,00 0,00 0,00 0,00 0,00 0,00 0,00 0,00 0,00 0,00 0,00 0,00 0,00 0,00 0,00 0,00 0,00 0,00 0,00 0,00 0,00 0,00 0,02 0,01 0,01 0,01 0,01 0,01 0,01</t>
  </si>
  <si>
    <t>MoveToMatch: В файл '1C.xlsx' загружен новый отчет 'Договоры'; EOL=8 строк, в прежнем 1395_x000D_
Это изменяемая ЧАСТЬ данных.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</si>
  <si>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</si>
  <si>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EOL=8 строк, в прежнем 8_x000D_
Это изменяемая ЧАСТЬ данных.</t>
  </si>
  <si>
    <t>adapt profile: total = 0,02_x000D_
By steps =  0,01 0,00 0,00 0,00 0,00 0,00 0,00 0,00 0,00 0,00 0,00 0,00 0,00 0,00 0,00 0,00 0,00 0,00 0,00 0,00 0,00 0,00 0,00 0,00 0,00 0,00</t>
  </si>
  <si>
    <t>MoveToMatch: В файл '1C.xlsx' загружен новый отчет 'Платежи'; EOL=17 строк, в прежнем 5778_x000D_
Это изменяемая ЧАСТЬ данных.</t>
  </si>
  <si>
    <t>ВНИМАНИЕ:Это файл базы данных match! Его не надо загружать.</t>
  </si>
  <si>
    <t>MoveToMatch: В файл '1C.xlsx' загружен новый отчет 'Платежи'; EOL=17 строк, в прежнем 17_x000D_
Это изменяемая ЧАСТЬ данных.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</si>
  <si>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</si>
  <si>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adapt profile: total = 3,02_x000D_
By steps =  0,07 0,00 0,07 0,37 0,00 0,00 0,00 0,00 0,00 0,00 0,00 0,00 0,00 0,00 0,00 0,00 0,00 0,00 0,00 0,00 0,00 0,00 0,00 0,00 0,00 0,00 0,00 0,00 0,00 0,07 0,08 0,37 0,43 0,49 0,50 0,52 0,04</t>
  </si>
  <si>
    <t>adapt profile: total = 49,47_x000D_
By steps =  12,27 0,03 9,41 2,52 0,00 0,00 0,00 0,03 0,02 0,03 0,03 0,00 0,02 0,00 0,03 0,00 0,00 0,02 0,00 0,00 0,00 0,00 0,05 0,02 0,00 0,00 0,00 0,02 0,00 0,69 3,23 2,80 2,77 2,78 2,94 4,16 4,23</t>
  </si>
  <si>
    <t>SF_Paint</t>
  </si>
  <si>
    <t>MoveToMatch: В файл 'SFDC.xlsx' загружен новый отчет 'SF'; EOL=4854 строк, в прежнем 4854_x000D_
Это ПОЛНЫЙ документ.</t>
  </si>
  <si>
    <t>adapt profile: total = 85,07_x000D_
By steps =  14,66 0,04 12,02 10,37 0,04 0,01 0,02 0,01 0,02 0,01 0,00 0,03 0,00 0,02 0,01 0,03 0,01 0,01 0,02 0,01 0,02 0,01 0,01 0,01 0,01 0,00 0,01 0,00 0,01 0,63 2,92 6,02 8,75 10,11 8,57 4,80 4,88</t>
  </si>
  <si>
    <t>MoveToMatch: В файл '1C.xlsx' загружен новый отчет 'Платежи'; EOL=22 строк, в прежнем 5778_x000D_
Это изменяемая ЧАСТЬ данных.</t>
  </si>
  <si>
    <t>adapt profile: total = 9,08_x000D_
By steps =  0,02 0,00 1,20 1,88 0,00 0,00 0,00 0,00 0,00 0,00 0,00 0,00 0,00 0,00 0,00 0,00 0,00 0,00 0,00 0,00 0,00 0,00 0,00 0,00 0,00 0,00 0,00 0,00 0,00 0,00 0,00 1,45 1,48 1,81 1,23 0,00 0,00</t>
  </si>
  <si>
    <t>MoveToMatch: В файл '1C.xlsx' загружен новый отчет 'Платежи'; EOL=10 строк, в прежнем 5778_x000D_
Это изменяемая ЧАСТЬ данных.</t>
  </si>
  <si>
    <t>adapt profile: total = 4,36_x000D_
By steps =  0,02 0,00 0,39 0,81 0,00 0,00 0,00 0,00 0,00 0,00 0,00 0,00 0,00 0,00 0,00 0,00 0,00 0,00 0,00 0,00 0,00 0,00 0,00 0,00 0,00 0,00 0,00 0,00 0,00 0,19 0,19 0,47 0,64 0,83 0,83 0,00 0,00</t>
  </si>
  <si>
    <t>ВНИМАНИЕ:&lt;&gt; Процесс LOAD_SF перед выполнением Шага ProcStart</t>
  </si>
  <si>
    <t>&lt;! ERROR !&gt; ToStep: Обращение к несуществующему Шагу ProcStart Процесса LOAD_1C_P</t>
  </si>
  <si>
    <t>ВНИМАНИЕ:&lt;&gt; Процесс LOAD_SF перед выполнением Шага Adapt</t>
  </si>
  <si>
    <t>adapt profile: total = 7,40_x000D_
By steps =  7,17 0,02</t>
  </si>
  <si>
    <t>ВНИМАНИЕ:&lt;&gt; Процесс LOAD_SF перед выполнением Шага DateSort</t>
  </si>
  <si>
    <t>ВНИМАНИЕ:&lt;&gt; Процесс LOAD_SF перед выполнением Шага SF_Paint</t>
  </si>
  <si>
    <t>adapt profile: total = 62,77_x000D_
By steps =  14,23 0,08 10,45 4,10 0,05 0,02 0,03 0,02 0,05 0,00 0,00 0,03 0,01 0,03 0,00 0,00 0,00 0,03 0,00 0,02 0,02 0,02 0,03 0,02 0,02 0,02 0,02 0,00 0,02 0,48 3,31 3,86 4,81 4,98 4,48 5,86 4,27</t>
  </si>
  <si>
    <t>adapt profile: total = 20,82_x000D_
By steps =  19,59 0,06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</si>
  <si>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</si>
  <si>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</si>
  <si>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</si>
  <si>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</si>
  <si>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</si>
  <si>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</si>
  <si>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</si>
  <si>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</si>
  <si>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ВНИМАНИЕ:&lt;&gt; Процесс LOAD_SFacc перед выполнением Шага SFaccSplit</t>
  </si>
  <si>
    <t>MoveToMatch: В файл 'SFDC.xlsx' загружен новый отчет 'SFacc'; EOL=4438 строк, в прежнем 4425_x000D_
Это ПОЛНЫЙ документ.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</si>
  <si>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</si>
  <si>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EOL=4438 строк, в прежнем 4438_x000D_
Это ПОЛНЫЙ документ.</t>
  </si>
  <si>
    <t>ВНИМАНИЕ:&lt;&gt; Процесс LOAD_SFacc перед выполнением Шага ProcStart</t>
  </si>
  <si>
    <t>adapt profile: total = 102,98_x000D_
By steps =  16,71 0,03 20,87 3,91 0,02 0,01 0,01 0,02 0,01 0,01 0,02 0,01 0,02 0,03 0,04 0,01 0,00 0,01 0,03 0,00 0,00 0,01 0,02 0,02 0,04 0,02 0,01 0,00 0,02 0,82 3,16 4,19 6,05 6,91 6,40 18,40 13,16</t>
  </si>
  <si>
    <t>&lt;! ERROR !&gt; WrTOC&gt; Не найден Штамп в Документе 'Process'_x000D_
_x000D_
Этот Документ надо загрузить в match заново или _x000D_
исправить параметры в TOCmatch.</t>
  </si>
  <si>
    <t>adapt profile: total = 6,39_x000D_
By steps =  1,07 3,66 0,49 0,00 0,00 0,00 0,77 0,00 0,00 0,01 0,00 0,00 0,00 0,00 0,00 0,00 0,00 0,00 0,01 0,00 0,00 0,00 0,00 0,00 0,01 0,00</t>
  </si>
  <si>
    <t>adapt profile: total = 33,25_x000D_
By steps =  32,48</t>
  </si>
  <si>
    <t>MoveToMatch: В файл '1C.xlsx' загружен новый отчет 'Список клиентов 1C'; EOL=1309 строк, в прежнем 1772_x000D_
Это ПОЛНЫЙ документ.</t>
  </si>
  <si>
    <t>0 /3</t>
  </si>
  <si>
    <t>MoveToMatch: В файл '1C.xlsx' загружен новый отчет 'Список клиентов 1C'; EOL=1309 строк, в прежнем 1309_x000D_
Это ПОЛНЫЙ документ.</t>
  </si>
  <si>
    <t>MoveToMatch: В файл '1C.xlsx' загружен новый отчет 'Список клиентов 1C'; EOL=1309 строк, в прежнем 1306_x000D_
Это ПОЛНЫЙ документ.</t>
  </si>
  <si>
    <t>adapt profile: total = 1,54_x000D_
By steps =  1,36</t>
  </si>
  <si>
    <t>adapt profile: total = 3,76_x000D_
By steps =  3,49</t>
  </si>
  <si>
    <t>adapt profile: total = 4,00_x000D_
By steps =  3,69</t>
  </si>
  <si>
    <t>adapt profile: total = 14,75_x000D_
By steps =  14,12</t>
  </si>
  <si>
    <t>adapt profile: total = 3,21_x000D_
By steps =  2,93</t>
  </si>
  <si>
    <t>adapt profile: total = 3,07_x000D_
By steps =  2,84</t>
  </si>
  <si>
    <t>adapt profile: total = 2,78_x000D_
By steps =  2,51</t>
  </si>
  <si>
    <t>adapt profile: total = 0,86_x000D_
By steps =  0,82</t>
  </si>
  <si>
    <t>adapt profile: total = 2,83_x000D_
By steps =  2,58</t>
  </si>
  <si>
    <t>adapt profile: total = 0,75_x000D_
By steps =  0,71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</si>
  <si>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</si>
  <si>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adapt profile: total = 1,98_x000D_
By steps =  1,79</t>
  </si>
  <si>
    <t>adapt profile: total = 2,15_x000D_
By steps =  2,09 0,01</t>
  </si>
  <si>
    <t>&lt;! ERROR !&gt; GetRep&gt; Не найден Штамп в Документе 'TOCmatch'_x000D_
_x000D_
Этот Документ надо загрузить в match заново или _x000D_
исправить параметры в TOCmatch.</t>
  </si>
  <si>
    <t>-1</t>
  </si>
  <si>
    <t>&lt;! ERROR !&gt; MoveToMatch: Не найден Штамп_x000D_
Входной документ SF.xlsx</t>
  </si>
  <si>
    <t>MoveToMatch: В файл 'SFDC.xlsx' загружен новый отчет 'SF'; EOL=4858 строк, в прежнем 4854_x000D_
Это ПОЛНЫЙ документ.</t>
  </si>
  <si>
    <t>&lt;! ERROR !&gt; WrTOC&gt; Не найден Штамп в Документе '&lt;пусто&gt;'_x000D_
_x000D_
Этот Документ надо загрузить в match заново или _x000D_
исправить параметры в TOCmatch.</t>
  </si>
  <si>
    <t>MoveToMatch: В файл 'SFDC.xlsx' загружен новый отчет 'SF'; EOL=4858 строк, в прежнем 4858_x000D_
Это ПОЛНЫЙ документ.</t>
  </si>
  <si>
    <t>adapt profile: total = 66,19_x000D_
By steps =  15,45 0,05 10,66 3,67 0,01 0,03 0,01 0,02 0,02 0,00 0,01 0,02 0,02 0,00 0,02 0,01 0,03 0,02 0,02 0,02 0,02 0,01 0,01 0,01 0,01 0,03 0,01 0,01 0,01 0,84 3,26 4,63 5,21 4,91 4,82 5,38 5,92</t>
  </si>
  <si>
    <t>adapt profile: total = 96,55_x000D_
By steps =  16,36 0,04 13,56 7,92 0,05 0,02 0,02 0,01 0,01 0,01 0,00 0,01 0,00 0,02 0,00 0,02 0,01 0,02 0,01 0,00 0,02 0,01 0,02 0,02 0,01 0,02 0,05 0,01 0,02 0,63 3,47 7,12 10,42 11,11 9,68 7,65 6,64</t>
  </si>
  <si>
    <t>adapt profile: total = 74,56_x000D_
By steps =  15,39 0,05 12,77 4,52 0,04 0,00 0,02 0,01 0,02 0,02 0,02 0,02 0,01 0,02 0,01 0,01 0,01 0,02 0,00 0,02 0,03 0,02 0,01 0,00 0,01 0,01 0,02 0,01 0,01 0,66 2,98 5,09 6,19 6,27 6,30 6,95 5,40</t>
  </si>
  <si>
    <t>adapt profile: total = 16,11_x000D_
By steps =  14,57 0,04</t>
  </si>
  <si>
    <t>adapt profile: total = 24,70_x000D_
By steps =  23,47 0,01</t>
  </si>
  <si>
    <t>adapt profile: total = 25,04_x000D_
By steps =  23,82 0,05</t>
  </si>
  <si>
    <t>adapt profile: total = 26,16_x000D_
By steps =  24,77 0,10</t>
  </si>
  <si>
    <t>adapt profile: total = 66,48_x000D_
By steps =  15,47 0,11 12,05 3,43 0,02 0,02 0,00 0,01 0,01 0,01 0,00 0,00 0,02 0,02 0,01 0,01 0,02 0,01 0,00 0,02 0,00 0,01 0,02 0,04 0,01 0,02 0,02 0,01 0,00 0,87 3,01 4,31 4,44 4,68 4,28 6,05 5,88</t>
  </si>
  <si>
    <t>adapt profile: total = 11,46_x000D_
By steps =  10,04 0,04</t>
  </si>
  <si>
    <t>MoveToMatch: В файл 'SFDC.xlsx' загружен новый отчет 'SFD'; EOL=1145 строк, в прежнем 1145_x000D_
Это ПОЛНЫЙ документ.</t>
  </si>
  <si>
    <t>adapt profile: total = 2,92_x000D_
By steps =  2,66 0,02</t>
  </si>
  <si>
    <t>adapt profile: total = 5,59_x000D_
By steps =  0,77 3,04 0,66 0,00 0,02 0,00 0,65 0,00 0,00 0,00 0,00 0,02 0,00 0,00 0,01 0,00 0,00 0,00 0,02 0,00 0,00 0,00 0,00 0,01 0,00 0,00</t>
  </si>
  <si>
    <t>MoveToMatch: В файл 'SFDC.xlsx' загружен новый отчет 'SFacc'; EOL=4443 строк, в прежнем 4439_x000D_
Это ПОЛНЫЙ документ.</t>
  </si>
  <si>
    <t>MoveToMatch: В файл 'SFDC.xlsx' загружен новый отчет 'SFacc'; EOL=4443 строк, в прежнем 4443_x000D_
Это ПОЛНЫЙ документ.</t>
  </si>
  <si>
    <t>adapt profile: total = 109,82_x000D_
By steps =  18,06 0,05 23,20 5,67 0,03 0,01 0,01 0,01 0,01 0,01 0,01 0,01 0,02 0,01 0,01 0,01 0,01 0,01 0,01 0,02 0,01 0,01 0,01 0,01 0,01 0,01 0,01 0,01 0,01 0,74 3,33 5,45 6,35 6,86 6,77 15,43 15,90</t>
  </si>
  <si>
    <t>&lt;! ERROR !&gt; WrTOC&gt; На Шаге 'Adapt' Документ 'Платежи' странно изменил EOL=4444</t>
  </si>
  <si>
    <t>adapt profile: total = 98,55_x000D_
By steps =  17,83 0,06 22,55 3,59 0,03 0,01 0,02 0,01 0,01 0,01 0,01 0,01 0,01 0,01 0,01 0,01 0,01 0,01 0,01 0,01 0,01 0,01 0,02 0,01 0,01 0,01 0,01 0,01 0,01 0,66 3,25 4,59 4,42 4,35 4,43 15,35 15,38</t>
  </si>
  <si>
    <t>adapt profile: total = 7,21_x000D_
By steps =  1,23 3,93 0,75 0,00 0,00 0,00 0,69 0,00 0,00 0,00 0,00 0,00 0,00 0,00 0,00 0,00 0,00 0,00 0,00 0,00 0,00 0,00 0,00 0,00 0,00 0,00</t>
  </si>
  <si>
    <t>adapt profile: total = 5,19_x000D_
By steps =  4,87</t>
  </si>
  <si>
    <t>adapt profile: total = 3,47_x000D_
By steps =  3,19 0,01</t>
  </si>
  <si>
    <t>MoveToMatch: В файл 'SFDC.xlsx' загружен новый отчет 'SFacc'; EOL=4443 строк, в прежнем 4444_x000D_
Это ПОЛНЫЙ документ.</t>
  </si>
  <si>
    <t>adapt profile: total = 101,61_x000D_
By steps =  17,76 0,06 22,63 3,90 0,04 0,01 0,01 0,01 0,01 0,01 0,02 0,01 0,01 0,01 0,01 0,01 0,01 0,01 0,01 0,01 0,01 0,01 0,01 0,01 0,01 0,00 0,01 0,01 0,01 0,69 3,24 4,89 5,01 5,08 4,97 15,50 15,71</t>
  </si>
  <si>
    <t>adapt profile: total = 7,21_x000D_
By steps =  1,23 3,93 0,74 0,00 0,00 0,00 0,67 0,00 0,00 0,00 0,00 0,00 0,00 0,00 0,00 0,00 0,00 0,00 0,00 0,00 0,00 0,00 0,00 0,00 0,00 0,00</t>
  </si>
  <si>
    <t>adapt profile: total = 3,26_x000D_
By steps =  2,97</t>
  </si>
  <si>
    <t>adapt profile: total = 22,40_x000D_
By steps =  20,88 0,05</t>
  </si>
  <si>
    <t>MoveToMatch: В файл 'SFDC.xlsx' загружен новый отчет 'SF'; EOL=4859 строк, в прежнем 4898_x000D_
Это ПОЛНЫЙ документ.</t>
  </si>
  <si>
    <t>adapt profile: total = 80,30_x000D_
By steps =  18,58 0,07 13,30 3,70 0,03 0,01 0,01 0,01 0,01 0,01 0,02 0,00 0,02 0,01 0,01 0,02 0,01 0,01 0,01 0,01 0,01 0,01 0,01 0,01 0,01 0,02 0,01 0,02 0,02 0,82 3,21 5,67 6,38 6,69 6,34 5,24 8,17</t>
  </si>
  <si>
    <t>MoveToMatch: В файл 'SFDC.xlsx' загружен новый отчет 'SF'; EOL=4859 строк, в прежнем 4859_x000D_
Это ПОЛНЫЙ документ.</t>
  </si>
  <si>
    <t>adapt profile: total = 102,86_x000D_
By steps =  18,36 0,05 23,38 4,38 0,04 0,01 0,01 0,01 0,01 0,01 0,01 0,02 0,01 0,01 0,01 0,01 0,01 0,01 0,01 0,01 0,01 0,01 0,01 0,01 0,01 0,01 0,01 0,02 0,01 0,75 3,24 5,03 5,12 5,13 5,08 15,85 15,16</t>
  </si>
  <si>
    <t>adapt profile: total = 21,56_x000D_
By steps =  20,39 0,06</t>
  </si>
  <si>
    <t>adapt profile: total = 3,47_x000D_
By steps =  3,08 0,00</t>
  </si>
  <si>
    <t>adapt profile: total = 7,20_x000D_
By steps =  1,06 4,06 0,83 0,02 0,00 0,01 0,57 0,00 0,02 0,00 0,00 0,01 0,00 0,00 0,00 0,01 0,00 0,00 0,01 0,00 0,00 0,00 0,00 0,00 0,00 0,01</t>
  </si>
  <si>
    <t>adapt profile: total = 114,88_x000D_
By steps =  17,23 0,06 22,83 6,01 0,05 0,02 0,02 0,01 0,02 0,01 0,03 0,03 0,02 0,02 0,02 0,02 0,00 0,00 0,02 0,00 0,03 0,01 0,02 0,01 0,02 0,02 0,02 0,02 0,00 0,73 3,09 5,77 6,87 7,09 6,90 18,95 16,95</t>
  </si>
  <si>
    <t>adapt profile: total = 34,11_x000D_
By steps =  32,52 0,05</t>
  </si>
  <si>
    <t>adapt profile: total = 7,13_x000D_
By steps =  1,13 4,01 0,86 0,00 0,00 0,00 0,65 0,00 0,00 0,01 0,00 0,00 0,01 0,01 0,00 0,00 0,00 0,00 0,00 0,00 0,00 0,00 0,00 0,00 0,00 0,00</t>
  </si>
  <si>
    <t>adapt profile: total = 7,13_x000D_
By steps =  1,27 3,98 0,78 0,00 0,01 0,00 0,45 0,01 0,00 0,00 0,00 0,00 0,01 0,00 0,00 0,00 0,00 0,00 0,00 0,00 0,00 0,00 0,00 0,00 0,00 0,00</t>
  </si>
  <si>
    <t>adapt profile: total = 114,59_x000D_
By steps =  17,70 0,07 22,65 5,55 0,04 0,02 0,01 0,01 0,01 0,00 0,02 0,02 0,00 0,00 0,02 0,00 0,02 0,00 0,01 0,00 0,00 0,02 0,02 0,00 0,02 0,01 0,01 0,01 0,02 0,89 3,27 5,80 6,98 7,59 7,35 18,40 16,59</t>
  </si>
  <si>
    <t>adapt profile: total = 33,96_x000D_
By steps =  32,32 0,07</t>
  </si>
  <si>
    <t>MoveToMatch: В файл 'SFDC.xlsx' загружен новый отчет 'SF'; EOL=4859 строк, в прежнем 4900_x000D_
Это ПОЛНЫЙ документ.</t>
  </si>
  <si>
    <t>adapt profile: total = 108,83_x000D_
By steps =  17,62 0,06 23,61 5,61 0,02 0,03 0,02 0,01 0,02 0,02 0,01 0,02 0,01 0,00 0,02 0,00 0,02 0,00 0,02 0,00 0,01 0,00 0,01 0,02 0,02 0,03 0,00 0,00 0,00 0,79 3,17 5,31 5,84 5,80 5,70 17,63 15,76</t>
  </si>
  <si>
    <t>adapt profile: total = 23,54_x000D_
By steps =  22,42 0,04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</si>
  <si>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</si>
  <si>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</si>
  <si>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</si>
  <si>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</si>
  <si>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</si>
  <si>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</si>
  <si>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</si>
  <si>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</si>
  <si>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</si>
  <si>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</si>
  <si>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</si>
  <si>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</si>
  <si>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</si>
  <si>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</si>
  <si>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</si>
  <si>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</si>
  <si>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</si>
  <si>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</si>
  <si>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</si>
  <si>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</si>
  <si>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</si>
  <si>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</si>
  <si>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</si>
  <si>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</si>
  <si>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</si>
  <si>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</si>
  <si>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</si>
  <si>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</si>
  <si>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</si>
  <si>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</si>
  <si>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</si>
  <si>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</si>
  <si>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</si>
  <si>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</si>
  <si>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</si>
  <si>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</si>
  <si>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</si>
  <si>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</si>
  <si>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</si>
  <si>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</si>
  <si>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</si>
  <si>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</si>
  <si>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</si>
  <si>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</si>
  <si>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</si>
  <si>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</si>
  <si>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</si>
  <si>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</si>
  <si>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</si>
  <si>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</si>
  <si>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</si>
  <si>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</si>
  <si>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</si>
  <si>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</si>
  <si>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</si>
  <si>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</si>
  <si>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</si>
  <si>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</si>
  <si>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</si>
  <si>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</si>
  <si>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</si>
  <si>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</si>
  <si>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</si>
  <si>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</si>
  <si>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</si>
  <si>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</si>
  <si>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</si>
  <si>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</si>
  <si>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</si>
  <si>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</si>
  <si>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</si>
  <si>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</si>
  <si>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</si>
  <si>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</si>
  <si>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</si>
  <si>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</si>
  <si>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</si>
  <si>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</si>
  <si>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</si>
  <si>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</si>
  <si>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</si>
  <si>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</si>
  <si>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</si>
  <si>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</si>
  <si>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</si>
  <si>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</si>
  <si>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</si>
  <si>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</si>
  <si>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</si>
  <si>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</si>
  <si>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</si>
  <si>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</si>
  <si>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</si>
  <si>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</si>
  <si>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</si>
  <si>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</si>
  <si>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</si>
  <si>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</si>
  <si>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</si>
  <si>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</si>
  <si>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SFD/2:18(2013-1-76)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</si>
  <si>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</si>
  <si>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</si>
  <si>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</si>
  <si>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</si>
  <si>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</si>
  <si>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</si>
  <si>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</si>
  <si>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</si>
  <si>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</si>
  <si>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</si>
  <si>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</si>
  <si>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</si>
  <si>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</si>
  <si>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</si>
  <si>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</si>
  <si>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</si>
  <si>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</si>
  <si>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</si>
  <si>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</si>
  <si>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</si>
  <si>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</si>
  <si>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</si>
  <si>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</si>
  <si>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</si>
  <si>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</si>
  <si>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</si>
  <si>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</si>
  <si>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</si>
  <si>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</si>
  <si>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</si>
  <si>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</si>
  <si>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</si>
  <si>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</si>
  <si>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</si>
  <si>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</si>
  <si>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</si>
  <si>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SFD/2:18(2013-1-128)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</si>
  <si>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</si>
  <si>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</si>
  <si>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</si>
  <si>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</si>
  <si>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</si>
  <si>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</si>
  <si>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</si>
  <si>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</si>
  <si>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</si>
  <si>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&lt; WARNING &gt; Адаптер&gt; ссылка SFD/2:18(2013-1-59)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</si>
  <si>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</si>
  <si>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SFD/2:18(2013-2-45) не работает, результат &lt;пусто&gt;</t>
  </si>
  <si>
    <t>&lt; WARNING &gt; Адаптер&gt; ссылка SFD/2:18(2013-2-41) не работает, результат &lt;пусто&gt;</t>
  </si>
  <si>
    <t>&lt; WARNING &gt; Адаптер&gt; ссылка SFD/2:18(2013-2-50) не работает, результат &lt;пусто&gt;</t>
  </si>
  <si>
    <t>&lt; WARNING &gt; Адаптер&gt; ссылка SFD/2:18(2013-1-124) не работает, результат &lt;пусто&gt;</t>
  </si>
  <si>
    <t>&lt; WARNING &gt; Адаптер&gt; ссылка SFD/2:18(2013-2-46) не работает, результат &lt;пусто&gt;</t>
  </si>
  <si>
    <t>&lt; WARNING &gt; Адаптер&gt; ссылка SFD/2:18(2013-1-126) не работает, результат &lt;пусто&gt;</t>
  </si>
  <si>
    <t>&lt; WARNING &gt; Адаптер&gt; ссылка SFD/2:18(2013-2-49) не работает, результат &lt;пусто&gt;</t>
  </si>
  <si>
    <t>&lt; WARNING &gt; Адаптер&gt; ссылка SFD/2:18(2013-1-123) не работает, результат &lt;пусто&gt;</t>
  </si>
  <si>
    <t>&lt; WARNING &gt; Адаптер&gt; ссылка SFD/2:18(2013-2-12) не работает, результат &lt;пусто&gt;</t>
  </si>
  <si>
    <t>WrCSV&gt; в 'Payment.txt' записано 15 строк.</t>
  </si>
  <si>
    <t>MoveToMatch: В файл '1C.xlsx' загружен новый отчет 'Список клиентов 1C'; EOL=2020 строк, в прежнем 1306_x000D_
Это ПОЛНЫЙ документ.</t>
  </si>
  <si>
    <t>Список клиентов 1С на 29.08.13</t>
  </si>
  <si>
    <t>Рассматриваются документы с даты 01.01.07 по дату 29.08.13</t>
  </si>
  <si>
    <t>adapt profile: total = 5,57_x000D_
By steps =  5,13</t>
  </si>
  <si>
    <t>LOADER</t>
  </si>
  <si>
    <t>&lt;! ERROR !&gt; IsDone: Не 'Loaded' файл для Процесса LOAD_Stock на Шаге Loaded_x000D_
_x000D_
Отчет Склад надо загрузить заново!</t>
  </si>
  <si>
    <t>CheckRepDate</t>
  </si>
  <si>
    <t>MoveToMatch: В файл '1C.xlsx' загружен новый отчет 'Список клиентов 1C'; EOL=2020 строк, в прежнем 2017_x000D_
Это ПОЛНЫЙ документ.</t>
  </si>
  <si>
    <t>adapt profile: total = 15,87_x000D_
By steps =  15,27</t>
  </si>
  <si>
    <t>adapt profile: total = 96,77_x000D_
By steps =  20,14 0,05 22,78 3,17 0,03 0,01 0,01 0,02 0,01 0,01 0,01 0,02 0,01 0,01 0,02 0,01 0,02 0,01 0,02 0,01 0,01 0,01 0,01 0,02 0,01 0,00 0,01 0,01 0,01 0,56 2,95 4,50 4,11 4,23 4,23 14,96 14,43</t>
  </si>
  <si>
    <t>adapt profile: total = 21,38_x000D_
By steps =  20,61 0,03</t>
  </si>
  <si>
    <t>MoveToMatch: В файл '1C.xlsx' загружен новый отчет 'Платежи'; EOL=28 строк, в прежнем 5778_x000D_
Это изменяемая ЧАСТЬ данных.</t>
  </si>
  <si>
    <t>adapt profile: total = 1,12_x000D_
By steps =  0,08 0,00 0,15 0,10 0,00 0,00 0,00 0,00 0,00 0,00 0,00 0,00 0,00 0,00 0,00 0,00 0,00 0,00 0,00 0,00 0,00 0,00 0,00 0,00 0,00 0,00 0,00 0,00 0,00 0,01 0,01 0,11 0,12 0,12 0,11 0,17 0,13</t>
  </si>
  <si>
    <t>MoveToMatch: В файл '1C.xlsx' загружен новый отчет 'Договоры'; EOL=47 строк, в прежнем 1402_x000D_
Это изменяемая ЧАСТЬ данных.</t>
  </si>
  <si>
    <t>adapt profile: total = 0,17_x000D_
By steps =  0,07 0,05 0,02 0,00 0,00 0,00 0,01 0,00 0,00 0,00 0,00 0,00 0,00 0,00 0,00 0,00 0,00 0,00 0,00 0,00 0,00 0,00 0,00 0,00 0,00 0,00</t>
  </si>
  <si>
    <t>&lt;! ERROR !&gt; Необходимо загрузить заново 'SF' за 30.08.2013 2:29:12_x000D_
Он устарел относительно 'Платежи' за 30.08.2013</t>
  </si>
  <si>
    <t>&lt;! ERROR !&gt; Необходимо загрузить заново 'SF' за 29.08.2013 1:48:00_x000D_
Он устарел относительно 'Платежи' за 30.08.2013</t>
  </si>
  <si>
    <t>&lt;! ERROR !&gt; Необходимо загрузить заново 'SF' за 30.08.2013 2:49:00_x000D_
Он устарел относительно 'Платежи' за 30.08.2013</t>
  </si>
  <si>
    <t>adapt profile: total = 115,11_x000D_
By steps =  18,91 0,04 28,48 1,12 0,03 0,01 0,02 0,01 0,01 0,02 0,01 0,01 0,02 0,02 0,02 0,02 0,02 0,02 0,02 0,01 0,01 0,02 0,01 0,02 0,01 0,01 0,02 0,02 0,02 0,75 2,95 4,82 4,44 4,64 4,42 21,04 22,73</t>
  </si>
  <si>
    <t>&lt;! ERROR !&gt; Необходимо загрузить заново 'SFopp' за 23.08.2013 0:07:00_x000D_
Он устарел относительно 'Договоры' за 30.08.2013</t>
  </si>
  <si>
    <t>MoveToMatch: В файл 'SFDC.xlsx' загружен новый отчет 'SFopp'; EOL=3541 строк, в прежнем 3531_x000D_
Это ПОЛНЫЙ документ.</t>
  </si>
  <si>
    <t>adapt profile: total = 131,64_x000D_
By steps =  21,73 0,06 31,30 2,40 0,04 0,01 0,01 0,02 0,01 0,01 0,01 0,01 0,01 0,01 0,01 0,01 0,01 0,01 0,02 0,01 0,01 0,02 0,01 0,02 0,01 0,01 0,01 0,01 0,01 0,64 3,06 5,42 5,77 6,16 5,99 23,34 23,93</t>
  </si>
  <si>
    <t>adapt profile: total = 6,82_x000D_
By steps =  1,24 3,75 0,64 0,01 0,00 0,00 0,64 0,00 0,00 0,00 0,00 0,00 0,00 0,00 0,00 0,00 0,00 0,00 0,00 0,00 0,00 0,00 0,00 0,00 0,00 0,00</t>
  </si>
  <si>
    <t>adapt profile: total = 21,14_x000D_
By steps =  20,13 0,04</t>
  </si>
  <si>
    <t>&lt;! ERROR !&gt; IsDone: Не 'Loaded' файл для Процесса LOAD_SFD на Шаге Loaded_x000D_
_x000D_
Отчет SFD надо загрузить заново!</t>
  </si>
  <si>
    <t>adapt profile: total = 3,37_x000D_
By steps =  3,14 0,01</t>
  </si>
  <si>
    <t>adapt profile: total = 6,81_x000D_
By steps =  1,25 3,61 0,71 0,01 0,00 0,00 0,66 0,00 0,00 0,00 0,00 0,00 0,00 0,00 0,00 0,00 0,00 0,00 0,00 0,00 0,00 0,00 0,00 0,00 0,00 0,00</t>
  </si>
  <si>
    <t>adapt profile: total = 113,24_x000D_
By steps =  17,95 0,05 28,35 1,08 0,03 0,01 0,01 0,01 0,01 0,01 0,01 0,01 0,01 0,01 0,01 0,01 0,01 0,01 0,01 0,01 0,01 0,01 0,01 0,02 0,01 0,01 0,01 0,01 0,01 0,71 3,03 4,64 4,29 4,26 4,33 21,02 22,34</t>
  </si>
  <si>
    <t>adapt profile: total = 6,68_x000D_
By steps =  1,22 3,65 0,66 0,00 0,00 0,01 0,61 0,01 0,00 0,00 0,00 0,00 0,00 0,00 0,00 0,00 0,00 0,00 0,00 0,00 0,00 0,00 0,00 0,00 0,00 0,00</t>
  </si>
  <si>
    <t>adapt profile: total = 4,58_x000D_
By steps =  4,25</t>
  </si>
  <si>
    <t>&lt; WARNING &gt; Адаптер&gt; ссылка SFD/2:18(2009-1-096) не работает, результат &lt;пусто&gt;</t>
  </si>
  <si>
    <t>&lt; WARNING &gt; Адаптер&gt; ссылка SFD/2:18(1-077/2008/4 (Заказ № 2)) не работает, результат &lt;пусто&gt;</t>
  </si>
  <si>
    <t>&lt; WARNING &gt; Адаптер&gt; ссылка SFD/2:18(2010-1-012) не работает, результат &lt;пусто&gt;</t>
  </si>
  <si>
    <t>&lt; WARNING &gt; Адаптер&gt; ссылка SFD/4:15(2010-1-068/1) не работает, результат &lt;пусто&gt;</t>
  </si>
  <si>
    <t>&lt; WARNING &gt; Адаптер&gt; ссылка SFD/2:18(2010-1-006/5) не работает, результат &lt;пусто&gt;</t>
  </si>
  <si>
    <t>&lt; WARNING &gt; Адаптер&gt; ссылка SFD/2:18(2008-1-022) не работает, результат &lt;пусто&gt;</t>
  </si>
  <si>
    <t>&lt; WARNING &gt; Адаптер&gt; ссылка SFD/2:18(2010-1-083/1)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</si>
  <si>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</si>
  <si>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</si>
  <si>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SFD/2:18(2011-1-156) не работает, результат &lt;пусто&gt;</t>
  </si>
  <si>
    <t>&lt; WARNING &gt; Адаптер&gt; ссылка SFD/2:18(2011-1-194) не работает, результат &lt;пусто&gt;</t>
  </si>
  <si>
    <t>&lt; WARNING &gt; Адаптер&gt; ссылка SFD/2:18(2011-2-150) не работает, результат &lt;пусто&gt;</t>
  </si>
  <si>
    <t>&lt; WARNING &gt; Адаптер&gt; ссылка SFD/2:18(2008-1-008) не работает, результат &lt;пусто&gt;</t>
  </si>
  <si>
    <t>&lt; WARNING &gt; Адаптер&gt; ссылка SFD/2:18(2011-1-29/3 (Спецификация №2)) не работает, результат &lt;пусто&gt;</t>
  </si>
  <si>
    <t>&lt; WARNING &gt; Адаптер&gt; ссылка SFD/2:18(2012-1-68) не работает, результат &lt;пусто&gt;</t>
  </si>
  <si>
    <t>&lt; WARNING &gt; Адаптер&gt; ссылка SFD/2:18(2012-1-81) не работает, результат &lt;пусто&gt;</t>
  </si>
  <si>
    <t>&lt; WARNING &gt; Адаптер&gt; ссылка SFD/2:18(2012-1-69) не работает, результат &lt;пусто&gt;</t>
  </si>
  <si>
    <t>&lt; WARNING &gt; Адаптер&gt; ссылка SFD/2:18(2011-2-135) не работает, результат &lt;пусто&gt;</t>
  </si>
  <si>
    <t>&lt; WARNING &gt; Адаптер&gt; ссылка SFD/2:18(2012-1-56/4)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</si>
  <si>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</si>
  <si>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</si>
  <si>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SFD/2:18(1-077/2008/7 (Заказ № 5)) не работает, результат &lt;пусто&gt;</t>
  </si>
  <si>
    <t>&lt; WARNING &gt; Адаптер&gt; ссылка SFD/2:18(2013-1-100) не работает, результат &lt;пусто&gt;</t>
  </si>
  <si>
    <t>&lt; WARNING &gt; Адаптер&gt; ссылка SFD/2:18(2013-1-134) не работает, результат &lt;пусто&gt;</t>
  </si>
  <si>
    <t>&lt; WARNING &gt; Адаптер&gt; ссылка SFD/2:18(2013-2-21) не работает, результат &lt;пусто&gt;</t>
  </si>
  <si>
    <t>WrCSV&gt; в 'Payment.txt' записано 1175 строк.</t>
  </si>
  <si>
    <t>adapt profile: total = 118,31_x000D_
By steps =  17,80 0,05 29,64 1,61 0,03 0,01 0,02 0,01 0,01 0,01 0,01 0,02 0,01 0,01 0,01 0,02 0,01 0,01 0,02 0,01 0,01 0,01 0,01 0,01 0,01 0,02 0,01 0,02 0,01 0,70 3,00 4,91 4,67 4,80 4,68 21,50 23,14</t>
  </si>
  <si>
    <t>adapt profile: total = 21,46_x000D_
By steps =  20,39 0,04</t>
  </si>
  <si>
    <t>adapt profile: total = 97,40_x000D_
By steps =  18,29 0,04 22,62 3,45 0,03 0,01 0,01 0,01 0,01 0,01 0,02 0,01 0,01 0,01 0,01 0,01 0,01 0,02 0,01 0,01 0,02 0,01 0,01 0,01 0,02 0,00 0,02 0,01 0,01 0,60 3,07 4,65 4,36 4,40 4,30 15,35 14,41</t>
  </si>
  <si>
    <t>WrCSV&gt; в 'Payment.txt' записано 18 строк.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</si>
  <si>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</si>
  <si>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</si>
  <si>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</si>
  <si>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</si>
  <si>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</si>
  <si>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</si>
  <si>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</si>
  <si>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</si>
  <si>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</si>
  <si>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</si>
  <si>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</si>
  <si>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</si>
  <si>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</si>
  <si>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</si>
  <si>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</si>
  <si>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WrCSV&gt; в 'Dogovor.txt' записано 5 строк.</t>
  </si>
  <si>
    <t>MoveToMatch: В файл 'SFDC.xlsx' загружен новый отчет 'SF'; EOL=4863 строк, в прежнем 4900_x000D_
Это ПОЛНЫЙ документ.</t>
  </si>
  <si>
    <t>adapt profile: total = 109,10_x000D_
By steps =  19,31 0,04 23,54 3,97 0,03 0,01 0,01 0,02 0,01 0,01 0,01 0,01 0,02 0,01 0,01 0,02 0,01 0,01 0,01 0,01 0,01 0,01 0,01 0,02 0,01 0,01 0,01 0,01 0,01 0,66 3,26 5,26 6,18 6,48 6,29 17,40 14,88</t>
  </si>
  <si>
    <t>adapt profile: total = 22,70_x000D_
By steps =  21,49 0,03</t>
  </si>
  <si>
    <t>MoveToMatch: В файл 'SFDC.xlsx' загружен новый отчет 'SFacc'; EOL=4464 строк, в прежнем 4444_x000D_
Это ПОЛНЫЙ документ.</t>
  </si>
  <si>
    <t>adapt profile: total = 90,12_x000D_
By steps =  17,48 0,04 20,86 3,18 0,04 0,00 0,00 0,00 0,01 0,02 0,01 0,00 0,02 0,02 0,04 0,02 0,02 0,01 0,02 0,01 0,01 0,01 0,01 0,02 0,02 0,01 0,02 0,02 0,00 0,49 3,18 4,29 4,11 3,95 4,18 14,10 13,59</t>
  </si>
  <si>
    <t>adapt profile: total = 6,19_x000D_
By steps =  1,09 3,52 0,58 0,01 0,01 0,00 0,63 0,00 0,01 0,00 0,01 0,00 0,00 0,00 0,00 0,00 0,00 0,00 0,00 0,00 0,01 0,00 0,00 0,00 0,00 0,00</t>
  </si>
  <si>
    <t>adapt profile: total = 4,28_x000D_
By steps =  4,22</t>
  </si>
  <si>
    <t>adapt profile: total = 3,24_x000D_
By steps =  3,07 0,00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</si>
  <si>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</si>
  <si>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</si>
  <si>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MoveToMatch: В файл '1C.xlsx' загружен новый отчет 'Платежи'; EOL=14 строк, в прежнем 5787_x000D_
Это изменяемая ЧАСТЬ данных.</t>
  </si>
  <si>
    <t>&lt;ForProcess&gt;</t>
  </si>
  <si>
    <t>2)Value</t>
  </si>
  <si>
    <t>MoveToMatch: В файл '1C.xlsx' загружен новый отчет 'Платежи'; EOL=14 строк, в прежнем 14_x000D_
Это изменяемая ЧАСТЬ данных.</t>
  </si>
  <si>
    <t>adapt profile: total = 289,79_x000D_
By steps =  31,40 0,79 1,34 1,14 0,32 0,32 0,34 0,34 2,74 0,34 0,32 0,29 0,34 0,30 0,34 0,33 0,29 0,30 0,29 4,21 0,32 0,34 0,35 4,61 0,85 0,30 2,66 6,56 6,58 0,00 0,00 0,00 0,00 0,00 0,00 0,00 0,00 0,00</t>
  </si>
  <si>
    <t>Paid1C</t>
  </si>
  <si>
    <t>ВНИМАНИЕ:&lt;&gt; Процесс HANDL_Payment перед выполнением Шага ProcStart</t>
  </si>
  <si>
    <t>ВНИМАНИЕ:&lt;&gt; Процесс HANDL_Payment перед выполнением Шага Adapt</t>
  </si>
  <si>
    <t>&lt;! ERROR !&gt; испорчен тип товара 'Сч-299'</t>
  </si>
  <si>
    <t>adapt profile: total = 142,73_x000D_
By steps =  0,01 0,00 0,01 0,00 0,00 0,00 0,00 0,00 0,00 0,00 0,00 0,00 0,00 0,00 0,00 0,00 0,00 0,00 0,00 0,00 0,00 0,00 0,00 0,00 0,00 0,00 0,00 0,00 0,00 11,21 651369,70 6,76 11,14 8,32 8,45 11,70 8,70 9,77</t>
  </si>
  <si>
    <t>ВНИМАНИЕ:&lt;&gt; Процесс HANDL_Payment перед выполнением Шага Paid1C</t>
  </si>
  <si>
    <t>MoveToMatch: В файл 'SFDC.xlsx' загружен новый отчет 'SF'; EOL=4865 строк, в прежнем 4904_x000D_
Это ПОЛНЫЙ документ.</t>
  </si>
  <si>
    <t>adapt profile: total = 72,20_x000D_
By steps =  17,77 0,04 17,24 3,45 0,04 0,02 0,02 0,00 0,02 0,01 0,01 0,00 0,01 0,00 0,00 0,02 0,02 0,04 0,02 0,01 0,01 0,00 0,01 0,01 0,02 0,02 0,00 0,01 0,01 0,00 0,00 0,00 0,00 0,00 0,00 0,00 0,00 0,00</t>
  </si>
  <si>
    <t>adapt profile: total = 17,32_x000D_
By steps =  15,73 0,03</t>
  </si>
  <si>
    <t>adapt profile: total = 35,29_x000D_
By steps =  0,01 0,00 0,01 0,00 0,00 0,00 0,00 0,00 0,00 0,00 0,00 0,00 0,00 0,00 0,00 0,00 0,00 0,00 0,00 0,00 0,00 0,00 0,00 0,00 0,00 0,00 0,00 0,00 0,00 0,00 102002,10 3,32 4,36 4,43 4,55 4,49 5,59 6,09</t>
  </si>
  <si>
    <t>ВНИМАНИЕ:&lt;&gt; Процесс HANDL_Payment перед выполнением Шага DataSort</t>
  </si>
  <si>
    <t>SheetSort</t>
  </si>
  <si>
    <t>ВНИМАНИЕ:&lt;&gt; Процесс HANDL_Payment перед выполнением Шага SheetSort</t>
  </si>
  <si>
    <t>Descend</t>
  </si>
  <si>
    <t>&lt; WARNING &gt; Адаптер&gt; ссылка SFacc/3:6(0012000000MXkEp) не работает, результат &lt;пусто&gt;</t>
  </si>
  <si>
    <t>ВНИМАНИЕ:&lt;&gt; Процесс HANDL_PaidOpp перед выполнением Шага NewSheet</t>
  </si>
  <si>
    <t>&lt; WARNING &gt; Адаптер&gt; ссылка SFacc/3:6(0012000000NZhGf) не работает, результат &lt;пусто&gt;</t>
  </si>
  <si>
    <t>ВНИМАНИЕ:&lt;&gt; Процесс HANDL_Payment перед выполнением Шага WrCSV</t>
  </si>
  <si>
    <t>&lt;! ERROR !&gt; NewSheet&gt; Нет Шаблона (шапки) '' для листа NewAcc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</si>
  <si>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</si>
  <si>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</si>
  <si>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&lt; WARNING &gt; Адаптер&gt; ссылка SFD/2:18/W(2013-1-124) не работает, результат &lt;пусто&gt;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</si>
</sst>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5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35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5" fontId="1" fillId="4" borderId="5" xfId="1" applyNumberFormat="1" applyFill="1" applyBorder="1"/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0" fontId="63" fillId="0" borderId="0" xfId="44" applyFont="1"/>
    <xf numFmtId="0" fontId="66" fillId="0" borderId="0" xfId="44" applyFont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49" fontId="0" fillId="0" borderId="0" xfId="1" applyNumberFormat="1" applyFont="1" applyFill="1" applyAlignment="1">
      <alignment horizontal="center" vertical="center"/>
    </xf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164" fontId="1" fillId="20" borderId="0" xfId="1" applyFill="1" applyAlignment="1">
      <alignment wrapText="1"/>
    </xf>
    <xf numFmtId="49" fontId="0" fillId="20" borderId="3" xfId="1" applyNumberFormat="1" applyFont="1" applyFill="1" applyBorder="1" applyAlignment="1">
      <alignment horizontal="center" vertical="center"/>
    </xf>
    <xf numFmtId="164" fontId="0" fillId="0" borderId="16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</cellXfs>
  <cellStyles count="45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25" activePane="bottomRight" state="frozen"/>
      <selection pane="topRight" activeCell="C1" sqref="C1"/>
      <selection pane="bottomLeft" activeCell="A4" sqref="A4"/>
      <selection pane="bottomRight" activeCell="N47" sqref="N47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41521.085474537038</v>
      </c>
      <c r="C1" s="3" t="s">
        <v>0</v>
      </c>
      <c r="J1" s="4" t="s">
        <v>1</v>
      </c>
      <c r="K1" s="5"/>
      <c r="L1" s="6"/>
      <c r="M1" s="6"/>
      <c r="N1" s="6"/>
      <c r="O1" s="900" t="s">
        <v>2</v>
      </c>
      <c r="P1" s="902" t="s">
        <v>1219</v>
      </c>
      <c r="Q1" s="902" t="s">
        <v>1218</v>
      </c>
      <c r="R1" s="904" t="s">
        <v>3</v>
      </c>
      <c r="S1" s="904" t="s">
        <v>4</v>
      </c>
      <c r="V1" s="904" t="s">
        <v>1213</v>
      </c>
      <c r="W1" s="904" t="s">
        <v>1214</v>
      </c>
      <c r="X1" s="904" t="s">
        <v>1215</v>
      </c>
      <c r="Y1" s="904" t="s">
        <v>1216</v>
      </c>
      <c r="Z1" s="904" t="s">
        <v>1217</v>
      </c>
    </row>
    <row r="2" spans="1:27" ht="29.25" customHeight="1" x14ac:dyDescent="0.25">
      <c r="O2" s="901"/>
      <c r="P2" s="903"/>
      <c r="Q2" s="903"/>
      <c r="R2" s="903"/>
      <c r="S2" s="903"/>
      <c r="V2" s="903"/>
      <c r="W2" s="903"/>
      <c r="X2" s="903"/>
      <c r="Y2" s="903"/>
      <c r="Z2" s="903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901"/>
      <c r="W3" s="901"/>
      <c r="X3" s="901"/>
      <c r="Y3" s="901"/>
      <c r="Z3" s="901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872" t="s">
        <v>1282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41520.086597222224</v>
      </c>
      <c r="B8" s="22" t="s">
        <v>32</v>
      </c>
      <c r="C8" s="23">
        <v>5798</v>
      </c>
      <c r="D8" s="23">
        <v>5</v>
      </c>
      <c r="E8" s="23">
        <v>2</v>
      </c>
      <c r="F8" s="2" t="s">
        <v>1578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41517</v>
      </c>
      <c r="O8" s="29" t="s">
        <v>29</v>
      </c>
      <c r="P8" s="30" t="s">
        <v>171</v>
      </c>
      <c r="Q8" s="30" t="s">
        <v>172</v>
      </c>
      <c r="R8" s="30">
        <v>41500</v>
      </c>
      <c r="S8" s="30">
        <v>41515</v>
      </c>
      <c r="T8" s="22" t="s">
        <v>38</v>
      </c>
      <c r="V8" s="27">
        <v>2</v>
      </c>
      <c r="W8" s="27" t="s">
        <v>7</v>
      </c>
      <c r="X8" s="27">
        <v>2</v>
      </c>
      <c r="Y8" s="30">
        <v>41514</v>
      </c>
      <c r="Z8" s="30">
        <v>41516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41518.960405092592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183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41516</v>
      </c>
      <c r="O10" s="47" t="s">
        <v>29</v>
      </c>
      <c r="P10" s="854" t="s">
        <v>175</v>
      </c>
      <c r="Q10" s="197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41456</v>
      </c>
      <c r="Z10" s="38">
        <v>41514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41518.960428240738</v>
      </c>
      <c r="B12" s="2" t="s">
        <v>49</v>
      </c>
      <c r="C12" s="41">
        <v>2017</v>
      </c>
      <c r="D12" s="41">
        <v>1</v>
      </c>
      <c r="E12" s="869" t="s">
        <v>1265</v>
      </c>
      <c r="F12" s="2" t="s">
        <v>183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41515</v>
      </c>
      <c r="O12" s="47" t="s">
        <v>29</v>
      </c>
      <c r="P12" s="854" t="s">
        <v>1253</v>
      </c>
      <c r="Q12" s="855" t="s">
        <v>1252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41518.960451388892</v>
      </c>
      <c r="B14" s="22" t="s">
        <v>58</v>
      </c>
      <c r="C14" s="23">
        <v>4906</v>
      </c>
      <c r="D14" s="23">
        <v>2</v>
      </c>
      <c r="E14" s="23">
        <v>6</v>
      </c>
      <c r="F14" s="22" t="s">
        <v>183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75">
        <v>41518.953472222223</v>
      </c>
      <c r="O14" s="29"/>
      <c r="P14" s="29" t="s">
        <v>181</v>
      </c>
      <c r="Q14" s="29" t="s">
        <v>182</v>
      </c>
      <c r="T14" s="22" t="s">
        <v>180</v>
      </c>
      <c r="Y14" s="55"/>
      <c r="Z14" s="55"/>
      <c r="AA14" s="55"/>
    </row>
    <row r="15" spans="1:27" ht="15.75" customHeight="1" x14ac:dyDescent="0.25">
      <c r="A15" s="12">
        <v>41518.960462962961</v>
      </c>
      <c r="B15" s="2" t="s">
        <v>63</v>
      </c>
      <c r="C15" s="41">
        <v>1160</v>
      </c>
      <c r="D15" s="42">
        <v>2</v>
      </c>
      <c r="E15" s="42">
        <v>6</v>
      </c>
      <c r="F15" s="2" t="s">
        <v>183</v>
      </c>
      <c r="G15" s="33" t="s">
        <v>60</v>
      </c>
      <c r="H15" s="2" t="str">
        <f t="shared" si="0"/>
        <v>SFDC.xlsx</v>
      </c>
      <c r="I15" s="56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7">
        <v>41516.134027777778</v>
      </c>
      <c r="O15" s="47"/>
      <c r="P15" s="2" t="s">
        <v>185</v>
      </c>
      <c r="Q15" s="47" t="s">
        <v>186</v>
      </c>
      <c r="T15" s="32" t="s">
        <v>184</v>
      </c>
      <c r="V15" s="32"/>
      <c r="W15" s="32"/>
      <c r="X15" s="32"/>
      <c r="Y15" s="32"/>
      <c r="Z15" s="32"/>
      <c r="AA15" s="59"/>
    </row>
    <row r="16" spans="1:27" ht="15.75" x14ac:dyDescent="0.3">
      <c r="A16" s="63">
        <v>41516.129374999997</v>
      </c>
      <c r="B16" s="2" t="s">
        <v>65</v>
      </c>
      <c r="C16" s="41">
        <v>3541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6" t="s">
        <v>65</v>
      </c>
      <c r="J16" s="60" t="s">
        <v>68</v>
      </c>
      <c r="K16" s="45" t="s">
        <v>31</v>
      </c>
      <c r="L16" s="40">
        <v>2</v>
      </c>
      <c r="M16" s="40">
        <v>1</v>
      </c>
      <c r="N16" s="57">
        <v>41516.128472222219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41518.960509259261</v>
      </c>
      <c r="B17" s="2" t="s">
        <v>69</v>
      </c>
      <c r="C17" s="41">
        <v>4465</v>
      </c>
      <c r="D17" s="42" t="s">
        <v>66</v>
      </c>
      <c r="E17" s="42">
        <v>6</v>
      </c>
      <c r="F17" s="2" t="s">
        <v>183</v>
      </c>
      <c r="G17" s="33" t="s">
        <v>60</v>
      </c>
      <c r="H17" s="2" t="str">
        <f t="shared" si="0"/>
        <v>SFDC.xlsx</v>
      </c>
      <c r="I17" s="56" t="s">
        <v>69</v>
      </c>
      <c r="J17" s="61" t="s">
        <v>69</v>
      </c>
      <c r="K17" s="45" t="s">
        <v>31</v>
      </c>
      <c r="L17" s="40">
        <v>2</v>
      </c>
      <c r="M17" s="40">
        <v>1</v>
      </c>
      <c r="N17" s="57">
        <v>41516.640277777777</v>
      </c>
      <c r="O17" s="47"/>
      <c r="Q17" s="47"/>
      <c r="T17" s="2" t="s">
        <v>188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6" t="s">
        <v>70</v>
      </c>
      <c r="J18" s="61" t="s">
        <v>71</v>
      </c>
      <c r="K18" s="45" t="s">
        <v>31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6" t="s">
        <v>72</v>
      </c>
      <c r="J19" s="62" t="s">
        <v>74</v>
      </c>
      <c r="K19" s="45" t="s">
        <v>31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6" t="s">
        <v>75</v>
      </c>
      <c r="J20" s="62" t="s">
        <v>76</v>
      </c>
      <c r="K20" s="45" t="s">
        <v>31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6" t="s">
        <v>77</v>
      </c>
      <c r="J21" s="64" t="s">
        <v>79</v>
      </c>
      <c r="K21" s="45" t="s">
        <v>31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5" t="s">
        <v>80</v>
      </c>
      <c r="J22" s="66" t="s">
        <v>82</v>
      </c>
      <c r="K22" s="67" t="s">
        <v>31</v>
      </c>
      <c r="L22" s="40">
        <v>2</v>
      </c>
      <c r="M22" s="40">
        <v>1</v>
      </c>
      <c r="N22" s="68">
        <v>41504.054166666669</v>
      </c>
      <c r="O22" s="69"/>
      <c r="P22" s="70"/>
      <c r="Q22" s="69"/>
      <c r="R22" s="70"/>
      <c r="S22" s="70"/>
      <c r="Y22" s="59"/>
      <c r="Z22" s="59"/>
      <c r="AA22" s="59"/>
    </row>
    <row r="23" spans="1:27" s="22" customFormat="1" x14ac:dyDescent="0.25">
      <c r="A23" s="71">
        <v>41369.796909722223</v>
      </c>
      <c r="B23" s="22" t="s">
        <v>83</v>
      </c>
      <c r="C23" s="72">
        <v>9955</v>
      </c>
      <c r="D23" s="72" t="s">
        <v>84</v>
      </c>
      <c r="E23" s="72" t="s">
        <v>66</v>
      </c>
      <c r="F23" s="22" t="s">
        <v>85</v>
      </c>
      <c r="G23" s="73">
        <v>10</v>
      </c>
      <c r="H23" s="22" t="s">
        <v>86</v>
      </c>
      <c r="I23" s="74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5">
        <v>41349.908078703702</v>
      </c>
      <c r="O23" s="37" t="s">
        <v>29</v>
      </c>
      <c r="P23" s="39"/>
      <c r="Q23" s="76" t="s">
        <v>88</v>
      </c>
      <c r="R23" s="77"/>
      <c r="S23" s="39"/>
      <c r="T23" s="22" t="s">
        <v>89</v>
      </c>
      <c r="Y23" s="55"/>
      <c r="Z23" s="55"/>
      <c r="AA23" s="55"/>
    </row>
    <row r="24" spans="1:27" s="32" customFormat="1" x14ac:dyDescent="0.25">
      <c r="A24" s="78"/>
      <c r="C24" s="79"/>
      <c r="D24" s="79"/>
      <c r="E24" s="79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0"/>
      <c r="O24" s="37" t="s">
        <v>29</v>
      </c>
      <c r="Q24" s="37"/>
      <c r="R24" s="77"/>
    </row>
    <row r="25" spans="1:27" s="32" customFormat="1" x14ac:dyDescent="0.25">
      <c r="A25" s="78"/>
      <c r="C25" s="79"/>
      <c r="D25" s="79"/>
      <c r="E25" s="79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0"/>
      <c r="O25" s="37" t="s">
        <v>29</v>
      </c>
      <c r="Q25" s="37"/>
      <c r="R25" s="77"/>
    </row>
    <row r="26" spans="1:27" s="32" customFormat="1" x14ac:dyDescent="0.25">
      <c r="A26" s="78"/>
      <c r="C26" s="79"/>
      <c r="D26" s="79"/>
      <c r="E26" s="79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0"/>
      <c r="O26" s="37" t="s">
        <v>29</v>
      </c>
      <c r="Q26" s="37"/>
      <c r="R26" s="77"/>
    </row>
    <row r="27" spans="1:27" s="32" customFormat="1" x14ac:dyDescent="0.25">
      <c r="A27" s="78"/>
      <c r="C27" s="79"/>
      <c r="D27" s="79"/>
      <c r="E27" s="79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0"/>
      <c r="O27" s="37" t="s">
        <v>29</v>
      </c>
      <c r="Q27" s="37"/>
      <c r="R27" s="77"/>
    </row>
    <row r="28" spans="1:27" s="82" customFormat="1" x14ac:dyDescent="0.25">
      <c r="A28" s="81"/>
      <c r="C28" s="83"/>
      <c r="D28" s="83"/>
      <c r="E28" s="83"/>
      <c r="I28" s="39"/>
      <c r="J28" s="84" t="s">
        <v>98</v>
      </c>
      <c r="K28" s="85" t="s">
        <v>31</v>
      </c>
      <c r="L28" s="86" t="s">
        <v>62</v>
      </c>
      <c r="M28" s="86" t="s">
        <v>99</v>
      </c>
      <c r="N28" s="87"/>
      <c r="O28" s="88"/>
      <c r="Q28" s="88"/>
      <c r="R28" s="89"/>
    </row>
    <row r="29" spans="1:27" s="91" customFormat="1" x14ac:dyDescent="0.25">
      <c r="A29" s="90">
        <v>41506.983391203707</v>
      </c>
      <c r="B29" s="91" t="s">
        <v>100</v>
      </c>
      <c r="C29" s="92">
        <v>339</v>
      </c>
      <c r="D29" s="93">
        <v>8</v>
      </c>
      <c r="E29" s="93">
        <v>19</v>
      </c>
      <c r="F29" s="91" t="s">
        <v>101</v>
      </c>
      <c r="G29" s="93">
        <v>10</v>
      </c>
      <c r="H29" s="91" t="s">
        <v>86</v>
      </c>
      <c r="I29" s="94" t="str">
        <f>B29</f>
        <v>Заказы</v>
      </c>
      <c r="J29" s="95" t="s">
        <v>102</v>
      </c>
      <c r="K29" s="96" t="s">
        <v>31</v>
      </c>
      <c r="L29" s="97" t="s">
        <v>62</v>
      </c>
      <c r="M29" s="97" t="s">
        <v>103</v>
      </c>
      <c r="N29" s="98">
        <v>41463.504687499997</v>
      </c>
      <c r="O29" s="91" t="s">
        <v>29</v>
      </c>
      <c r="P29" s="99"/>
      <c r="Q29" s="100" t="s">
        <v>104</v>
      </c>
      <c r="R29" s="32"/>
      <c r="S29" s="32"/>
      <c r="T29" s="91" t="s">
        <v>105</v>
      </c>
    </row>
    <row r="30" spans="1:27" s="32" customFormat="1" x14ac:dyDescent="0.25">
      <c r="A30" s="101"/>
      <c r="C30" s="79"/>
      <c r="J30" s="34" t="s">
        <v>106</v>
      </c>
      <c r="K30" s="35" t="s">
        <v>31</v>
      </c>
      <c r="L30" s="17" t="s">
        <v>62</v>
      </c>
      <c r="M30" s="17" t="s">
        <v>107</v>
      </c>
      <c r="N30" s="80"/>
      <c r="O30" s="32" t="s">
        <v>29</v>
      </c>
      <c r="P30" s="102"/>
    </row>
    <row r="31" spans="1:27" x14ac:dyDescent="0.25">
      <c r="A31" s="103"/>
      <c r="C31" s="104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0"/>
      <c r="O31" s="2" t="s">
        <v>29</v>
      </c>
      <c r="P31" s="102"/>
    </row>
    <row r="32" spans="1:27" x14ac:dyDescent="0.25">
      <c r="A32" s="103"/>
      <c r="C32" s="104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0"/>
      <c r="O32" s="2" t="s">
        <v>29</v>
      </c>
      <c r="P32" s="102"/>
    </row>
    <row r="33" spans="1:20" x14ac:dyDescent="0.25">
      <c r="A33" s="103"/>
      <c r="C33" s="104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0"/>
      <c r="P33" s="102"/>
    </row>
    <row r="34" spans="1:20" s="91" customFormat="1" x14ac:dyDescent="0.25">
      <c r="A34" s="105">
        <v>41370.590057870373</v>
      </c>
      <c r="B34" s="91" t="s">
        <v>113</v>
      </c>
      <c r="C34" s="92" t="s">
        <v>114</v>
      </c>
      <c r="F34" s="91" t="s">
        <v>67</v>
      </c>
      <c r="G34" s="93">
        <v>10</v>
      </c>
      <c r="H34" s="91" t="s">
        <v>86</v>
      </c>
      <c r="I34" s="106" t="s">
        <v>113</v>
      </c>
      <c r="J34" s="95" t="s">
        <v>115</v>
      </c>
      <c r="K34" s="96" t="s">
        <v>23</v>
      </c>
      <c r="L34" s="97">
        <v>2</v>
      </c>
      <c r="M34" s="97">
        <v>1</v>
      </c>
      <c r="N34" s="98">
        <v>41370.585509259261</v>
      </c>
      <c r="O34" s="29" t="s">
        <v>29</v>
      </c>
      <c r="P34" s="99"/>
      <c r="T34" s="91" t="s">
        <v>227</v>
      </c>
    </row>
    <row r="35" spans="1:20" s="32" customFormat="1" x14ac:dyDescent="0.25">
      <c r="A35" s="101"/>
      <c r="C35" s="79"/>
      <c r="J35" s="34" t="s">
        <v>116</v>
      </c>
      <c r="K35" s="35" t="s">
        <v>23</v>
      </c>
      <c r="L35" s="17">
        <v>3</v>
      </c>
      <c r="M35" s="17">
        <v>1</v>
      </c>
      <c r="N35" s="80"/>
      <c r="O35" s="2" t="s">
        <v>29</v>
      </c>
      <c r="P35" s="102"/>
    </row>
    <row r="36" spans="1:20" s="32" customFormat="1" x14ac:dyDescent="0.25">
      <c r="A36" s="101"/>
      <c r="C36" s="79"/>
      <c r="J36" s="34" t="s">
        <v>117</v>
      </c>
      <c r="K36" s="35" t="s">
        <v>23</v>
      </c>
      <c r="L36" s="17">
        <v>4</v>
      </c>
      <c r="M36" s="17">
        <v>1</v>
      </c>
      <c r="N36" s="80"/>
      <c r="P36" s="102"/>
    </row>
    <row r="37" spans="1:20" s="22" customFormat="1" x14ac:dyDescent="0.25">
      <c r="A37" s="21"/>
      <c r="B37" s="22" t="s">
        <v>118</v>
      </c>
      <c r="C37" s="72" t="s">
        <v>119</v>
      </c>
      <c r="D37" s="72" t="s">
        <v>120</v>
      </c>
      <c r="E37" s="72"/>
      <c r="F37" s="107"/>
      <c r="H37" s="22" t="s">
        <v>121</v>
      </c>
      <c r="I37" s="108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5"/>
      <c r="O37" s="29" t="s">
        <v>29</v>
      </c>
      <c r="Q37" s="29"/>
      <c r="R37" s="109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0" customFormat="1" x14ac:dyDescent="0.25">
      <c r="A40" s="110"/>
      <c r="C40" s="111"/>
      <c r="J40" s="112" t="s">
        <v>127</v>
      </c>
      <c r="K40" s="67" t="s">
        <v>31</v>
      </c>
      <c r="L40" s="113">
        <v>3</v>
      </c>
      <c r="M40" s="113">
        <v>21</v>
      </c>
    </row>
    <row r="41" spans="1:20" s="115" customFormat="1" x14ac:dyDescent="0.25">
      <c r="A41" s="114">
        <v>0</v>
      </c>
      <c r="B41" s="115" t="s">
        <v>128</v>
      </c>
      <c r="C41" s="116">
        <v>1</v>
      </c>
      <c r="D41" s="116"/>
      <c r="E41" s="116"/>
      <c r="H41" s="115" t="s">
        <v>129</v>
      </c>
      <c r="I41" s="117" t="str">
        <f>B41</f>
        <v>DicAcc</v>
      </c>
      <c r="J41" s="118"/>
      <c r="K41" s="119" t="s">
        <v>130</v>
      </c>
      <c r="L41" s="120"/>
      <c r="M41" s="120"/>
      <c r="N41" s="121">
        <v>41237.062407407408</v>
      </c>
      <c r="O41" s="122"/>
      <c r="P41" s="115" t="s">
        <v>131</v>
      </c>
      <c r="Q41" s="122"/>
      <c r="R41" s="123"/>
    </row>
    <row r="42" spans="1:20" s="125" customFormat="1" x14ac:dyDescent="0.25">
      <c r="A42" s="124">
        <v>0</v>
      </c>
      <c r="B42" s="125" t="s">
        <v>132</v>
      </c>
      <c r="C42" s="126">
        <v>76</v>
      </c>
      <c r="D42" s="126"/>
      <c r="E42" s="126"/>
      <c r="F42" s="125" t="s">
        <v>133</v>
      </c>
      <c r="H42" s="125" t="s">
        <v>129</v>
      </c>
      <c r="I42" s="127" t="s">
        <v>132</v>
      </c>
      <c r="J42" s="128"/>
      <c r="K42" s="129" t="s">
        <v>130</v>
      </c>
      <c r="L42" s="130"/>
      <c r="M42" s="130"/>
      <c r="N42" s="131">
        <v>41410.834999999999</v>
      </c>
      <c r="O42" s="132"/>
      <c r="P42" s="125" t="s">
        <v>134</v>
      </c>
      <c r="Q42" s="132"/>
      <c r="R42" s="133"/>
    </row>
    <row r="43" spans="1:20" s="32" customFormat="1" x14ac:dyDescent="0.25">
      <c r="A43" s="134">
        <v>41516.156504629631</v>
      </c>
      <c r="B43" s="32" t="s">
        <v>135</v>
      </c>
      <c r="C43" s="79">
        <v>1</v>
      </c>
      <c r="D43" s="79"/>
      <c r="E43" s="79"/>
      <c r="F43" s="32" t="s">
        <v>133</v>
      </c>
      <c r="H43" s="32" t="s">
        <v>129</v>
      </c>
      <c r="I43" s="135" t="s">
        <v>135</v>
      </c>
      <c r="J43" s="34"/>
      <c r="K43" s="35" t="s">
        <v>130</v>
      </c>
      <c r="L43" s="17"/>
      <c r="M43" s="17"/>
      <c r="N43" s="80">
        <v>41515.959502314814</v>
      </c>
      <c r="O43" s="37"/>
      <c r="P43" s="32" t="s">
        <v>137</v>
      </c>
      <c r="Q43" s="37"/>
      <c r="R43" s="77"/>
    </row>
    <row r="44" spans="1:20" s="32" customFormat="1" x14ac:dyDescent="0.25">
      <c r="A44" s="134">
        <v>41516.158900462964</v>
      </c>
      <c r="B44" s="32" t="s">
        <v>138</v>
      </c>
      <c r="C44" s="79">
        <v>1</v>
      </c>
      <c r="D44" s="79"/>
      <c r="E44" s="79"/>
      <c r="F44" s="32" t="s">
        <v>136</v>
      </c>
      <c r="H44" s="32" t="s">
        <v>129</v>
      </c>
      <c r="I44" s="135" t="s">
        <v>138</v>
      </c>
      <c r="J44" s="34"/>
      <c r="K44" s="35" t="s">
        <v>130</v>
      </c>
      <c r="L44" s="17"/>
      <c r="M44" s="17"/>
      <c r="N44" s="80">
        <v>41507.017245370371</v>
      </c>
      <c r="O44" s="37"/>
      <c r="P44" s="32" t="s">
        <v>139</v>
      </c>
      <c r="Q44" s="37"/>
      <c r="R44" s="77"/>
    </row>
    <row r="45" spans="1:20" s="32" customFormat="1" x14ac:dyDescent="0.25">
      <c r="A45" s="134">
        <v>41344.979027777779</v>
      </c>
      <c r="B45" s="32" t="s">
        <v>140</v>
      </c>
      <c r="C45" s="79">
        <v>1</v>
      </c>
      <c r="D45" s="79"/>
      <c r="E45" s="79"/>
      <c r="F45" s="32" t="s">
        <v>101</v>
      </c>
      <c r="H45" s="32" t="s">
        <v>129</v>
      </c>
      <c r="I45" s="135" t="s">
        <v>140</v>
      </c>
      <c r="J45" s="34"/>
      <c r="K45" s="35" t="s">
        <v>130</v>
      </c>
      <c r="L45" s="17"/>
      <c r="M45" s="17"/>
      <c r="N45" s="80">
        <v>41344.97896990741</v>
      </c>
      <c r="O45" s="37"/>
      <c r="P45" s="32" t="s">
        <v>141</v>
      </c>
      <c r="Q45" s="37"/>
      <c r="R45" s="77"/>
    </row>
    <row r="46" spans="1:20" s="32" customFormat="1" x14ac:dyDescent="0.25">
      <c r="A46" s="78">
        <v>0</v>
      </c>
      <c r="B46" s="32" t="s">
        <v>142</v>
      </c>
      <c r="C46" s="79">
        <v>1</v>
      </c>
      <c r="D46" s="79"/>
      <c r="E46" s="79"/>
      <c r="H46" s="32" t="s">
        <v>129</v>
      </c>
      <c r="I46" s="135" t="s">
        <v>142</v>
      </c>
      <c r="J46" s="34"/>
      <c r="K46" s="35" t="s">
        <v>130</v>
      </c>
      <c r="L46" s="17"/>
      <c r="M46" s="17"/>
      <c r="N46" s="80">
        <v>41520.529861111114</v>
      </c>
      <c r="O46" s="37"/>
      <c r="P46" s="934" t="s">
        <v>1598</v>
      </c>
      <c r="Q46" s="37"/>
      <c r="R46" s="77"/>
    </row>
    <row r="47" spans="1:20" s="32" customFormat="1" x14ac:dyDescent="0.25">
      <c r="A47" s="134">
        <v>41430.738321759258</v>
      </c>
      <c r="B47" s="32" t="s">
        <v>143</v>
      </c>
      <c r="C47" s="79">
        <v>1</v>
      </c>
      <c r="D47" s="79"/>
      <c r="E47" s="79"/>
      <c r="F47" s="32" t="s">
        <v>136</v>
      </c>
      <c r="H47" s="32" t="s">
        <v>129</v>
      </c>
      <c r="I47" s="135" t="s">
        <v>143</v>
      </c>
      <c r="J47" s="34"/>
      <c r="K47" s="35" t="s">
        <v>130</v>
      </c>
      <c r="L47" s="17"/>
      <c r="M47" s="17"/>
      <c r="N47" s="80">
        <v>41430.73814814815</v>
      </c>
      <c r="O47" s="139"/>
      <c r="P47" s="39" t="s">
        <v>144</v>
      </c>
      <c r="Q47" s="37"/>
      <c r="R47" s="77"/>
    </row>
    <row r="48" spans="1:20" s="141" customFormat="1" x14ac:dyDescent="0.25">
      <c r="A48" s="140"/>
      <c r="B48" s="141" t="s">
        <v>145</v>
      </c>
      <c r="C48" s="142" t="s">
        <v>146</v>
      </c>
      <c r="D48" s="142"/>
      <c r="E48" s="142"/>
      <c r="H48" s="141" t="s">
        <v>129</v>
      </c>
      <c r="I48" s="143" t="s">
        <v>147</v>
      </c>
      <c r="J48" s="144"/>
      <c r="K48" s="145" t="s">
        <v>130</v>
      </c>
      <c r="L48" s="146"/>
      <c r="M48" s="146"/>
      <c r="N48" s="147"/>
      <c r="O48" s="148"/>
      <c r="P48" s="149" t="s">
        <v>148</v>
      </c>
      <c r="Q48" s="150"/>
      <c r="R48" s="151"/>
      <c r="S48" s="149"/>
      <c r="T48" s="149"/>
    </row>
    <row r="49" spans="1:20" s="153" customFormat="1" x14ac:dyDescent="0.25">
      <c r="A49" s="152">
        <v>41499.705324074072</v>
      </c>
      <c r="B49" s="153" t="s">
        <v>149</v>
      </c>
      <c r="C49" s="154">
        <v>804</v>
      </c>
      <c r="D49" s="154"/>
      <c r="E49" s="154"/>
      <c r="F49" s="153" t="s">
        <v>101</v>
      </c>
      <c r="H49" s="153" t="s">
        <v>129</v>
      </c>
      <c r="I49" s="155" t="s">
        <v>149</v>
      </c>
      <c r="J49" s="156"/>
      <c r="K49" s="157" t="s">
        <v>130</v>
      </c>
      <c r="L49" s="158"/>
      <c r="M49" s="158"/>
      <c r="N49" s="159">
        <v>41499.704513888886</v>
      </c>
      <c r="O49" s="160"/>
      <c r="P49" s="161" t="s">
        <v>150</v>
      </c>
      <c r="Q49" s="162"/>
      <c r="R49" s="163"/>
      <c r="S49" s="161"/>
      <c r="T49" s="161"/>
    </row>
    <row r="50" spans="1:20" s="32" customFormat="1" x14ac:dyDescent="0.25">
      <c r="A50" s="134">
        <v>41502.225682870368</v>
      </c>
      <c r="B50" s="32" t="s">
        <v>151</v>
      </c>
      <c r="C50" s="79">
        <v>2</v>
      </c>
      <c r="D50" s="79"/>
      <c r="E50" s="79"/>
      <c r="F50" s="32" t="s">
        <v>152</v>
      </c>
      <c r="H50" s="32" t="s">
        <v>129</v>
      </c>
      <c r="I50" s="164" t="s">
        <v>151</v>
      </c>
      <c r="J50" s="34"/>
      <c r="K50" s="35" t="s">
        <v>130</v>
      </c>
      <c r="L50" s="17"/>
      <c r="M50" s="17"/>
      <c r="N50" s="80">
        <v>41502.225682870368</v>
      </c>
      <c r="O50" s="37"/>
      <c r="P50" s="161" t="s">
        <v>153</v>
      </c>
      <c r="Q50" s="162"/>
      <c r="R50" s="138"/>
      <c r="S50" s="136"/>
      <c r="T50" s="136"/>
    </row>
    <row r="51" spans="1:20" s="141" customFormat="1" x14ac:dyDescent="0.25">
      <c r="A51" s="165">
        <v>41502.225682870368</v>
      </c>
      <c r="B51" s="141" t="s">
        <v>154</v>
      </c>
      <c r="C51" s="142">
        <v>794</v>
      </c>
      <c r="D51" s="142"/>
      <c r="E51" s="142"/>
      <c r="F51" s="141" t="s">
        <v>155</v>
      </c>
      <c r="H51" s="141" t="s">
        <v>129</v>
      </c>
      <c r="I51" s="166" t="s">
        <v>154</v>
      </c>
      <c r="J51" s="144"/>
      <c r="K51" s="145" t="s">
        <v>130</v>
      </c>
      <c r="L51" s="146"/>
      <c r="M51" s="146"/>
      <c r="N51" s="147">
        <v>41502.225682870368</v>
      </c>
      <c r="O51" s="148"/>
      <c r="P51" s="136" t="s">
        <v>156</v>
      </c>
      <c r="Q51" s="137"/>
      <c r="R51" s="151"/>
      <c r="S51" s="149"/>
      <c r="T51" s="149"/>
    </row>
    <row r="52" spans="1:20" s="70" customFormat="1" x14ac:dyDescent="0.25">
      <c r="A52" s="167"/>
      <c r="B52" s="70" t="s">
        <v>157</v>
      </c>
      <c r="C52" s="168" t="s">
        <v>158</v>
      </c>
      <c r="D52" s="168"/>
      <c r="E52" s="168"/>
      <c r="H52" s="70" t="s">
        <v>129</v>
      </c>
      <c r="I52" s="169" t="s">
        <v>157</v>
      </c>
      <c r="J52" s="112"/>
      <c r="K52" s="67" t="s">
        <v>130</v>
      </c>
      <c r="L52" s="113"/>
      <c r="M52" s="113"/>
      <c r="N52" s="170"/>
      <c r="O52" s="69"/>
      <c r="P52" s="70" t="s">
        <v>159</v>
      </c>
      <c r="Q52" s="69"/>
      <c r="R52" s="171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59"/>
  <sheetViews>
    <sheetView tabSelected="1" zoomScale="90" zoomScaleNormal="90" workbookViewId="0">
      <pane ySplit="1" topLeftCell="A46" activePane="bottomLeft" state="frozen"/>
      <selection pane="bottomLeft" activeCell="A79" sqref="A79:XFD79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2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41520.086608796293</v>
      </c>
      <c r="C1" s="3" t="s">
        <v>160</v>
      </c>
      <c r="D1" s="3"/>
      <c r="G1" s="173" t="s">
        <v>196</v>
      </c>
      <c r="H1" s="173"/>
      <c r="I1" s="173" t="s">
        <v>1578</v>
      </c>
    </row>
    <row r="2" spans="1:15" ht="15" customHeight="1" thickBot="1" x14ac:dyDescent="0.35">
      <c r="B2" s="3"/>
    </row>
    <row r="3" spans="1:15" ht="15.75" customHeight="1" x14ac:dyDescent="0.25">
      <c r="E3" s="905" t="s">
        <v>161</v>
      </c>
      <c r="F3" s="907" t="s">
        <v>162</v>
      </c>
      <c r="G3" s="908"/>
      <c r="H3" s="908"/>
      <c r="I3" s="908"/>
      <c r="J3" s="909"/>
      <c r="K3" s="907" t="s">
        <v>163</v>
      </c>
      <c r="L3" s="908"/>
      <c r="M3" s="908"/>
      <c r="N3" s="908"/>
      <c r="O3" s="909"/>
    </row>
    <row r="4" spans="1:15" s="8" customFormat="1" ht="15.75" thickBot="1" x14ac:dyDescent="0.3">
      <c r="B4" s="9" t="s">
        <v>164</v>
      </c>
      <c r="C4" s="8" t="s">
        <v>165</v>
      </c>
      <c r="E4" s="906"/>
      <c r="F4" s="174">
        <v>1</v>
      </c>
      <c r="G4" s="175" t="s">
        <v>166</v>
      </c>
      <c r="H4" s="175" t="s">
        <v>167</v>
      </c>
      <c r="I4" s="175" t="s">
        <v>168</v>
      </c>
      <c r="J4" s="176" t="s">
        <v>60</v>
      </c>
      <c r="K4" s="174">
        <v>1</v>
      </c>
      <c r="L4" s="175" t="s">
        <v>166</v>
      </c>
      <c r="M4" s="175" t="s">
        <v>167</v>
      </c>
      <c r="N4" s="175" t="s">
        <v>168</v>
      </c>
      <c r="O4" s="176" t="s">
        <v>60</v>
      </c>
    </row>
    <row r="5" spans="1:15" s="8" customFormat="1" ht="6" customHeight="1" thickBot="1" x14ac:dyDescent="0.3">
      <c r="A5" s="177"/>
      <c r="B5" s="178" t="s">
        <v>67</v>
      </c>
      <c r="C5" s="177"/>
      <c r="D5" s="177"/>
      <c r="E5" s="179"/>
      <c r="F5" s="180"/>
      <c r="G5" s="181"/>
      <c r="H5" s="181"/>
      <c r="I5" s="181"/>
      <c r="J5" s="182"/>
      <c r="K5" s="180"/>
      <c r="L5" s="181"/>
      <c r="M5" s="181"/>
      <c r="N5" s="181"/>
      <c r="O5" s="182"/>
    </row>
    <row r="6" spans="1:15" s="185" customFormat="1" ht="16.5" thickTop="1" thickBot="1" x14ac:dyDescent="0.3">
      <c r="A6" s="220"/>
      <c r="B6" s="897" t="s">
        <v>169</v>
      </c>
      <c r="C6" s="221"/>
      <c r="D6" s="222"/>
      <c r="E6" s="265" t="s">
        <v>66</v>
      </c>
      <c r="F6" s="880" t="s">
        <v>1491</v>
      </c>
      <c r="G6" s="222"/>
      <c r="H6" s="222"/>
      <c r="I6" s="222"/>
      <c r="J6" s="225"/>
      <c r="K6" s="226"/>
      <c r="L6" s="227"/>
      <c r="M6" s="222"/>
      <c r="N6" s="227"/>
      <c r="O6" s="225"/>
    </row>
    <row r="7" spans="1:15" ht="15.75" outlineLevel="1" thickTop="1" x14ac:dyDescent="0.25">
      <c r="A7" s="191">
        <v>41518.960405092592</v>
      </c>
      <c r="B7" s="192" t="s">
        <v>183</v>
      </c>
      <c r="C7" s="193"/>
      <c r="D7" s="206"/>
      <c r="E7" s="878" t="s">
        <v>170</v>
      </c>
      <c r="F7" s="200" t="str">
        <f>F15</f>
        <v>LOAD_1C_P</v>
      </c>
      <c r="G7" s="203"/>
      <c r="H7" s="210"/>
      <c r="I7" s="210"/>
      <c r="J7" s="211"/>
      <c r="K7" s="200" t="str">
        <f>TOCmatch!B8</f>
        <v>Платежи</v>
      </c>
      <c r="L7" s="203"/>
      <c r="M7" s="203"/>
      <c r="N7" s="210"/>
      <c r="O7" s="211"/>
    </row>
    <row r="8" spans="1:15" outlineLevel="1" x14ac:dyDescent="0.25">
      <c r="A8" s="191">
        <v>41518.960416666669</v>
      </c>
      <c r="B8" s="192" t="s">
        <v>183</v>
      </c>
      <c r="C8" s="193"/>
      <c r="D8" s="206"/>
      <c r="E8" s="878" t="s">
        <v>170</v>
      </c>
      <c r="F8" s="200" t="str">
        <f>F23</f>
        <v>LOAD_1C_DOG</v>
      </c>
      <c r="G8" s="203"/>
      <c r="H8" s="210"/>
      <c r="I8" s="210"/>
      <c r="J8" s="211"/>
      <c r="K8" s="200" t="str">
        <f>TOCmatch!B10</f>
        <v>Договоры</v>
      </c>
      <c r="L8" s="203"/>
      <c r="M8" s="203"/>
      <c r="N8" s="210"/>
      <c r="O8" s="211"/>
    </row>
    <row r="9" spans="1:15" outlineLevel="1" x14ac:dyDescent="0.25">
      <c r="A9" s="191">
        <v>41518.960439814815</v>
      </c>
      <c r="B9" s="192" t="s">
        <v>183</v>
      </c>
      <c r="C9" s="193"/>
      <c r="D9" s="206"/>
      <c r="E9" s="878" t="s">
        <v>170</v>
      </c>
      <c r="F9" s="200" t="str">
        <f>F31</f>
        <v>LOAD_1C_ACC</v>
      </c>
      <c r="G9" s="203"/>
      <c r="H9" s="210"/>
      <c r="I9" s="210"/>
      <c r="J9" s="211"/>
      <c r="K9" s="200" t="str">
        <f>TOCmatch!B12</f>
        <v>Список клиентов 1C</v>
      </c>
      <c r="L9" s="203"/>
      <c r="M9" s="203"/>
      <c r="N9" s="210"/>
      <c r="O9" s="211"/>
    </row>
    <row r="10" spans="1:15" outlineLevel="1" x14ac:dyDescent="0.25">
      <c r="A10" s="191">
        <v>41518.960451388892</v>
      </c>
      <c r="B10" s="192" t="s">
        <v>183</v>
      </c>
      <c r="C10" s="193"/>
      <c r="D10" s="206"/>
      <c r="E10" s="878" t="s">
        <v>170</v>
      </c>
      <c r="F10" s="200" t="str">
        <f>F37</f>
        <v>LOAD_SF</v>
      </c>
      <c r="G10" s="203"/>
      <c r="H10" s="210"/>
      <c r="I10" s="210"/>
      <c r="J10" s="211"/>
      <c r="K10" s="200" t="str">
        <f>TOCmatch!B14</f>
        <v>SF</v>
      </c>
      <c r="L10" s="203"/>
      <c r="M10" s="203"/>
      <c r="N10" s="210"/>
      <c r="O10" s="211"/>
    </row>
    <row r="11" spans="1:15" outlineLevel="1" x14ac:dyDescent="0.25">
      <c r="A11" s="191">
        <v>41518.960474537038</v>
      </c>
      <c r="B11" s="192" t="s">
        <v>183</v>
      </c>
      <c r="C11" s="193"/>
      <c r="D11" s="206"/>
      <c r="E11" s="878" t="s">
        <v>170</v>
      </c>
      <c r="F11" s="200" t="str">
        <f>F46</f>
        <v>LOAD_SFD</v>
      </c>
      <c r="G11" s="203"/>
      <c r="H11" s="210"/>
      <c r="I11" s="210"/>
      <c r="J11" s="211"/>
      <c r="K11" s="200" t="str">
        <f>TOCmatch!B15</f>
        <v>SFD</v>
      </c>
      <c r="L11" s="203"/>
      <c r="M11" s="203"/>
      <c r="N11" s="210"/>
      <c r="O11" s="211"/>
    </row>
    <row r="12" spans="1:15" outlineLevel="1" x14ac:dyDescent="0.25">
      <c r="A12" s="191">
        <v>41518.960532407407</v>
      </c>
      <c r="B12" s="192" t="s">
        <v>183</v>
      </c>
      <c r="C12" s="193"/>
      <c r="D12" s="206"/>
      <c r="E12" s="878" t="s">
        <v>170</v>
      </c>
      <c r="F12" s="200" t="str">
        <f>F55</f>
        <v>LOAD_SFacc</v>
      </c>
      <c r="G12" s="203"/>
      <c r="H12" s="210"/>
      <c r="I12" s="210"/>
      <c r="J12" s="211"/>
      <c r="K12" s="200" t="str">
        <f>TOCmatch!B17</f>
        <v>SFacc</v>
      </c>
      <c r="L12" s="203"/>
      <c r="M12" s="203"/>
      <c r="N12" s="210"/>
      <c r="O12" s="211"/>
    </row>
    <row r="13" spans="1:15" outlineLevel="1" x14ac:dyDescent="0.25">
      <c r="A13" s="253"/>
      <c r="B13" s="194" t="s">
        <v>183</v>
      </c>
      <c r="C13" s="254"/>
      <c r="D13" s="206"/>
      <c r="E13" s="878" t="s">
        <v>174</v>
      </c>
      <c r="F13" s="200" t="str">
        <f>F73</f>
        <v>HANDL_Payment</v>
      </c>
      <c r="G13" s="203"/>
      <c r="H13" s="210"/>
      <c r="I13" s="210"/>
      <c r="J13" s="211"/>
      <c r="K13" s="200" t="str">
        <f>TOCmatch!B8</f>
        <v>Платежи</v>
      </c>
      <c r="L13" s="203"/>
      <c r="M13" s="203"/>
      <c r="N13" s="210"/>
      <c r="O13" s="211"/>
    </row>
    <row r="14" spans="1:15" s="241" customFormat="1" ht="15.75" outlineLevel="1" thickBot="1" x14ac:dyDescent="0.3">
      <c r="A14" s="296"/>
      <c r="B14" s="234" t="s">
        <v>33</v>
      </c>
      <c r="C14" s="868"/>
      <c r="D14" s="234"/>
      <c r="E14" s="879" t="s">
        <v>174</v>
      </c>
      <c r="F14" s="236"/>
      <c r="G14" s="237"/>
      <c r="H14" s="237"/>
      <c r="I14" s="237"/>
      <c r="J14" s="238"/>
      <c r="K14" s="239"/>
      <c r="L14" s="240"/>
      <c r="M14" s="237"/>
      <c r="N14" s="240"/>
      <c r="O14" s="238"/>
    </row>
    <row r="15" spans="1:15" s="185" customFormat="1" ht="15.75" thickTop="1" x14ac:dyDescent="0.25">
      <c r="A15" s="183"/>
      <c r="B15" s="873" t="s">
        <v>169</v>
      </c>
      <c r="C15" s="183"/>
      <c r="E15" s="186"/>
      <c r="F15" s="187" t="s">
        <v>38</v>
      </c>
      <c r="G15" s="188"/>
      <c r="H15" s="188"/>
      <c r="I15" s="188"/>
      <c r="J15" s="189"/>
      <c r="K15" s="190" t="str">
        <f>TOCmatch!B8</f>
        <v>Платежи</v>
      </c>
      <c r="L15" s="188"/>
      <c r="M15" s="188"/>
      <c r="N15" s="188"/>
      <c r="O15" s="189"/>
    </row>
    <row r="16" spans="1:15" s="185" customFormat="1" hidden="1" outlineLevel="1" x14ac:dyDescent="0.25">
      <c r="A16" s="191">
        <v>41517.588842592595</v>
      </c>
      <c r="B16" s="192" t="s">
        <v>85</v>
      </c>
      <c r="C16" s="193" t="s">
        <v>67</v>
      </c>
      <c r="D16" s="194"/>
      <c r="E16" s="195" t="s">
        <v>170</v>
      </c>
      <c r="F16" s="196"/>
      <c r="G16" s="197"/>
      <c r="H16" s="198"/>
      <c r="I16" s="198"/>
      <c r="J16" s="199"/>
      <c r="K16" s="200" t="str">
        <f>K15</f>
        <v>Платежи</v>
      </c>
      <c r="O16" s="199"/>
    </row>
    <row r="17" spans="1:15" s="185" customFormat="1" hidden="1" outlineLevel="1" x14ac:dyDescent="0.25">
      <c r="A17" s="191">
        <v>41518.956793981481</v>
      </c>
      <c r="B17" s="192" t="s">
        <v>101</v>
      </c>
      <c r="C17" s="193" t="str">
        <f>B16</f>
        <v>InsMyCol</v>
      </c>
      <c r="D17" s="194"/>
      <c r="E17" s="195" t="s">
        <v>170</v>
      </c>
      <c r="F17" s="196"/>
      <c r="G17" s="197"/>
      <c r="H17" s="198"/>
      <c r="I17" s="198"/>
      <c r="J17" s="199"/>
      <c r="K17" s="200" t="str">
        <f>K15</f>
        <v>Платежи</v>
      </c>
      <c r="L17" s="201" t="str">
        <f>TOCmatch!B17</f>
        <v>SFacc</v>
      </c>
      <c r="M17" s="201" t="str">
        <f>TOCmatch!B14</f>
        <v>SF</v>
      </c>
      <c r="N17" s="201" t="str">
        <f>TOCmatch!B21</f>
        <v>SF_PA</v>
      </c>
      <c r="O17" s="199"/>
    </row>
    <row r="18" spans="1:15" s="185" customFormat="1" hidden="1" outlineLevel="1" x14ac:dyDescent="0.25">
      <c r="A18" s="191">
        <v>41518.956805555557</v>
      </c>
      <c r="B18" s="192" t="s">
        <v>59</v>
      </c>
      <c r="C18" s="193" t="str">
        <f>B17</f>
        <v>Adapt</v>
      </c>
      <c r="D18" s="194"/>
      <c r="E18" s="195" t="s">
        <v>170</v>
      </c>
      <c r="F18" s="856">
        <v>7</v>
      </c>
      <c r="G18" s="202"/>
      <c r="H18" s="198"/>
      <c r="I18" s="198"/>
      <c r="J18" s="199"/>
      <c r="K18" s="200" t="str">
        <f>K15</f>
        <v>Платежи</v>
      </c>
      <c r="L18" s="203"/>
      <c r="M18" s="198"/>
      <c r="N18" s="203"/>
      <c r="O18" s="199"/>
    </row>
    <row r="19" spans="1:15" s="188" customFormat="1" hidden="1" outlineLevel="1" x14ac:dyDescent="0.25">
      <c r="A19" s="204">
        <v>41518.956875000003</v>
      </c>
      <c r="B19" s="205" t="s">
        <v>173</v>
      </c>
      <c r="C19" s="193" t="str">
        <f>B18</f>
        <v>DateSort</v>
      </c>
      <c r="D19" s="206"/>
      <c r="E19" s="207" t="s">
        <v>170</v>
      </c>
      <c r="F19" s="200"/>
      <c r="G19" s="198"/>
      <c r="H19" s="198"/>
      <c r="I19" s="198"/>
      <c r="J19" s="199"/>
      <c r="K19" s="200" t="str">
        <f>K15</f>
        <v>Платежи</v>
      </c>
      <c r="L19" s="203"/>
      <c r="M19" s="198"/>
      <c r="N19" s="203"/>
      <c r="O19" s="199"/>
    </row>
    <row r="20" spans="1:15" hidden="1" outlineLevel="1" x14ac:dyDescent="0.25">
      <c r="A20" s="191">
        <v>41518.95689814815</v>
      </c>
      <c r="B20" s="192" t="s">
        <v>50</v>
      </c>
      <c r="C20" s="208" t="str">
        <f>B19</f>
        <v>PaymentPaint</v>
      </c>
      <c r="D20" s="206"/>
      <c r="E20" s="209" t="s">
        <v>170</v>
      </c>
      <c r="G20" s="203"/>
      <c r="H20" s="210"/>
      <c r="I20" s="210"/>
      <c r="J20" s="211"/>
      <c r="K20" s="200" t="str">
        <f>K15</f>
        <v>Платежи</v>
      </c>
      <c r="L20" s="203"/>
      <c r="M20" s="203"/>
      <c r="N20" s="201" t="str">
        <f>TOCmatch!B17</f>
        <v>SFacc</v>
      </c>
      <c r="O20" s="211"/>
    </row>
    <row r="21" spans="1:15" hidden="1" outlineLevel="1" x14ac:dyDescent="0.25">
      <c r="A21" s="191">
        <v>41518.956909722219</v>
      </c>
      <c r="B21" s="874" t="s">
        <v>1212</v>
      </c>
      <c r="C21" s="208" t="str">
        <f>B20</f>
        <v>AccPaint</v>
      </c>
      <c r="D21" s="206"/>
      <c r="E21" s="209" t="s">
        <v>170</v>
      </c>
      <c r="G21" s="203"/>
      <c r="H21" s="210"/>
      <c r="I21" s="210"/>
      <c r="J21" s="211"/>
      <c r="K21" s="200" t="str">
        <f>K15</f>
        <v>Платежи</v>
      </c>
      <c r="L21" s="203"/>
      <c r="M21" s="203"/>
      <c r="N21" s="203"/>
      <c r="O21" s="211"/>
    </row>
    <row r="22" spans="1:15" s="219" customFormat="1" hidden="1" outlineLevel="1" x14ac:dyDescent="0.25">
      <c r="A22" s="875">
        <v>41509.164409722223</v>
      </c>
      <c r="B22" s="876" t="s">
        <v>33</v>
      </c>
      <c r="C22" s="258"/>
      <c r="D22" s="212"/>
      <c r="E22" s="213"/>
      <c r="F22" s="214"/>
      <c r="G22" s="215"/>
      <c r="H22" s="215"/>
      <c r="I22" s="215"/>
      <c r="J22" s="216"/>
      <c r="K22" s="217"/>
      <c r="L22" s="218"/>
      <c r="M22" s="215"/>
      <c r="N22" s="218"/>
      <c r="O22" s="216"/>
    </row>
    <row r="23" spans="1:15" s="185" customFormat="1" collapsed="1" x14ac:dyDescent="0.25">
      <c r="A23" s="220"/>
      <c r="B23" s="877" t="s">
        <v>169</v>
      </c>
      <c r="C23" s="221"/>
      <c r="D23" s="222"/>
      <c r="E23" s="223" t="s">
        <v>174</v>
      </c>
      <c r="F23" s="224" t="s">
        <v>46</v>
      </c>
      <c r="G23" s="222"/>
      <c r="H23" s="222"/>
      <c r="I23" s="222"/>
      <c r="J23" s="225"/>
      <c r="K23" s="226" t="str">
        <f>TOCmatch!B10</f>
        <v>Договоры</v>
      </c>
      <c r="L23" s="227"/>
      <c r="M23" s="222"/>
      <c r="N23" s="227"/>
      <c r="O23" s="225"/>
    </row>
    <row r="24" spans="1:15" s="32" customFormat="1" hidden="1" outlineLevel="1" x14ac:dyDescent="0.25">
      <c r="A24" s="191">
        <v>41516.110150462962</v>
      </c>
      <c r="B24" s="192" t="s">
        <v>85</v>
      </c>
      <c r="C24" s="193" t="s">
        <v>67</v>
      </c>
      <c r="D24" s="194"/>
      <c r="E24" s="195" t="s">
        <v>170</v>
      </c>
      <c r="F24" s="196"/>
      <c r="G24" s="197"/>
      <c r="H24" s="198"/>
      <c r="I24" s="198"/>
      <c r="J24" s="211"/>
      <c r="K24" s="200" t="str">
        <f>K23</f>
        <v>Договоры</v>
      </c>
      <c r="N24" s="210"/>
      <c r="O24" s="211"/>
    </row>
    <row r="25" spans="1:15" s="32" customFormat="1" hidden="1" outlineLevel="1" x14ac:dyDescent="0.25">
      <c r="A25" s="191">
        <v>41516.643009259256</v>
      </c>
      <c r="B25" s="192" t="s">
        <v>101</v>
      </c>
      <c r="C25" s="193" t="str">
        <f>B24</f>
        <v>InsMyCol</v>
      </c>
      <c r="D25" s="194"/>
      <c r="E25" s="195" t="s">
        <v>170</v>
      </c>
      <c r="F25" s="196"/>
      <c r="J25" s="211"/>
      <c r="K25" s="200" t="str">
        <f>K23</f>
        <v>Договоры</v>
      </c>
      <c r="L25" s="201" t="str">
        <f>TOCmatch!B17</f>
        <v>SFacc</v>
      </c>
      <c r="M25" s="201" t="str">
        <f>TOCmatch!B15</f>
        <v>SFD</v>
      </c>
      <c r="N25" s="210"/>
      <c r="O25" s="211"/>
    </row>
    <row r="26" spans="1:15" s="32" customFormat="1" hidden="1" outlineLevel="1" x14ac:dyDescent="0.25">
      <c r="A26" s="204">
        <v>41516.643009259256</v>
      </c>
      <c r="B26" s="192" t="s">
        <v>59</v>
      </c>
      <c r="C26" s="193" t="str">
        <f>B25</f>
        <v>Adapt</v>
      </c>
      <c r="D26" s="194"/>
      <c r="E26" s="195" t="s">
        <v>170</v>
      </c>
      <c r="F26" s="856">
        <v>12</v>
      </c>
      <c r="G26" s="202"/>
      <c r="H26" s="210"/>
      <c r="I26" s="210"/>
      <c r="J26" s="211"/>
      <c r="K26" s="200" t="str">
        <f>K23</f>
        <v>Договоры</v>
      </c>
      <c r="L26" s="210"/>
      <c r="M26" s="210"/>
      <c r="N26" s="210"/>
      <c r="O26" s="211"/>
    </row>
    <row r="27" spans="1:15" s="32" customFormat="1" hidden="1" outlineLevel="1" x14ac:dyDescent="0.25">
      <c r="A27" s="204">
        <v>41516.643020833333</v>
      </c>
      <c r="B27" s="205" t="s">
        <v>178</v>
      </c>
      <c r="C27" s="193" t="str">
        <f>B26</f>
        <v>DateSort</v>
      </c>
      <c r="D27" s="206"/>
      <c r="E27" s="229" t="s">
        <v>170</v>
      </c>
      <c r="F27" s="230"/>
      <c r="G27" s="210"/>
      <c r="H27" s="210"/>
      <c r="I27" s="210"/>
      <c r="J27" s="211"/>
      <c r="K27" s="200" t="str">
        <f>K23</f>
        <v>Договоры</v>
      </c>
      <c r="L27" s="201" t="str">
        <f>TOCmatch!B15</f>
        <v>SFD</v>
      </c>
      <c r="N27" s="210"/>
      <c r="O27" s="211"/>
    </row>
    <row r="28" spans="1:15" hidden="1" outlineLevel="1" x14ac:dyDescent="0.25">
      <c r="A28" s="191">
        <v>41516.64303240741</v>
      </c>
      <c r="B28" s="192" t="s">
        <v>50</v>
      </c>
      <c r="C28" s="193" t="str">
        <f>B27</f>
        <v>ContractPaint</v>
      </c>
      <c r="D28" s="206"/>
      <c r="E28" s="231" t="s">
        <v>170</v>
      </c>
      <c r="F28" s="228"/>
      <c r="G28" s="203"/>
      <c r="H28" s="210"/>
      <c r="I28" s="210"/>
      <c r="J28" s="211"/>
      <c r="K28" s="200" t="str">
        <f>K23</f>
        <v>Договоры</v>
      </c>
      <c r="L28" s="203"/>
      <c r="M28" s="203"/>
      <c r="N28" s="201" t="str">
        <f>TOCmatch!B17</f>
        <v>SFacc</v>
      </c>
      <c r="O28" s="211"/>
    </row>
    <row r="29" spans="1:15" hidden="1" outlineLevel="1" x14ac:dyDescent="0.25">
      <c r="A29" s="191">
        <v>41516.64303240741</v>
      </c>
      <c r="B29" s="874" t="s">
        <v>1212</v>
      </c>
      <c r="C29" s="208" t="str">
        <f>B28</f>
        <v>AccPaint</v>
      </c>
      <c r="D29" s="206"/>
      <c r="E29" s="209" t="s">
        <v>170</v>
      </c>
      <c r="G29" s="203"/>
      <c r="H29" s="210"/>
      <c r="I29" s="210"/>
      <c r="J29" s="211"/>
      <c r="K29" s="200" t="str">
        <f>K23</f>
        <v>Договоры</v>
      </c>
      <c r="L29" s="203"/>
      <c r="M29" s="203"/>
      <c r="N29" s="203"/>
      <c r="O29" s="211"/>
    </row>
    <row r="30" spans="1:15" s="219" customFormat="1" hidden="1" outlineLevel="1" x14ac:dyDescent="0.25">
      <c r="A30" s="875">
        <v>41509.162106481483</v>
      </c>
      <c r="B30" s="876" t="s">
        <v>33</v>
      </c>
      <c r="C30" s="258"/>
      <c r="D30" s="212"/>
      <c r="E30" s="213" t="s">
        <v>174</v>
      </c>
      <c r="F30" s="214"/>
      <c r="G30" s="215"/>
      <c r="H30" s="215"/>
      <c r="I30" s="215"/>
      <c r="J30" s="216"/>
      <c r="K30" s="217"/>
      <c r="L30" s="218"/>
      <c r="M30" s="215"/>
      <c r="N30" s="218"/>
      <c r="O30" s="216"/>
    </row>
    <row r="31" spans="1:15" s="185" customFormat="1" ht="15.75" collapsed="1" thickBot="1" x14ac:dyDescent="0.3">
      <c r="A31" s="220"/>
      <c r="B31" s="877" t="s">
        <v>169</v>
      </c>
      <c r="C31" s="221"/>
      <c r="D31" s="222"/>
      <c r="E31" s="223"/>
      <c r="F31" s="232" t="s">
        <v>55</v>
      </c>
      <c r="G31" s="222"/>
      <c r="H31" s="222"/>
      <c r="I31" s="222"/>
      <c r="J31" s="225"/>
      <c r="K31" s="226" t="s">
        <v>49</v>
      </c>
      <c r="L31" s="227"/>
      <c r="M31" s="222"/>
      <c r="N31" s="227"/>
      <c r="O31" s="225"/>
    </row>
    <row r="32" spans="1:15" s="185" customFormat="1" hidden="1" outlineLevel="1" x14ac:dyDescent="0.25">
      <c r="A32" s="191">
        <v>41516.092997685184</v>
      </c>
      <c r="B32" s="192" t="s">
        <v>179</v>
      </c>
      <c r="C32" s="193" t="s">
        <v>67</v>
      </c>
      <c r="D32" s="206"/>
      <c r="E32" s="195" t="s">
        <v>170</v>
      </c>
      <c r="F32" s="228"/>
      <c r="G32" s="202"/>
      <c r="H32" s="198"/>
      <c r="I32" s="198"/>
      <c r="J32" s="199"/>
      <c r="K32" s="200" t="str">
        <f>K31</f>
        <v>Список клиентов 1C</v>
      </c>
      <c r="L32" s="203"/>
      <c r="M32" s="198"/>
      <c r="N32" s="203"/>
      <c r="O32" s="199"/>
    </row>
    <row r="33" spans="1:19" s="32" customFormat="1" hidden="1" outlineLevel="1" x14ac:dyDescent="0.25">
      <c r="A33" s="191">
        <v>41516.093217592592</v>
      </c>
      <c r="B33" s="192" t="s">
        <v>85</v>
      </c>
      <c r="C33" s="233" t="str">
        <f>B32</f>
        <v>Acc1C_Bottom</v>
      </c>
      <c r="D33" s="194"/>
      <c r="E33" s="195" t="s">
        <v>170</v>
      </c>
      <c r="F33" s="200"/>
      <c r="G33" s="203"/>
      <c r="H33" s="198"/>
      <c r="I33" s="198"/>
      <c r="J33" s="211"/>
      <c r="K33" s="200" t="str">
        <f>K31</f>
        <v>Список клиентов 1C</v>
      </c>
      <c r="L33" s="210"/>
      <c r="M33" s="210"/>
      <c r="O33" s="211"/>
    </row>
    <row r="34" spans="1:19" s="32" customFormat="1" hidden="1" outlineLevel="1" x14ac:dyDescent="0.25">
      <c r="A34" s="191">
        <v>41516.643090277779</v>
      </c>
      <c r="B34" s="192" t="s">
        <v>101</v>
      </c>
      <c r="C34" s="233" t="str">
        <f>B33</f>
        <v>InsMyCol</v>
      </c>
      <c r="D34" s="194"/>
      <c r="E34" s="195" t="s">
        <v>170</v>
      </c>
      <c r="F34" s="200"/>
      <c r="G34" s="203"/>
      <c r="H34" s="198"/>
      <c r="I34" s="198"/>
      <c r="J34" s="211"/>
      <c r="K34" s="200" t="str">
        <f>K31</f>
        <v>Список клиентов 1C</v>
      </c>
      <c r="L34" s="210"/>
      <c r="M34" s="210"/>
      <c r="N34" s="201" t="str">
        <f>TOCmatch!B17</f>
        <v>SFacc</v>
      </c>
      <c r="O34" s="211"/>
    </row>
    <row r="35" spans="1:19" hidden="1" outlineLevel="1" x14ac:dyDescent="0.25">
      <c r="A35" s="191">
        <v>41516.643101851849</v>
      </c>
      <c r="B35" s="192" t="s">
        <v>50</v>
      </c>
      <c r="C35" s="233" t="str">
        <f>B34</f>
        <v>Adapt</v>
      </c>
      <c r="D35" s="206"/>
      <c r="E35" s="231" t="s">
        <v>170</v>
      </c>
      <c r="F35" s="200"/>
      <c r="G35" s="203"/>
      <c r="H35" s="210"/>
      <c r="I35" s="210"/>
      <c r="J35" s="211"/>
      <c r="K35" s="200" t="str">
        <f>K31</f>
        <v>Список клиентов 1C</v>
      </c>
      <c r="L35" s="203"/>
      <c r="M35" s="203"/>
      <c r="N35" s="201" t="str">
        <f>TOCmatch!B17</f>
        <v>SFacc</v>
      </c>
      <c r="O35" s="211"/>
    </row>
    <row r="36" spans="1:19" s="241" customFormat="1" ht="15.75" hidden="1" outlineLevel="1" thickBot="1" x14ac:dyDescent="0.3">
      <c r="A36" s="884">
        <v>41507.01185185185</v>
      </c>
      <c r="B36" s="885" t="s">
        <v>33</v>
      </c>
      <c r="C36" s="868"/>
      <c r="D36" s="234"/>
      <c r="E36" s="235" t="s">
        <v>170</v>
      </c>
      <c r="F36" s="236"/>
      <c r="G36" s="237"/>
      <c r="H36" s="237"/>
      <c r="I36" s="237"/>
      <c r="J36" s="238"/>
      <c r="K36" s="239"/>
      <c r="L36" s="240"/>
      <c r="M36" s="237"/>
      <c r="N36" s="240"/>
      <c r="O36" s="238"/>
    </row>
    <row r="37" spans="1:19" s="185" customFormat="1" ht="15.75" collapsed="1" thickTop="1" x14ac:dyDescent="0.25">
      <c r="A37" s="268"/>
      <c r="B37" s="269" t="s">
        <v>169</v>
      </c>
      <c r="C37" s="270"/>
      <c r="D37" s="245"/>
      <c r="E37" s="246" t="s">
        <v>174</v>
      </c>
      <c r="F37" s="247" t="s">
        <v>180</v>
      </c>
      <c r="G37" s="245"/>
      <c r="H37" s="245"/>
      <c r="I37" s="245"/>
      <c r="J37" s="248"/>
      <c r="K37" s="249" t="str">
        <f>TOCmatch!B14</f>
        <v>SF</v>
      </c>
      <c r="L37" s="250"/>
      <c r="M37" s="245"/>
      <c r="N37" s="250"/>
      <c r="O37" s="248"/>
    </row>
    <row r="38" spans="1:19" s="185" customFormat="1" hidden="1" outlineLevel="1" x14ac:dyDescent="0.25">
      <c r="A38" s="204">
        <v>41518.954976851855</v>
      </c>
      <c r="B38" s="866" t="s">
        <v>1493</v>
      </c>
      <c r="C38" s="865"/>
      <c r="D38" s="198"/>
      <c r="E38" s="207" t="s">
        <v>170</v>
      </c>
      <c r="F38" s="881" t="str">
        <f>TOCmatch!B14</f>
        <v>SF</v>
      </c>
      <c r="G38" s="198"/>
      <c r="H38" s="198"/>
      <c r="I38" s="198"/>
      <c r="J38" s="199"/>
      <c r="K38" s="200" t="str">
        <f>TOCmatch!B8</f>
        <v>Платежи</v>
      </c>
      <c r="L38" s="203"/>
      <c r="M38" s="198"/>
      <c r="N38" s="203"/>
      <c r="O38" s="199"/>
    </row>
    <row r="39" spans="1:19" hidden="1" outlineLevel="1" x14ac:dyDescent="0.25">
      <c r="A39" s="191">
        <v>41518.955127314817</v>
      </c>
      <c r="B39" s="192" t="s">
        <v>85</v>
      </c>
      <c r="C39" s="193" t="str">
        <f>B38</f>
        <v>CheckRepDate</v>
      </c>
      <c r="D39" s="194"/>
      <c r="E39" s="195" t="s">
        <v>170</v>
      </c>
      <c r="F39" s="200"/>
      <c r="G39" s="203"/>
      <c r="H39" s="210"/>
      <c r="I39" s="210"/>
      <c r="J39" s="251"/>
      <c r="K39" s="200" t="str">
        <f>K37</f>
        <v>SF</v>
      </c>
      <c r="L39" s="210"/>
      <c r="M39" s="210"/>
      <c r="N39" s="210"/>
      <c r="O39" s="251"/>
    </row>
    <row r="40" spans="1:19" s="185" customFormat="1" hidden="1" outlineLevel="1" x14ac:dyDescent="0.25">
      <c r="A40" s="204">
        <v>41518.955949074072</v>
      </c>
      <c r="B40" s="866" t="s">
        <v>1254</v>
      </c>
      <c r="C40" s="193" t="str">
        <f>B39</f>
        <v>InsMyCol</v>
      </c>
      <c r="D40" s="198"/>
      <c r="E40" s="207" t="s">
        <v>170</v>
      </c>
      <c r="F40" s="867">
        <v>3</v>
      </c>
      <c r="G40" s="198"/>
      <c r="H40" s="198"/>
      <c r="I40" s="198"/>
      <c r="J40" s="199"/>
      <c r="K40" s="200" t="str">
        <f>K37</f>
        <v>SF</v>
      </c>
      <c r="L40" s="203"/>
      <c r="M40" s="198"/>
      <c r="N40" s="203"/>
      <c r="O40" s="199"/>
    </row>
    <row r="41" spans="1:19" hidden="1" outlineLevel="1" x14ac:dyDescent="0.25">
      <c r="A41" s="191">
        <v>41518.956932870373</v>
      </c>
      <c r="B41" s="205" t="s">
        <v>183</v>
      </c>
      <c r="C41" s="193" t="str">
        <f>B40</f>
        <v>SFaccSplit</v>
      </c>
      <c r="D41" s="206"/>
      <c r="E41" s="231" t="s">
        <v>170</v>
      </c>
      <c r="F41" s="200" t="str">
        <f>F15</f>
        <v>LOAD_1C_P</v>
      </c>
      <c r="G41" s="203"/>
      <c r="H41" s="210"/>
      <c r="I41" s="210"/>
      <c r="J41" s="251"/>
      <c r="K41" s="200" t="str">
        <f>TOCmatch!B8</f>
        <v>Платежи</v>
      </c>
      <c r="L41" s="210" t="str">
        <f>K37</f>
        <v>SF</v>
      </c>
      <c r="M41" s="210"/>
      <c r="N41" s="210"/>
      <c r="O41" s="251"/>
    </row>
    <row r="42" spans="1:19" hidden="1" outlineLevel="1" x14ac:dyDescent="0.25">
      <c r="A42" s="191">
        <v>41518.957141203704</v>
      </c>
      <c r="B42" s="192" t="s">
        <v>101</v>
      </c>
      <c r="C42" s="896" t="str">
        <f>B41</f>
        <v>ProcStart</v>
      </c>
      <c r="D42" s="210"/>
      <c r="E42" s="231" t="s">
        <v>170</v>
      </c>
      <c r="F42" s="200"/>
      <c r="G42" s="203"/>
      <c r="H42" s="210"/>
      <c r="I42" s="210"/>
      <c r="J42" s="251"/>
      <c r="K42" s="200" t="str">
        <f>K37</f>
        <v>SF</v>
      </c>
      <c r="L42" s="210" t="str">
        <f>TOCmatch!B8</f>
        <v>Платежи</v>
      </c>
      <c r="M42" s="210"/>
      <c r="N42" s="210"/>
      <c r="O42" s="251"/>
      <c r="S42" s="2" t="str">
        <f>B39 &amp; ", " &amp; F15 &amp; "/" &amp; B21</f>
        <v>InsMyCol, LOAD_1C_P/MergeReps</v>
      </c>
    </row>
    <row r="43" spans="1:19" hidden="1" outlineLevel="1" x14ac:dyDescent="0.25">
      <c r="A43" s="191">
        <v>41518.95716435185</v>
      </c>
      <c r="B43" s="192" t="s">
        <v>59</v>
      </c>
      <c r="C43" s="193"/>
      <c r="D43" s="194"/>
      <c r="E43" s="195" t="s">
        <v>170</v>
      </c>
      <c r="F43" s="857">
        <v>5</v>
      </c>
      <c r="G43" s="203"/>
      <c r="H43" s="210"/>
      <c r="I43" s="210"/>
      <c r="J43" s="211"/>
      <c r="K43" s="200" t="str">
        <f>K37</f>
        <v>SF</v>
      </c>
      <c r="L43" s="210"/>
      <c r="M43" s="210"/>
      <c r="N43" s="210"/>
      <c r="O43" s="211"/>
    </row>
    <row r="44" spans="1:19" hidden="1" outlineLevel="1" x14ac:dyDescent="0.25">
      <c r="A44" s="191">
        <v>41518.957175925927</v>
      </c>
      <c r="B44" s="874" t="s">
        <v>1232</v>
      </c>
      <c r="C44" s="193"/>
      <c r="D44" s="194"/>
      <c r="E44" s="195" t="s">
        <v>170</v>
      </c>
      <c r="F44" s="255"/>
      <c r="G44" s="203"/>
      <c r="H44" s="210"/>
      <c r="I44" s="210"/>
      <c r="J44" s="211"/>
      <c r="K44" s="200" t="str">
        <f>K37</f>
        <v>SF</v>
      </c>
      <c r="L44" s="210"/>
      <c r="M44" s="210"/>
      <c r="N44" s="210"/>
      <c r="O44" s="211"/>
    </row>
    <row r="45" spans="1:19" s="219" customFormat="1" hidden="1" outlineLevel="1" x14ac:dyDescent="0.25">
      <c r="A45" s="875">
        <v>41509.160416666666</v>
      </c>
      <c r="B45" s="876" t="s">
        <v>33</v>
      </c>
      <c r="C45" s="258"/>
      <c r="D45" s="212"/>
      <c r="E45" s="213" t="s">
        <v>174</v>
      </c>
      <c r="F45" s="214"/>
      <c r="G45" s="215"/>
      <c r="H45" s="215"/>
      <c r="I45" s="215"/>
      <c r="J45" s="216"/>
      <c r="K45" s="217" t="str">
        <f>K37</f>
        <v>SF</v>
      </c>
      <c r="L45" s="218"/>
      <c r="M45" s="215"/>
      <c r="N45" s="218"/>
      <c r="O45" s="216"/>
    </row>
    <row r="46" spans="1:19" s="185" customFormat="1" collapsed="1" x14ac:dyDescent="0.25">
      <c r="A46" s="220"/>
      <c r="B46" s="877" t="s">
        <v>169</v>
      </c>
      <c r="C46" s="221"/>
      <c r="D46" s="222"/>
      <c r="E46" s="223" t="s">
        <v>174</v>
      </c>
      <c r="F46" s="224" t="s">
        <v>184</v>
      </c>
      <c r="G46" s="222"/>
      <c r="H46" s="222"/>
      <c r="I46" s="222"/>
      <c r="J46" s="225"/>
      <c r="K46" s="226" t="s">
        <v>63</v>
      </c>
      <c r="L46" s="227"/>
      <c r="M46" s="222"/>
      <c r="N46" s="227"/>
      <c r="O46" s="225"/>
    </row>
    <row r="47" spans="1:19" s="185" customFormat="1" hidden="1" outlineLevel="1" x14ac:dyDescent="0.25">
      <c r="A47" s="204">
        <v>41516.128148148149</v>
      </c>
      <c r="B47" s="866" t="s">
        <v>1493</v>
      </c>
      <c r="C47" s="865"/>
      <c r="D47" s="198"/>
      <c r="E47" s="207" t="s">
        <v>170</v>
      </c>
      <c r="F47" s="881" t="str">
        <f>TOCmatch!B15</f>
        <v>SFD</v>
      </c>
      <c r="G47" s="198"/>
      <c r="H47" s="198"/>
      <c r="I47" s="198"/>
      <c r="J47" s="199"/>
      <c r="K47" s="200" t="str">
        <f>TOCmatch!B10</f>
        <v>Договоры</v>
      </c>
      <c r="L47" s="2"/>
      <c r="M47" s="198"/>
      <c r="N47" s="203"/>
      <c r="O47" s="199"/>
    </row>
    <row r="48" spans="1:19" s="185" customFormat="1" hidden="1" outlineLevel="1" x14ac:dyDescent="0.25">
      <c r="A48" s="204">
        <v>41516.134409722225</v>
      </c>
      <c r="B48" s="866" t="s">
        <v>1493</v>
      </c>
      <c r="C48" s="865"/>
      <c r="D48" s="198"/>
      <c r="E48" s="207" t="s">
        <v>170</v>
      </c>
      <c r="F48" s="881" t="str">
        <f>TOCmatch!B16</f>
        <v>SFopp</v>
      </c>
      <c r="G48" s="198"/>
      <c r="H48" s="198"/>
      <c r="I48" s="198"/>
      <c r="J48" s="199"/>
      <c r="K48" s="200" t="str">
        <f>K46</f>
        <v>SFD</v>
      </c>
      <c r="L48" s="198"/>
      <c r="M48" s="198"/>
      <c r="N48" s="203"/>
      <c r="O48" s="199"/>
    </row>
    <row r="49" spans="1:15" hidden="1" outlineLevel="1" x14ac:dyDescent="0.25">
      <c r="A49" s="191">
        <v>41516.13652777778</v>
      </c>
      <c r="B49" s="192" t="s">
        <v>85</v>
      </c>
      <c r="C49" s="193" t="str">
        <f>B48</f>
        <v>CheckRepDate</v>
      </c>
      <c r="D49" s="194"/>
      <c r="E49" s="195" t="s">
        <v>170</v>
      </c>
      <c r="F49" s="200"/>
      <c r="G49" s="198"/>
      <c r="H49" s="210"/>
      <c r="I49" s="210"/>
      <c r="J49" s="251"/>
      <c r="K49" s="252" t="s">
        <v>63</v>
      </c>
      <c r="M49" s="210"/>
      <c r="N49" s="210"/>
      <c r="O49" s="251"/>
    </row>
    <row r="50" spans="1:15" s="185" customFormat="1" hidden="1" outlineLevel="1" x14ac:dyDescent="0.25">
      <c r="A50" s="204">
        <v>41516.136840277781</v>
      </c>
      <c r="B50" s="866" t="s">
        <v>1254</v>
      </c>
      <c r="C50" s="193" t="str">
        <f>B49</f>
        <v>InsMyCol</v>
      </c>
      <c r="D50" s="198"/>
      <c r="E50" s="207" t="s">
        <v>170</v>
      </c>
      <c r="F50" s="867">
        <v>6</v>
      </c>
      <c r="G50" s="198"/>
      <c r="H50" s="198"/>
      <c r="I50" s="198"/>
      <c r="J50" s="199"/>
      <c r="K50" s="200" t="str">
        <f>K46</f>
        <v>SFD</v>
      </c>
      <c r="L50" s="203"/>
      <c r="M50" s="198"/>
      <c r="N50" s="203"/>
      <c r="O50" s="199"/>
    </row>
    <row r="51" spans="1:15" hidden="1" outlineLevel="1" x14ac:dyDescent="0.25">
      <c r="A51" s="191">
        <v>41516.784513888888</v>
      </c>
      <c r="B51" s="192" t="s">
        <v>101</v>
      </c>
      <c r="C51" s="193" t="str">
        <f>B50</f>
        <v>SFaccSplit</v>
      </c>
      <c r="D51" s="194"/>
      <c r="E51" s="195" t="s">
        <v>170</v>
      </c>
      <c r="F51" s="200"/>
      <c r="G51" s="203"/>
      <c r="H51" s="210"/>
      <c r="I51" s="210"/>
      <c r="J51" s="251"/>
      <c r="K51" s="252" t="s">
        <v>63</v>
      </c>
      <c r="L51" s="206" t="s">
        <v>41</v>
      </c>
      <c r="M51" s="210"/>
      <c r="N51" s="201" t="s">
        <v>69</v>
      </c>
      <c r="O51" s="251"/>
    </row>
    <row r="52" spans="1:15" hidden="1" outlineLevel="1" x14ac:dyDescent="0.25">
      <c r="A52" s="191">
        <v>41516.78460648148</v>
      </c>
      <c r="B52" s="192" t="s">
        <v>59</v>
      </c>
      <c r="C52" s="193" t="str">
        <f>B51</f>
        <v>Adapt</v>
      </c>
      <c r="D52" s="194"/>
      <c r="E52" s="195" t="s">
        <v>170</v>
      </c>
      <c r="F52" s="867">
        <v>8</v>
      </c>
      <c r="G52" s="203"/>
      <c r="H52" s="210"/>
      <c r="I52" s="210"/>
      <c r="J52" s="211"/>
      <c r="K52" s="252" t="s">
        <v>63</v>
      </c>
      <c r="L52" s="210"/>
      <c r="M52" s="210"/>
      <c r="N52" s="210"/>
      <c r="O52" s="211"/>
    </row>
    <row r="53" spans="1:15" hidden="1" outlineLevel="1" x14ac:dyDescent="0.25">
      <c r="A53" s="191">
        <v>41516.78460648148</v>
      </c>
      <c r="B53" s="205" t="s">
        <v>183</v>
      </c>
      <c r="C53" s="233" t="str">
        <f>B52</f>
        <v>DateSort</v>
      </c>
      <c r="D53" s="206"/>
      <c r="E53" s="231" t="s">
        <v>170</v>
      </c>
      <c r="F53" s="200" t="str">
        <f>F23</f>
        <v>LOAD_1C_DOG</v>
      </c>
      <c r="G53" s="203"/>
      <c r="H53" s="210"/>
      <c r="I53" s="210"/>
      <c r="J53" s="251"/>
      <c r="K53" s="252" t="s">
        <v>41</v>
      </c>
      <c r="L53" s="210"/>
      <c r="M53" s="210"/>
      <c r="N53" s="210"/>
      <c r="O53" s="251"/>
    </row>
    <row r="54" spans="1:15" s="219" customFormat="1" hidden="1" outlineLevel="1" x14ac:dyDescent="0.25">
      <c r="A54" s="875">
        <v>41507.005196759259</v>
      </c>
      <c r="B54" s="876" t="s">
        <v>33</v>
      </c>
      <c r="C54" s="258"/>
      <c r="D54" s="212"/>
      <c r="E54" s="213" t="s">
        <v>170</v>
      </c>
      <c r="F54" s="214"/>
      <c r="G54" s="215"/>
      <c r="H54" s="215"/>
      <c r="I54" s="215"/>
      <c r="J54" s="216"/>
      <c r="K54" s="217"/>
      <c r="L54" s="218"/>
      <c r="M54" s="215"/>
      <c r="N54" s="218"/>
      <c r="O54" s="216"/>
    </row>
    <row r="55" spans="1:15" s="185" customFormat="1" collapsed="1" x14ac:dyDescent="0.25">
      <c r="A55" s="220"/>
      <c r="B55" s="897" t="s">
        <v>169</v>
      </c>
      <c r="C55" s="221"/>
      <c r="D55" s="222"/>
      <c r="E55" s="223" t="s">
        <v>174</v>
      </c>
      <c r="F55" s="224" t="s">
        <v>188</v>
      </c>
      <c r="G55" s="222"/>
      <c r="H55" s="222"/>
      <c r="I55" s="222"/>
      <c r="J55" s="225"/>
      <c r="K55" s="226" t="s">
        <v>69</v>
      </c>
      <c r="L55" s="227"/>
      <c r="M55" s="222"/>
      <c r="N55" s="227"/>
      <c r="O55" s="225"/>
    </row>
    <row r="56" spans="1:15" s="185" customFormat="1" hidden="1" outlineLevel="1" x14ac:dyDescent="0.25">
      <c r="A56" s="204">
        <v>41516.13795138889</v>
      </c>
      <c r="B56" s="866" t="s">
        <v>1493</v>
      </c>
      <c r="C56" s="865"/>
      <c r="D56" s="198"/>
      <c r="E56" s="207" t="s">
        <v>170</v>
      </c>
      <c r="F56" s="881" t="str">
        <f>TOCmatch!B17</f>
        <v>SFacc</v>
      </c>
      <c r="G56" s="198"/>
      <c r="H56" s="198"/>
      <c r="I56" s="198"/>
      <c r="J56" s="199"/>
      <c r="K56" s="200" t="str">
        <f>TOCmatch!B12</f>
        <v>Список клиентов 1C</v>
      </c>
      <c r="L56" s="203"/>
      <c r="M56" s="198"/>
      <c r="N56" s="203"/>
      <c r="O56" s="199"/>
    </row>
    <row r="57" spans="1:15" s="185" customFormat="1" hidden="1" outlineLevel="1" x14ac:dyDescent="0.25">
      <c r="A57" s="204">
        <v>41516.641793981478</v>
      </c>
      <c r="B57" s="866" t="s">
        <v>1254</v>
      </c>
      <c r="C57" s="865"/>
      <c r="D57" s="198"/>
      <c r="E57" s="207" t="s">
        <v>170</v>
      </c>
      <c r="F57" s="867">
        <v>2</v>
      </c>
      <c r="G57" s="198"/>
      <c r="H57" s="198"/>
      <c r="I57" s="198"/>
      <c r="J57" s="199"/>
      <c r="K57" s="200" t="str">
        <f>K55</f>
        <v>SFacc</v>
      </c>
      <c r="L57" s="203"/>
      <c r="M57" s="198"/>
      <c r="N57" s="203"/>
      <c r="O57" s="199"/>
    </row>
    <row r="58" spans="1:15" hidden="1" outlineLevel="1" x14ac:dyDescent="0.25">
      <c r="A58" s="191">
        <v>41518.960497685184</v>
      </c>
      <c r="B58" s="192" t="s">
        <v>183</v>
      </c>
      <c r="C58" s="193"/>
      <c r="D58" s="206"/>
      <c r="E58" s="231" t="s">
        <v>170</v>
      </c>
      <c r="F58" s="200" t="str">
        <f>F15</f>
        <v>LOAD_1C_P</v>
      </c>
      <c r="G58" s="203"/>
      <c r="H58" s="210"/>
      <c r="I58" s="210"/>
      <c r="J58" s="211"/>
      <c r="K58" s="200" t="str">
        <f>K55</f>
        <v>SFacc</v>
      </c>
      <c r="L58" s="203" t="str">
        <f>TOCmatch!B8</f>
        <v>Платежи</v>
      </c>
      <c r="M58" s="203"/>
      <c r="N58" s="210"/>
      <c r="O58" s="211"/>
    </row>
    <row r="59" spans="1:15" hidden="1" outlineLevel="1" x14ac:dyDescent="0.25">
      <c r="A59" s="191">
        <v>41516.64303240741</v>
      </c>
      <c r="B59" s="192" t="s">
        <v>183</v>
      </c>
      <c r="C59" s="193"/>
      <c r="D59" s="206"/>
      <c r="E59" s="231" t="s">
        <v>170</v>
      </c>
      <c r="F59" s="200" t="str">
        <f>F23</f>
        <v>LOAD_1C_DOG</v>
      </c>
      <c r="G59" s="203"/>
      <c r="H59" s="210"/>
      <c r="I59" s="210"/>
      <c r="J59" s="211"/>
      <c r="K59" s="200" t="str">
        <f>K55</f>
        <v>SFacc</v>
      </c>
      <c r="L59" s="203" t="str">
        <f>TOCmatch!B10</f>
        <v>Договоры</v>
      </c>
      <c r="M59" s="203"/>
      <c r="N59" s="210"/>
      <c r="O59" s="211"/>
    </row>
    <row r="60" spans="1:15" hidden="1" outlineLevel="1" x14ac:dyDescent="0.25">
      <c r="A60" s="191">
        <v>41516.643101851849</v>
      </c>
      <c r="B60" s="192" t="s">
        <v>183</v>
      </c>
      <c r="C60" s="193"/>
      <c r="D60" s="206"/>
      <c r="E60" s="231" t="s">
        <v>170</v>
      </c>
      <c r="F60" s="200" t="str">
        <f>F31</f>
        <v>LOAD_1C_ACC</v>
      </c>
      <c r="G60" s="203"/>
      <c r="H60" s="210"/>
      <c r="I60" s="210"/>
      <c r="J60" s="211"/>
      <c r="K60" s="200" t="str">
        <f>K55</f>
        <v>SFacc</v>
      </c>
      <c r="L60" s="203" t="str">
        <f>TOCmatch!B12</f>
        <v>Список клиентов 1C</v>
      </c>
      <c r="M60" s="203"/>
      <c r="N60" s="210"/>
      <c r="O60" s="211"/>
    </row>
    <row r="61" spans="1:15" s="241" customFormat="1" ht="15.75" hidden="1" outlineLevel="1" thickBot="1" x14ac:dyDescent="0.3">
      <c r="A61" s="884">
        <v>41507.01185185185</v>
      </c>
      <c r="B61" s="885" t="s">
        <v>33</v>
      </c>
      <c r="C61" s="868"/>
      <c r="D61" s="234"/>
      <c r="E61" s="235" t="s">
        <v>170</v>
      </c>
      <c r="F61" s="236"/>
      <c r="G61" s="237"/>
      <c r="H61" s="237"/>
      <c r="I61" s="237"/>
      <c r="J61" s="238"/>
      <c r="K61" s="239"/>
      <c r="L61" s="240"/>
      <c r="M61" s="237"/>
      <c r="N61" s="240"/>
      <c r="O61" s="238"/>
    </row>
    <row r="62" spans="1:15" s="185" customFormat="1" ht="15.75" collapsed="1" thickBot="1" x14ac:dyDescent="0.3">
      <c r="A62" s="183"/>
      <c r="B62" s="184" t="s">
        <v>169</v>
      </c>
      <c r="C62" s="183"/>
      <c r="E62" s="186"/>
      <c r="F62" s="187" t="s">
        <v>105</v>
      </c>
      <c r="G62" s="188"/>
      <c r="H62" s="188"/>
      <c r="I62" s="188"/>
      <c r="J62" s="189"/>
      <c r="K62" s="190" t="s">
        <v>100</v>
      </c>
      <c r="L62" s="188"/>
      <c r="M62" s="188"/>
      <c r="N62" s="188"/>
      <c r="O62" s="189"/>
    </row>
    <row r="63" spans="1:15" s="185" customFormat="1" hidden="1" outlineLevel="1" x14ac:dyDescent="0.25">
      <c r="A63" s="191">
        <v>41473.017916666664</v>
      </c>
      <c r="B63" s="192" t="s">
        <v>189</v>
      </c>
      <c r="C63" s="193" t="s">
        <v>67</v>
      </c>
      <c r="D63" s="194"/>
      <c r="E63" s="195" t="s">
        <v>170</v>
      </c>
      <c r="F63" s="262" t="s">
        <v>190</v>
      </c>
      <c r="G63" s="202"/>
      <c r="H63" s="198"/>
      <c r="I63" s="198"/>
      <c r="J63" s="199"/>
      <c r="K63" s="200" t="str">
        <f>K62</f>
        <v>Заказы</v>
      </c>
      <c r="L63" s="203"/>
      <c r="M63" s="198"/>
      <c r="N63" s="203"/>
      <c r="O63" s="199"/>
    </row>
    <row r="64" spans="1:15" s="185" customFormat="1" hidden="1" outlineLevel="1" x14ac:dyDescent="0.25">
      <c r="A64" s="191">
        <v>41473.017928240741</v>
      </c>
      <c r="B64" s="192" t="s">
        <v>85</v>
      </c>
      <c r="C64" s="208" t="str">
        <f>B63</f>
        <v>RowDel</v>
      </c>
      <c r="D64" s="194"/>
      <c r="E64" s="195" t="s">
        <v>170</v>
      </c>
      <c r="F64" s="200" t="s">
        <v>191</v>
      </c>
      <c r="G64" s="197"/>
      <c r="H64" s="198"/>
      <c r="I64" s="198"/>
      <c r="J64" s="199"/>
      <c r="K64" s="200" t="str">
        <f>K62</f>
        <v>Заказы</v>
      </c>
      <c r="L64" s="203"/>
      <c r="M64" s="198"/>
      <c r="N64" s="203"/>
      <c r="O64" s="199"/>
    </row>
    <row r="65" spans="1:16" s="185" customFormat="1" hidden="1" outlineLevel="1" x14ac:dyDescent="0.25">
      <c r="A65" s="253">
        <v>41506.983391203707</v>
      </c>
      <c r="B65" s="194" t="s">
        <v>101</v>
      </c>
      <c r="C65" s="263" t="str">
        <f>B64</f>
        <v>InsMyCol</v>
      </c>
      <c r="D65" s="194"/>
      <c r="E65" s="195" t="s">
        <v>174</v>
      </c>
      <c r="F65" s="187" t="s">
        <v>191</v>
      </c>
      <c r="G65" s="202"/>
      <c r="H65" s="202"/>
      <c r="I65" s="202"/>
      <c r="J65" s="264"/>
      <c r="K65" s="200" t="str">
        <f>K63</f>
        <v>Заказы</v>
      </c>
      <c r="L65" s="203" t="s">
        <v>32</v>
      </c>
      <c r="M65" s="198"/>
      <c r="N65" s="201" t="s">
        <v>80</v>
      </c>
      <c r="O65" s="199"/>
    </row>
    <row r="66" spans="1:16" s="219" customFormat="1" ht="15.75" hidden="1" outlineLevel="1" thickBot="1" x14ac:dyDescent="0.3">
      <c r="A66" s="257">
        <v>41506.983391203707</v>
      </c>
      <c r="B66" s="212" t="s">
        <v>33</v>
      </c>
      <c r="C66" s="258"/>
      <c r="D66" s="212"/>
      <c r="E66" s="213" t="s">
        <v>170</v>
      </c>
      <c r="F66" s="214"/>
      <c r="G66" s="215"/>
      <c r="H66" s="215"/>
      <c r="I66" s="215"/>
      <c r="J66" s="216"/>
      <c r="K66" s="217"/>
      <c r="L66" s="218"/>
      <c r="M66" s="215"/>
      <c r="N66" s="218"/>
      <c r="O66" s="216"/>
    </row>
    <row r="67" spans="1:16" s="185" customFormat="1" ht="16.5" collapsed="1" thickTop="1" thickBot="1" x14ac:dyDescent="0.3">
      <c r="A67" s="183"/>
      <c r="B67" s="184" t="s">
        <v>169</v>
      </c>
      <c r="C67" s="183"/>
      <c r="E67" s="265" t="s">
        <v>66</v>
      </c>
      <c r="F67" s="187" t="s">
        <v>89</v>
      </c>
      <c r="G67" s="188"/>
      <c r="H67" s="188"/>
      <c r="I67" s="188"/>
      <c r="J67" s="189"/>
      <c r="K67" s="190" t="s">
        <v>83</v>
      </c>
      <c r="L67" s="188"/>
      <c r="M67" s="188"/>
      <c r="N67" s="188"/>
      <c r="O67" s="189"/>
    </row>
    <row r="68" spans="1:16" s="185" customFormat="1" ht="15.75" hidden="1" outlineLevel="1" thickTop="1" x14ac:dyDescent="0.25">
      <c r="A68" s="253"/>
      <c r="B68" s="194" t="s">
        <v>189</v>
      </c>
      <c r="C68" s="254" t="s">
        <v>67</v>
      </c>
      <c r="D68" s="194"/>
      <c r="E68" s="195" t="s">
        <v>174</v>
      </c>
      <c r="F68" s="262" t="s">
        <v>192</v>
      </c>
      <c r="G68" s="202"/>
      <c r="H68" s="198"/>
      <c r="I68" s="198"/>
      <c r="J68" s="199"/>
      <c r="K68" s="266" t="str">
        <f>K67</f>
        <v>Склад</v>
      </c>
      <c r="L68" s="203"/>
      <c r="M68" s="198"/>
      <c r="N68" s="203"/>
      <c r="O68" s="199"/>
    </row>
    <row r="69" spans="1:16" s="185" customFormat="1" hidden="1" outlineLevel="1" x14ac:dyDescent="0.25">
      <c r="A69" s="253"/>
      <c r="B69" s="194" t="s">
        <v>85</v>
      </c>
      <c r="C69" s="263" t="str">
        <f>B68</f>
        <v>RowDel</v>
      </c>
      <c r="D69" s="194"/>
      <c r="E69" s="195" t="s">
        <v>174</v>
      </c>
      <c r="F69" s="200" t="s">
        <v>193</v>
      </c>
      <c r="G69" s="202"/>
      <c r="H69" s="198"/>
      <c r="I69" s="198"/>
      <c r="J69" s="199"/>
      <c r="K69" s="200" t="str">
        <f>K67</f>
        <v>Склад</v>
      </c>
      <c r="L69" s="203"/>
      <c r="M69" s="198"/>
      <c r="N69" s="203"/>
      <c r="O69" s="199"/>
    </row>
    <row r="70" spans="1:16" s="185" customFormat="1" hidden="1" outlineLevel="1" x14ac:dyDescent="0.25">
      <c r="A70" s="253"/>
      <c r="B70" s="194" t="s">
        <v>194</v>
      </c>
      <c r="C70" s="267"/>
      <c r="D70" s="194"/>
      <c r="E70" s="195" t="s">
        <v>174</v>
      </c>
      <c r="F70" s="262" t="s">
        <v>170</v>
      </c>
      <c r="G70" s="202" t="s">
        <v>195</v>
      </c>
      <c r="H70" s="198"/>
      <c r="I70" s="198"/>
      <c r="J70" s="199"/>
      <c r="K70" s="200"/>
      <c r="L70" s="203"/>
      <c r="M70" s="198"/>
      <c r="N70" s="203"/>
      <c r="O70" s="199"/>
    </row>
    <row r="71" spans="1:16" s="185" customFormat="1" hidden="1" outlineLevel="1" x14ac:dyDescent="0.25">
      <c r="A71" s="253"/>
      <c r="B71" s="194" t="s">
        <v>101</v>
      </c>
      <c r="C71" s="263" t="str">
        <f>B69</f>
        <v>InsMyCol</v>
      </c>
      <c r="D71" s="194"/>
      <c r="E71" s="195" t="s">
        <v>174</v>
      </c>
      <c r="F71" s="187" t="str">
        <f>F69</f>
        <v>Stock_MyCol</v>
      </c>
      <c r="G71" s="202"/>
      <c r="H71" s="198"/>
      <c r="I71" s="198"/>
      <c r="J71" s="199"/>
      <c r="K71" s="200" t="str">
        <f>K67</f>
        <v>Склад</v>
      </c>
      <c r="L71" s="203" t="str">
        <f>L159</f>
        <v>Платежи</v>
      </c>
      <c r="M71" s="198"/>
      <c r="N71" s="201" t="s">
        <v>58</v>
      </c>
      <c r="O71" s="199"/>
    </row>
    <row r="72" spans="1:16" s="219" customFormat="1" ht="15.75" hidden="1" outlineLevel="1" thickBot="1" x14ac:dyDescent="0.3">
      <c r="A72" s="257"/>
      <c r="B72" s="212" t="s">
        <v>33</v>
      </c>
      <c r="C72" s="258"/>
      <c r="D72" s="212"/>
      <c r="E72" s="213" t="s">
        <v>174</v>
      </c>
      <c r="F72" s="214"/>
      <c r="G72" s="215"/>
      <c r="H72" s="215"/>
      <c r="I72" s="215"/>
      <c r="J72" s="216"/>
      <c r="K72" s="217"/>
      <c r="L72" s="218"/>
      <c r="M72" s="215"/>
      <c r="N72" s="218"/>
      <c r="O72" s="216"/>
    </row>
    <row r="73" spans="1:16" s="185" customFormat="1" ht="15.75" collapsed="1" thickTop="1" x14ac:dyDescent="0.25">
      <c r="A73" s="268"/>
      <c r="B73" s="269" t="s">
        <v>169</v>
      </c>
      <c r="C73" s="270"/>
      <c r="D73" s="245"/>
      <c r="E73" s="246" t="s">
        <v>174</v>
      </c>
      <c r="F73" s="247" t="s">
        <v>196</v>
      </c>
      <c r="G73" s="245"/>
      <c r="H73" s="245"/>
      <c r="I73" s="245"/>
      <c r="J73" s="248"/>
      <c r="K73" s="271" t="s">
        <v>32</v>
      </c>
      <c r="L73" s="250"/>
      <c r="M73" s="245"/>
      <c r="N73" s="250"/>
      <c r="O73" s="248"/>
      <c r="P73" s="893"/>
    </row>
    <row r="74" spans="1:16" x14ac:dyDescent="0.25">
      <c r="A74" s="191">
        <v>41518.784085648149</v>
      </c>
      <c r="B74" s="192" t="s">
        <v>183</v>
      </c>
      <c r="C74" s="193"/>
      <c r="D74" s="206"/>
      <c r="E74" s="195" t="s">
        <v>170</v>
      </c>
      <c r="F74" s="200" t="str">
        <f>F15</f>
        <v>LOAD_1C_P</v>
      </c>
      <c r="G74" s="203"/>
      <c r="H74" s="210"/>
      <c r="I74" s="210"/>
      <c r="J74" s="211"/>
      <c r="K74" s="200" t="str">
        <f>K73</f>
        <v>Платежи</v>
      </c>
      <c r="L74" s="203"/>
      <c r="M74" s="203"/>
      <c r="N74" s="210"/>
      <c r="O74" s="211"/>
      <c r="P74" s="894"/>
    </row>
    <row r="75" spans="1:16" x14ac:dyDescent="0.25">
      <c r="A75" s="191">
        <v>41518.960949074077</v>
      </c>
      <c r="B75" s="874" t="s">
        <v>101</v>
      </c>
      <c r="C75" s="208" t="str">
        <f>B74</f>
        <v>ProcStart</v>
      </c>
      <c r="D75" s="206"/>
      <c r="E75" s="195" t="s">
        <v>170</v>
      </c>
      <c r="F75" s="200"/>
      <c r="G75" s="203"/>
      <c r="H75" s="210"/>
      <c r="I75" s="210"/>
      <c r="J75" s="211"/>
      <c r="K75" s="200" t="str">
        <f>K73</f>
        <v>Платежи</v>
      </c>
      <c r="L75" s="201" t="str">
        <f>TOCmatch!B16</f>
        <v>SFopp</v>
      </c>
      <c r="M75" s="201" t="str">
        <f>TOCmatch!B14</f>
        <v>SF</v>
      </c>
      <c r="N75" s="210"/>
      <c r="O75" s="211"/>
      <c r="P75" s="894"/>
    </row>
    <row r="76" spans="1:16" x14ac:dyDescent="0.25">
      <c r="A76" s="191">
        <v>41519.007453703707</v>
      </c>
      <c r="B76" s="874" t="s">
        <v>1589</v>
      </c>
      <c r="C76" s="288" t="str">
        <f>B75</f>
        <v>Adapt</v>
      </c>
      <c r="D76" s="206"/>
      <c r="E76" s="195" t="s">
        <v>170</v>
      </c>
      <c r="F76" s="898" t="str">
        <f>K76</f>
        <v>Платежи</v>
      </c>
      <c r="G76" s="899">
        <v>18</v>
      </c>
      <c r="H76" s="203" t="s">
        <v>1591</v>
      </c>
      <c r="I76" s="210"/>
      <c r="J76" s="211"/>
      <c r="K76" s="200" t="str">
        <f>K73</f>
        <v>Платежи</v>
      </c>
      <c r="L76" s="203"/>
      <c r="M76" s="198"/>
      <c r="N76" s="210"/>
      <c r="O76" s="211"/>
      <c r="P76" s="894"/>
    </row>
    <row r="77" spans="1:16" x14ac:dyDescent="0.25">
      <c r="A77" s="191">
        <v>41519.007465277777</v>
      </c>
      <c r="B77" s="874" t="s">
        <v>1589</v>
      </c>
      <c r="C77" s="288"/>
      <c r="D77" s="206"/>
      <c r="E77" s="195" t="s">
        <v>170</v>
      </c>
      <c r="F77" s="898" t="str">
        <f t="shared" ref="F77" si="0">K77</f>
        <v>Платежи</v>
      </c>
      <c r="G77" s="899">
        <v>2</v>
      </c>
      <c r="H77" s="203" t="s">
        <v>1591</v>
      </c>
      <c r="I77" s="210"/>
      <c r="J77" s="211"/>
      <c r="K77" s="200" t="str">
        <f>K74</f>
        <v>Платежи</v>
      </c>
      <c r="L77" s="203"/>
      <c r="M77" s="198"/>
      <c r="N77" s="210"/>
      <c r="O77" s="211"/>
      <c r="P77" s="894"/>
    </row>
    <row r="78" spans="1:16" s="185" customFormat="1" x14ac:dyDescent="0.25">
      <c r="A78" s="272"/>
      <c r="B78" s="194" t="s">
        <v>194</v>
      </c>
      <c r="C78" s="267"/>
      <c r="D78" s="194"/>
      <c r="E78" s="195"/>
      <c r="F78" s="262" t="s">
        <v>170</v>
      </c>
      <c r="G78" s="202"/>
      <c r="H78" s="198"/>
      <c r="I78" s="198"/>
      <c r="J78" s="199"/>
      <c r="K78" s="200"/>
      <c r="N78" s="203"/>
      <c r="O78" s="199"/>
      <c r="P78" s="893"/>
    </row>
    <row r="79" spans="1:16" x14ac:dyDescent="0.25">
      <c r="A79" s="191">
        <v>41520.086608796293</v>
      </c>
      <c r="B79" s="866" t="s">
        <v>1578</v>
      </c>
      <c r="C79" s="208" t="str">
        <f>B75</f>
        <v>Adapt</v>
      </c>
      <c r="D79" s="206"/>
      <c r="E79" s="195"/>
      <c r="F79" s="200"/>
      <c r="G79" s="203"/>
      <c r="H79" s="210"/>
      <c r="I79" s="210"/>
      <c r="J79" s="251"/>
      <c r="K79" s="252" t="s">
        <v>32</v>
      </c>
      <c r="L79" s="201" t="str">
        <f>TOCmatch!B15</f>
        <v>SFD</v>
      </c>
      <c r="M79" s="201" t="str">
        <f>TOCmatch!B16</f>
        <v>SFopp</v>
      </c>
      <c r="N79" s="210"/>
      <c r="O79" s="251"/>
      <c r="P79" s="933"/>
    </row>
    <row r="80" spans="1:16" x14ac:dyDescent="0.25">
      <c r="A80" s="272"/>
      <c r="B80" s="256" t="s">
        <v>136</v>
      </c>
      <c r="C80" s="263" t="str">
        <f>B79</f>
        <v>Paid1C</v>
      </c>
      <c r="D80" s="206"/>
      <c r="E80" s="231"/>
      <c r="F80" s="200" t="s">
        <v>198</v>
      </c>
      <c r="G80" s="203" t="s">
        <v>199</v>
      </c>
      <c r="H80" s="210" t="s">
        <v>200</v>
      </c>
      <c r="I80" s="210" t="s">
        <v>201</v>
      </c>
      <c r="J80" s="251"/>
      <c r="K80" s="252"/>
      <c r="L80" s="210"/>
      <c r="M80" s="210"/>
      <c r="N80" s="210"/>
      <c r="O80" s="251"/>
      <c r="P80" s="894"/>
    </row>
    <row r="81" spans="1:16" s="219" customFormat="1" ht="15.75" thickBot="1" x14ac:dyDescent="0.3">
      <c r="A81" s="257"/>
      <c r="B81" s="212" t="s">
        <v>33</v>
      </c>
      <c r="C81" s="258"/>
      <c r="D81" s="212"/>
      <c r="E81" s="213" t="s">
        <v>174</v>
      </c>
      <c r="F81" s="214"/>
      <c r="G81" s="215"/>
      <c r="H81" s="215"/>
      <c r="I81" s="215"/>
      <c r="J81" s="216"/>
      <c r="K81" s="217"/>
      <c r="L81" s="218"/>
      <c r="M81" s="215"/>
      <c r="N81" s="218"/>
      <c r="O81" s="216"/>
      <c r="P81" s="895"/>
    </row>
    <row r="82" spans="1:16" s="185" customFormat="1" ht="16.5" thickTop="1" thickBot="1" x14ac:dyDescent="0.3">
      <c r="A82" s="191"/>
      <c r="B82" s="192" t="s">
        <v>169</v>
      </c>
      <c r="C82" s="277"/>
      <c r="D82" s="275"/>
      <c r="E82" s="265" t="s">
        <v>66</v>
      </c>
      <c r="F82" s="276" t="s">
        <v>202</v>
      </c>
      <c r="G82" s="198"/>
      <c r="H82" s="198"/>
      <c r="I82" s="198"/>
      <c r="J82" s="199"/>
      <c r="K82" s="190" t="s">
        <v>32</v>
      </c>
      <c r="L82" s="203"/>
      <c r="M82" s="198"/>
      <c r="N82" s="203"/>
      <c r="O82" s="199"/>
    </row>
    <row r="83" spans="1:16" s="185" customFormat="1" ht="15.75" thickTop="1" x14ac:dyDescent="0.25">
      <c r="A83" s="253"/>
      <c r="B83" s="194" t="s">
        <v>194</v>
      </c>
      <c r="C83" s="267"/>
      <c r="D83" s="194"/>
      <c r="E83" s="195" t="s">
        <v>174</v>
      </c>
      <c r="F83" s="262" t="s">
        <v>170</v>
      </c>
      <c r="G83" s="202"/>
      <c r="H83" s="198"/>
      <c r="I83" s="198"/>
      <c r="J83" s="199"/>
      <c r="K83" s="200"/>
      <c r="L83" s="203"/>
      <c r="M83" s="198"/>
      <c r="N83" s="203"/>
      <c r="O83" s="199"/>
    </row>
    <row r="84" spans="1:16" s="185" customFormat="1" x14ac:dyDescent="0.25">
      <c r="A84" s="253"/>
      <c r="B84" s="194" t="s">
        <v>203</v>
      </c>
      <c r="C84" s="274"/>
      <c r="D84" s="275"/>
      <c r="E84" s="195" t="s">
        <v>174</v>
      </c>
      <c r="F84" s="278" t="s">
        <v>135</v>
      </c>
      <c r="G84" s="198"/>
      <c r="H84" s="198"/>
      <c r="I84" s="198"/>
      <c r="J84" s="199"/>
      <c r="K84" s="278" t="str">
        <f>F84</f>
        <v>NewPayment</v>
      </c>
      <c r="L84" s="203"/>
      <c r="M84" s="198"/>
      <c r="N84" s="203"/>
      <c r="O84" s="199"/>
    </row>
    <row r="85" spans="1:16" s="185" customFormat="1" x14ac:dyDescent="0.25">
      <c r="A85" s="253"/>
      <c r="B85" s="194" t="s">
        <v>204</v>
      </c>
      <c r="C85" s="279" t="str">
        <f>B84</f>
        <v>NewSheet</v>
      </c>
      <c r="D85" s="194"/>
      <c r="E85" s="195" t="s">
        <v>174</v>
      </c>
      <c r="F85" s="262"/>
      <c r="G85" s="202"/>
      <c r="H85" s="198"/>
      <c r="I85" s="198"/>
      <c r="J85" s="199"/>
      <c r="K85" s="200" t="str">
        <f>K82</f>
        <v>Платежи</v>
      </c>
      <c r="L85" s="201" t="s">
        <v>65</v>
      </c>
      <c r="M85" s="198"/>
      <c r="N85" s="203"/>
      <c r="O85" s="199"/>
    </row>
    <row r="86" spans="1:16" s="185" customFormat="1" x14ac:dyDescent="0.25">
      <c r="A86" s="253"/>
      <c r="B86" s="256" t="s">
        <v>136</v>
      </c>
      <c r="C86" s="279" t="str">
        <f>B85</f>
        <v>NewPaidOpp</v>
      </c>
      <c r="D86" s="194"/>
      <c r="E86" s="195" t="s">
        <v>174</v>
      </c>
      <c r="F86" s="278" t="s">
        <v>135</v>
      </c>
      <c r="G86" s="203" t="s">
        <v>205</v>
      </c>
      <c r="H86" s="210" t="s">
        <v>206</v>
      </c>
      <c r="I86" s="210" t="s">
        <v>207</v>
      </c>
      <c r="J86" s="199"/>
      <c r="K86" s="200"/>
      <c r="L86" s="203"/>
      <c r="M86" s="198"/>
      <c r="N86" s="203"/>
      <c r="O86" s="199"/>
    </row>
    <row r="87" spans="1:16" s="219" customFormat="1" ht="15.75" thickBot="1" x14ac:dyDescent="0.3">
      <c r="A87" s="257"/>
      <c r="B87" s="212" t="s">
        <v>33</v>
      </c>
      <c r="C87" s="258">
        <v>224</v>
      </c>
      <c r="D87" s="212"/>
      <c r="E87" s="213" t="s">
        <v>174</v>
      </c>
      <c r="F87" s="214"/>
      <c r="G87" s="215"/>
      <c r="H87" s="215"/>
      <c r="I87" s="215"/>
      <c r="J87" s="216"/>
      <c r="K87" s="217"/>
      <c r="L87" s="218"/>
      <c r="M87" s="215"/>
      <c r="N87" s="218"/>
      <c r="O87" s="216"/>
    </row>
    <row r="88" spans="1:16" s="185" customFormat="1" ht="16.5" thickTop="1" thickBot="1" x14ac:dyDescent="0.3">
      <c r="A88" s="253"/>
      <c r="B88" s="194" t="s">
        <v>169</v>
      </c>
      <c r="C88" s="274"/>
      <c r="D88" s="275"/>
      <c r="E88" s="265" t="s">
        <v>66</v>
      </c>
      <c r="F88" s="276" t="s">
        <v>208</v>
      </c>
      <c r="G88" s="198"/>
      <c r="H88" s="198"/>
      <c r="I88" s="198"/>
      <c r="J88" s="199"/>
      <c r="K88" s="190" t="s">
        <v>32</v>
      </c>
      <c r="L88" s="203"/>
      <c r="M88" s="198"/>
      <c r="N88" s="203"/>
      <c r="O88" s="199"/>
      <c r="P88" s="280"/>
    </row>
    <row r="89" spans="1:16" s="185" customFormat="1" ht="15.75" thickTop="1" x14ac:dyDescent="0.25">
      <c r="A89" s="253">
        <v>41506.038622685184</v>
      </c>
      <c r="B89" s="194" t="s">
        <v>101</v>
      </c>
      <c r="C89" s="281" t="str">
        <f>F15&amp;"/"&amp;B19</f>
        <v>LOAD_1C_P/PaymentPaint</v>
      </c>
      <c r="D89" s="194"/>
      <c r="E89" s="195" t="s">
        <v>174</v>
      </c>
      <c r="F89" s="886" t="s">
        <v>209</v>
      </c>
      <c r="G89" s="282" t="str">
        <f>K89</f>
        <v>Платежи</v>
      </c>
      <c r="H89" s="283" t="str">
        <f>F90</f>
        <v>NewPayment</v>
      </c>
      <c r="I89" s="198"/>
      <c r="J89" s="199"/>
      <c r="K89" s="200" t="str">
        <f>K88</f>
        <v>Платежи</v>
      </c>
      <c r="L89" s="201" t="s">
        <v>65</v>
      </c>
      <c r="N89" s="203"/>
      <c r="O89" s="199"/>
      <c r="P89" s="280"/>
    </row>
    <row r="90" spans="1:16" s="185" customFormat="1" x14ac:dyDescent="0.25">
      <c r="A90" s="253">
        <v>41506.038622685184</v>
      </c>
      <c r="B90" s="256" t="s">
        <v>136</v>
      </c>
      <c r="C90" s="279" t="str">
        <f>B89</f>
        <v>Adapt</v>
      </c>
      <c r="D90" s="194"/>
      <c r="E90" s="195" t="s">
        <v>174</v>
      </c>
      <c r="F90" s="278" t="s">
        <v>135</v>
      </c>
      <c r="G90" s="203" t="s">
        <v>205</v>
      </c>
      <c r="H90" s="210" t="s">
        <v>206</v>
      </c>
      <c r="I90" s="210" t="s">
        <v>207</v>
      </c>
      <c r="J90" s="199"/>
      <c r="K90" s="278" t="str">
        <f>F90</f>
        <v>NewPayment</v>
      </c>
      <c r="M90" s="198"/>
      <c r="N90" s="203"/>
      <c r="O90" s="199"/>
      <c r="P90" s="280"/>
    </row>
    <row r="91" spans="1:16" s="219" customFormat="1" ht="15.75" thickBot="1" x14ac:dyDescent="0.3">
      <c r="A91" s="257">
        <v>41506.038634259261</v>
      </c>
      <c r="B91" s="212" t="s">
        <v>33</v>
      </c>
      <c r="C91" s="284">
        <v>67</v>
      </c>
      <c r="D91" s="212"/>
      <c r="E91" s="207" t="s">
        <v>170</v>
      </c>
      <c r="F91" s="214"/>
      <c r="G91" s="215"/>
      <c r="H91" s="215"/>
      <c r="I91" s="215"/>
      <c r="J91" s="216"/>
      <c r="K91" s="217"/>
      <c r="L91" s="218"/>
      <c r="M91" s="215"/>
      <c r="N91" s="218"/>
      <c r="O91" s="216"/>
      <c r="P91" s="285"/>
    </row>
    <row r="92" spans="1:16" s="185" customFormat="1" ht="16.5" thickTop="1" thickBot="1" x14ac:dyDescent="0.3">
      <c r="A92" s="253"/>
      <c r="B92" s="194" t="s">
        <v>169</v>
      </c>
      <c r="C92" s="274"/>
      <c r="D92" s="275"/>
      <c r="E92" s="265" t="s">
        <v>66</v>
      </c>
      <c r="F92" s="276" t="s">
        <v>210</v>
      </c>
      <c r="G92" s="198"/>
      <c r="H92" s="198"/>
      <c r="I92" s="198"/>
      <c r="J92" s="199"/>
      <c r="K92" s="190" t="s">
        <v>32</v>
      </c>
      <c r="L92" s="203"/>
      <c r="M92" s="198"/>
      <c r="N92" s="203"/>
      <c r="O92" s="199"/>
    </row>
    <row r="93" spans="1:16" s="185" customFormat="1" ht="15.75" thickTop="1" x14ac:dyDescent="0.25">
      <c r="A93" s="253">
        <v>41516.156504629631</v>
      </c>
      <c r="B93" s="892" t="s">
        <v>211</v>
      </c>
      <c r="C93" s="281" t="str">
        <f>F15&amp;"/"&amp;B19</f>
        <v>LOAD_1C_P/PaymentPaint</v>
      </c>
      <c r="D93" s="194"/>
      <c r="E93" s="195" t="s">
        <v>174</v>
      </c>
      <c r="F93" s="278" t="s">
        <v>135</v>
      </c>
      <c r="G93" s="202"/>
      <c r="H93" s="198"/>
      <c r="I93" s="198"/>
      <c r="J93" s="199"/>
      <c r="K93" s="200" t="str">
        <f>K92</f>
        <v>Платежи</v>
      </c>
      <c r="L93" s="201" t="s">
        <v>63</v>
      </c>
      <c r="M93" s="201" t="s">
        <v>65</v>
      </c>
      <c r="N93" s="203"/>
      <c r="O93" s="199"/>
    </row>
    <row r="94" spans="1:16" s="185" customFormat="1" x14ac:dyDescent="0.25">
      <c r="A94" s="253">
        <v>41516.1565162037</v>
      </c>
      <c r="B94" s="256" t="s">
        <v>136</v>
      </c>
      <c r="C94" s="279" t="str">
        <f>B93</f>
        <v>PaidContr</v>
      </c>
      <c r="D94" s="194"/>
      <c r="E94" s="195" t="s">
        <v>174</v>
      </c>
      <c r="F94" s="286" t="str">
        <f>F93</f>
        <v>NewPayment</v>
      </c>
      <c r="G94" s="203" t="s">
        <v>205</v>
      </c>
      <c r="H94" s="210" t="s">
        <v>206</v>
      </c>
      <c r="I94" s="210" t="s">
        <v>207</v>
      </c>
      <c r="J94" s="199"/>
      <c r="K94" s="278" t="str">
        <f>F94</f>
        <v>NewPayment</v>
      </c>
      <c r="M94" s="198"/>
      <c r="N94" s="203"/>
      <c r="O94" s="199"/>
    </row>
    <row r="95" spans="1:16" s="219" customFormat="1" ht="15.75" thickBot="1" x14ac:dyDescent="0.3">
      <c r="A95" s="257"/>
      <c r="B95" s="212" t="s">
        <v>33</v>
      </c>
      <c r="C95" s="284">
        <v>17</v>
      </c>
      <c r="D95" s="212"/>
      <c r="E95" s="207" t="s">
        <v>174</v>
      </c>
      <c r="F95" s="214"/>
      <c r="G95" s="215"/>
      <c r="H95" s="215"/>
      <c r="I95" s="215"/>
      <c r="J95" s="216"/>
      <c r="K95" s="217"/>
      <c r="L95" s="218"/>
      <c r="M95" s="215"/>
      <c r="N95" s="218"/>
      <c r="O95" s="216"/>
    </row>
    <row r="96" spans="1:16" s="185" customFormat="1" ht="16.5" thickTop="1" thickBot="1" x14ac:dyDescent="0.3">
      <c r="A96" s="253"/>
      <c r="B96" s="194" t="s">
        <v>169</v>
      </c>
      <c r="C96" s="274"/>
      <c r="D96" s="275"/>
      <c r="E96" s="265" t="s">
        <v>66</v>
      </c>
      <c r="F96" s="287" t="s">
        <v>212</v>
      </c>
      <c r="G96" s="198"/>
      <c r="H96" s="198"/>
      <c r="I96" s="198"/>
      <c r="J96" s="199"/>
      <c r="K96" s="190" t="str">
        <f>K23</f>
        <v>Договоры</v>
      </c>
      <c r="L96" s="203"/>
      <c r="M96" s="198"/>
      <c r="N96" s="203"/>
      <c r="O96" s="199"/>
    </row>
    <row r="97" spans="1:16" s="185" customFormat="1" ht="15.75" thickTop="1" x14ac:dyDescent="0.25">
      <c r="A97" s="253">
        <v>41516.158900462964</v>
      </c>
      <c r="B97" s="194" t="s">
        <v>43</v>
      </c>
      <c r="C97" s="281" t="str">
        <f>F23&amp;"/"&amp;B24</f>
        <v>LOAD_1C_DOG/InsMyCol</v>
      </c>
      <c r="D97" s="194"/>
      <c r="E97" s="195" t="s">
        <v>174</v>
      </c>
      <c r="F97" s="278" t="s">
        <v>138</v>
      </c>
      <c r="G97" s="202"/>
      <c r="H97" s="198"/>
      <c r="I97" s="198"/>
      <c r="J97" s="199"/>
      <c r="K97" s="200" t="str">
        <f>K96</f>
        <v>Договоры</v>
      </c>
      <c r="L97" s="201" t="s">
        <v>63</v>
      </c>
      <c r="M97" s="201" t="s">
        <v>69</v>
      </c>
      <c r="N97" s="203"/>
      <c r="O97" s="199"/>
    </row>
    <row r="98" spans="1:16" s="185" customFormat="1" x14ac:dyDescent="0.25">
      <c r="A98" s="253">
        <v>41516.158900462964</v>
      </c>
      <c r="B98" s="256" t="s">
        <v>136</v>
      </c>
      <c r="C98" s="279" t="str">
        <f>B97</f>
        <v>NewContr</v>
      </c>
      <c r="D98" s="194"/>
      <c r="E98" s="195" t="s">
        <v>174</v>
      </c>
      <c r="F98" s="286" t="str">
        <f>F97</f>
        <v>NewContract</v>
      </c>
      <c r="G98" s="203" t="s">
        <v>205</v>
      </c>
      <c r="H98" s="210" t="s">
        <v>213</v>
      </c>
      <c r="I98" s="210" t="s">
        <v>214</v>
      </c>
      <c r="J98" s="199"/>
      <c r="K98" s="278" t="str">
        <f>F98</f>
        <v>NewContract</v>
      </c>
      <c r="M98" s="198"/>
      <c r="N98" s="203"/>
      <c r="O98" s="199"/>
    </row>
    <row r="99" spans="1:16" s="219" customFormat="1" ht="15.75" thickBot="1" x14ac:dyDescent="0.3">
      <c r="A99" s="257"/>
      <c r="B99" s="212" t="s">
        <v>33</v>
      </c>
      <c r="C99" s="284">
        <v>4</v>
      </c>
      <c r="D99" s="212"/>
      <c r="E99" s="213" t="s">
        <v>174</v>
      </c>
      <c r="F99" s="214"/>
      <c r="G99" s="215"/>
      <c r="H99" s="215"/>
      <c r="I99" s="215"/>
      <c r="J99" s="216"/>
      <c r="K99" s="217"/>
      <c r="L99" s="218"/>
      <c r="M99" s="215"/>
      <c r="N99" s="218"/>
      <c r="O99" s="216"/>
    </row>
    <row r="100" spans="1:16" s="185" customFormat="1" ht="16.5" thickTop="1" thickBot="1" x14ac:dyDescent="0.3">
      <c r="A100" s="253"/>
      <c r="B100" s="194" t="s">
        <v>169</v>
      </c>
      <c r="C100" s="274"/>
      <c r="D100" s="275"/>
      <c r="E100" s="265" t="s">
        <v>66</v>
      </c>
      <c r="F100" s="287" t="s">
        <v>215</v>
      </c>
      <c r="G100" s="198"/>
      <c r="H100" s="198"/>
      <c r="I100" s="198"/>
      <c r="J100" s="199"/>
      <c r="K100" s="190" t="s">
        <v>100</v>
      </c>
      <c r="L100" s="203"/>
      <c r="M100" s="198"/>
      <c r="N100" s="203"/>
      <c r="O100" s="199"/>
      <c r="P100" s="289"/>
    </row>
    <row r="101" spans="1:16" s="185" customFormat="1" ht="15.75" thickTop="1" x14ac:dyDescent="0.25">
      <c r="A101" s="253">
        <v>41430.738321759258</v>
      </c>
      <c r="B101" s="194" t="s">
        <v>143</v>
      </c>
      <c r="C101" s="281" t="str">
        <f>F62&amp;"/"&amp;B65</f>
        <v>LOAD_Order/Adapt</v>
      </c>
      <c r="D101" s="194"/>
      <c r="E101" s="195" t="s">
        <v>174</v>
      </c>
      <c r="F101" s="278" t="s">
        <v>143</v>
      </c>
      <c r="G101" s="202"/>
      <c r="H101" s="198"/>
      <c r="I101" s="198"/>
      <c r="J101" s="199"/>
      <c r="K101" s="200" t="str">
        <f>K100</f>
        <v>Заказы</v>
      </c>
      <c r="L101" s="24" t="s">
        <v>32</v>
      </c>
      <c r="M101" s="201" t="s">
        <v>80</v>
      </c>
      <c r="N101" s="201" t="s">
        <v>58</v>
      </c>
      <c r="O101" s="199"/>
      <c r="P101" s="289"/>
    </row>
    <row r="102" spans="1:16" s="185" customFormat="1" x14ac:dyDescent="0.25">
      <c r="A102" s="253">
        <v>41430.738321759258</v>
      </c>
      <c r="B102" s="256" t="s">
        <v>136</v>
      </c>
      <c r="C102" s="279" t="str">
        <f>B101</f>
        <v>NewOrder</v>
      </c>
      <c r="D102" s="194"/>
      <c r="E102" s="195" t="s">
        <v>174</v>
      </c>
      <c r="F102" s="286" t="str">
        <f>F101</f>
        <v>NewOrder</v>
      </c>
      <c r="G102" s="203" t="s">
        <v>205</v>
      </c>
      <c r="H102" s="210" t="s">
        <v>216</v>
      </c>
      <c r="I102" s="210" t="s">
        <v>217</v>
      </c>
      <c r="J102" s="199"/>
      <c r="K102" s="278" t="str">
        <f>F102</f>
        <v>NewOrder</v>
      </c>
      <c r="M102" s="198"/>
      <c r="N102" s="203"/>
      <c r="O102" s="199"/>
      <c r="P102" s="289"/>
    </row>
    <row r="103" spans="1:16" s="219" customFormat="1" ht="15.75" thickBot="1" x14ac:dyDescent="0.3">
      <c r="A103" s="257"/>
      <c r="B103" s="212" t="s">
        <v>33</v>
      </c>
      <c r="C103" s="284">
        <v>0</v>
      </c>
      <c r="D103" s="212"/>
      <c r="E103" s="213" t="s">
        <v>174</v>
      </c>
      <c r="F103" s="214"/>
      <c r="G103" s="215"/>
      <c r="H103" s="215"/>
      <c r="I103" s="215"/>
      <c r="J103" s="216"/>
      <c r="K103" s="217"/>
      <c r="L103" s="218"/>
      <c r="M103" s="215"/>
      <c r="N103" s="218"/>
      <c r="O103" s="216"/>
      <c r="P103" s="290"/>
    </row>
    <row r="104" spans="1:16" s="185" customFormat="1" ht="16.5" thickTop="1" thickBot="1" x14ac:dyDescent="0.3">
      <c r="A104" s="253"/>
      <c r="B104" s="194" t="s">
        <v>169</v>
      </c>
      <c r="C104" s="274"/>
      <c r="D104" s="275"/>
      <c r="E104" s="265" t="s">
        <v>66</v>
      </c>
      <c r="F104" s="287" t="s">
        <v>218</v>
      </c>
      <c r="G104" s="198"/>
      <c r="H104" s="198"/>
      <c r="I104" s="198"/>
      <c r="J104" s="199"/>
      <c r="K104" s="190" t="s">
        <v>32</v>
      </c>
      <c r="L104" s="203"/>
      <c r="M104" s="198"/>
      <c r="N104" s="203"/>
      <c r="O104" s="199"/>
      <c r="P104" s="291"/>
    </row>
    <row r="105" spans="1:16" s="185" customFormat="1" ht="30.75" thickTop="1" x14ac:dyDescent="0.25">
      <c r="A105" s="253">
        <v>41344.979027777779</v>
      </c>
      <c r="B105" s="194" t="s">
        <v>101</v>
      </c>
      <c r="C105" s="292" t="str">
        <f>F96&amp;"/"&amp;B98</f>
        <v>HANDL_NewContract/WrCSV</v>
      </c>
      <c r="D105" s="194"/>
      <c r="E105" s="195" t="s">
        <v>174</v>
      </c>
      <c r="F105" s="293" t="s">
        <v>219</v>
      </c>
      <c r="G105" s="279" t="s">
        <v>32</v>
      </c>
      <c r="H105" s="294" t="str">
        <f>F106</f>
        <v>NewOpp</v>
      </c>
      <c r="I105" s="198"/>
      <c r="J105" s="199"/>
      <c r="K105" s="278" t="s">
        <v>140</v>
      </c>
      <c r="L105" s="203" t="s">
        <v>32</v>
      </c>
      <c r="M105" s="201" t="s">
        <v>63</v>
      </c>
      <c r="N105" s="201" t="s">
        <v>65</v>
      </c>
      <c r="O105" s="199"/>
      <c r="P105" s="291"/>
    </row>
    <row r="106" spans="1:16" s="185" customFormat="1" x14ac:dyDescent="0.25">
      <c r="A106" s="253">
        <v>41344.938113425924</v>
      </c>
      <c r="B106" s="256" t="s">
        <v>136</v>
      </c>
      <c r="C106" s="279" t="str">
        <f>B105</f>
        <v>Adapt</v>
      </c>
      <c r="D106" s="194"/>
      <c r="E106" s="195" t="s">
        <v>174</v>
      </c>
      <c r="F106" s="286" t="str">
        <f>K105</f>
        <v>NewOpp</v>
      </c>
      <c r="G106" s="203" t="s">
        <v>205</v>
      </c>
      <c r="H106" s="210" t="s">
        <v>220</v>
      </c>
      <c r="I106" s="210" t="s">
        <v>221</v>
      </c>
      <c r="J106" s="199"/>
      <c r="K106" s="278" t="str">
        <f>F106</f>
        <v>NewOpp</v>
      </c>
      <c r="M106" s="198"/>
      <c r="N106" s="203"/>
      <c r="O106" s="199"/>
      <c r="P106" s="291"/>
    </row>
    <row r="107" spans="1:16" s="219" customFormat="1" x14ac:dyDescent="0.25">
      <c r="A107" s="257"/>
      <c r="B107" s="212" t="s">
        <v>33</v>
      </c>
      <c r="C107" s="284">
        <v>217</v>
      </c>
      <c r="D107" s="212"/>
      <c r="E107" s="213" t="s">
        <v>174</v>
      </c>
      <c r="F107" s="214"/>
      <c r="G107" s="215"/>
      <c r="H107" s="215"/>
      <c r="I107" s="215"/>
      <c r="J107" s="216"/>
      <c r="K107" s="217"/>
      <c r="L107" s="218"/>
      <c r="M107" s="215"/>
      <c r="N107" s="218"/>
      <c r="O107" s="216"/>
      <c r="P107" s="295"/>
    </row>
    <row r="108" spans="1:16" s="185" customFormat="1" x14ac:dyDescent="0.25">
      <c r="A108" s="191"/>
      <c r="B108" s="192" t="s">
        <v>169</v>
      </c>
      <c r="C108" s="277"/>
      <c r="D108" s="275"/>
      <c r="E108" s="195" t="s">
        <v>174</v>
      </c>
      <c r="F108" s="276" t="s">
        <v>222</v>
      </c>
      <c r="G108" s="198"/>
      <c r="H108" s="198"/>
      <c r="I108" s="198"/>
      <c r="J108" s="199"/>
      <c r="K108" s="190" t="s">
        <v>41</v>
      </c>
      <c r="L108" s="203"/>
      <c r="M108" s="198"/>
      <c r="N108" s="203"/>
      <c r="O108" s="199"/>
    </row>
    <row r="109" spans="1:16" x14ac:dyDescent="0.25">
      <c r="A109" s="272"/>
      <c r="B109" s="256" t="s">
        <v>223</v>
      </c>
      <c r="C109" s="254" t="s">
        <v>43</v>
      </c>
      <c r="D109" s="206"/>
      <c r="E109" s="231" t="s">
        <v>174</v>
      </c>
      <c r="F109" s="200"/>
      <c r="G109" s="203"/>
      <c r="H109" s="210"/>
      <c r="I109" s="210"/>
      <c r="J109" s="251"/>
      <c r="K109" s="252" t="s">
        <v>41</v>
      </c>
      <c r="L109" s="210"/>
      <c r="M109" s="210"/>
      <c r="N109" s="210"/>
      <c r="O109" s="251"/>
    </row>
    <row r="110" spans="1:16" x14ac:dyDescent="0.25">
      <c r="A110" s="272"/>
      <c r="B110" s="256" t="s">
        <v>136</v>
      </c>
      <c r="C110" s="273" t="s">
        <v>223</v>
      </c>
      <c r="D110" s="206"/>
      <c r="E110" s="231"/>
      <c r="F110" s="200" t="s">
        <v>224</v>
      </c>
      <c r="G110" s="203" t="s">
        <v>199</v>
      </c>
      <c r="H110" s="210" t="s">
        <v>200</v>
      </c>
      <c r="I110" s="210" t="s">
        <v>201</v>
      </c>
      <c r="J110" s="251"/>
      <c r="K110" s="252"/>
      <c r="L110" s="210"/>
      <c r="M110" s="210"/>
      <c r="N110" s="210"/>
      <c r="O110" s="251"/>
    </row>
    <row r="111" spans="1:16" s="241" customFormat="1" ht="15.75" thickBot="1" x14ac:dyDescent="0.3">
      <c r="A111" s="296"/>
      <c r="B111" s="234" t="s">
        <v>33</v>
      </c>
      <c r="C111" s="296"/>
      <c r="D111" s="234"/>
      <c r="E111" s="235" t="s">
        <v>174</v>
      </c>
      <c r="F111" s="236"/>
      <c r="G111" s="237"/>
      <c r="H111" s="237"/>
      <c r="I111" s="237"/>
      <c r="J111" s="238"/>
      <c r="K111" s="239"/>
      <c r="L111" s="240"/>
      <c r="M111" s="237"/>
      <c r="N111" s="240"/>
      <c r="O111" s="238"/>
    </row>
    <row r="112" spans="1:16" s="185" customFormat="1" ht="16.5" thickTop="1" thickBot="1" x14ac:dyDescent="0.3">
      <c r="A112" s="253"/>
      <c r="B112" s="194" t="s">
        <v>169</v>
      </c>
      <c r="C112" s="274"/>
      <c r="D112" s="275"/>
      <c r="E112" s="265" t="s">
        <v>66</v>
      </c>
      <c r="F112" s="276" t="s">
        <v>225</v>
      </c>
      <c r="G112" s="198"/>
      <c r="H112" s="198"/>
      <c r="I112" s="198"/>
      <c r="J112" s="199"/>
      <c r="K112" s="190" t="s">
        <v>49</v>
      </c>
      <c r="L112" s="203"/>
      <c r="M112" s="198"/>
      <c r="N112" s="203"/>
      <c r="O112" s="199"/>
    </row>
    <row r="113" spans="1:16" ht="15.75" thickTop="1" x14ac:dyDescent="0.25">
      <c r="A113" s="253">
        <v>41237.062696759262</v>
      </c>
      <c r="B113" s="256" t="s">
        <v>226</v>
      </c>
      <c r="C113" s="39" t="str">
        <f>F31&amp;"/"&amp;B33</f>
        <v>LOAD_1C_ACC/InsMyCol</v>
      </c>
      <c r="D113" s="206"/>
      <c r="E113" s="231" t="s">
        <v>174</v>
      </c>
      <c r="F113" s="200" t="s">
        <v>128</v>
      </c>
      <c r="G113" s="203"/>
      <c r="H113" s="210"/>
      <c r="I113" s="210"/>
      <c r="J113" s="251"/>
      <c r="K113" s="2" t="str">
        <f>K112</f>
        <v>Список клиентов 1C</v>
      </c>
      <c r="L113" s="210"/>
      <c r="M113" s="210"/>
      <c r="N113" s="201" t="s">
        <v>69</v>
      </c>
      <c r="O113" s="251"/>
    </row>
    <row r="114" spans="1:16" s="219" customFormat="1" ht="15.75" thickBot="1" x14ac:dyDescent="0.3">
      <c r="A114" s="257"/>
      <c r="B114" s="212" t="s">
        <v>33</v>
      </c>
      <c r="C114" s="258"/>
      <c r="D114" s="212"/>
      <c r="E114" s="213" t="s">
        <v>174</v>
      </c>
      <c r="F114" s="214"/>
      <c r="G114" s="215"/>
      <c r="H114" s="215"/>
      <c r="I114" s="215"/>
      <c r="J114" s="216"/>
      <c r="K114" s="217"/>
      <c r="L114" s="218"/>
      <c r="M114" s="215"/>
      <c r="N114" s="218"/>
      <c r="O114" s="216"/>
    </row>
    <row r="115" spans="1:16" s="185" customFormat="1" ht="16.5" thickTop="1" thickBot="1" x14ac:dyDescent="0.3">
      <c r="A115" s="253"/>
      <c r="B115" s="194" t="s">
        <v>169</v>
      </c>
      <c r="C115" s="274"/>
      <c r="D115" s="275"/>
      <c r="E115" s="265" t="s">
        <v>66</v>
      </c>
      <c r="F115" s="276" t="s">
        <v>227</v>
      </c>
      <c r="G115" s="198"/>
      <c r="H115" s="198"/>
      <c r="I115" s="198"/>
      <c r="J115" s="199"/>
      <c r="K115" s="190" t="s">
        <v>113</v>
      </c>
      <c r="L115" s="203"/>
      <c r="M115" s="198"/>
      <c r="N115" s="203"/>
      <c r="O115" s="199"/>
      <c r="P115" s="297"/>
    </row>
    <row r="116" spans="1:16" ht="15.75" thickTop="1" x14ac:dyDescent="0.25">
      <c r="A116" s="253">
        <v>41410.835046296299</v>
      </c>
      <c r="B116" s="256" t="s">
        <v>228</v>
      </c>
      <c r="C116" s="39" t="s">
        <v>67</v>
      </c>
      <c r="D116" s="206"/>
      <c r="E116" s="231" t="s">
        <v>174</v>
      </c>
      <c r="F116" s="298" t="s">
        <v>132</v>
      </c>
      <c r="G116" s="203"/>
      <c r="H116" s="210"/>
      <c r="I116" s="210"/>
      <c r="J116" s="251"/>
      <c r="K116" s="94" t="s">
        <v>100</v>
      </c>
      <c r="L116" s="299" t="s">
        <v>113</v>
      </c>
      <c r="M116" s="201" t="s">
        <v>80</v>
      </c>
      <c r="N116" s="201" t="s">
        <v>72</v>
      </c>
      <c r="O116" s="251"/>
      <c r="P116" s="300"/>
    </row>
    <row r="117" spans="1:16" s="185" customFormat="1" x14ac:dyDescent="0.25">
      <c r="A117" s="253"/>
      <c r="B117" s="256" t="s">
        <v>136</v>
      </c>
      <c r="C117" s="279" t="str">
        <f>B116</f>
        <v>BTO_Mail_track</v>
      </c>
      <c r="D117" s="194"/>
      <c r="E117" s="195" t="s">
        <v>174</v>
      </c>
      <c r="F117" s="298" t="str">
        <f>F116</f>
        <v>BTOlog</v>
      </c>
      <c r="G117" s="203" t="s">
        <v>205</v>
      </c>
      <c r="H117" s="210" t="s">
        <v>229</v>
      </c>
      <c r="I117" s="210" t="s">
        <v>230</v>
      </c>
      <c r="J117" s="199"/>
      <c r="K117" s="298" t="str">
        <f>F117</f>
        <v>BTOlog</v>
      </c>
      <c r="M117" s="198"/>
      <c r="N117" s="203"/>
      <c r="O117" s="199"/>
      <c r="P117" s="300"/>
    </row>
    <row r="118" spans="1:16" s="219" customFormat="1" ht="15.75" thickBot="1" x14ac:dyDescent="0.3">
      <c r="A118" s="257"/>
      <c r="B118" s="212" t="s">
        <v>33</v>
      </c>
      <c r="C118" s="258"/>
      <c r="D118" s="212"/>
      <c r="E118" s="213" t="s">
        <v>174</v>
      </c>
      <c r="F118" s="214"/>
      <c r="G118" s="215"/>
      <c r="H118" s="215"/>
      <c r="I118" s="215"/>
      <c r="J118" s="216"/>
      <c r="K118" s="217"/>
      <c r="L118" s="218"/>
      <c r="M118" s="215"/>
      <c r="N118" s="218"/>
      <c r="O118" s="216"/>
      <c r="P118" s="301"/>
    </row>
    <row r="119" spans="1:16" s="185" customFormat="1" ht="16.5" thickTop="1" thickBot="1" x14ac:dyDescent="0.3">
      <c r="A119" s="191"/>
      <c r="B119" s="192" t="s">
        <v>169</v>
      </c>
      <c r="C119" s="277"/>
      <c r="D119" s="275"/>
      <c r="E119" s="265" t="s">
        <v>66</v>
      </c>
      <c r="F119" s="276" t="s">
        <v>231</v>
      </c>
      <c r="G119" s="198"/>
      <c r="H119" s="198"/>
      <c r="I119" s="198"/>
      <c r="J119" s="199"/>
      <c r="K119" s="190" t="s">
        <v>72</v>
      </c>
      <c r="L119" s="203"/>
      <c r="M119" s="198"/>
      <c r="N119" s="203"/>
      <c r="O119" s="199"/>
      <c r="P119" s="302"/>
    </row>
    <row r="120" spans="1:16" ht="15.75" thickTop="1" x14ac:dyDescent="0.25">
      <c r="A120" s="191">
        <v>41499.705324074072</v>
      </c>
      <c r="B120" s="205" t="s">
        <v>101</v>
      </c>
      <c r="C120" s="233"/>
      <c r="D120" s="206"/>
      <c r="E120" s="231" t="s">
        <v>170</v>
      </c>
      <c r="F120" s="303" t="s">
        <v>150</v>
      </c>
      <c r="G120" s="304" t="str">
        <f>K119</f>
        <v>ADSKfrSF</v>
      </c>
      <c r="H120" s="305" t="s">
        <v>149</v>
      </c>
      <c r="J120" s="251"/>
      <c r="K120" s="305" t="str">
        <f>H120</f>
        <v>A_SN_1</v>
      </c>
      <c r="L120" s="56" t="str">
        <f>K119</f>
        <v>ADSKfrSF</v>
      </c>
      <c r="N120" s="203"/>
      <c r="O120" s="251"/>
      <c r="P120" s="306"/>
    </row>
    <row r="121" spans="1:16" x14ac:dyDescent="0.25">
      <c r="A121" s="191">
        <v>41502.225694444445</v>
      </c>
      <c r="B121" s="205" t="s">
        <v>73</v>
      </c>
      <c r="C121" s="233" t="str">
        <f>B120</f>
        <v>Adapt</v>
      </c>
      <c r="D121" s="206"/>
      <c r="E121" s="231" t="s">
        <v>170</v>
      </c>
      <c r="F121" s="307"/>
      <c r="G121" s="203"/>
      <c r="H121" s="210"/>
      <c r="I121" s="210"/>
      <c r="J121" s="251"/>
      <c r="K121" s="56" t="str">
        <f>L120</f>
        <v>ADSKfrSF</v>
      </c>
      <c r="L121" s="305" t="s">
        <v>151</v>
      </c>
      <c r="M121" s="305" t="s">
        <v>154</v>
      </c>
      <c r="N121" s="203"/>
      <c r="O121" s="251"/>
      <c r="P121" s="306"/>
    </row>
    <row r="122" spans="1:16" s="185" customFormat="1" x14ac:dyDescent="0.25">
      <c r="A122" s="253"/>
      <c r="B122" s="194" t="s">
        <v>194</v>
      </c>
      <c r="C122" s="267"/>
      <c r="D122" s="194"/>
      <c r="E122" s="195" t="s">
        <v>174</v>
      </c>
      <c r="F122" s="262" t="s">
        <v>170</v>
      </c>
      <c r="G122" s="202"/>
      <c r="H122" s="198"/>
      <c r="I122" s="198"/>
      <c r="J122" s="199"/>
      <c r="K122" s="200"/>
      <c r="L122" s="203"/>
      <c r="M122" s="198"/>
      <c r="N122" s="203"/>
      <c r="O122" s="199"/>
      <c r="P122" s="302"/>
    </row>
    <row r="123" spans="1:16" s="185" customFormat="1" x14ac:dyDescent="0.25">
      <c r="A123" s="253"/>
      <c r="B123" s="256" t="s">
        <v>136</v>
      </c>
      <c r="C123" s="279" t="str">
        <f>B120</f>
        <v>Adapt</v>
      </c>
      <c r="D123" s="194"/>
      <c r="E123" s="195" t="s">
        <v>174</v>
      </c>
      <c r="F123" s="307" t="str">
        <f>M121</f>
        <v>A_SN_3</v>
      </c>
      <c r="G123" s="203" t="s">
        <v>205</v>
      </c>
      <c r="H123" s="308" t="s">
        <v>229</v>
      </c>
      <c r="I123" s="308" t="s">
        <v>230</v>
      </c>
      <c r="J123" s="199"/>
      <c r="K123" s="307" t="str">
        <f>F123</f>
        <v>A_SN_3</v>
      </c>
      <c r="M123" s="198"/>
      <c r="N123" s="203"/>
      <c r="O123" s="199"/>
      <c r="P123" s="306"/>
    </row>
    <row r="124" spans="1:16" s="219" customFormat="1" ht="15.75" thickBot="1" x14ac:dyDescent="0.3">
      <c r="A124" s="257"/>
      <c r="B124" s="212" t="s">
        <v>33</v>
      </c>
      <c r="C124" s="258"/>
      <c r="D124" s="212"/>
      <c r="E124" s="213" t="s">
        <v>174</v>
      </c>
      <c r="F124" s="214"/>
      <c r="G124" s="215"/>
      <c r="H124" s="215"/>
      <c r="I124" s="215"/>
      <c r="J124" s="216"/>
      <c r="K124" s="217"/>
      <c r="L124" s="218"/>
      <c r="M124" s="215"/>
      <c r="N124" s="218"/>
      <c r="O124" s="216"/>
      <c r="P124" s="309"/>
    </row>
    <row r="125" spans="1:16" s="312" customFormat="1" ht="16.5" thickTop="1" thickBot="1" x14ac:dyDescent="0.3">
      <c r="A125" s="242">
        <v>41201.045671296299</v>
      </c>
      <c r="B125" s="243" t="s">
        <v>169</v>
      </c>
      <c r="C125" s="244"/>
      <c r="D125" s="245"/>
      <c r="E125" s="310" t="s">
        <v>66</v>
      </c>
      <c r="F125" s="311" t="s">
        <v>232</v>
      </c>
      <c r="G125" s="245"/>
      <c r="H125" s="245"/>
      <c r="I125" s="245"/>
      <c r="J125" s="248"/>
      <c r="K125" s="271" t="str">
        <f>K15</f>
        <v>Платежи</v>
      </c>
      <c r="L125" s="250"/>
      <c r="M125" s="245"/>
      <c r="N125" s="250"/>
      <c r="O125" s="248"/>
    </row>
    <row r="126" spans="1:16" s="185" customFormat="1" ht="16.5" thickTop="1" thickBot="1" x14ac:dyDescent="0.3">
      <c r="A126" s="191">
        <v>41289.96565972222</v>
      </c>
      <c r="B126" s="205" t="s">
        <v>233</v>
      </c>
      <c r="C126" s="313"/>
      <c r="D126" s="194"/>
      <c r="E126" s="209" t="s">
        <v>170</v>
      </c>
      <c r="F126" s="200" t="str">
        <f>F96</f>
        <v>HANDL_NewContract</v>
      </c>
      <c r="G126" s="314" t="str">
        <f>F125</f>
        <v>WP_PaidOpp</v>
      </c>
      <c r="H126" s="314" t="str">
        <f>B132</f>
        <v>WP_Paid</v>
      </c>
      <c r="I126" s="315">
        <v>7</v>
      </c>
      <c r="J126" s="199"/>
      <c r="K126" s="200"/>
      <c r="L126" s="203"/>
      <c r="M126" s="198"/>
      <c r="N126" s="203"/>
      <c r="O126" s="199"/>
    </row>
    <row r="127" spans="1:16" s="185" customFormat="1" x14ac:dyDescent="0.25">
      <c r="A127" s="191">
        <v>41289.96565972222</v>
      </c>
      <c r="B127" s="192" t="s">
        <v>234</v>
      </c>
      <c r="C127" s="288" t="str">
        <f>B126</f>
        <v>ProcReset</v>
      </c>
      <c r="D127" s="194"/>
      <c r="E127" s="195" t="s">
        <v>170</v>
      </c>
      <c r="F127" s="316">
        <f>C99</f>
        <v>4</v>
      </c>
      <c r="G127" s="202"/>
      <c r="H127" s="198"/>
      <c r="I127" s="198"/>
      <c r="J127" s="199"/>
      <c r="K127" s="200"/>
      <c r="L127" s="203"/>
      <c r="M127" s="198"/>
      <c r="N127" s="203"/>
      <c r="O127" s="199"/>
    </row>
    <row r="128" spans="1:16" s="185" customFormat="1" x14ac:dyDescent="0.25">
      <c r="A128" s="191">
        <v>41289.965682870374</v>
      </c>
      <c r="B128" s="205" t="s">
        <v>233</v>
      </c>
      <c r="C128" s="313"/>
      <c r="D128" s="194"/>
      <c r="E128" s="209" t="s">
        <v>170</v>
      </c>
      <c r="F128" s="200" t="str">
        <f>F92</f>
        <v>HANDL_PaidContr</v>
      </c>
      <c r="G128" s="202"/>
      <c r="H128" s="198"/>
      <c r="I128" s="198"/>
      <c r="J128" s="199"/>
      <c r="K128" s="200"/>
      <c r="L128" s="203"/>
      <c r="M128" s="198"/>
      <c r="N128" s="203"/>
      <c r="O128" s="199"/>
    </row>
    <row r="129" spans="1:15" s="185" customFormat="1" x14ac:dyDescent="0.25">
      <c r="A129" s="253"/>
      <c r="B129" s="194" t="s">
        <v>234</v>
      </c>
      <c r="C129" s="279" t="str">
        <f>B127</f>
        <v>CheckProc0</v>
      </c>
      <c r="D129" s="194"/>
      <c r="E129" s="195" t="s">
        <v>174</v>
      </c>
      <c r="F129" s="317">
        <f>C95</f>
        <v>17</v>
      </c>
      <c r="G129" s="202"/>
      <c r="H129" s="198"/>
      <c r="I129" s="198"/>
      <c r="J129" s="199"/>
      <c r="K129" s="200"/>
      <c r="L129" s="203"/>
      <c r="M129" s="198"/>
      <c r="N129" s="203"/>
      <c r="O129" s="199"/>
    </row>
    <row r="130" spans="1:15" s="185" customFormat="1" x14ac:dyDescent="0.25">
      <c r="A130" s="253"/>
      <c r="B130" s="194" t="s">
        <v>203</v>
      </c>
      <c r="C130" s="274"/>
      <c r="D130" s="275"/>
      <c r="E130" s="195" t="s">
        <v>174</v>
      </c>
      <c r="F130" s="278" t="s">
        <v>140</v>
      </c>
      <c r="G130" s="198"/>
      <c r="H130" s="198"/>
      <c r="I130" s="198"/>
      <c r="J130" s="199"/>
      <c r="K130" s="278" t="str">
        <f>F130</f>
        <v>NewOpp</v>
      </c>
      <c r="L130" s="203"/>
      <c r="M130" s="198"/>
      <c r="N130" s="203"/>
      <c r="O130" s="199"/>
    </row>
    <row r="131" spans="1:15" s="185" customFormat="1" x14ac:dyDescent="0.25">
      <c r="A131" s="253"/>
      <c r="B131" s="194" t="s">
        <v>203</v>
      </c>
      <c r="C131" s="274"/>
      <c r="D131" s="275"/>
      <c r="E131" s="195" t="s">
        <v>174</v>
      </c>
      <c r="F131" s="278" t="s">
        <v>135</v>
      </c>
      <c r="G131" s="198"/>
      <c r="H131" s="198"/>
      <c r="I131" s="198"/>
      <c r="J131" s="199"/>
      <c r="K131" s="278" t="str">
        <f>F131</f>
        <v>NewPayment</v>
      </c>
      <c r="L131" s="203"/>
      <c r="M131" s="198"/>
      <c r="N131" s="203"/>
      <c r="O131" s="199"/>
    </row>
    <row r="132" spans="1:15" s="185" customFormat="1" ht="15.75" thickBot="1" x14ac:dyDescent="0.3">
      <c r="A132" s="318"/>
      <c r="B132" s="319" t="s">
        <v>235</v>
      </c>
      <c r="C132" s="320" t="str">
        <f>B127</f>
        <v>CheckProc0</v>
      </c>
      <c r="D132" s="319"/>
      <c r="E132" s="321" t="s">
        <v>174</v>
      </c>
      <c r="F132" s="322" t="s">
        <v>236</v>
      </c>
      <c r="G132" s="323" t="s">
        <v>174</v>
      </c>
      <c r="H132" s="324"/>
      <c r="I132" s="324"/>
      <c r="J132" s="325"/>
      <c r="K132" s="326" t="str">
        <f>K125</f>
        <v>Платежи</v>
      </c>
      <c r="L132" s="327" t="s">
        <v>69</v>
      </c>
      <c r="M132" s="327" t="s">
        <v>65</v>
      </c>
      <c r="N132" s="327" t="s">
        <v>63</v>
      </c>
      <c r="O132" s="325"/>
    </row>
    <row r="133" spans="1:15" s="185" customFormat="1" ht="15.75" thickTop="1" x14ac:dyDescent="0.25">
      <c r="A133" s="253"/>
      <c r="B133" s="256" t="s">
        <v>136</v>
      </c>
      <c r="C133" s="279" t="str">
        <f>B132</f>
        <v>WP_Paid</v>
      </c>
      <c r="D133" s="194"/>
      <c r="E133" s="195" t="s">
        <v>174</v>
      </c>
      <c r="F133" s="278" t="s">
        <v>140</v>
      </c>
      <c r="G133" s="203" t="s">
        <v>205</v>
      </c>
      <c r="H133" s="210" t="s">
        <v>220</v>
      </c>
      <c r="I133" s="210" t="s">
        <v>221</v>
      </c>
      <c r="J133" s="199"/>
      <c r="K133" s="278" t="str">
        <f>F133</f>
        <v>NewOpp</v>
      </c>
      <c r="L133" s="203"/>
      <c r="M133" s="198"/>
      <c r="N133" s="203"/>
      <c r="O133" s="199"/>
    </row>
    <row r="134" spans="1:15" s="185" customFormat="1" x14ac:dyDescent="0.25">
      <c r="A134" s="253"/>
      <c r="B134" s="256" t="s">
        <v>136</v>
      </c>
      <c r="C134" s="279" t="str">
        <f>B132</f>
        <v>WP_Paid</v>
      </c>
      <c r="D134" s="194"/>
      <c r="E134" s="195" t="s">
        <v>174</v>
      </c>
      <c r="F134" s="278" t="s">
        <v>135</v>
      </c>
      <c r="G134" s="203" t="s">
        <v>205</v>
      </c>
      <c r="H134" s="210" t="s">
        <v>206</v>
      </c>
      <c r="I134" s="210" t="s">
        <v>207</v>
      </c>
      <c r="J134" s="199"/>
      <c r="K134" s="278" t="str">
        <f>F134</f>
        <v>NewPayment</v>
      </c>
      <c r="L134" s="203"/>
      <c r="M134" s="198"/>
      <c r="N134" s="203"/>
      <c r="O134" s="199"/>
    </row>
    <row r="135" spans="1:15" s="188" customFormat="1" x14ac:dyDescent="0.25">
      <c r="A135" s="328"/>
      <c r="B135" s="256" t="s">
        <v>33</v>
      </c>
      <c r="C135" s="329">
        <v>0</v>
      </c>
      <c r="D135" s="256"/>
      <c r="E135" s="207" t="s">
        <v>174</v>
      </c>
      <c r="F135" s="330"/>
      <c r="G135" s="198"/>
      <c r="H135" s="198"/>
      <c r="I135" s="198"/>
      <c r="J135" s="199"/>
      <c r="K135" s="200"/>
      <c r="L135" s="203"/>
      <c r="M135" s="198"/>
      <c r="N135" s="203"/>
      <c r="O135" s="199"/>
    </row>
    <row r="136" spans="1:15" s="334" customFormat="1" ht="15.75" thickBot="1" x14ac:dyDescent="0.3">
      <c r="A136" s="259">
        <v>41201.045671296299</v>
      </c>
      <c r="B136" s="260" t="s">
        <v>169</v>
      </c>
      <c r="C136" s="261"/>
      <c r="D136" s="222"/>
      <c r="E136" s="331" t="s">
        <v>66</v>
      </c>
      <c r="F136" s="332" t="s">
        <v>237</v>
      </c>
      <c r="G136" s="222"/>
      <c r="H136" s="222"/>
      <c r="I136" s="222"/>
      <c r="J136" s="225"/>
      <c r="K136" s="333" t="s">
        <v>32</v>
      </c>
      <c r="L136" s="227"/>
      <c r="M136" s="222"/>
      <c r="N136" s="227"/>
      <c r="O136" s="225"/>
    </row>
    <row r="137" spans="1:15" s="185" customFormat="1" ht="15.75" thickTop="1" x14ac:dyDescent="0.25">
      <c r="A137" s="191">
        <v>41218.822870370372</v>
      </c>
      <c r="B137" s="192" t="s">
        <v>203</v>
      </c>
      <c r="C137" s="277"/>
      <c r="D137" s="275"/>
      <c r="E137" s="195"/>
      <c r="F137" s="278" t="s">
        <v>142</v>
      </c>
      <c r="G137" s="198"/>
      <c r="H137" s="198"/>
      <c r="I137" s="198"/>
      <c r="J137" s="199"/>
      <c r="K137" s="278" t="str">
        <f>F137</f>
        <v>NewAcc</v>
      </c>
      <c r="L137" s="203"/>
      <c r="M137" s="198"/>
      <c r="N137" s="203"/>
      <c r="O137" s="199"/>
    </row>
    <row r="138" spans="1:15" s="185" customFormat="1" x14ac:dyDescent="0.25">
      <c r="A138" s="191"/>
      <c r="B138" s="192" t="s">
        <v>238</v>
      </c>
      <c r="C138" s="279" t="str">
        <f>B137</f>
        <v>NewSheet</v>
      </c>
      <c r="D138" s="275"/>
      <c r="E138" s="195"/>
      <c r="F138" s="335"/>
      <c r="G138" s="198"/>
      <c r="H138" s="198"/>
      <c r="I138" s="198"/>
      <c r="J138" s="199"/>
      <c r="K138" s="278"/>
      <c r="L138" s="203"/>
      <c r="M138" s="198"/>
      <c r="N138" s="203"/>
      <c r="O138" s="199"/>
    </row>
    <row r="139" spans="1:15" s="185" customFormat="1" x14ac:dyDescent="0.25">
      <c r="A139" s="253"/>
      <c r="B139" s="194" t="s">
        <v>194</v>
      </c>
      <c r="C139" s="267"/>
      <c r="D139" s="194"/>
      <c r="E139" s="195" t="s">
        <v>174</v>
      </c>
      <c r="F139" s="262" t="s">
        <v>66</v>
      </c>
      <c r="G139" s="202" t="s">
        <v>195</v>
      </c>
      <c r="H139" s="198"/>
      <c r="I139" s="198"/>
      <c r="J139" s="199"/>
      <c r="K139" s="200"/>
      <c r="L139" s="203"/>
      <c r="M139" s="198"/>
      <c r="N139" s="203"/>
      <c r="O139" s="199"/>
    </row>
    <row r="140" spans="1:15" s="185" customFormat="1" ht="15.75" thickBot="1" x14ac:dyDescent="0.3">
      <c r="A140" s="318">
        <v>41218.824293981481</v>
      </c>
      <c r="B140" s="319" t="s">
        <v>235</v>
      </c>
      <c r="C140" s="320" t="str">
        <f>B138</f>
        <v>SFaccDicBuild</v>
      </c>
      <c r="D140" s="319"/>
      <c r="E140" s="321" t="s">
        <v>174</v>
      </c>
      <c r="F140" s="322" t="s">
        <v>239</v>
      </c>
      <c r="G140" s="336"/>
      <c r="H140" s="324"/>
      <c r="I140" s="324"/>
      <c r="J140" s="325"/>
      <c r="K140" s="326" t="str">
        <f>K136</f>
        <v>Платежи</v>
      </c>
      <c r="L140" s="327">
        <v>0</v>
      </c>
      <c r="M140" s="327">
        <v>0</v>
      </c>
      <c r="N140" s="327">
        <v>0</v>
      </c>
      <c r="O140" s="325"/>
    </row>
    <row r="141" spans="1:15" s="185" customFormat="1" ht="15.75" thickTop="1" x14ac:dyDescent="0.25">
      <c r="A141" s="253">
        <v>41218.824293981481</v>
      </c>
      <c r="B141" s="256" t="s">
        <v>136</v>
      </c>
      <c r="C141" s="279" t="str">
        <f>B140</f>
        <v>WP_Paid</v>
      </c>
      <c r="D141" s="194"/>
      <c r="E141" s="195" t="s">
        <v>174</v>
      </c>
      <c r="F141" s="278" t="str">
        <f>F137</f>
        <v>NewAcc</v>
      </c>
      <c r="G141" s="203" t="s">
        <v>205</v>
      </c>
      <c r="H141" s="210" t="s">
        <v>220</v>
      </c>
      <c r="I141" s="210" t="s">
        <v>221</v>
      </c>
      <c r="J141" s="199"/>
      <c r="K141" s="278" t="str">
        <f>F141</f>
        <v>NewAcc</v>
      </c>
      <c r="L141" s="203"/>
      <c r="M141" s="198"/>
      <c r="N141" s="203"/>
      <c r="O141" s="199"/>
    </row>
    <row r="142" spans="1:15" s="219" customFormat="1" x14ac:dyDescent="0.25">
      <c r="A142" s="257"/>
      <c r="B142" s="212" t="s">
        <v>33</v>
      </c>
      <c r="C142" s="258">
        <v>5</v>
      </c>
      <c r="D142" s="212"/>
      <c r="E142" s="213" t="s">
        <v>174</v>
      </c>
      <c r="F142" s="214"/>
      <c r="G142" s="215"/>
      <c r="H142" s="215"/>
      <c r="I142" s="215"/>
      <c r="J142" s="216"/>
      <c r="K142" s="217"/>
      <c r="L142" s="218"/>
      <c r="M142" s="215"/>
      <c r="N142" s="218"/>
      <c r="O142" s="216"/>
    </row>
    <row r="143" spans="1:15" s="185" customFormat="1" x14ac:dyDescent="0.25">
      <c r="A143" s="253"/>
      <c r="B143" s="194" t="s">
        <v>169</v>
      </c>
      <c r="C143" s="274"/>
      <c r="D143" s="275"/>
      <c r="E143" s="195" t="s">
        <v>174</v>
      </c>
      <c r="F143" s="276" t="s">
        <v>240</v>
      </c>
      <c r="G143" s="198"/>
      <c r="H143" s="198"/>
      <c r="I143" s="198"/>
      <c r="J143" s="199"/>
      <c r="K143" s="190" t="s">
        <v>32</v>
      </c>
      <c r="L143" s="203"/>
      <c r="M143" s="198"/>
      <c r="N143" s="203"/>
      <c r="O143" s="199"/>
    </row>
    <row r="144" spans="1:15" s="185" customFormat="1" x14ac:dyDescent="0.25">
      <c r="A144" s="272"/>
      <c r="B144" s="194" t="s">
        <v>194</v>
      </c>
      <c r="C144" s="267"/>
      <c r="D144" s="194"/>
      <c r="E144" s="195"/>
      <c r="F144" s="262" t="s">
        <v>170</v>
      </c>
      <c r="G144" s="202"/>
      <c r="H144" s="198"/>
      <c r="I144" s="198"/>
      <c r="J144" s="199"/>
      <c r="K144" s="200"/>
      <c r="L144" s="203"/>
      <c r="M144" s="198"/>
      <c r="N144" s="203"/>
      <c r="O144" s="199"/>
    </row>
    <row r="145" spans="1:15" ht="30" x14ac:dyDescent="0.25">
      <c r="A145" s="272"/>
      <c r="B145" s="256" t="s">
        <v>241</v>
      </c>
      <c r="C145" s="254" t="s">
        <v>197</v>
      </c>
      <c r="D145" s="206"/>
      <c r="E145" s="231" t="s">
        <v>174</v>
      </c>
      <c r="F145" s="200"/>
      <c r="G145" s="203"/>
      <c r="H145" s="210"/>
      <c r="I145" s="210"/>
      <c r="J145" s="251"/>
      <c r="K145" s="252" t="s">
        <v>32</v>
      </c>
      <c r="L145" s="210" t="s">
        <v>65</v>
      </c>
      <c r="M145" s="210"/>
      <c r="N145" s="210"/>
      <c r="O145" s="251"/>
    </row>
    <row r="146" spans="1:15" s="219" customFormat="1" x14ac:dyDescent="0.25">
      <c r="A146" s="257"/>
      <c r="B146" s="212" t="s">
        <v>33</v>
      </c>
      <c r="C146" s="258"/>
      <c r="D146" s="212"/>
      <c r="E146" s="213" t="s">
        <v>174</v>
      </c>
      <c r="F146" s="214"/>
      <c r="G146" s="215"/>
      <c r="H146" s="215"/>
      <c r="I146" s="215"/>
      <c r="J146" s="216"/>
      <c r="K146" s="217"/>
      <c r="L146" s="218"/>
      <c r="M146" s="215"/>
      <c r="N146" s="218"/>
      <c r="O146" s="216"/>
    </row>
    <row r="147" spans="1:15" s="22" customFormat="1" x14ac:dyDescent="0.25">
      <c r="A147" s="337"/>
      <c r="B147" s="338" t="s">
        <v>119</v>
      </c>
      <c r="C147" s="339" t="s">
        <v>120</v>
      </c>
      <c r="D147" s="260"/>
      <c r="E147" s="340"/>
      <c r="F147" s="341"/>
      <c r="G147" s="342"/>
      <c r="H147" s="342"/>
      <c r="I147" s="342"/>
      <c r="J147" s="343"/>
      <c r="K147" s="341" t="s">
        <v>242</v>
      </c>
      <c r="L147" s="342"/>
      <c r="M147" s="342"/>
      <c r="N147" s="342"/>
      <c r="O147" s="343"/>
    </row>
    <row r="148" spans="1:15" x14ac:dyDescent="0.25">
      <c r="A148" s="344"/>
      <c r="B148" s="345">
        <v>1043</v>
      </c>
      <c r="C148" s="346"/>
      <c r="D148" s="206"/>
      <c r="E148" s="195"/>
      <c r="F148" s="255"/>
      <c r="G148" s="210"/>
      <c r="H148" s="210"/>
      <c r="I148" s="210"/>
      <c r="J148" s="211"/>
      <c r="K148" s="255" t="s">
        <v>242</v>
      </c>
      <c r="L148" s="210"/>
      <c r="M148" s="210"/>
      <c r="N148" s="210"/>
      <c r="O148" s="211"/>
    </row>
    <row r="149" spans="1:15" s="22" customFormat="1" ht="15.75" thickBot="1" x14ac:dyDescent="0.3">
      <c r="A149" s="75"/>
      <c r="B149" s="347" t="s">
        <v>119</v>
      </c>
      <c r="C149" s="348" t="s">
        <v>120</v>
      </c>
      <c r="D149" s="72"/>
      <c r="E149" s="349"/>
      <c r="F149" s="350"/>
      <c r="G149" s="351"/>
      <c r="H149" s="351"/>
      <c r="I149" s="351"/>
      <c r="J149" s="352"/>
      <c r="K149" s="350" t="s">
        <v>121</v>
      </c>
      <c r="L149" s="351"/>
      <c r="M149" s="351"/>
      <c r="N149" s="351"/>
      <c r="O149" s="352"/>
    </row>
    <row r="150" spans="1:15" x14ac:dyDescent="0.25">
      <c r="A150" s="41"/>
    </row>
    <row r="151" spans="1:15" s="185" customFormat="1" x14ac:dyDescent="0.25">
      <c r="A151" s="253"/>
      <c r="B151" s="194" t="s">
        <v>194</v>
      </c>
      <c r="C151" s="267"/>
      <c r="D151" s="194"/>
      <c r="E151" s="195" t="s">
        <v>174</v>
      </c>
      <c r="F151" s="262" t="s">
        <v>66</v>
      </c>
      <c r="G151" s="202" t="s">
        <v>195</v>
      </c>
      <c r="H151" s="198"/>
      <c r="I151" s="198"/>
      <c r="J151" s="199"/>
      <c r="K151" s="200"/>
      <c r="L151" s="203"/>
      <c r="M151" s="198"/>
      <c r="N151" s="203"/>
      <c r="O151" s="199"/>
    </row>
    <row r="153" spans="1:15" ht="45" outlineLevel="1" x14ac:dyDescent="0.25">
      <c r="A153" s="253">
        <v>41217.705717592595</v>
      </c>
      <c r="B153" s="194" t="s">
        <v>243</v>
      </c>
      <c r="C153" s="254" t="s">
        <v>244</v>
      </c>
      <c r="D153" s="210"/>
      <c r="E153" s="231" t="s">
        <v>174</v>
      </c>
      <c r="F153" s="262" t="s">
        <v>63</v>
      </c>
      <c r="G153" s="203" t="s">
        <v>41</v>
      </c>
      <c r="H153" s="202" t="s">
        <v>166</v>
      </c>
      <c r="I153" s="202" t="s">
        <v>187</v>
      </c>
      <c r="J153" s="251"/>
      <c r="L153" s="201" t="s">
        <v>63</v>
      </c>
      <c r="M153" s="210"/>
      <c r="N153" s="210"/>
      <c r="O153" s="251"/>
    </row>
    <row r="156" spans="1:15" s="32" customFormat="1" outlineLevel="1" x14ac:dyDescent="0.25">
      <c r="A156" s="253">
        <v>41217.684374999997</v>
      </c>
      <c r="B156" s="194" t="s">
        <v>85</v>
      </c>
      <c r="C156" s="254" t="s">
        <v>67</v>
      </c>
      <c r="D156" s="194"/>
      <c r="E156" s="195" t="s">
        <v>174</v>
      </c>
      <c r="F156" s="196" t="s">
        <v>175</v>
      </c>
      <c r="G156" s="197" t="s">
        <v>176</v>
      </c>
      <c r="H156" s="198"/>
      <c r="I156" s="198"/>
      <c r="J156" s="211"/>
      <c r="K156" s="200">
        <v>0</v>
      </c>
      <c r="L156" s="201" t="s">
        <v>69</v>
      </c>
      <c r="M156" s="201" t="s">
        <v>63</v>
      </c>
      <c r="N156" s="210"/>
      <c r="O156" s="211"/>
    </row>
    <row r="159" spans="1:15" s="32" customFormat="1" outlineLevel="1" x14ac:dyDescent="0.25">
      <c r="A159" s="253">
        <v>41227.065937500003</v>
      </c>
      <c r="B159" s="194" t="s">
        <v>245</v>
      </c>
      <c r="C159" s="263" t="str">
        <f>B69</f>
        <v>InsMyCol</v>
      </c>
      <c r="D159" s="194"/>
      <c r="E159" s="195" t="s">
        <v>174</v>
      </c>
      <c r="F159" s="262" t="s">
        <v>187</v>
      </c>
      <c r="G159" s="202" t="s">
        <v>60</v>
      </c>
      <c r="H159" s="202" t="s">
        <v>246</v>
      </c>
      <c r="I159" s="202" t="s">
        <v>247</v>
      </c>
      <c r="J159" s="264"/>
      <c r="K159" s="266" t="str">
        <f>K67</f>
        <v>Склад</v>
      </c>
      <c r="L159" s="203" t="s">
        <v>32</v>
      </c>
      <c r="M159" s="210"/>
      <c r="N159" s="185"/>
      <c r="O159" s="199"/>
    </row>
  </sheetData>
  <autoFilter ref="A4:O149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355" customWidth="1"/>
    <col min="2" max="2" width="20.85546875" style="359" customWidth="1"/>
    <col min="3" max="3" width="30.28515625" style="355" customWidth="1"/>
    <col min="4" max="4" width="17.5703125" style="355" customWidth="1"/>
    <col min="5" max="5" width="32.7109375" style="355" customWidth="1"/>
    <col min="6" max="6" width="22.85546875" style="356" customWidth="1"/>
    <col min="7" max="7" width="16.28515625" style="357" hidden="1" customWidth="1"/>
    <col min="8" max="10" width="0" style="355" hidden="1" customWidth="1"/>
    <col min="11" max="11" width="13" style="355" hidden="1" customWidth="1"/>
    <col min="12" max="12" width="0" style="355" hidden="1" customWidth="1"/>
    <col min="13" max="13" width="19.42578125" style="355" customWidth="1"/>
    <col min="14" max="15" width="18.42578125" style="355" customWidth="1"/>
    <col min="16" max="16" width="19.140625" style="355" customWidth="1"/>
    <col min="17" max="16384" width="9.140625" style="355"/>
  </cols>
  <sheetData>
    <row r="1" spans="1:7" x14ac:dyDescent="0.25">
      <c r="A1" s="353" t="s">
        <v>248</v>
      </c>
      <c r="B1" s="354" t="s">
        <v>249</v>
      </c>
    </row>
    <row r="2" spans="1:7" x14ac:dyDescent="0.25">
      <c r="A2" s="358" t="s">
        <v>250</v>
      </c>
      <c r="B2" s="359" t="s">
        <v>251</v>
      </c>
    </row>
    <row r="3" spans="1:7" x14ac:dyDescent="0.25">
      <c r="A3" s="358" t="s">
        <v>252</v>
      </c>
      <c r="B3" s="360" t="s">
        <v>253</v>
      </c>
      <c r="C3" s="361" t="s">
        <v>254</v>
      </c>
    </row>
    <row r="4" spans="1:7" x14ac:dyDescent="0.25">
      <c r="A4" s="358" t="s">
        <v>255</v>
      </c>
      <c r="B4" s="359" t="s">
        <v>256</v>
      </c>
    </row>
    <row r="5" spans="1:7" x14ac:dyDescent="0.25">
      <c r="A5" s="361" t="s">
        <v>257</v>
      </c>
      <c r="B5" s="360" t="s">
        <v>258</v>
      </c>
    </row>
    <row r="6" spans="1:7" x14ac:dyDescent="0.25">
      <c r="A6" s="361" t="s">
        <v>259</v>
      </c>
      <c r="B6" s="360" t="s">
        <v>260</v>
      </c>
    </row>
    <row r="7" spans="1:7" x14ac:dyDescent="0.25">
      <c r="A7" s="361"/>
      <c r="B7" s="362"/>
    </row>
    <row r="8" spans="1:7" x14ac:dyDescent="0.25">
      <c r="A8" s="361" t="s">
        <v>261</v>
      </c>
      <c r="B8" s="362"/>
    </row>
    <row r="9" spans="1:7" x14ac:dyDescent="0.25">
      <c r="A9" s="353" t="s">
        <v>262</v>
      </c>
      <c r="B9" s="354" t="s">
        <v>263</v>
      </c>
    </row>
    <row r="10" spans="1:7" x14ac:dyDescent="0.25">
      <c r="A10" s="358" t="s">
        <v>264</v>
      </c>
      <c r="B10" s="359" t="s">
        <v>265</v>
      </c>
    </row>
    <row r="11" spans="1:7" x14ac:dyDescent="0.25">
      <c r="A11" s="358" t="s">
        <v>266</v>
      </c>
      <c r="B11" s="359" t="s">
        <v>267</v>
      </c>
    </row>
    <row r="12" spans="1:7" x14ac:dyDescent="0.25">
      <c r="A12" s="358" t="s">
        <v>268</v>
      </c>
      <c r="B12" s="359" t="s">
        <v>265</v>
      </c>
    </row>
    <row r="13" spans="1:7" x14ac:dyDescent="0.25">
      <c r="A13" s="361" t="s">
        <v>269</v>
      </c>
      <c r="B13" s="360" t="s">
        <v>270</v>
      </c>
    </row>
    <row r="14" spans="1:7" x14ac:dyDescent="0.25">
      <c r="A14" s="361" t="s">
        <v>271</v>
      </c>
      <c r="B14" s="360" t="s">
        <v>272</v>
      </c>
    </row>
    <row r="15" spans="1:7" x14ac:dyDescent="0.25">
      <c r="A15" s="361"/>
      <c r="B15" s="362"/>
    </row>
    <row r="16" spans="1:7" x14ac:dyDescent="0.25">
      <c r="A16" s="363" t="s">
        <v>273</v>
      </c>
      <c r="B16" s="354" t="s">
        <v>274</v>
      </c>
      <c r="C16" s="363" t="s">
        <v>275</v>
      </c>
      <c r="D16" s="363" t="s">
        <v>276</v>
      </c>
      <c r="E16" s="363" t="s">
        <v>277</v>
      </c>
      <c r="F16" s="364" t="s">
        <v>278</v>
      </c>
      <c r="G16" s="365" t="s">
        <v>279</v>
      </c>
    </row>
    <row r="17" spans="1:7" x14ac:dyDescent="0.25">
      <c r="A17" s="366" t="s">
        <v>280</v>
      </c>
      <c r="B17" s="367" t="s">
        <v>281</v>
      </c>
      <c r="C17" s="368" t="s">
        <v>282</v>
      </c>
      <c r="D17" s="369" t="s">
        <v>283</v>
      </c>
      <c r="E17" s="370" t="s">
        <v>284</v>
      </c>
      <c r="F17" s="371" t="s">
        <v>285</v>
      </c>
      <c r="G17" s="357">
        <v>0</v>
      </c>
    </row>
    <row r="18" spans="1:7" ht="50.25" customHeight="1" x14ac:dyDescent="0.25">
      <c r="A18" s="372" t="s">
        <v>286</v>
      </c>
      <c r="B18" s="373" t="s">
        <v>287</v>
      </c>
      <c r="C18" s="374" t="s">
        <v>288</v>
      </c>
      <c r="D18" s="369" t="s">
        <v>289</v>
      </c>
      <c r="E18" s="375" t="s">
        <v>290</v>
      </c>
      <c r="F18" s="376" t="s">
        <v>291</v>
      </c>
      <c r="G18" s="377">
        <v>0</v>
      </c>
    </row>
    <row r="19" spans="1:7" x14ac:dyDescent="0.25">
      <c r="A19" s="366" t="s">
        <v>292</v>
      </c>
      <c r="B19" s="367"/>
      <c r="C19" s="368" t="s">
        <v>282</v>
      </c>
      <c r="D19" s="369" t="s">
        <v>283</v>
      </c>
      <c r="E19" s="375"/>
      <c r="F19" s="378" t="s">
        <v>293</v>
      </c>
      <c r="G19" s="377">
        <v>1</v>
      </c>
    </row>
    <row r="20" spans="1:7" x14ac:dyDescent="0.25">
      <c r="A20" s="366" t="s">
        <v>294</v>
      </c>
      <c r="B20" s="367" t="s">
        <v>295</v>
      </c>
      <c r="C20" s="368" t="s">
        <v>296</v>
      </c>
      <c r="D20" s="355" t="s">
        <v>297</v>
      </c>
      <c r="E20" s="368"/>
      <c r="F20" s="371" t="s">
        <v>298</v>
      </c>
      <c r="G20" s="357">
        <v>0</v>
      </c>
    </row>
    <row r="21" spans="1:7" x14ac:dyDescent="0.25">
      <c r="A21" s="366" t="s">
        <v>299</v>
      </c>
      <c r="B21" s="367" t="s">
        <v>300</v>
      </c>
      <c r="C21" s="368" t="s">
        <v>301</v>
      </c>
      <c r="D21" s="355" t="s">
        <v>302</v>
      </c>
      <c r="E21" s="368"/>
      <c r="F21" s="379" t="s">
        <v>303</v>
      </c>
      <c r="G21" s="357">
        <v>0</v>
      </c>
    </row>
    <row r="22" spans="1:7" x14ac:dyDescent="0.25">
      <c r="A22" s="366" t="s">
        <v>304</v>
      </c>
      <c r="B22" s="367" t="s">
        <v>305</v>
      </c>
      <c r="C22" s="368" t="s">
        <v>306</v>
      </c>
      <c r="D22" s="355" t="s">
        <v>307</v>
      </c>
      <c r="E22" s="368" t="s">
        <v>308</v>
      </c>
      <c r="F22" s="379" t="s">
        <v>309</v>
      </c>
      <c r="G22" s="357">
        <v>0</v>
      </c>
    </row>
    <row r="23" spans="1:7" x14ac:dyDescent="0.25">
      <c r="A23" s="366" t="s">
        <v>310</v>
      </c>
      <c r="B23" s="367" t="s">
        <v>311</v>
      </c>
      <c r="C23" s="368" t="s">
        <v>312</v>
      </c>
      <c r="D23" s="355" t="s">
        <v>313</v>
      </c>
      <c r="E23" s="368" t="s">
        <v>314</v>
      </c>
      <c r="F23" s="379" t="s">
        <v>315</v>
      </c>
      <c r="G23" s="357">
        <v>0</v>
      </c>
    </row>
    <row r="24" spans="1:7" x14ac:dyDescent="0.25">
      <c r="A24" s="366" t="s">
        <v>316</v>
      </c>
      <c r="B24" s="373" t="s">
        <v>317</v>
      </c>
      <c r="C24" s="380" t="s">
        <v>318</v>
      </c>
      <c r="D24" s="370" t="s">
        <v>319</v>
      </c>
      <c r="E24" s="370"/>
      <c r="F24" s="379" t="s">
        <v>320</v>
      </c>
      <c r="G24" s="357">
        <v>0</v>
      </c>
    </row>
    <row r="25" spans="1:7" x14ac:dyDescent="0.25">
      <c r="A25" s="366" t="s">
        <v>321</v>
      </c>
      <c r="B25" s="367" t="s">
        <v>322</v>
      </c>
      <c r="C25" s="368" t="s">
        <v>323</v>
      </c>
      <c r="D25" s="355" t="s">
        <v>324</v>
      </c>
      <c r="E25" s="368" t="s">
        <v>314</v>
      </c>
      <c r="F25" s="379" t="s">
        <v>325</v>
      </c>
      <c r="G25" s="357">
        <v>0</v>
      </c>
    </row>
    <row r="26" spans="1:7" x14ac:dyDescent="0.25">
      <c r="A26" s="366" t="s">
        <v>326</v>
      </c>
      <c r="B26" s="381"/>
      <c r="C26" s="368" t="s">
        <v>327</v>
      </c>
      <c r="D26" s="355" t="s">
        <v>328</v>
      </c>
      <c r="E26" s="368"/>
      <c r="F26" s="379" t="s">
        <v>329</v>
      </c>
      <c r="G26" s="357">
        <v>0</v>
      </c>
    </row>
    <row r="27" spans="1:7" x14ac:dyDescent="0.25">
      <c r="A27" s="366" t="s">
        <v>330</v>
      </c>
      <c r="B27" s="367" t="s">
        <v>331</v>
      </c>
      <c r="C27" s="368" t="s">
        <v>332</v>
      </c>
      <c r="D27" s="355" t="s">
        <v>333</v>
      </c>
      <c r="E27" s="368" t="s">
        <v>334</v>
      </c>
      <c r="F27" s="379" t="s">
        <v>335</v>
      </c>
      <c r="G27" s="357">
        <v>0</v>
      </c>
    </row>
    <row r="28" spans="1:7" x14ac:dyDescent="0.25">
      <c r="A28" s="366" t="s">
        <v>336</v>
      </c>
      <c r="B28" s="381"/>
      <c r="C28" s="368" t="s">
        <v>337</v>
      </c>
      <c r="D28" s="355" t="s">
        <v>338</v>
      </c>
      <c r="E28" s="382" t="s">
        <v>334</v>
      </c>
      <c r="F28" s="379" t="s">
        <v>339</v>
      </c>
      <c r="G28" s="357">
        <v>0</v>
      </c>
    </row>
    <row r="29" spans="1:7" x14ac:dyDescent="0.25">
      <c r="A29" s="366" t="s">
        <v>340</v>
      </c>
      <c r="B29" s="367" t="s">
        <v>341</v>
      </c>
      <c r="C29" s="368" t="s">
        <v>342</v>
      </c>
      <c r="D29" s="370" t="s">
        <v>343</v>
      </c>
      <c r="E29" s="370" t="s">
        <v>344</v>
      </c>
      <c r="F29" s="379" t="s">
        <v>345</v>
      </c>
      <c r="G29" s="357">
        <v>0</v>
      </c>
    </row>
    <row r="30" spans="1:7" x14ac:dyDescent="0.25">
      <c r="A30" s="366" t="s">
        <v>346</v>
      </c>
      <c r="B30" s="367" t="s">
        <v>347</v>
      </c>
      <c r="C30" s="368" t="s">
        <v>314</v>
      </c>
      <c r="D30" s="355" t="s">
        <v>348</v>
      </c>
      <c r="E30" s="368" t="s">
        <v>314</v>
      </c>
      <c r="F30" s="379" t="s">
        <v>349</v>
      </c>
      <c r="G30" s="357">
        <v>0</v>
      </c>
    </row>
    <row r="31" spans="1:7" ht="30" x14ac:dyDescent="0.25">
      <c r="A31" s="372" t="s">
        <v>350</v>
      </c>
      <c r="B31" s="373" t="s">
        <v>351</v>
      </c>
      <c r="C31" s="374" t="s">
        <v>352</v>
      </c>
      <c r="D31" s="369" t="s">
        <v>353</v>
      </c>
      <c r="E31" s="375" t="s">
        <v>354</v>
      </c>
      <c r="F31" s="376" t="s">
        <v>355</v>
      </c>
      <c r="G31" s="357">
        <v>0</v>
      </c>
    </row>
    <row r="32" spans="1:7" x14ac:dyDescent="0.25">
      <c r="A32" s="366" t="s">
        <v>308</v>
      </c>
      <c r="B32" s="367" t="s">
        <v>356</v>
      </c>
      <c r="C32" s="368" t="s">
        <v>288</v>
      </c>
      <c r="D32" s="355" t="s">
        <v>289</v>
      </c>
      <c r="E32" s="368" t="s">
        <v>357</v>
      </c>
      <c r="F32" s="379" t="s">
        <v>358</v>
      </c>
      <c r="G32" s="357">
        <v>0</v>
      </c>
    </row>
    <row r="33" spans="1:17" x14ac:dyDescent="0.25">
      <c r="A33" s="366" t="s">
        <v>359</v>
      </c>
      <c r="B33" s="367" t="s">
        <v>356</v>
      </c>
      <c r="C33" s="368" t="s">
        <v>288</v>
      </c>
      <c r="D33" s="355" t="s">
        <v>289</v>
      </c>
      <c r="E33" s="370"/>
      <c r="F33" s="379" t="s">
        <v>360</v>
      </c>
      <c r="G33" s="357">
        <v>0</v>
      </c>
    </row>
    <row r="34" spans="1:17" x14ac:dyDescent="0.25">
      <c r="A34" s="366" t="s">
        <v>361</v>
      </c>
      <c r="B34" s="373" t="s">
        <v>362</v>
      </c>
      <c r="C34" s="368" t="s">
        <v>363</v>
      </c>
      <c r="D34" s="355" t="s">
        <v>364</v>
      </c>
      <c r="E34" s="370"/>
      <c r="F34" s="379" t="s">
        <v>320</v>
      </c>
      <c r="G34" s="357">
        <v>0</v>
      </c>
    </row>
    <row r="35" spans="1:17" x14ac:dyDescent="0.25">
      <c r="A35" s="366" t="s">
        <v>365</v>
      </c>
      <c r="B35" s="373" t="s">
        <v>366</v>
      </c>
      <c r="C35" s="380" t="s">
        <v>318</v>
      </c>
      <c r="D35" s="370" t="s">
        <v>319</v>
      </c>
      <c r="E35" s="370"/>
      <c r="F35" s="379" t="s">
        <v>320</v>
      </c>
      <c r="G35" s="357">
        <v>0</v>
      </c>
    </row>
    <row r="36" spans="1:17" x14ac:dyDescent="0.25">
      <c r="A36" s="366" t="s">
        <v>367</v>
      </c>
      <c r="B36" s="367" t="s">
        <v>368</v>
      </c>
      <c r="C36" s="368" t="s">
        <v>369</v>
      </c>
      <c r="D36" s="355" t="s">
        <v>370</v>
      </c>
      <c r="E36" s="370"/>
      <c r="F36" s="379" t="s">
        <v>371</v>
      </c>
      <c r="G36" s="357">
        <v>0</v>
      </c>
    </row>
    <row r="37" spans="1:17" x14ac:dyDescent="0.25">
      <c r="A37" s="366" t="s">
        <v>372</v>
      </c>
      <c r="B37" s="367" t="s">
        <v>373</v>
      </c>
      <c r="C37" s="368" t="s">
        <v>282</v>
      </c>
      <c r="D37" s="355" t="s">
        <v>283</v>
      </c>
      <c r="E37" s="370"/>
      <c r="F37" s="379" t="s">
        <v>374</v>
      </c>
      <c r="G37" s="357">
        <v>1</v>
      </c>
    </row>
    <row r="38" spans="1:17" x14ac:dyDescent="0.25">
      <c r="A38" s="366" t="s">
        <v>375</v>
      </c>
      <c r="B38" s="367" t="s">
        <v>376</v>
      </c>
      <c r="C38" s="368" t="s">
        <v>282</v>
      </c>
      <c r="D38" s="369" t="s">
        <v>283</v>
      </c>
      <c r="E38" s="370"/>
      <c r="F38" s="379" t="s">
        <v>360</v>
      </c>
      <c r="G38" s="357">
        <v>0</v>
      </c>
    </row>
    <row r="39" spans="1:17" x14ac:dyDescent="0.25">
      <c r="A39" s="366" t="s">
        <v>334</v>
      </c>
      <c r="B39" s="367" t="s">
        <v>377</v>
      </c>
      <c r="C39" s="368" t="s">
        <v>337</v>
      </c>
      <c r="D39" s="355" t="s">
        <v>338</v>
      </c>
      <c r="E39" s="370"/>
      <c r="F39" s="379" t="s">
        <v>378</v>
      </c>
      <c r="G39" s="357">
        <v>0</v>
      </c>
    </row>
    <row r="40" spans="1:17" x14ac:dyDescent="0.25">
      <c r="A40" s="366" t="s">
        <v>379</v>
      </c>
      <c r="B40" s="367" t="s">
        <v>380</v>
      </c>
      <c r="C40" s="368" t="s">
        <v>381</v>
      </c>
      <c r="D40" s="355" t="s">
        <v>382</v>
      </c>
      <c r="E40" s="368"/>
      <c r="F40" s="379" t="s">
        <v>383</v>
      </c>
      <c r="G40" s="357">
        <v>0</v>
      </c>
    </row>
    <row r="41" spans="1:17" x14ac:dyDescent="0.25">
      <c r="A41" s="366" t="s">
        <v>384</v>
      </c>
      <c r="B41" s="367" t="s">
        <v>385</v>
      </c>
      <c r="C41" s="368" t="s">
        <v>314</v>
      </c>
      <c r="D41" s="355" t="s">
        <v>348</v>
      </c>
      <c r="E41" s="370"/>
      <c r="F41" s="379" t="s">
        <v>386</v>
      </c>
      <c r="G41" s="357">
        <v>0</v>
      </c>
    </row>
    <row r="42" spans="1:17" x14ac:dyDescent="0.25">
      <c r="A42" s="366" t="s">
        <v>387</v>
      </c>
      <c r="B42" s="367" t="s">
        <v>388</v>
      </c>
      <c r="C42" s="368" t="s">
        <v>389</v>
      </c>
      <c r="D42" s="355" t="s">
        <v>390</v>
      </c>
      <c r="E42" s="370"/>
      <c r="F42" s="379" t="s">
        <v>391</v>
      </c>
      <c r="G42" s="357">
        <v>0</v>
      </c>
    </row>
    <row r="43" spans="1:17" x14ac:dyDescent="0.25">
      <c r="A43" s="366" t="s">
        <v>342</v>
      </c>
      <c r="B43" s="367"/>
      <c r="C43" s="368" t="s">
        <v>342</v>
      </c>
      <c r="D43" s="370" t="s">
        <v>343</v>
      </c>
      <c r="E43" s="370"/>
      <c r="F43" s="371"/>
      <c r="G43" s="357">
        <v>0</v>
      </c>
    </row>
    <row r="45" spans="1:17" x14ac:dyDescent="0.25">
      <c r="A45" s="363" t="s">
        <v>392</v>
      </c>
      <c r="B45" s="354" t="s">
        <v>393</v>
      </c>
      <c r="C45" s="363" t="s">
        <v>394</v>
      </c>
    </row>
    <row r="46" spans="1:17" ht="15" customHeight="1" x14ac:dyDescent="0.25">
      <c r="A46" s="383" t="s">
        <v>395</v>
      </c>
      <c r="B46" s="359" t="s">
        <v>396</v>
      </c>
      <c r="C46" s="359">
        <v>1</v>
      </c>
      <c r="Q46" s="370"/>
    </row>
    <row r="47" spans="1:17" x14ac:dyDescent="0.25">
      <c r="A47" s="383" t="s">
        <v>397</v>
      </c>
      <c r="B47" s="359" t="s">
        <v>398</v>
      </c>
      <c r="C47" s="360" t="s">
        <v>399</v>
      </c>
      <c r="M47" s="359"/>
      <c r="N47" s="360"/>
      <c r="O47" s="359"/>
      <c r="P47" s="359"/>
      <c r="Q47" s="360"/>
    </row>
    <row r="48" spans="1:17" x14ac:dyDescent="0.25">
      <c r="A48" s="383" t="s">
        <v>400</v>
      </c>
      <c r="B48" s="359" t="s">
        <v>401</v>
      </c>
      <c r="C48" s="360" t="s">
        <v>402</v>
      </c>
    </row>
    <row r="49" spans="1:17" x14ac:dyDescent="0.25">
      <c r="H49" s="910" t="s">
        <v>403</v>
      </c>
      <c r="I49" s="911"/>
      <c r="J49" s="911"/>
      <c r="K49" s="912"/>
      <c r="L49" s="370"/>
    </row>
    <row r="50" spans="1:17" ht="15.75" x14ac:dyDescent="0.25">
      <c r="A50" s="370" t="s">
        <v>404</v>
      </c>
      <c r="H50" s="384"/>
      <c r="I50" s="385"/>
      <c r="J50" s="385"/>
      <c r="K50" s="386"/>
      <c r="L50" s="370"/>
      <c r="M50" s="913" t="s">
        <v>403</v>
      </c>
      <c r="N50" s="914"/>
      <c r="O50" s="914"/>
      <c r="P50" s="914"/>
      <c r="Q50" s="915"/>
    </row>
    <row r="51" spans="1:17" ht="30" x14ac:dyDescent="0.25">
      <c r="A51" s="370" t="s">
        <v>405</v>
      </c>
      <c r="B51" s="360" t="s">
        <v>406</v>
      </c>
      <c r="C51" s="387" t="s">
        <v>407</v>
      </c>
      <c r="D51" s="387" t="s">
        <v>408</v>
      </c>
      <c r="E51" s="388" t="s">
        <v>409</v>
      </c>
      <c r="F51" s="389" t="s">
        <v>410</v>
      </c>
      <c r="G51" s="390" t="s">
        <v>411</v>
      </c>
      <c r="H51" s="391" t="s">
        <v>412</v>
      </c>
      <c r="I51" s="391" t="s">
        <v>413</v>
      </c>
      <c r="J51" s="391" t="s">
        <v>414</v>
      </c>
      <c r="K51" s="392" t="s">
        <v>415</v>
      </c>
      <c r="M51" s="393" t="s">
        <v>416</v>
      </c>
      <c r="N51" s="394" t="s">
        <v>411</v>
      </c>
      <c r="O51" s="394" t="s">
        <v>417</v>
      </c>
      <c r="P51" s="394" t="s">
        <v>414</v>
      </c>
      <c r="Q51" s="395" t="s">
        <v>415</v>
      </c>
    </row>
    <row r="52" spans="1:17" ht="15.75" x14ac:dyDescent="0.3">
      <c r="A52" s="370" t="s">
        <v>418</v>
      </c>
      <c r="B52" s="396" t="s">
        <v>419</v>
      </c>
      <c r="C52" s="382" t="s">
        <v>420</v>
      </c>
      <c r="D52" s="397" t="s">
        <v>418</v>
      </c>
      <c r="E52" s="398" t="s">
        <v>418</v>
      </c>
      <c r="F52" s="371" t="s">
        <v>421</v>
      </c>
      <c r="G52" s="390" t="s">
        <v>422</v>
      </c>
      <c r="H52" s="370" t="s">
        <v>411</v>
      </c>
      <c r="I52" s="370" t="s">
        <v>423</v>
      </c>
      <c r="J52" s="370"/>
      <c r="M52" s="370" t="s">
        <v>424</v>
      </c>
      <c r="N52" s="370" t="s">
        <v>422</v>
      </c>
      <c r="O52" s="370" t="s">
        <v>417</v>
      </c>
      <c r="P52" s="370" t="s">
        <v>425</v>
      </c>
    </row>
    <row r="53" spans="1:17" ht="45" x14ac:dyDescent="0.3">
      <c r="A53" s="370" t="s">
        <v>360</v>
      </c>
      <c r="B53" s="396" t="s">
        <v>426</v>
      </c>
      <c r="C53" s="382" t="s">
        <v>420</v>
      </c>
      <c r="D53" s="397" t="s">
        <v>360</v>
      </c>
      <c r="E53" s="398" t="s">
        <v>427</v>
      </c>
      <c r="F53" s="371" t="s">
        <v>428</v>
      </c>
      <c r="G53" s="390" t="s">
        <v>429</v>
      </c>
      <c r="H53" s="370" t="s">
        <v>411</v>
      </c>
      <c r="I53" s="370" t="s">
        <v>423</v>
      </c>
      <c r="J53" s="370"/>
      <c r="M53" s="399" t="s">
        <v>430</v>
      </c>
      <c r="N53" s="399" t="s">
        <v>431</v>
      </c>
      <c r="O53" s="399"/>
      <c r="P53" s="399" t="s">
        <v>432</v>
      </c>
    </row>
    <row r="54" spans="1:17" ht="15.75" x14ac:dyDescent="0.3">
      <c r="A54" s="370" t="s">
        <v>433</v>
      </c>
      <c r="B54" s="396" t="s">
        <v>434</v>
      </c>
      <c r="C54" s="382" t="s">
        <v>420</v>
      </c>
      <c r="D54" s="397" t="s">
        <v>433</v>
      </c>
      <c r="E54" s="398" t="s">
        <v>435</v>
      </c>
      <c r="F54" s="371" t="s">
        <v>421</v>
      </c>
      <c r="G54" s="357" t="b">
        <v>1</v>
      </c>
      <c r="M54" s="400"/>
      <c r="N54" s="399" t="s">
        <v>436</v>
      </c>
      <c r="O54" s="400"/>
      <c r="P54" s="400"/>
    </row>
    <row r="55" spans="1:17" ht="15.75" x14ac:dyDescent="0.3">
      <c r="A55" s="370" t="s">
        <v>437</v>
      </c>
      <c r="B55" s="396" t="s">
        <v>438</v>
      </c>
      <c r="C55" s="382" t="s">
        <v>420</v>
      </c>
      <c r="D55" s="397" t="s">
        <v>437</v>
      </c>
      <c r="E55" s="398" t="s">
        <v>439</v>
      </c>
      <c r="F55" s="371" t="s">
        <v>440</v>
      </c>
      <c r="H55" s="370" t="s">
        <v>411</v>
      </c>
      <c r="I55" s="370" t="s">
        <v>423</v>
      </c>
      <c r="J55" s="370"/>
      <c r="M55" s="400"/>
      <c r="N55" s="400"/>
      <c r="O55" s="400"/>
      <c r="P55" s="399" t="s">
        <v>441</v>
      </c>
    </row>
    <row r="56" spans="1:17" ht="15.75" x14ac:dyDescent="0.3">
      <c r="A56" s="370" t="s">
        <v>442</v>
      </c>
      <c r="B56" s="396" t="s">
        <v>443</v>
      </c>
      <c r="C56" s="382" t="s">
        <v>420</v>
      </c>
      <c r="D56" s="397" t="s">
        <v>442</v>
      </c>
      <c r="E56" s="398" t="s">
        <v>439</v>
      </c>
      <c r="F56" s="371" t="s">
        <v>440</v>
      </c>
      <c r="G56" s="390" t="s">
        <v>444</v>
      </c>
      <c r="H56" s="370" t="s">
        <v>411</v>
      </c>
      <c r="I56" s="370" t="s">
        <v>423</v>
      </c>
      <c r="J56" s="370"/>
      <c r="M56" s="400" t="str">
        <f>N54</f>
        <v>$.*</v>
      </c>
      <c r="N56" s="400"/>
      <c r="O56" s="400"/>
      <c r="P56" s="400"/>
    </row>
    <row r="57" spans="1:17" ht="15.75" x14ac:dyDescent="0.3">
      <c r="A57" s="370" t="s">
        <v>445</v>
      </c>
      <c r="B57" s="396" t="s">
        <v>446</v>
      </c>
      <c r="C57" s="397" t="s">
        <v>445</v>
      </c>
      <c r="D57" s="397" t="s">
        <v>447</v>
      </c>
      <c r="E57" s="398" t="s">
        <v>448</v>
      </c>
      <c r="F57" s="371" t="s">
        <v>440</v>
      </c>
      <c r="K57" s="370" t="s">
        <v>449</v>
      </c>
      <c r="M57" s="400"/>
      <c r="N57" s="400"/>
      <c r="O57" s="400"/>
      <c r="P57" s="399" t="str">
        <f>N54</f>
        <v>$.*</v>
      </c>
    </row>
    <row r="58" spans="1:17" x14ac:dyDescent="0.25">
      <c r="A58" s="370" t="s">
        <v>450</v>
      </c>
      <c r="B58" s="396" t="s">
        <v>451</v>
      </c>
      <c r="C58" s="382" t="s">
        <v>420</v>
      </c>
      <c r="D58" s="401" t="s">
        <v>452</v>
      </c>
      <c r="E58" s="398" t="s">
        <v>453</v>
      </c>
      <c r="F58" s="371" t="s">
        <v>428</v>
      </c>
      <c r="G58" s="390" t="s">
        <v>444</v>
      </c>
      <c r="H58" s="370" t="s">
        <v>411</v>
      </c>
      <c r="I58" s="370" t="s">
        <v>423</v>
      </c>
      <c r="J58" s="370"/>
      <c r="M58" s="400" t="str">
        <f>N54</f>
        <v>$.*</v>
      </c>
      <c r="N58" s="400"/>
      <c r="O58" s="400"/>
      <c r="P58" s="400"/>
    </row>
    <row r="59" spans="1:17" ht="15.75" x14ac:dyDescent="0.3">
      <c r="A59" s="370" t="s">
        <v>329</v>
      </c>
      <c r="B59" s="396" t="s">
        <v>454</v>
      </c>
      <c r="C59" s="382" t="s">
        <v>420</v>
      </c>
      <c r="D59" s="397" t="s">
        <v>329</v>
      </c>
      <c r="E59" s="398" t="s">
        <v>448</v>
      </c>
      <c r="F59" s="371" t="s">
        <v>440</v>
      </c>
      <c r="G59" s="390" t="s">
        <v>444</v>
      </c>
      <c r="H59" s="370" t="s">
        <v>411</v>
      </c>
      <c r="I59" s="370" t="s">
        <v>423</v>
      </c>
      <c r="J59" s="370"/>
      <c r="M59" s="400" t="str">
        <f>M58</f>
        <v>$.*</v>
      </c>
      <c r="N59" s="400"/>
      <c r="O59" s="400"/>
      <c r="P59" s="400"/>
    </row>
    <row r="60" spans="1:17" ht="191.25" x14ac:dyDescent="0.3">
      <c r="A60" s="370" t="s">
        <v>455</v>
      </c>
      <c r="B60" s="402" t="s">
        <v>456</v>
      </c>
      <c r="C60" s="397" t="s">
        <v>455</v>
      </c>
      <c r="D60" s="397" t="s">
        <v>457</v>
      </c>
      <c r="E60" s="398" t="s">
        <v>448</v>
      </c>
      <c r="F60" s="371" t="s">
        <v>440</v>
      </c>
      <c r="K60" s="370" t="s">
        <v>458</v>
      </c>
      <c r="M60" s="399" t="s">
        <v>459</v>
      </c>
      <c r="N60" s="400"/>
      <c r="O60" s="400"/>
      <c r="P60" s="399" t="s">
        <v>460</v>
      </c>
    </row>
    <row r="61" spans="1:17" ht="15.75" x14ac:dyDescent="0.3">
      <c r="A61" s="370" t="s">
        <v>414</v>
      </c>
      <c r="B61" s="396" t="s">
        <v>461</v>
      </c>
      <c r="C61" s="382" t="s">
        <v>462</v>
      </c>
      <c r="D61" s="397"/>
      <c r="E61" s="398"/>
      <c r="F61" s="371"/>
      <c r="G61" s="390"/>
      <c r="H61" s="370"/>
      <c r="I61" s="370"/>
      <c r="J61" s="370"/>
      <c r="K61" s="370" t="s">
        <v>449</v>
      </c>
      <c r="M61" s="400"/>
      <c r="N61" s="400"/>
      <c r="O61" s="400"/>
      <c r="P61" s="400" t="str">
        <f>P57</f>
        <v>$.*</v>
      </c>
    </row>
    <row r="62" spans="1:17" ht="15.75" x14ac:dyDescent="0.3">
      <c r="A62" s="370" t="s">
        <v>339</v>
      </c>
      <c r="B62" s="396" t="s">
        <v>463</v>
      </c>
      <c r="C62" s="397" t="s">
        <v>464</v>
      </c>
      <c r="D62" s="382" t="s">
        <v>465</v>
      </c>
      <c r="E62" s="398" t="s">
        <v>448</v>
      </c>
      <c r="F62" s="371" t="s">
        <v>440</v>
      </c>
      <c r="I62" s="370"/>
      <c r="J62" s="370"/>
      <c r="K62" s="355" t="s">
        <v>339</v>
      </c>
      <c r="L62" s="370"/>
      <c r="M62" s="403" t="str">
        <f>N54</f>
        <v>$.*</v>
      </c>
      <c r="N62" s="399" t="s">
        <v>466</v>
      </c>
      <c r="O62" s="400"/>
      <c r="P62" s="400"/>
    </row>
    <row r="63" spans="1:17" ht="15.75" x14ac:dyDescent="0.3">
      <c r="A63" s="370" t="s">
        <v>298</v>
      </c>
      <c r="B63" s="396" t="s">
        <v>467</v>
      </c>
      <c r="C63" s="382" t="s">
        <v>420</v>
      </c>
      <c r="D63" s="397" t="s">
        <v>298</v>
      </c>
      <c r="E63" s="398" t="s">
        <v>298</v>
      </c>
      <c r="F63" s="371" t="s">
        <v>421</v>
      </c>
      <c r="G63" s="390" t="s">
        <v>444</v>
      </c>
      <c r="H63" s="370" t="s">
        <v>411</v>
      </c>
      <c r="I63" s="370" t="s">
        <v>423</v>
      </c>
      <c r="J63" s="370"/>
      <c r="M63" s="400" t="str">
        <f>M62</f>
        <v>$.*</v>
      </c>
      <c r="N63" s="400"/>
      <c r="O63" s="400"/>
      <c r="P63" s="400"/>
    </row>
    <row r="64" spans="1:17" ht="15.75" x14ac:dyDescent="0.3">
      <c r="A64" s="370" t="s">
        <v>383</v>
      </c>
      <c r="B64" s="396" t="s">
        <v>383</v>
      </c>
      <c r="C64" s="382" t="s">
        <v>420</v>
      </c>
      <c r="D64" s="397" t="s">
        <v>383</v>
      </c>
      <c r="E64" s="398" t="s">
        <v>448</v>
      </c>
      <c r="F64" s="371" t="s">
        <v>440</v>
      </c>
      <c r="G64" s="390" t="s">
        <v>444</v>
      </c>
      <c r="H64" s="370" t="s">
        <v>411</v>
      </c>
      <c r="I64" s="370" t="s">
        <v>423</v>
      </c>
      <c r="J64" s="370"/>
      <c r="M64" s="399" t="s">
        <v>468</v>
      </c>
      <c r="N64" s="399" t="s">
        <v>469</v>
      </c>
      <c r="O64" s="400"/>
      <c r="P64" s="400"/>
    </row>
    <row r="65" spans="1:17" x14ac:dyDescent="0.25">
      <c r="A65" s="404" t="s">
        <v>285</v>
      </c>
      <c r="B65" s="396" t="s">
        <v>470</v>
      </c>
      <c r="C65" s="382"/>
      <c r="D65" s="401"/>
      <c r="E65" s="398"/>
      <c r="F65" s="371"/>
      <c r="M65" s="399" t="s">
        <v>471</v>
      </c>
      <c r="N65" s="399" t="s">
        <v>471</v>
      </c>
      <c r="O65" s="400"/>
      <c r="P65" s="399" t="s">
        <v>471</v>
      </c>
    </row>
    <row r="66" spans="1:17" x14ac:dyDescent="0.25">
      <c r="C66" s="382"/>
      <c r="D66" s="382" t="s">
        <v>472</v>
      </c>
      <c r="E66" s="398" t="s">
        <v>448</v>
      </c>
      <c r="F66" s="371" t="s">
        <v>440</v>
      </c>
      <c r="M66" s="400"/>
      <c r="N66" s="400"/>
      <c r="O66" s="400"/>
      <c r="P66" s="400"/>
    </row>
    <row r="67" spans="1:17" x14ac:dyDescent="0.25">
      <c r="C67" s="382"/>
      <c r="D67" s="382" t="s">
        <v>473</v>
      </c>
      <c r="E67" s="398" t="s">
        <v>448</v>
      </c>
      <c r="F67" s="371" t="s">
        <v>440</v>
      </c>
      <c r="M67" s="400"/>
      <c r="N67" s="400"/>
      <c r="O67" s="400"/>
      <c r="P67" s="400"/>
    </row>
    <row r="68" spans="1:17" x14ac:dyDescent="0.25">
      <c r="C68" s="382"/>
      <c r="D68" s="382" t="s">
        <v>474</v>
      </c>
      <c r="E68" s="398"/>
      <c r="F68" s="371"/>
      <c r="M68" s="400"/>
      <c r="N68" s="400"/>
      <c r="O68" s="400"/>
      <c r="P68" s="400"/>
    </row>
    <row r="69" spans="1:17" x14ac:dyDescent="0.25">
      <c r="A69" s="370"/>
      <c r="C69" s="382"/>
      <c r="D69" s="382" t="s">
        <v>475</v>
      </c>
      <c r="E69" s="398" t="s">
        <v>448</v>
      </c>
      <c r="F69" s="371" t="s">
        <v>440</v>
      </c>
      <c r="M69" s="400"/>
      <c r="N69" s="400"/>
      <c r="O69" s="400"/>
      <c r="P69" s="400"/>
    </row>
    <row r="70" spans="1:17" x14ac:dyDescent="0.25">
      <c r="C70" s="401"/>
      <c r="D70" s="382" t="s">
        <v>476</v>
      </c>
      <c r="E70" s="398" t="s">
        <v>448</v>
      </c>
      <c r="F70" s="371" t="s">
        <v>440</v>
      </c>
      <c r="M70" s="400"/>
      <c r="N70" s="400"/>
      <c r="O70" s="400"/>
      <c r="P70" s="400"/>
    </row>
    <row r="71" spans="1:17" x14ac:dyDescent="0.25">
      <c r="A71" s="370" t="s">
        <v>477</v>
      </c>
      <c r="C71" s="401"/>
      <c r="D71" s="382"/>
      <c r="F71" s="371"/>
      <c r="Q71" s="370" t="s">
        <v>478</v>
      </c>
    </row>
    <row r="72" spans="1:17" x14ac:dyDescent="0.25">
      <c r="A72" s="370" t="s">
        <v>449</v>
      </c>
      <c r="B72" s="367" t="s">
        <v>479</v>
      </c>
      <c r="C72" s="401"/>
      <c r="D72" s="382"/>
      <c r="F72" s="371"/>
      <c r="Q72" s="405" t="s">
        <v>423</v>
      </c>
    </row>
    <row r="73" spans="1:17" x14ac:dyDescent="0.25">
      <c r="A73" s="370" t="s">
        <v>411</v>
      </c>
      <c r="B73" s="367" t="s">
        <v>480</v>
      </c>
      <c r="C73" s="401"/>
      <c r="D73" s="382"/>
      <c r="F73" s="371"/>
      <c r="Q73" s="405" t="s">
        <v>411</v>
      </c>
    </row>
    <row r="74" spans="1:17" x14ac:dyDescent="0.25">
      <c r="A74" s="370"/>
      <c r="B74" s="367"/>
      <c r="C74" s="401"/>
      <c r="D74" s="382"/>
      <c r="F74" s="371"/>
      <c r="Q74" s="405" t="s">
        <v>414</v>
      </c>
    </row>
    <row r="75" spans="1:17" x14ac:dyDescent="0.25">
      <c r="A75" s="370"/>
      <c r="B75" s="401"/>
      <c r="C75" s="401"/>
      <c r="D75" s="382"/>
      <c r="F75" s="371"/>
      <c r="Q75" s="405" t="s">
        <v>339</v>
      </c>
    </row>
    <row r="76" spans="1:17" x14ac:dyDescent="0.25">
      <c r="A76" s="370"/>
      <c r="B76" s="401"/>
      <c r="C76" s="401"/>
      <c r="D76" s="382"/>
      <c r="F76" s="371"/>
      <c r="Q76" s="405" t="s">
        <v>458</v>
      </c>
    </row>
    <row r="77" spans="1:17" x14ac:dyDescent="0.25">
      <c r="A77" s="370"/>
      <c r="B77" s="401"/>
      <c r="C77" s="401"/>
      <c r="D77" s="382"/>
      <c r="F77" s="371"/>
    </row>
    <row r="78" spans="1:17" x14ac:dyDescent="0.25">
      <c r="C78" s="401"/>
      <c r="D78" s="382"/>
      <c r="F78" s="371"/>
    </row>
    <row r="79" spans="1:17" x14ac:dyDescent="0.25">
      <c r="A79" s="406" t="s">
        <v>481</v>
      </c>
    </row>
    <row r="80" spans="1:17" x14ac:dyDescent="0.25">
      <c r="A80" s="370" t="s">
        <v>482</v>
      </c>
    </row>
    <row r="81" spans="1:7" x14ac:dyDescent="0.25">
      <c r="A81" s="370" t="s">
        <v>483</v>
      </c>
    </row>
    <row r="82" spans="1:7" x14ac:dyDescent="0.25">
      <c r="A82" s="370" t="s">
        <v>484</v>
      </c>
      <c r="B82" s="360" t="s">
        <v>170</v>
      </c>
    </row>
    <row r="83" spans="1:7" x14ac:dyDescent="0.25">
      <c r="A83" s="370" t="s">
        <v>485</v>
      </c>
      <c r="B83" s="359">
        <v>1</v>
      </c>
    </row>
    <row r="84" spans="1:7" x14ac:dyDescent="0.25">
      <c r="A84" s="370" t="s">
        <v>486</v>
      </c>
      <c r="B84" s="359">
        <v>1</v>
      </c>
    </row>
    <row r="85" spans="1:7" x14ac:dyDescent="0.25">
      <c r="A85" s="370" t="s">
        <v>487</v>
      </c>
      <c r="B85" s="359">
        <v>1</v>
      </c>
    </row>
    <row r="86" spans="1:7" x14ac:dyDescent="0.25">
      <c r="A86" s="370" t="s">
        <v>488</v>
      </c>
    </row>
    <row r="87" spans="1:7" x14ac:dyDescent="0.25">
      <c r="A87" s="370" t="s">
        <v>489</v>
      </c>
    </row>
    <row r="88" spans="1:7" x14ac:dyDescent="0.25">
      <c r="A88" s="370" t="s">
        <v>490</v>
      </c>
      <c r="B88" s="360" t="s">
        <v>170</v>
      </c>
    </row>
    <row r="89" spans="1:7" x14ac:dyDescent="0.25">
      <c r="A89" s="370" t="s">
        <v>491</v>
      </c>
      <c r="F89" s="355"/>
      <c r="G89" s="355"/>
    </row>
    <row r="90" spans="1:7" x14ac:dyDescent="0.25">
      <c r="A90" s="370" t="s">
        <v>492</v>
      </c>
      <c r="F90" s="355"/>
      <c r="G90" s="355"/>
    </row>
    <row r="91" spans="1:7" x14ac:dyDescent="0.25">
      <c r="A91" s="370" t="s">
        <v>493</v>
      </c>
      <c r="F91" s="355"/>
      <c r="G91" s="355"/>
    </row>
    <row r="92" spans="1:7" x14ac:dyDescent="0.25">
      <c r="A92" s="370" t="s">
        <v>494</v>
      </c>
      <c r="F92" s="355"/>
      <c r="G92" s="355"/>
    </row>
    <row r="93" spans="1:7" x14ac:dyDescent="0.25">
      <c r="A93" s="370" t="s">
        <v>495</v>
      </c>
      <c r="B93" s="359">
        <v>1</v>
      </c>
      <c r="F93" s="355"/>
      <c r="G93" s="355"/>
    </row>
    <row r="94" spans="1:7" x14ac:dyDescent="0.25">
      <c r="A94" s="370" t="s">
        <v>496</v>
      </c>
      <c r="B94" s="359">
        <v>1</v>
      </c>
      <c r="F94" s="355"/>
      <c r="G94" s="355"/>
    </row>
    <row r="95" spans="1:7" x14ac:dyDescent="0.25">
      <c r="A95" s="370" t="s">
        <v>497</v>
      </c>
      <c r="F95" s="355"/>
      <c r="G95" s="355"/>
    </row>
    <row r="96" spans="1:7" x14ac:dyDescent="0.25">
      <c r="A96" s="370" t="s">
        <v>498</v>
      </c>
      <c r="F96" s="355"/>
      <c r="G96" s="355"/>
    </row>
    <row r="97" spans="1:7" x14ac:dyDescent="0.25">
      <c r="A97" s="370" t="s">
        <v>499</v>
      </c>
      <c r="F97" s="355"/>
      <c r="G97" s="355"/>
    </row>
    <row r="98" spans="1:7" x14ac:dyDescent="0.25">
      <c r="A98" s="370" t="s">
        <v>500</v>
      </c>
      <c r="F98" s="355"/>
      <c r="G98" s="355"/>
    </row>
    <row r="99" spans="1:7" x14ac:dyDescent="0.25">
      <c r="A99" s="370" t="s">
        <v>501</v>
      </c>
      <c r="B99" s="359">
        <v>1</v>
      </c>
      <c r="F99" s="355"/>
      <c r="G99" s="355"/>
    </row>
    <row r="100" spans="1:7" x14ac:dyDescent="0.25">
      <c r="A100" s="370" t="s">
        <v>502</v>
      </c>
      <c r="B100" s="359">
        <v>1</v>
      </c>
      <c r="F100" s="355"/>
      <c r="G100" s="355"/>
    </row>
    <row r="101" spans="1:7" x14ac:dyDescent="0.25">
      <c r="A101" s="370" t="s">
        <v>503</v>
      </c>
      <c r="F101" s="355"/>
      <c r="G101" s="355"/>
    </row>
    <row r="102" spans="1:7" x14ac:dyDescent="0.25">
      <c r="A102" s="370" t="s">
        <v>504</v>
      </c>
      <c r="B102" s="359">
        <v>1</v>
      </c>
      <c r="F102" s="355"/>
      <c r="G102" s="355"/>
    </row>
    <row r="103" spans="1:7" x14ac:dyDescent="0.25">
      <c r="A103" s="370" t="s">
        <v>505</v>
      </c>
      <c r="F103" s="355"/>
      <c r="G103" s="355"/>
    </row>
    <row r="104" spans="1:7" x14ac:dyDescent="0.25">
      <c r="A104" s="370" t="s">
        <v>506</v>
      </c>
      <c r="B104" s="359">
        <v>1</v>
      </c>
      <c r="F104" s="355"/>
      <c r="G104" s="355"/>
    </row>
    <row r="105" spans="1:7" x14ac:dyDescent="0.25">
      <c r="A105" s="370" t="s">
        <v>507</v>
      </c>
      <c r="B105" s="359">
        <v>1</v>
      </c>
      <c r="F105" s="355"/>
      <c r="G105" s="355"/>
    </row>
    <row r="106" spans="1:7" x14ac:dyDescent="0.25">
      <c r="A106" s="370" t="s">
        <v>508</v>
      </c>
      <c r="F106" s="355"/>
      <c r="G106" s="355"/>
    </row>
    <row r="107" spans="1:7" x14ac:dyDescent="0.25">
      <c r="A107" s="370" t="s">
        <v>509</v>
      </c>
      <c r="F107" s="355"/>
      <c r="G107" s="355"/>
    </row>
    <row r="108" spans="1:7" x14ac:dyDescent="0.25">
      <c r="A108" s="370" t="s">
        <v>510</v>
      </c>
      <c r="F108" s="355"/>
      <c r="G108" s="355"/>
    </row>
    <row r="109" spans="1:7" x14ac:dyDescent="0.25">
      <c r="A109" s="370" t="s">
        <v>511</v>
      </c>
      <c r="F109" s="355"/>
      <c r="G109" s="355"/>
    </row>
    <row r="110" spans="1:7" x14ac:dyDescent="0.25">
      <c r="A110" s="370" t="s">
        <v>512</v>
      </c>
      <c r="F110" s="355"/>
      <c r="G110" s="355"/>
    </row>
    <row r="111" spans="1:7" x14ac:dyDescent="0.25">
      <c r="A111" s="370" t="s">
        <v>513</v>
      </c>
      <c r="F111" s="355"/>
      <c r="G111" s="355"/>
    </row>
    <row r="112" spans="1:7" x14ac:dyDescent="0.25">
      <c r="A112" s="370" t="s">
        <v>514</v>
      </c>
      <c r="B112" s="359">
        <v>1</v>
      </c>
      <c r="F112" s="355"/>
      <c r="G112" s="355"/>
    </row>
    <row r="113" spans="1:7" x14ac:dyDescent="0.25">
      <c r="A113" s="370" t="s">
        <v>515</v>
      </c>
      <c r="F113" s="355"/>
      <c r="G113" s="355"/>
    </row>
    <row r="114" spans="1:7" x14ac:dyDescent="0.25">
      <c r="A114" s="370" t="s">
        <v>516</v>
      </c>
      <c r="F114" s="355"/>
      <c r="G114" s="355"/>
    </row>
    <row r="115" spans="1:7" x14ac:dyDescent="0.25">
      <c r="A115" s="370" t="s">
        <v>517</v>
      </c>
      <c r="F115" s="355"/>
      <c r="G115" s="355"/>
    </row>
    <row r="116" spans="1:7" x14ac:dyDescent="0.25">
      <c r="A116" s="370" t="s">
        <v>518</v>
      </c>
      <c r="B116" s="359">
        <v>1</v>
      </c>
      <c r="F116" s="355"/>
      <c r="G116" s="355"/>
    </row>
    <row r="117" spans="1:7" x14ac:dyDescent="0.25">
      <c r="A117" s="370" t="s">
        <v>519</v>
      </c>
      <c r="F117" s="355"/>
      <c r="G117" s="355"/>
    </row>
    <row r="118" spans="1:7" x14ac:dyDescent="0.25">
      <c r="A118" s="370" t="s">
        <v>520</v>
      </c>
      <c r="F118" s="355"/>
      <c r="G118" s="355"/>
    </row>
    <row r="119" spans="1:7" x14ac:dyDescent="0.25">
      <c r="A119" s="370" t="s">
        <v>521</v>
      </c>
      <c r="F119" s="355"/>
      <c r="G119" s="355"/>
    </row>
    <row r="120" spans="1:7" x14ac:dyDescent="0.25">
      <c r="A120" s="370" t="s">
        <v>522</v>
      </c>
      <c r="F120" s="355"/>
      <c r="G120" s="355"/>
    </row>
    <row r="121" spans="1:7" x14ac:dyDescent="0.25">
      <c r="A121" s="370" t="s">
        <v>523</v>
      </c>
      <c r="B121" s="359">
        <v>1</v>
      </c>
      <c r="F121" s="355"/>
      <c r="G121" s="355"/>
    </row>
    <row r="122" spans="1:7" x14ac:dyDescent="0.25">
      <c r="A122" s="370" t="s">
        <v>524</v>
      </c>
      <c r="B122" s="359">
        <v>1</v>
      </c>
      <c r="F122" s="355"/>
      <c r="G122" s="355"/>
    </row>
    <row r="123" spans="1:7" x14ac:dyDescent="0.25">
      <c r="A123" s="370" t="s">
        <v>525</v>
      </c>
      <c r="F123" s="355"/>
      <c r="G123" s="355"/>
    </row>
    <row r="124" spans="1:7" x14ac:dyDescent="0.25">
      <c r="A124" s="370" t="s">
        <v>526</v>
      </c>
      <c r="F124" s="355"/>
      <c r="G124" s="355"/>
    </row>
    <row r="125" spans="1:7" x14ac:dyDescent="0.25">
      <c r="A125" s="370" t="s">
        <v>527</v>
      </c>
      <c r="F125" s="355"/>
      <c r="G125" s="355"/>
    </row>
    <row r="126" spans="1:7" x14ac:dyDescent="0.25">
      <c r="A126" s="370" t="s">
        <v>528</v>
      </c>
      <c r="B126" s="359">
        <v>1</v>
      </c>
      <c r="F126" s="355"/>
      <c r="G126" s="355"/>
    </row>
    <row r="127" spans="1:7" x14ac:dyDescent="0.25">
      <c r="A127" s="370" t="s">
        <v>529</v>
      </c>
      <c r="F127" s="355"/>
      <c r="G127" s="355"/>
    </row>
    <row r="128" spans="1:7" x14ac:dyDescent="0.25">
      <c r="A128" s="370" t="s">
        <v>530</v>
      </c>
      <c r="F128" s="355"/>
      <c r="G128" s="355"/>
    </row>
    <row r="129" spans="1:7" x14ac:dyDescent="0.25">
      <c r="A129" s="370" t="s">
        <v>531</v>
      </c>
      <c r="B129" s="359">
        <v>1</v>
      </c>
      <c r="F129" s="355"/>
      <c r="G129" s="355"/>
    </row>
    <row r="130" spans="1:7" x14ac:dyDescent="0.25">
      <c r="A130" s="370" t="s">
        <v>532</v>
      </c>
      <c r="F130" s="355"/>
      <c r="G130" s="355"/>
    </row>
    <row r="131" spans="1:7" x14ac:dyDescent="0.25">
      <c r="A131" s="370" t="s">
        <v>533</v>
      </c>
      <c r="F131" s="355"/>
      <c r="G131" s="355"/>
    </row>
    <row r="132" spans="1:7" x14ac:dyDescent="0.25">
      <c r="A132" s="370" t="s">
        <v>534</v>
      </c>
      <c r="F132" s="355"/>
      <c r="G132" s="355"/>
    </row>
    <row r="133" spans="1:7" x14ac:dyDescent="0.25">
      <c r="A133" s="370" t="s">
        <v>535</v>
      </c>
      <c r="F133" s="355"/>
      <c r="G133" s="355"/>
    </row>
    <row r="134" spans="1:7" x14ac:dyDescent="0.25">
      <c r="A134" s="370" t="s">
        <v>536</v>
      </c>
      <c r="B134" s="359">
        <v>1</v>
      </c>
      <c r="F134" s="355"/>
      <c r="G134" s="355"/>
    </row>
    <row r="135" spans="1:7" x14ac:dyDescent="0.25">
      <c r="A135" s="370" t="s">
        <v>537</v>
      </c>
      <c r="B135" s="359">
        <v>1</v>
      </c>
      <c r="F135" s="355"/>
      <c r="G135" s="355"/>
    </row>
    <row r="136" spans="1:7" x14ac:dyDescent="0.25">
      <c r="A136" s="370" t="s">
        <v>538</v>
      </c>
      <c r="F136" s="355"/>
      <c r="G136" s="355"/>
    </row>
    <row r="137" spans="1:7" x14ac:dyDescent="0.25">
      <c r="A137" s="370" t="s">
        <v>539</v>
      </c>
      <c r="B137" s="359">
        <v>1</v>
      </c>
      <c r="F137" s="355"/>
      <c r="G137" s="355"/>
    </row>
    <row r="138" spans="1:7" x14ac:dyDescent="0.25">
      <c r="A138" s="370" t="s">
        <v>540</v>
      </c>
      <c r="F138" s="355"/>
      <c r="G138" s="355"/>
    </row>
    <row r="139" spans="1:7" x14ac:dyDescent="0.25">
      <c r="A139" s="370" t="s">
        <v>541</v>
      </c>
      <c r="B139" s="359">
        <v>1</v>
      </c>
      <c r="F139" s="355"/>
      <c r="G139" s="355"/>
    </row>
    <row r="140" spans="1:7" x14ac:dyDescent="0.25">
      <c r="A140" s="370" t="s">
        <v>542</v>
      </c>
      <c r="F140" s="355"/>
      <c r="G140" s="355"/>
    </row>
    <row r="141" spans="1:7" x14ac:dyDescent="0.25">
      <c r="A141" s="370" t="s">
        <v>543</v>
      </c>
      <c r="F141" s="355"/>
      <c r="G141" s="355"/>
    </row>
    <row r="142" spans="1:7" x14ac:dyDescent="0.25">
      <c r="A142" s="370" t="s">
        <v>544</v>
      </c>
      <c r="F142" s="355"/>
      <c r="G142" s="355"/>
    </row>
    <row r="143" spans="1:7" x14ac:dyDescent="0.25">
      <c r="A143" s="370" t="s">
        <v>545</v>
      </c>
      <c r="F143" s="355"/>
      <c r="G143" s="355"/>
    </row>
    <row r="144" spans="1:7" x14ac:dyDescent="0.25">
      <c r="A144" s="370" t="s">
        <v>546</v>
      </c>
      <c r="F144" s="355"/>
      <c r="G144" s="355"/>
    </row>
    <row r="145" spans="1:7" x14ac:dyDescent="0.25">
      <c r="A145" s="370" t="s">
        <v>547</v>
      </c>
      <c r="F145" s="355"/>
      <c r="G145" s="355"/>
    </row>
    <row r="146" spans="1:7" x14ac:dyDescent="0.25">
      <c r="A146" s="370" t="s">
        <v>548</v>
      </c>
      <c r="B146" s="359">
        <v>1</v>
      </c>
      <c r="F146" s="355"/>
      <c r="G146" s="355"/>
    </row>
    <row r="147" spans="1:7" x14ac:dyDescent="0.25">
      <c r="A147" s="370" t="s">
        <v>549</v>
      </c>
      <c r="B147" s="359">
        <v>1</v>
      </c>
      <c r="F147" s="355"/>
      <c r="G147" s="355"/>
    </row>
    <row r="148" spans="1:7" x14ac:dyDescent="0.25">
      <c r="A148" s="370" t="s">
        <v>550</v>
      </c>
      <c r="F148" s="355"/>
      <c r="G148" s="355"/>
    </row>
    <row r="149" spans="1:7" x14ac:dyDescent="0.25">
      <c r="A149" s="370" t="s">
        <v>551</v>
      </c>
      <c r="B149" s="359">
        <v>1</v>
      </c>
      <c r="F149" s="355"/>
      <c r="G149" s="355"/>
    </row>
    <row r="150" spans="1:7" x14ac:dyDescent="0.25">
      <c r="A150" s="370" t="s">
        <v>552</v>
      </c>
      <c r="B150" s="360" t="s">
        <v>170</v>
      </c>
      <c r="F150" s="355"/>
      <c r="G150" s="355"/>
    </row>
    <row r="151" spans="1:7" x14ac:dyDescent="0.25">
      <c r="A151" s="370" t="s">
        <v>553</v>
      </c>
      <c r="F151" s="355"/>
      <c r="G151" s="355"/>
    </row>
    <row r="152" spans="1:7" x14ac:dyDescent="0.25">
      <c r="A152" s="370" t="s">
        <v>554</v>
      </c>
      <c r="B152" s="359">
        <v>1</v>
      </c>
      <c r="F152" s="355"/>
      <c r="G152" s="355"/>
    </row>
    <row r="153" spans="1:7" x14ac:dyDescent="0.25">
      <c r="A153" s="370" t="s">
        <v>555</v>
      </c>
      <c r="F153" s="355"/>
      <c r="G153" s="355"/>
    </row>
    <row r="154" spans="1:7" x14ac:dyDescent="0.25">
      <c r="A154" s="370" t="s">
        <v>556</v>
      </c>
      <c r="F154" s="355"/>
      <c r="G154" s="355"/>
    </row>
    <row r="155" spans="1:7" x14ac:dyDescent="0.25">
      <c r="A155" s="370" t="s">
        <v>557</v>
      </c>
      <c r="F155" s="355"/>
      <c r="G155" s="355"/>
    </row>
    <row r="156" spans="1:7" x14ac:dyDescent="0.25">
      <c r="A156" s="370" t="s">
        <v>558</v>
      </c>
      <c r="F156" s="355"/>
      <c r="G156" s="355"/>
    </row>
    <row r="157" spans="1:7" x14ac:dyDescent="0.25">
      <c r="A157" s="370" t="s">
        <v>559</v>
      </c>
      <c r="F157" s="355"/>
      <c r="G157" s="355"/>
    </row>
    <row r="158" spans="1:7" x14ac:dyDescent="0.25">
      <c r="A158" s="370" t="s">
        <v>560</v>
      </c>
      <c r="B158" s="360" t="s">
        <v>170</v>
      </c>
      <c r="F158" s="355"/>
      <c r="G158" s="355"/>
    </row>
    <row r="159" spans="1:7" x14ac:dyDescent="0.25">
      <c r="A159" s="370" t="s">
        <v>561</v>
      </c>
      <c r="F159" s="355"/>
      <c r="G159" s="355"/>
    </row>
    <row r="160" spans="1:7" x14ac:dyDescent="0.25">
      <c r="A160" s="370" t="s">
        <v>562</v>
      </c>
      <c r="F160" s="355"/>
      <c r="G160" s="355"/>
    </row>
    <row r="161" spans="1:7" x14ac:dyDescent="0.25">
      <c r="A161" s="370" t="s">
        <v>563</v>
      </c>
      <c r="F161" s="355"/>
      <c r="G161" s="355"/>
    </row>
    <row r="162" spans="1:7" x14ac:dyDescent="0.25">
      <c r="A162" s="370" t="s">
        <v>564</v>
      </c>
      <c r="B162" s="359">
        <v>1</v>
      </c>
      <c r="F162" s="355"/>
      <c r="G162" s="355"/>
    </row>
    <row r="163" spans="1:7" x14ac:dyDescent="0.25">
      <c r="A163" s="370" t="s">
        <v>565</v>
      </c>
      <c r="B163" s="359">
        <v>1</v>
      </c>
      <c r="F163" s="355"/>
      <c r="G163" s="355"/>
    </row>
    <row r="164" spans="1:7" x14ac:dyDescent="0.25">
      <c r="A164" s="370" t="s">
        <v>566</v>
      </c>
      <c r="F164" s="355"/>
      <c r="G164" s="355"/>
    </row>
    <row r="165" spans="1:7" x14ac:dyDescent="0.25">
      <c r="A165" s="370" t="s">
        <v>567</v>
      </c>
      <c r="F165" s="355"/>
      <c r="G165" s="355"/>
    </row>
    <row r="166" spans="1:7" x14ac:dyDescent="0.25">
      <c r="A166" s="370" t="s">
        <v>568</v>
      </c>
      <c r="F166" s="355"/>
      <c r="G166" s="355"/>
    </row>
    <row r="167" spans="1:7" x14ac:dyDescent="0.25">
      <c r="A167" s="370" t="s">
        <v>569</v>
      </c>
      <c r="B167" s="360" t="s">
        <v>170</v>
      </c>
      <c r="F167" s="355"/>
      <c r="G167" s="355"/>
    </row>
    <row r="168" spans="1:7" x14ac:dyDescent="0.25">
      <c r="F168" s="355"/>
      <c r="G168" s="355"/>
    </row>
    <row r="169" spans="1:7" x14ac:dyDescent="0.25">
      <c r="A169" s="407" t="s">
        <v>570</v>
      </c>
      <c r="F169" s="355"/>
      <c r="G169" s="355"/>
    </row>
    <row r="170" spans="1:7" x14ac:dyDescent="0.25">
      <c r="A170" s="355" t="s">
        <v>571</v>
      </c>
      <c r="F170" s="355"/>
      <c r="G170" s="355"/>
    </row>
    <row r="171" spans="1:7" x14ac:dyDescent="0.25">
      <c r="A171" s="370" t="s">
        <v>572</v>
      </c>
      <c r="B171" s="360" t="s">
        <v>573</v>
      </c>
      <c r="F171" s="355"/>
      <c r="G171" s="355"/>
    </row>
    <row r="172" spans="1:7" x14ac:dyDescent="0.25">
      <c r="A172" s="355" t="s">
        <v>574</v>
      </c>
      <c r="F172" s="355"/>
      <c r="G172" s="355"/>
    </row>
    <row r="173" spans="1:7" x14ac:dyDescent="0.25">
      <c r="A173" s="370" t="s">
        <v>575</v>
      </c>
      <c r="F173" s="355"/>
      <c r="G173" s="355"/>
    </row>
    <row r="174" spans="1:7" x14ac:dyDescent="0.25">
      <c r="A174" s="355" t="s">
        <v>576</v>
      </c>
      <c r="B174" s="355"/>
      <c r="F174" s="355"/>
      <c r="G174" s="355"/>
    </row>
    <row r="175" spans="1:7" x14ac:dyDescent="0.25">
      <c r="A175" s="355" t="s">
        <v>577</v>
      </c>
      <c r="F175" s="355"/>
      <c r="G175" s="355"/>
    </row>
    <row r="176" spans="1:7" x14ac:dyDescent="0.25">
      <c r="A176" s="355" t="s">
        <v>578</v>
      </c>
      <c r="B176" s="408" t="s">
        <v>579</v>
      </c>
      <c r="F176" s="355"/>
      <c r="G176" s="355"/>
    </row>
    <row r="177" spans="1:7" x14ac:dyDescent="0.25">
      <c r="A177" s="370" t="s">
        <v>580</v>
      </c>
      <c r="B177" s="408" t="s">
        <v>581</v>
      </c>
      <c r="F177" s="355"/>
      <c r="G177" s="355"/>
    </row>
    <row r="178" spans="1:7" x14ac:dyDescent="0.25">
      <c r="A178" s="355" t="s">
        <v>582</v>
      </c>
      <c r="B178" s="370"/>
      <c r="F178" s="355"/>
      <c r="G178" s="355"/>
    </row>
    <row r="179" spans="1:7" x14ac:dyDescent="0.25">
      <c r="A179" s="355" t="s">
        <v>583</v>
      </c>
      <c r="F179" s="355"/>
      <c r="G179" s="355"/>
    </row>
    <row r="180" spans="1:7" x14ac:dyDescent="0.25">
      <c r="A180" s="355" t="s">
        <v>584</v>
      </c>
    </row>
    <row r="181" spans="1:7" x14ac:dyDescent="0.25">
      <c r="A181" s="355" t="s">
        <v>585</v>
      </c>
      <c r="F181" s="355"/>
      <c r="G181" s="355"/>
    </row>
    <row r="182" spans="1:7" x14ac:dyDescent="0.25">
      <c r="A182" s="355" t="s">
        <v>586</v>
      </c>
      <c r="F182" s="355"/>
      <c r="G182" s="355"/>
    </row>
    <row r="183" spans="1:7" x14ac:dyDescent="0.25">
      <c r="A183" s="355" t="s">
        <v>587</v>
      </c>
      <c r="F183" s="355"/>
      <c r="G183" s="355"/>
    </row>
    <row r="184" spans="1:7" x14ac:dyDescent="0.25">
      <c r="A184" s="355" t="s">
        <v>588</v>
      </c>
      <c r="F184" s="355"/>
      <c r="G184" s="355"/>
    </row>
    <row r="185" spans="1:7" x14ac:dyDescent="0.25">
      <c r="A185" s="355" t="s">
        <v>589</v>
      </c>
      <c r="B185" s="370"/>
    </row>
    <row r="186" spans="1:7" x14ac:dyDescent="0.25">
      <c r="A186" s="355" t="s">
        <v>590</v>
      </c>
      <c r="F186" s="355"/>
      <c r="G186" s="355"/>
    </row>
    <row r="187" spans="1:7" x14ac:dyDescent="0.25">
      <c r="A187" s="355" t="s">
        <v>591</v>
      </c>
      <c r="C187" s="370" t="s">
        <v>592</v>
      </c>
      <c r="F187" s="355"/>
      <c r="G187" s="355"/>
    </row>
    <row r="188" spans="1:7" x14ac:dyDescent="0.25">
      <c r="A188" s="355" t="s">
        <v>593</v>
      </c>
      <c r="C188" s="370"/>
      <c r="F188" s="355"/>
      <c r="G188" s="355"/>
    </row>
    <row r="189" spans="1:7" x14ac:dyDescent="0.25">
      <c r="A189" s="355" t="s">
        <v>594</v>
      </c>
      <c r="B189" s="355" t="s">
        <v>595</v>
      </c>
      <c r="F189" s="355"/>
      <c r="G189" s="355"/>
    </row>
    <row r="190" spans="1:7" x14ac:dyDescent="0.25">
      <c r="A190" s="355" t="s">
        <v>596</v>
      </c>
      <c r="F190" s="355"/>
      <c r="G190" s="355"/>
    </row>
    <row r="191" spans="1:7" x14ac:dyDescent="0.25">
      <c r="A191" s="355" t="s">
        <v>597</v>
      </c>
      <c r="F191" s="355"/>
      <c r="G191" s="355"/>
    </row>
    <row r="192" spans="1:7" x14ac:dyDescent="0.25">
      <c r="A192" s="355" t="s">
        <v>598</v>
      </c>
    </row>
    <row r="193" spans="1:7" x14ac:dyDescent="0.25">
      <c r="A193" s="355" t="s">
        <v>599</v>
      </c>
      <c r="B193" s="370"/>
      <c r="F193" s="355"/>
      <c r="G193" s="355"/>
    </row>
    <row r="194" spans="1:7" x14ac:dyDescent="0.25">
      <c r="A194" s="355" t="s">
        <v>600</v>
      </c>
      <c r="B194" s="370"/>
      <c r="F194" s="355"/>
      <c r="G194" s="355"/>
    </row>
    <row r="195" spans="1:7" x14ac:dyDescent="0.25">
      <c r="A195" s="355" t="s">
        <v>601</v>
      </c>
      <c r="B195" s="370"/>
      <c r="F195" s="355"/>
      <c r="G195" s="355"/>
    </row>
    <row r="196" spans="1:7" x14ac:dyDescent="0.25">
      <c r="A196" s="355" t="s">
        <v>602</v>
      </c>
      <c r="F196" s="355"/>
      <c r="G196" s="355"/>
    </row>
    <row r="197" spans="1:7" x14ac:dyDescent="0.25">
      <c r="F197" s="355"/>
      <c r="G197" s="355"/>
    </row>
    <row r="198" spans="1:7" x14ac:dyDescent="0.25">
      <c r="A198" s="407" t="s">
        <v>603</v>
      </c>
      <c r="E198" s="408"/>
      <c r="F198" s="355"/>
      <c r="G198" s="355"/>
    </row>
    <row r="199" spans="1:7" x14ac:dyDescent="0.25">
      <c r="A199" s="370" t="s">
        <v>604</v>
      </c>
      <c r="E199" s="409"/>
      <c r="F199" s="355"/>
      <c r="G199" s="355"/>
    </row>
    <row r="200" spans="1:7" x14ac:dyDescent="0.25">
      <c r="A200" s="370" t="s">
        <v>605</v>
      </c>
      <c r="E200" s="409"/>
      <c r="F200" s="355"/>
      <c r="G200" s="355"/>
    </row>
    <row r="201" spans="1:7" x14ac:dyDescent="0.25">
      <c r="A201" s="370" t="s">
        <v>606</v>
      </c>
      <c r="E201" s="409"/>
      <c r="F201" s="355"/>
      <c r="G201" s="355"/>
    </row>
    <row r="202" spans="1:7" x14ac:dyDescent="0.25">
      <c r="A202" s="370" t="s">
        <v>607</v>
      </c>
      <c r="E202" s="409"/>
      <c r="F202" s="355"/>
      <c r="G202" s="355"/>
    </row>
    <row r="203" spans="1:7" x14ac:dyDescent="0.25">
      <c r="A203" s="355" t="s">
        <v>608</v>
      </c>
      <c r="E203" s="409"/>
      <c r="F203" s="355"/>
      <c r="G203" s="355"/>
    </row>
    <row r="204" spans="1:7" x14ac:dyDescent="0.25">
      <c r="D204" s="408"/>
      <c r="E204" s="409"/>
      <c r="F204" s="355"/>
      <c r="G204" s="355"/>
    </row>
    <row r="205" spans="1:7" x14ac:dyDescent="0.25">
      <c r="A205" s="406" t="s">
        <v>609</v>
      </c>
      <c r="D205" s="408"/>
      <c r="E205" s="408"/>
      <c r="F205" s="355"/>
      <c r="G205" s="355"/>
    </row>
    <row r="206" spans="1:7" x14ac:dyDescent="0.25">
      <c r="A206" s="370" t="s">
        <v>610</v>
      </c>
      <c r="D206" s="408"/>
      <c r="E206" s="409"/>
    </row>
    <row r="207" spans="1:7" x14ac:dyDescent="0.25">
      <c r="A207" s="370" t="s">
        <v>611</v>
      </c>
      <c r="D207" s="408"/>
      <c r="E207" s="409"/>
      <c r="F207" s="355"/>
      <c r="G207" s="355"/>
    </row>
    <row r="208" spans="1:7" x14ac:dyDescent="0.25">
      <c r="A208" s="370" t="s">
        <v>612</v>
      </c>
      <c r="D208" s="408"/>
      <c r="E208" s="409"/>
      <c r="F208" s="355"/>
      <c r="G208" s="355"/>
    </row>
    <row r="209" spans="1:7" x14ac:dyDescent="0.25">
      <c r="F209" s="355"/>
      <c r="G209" s="355"/>
    </row>
    <row r="210" spans="1:7" x14ac:dyDescent="0.25">
      <c r="A210" s="407" t="s">
        <v>613</v>
      </c>
      <c r="F210" s="355"/>
      <c r="G210" s="355"/>
    </row>
    <row r="211" spans="1:7" x14ac:dyDescent="0.25">
      <c r="A211" s="370" t="s">
        <v>614</v>
      </c>
      <c r="F211" s="355"/>
      <c r="G211" s="355"/>
    </row>
    <row r="212" spans="1:7" x14ac:dyDescent="0.25">
      <c r="A212" s="370" t="s">
        <v>615</v>
      </c>
      <c r="F212" s="355"/>
      <c r="G212" s="355"/>
    </row>
    <row r="213" spans="1:7" x14ac:dyDescent="0.25">
      <c r="A213" s="370" t="s">
        <v>616</v>
      </c>
    </row>
    <row r="214" spans="1:7" x14ac:dyDescent="0.25">
      <c r="A214" s="370" t="s">
        <v>617</v>
      </c>
    </row>
    <row r="215" spans="1:7" x14ac:dyDescent="0.25">
      <c r="A215" s="370" t="s">
        <v>618</v>
      </c>
    </row>
    <row r="216" spans="1:7" x14ac:dyDescent="0.25">
      <c r="A216" s="370" t="s">
        <v>619</v>
      </c>
    </row>
    <row r="217" spans="1:7" x14ac:dyDescent="0.25">
      <c r="A217" s="370" t="s">
        <v>620</v>
      </c>
    </row>
    <row r="218" spans="1:7" x14ac:dyDescent="0.25">
      <c r="A218" s="370" t="s">
        <v>621</v>
      </c>
    </row>
    <row r="219" spans="1:7" x14ac:dyDescent="0.25">
      <c r="A219" s="370" t="s">
        <v>622</v>
      </c>
    </row>
    <row r="220" spans="1:7" ht="15.75" thickBot="1" x14ac:dyDescent="0.3"/>
    <row r="221" spans="1:7" x14ac:dyDescent="0.25">
      <c r="A221" s="410" t="s">
        <v>623</v>
      </c>
      <c r="B221" s="411"/>
      <c r="C221" s="412" t="s">
        <v>624</v>
      </c>
      <c r="D221" s="413" t="s">
        <v>625</v>
      </c>
      <c r="E221" s="414"/>
      <c r="F221" s="415"/>
      <c r="G221" s="355"/>
    </row>
    <row r="222" spans="1:7" x14ac:dyDescent="0.25">
      <c r="A222" s="416" t="s">
        <v>626</v>
      </c>
      <c r="B222" s="417" t="s">
        <v>627</v>
      </c>
      <c r="C222" s="418" t="s">
        <v>628</v>
      </c>
      <c r="D222" s="419" t="s">
        <v>629</v>
      </c>
      <c r="E222" s="419"/>
      <c r="F222" s="420"/>
      <c r="G222" s="355"/>
    </row>
    <row r="223" spans="1:7" x14ac:dyDescent="0.25">
      <c r="A223" s="416" t="s">
        <v>630</v>
      </c>
      <c r="B223" s="417" t="s">
        <v>627</v>
      </c>
      <c r="C223" s="418" t="s">
        <v>631</v>
      </c>
      <c r="D223" s="419" t="s">
        <v>632</v>
      </c>
      <c r="E223" s="419"/>
      <c r="F223" s="420"/>
      <c r="G223" s="355"/>
    </row>
    <row r="224" spans="1:7" x14ac:dyDescent="0.25">
      <c r="A224" s="416" t="s">
        <v>633</v>
      </c>
      <c r="B224" s="417" t="s">
        <v>627</v>
      </c>
      <c r="C224" s="418" t="s">
        <v>631</v>
      </c>
      <c r="D224" s="419" t="s">
        <v>634</v>
      </c>
      <c r="E224" s="419"/>
      <c r="F224" s="420"/>
      <c r="G224" s="355"/>
    </row>
    <row r="225" spans="1:7" x14ac:dyDescent="0.25">
      <c r="A225" s="416" t="s">
        <v>635</v>
      </c>
      <c r="B225" s="421" t="s">
        <v>627</v>
      </c>
      <c r="C225" s="418" t="s">
        <v>631</v>
      </c>
      <c r="D225" s="419" t="s">
        <v>636</v>
      </c>
      <c r="E225" s="419"/>
      <c r="F225" s="420"/>
      <c r="G225" s="355"/>
    </row>
    <row r="226" spans="1:7" x14ac:dyDescent="0.25">
      <c r="A226" s="416" t="s">
        <v>637</v>
      </c>
      <c r="B226" s="417" t="s">
        <v>627</v>
      </c>
      <c r="C226" s="418" t="s">
        <v>638</v>
      </c>
      <c r="D226" s="419" t="s">
        <v>639</v>
      </c>
      <c r="E226" s="419"/>
      <c r="F226" s="420"/>
      <c r="G226" s="355"/>
    </row>
    <row r="227" spans="1:7" x14ac:dyDescent="0.25">
      <c r="A227" s="416" t="s">
        <v>640</v>
      </c>
      <c r="B227" s="417" t="s">
        <v>627</v>
      </c>
      <c r="C227" s="418" t="s">
        <v>641</v>
      </c>
      <c r="D227" s="419" t="s">
        <v>642</v>
      </c>
      <c r="E227" s="419"/>
      <c r="F227" s="420"/>
      <c r="G227" s="355"/>
    </row>
    <row r="228" spans="1:7" x14ac:dyDescent="0.25">
      <c r="A228" s="416" t="s">
        <v>643</v>
      </c>
      <c r="B228" s="417" t="s">
        <v>627</v>
      </c>
      <c r="C228" s="418" t="s">
        <v>644</v>
      </c>
      <c r="D228" s="419" t="s">
        <v>645</v>
      </c>
      <c r="E228" s="419"/>
      <c r="F228" s="420"/>
      <c r="G228" s="355"/>
    </row>
    <row r="229" spans="1:7" x14ac:dyDescent="0.25">
      <c r="A229" s="416" t="s">
        <v>638</v>
      </c>
      <c r="B229" s="417" t="s">
        <v>627</v>
      </c>
      <c r="C229" s="418" t="s">
        <v>646</v>
      </c>
      <c r="D229" s="419" t="s">
        <v>647</v>
      </c>
      <c r="E229" s="419"/>
      <c r="F229" s="420"/>
      <c r="G229" s="355"/>
    </row>
    <row r="230" spans="1:7" x14ac:dyDescent="0.25">
      <c r="A230" s="416" t="s">
        <v>648</v>
      </c>
      <c r="B230" s="417" t="s">
        <v>627</v>
      </c>
      <c r="C230" s="418" t="s">
        <v>646</v>
      </c>
      <c r="D230" s="419" t="s">
        <v>649</v>
      </c>
      <c r="E230" s="419"/>
      <c r="F230" s="420"/>
      <c r="G230" s="355"/>
    </row>
    <row r="231" spans="1:7" x14ac:dyDescent="0.25">
      <c r="A231" s="416" t="s">
        <v>650</v>
      </c>
      <c r="B231" s="417" t="s">
        <v>627</v>
      </c>
      <c r="C231" s="418" t="s">
        <v>646</v>
      </c>
      <c r="D231" s="419" t="s">
        <v>651</v>
      </c>
      <c r="E231" s="419"/>
      <c r="F231" s="420"/>
      <c r="G231" s="355"/>
    </row>
    <row r="232" spans="1:7" x14ac:dyDescent="0.25">
      <c r="A232" s="416" t="s">
        <v>652</v>
      </c>
      <c r="B232" s="417" t="s">
        <v>627</v>
      </c>
      <c r="C232" s="418" t="s">
        <v>633</v>
      </c>
      <c r="D232" s="421" t="s">
        <v>653</v>
      </c>
      <c r="E232" s="419"/>
      <c r="F232" s="420"/>
      <c r="G232" s="355"/>
    </row>
    <row r="233" spans="1:7" x14ac:dyDescent="0.25">
      <c r="A233" s="416" t="s">
        <v>654</v>
      </c>
      <c r="B233" s="417" t="s">
        <v>627</v>
      </c>
      <c r="C233" s="418" t="s">
        <v>633</v>
      </c>
      <c r="D233" s="419" t="s">
        <v>655</v>
      </c>
      <c r="E233" s="419"/>
      <c r="F233" s="420"/>
      <c r="G233" s="355"/>
    </row>
    <row r="234" spans="1:7" x14ac:dyDescent="0.25">
      <c r="A234" s="416" t="s">
        <v>656</v>
      </c>
      <c r="B234" s="417" t="s">
        <v>657</v>
      </c>
      <c r="C234" s="418" t="s">
        <v>658</v>
      </c>
      <c r="D234" s="419" t="s">
        <v>659</v>
      </c>
      <c r="E234" s="419"/>
      <c r="F234" s="420"/>
      <c r="G234" s="355"/>
    </row>
    <row r="235" spans="1:7" x14ac:dyDescent="0.25">
      <c r="A235" s="416" t="s">
        <v>660</v>
      </c>
      <c r="B235" s="417" t="s">
        <v>657</v>
      </c>
      <c r="C235" s="418" t="s">
        <v>635</v>
      </c>
      <c r="D235" s="419" t="s">
        <v>661</v>
      </c>
      <c r="E235" s="419"/>
      <c r="F235" s="420"/>
      <c r="G235" s="355"/>
    </row>
    <row r="236" spans="1:7" x14ac:dyDescent="0.25">
      <c r="A236" s="416" t="s">
        <v>662</v>
      </c>
      <c r="B236" s="417" t="s">
        <v>663</v>
      </c>
      <c r="C236" s="418" t="s">
        <v>643</v>
      </c>
      <c r="D236" s="419" t="s">
        <v>664</v>
      </c>
      <c r="E236" s="419"/>
      <c r="F236" s="420"/>
      <c r="G236" s="355"/>
    </row>
    <row r="237" spans="1:7" x14ac:dyDescent="0.25">
      <c r="A237" s="416" t="s">
        <v>658</v>
      </c>
      <c r="B237" s="421" t="s">
        <v>663</v>
      </c>
      <c r="C237" s="418" t="s">
        <v>660</v>
      </c>
      <c r="D237" s="419" t="s">
        <v>665</v>
      </c>
      <c r="E237" s="419"/>
      <c r="F237" s="420"/>
      <c r="G237" s="355"/>
    </row>
    <row r="238" spans="1:7" x14ac:dyDescent="0.25">
      <c r="A238" s="416" t="s">
        <v>644</v>
      </c>
      <c r="B238" s="421" t="s">
        <v>663</v>
      </c>
      <c r="C238" s="418" t="s">
        <v>660</v>
      </c>
      <c r="D238" s="419" t="s">
        <v>666</v>
      </c>
      <c r="E238" s="419"/>
      <c r="F238" s="420"/>
      <c r="G238" s="355"/>
    </row>
    <row r="239" spans="1:7" x14ac:dyDescent="0.25">
      <c r="A239" s="416" t="s">
        <v>667</v>
      </c>
      <c r="B239" s="421" t="s">
        <v>663</v>
      </c>
      <c r="C239" s="418" t="s">
        <v>640</v>
      </c>
      <c r="D239" s="419" t="s">
        <v>668</v>
      </c>
      <c r="E239" s="419"/>
      <c r="F239" s="420"/>
      <c r="G239" s="355"/>
    </row>
    <row r="240" spans="1:7" x14ac:dyDescent="0.25">
      <c r="A240" s="416" t="s">
        <v>669</v>
      </c>
      <c r="B240" s="417" t="s">
        <v>663</v>
      </c>
      <c r="C240" s="418" t="s">
        <v>669</v>
      </c>
      <c r="D240" s="419" t="s">
        <v>670</v>
      </c>
      <c r="E240" s="419"/>
      <c r="F240" s="420"/>
      <c r="G240" s="355"/>
    </row>
    <row r="241" spans="1:7" x14ac:dyDescent="0.25">
      <c r="A241" s="416" t="s">
        <v>671</v>
      </c>
      <c r="B241" s="417" t="s">
        <v>663</v>
      </c>
      <c r="C241" s="418" t="s">
        <v>630</v>
      </c>
      <c r="D241" s="419" t="s">
        <v>672</v>
      </c>
      <c r="E241" s="419"/>
      <c r="F241" s="420"/>
      <c r="G241" s="355"/>
    </row>
    <row r="242" spans="1:7" x14ac:dyDescent="0.25">
      <c r="A242" s="416" t="s">
        <v>673</v>
      </c>
      <c r="B242" s="417" t="s">
        <v>663</v>
      </c>
      <c r="C242" s="418" t="s">
        <v>635</v>
      </c>
      <c r="D242" s="419" t="s">
        <v>674</v>
      </c>
      <c r="E242" s="419"/>
      <c r="F242" s="420"/>
      <c r="G242" s="355"/>
    </row>
    <row r="243" spans="1:7" x14ac:dyDescent="0.25">
      <c r="A243" s="416" t="s">
        <v>675</v>
      </c>
      <c r="B243" s="421" t="s">
        <v>663</v>
      </c>
      <c r="C243" s="418" t="s">
        <v>637</v>
      </c>
      <c r="D243" s="419" t="s">
        <v>676</v>
      </c>
      <c r="E243" s="419"/>
      <c r="F243" s="420"/>
      <c r="G243" s="355"/>
    </row>
    <row r="244" spans="1:7" x14ac:dyDescent="0.25">
      <c r="A244" s="416" t="s">
        <v>677</v>
      </c>
      <c r="B244" s="417" t="s">
        <v>663</v>
      </c>
      <c r="C244" s="418" t="s">
        <v>637</v>
      </c>
      <c r="D244" s="419" t="s">
        <v>678</v>
      </c>
      <c r="E244" s="419"/>
      <c r="F244" s="420"/>
      <c r="G244" s="355"/>
    </row>
    <row r="245" spans="1:7" x14ac:dyDescent="0.25">
      <c r="A245" s="416" t="s">
        <v>679</v>
      </c>
      <c r="B245" s="417" t="s">
        <v>680</v>
      </c>
      <c r="C245" s="418" t="s">
        <v>626</v>
      </c>
      <c r="D245" s="419" t="s">
        <v>681</v>
      </c>
      <c r="E245" s="419"/>
      <c r="F245" s="420"/>
      <c r="G245" s="355"/>
    </row>
    <row r="246" spans="1:7" x14ac:dyDescent="0.25">
      <c r="A246" s="416" t="s">
        <v>628</v>
      </c>
      <c r="B246" s="417" t="s">
        <v>680</v>
      </c>
      <c r="C246" s="418" t="s">
        <v>626</v>
      </c>
      <c r="D246" s="419" t="s">
        <v>682</v>
      </c>
      <c r="E246" s="419"/>
      <c r="F246" s="420"/>
      <c r="G246" s="355"/>
    </row>
    <row r="247" spans="1:7" x14ac:dyDescent="0.25">
      <c r="A247" s="416" t="s">
        <v>683</v>
      </c>
      <c r="B247" s="417" t="s">
        <v>680</v>
      </c>
      <c r="C247" s="418" t="s">
        <v>626</v>
      </c>
      <c r="D247" s="419" t="s">
        <v>684</v>
      </c>
      <c r="E247" s="419"/>
      <c r="F247" s="420"/>
      <c r="G247" s="355"/>
    </row>
    <row r="248" spans="1:7" x14ac:dyDescent="0.25">
      <c r="A248" s="416" t="s">
        <v>685</v>
      </c>
      <c r="B248" s="417" t="s">
        <v>680</v>
      </c>
      <c r="C248" s="418" t="s">
        <v>648</v>
      </c>
      <c r="D248" s="419" t="s">
        <v>686</v>
      </c>
      <c r="E248" s="419"/>
      <c r="F248" s="420"/>
      <c r="G248" s="355"/>
    </row>
    <row r="249" spans="1:7" x14ac:dyDescent="0.25">
      <c r="A249" s="416" t="s">
        <v>641</v>
      </c>
      <c r="B249" s="417" t="s">
        <v>680</v>
      </c>
      <c r="C249" s="418" t="s">
        <v>652</v>
      </c>
      <c r="D249" s="419" t="s">
        <v>687</v>
      </c>
      <c r="E249" s="419"/>
      <c r="F249" s="420"/>
      <c r="G249" s="355"/>
    </row>
    <row r="250" spans="1:7" x14ac:dyDescent="0.25">
      <c r="A250" s="416" t="s">
        <v>688</v>
      </c>
      <c r="B250" s="417" t="s">
        <v>680</v>
      </c>
      <c r="C250" s="418" t="s">
        <v>652</v>
      </c>
      <c r="D250" s="419" t="s">
        <v>689</v>
      </c>
      <c r="E250" s="419"/>
      <c r="F250" s="420"/>
      <c r="G250" s="355"/>
    </row>
    <row r="251" spans="1:7" x14ac:dyDescent="0.25">
      <c r="A251" s="416" t="s">
        <v>690</v>
      </c>
      <c r="B251" s="417" t="s">
        <v>680</v>
      </c>
      <c r="C251" s="418" t="s">
        <v>652</v>
      </c>
      <c r="D251" s="419" t="s">
        <v>691</v>
      </c>
      <c r="E251" s="419"/>
      <c r="F251" s="420"/>
      <c r="G251" s="355"/>
    </row>
    <row r="252" spans="1:7" x14ac:dyDescent="0.25">
      <c r="A252" s="416" t="s">
        <v>692</v>
      </c>
      <c r="B252" s="417" t="s">
        <v>692</v>
      </c>
      <c r="C252" s="418" t="s">
        <v>656</v>
      </c>
      <c r="D252" s="419" t="s">
        <v>693</v>
      </c>
      <c r="E252" s="419"/>
      <c r="F252" s="420"/>
      <c r="G252" s="355"/>
    </row>
    <row r="253" spans="1:7" x14ac:dyDescent="0.25">
      <c r="A253" s="416" t="s">
        <v>631</v>
      </c>
      <c r="B253" s="417" t="s">
        <v>631</v>
      </c>
      <c r="C253" s="418" t="s">
        <v>656</v>
      </c>
      <c r="D253" s="419" t="s">
        <v>694</v>
      </c>
      <c r="E253" s="419"/>
      <c r="F253" s="420"/>
      <c r="G253" s="355"/>
    </row>
    <row r="254" spans="1:7" ht="15.75" thickBot="1" x14ac:dyDescent="0.3">
      <c r="A254" s="422" t="s">
        <v>646</v>
      </c>
      <c r="B254" s="423" t="s">
        <v>646</v>
      </c>
      <c r="C254" s="418" t="s">
        <v>656</v>
      </c>
      <c r="D254" s="419" t="s">
        <v>695</v>
      </c>
      <c r="E254" s="419"/>
      <c r="F254" s="420"/>
      <c r="G254" s="355"/>
    </row>
    <row r="255" spans="1:7" x14ac:dyDescent="0.25">
      <c r="C255" s="418" t="s">
        <v>630</v>
      </c>
      <c r="D255" s="419" t="s">
        <v>696</v>
      </c>
      <c r="E255" s="419"/>
      <c r="F255" s="420"/>
      <c r="G255" s="355"/>
    </row>
    <row r="256" spans="1:7" x14ac:dyDescent="0.25">
      <c r="C256" s="418" t="s">
        <v>630</v>
      </c>
      <c r="D256" s="419" t="s">
        <v>697</v>
      </c>
      <c r="E256" s="419"/>
      <c r="F256" s="420"/>
      <c r="G256" s="355"/>
    </row>
    <row r="257" spans="2:7" x14ac:dyDescent="0.25">
      <c r="C257" s="418" t="s">
        <v>630</v>
      </c>
      <c r="D257" s="419" t="s">
        <v>698</v>
      </c>
      <c r="E257" s="419"/>
      <c r="F257" s="420"/>
      <c r="G257" s="355"/>
    </row>
    <row r="258" spans="2:7" x14ac:dyDescent="0.25">
      <c r="C258" s="418" t="s">
        <v>654</v>
      </c>
      <c r="D258" s="419" t="s">
        <v>699</v>
      </c>
      <c r="E258" s="419"/>
      <c r="F258" s="420"/>
      <c r="G258" s="355"/>
    </row>
    <row r="259" spans="2:7" x14ac:dyDescent="0.25">
      <c r="C259" s="418" t="s">
        <v>635</v>
      </c>
      <c r="D259" s="419" t="s">
        <v>700</v>
      </c>
      <c r="E259" s="419"/>
      <c r="F259" s="420"/>
      <c r="G259" s="355"/>
    </row>
    <row r="260" spans="2:7" x14ac:dyDescent="0.25">
      <c r="C260" s="418" t="s">
        <v>650</v>
      </c>
      <c r="D260" s="419" t="s">
        <v>701</v>
      </c>
      <c r="E260" s="419"/>
      <c r="F260" s="420"/>
      <c r="G260" s="355"/>
    </row>
    <row r="261" spans="2:7" x14ac:dyDescent="0.25">
      <c r="C261" s="418" t="s">
        <v>658</v>
      </c>
      <c r="D261" s="419" t="s">
        <v>702</v>
      </c>
      <c r="E261" s="419"/>
      <c r="F261" s="420"/>
      <c r="G261" s="355"/>
    </row>
    <row r="262" spans="2:7" x14ac:dyDescent="0.25">
      <c r="C262" s="418" t="s">
        <v>631</v>
      </c>
      <c r="D262" s="419" t="s">
        <v>703</v>
      </c>
      <c r="E262" s="419"/>
      <c r="F262" s="420"/>
      <c r="G262" s="355"/>
    </row>
    <row r="263" spans="2:7" x14ac:dyDescent="0.25">
      <c r="C263" s="418" t="s">
        <v>631</v>
      </c>
      <c r="D263" s="419" t="s">
        <v>704</v>
      </c>
      <c r="E263" s="419"/>
      <c r="F263" s="420"/>
      <c r="G263" s="355"/>
    </row>
    <row r="264" spans="2:7" x14ac:dyDescent="0.25">
      <c r="B264" s="355"/>
      <c r="C264" s="418" t="s">
        <v>644</v>
      </c>
      <c r="D264" s="419" t="s">
        <v>705</v>
      </c>
      <c r="E264" s="419"/>
      <c r="F264" s="420"/>
      <c r="G264" s="355"/>
    </row>
    <row r="265" spans="2:7" x14ac:dyDescent="0.25">
      <c r="B265" s="355"/>
      <c r="C265" s="418" t="s">
        <v>644</v>
      </c>
      <c r="D265" s="419" t="s">
        <v>706</v>
      </c>
      <c r="E265" s="419"/>
      <c r="F265" s="420"/>
      <c r="G265" s="355"/>
    </row>
    <row r="266" spans="2:7" x14ac:dyDescent="0.25">
      <c r="B266" s="355"/>
      <c r="C266" s="418" t="s">
        <v>675</v>
      </c>
      <c r="D266" s="419" t="s">
        <v>707</v>
      </c>
      <c r="E266" s="419"/>
      <c r="F266" s="420"/>
      <c r="G266" s="355"/>
    </row>
    <row r="267" spans="2:7" x14ac:dyDescent="0.25">
      <c r="B267" s="355"/>
      <c r="C267" s="418" t="s">
        <v>673</v>
      </c>
      <c r="D267" s="419" t="s">
        <v>708</v>
      </c>
      <c r="E267" s="419"/>
      <c r="F267" s="420"/>
      <c r="G267" s="355"/>
    </row>
    <row r="268" spans="2:7" x14ac:dyDescent="0.25">
      <c r="B268" s="355"/>
      <c r="C268" s="418" t="s">
        <v>673</v>
      </c>
      <c r="D268" s="419" t="s">
        <v>709</v>
      </c>
      <c r="E268" s="419"/>
      <c r="F268" s="420"/>
      <c r="G268" s="355"/>
    </row>
    <row r="269" spans="2:7" x14ac:dyDescent="0.25">
      <c r="B269" s="355"/>
      <c r="C269" s="418" t="s">
        <v>673</v>
      </c>
      <c r="D269" s="419" t="s">
        <v>710</v>
      </c>
      <c r="E269" s="419"/>
      <c r="F269" s="420"/>
      <c r="G269" s="355"/>
    </row>
    <row r="270" spans="2:7" x14ac:dyDescent="0.25">
      <c r="B270" s="355"/>
      <c r="C270" s="418" t="s">
        <v>662</v>
      </c>
      <c r="D270" s="419" t="s">
        <v>711</v>
      </c>
      <c r="E270" s="419"/>
      <c r="F270" s="420"/>
      <c r="G270" s="355"/>
    </row>
    <row r="271" spans="2:7" x14ac:dyDescent="0.25">
      <c r="B271" s="355"/>
      <c r="C271" s="418" t="s">
        <v>662</v>
      </c>
      <c r="D271" s="419" t="s">
        <v>712</v>
      </c>
      <c r="E271" s="419"/>
      <c r="F271" s="420"/>
      <c r="G271" s="355"/>
    </row>
    <row r="272" spans="2:7" x14ac:dyDescent="0.25">
      <c r="B272" s="355"/>
      <c r="C272" s="418" t="s">
        <v>662</v>
      </c>
      <c r="D272" s="419" t="s">
        <v>713</v>
      </c>
      <c r="E272" s="419"/>
      <c r="F272" s="420"/>
      <c r="G272" s="355"/>
    </row>
    <row r="273" spans="2:7" x14ac:dyDescent="0.25">
      <c r="B273" s="355"/>
      <c r="C273" s="418" t="s">
        <v>667</v>
      </c>
      <c r="D273" s="419" t="s">
        <v>714</v>
      </c>
      <c r="E273" s="419"/>
      <c r="F273" s="420"/>
      <c r="G273" s="355"/>
    </row>
    <row r="274" spans="2:7" x14ac:dyDescent="0.25">
      <c r="B274" s="355"/>
      <c r="C274" s="418" t="s">
        <v>667</v>
      </c>
      <c r="D274" s="419" t="s">
        <v>715</v>
      </c>
      <c r="E274" s="419"/>
      <c r="F274" s="420"/>
      <c r="G274" s="355"/>
    </row>
    <row r="275" spans="2:7" x14ac:dyDescent="0.25">
      <c r="B275" s="355"/>
      <c r="C275" s="418" t="s">
        <v>667</v>
      </c>
      <c r="D275" s="419" t="s">
        <v>716</v>
      </c>
      <c r="E275" s="419"/>
      <c r="F275" s="420"/>
      <c r="G275" s="355"/>
    </row>
    <row r="276" spans="2:7" x14ac:dyDescent="0.25">
      <c r="B276" s="355"/>
      <c r="C276" s="418" t="s">
        <v>671</v>
      </c>
      <c r="D276" s="419" t="s">
        <v>717</v>
      </c>
      <c r="E276" s="419"/>
      <c r="F276" s="420"/>
      <c r="G276" s="355"/>
    </row>
    <row r="277" spans="2:7" x14ac:dyDescent="0.25">
      <c r="B277" s="355"/>
      <c r="C277" s="418" t="s">
        <v>671</v>
      </c>
      <c r="D277" s="419" t="s">
        <v>718</v>
      </c>
      <c r="E277" s="419"/>
      <c r="F277" s="420"/>
      <c r="G277" s="355"/>
    </row>
    <row r="278" spans="2:7" x14ac:dyDescent="0.25">
      <c r="B278" s="355"/>
      <c r="C278" s="418" t="s">
        <v>671</v>
      </c>
      <c r="D278" s="419" t="s">
        <v>719</v>
      </c>
      <c r="E278" s="419"/>
      <c r="F278" s="420"/>
      <c r="G278" s="355"/>
    </row>
    <row r="279" spans="2:7" x14ac:dyDescent="0.25">
      <c r="B279" s="355"/>
      <c r="C279" s="418" t="s">
        <v>688</v>
      </c>
      <c r="D279" s="419" t="s">
        <v>720</v>
      </c>
      <c r="E279" s="419"/>
      <c r="F279" s="420"/>
      <c r="G279" s="355"/>
    </row>
    <row r="280" spans="2:7" x14ac:dyDescent="0.25">
      <c r="B280" s="355"/>
      <c r="C280" s="418" t="s">
        <v>677</v>
      </c>
      <c r="D280" s="419" t="s">
        <v>721</v>
      </c>
      <c r="E280" s="419"/>
      <c r="F280" s="420"/>
      <c r="G280" s="355"/>
    </row>
    <row r="281" spans="2:7" x14ac:dyDescent="0.25">
      <c r="B281" s="355"/>
      <c r="C281" s="418" t="s">
        <v>677</v>
      </c>
      <c r="D281" s="419" t="s">
        <v>722</v>
      </c>
      <c r="E281" s="419"/>
      <c r="F281" s="420"/>
      <c r="G281" s="355"/>
    </row>
    <row r="282" spans="2:7" x14ac:dyDescent="0.25">
      <c r="B282" s="355"/>
      <c r="C282" s="418" t="s">
        <v>677</v>
      </c>
      <c r="D282" s="419" t="s">
        <v>723</v>
      </c>
      <c r="E282" s="419"/>
      <c r="F282" s="420"/>
      <c r="G282" s="355"/>
    </row>
    <row r="283" spans="2:7" x14ac:dyDescent="0.25">
      <c r="B283" s="355"/>
      <c r="C283" s="418" t="s">
        <v>677</v>
      </c>
      <c r="D283" s="419" t="s">
        <v>724</v>
      </c>
      <c r="E283" s="419"/>
      <c r="F283" s="420"/>
      <c r="G283" s="355"/>
    </row>
    <row r="284" spans="2:7" x14ac:dyDescent="0.25">
      <c r="B284" s="355"/>
      <c r="C284" s="418" t="s">
        <v>677</v>
      </c>
      <c r="D284" s="419" t="s">
        <v>725</v>
      </c>
      <c r="E284" s="419"/>
      <c r="F284" s="420"/>
      <c r="G284" s="355"/>
    </row>
    <row r="285" spans="2:7" x14ac:dyDescent="0.25">
      <c r="B285" s="355"/>
      <c r="C285" s="418" t="s">
        <v>677</v>
      </c>
      <c r="D285" s="419" t="s">
        <v>726</v>
      </c>
      <c r="E285" s="419"/>
      <c r="F285" s="420"/>
      <c r="G285" s="355"/>
    </row>
    <row r="286" spans="2:7" x14ac:dyDescent="0.25">
      <c r="B286" s="355"/>
      <c r="C286" s="418" t="s">
        <v>658</v>
      </c>
      <c r="D286" s="419" t="s">
        <v>727</v>
      </c>
      <c r="E286" s="419"/>
      <c r="F286" s="420"/>
      <c r="G286" s="355"/>
    </row>
    <row r="287" spans="2:7" x14ac:dyDescent="0.25">
      <c r="B287" s="355"/>
      <c r="C287" s="418" t="s">
        <v>658</v>
      </c>
      <c r="D287" s="419" t="s">
        <v>728</v>
      </c>
      <c r="E287" s="419"/>
      <c r="F287" s="420"/>
      <c r="G287" s="355"/>
    </row>
    <row r="288" spans="2:7" x14ac:dyDescent="0.25">
      <c r="B288" s="355"/>
      <c r="C288" s="418" t="s">
        <v>658</v>
      </c>
      <c r="D288" s="419" t="s">
        <v>729</v>
      </c>
      <c r="E288" s="419"/>
      <c r="F288" s="420"/>
      <c r="G288" s="355"/>
    </row>
    <row r="289" spans="1:7" x14ac:dyDescent="0.25">
      <c r="B289" s="355"/>
      <c r="C289" s="418" t="s">
        <v>641</v>
      </c>
      <c r="D289" s="419" t="s">
        <v>730</v>
      </c>
      <c r="E289" s="419"/>
      <c r="F289" s="420"/>
      <c r="G289" s="355"/>
    </row>
    <row r="290" spans="1:7" x14ac:dyDescent="0.25">
      <c r="B290" s="355"/>
      <c r="C290" s="418" t="s">
        <v>641</v>
      </c>
      <c r="D290" s="419" t="s">
        <v>731</v>
      </c>
      <c r="E290" s="419"/>
      <c r="F290" s="420"/>
      <c r="G290" s="355"/>
    </row>
    <row r="291" spans="1:7" x14ac:dyDescent="0.25">
      <c r="B291" s="355"/>
      <c r="C291" s="418" t="s">
        <v>641</v>
      </c>
      <c r="D291" s="419" t="s">
        <v>732</v>
      </c>
      <c r="E291" s="419"/>
      <c r="F291" s="420"/>
      <c r="G291" s="355"/>
    </row>
    <row r="292" spans="1:7" x14ac:dyDescent="0.25">
      <c r="B292" s="355"/>
      <c r="C292" s="418" t="s">
        <v>685</v>
      </c>
      <c r="D292" s="419" t="s">
        <v>733</v>
      </c>
      <c r="E292" s="419"/>
      <c r="F292" s="420"/>
      <c r="G292" s="355"/>
    </row>
    <row r="293" spans="1:7" x14ac:dyDescent="0.25">
      <c r="B293" s="355"/>
      <c r="C293" s="418" t="s">
        <v>685</v>
      </c>
      <c r="D293" s="419" t="s">
        <v>734</v>
      </c>
      <c r="E293" s="419"/>
      <c r="F293" s="420"/>
      <c r="G293" s="355"/>
    </row>
    <row r="294" spans="1:7" x14ac:dyDescent="0.25">
      <c r="B294" s="355"/>
      <c r="C294" s="418" t="s">
        <v>685</v>
      </c>
      <c r="D294" s="419" t="s">
        <v>735</v>
      </c>
      <c r="E294" s="419"/>
      <c r="F294" s="420"/>
      <c r="G294" s="355"/>
    </row>
    <row r="295" spans="1:7" x14ac:dyDescent="0.25">
      <c r="B295" s="355"/>
      <c r="C295" s="418" t="s">
        <v>679</v>
      </c>
      <c r="D295" s="421" t="s">
        <v>736</v>
      </c>
      <c r="E295" s="419"/>
      <c r="F295" s="420"/>
      <c r="G295" s="355"/>
    </row>
    <row r="296" spans="1:7" x14ac:dyDescent="0.25">
      <c r="B296" s="355"/>
      <c r="C296" s="418" t="s">
        <v>683</v>
      </c>
      <c r="D296" s="421" t="s">
        <v>737</v>
      </c>
      <c r="E296" s="419"/>
      <c r="F296" s="420"/>
      <c r="G296" s="355"/>
    </row>
    <row r="297" spans="1:7" ht="15.75" thickBot="1" x14ac:dyDescent="0.3">
      <c r="B297" s="355"/>
      <c r="C297" s="424" t="s">
        <v>690</v>
      </c>
      <c r="D297" s="425" t="s">
        <v>738</v>
      </c>
      <c r="E297" s="426"/>
      <c r="F297" s="427"/>
      <c r="G297" s="355"/>
    </row>
    <row r="298" spans="1:7" x14ac:dyDescent="0.25">
      <c r="B298" s="355"/>
      <c r="F298" s="355"/>
      <c r="G298" s="355"/>
    </row>
    <row r="299" spans="1:7" x14ac:dyDescent="0.25">
      <c r="B299" s="355"/>
      <c r="G299" s="355"/>
    </row>
    <row r="300" spans="1:7" x14ac:dyDescent="0.25">
      <c r="A300" s="370"/>
      <c r="B300" s="355"/>
      <c r="F300" s="355"/>
      <c r="G300" s="355"/>
    </row>
    <row r="301" spans="1:7" x14ac:dyDescent="0.25">
      <c r="B301" s="355"/>
      <c r="F301" s="355"/>
      <c r="G301" s="355"/>
    </row>
    <row r="302" spans="1:7" x14ac:dyDescent="0.25">
      <c r="A302" s="370"/>
      <c r="B302" s="355"/>
    </row>
    <row r="303" spans="1:7" x14ac:dyDescent="0.25">
      <c r="B303" s="355"/>
    </row>
    <row r="304" spans="1:7" x14ac:dyDescent="0.25">
      <c r="A304" s="370"/>
      <c r="B304" s="355"/>
    </row>
    <row r="305" spans="1:2" x14ac:dyDescent="0.25">
      <c r="A305" s="370"/>
      <c r="B305" s="355"/>
    </row>
    <row r="306" spans="1:2" x14ac:dyDescent="0.25">
      <c r="A306" s="370"/>
      <c r="B306" s="355"/>
    </row>
    <row r="307" spans="1:2" x14ac:dyDescent="0.25">
      <c r="A307" s="370"/>
      <c r="B307" s="355"/>
    </row>
    <row r="308" spans="1:2" x14ac:dyDescent="0.25">
      <c r="A308" s="370"/>
      <c r="B308" s="355"/>
    </row>
    <row r="309" spans="1:2" x14ac:dyDescent="0.25">
      <c r="A309" s="370"/>
      <c r="B309" s="355"/>
    </row>
  </sheetData>
  <autoFilter ref="A1:I1"/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303"/>
  <sheetViews>
    <sheetView topLeftCell="A25" workbookViewId="0">
      <selection activeCell="C26" sqref="C26"/>
    </sheetView>
  </sheetViews>
  <sheetFormatPr defaultRowHeight="15" x14ac:dyDescent="0.25"/>
  <cols>
    <col min="1" max="1" width="10.140625" style="428" bestFit="1" customWidth="1"/>
    <col min="2" max="2" width="8.42578125" style="429" customWidth="1"/>
    <col min="3" max="3" width="87.85546875" style="432" customWidth="1"/>
    <col min="4" max="4" width="6.5703125" style="409" customWidth="1"/>
    <col min="5" max="6" width="9.140625" style="409"/>
    <col min="7" max="7" width="10.5703125" style="409" bestFit="1" customWidth="1"/>
    <col min="8" max="16384" width="9.140625" style="409"/>
  </cols>
  <sheetData>
    <row r="1" spans="1:4" ht="15.75" x14ac:dyDescent="0.25">
      <c r="A1" s="853">
        <v>41509</v>
      </c>
      <c r="C1" s="430" t="s">
        <v>739</v>
      </c>
      <c r="D1" s="431">
        <v>1303</v>
      </c>
    </row>
    <row r="2" spans="1:4" x14ac:dyDescent="0.25">
      <c r="A2" s="428">
        <v>41509</v>
      </c>
      <c r="B2" s="429">
        <v>4.5520833333333337E-2</v>
      </c>
      <c r="C2" s="432" t="s">
        <v>740</v>
      </c>
    </row>
    <row r="3" spans="1:4" ht="45" x14ac:dyDescent="0.25">
      <c r="A3" s="428">
        <v>41509</v>
      </c>
      <c r="B3" s="429">
        <v>4.6377314814814809E-2</v>
      </c>
      <c r="C3" s="433" t="s">
        <v>1199</v>
      </c>
    </row>
    <row r="4" spans="1:4" ht="30" x14ac:dyDescent="0.25">
      <c r="A4" s="428">
        <v>41509</v>
      </c>
      <c r="B4" s="429">
        <v>5.0428240740740739E-2</v>
      </c>
      <c r="C4" s="433" t="s">
        <v>1200</v>
      </c>
    </row>
    <row r="5" spans="1:4" ht="45" x14ac:dyDescent="0.25">
      <c r="A5" s="428">
        <v>41509</v>
      </c>
      <c r="B5" s="429">
        <v>6.5173611111111113E-2</v>
      </c>
      <c r="C5" s="433" t="s">
        <v>1201</v>
      </c>
    </row>
    <row r="6" spans="1:4" ht="45" x14ac:dyDescent="0.25">
      <c r="A6" s="428">
        <v>41509</v>
      </c>
      <c r="B6" s="429">
        <v>0.12206018518518519</v>
      </c>
      <c r="C6" s="433" t="s">
        <v>1202</v>
      </c>
    </row>
    <row r="7" spans="1:4" ht="45" x14ac:dyDescent="0.25">
      <c r="A7" s="428">
        <v>41509</v>
      </c>
      <c r="B7" s="429">
        <v>0.1570138888888889</v>
      </c>
      <c r="C7" s="433" t="s">
        <v>1203</v>
      </c>
    </row>
    <row r="8" spans="1:4" ht="45" x14ac:dyDescent="0.25">
      <c r="A8" s="428">
        <v>41509</v>
      </c>
      <c r="B8" s="429">
        <v>0.15708333333333332</v>
      </c>
      <c r="C8" s="433" t="s">
        <v>1204</v>
      </c>
    </row>
    <row r="9" spans="1:4" ht="30" x14ac:dyDescent="0.25">
      <c r="A9" s="428">
        <v>41509</v>
      </c>
      <c r="B9" s="429">
        <v>0.1597685185185185</v>
      </c>
      <c r="C9" s="433" t="s">
        <v>1205</v>
      </c>
    </row>
    <row r="10" spans="1:4" ht="30" x14ac:dyDescent="0.25">
      <c r="A10" s="428">
        <v>41509</v>
      </c>
      <c r="B10" s="429">
        <v>0.15990740740740741</v>
      </c>
      <c r="C10" s="433" t="s">
        <v>1206</v>
      </c>
    </row>
    <row r="11" spans="1:4" ht="45" x14ac:dyDescent="0.25">
      <c r="A11" s="428">
        <v>41509</v>
      </c>
      <c r="B11" s="429">
        <v>0.16035879629629629</v>
      </c>
      <c r="C11" s="433" t="s">
        <v>1207</v>
      </c>
    </row>
    <row r="12" spans="1:4" ht="45" x14ac:dyDescent="0.25">
      <c r="A12" s="428">
        <v>41509</v>
      </c>
      <c r="B12" s="429">
        <v>0.16186342592592592</v>
      </c>
      <c r="C12" s="433" t="s">
        <v>1208</v>
      </c>
    </row>
    <row r="13" spans="1:4" ht="45" x14ac:dyDescent="0.25">
      <c r="A13" s="428">
        <v>41509</v>
      </c>
      <c r="B13" s="429">
        <v>0.1620949074074074</v>
      </c>
      <c r="C13" s="433" t="s">
        <v>1209</v>
      </c>
    </row>
    <row r="14" spans="1:4" ht="45" x14ac:dyDescent="0.25">
      <c r="A14" s="428">
        <v>41509</v>
      </c>
      <c r="B14" s="429">
        <v>0.16401620370370371</v>
      </c>
      <c r="C14" s="433" t="s">
        <v>1210</v>
      </c>
    </row>
    <row r="15" spans="1:4" ht="45" x14ac:dyDescent="0.25">
      <c r="A15" s="428">
        <v>41509</v>
      </c>
      <c r="B15" s="429">
        <v>0.16415509259259259</v>
      </c>
      <c r="C15" s="433" t="s">
        <v>1211</v>
      </c>
    </row>
    <row r="16" spans="1:4" ht="45" x14ac:dyDescent="0.25">
      <c r="A16" s="428">
        <v>41510</v>
      </c>
      <c r="B16" s="429">
        <v>0.27741898148148147</v>
      </c>
      <c r="C16" s="433" t="s">
        <v>1220</v>
      </c>
    </row>
    <row r="17" spans="1:3" ht="45" x14ac:dyDescent="0.25">
      <c r="A17" s="428">
        <v>41510</v>
      </c>
      <c r="B17" s="429">
        <v>0.27931712962962962</v>
      </c>
      <c r="C17" s="433" t="s">
        <v>1221</v>
      </c>
    </row>
    <row r="18" spans="1:3" ht="45" x14ac:dyDescent="0.25">
      <c r="A18" s="428">
        <v>41510</v>
      </c>
      <c r="B18" s="429">
        <v>0.31864583333333335</v>
      </c>
      <c r="C18" s="433" t="s">
        <v>1222</v>
      </c>
    </row>
    <row r="19" spans="1:3" ht="45" x14ac:dyDescent="0.25">
      <c r="A19" s="428">
        <v>41510</v>
      </c>
      <c r="B19" s="429">
        <v>0.31864583333333335</v>
      </c>
      <c r="C19" s="433" t="s">
        <v>1223</v>
      </c>
    </row>
    <row r="20" spans="1:3" ht="30" x14ac:dyDescent="0.25">
      <c r="A20" s="428">
        <v>41510</v>
      </c>
      <c r="B20" s="429">
        <v>0.31960648148148146</v>
      </c>
      <c r="C20" s="433" t="s">
        <v>1224</v>
      </c>
    </row>
    <row r="21" spans="1:3" ht="45" x14ac:dyDescent="0.25">
      <c r="A21" s="428">
        <v>41510</v>
      </c>
      <c r="B21" s="429">
        <v>0.31961805555555556</v>
      </c>
      <c r="C21" s="433" t="s">
        <v>1225</v>
      </c>
    </row>
    <row r="22" spans="1:3" ht="45" x14ac:dyDescent="0.25">
      <c r="A22" s="428">
        <v>41510</v>
      </c>
      <c r="B22" s="429">
        <v>0.38488425925925923</v>
      </c>
      <c r="C22" s="433" t="s">
        <v>1226</v>
      </c>
    </row>
    <row r="23" spans="1:3" x14ac:dyDescent="0.25">
      <c r="A23" s="428">
        <v>41510</v>
      </c>
      <c r="B23" s="429">
        <v>0.38645833333333335</v>
      </c>
      <c r="C23" s="432" t="s">
        <v>1227</v>
      </c>
    </row>
    <row r="24" spans="1:3" x14ac:dyDescent="0.25">
      <c r="A24" s="428">
        <v>41510</v>
      </c>
      <c r="B24" s="429">
        <v>0.38672453703703707</v>
      </c>
      <c r="C24" s="432" t="s">
        <v>1227</v>
      </c>
    </row>
    <row r="25" spans="1:3" ht="30" x14ac:dyDescent="0.25">
      <c r="A25" s="428">
        <v>41510</v>
      </c>
      <c r="B25" s="429">
        <v>0.38729166666666665</v>
      </c>
      <c r="C25" s="433" t="s">
        <v>1228</v>
      </c>
    </row>
    <row r="26" spans="1:3" ht="30" x14ac:dyDescent="0.25">
      <c r="A26" s="428">
        <v>41510</v>
      </c>
      <c r="B26" s="429">
        <v>0.39416666666666672</v>
      </c>
      <c r="C26" s="433" t="s">
        <v>1228</v>
      </c>
    </row>
    <row r="27" spans="1:3" ht="45" x14ac:dyDescent="0.25">
      <c r="A27" s="428">
        <v>41510</v>
      </c>
      <c r="B27" s="429">
        <v>0.39591435185185181</v>
      </c>
      <c r="C27" s="433" t="s">
        <v>1230</v>
      </c>
    </row>
    <row r="28" spans="1:3" ht="45" x14ac:dyDescent="0.25">
      <c r="A28" s="428">
        <v>41510</v>
      </c>
      <c r="B28" s="429">
        <v>0.43293981481481486</v>
      </c>
      <c r="C28" s="433" t="s">
        <v>1231</v>
      </c>
    </row>
    <row r="29" spans="1:3" ht="30" x14ac:dyDescent="0.25">
      <c r="A29" s="428">
        <v>41510</v>
      </c>
      <c r="B29" s="429">
        <v>0.65652777777777771</v>
      </c>
      <c r="C29" s="433" t="s">
        <v>1233</v>
      </c>
    </row>
    <row r="30" spans="1:3" ht="30" x14ac:dyDescent="0.25">
      <c r="A30" s="428">
        <v>41510</v>
      </c>
      <c r="B30" s="429">
        <v>0.73012731481481474</v>
      </c>
      <c r="C30" s="433" t="s">
        <v>1233</v>
      </c>
    </row>
    <row r="31" spans="1:3" ht="45" x14ac:dyDescent="0.25">
      <c r="A31" s="428">
        <v>41510</v>
      </c>
      <c r="B31" s="429">
        <v>0.75186342592592592</v>
      </c>
      <c r="C31" s="433" t="s">
        <v>1234</v>
      </c>
    </row>
    <row r="32" spans="1:3" ht="45" x14ac:dyDescent="0.25">
      <c r="A32" s="428">
        <v>41511</v>
      </c>
      <c r="B32" s="429">
        <v>0.52188657407407402</v>
      </c>
      <c r="C32" s="433" t="s">
        <v>1235</v>
      </c>
    </row>
    <row r="33" spans="1:3" ht="45" x14ac:dyDescent="0.25">
      <c r="A33" s="428">
        <v>41511</v>
      </c>
      <c r="B33" s="429">
        <v>0.52280092592592597</v>
      </c>
      <c r="C33" s="433" t="s">
        <v>1236</v>
      </c>
    </row>
    <row r="34" spans="1:3" ht="45" x14ac:dyDescent="0.25">
      <c r="A34" s="428">
        <v>41511</v>
      </c>
      <c r="B34" s="429">
        <v>0.52611111111111108</v>
      </c>
      <c r="C34" s="433" t="s">
        <v>1237</v>
      </c>
    </row>
    <row r="35" spans="1:3" ht="45" x14ac:dyDescent="0.25">
      <c r="A35" s="428">
        <v>41511</v>
      </c>
      <c r="B35" s="429">
        <v>0.5261689814814815</v>
      </c>
      <c r="C35" s="433" t="s">
        <v>1238</v>
      </c>
    </row>
    <row r="36" spans="1:3" x14ac:dyDescent="0.25">
      <c r="A36" s="428">
        <v>41511</v>
      </c>
      <c r="B36" s="429">
        <v>0.55018518518518522</v>
      </c>
      <c r="C36" s="432" t="s">
        <v>1239</v>
      </c>
    </row>
    <row r="37" spans="1:3" x14ac:dyDescent="0.25">
      <c r="A37" s="428">
        <v>41511</v>
      </c>
      <c r="B37" s="429">
        <v>0.55035879629629625</v>
      </c>
      <c r="C37" s="432" t="s">
        <v>1240</v>
      </c>
    </row>
    <row r="38" spans="1:3" x14ac:dyDescent="0.25">
      <c r="A38" s="428">
        <v>41511</v>
      </c>
      <c r="B38" s="429">
        <v>0.55418981481481489</v>
      </c>
      <c r="C38" s="432" t="s">
        <v>1239</v>
      </c>
    </row>
    <row r="39" spans="1:3" x14ac:dyDescent="0.25">
      <c r="A39" s="428">
        <v>41511</v>
      </c>
      <c r="B39" s="429">
        <v>0.55561342592592589</v>
      </c>
      <c r="C39" s="432" t="s">
        <v>1240</v>
      </c>
    </row>
    <row r="40" spans="1:3" x14ac:dyDescent="0.25">
      <c r="A40" s="428">
        <v>41511</v>
      </c>
      <c r="B40" s="429">
        <v>0.55600694444444443</v>
      </c>
      <c r="C40" s="432" t="s">
        <v>1239</v>
      </c>
    </row>
    <row r="41" spans="1:3" x14ac:dyDescent="0.25">
      <c r="A41" s="428">
        <v>41511</v>
      </c>
      <c r="B41" s="429">
        <v>0.56598379629629625</v>
      </c>
      <c r="C41" s="432" t="s">
        <v>1241</v>
      </c>
    </row>
    <row r="42" spans="1:3" ht="30" x14ac:dyDescent="0.25">
      <c r="A42" s="428">
        <v>41511</v>
      </c>
      <c r="B42" s="429">
        <v>0.56619212962962961</v>
      </c>
      <c r="C42" s="433" t="s">
        <v>1242</v>
      </c>
    </row>
    <row r="43" spans="1:3" x14ac:dyDescent="0.25">
      <c r="A43" s="428">
        <v>41511</v>
      </c>
      <c r="B43" s="429">
        <v>0.56619212962962961</v>
      </c>
      <c r="C43" s="432" t="s">
        <v>1243</v>
      </c>
    </row>
    <row r="44" spans="1:3" x14ac:dyDescent="0.25">
      <c r="A44" s="428">
        <v>41511</v>
      </c>
      <c r="B44" s="429">
        <v>0.56715277777777773</v>
      </c>
      <c r="C44" s="432" t="s">
        <v>1244</v>
      </c>
    </row>
    <row r="45" spans="1:3" x14ac:dyDescent="0.25">
      <c r="A45" s="428">
        <v>41511</v>
      </c>
      <c r="B45" s="429">
        <v>0.58530092592592597</v>
      </c>
      <c r="C45" s="432" t="s">
        <v>1244</v>
      </c>
    </row>
    <row r="46" spans="1:3" x14ac:dyDescent="0.25">
      <c r="A46" s="428">
        <v>41511</v>
      </c>
      <c r="B46" s="429">
        <v>0.58599537037037031</v>
      </c>
      <c r="C46" s="432" t="s">
        <v>1244</v>
      </c>
    </row>
    <row r="47" spans="1:3" ht="30" x14ac:dyDescent="0.25">
      <c r="A47" s="428">
        <v>41511</v>
      </c>
      <c r="B47" s="429">
        <v>0.58712962962962967</v>
      </c>
      <c r="C47" s="433" t="s">
        <v>1233</v>
      </c>
    </row>
    <row r="48" spans="1:3" ht="45" x14ac:dyDescent="0.25">
      <c r="A48" s="428">
        <v>41511</v>
      </c>
      <c r="B48" s="429">
        <v>0.5879050925925926</v>
      </c>
      <c r="C48" s="433" t="s">
        <v>1245</v>
      </c>
    </row>
    <row r="49" spans="1:3" x14ac:dyDescent="0.25">
      <c r="A49" s="428">
        <v>41511</v>
      </c>
      <c r="B49" s="429">
        <v>0.60771990740740744</v>
      </c>
      <c r="C49" s="432" t="s">
        <v>1240</v>
      </c>
    </row>
    <row r="50" spans="1:3" ht="30" x14ac:dyDescent="0.25">
      <c r="A50" s="428">
        <v>41511</v>
      </c>
      <c r="B50" s="429">
        <v>0.65289351851851851</v>
      </c>
      <c r="C50" s="433" t="s">
        <v>1246</v>
      </c>
    </row>
    <row r="51" spans="1:3" x14ac:dyDescent="0.25">
      <c r="A51" s="428">
        <v>41511</v>
      </c>
      <c r="B51" s="429">
        <v>0.65290509259259266</v>
      </c>
      <c r="C51" s="432" t="s">
        <v>1244</v>
      </c>
    </row>
    <row r="52" spans="1:3" x14ac:dyDescent="0.25">
      <c r="A52" s="428">
        <v>41511</v>
      </c>
      <c r="B52" s="429">
        <v>0.7169212962962962</v>
      </c>
      <c r="C52" s="432" t="s">
        <v>1255</v>
      </c>
    </row>
    <row r="53" spans="1:3" x14ac:dyDescent="0.25">
      <c r="A53" s="428">
        <v>41511</v>
      </c>
      <c r="B53" s="429">
        <v>0.71971064814814811</v>
      </c>
      <c r="C53" s="432" t="s">
        <v>1255</v>
      </c>
    </row>
    <row r="54" spans="1:3" ht="45" x14ac:dyDescent="0.25">
      <c r="A54" s="428">
        <v>41511</v>
      </c>
      <c r="B54" s="429">
        <v>0.73649305555555555</v>
      </c>
      <c r="C54" s="433" t="s">
        <v>1256</v>
      </c>
    </row>
    <row r="55" spans="1:3" x14ac:dyDescent="0.25">
      <c r="A55" s="428">
        <v>41511</v>
      </c>
      <c r="B55" s="429">
        <v>0.73649305555555555</v>
      </c>
      <c r="C55" s="432" t="s">
        <v>1255</v>
      </c>
    </row>
    <row r="56" spans="1:3" ht="60" x14ac:dyDescent="0.25">
      <c r="A56" s="428">
        <v>41511</v>
      </c>
      <c r="B56" s="429">
        <v>0.74380787037037033</v>
      </c>
      <c r="C56" s="433" t="s">
        <v>1257</v>
      </c>
    </row>
    <row r="57" spans="1:3" ht="45" x14ac:dyDescent="0.25">
      <c r="A57" s="428">
        <v>41511</v>
      </c>
      <c r="B57" s="429">
        <v>0.74467592592592602</v>
      </c>
      <c r="C57" s="433" t="s">
        <v>1258</v>
      </c>
    </row>
    <row r="58" spans="1:3" x14ac:dyDescent="0.25">
      <c r="A58" s="428">
        <v>41511</v>
      </c>
      <c r="B58" s="429">
        <v>0.74467592592592602</v>
      </c>
      <c r="C58" s="432" t="s">
        <v>1255</v>
      </c>
    </row>
    <row r="59" spans="1:3" ht="60" x14ac:dyDescent="0.25">
      <c r="A59" s="428">
        <v>41511</v>
      </c>
      <c r="B59" s="429">
        <v>0.74671296296296286</v>
      </c>
      <c r="C59" s="433" t="s">
        <v>1257</v>
      </c>
    </row>
    <row r="60" spans="1:3" ht="45" x14ac:dyDescent="0.25">
      <c r="A60" s="428">
        <v>41511</v>
      </c>
      <c r="B60" s="429">
        <v>0.77989583333333334</v>
      </c>
      <c r="C60" s="433" t="s">
        <v>1258</v>
      </c>
    </row>
    <row r="61" spans="1:3" x14ac:dyDescent="0.25">
      <c r="A61" s="428">
        <v>41511</v>
      </c>
      <c r="B61" s="429">
        <v>0.77989583333333334</v>
      </c>
      <c r="C61" s="432" t="s">
        <v>1255</v>
      </c>
    </row>
    <row r="62" spans="1:3" ht="45" x14ac:dyDescent="0.25">
      <c r="A62" s="428">
        <v>41511</v>
      </c>
      <c r="B62" s="429">
        <v>0.79699074074074072</v>
      </c>
      <c r="C62" s="433" t="s">
        <v>1258</v>
      </c>
    </row>
    <row r="63" spans="1:3" x14ac:dyDescent="0.25">
      <c r="A63" s="428">
        <v>41511</v>
      </c>
      <c r="B63" s="429">
        <v>0.79699074074074072</v>
      </c>
      <c r="C63" s="432" t="s">
        <v>1255</v>
      </c>
    </row>
    <row r="64" spans="1:3" ht="60" x14ac:dyDescent="0.25">
      <c r="A64" s="428">
        <v>41511</v>
      </c>
      <c r="B64" s="429">
        <v>0.80354166666666671</v>
      </c>
      <c r="C64" s="433" t="s">
        <v>1257</v>
      </c>
    </row>
    <row r="65" spans="1:3" ht="45" x14ac:dyDescent="0.25">
      <c r="A65" s="428">
        <v>41511</v>
      </c>
      <c r="B65" s="429">
        <v>0.80553240740740739</v>
      </c>
      <c r="C65" s="433" t="s">
        <v>1258</v>
      </c>
    </row>
    <row r="66" spans="1:3" x14ac:dyDescent="0.25">
      <c r="A66" s="428">
        <v>41511</v>
      </c>
      <c r="B66" s="429">
        <v>0.80553240740740739</v>
      </c>
      <c r="C66" s="432" t="s">
        <v>1255</v>
      </c>
    </row>
    <row r="67" spans="1:3" x14ac:dyDescent="0.25">
      <c r="A67" s="428">
        <v>41511</v>
      </c>
      <c r="B67" s="429">
        <v>0.80936342592592592</v>
      </c>
      <c r="C67" s="432" t="s">
        <v>1259</v>
      </c>
    </row>
    <row r="68" spans="1:3" ht="45" x14ac:dyDescent="0.25">
      <c r="A68" s="428">
        <v>41511</v>
      </c>
      <c r="B68" s="429">
        <v>0.84721064814814817</v>
      </c>
      <c r="C68" s="433" t="s">
        <v>1260</v>
      </c>
    </row>
    <row r="69" spans="1:3" ht="60" x14ac:dyDescent="0.25">
      <c r="A69" s="428">
        <v>41511</v>
      </c>
      <c r="B69" s="429">
        <v>0.9100462962962963</v>
      </c>
      <c r="C69" s="433" t="s">
        <v>1261</v>
      </c>
    </row>
    <row r="70" spans="1:3" ht="60" x14ac:dyDescent="0.25">
      <c r="A70" s="428">
        <v>41511</v>
      </c>
      <c r="B70" s="429">
        <v>0.9119328703703703</v>
      </c>
      <c r="C70" s="433" t="s">
        <v>1261</v>
      </c>
    </row>
    <row r="71" spans="1:3" ht="60" x14ac:dyDescent="0.25">
      <c r="A71" s="428">
        <v>41511</v>
      </c>
      <c r="B71" s="429">
        <v>0.9460763888888889</v>
      </c>
      <c r="C71" s="433" t="s">
        <v>1261</v>
      </c>
    </row>
    <row r="72" spans="1:3" ht="60" x14ac:dyDescent="0.25">
      <c r="A72" s="428">
        <v>41511</v>
      </c>
      <c r="B72" s="429">
        <v>0.947199074074074</v>
      </c>
      <c r="C72" s="433" t="s">
        <v>1261</v>
      </c>
    </row>
    <row r="73" spans="1:3" ht="60" x14ac:dyDescent="0.25">
      <c r="A73" s="428">
        <v>41511</v>
      </c>
      <c r="B73" s="429">
        <v>0.96480324074074064</v>
      </c>
      <c r="C73" s="433" t="s">
        <v>1261</v>
      </c>
    </row>
    <row r="74" spans="1:3" ht="60" x14ac:dyDescent="0.25">
      <c r="A74" s="428">
        <v>41511</v>
      </c>
      <c r="B74" s="429">
        <v>0.97091435185185182</v>
      </c>
      <c r="C74" s="433" t="s">
        <v>1261</v>
      </c>
    </row>
    <row r="75" spans="1:3" x14ac:dyDescent="0.25">
      <c r="A75" s="428">
        <v>41511</v>
      </c>
      <c r="B75" s="429">
        <v>0.98383101851851851</v>
      </c>
      <c r="C75" s="432" t="s">
        <v>1240</v>
      </c>
    </row>
    <row r="76" spans="1:3" ht="45" x14ac:dyDescent="0.25">
      <c r="A76" s="428">
        <v>41511</v>
      </c>
      <c r="B76" s="429">
        <v>0.98579861111111111</v>
      </c>
      <c r="C76" s="433" t="s">
        <v>1262</v>
      </c>
    </row>
    <row r="77" spans="1:3" ht="60" x14ac:dyDescent="0.25">
      <c r="A77" s="428">
        <v>41512</v>
      </c>
      <c r="B77" s="429">
        <v>4.1666666666666669E-4</v>
      </c>
      <c r="C77" s="433" t="s">
        <v>1261</v>
      </c>
    </row>
    <row r="78" spans="1:3" ht="30" x14ac:dyDescent="0.25">
      <c r="A78" s="428">
        <v>41512</v>
      </c>
      <c r="B78" s="429">
        <v>9.780092592592592E-3</v>
      </c>
      <c r="C78" s="433" t="s">
        <v>1263</v>
      </c>
    </row>
    <row r="79" spans="1:3" ht="45" x14ac:dyDescent="0.25">
      <c r="A79" s="428">
        <v>41512</v>
      </c>
      <c r="B79" s="429">
        <v>1.5057870370370369E-2</v>
      </c>
      <c r="C79" s="433" t="s">
        <v>1264</v>
      </c>
    </row>
    <row r="80" spans="1:3" ht="45" x14ac:dyDescent="0.25">
      <c r="A80" s="428">
        <v>41512</v>
      </c>
      <c r="B80" s="429">
        <v>4.0127314814814817E-2</v>
      </c>
      <c r="C80" s="433" t="s">
        <v>1266</v>
      </c>
    </row>
    <row r="81" spans="1:3" ht="45" x14ac:dyDescent="0.25">
      <c r="A81" s="428">
        <v>41512</v>
      </c>
      <c r="B81" s="429">
        <v>5.8391203703703702E-2</v>
      </c>
      <c r="C81" s="433" t="s">
        <v>1266</v>
      </c>
    </row>
    <row r="82" spans="1:3" ht="45" x14ac:dyDescent="0.25">
      <c r="A82" s="428">
        <v>41512</v>
      </c>
      <c r="B82" s="429">
        <v>7.1284722222222222E-2</v>
      </c>
      <c r="C82" s="433" t="s">
        <v>1266</v>
      </c>
    </row>
    <row r="83" spans="1:3" ht="45" x14ac:dyDescent="0.25">
      <c r="A83" s="428">
        <v>41512</v>
      </c>
      <c r="B83" s="429">
        <v>7.5150462962962961E-2</v>
      </c>
      <c r="C83" s="433" t="s">
        <v>1266</v>
      </c>
    </row>
    <row r="84" spans="1:3" ht="45" x14ac:dyDescent="0.25">
      <c r="A84" s="428">
        <v>41512</v>
      </c>
      <c r="B84" s="429">
        <v>7.9675925925925928E-2</v>
      </c>
      <c r="C84" s="433" t="s">
        <v>1266</v>
      </c>
    </row>
    <row r="85" spans="1:3" ht="45" x14ac:dyDescent="0.25">
      <c r="A85" s="428">
        <v>41512</v>
      </c>
      <c r="B85" s="429">
        <v>8.3310185185185182E-2</v>
      </c>
      <c r="C85" s="433" t="s">
        <v>1266</v>
      </c>
    </row>
    <row r="86" spans="1:3" ht="45" x14ac:dyDescent="0.25">
      <c r="A86" s="428">
        <v>41512</v>
      </c>
      <c r="B86" s="429">
        <v>0.10375000000000001</v>
      </c>
      <c r="C86" s="433" t="s">
        <v>1267</v>
      </c>
    </row>
    <row r="87" spans="1:3" ht="45" x14ac:dyDescent="0.25">
      <c r="A87" s="428">
        <v>41512</v>
      </c>
      <c r="B87" s="429">
        <v>0.11942129629629629</v>
      </c>
      <c r="C87" s="433" t="s">
        <v>1267</v>
      </c>
    </row>
    <row r="88" spans="1:3" ht="30" x14ac:dyDescent="0.25">
      <c r="A88" s="428">
        <v>41512</v>
      </c>
      <c r="B88" s="429">
        <v>0.1237037037037037</v>
      </c>
      <c r="C88" s="433" t="s">
        <v>1268</v>
      </c>
    </row>
    <row r="89" spans="1:3" ht="30" x14ac:dyDescent="0.25">
      <c r="A89" s="428">
        <v>41512</v>
      </c>
      <c r="B89" s="429">
        <v>0.13122685185185184</v>
      </c>
      <c r="C89" s="433" t="s">
        <v>1269</v>
      </c>
    </row>
    <row r="90" spans="1:3" ht="30" x14ac:dyDescent="0.25">
      <c r="A90" s="428">
        <v>41512</v>
      </c>
      <c r="B90" s="429">
        <v>0.13370370370370369</v>
      </c>
      <c r="C90" s="433" t="s">
        <v>1270</v>
      </c>
    </row>
    <row r="91" spans="1:3" ht="30" x14ac:dyDescent="0.25">
      <c r="A91" s="428">
        <v>41512</v>
      </c>
      <c r="B91" s="429">
        <v>0.13755787037037037</v>
      </c>
      <c r="C91" s="433" t="s">
        <v>1271</v>
      </c>
    </row>
    <row r="92" spans="1:3" ht="30" x14ac:dyDescent="0.25">
      <c r="A92" s="428">
        <v>41512</v>
      </c>
      <c r="B92" s="429">
        <v>0.13893518518518519</v>
      </c>
      <c r="C92" s="433" t="s">
        <v>1272</v>
      </c>
    </row>
    <row r="93" spans="1:3" ht="30" x14ac:dyDescent="0.25">
      <c r="A93" s="428">
        <v>41512</v>
      </c>
      <c r="B93" s="429">
        <v>0.1395949074074074</v>
      </c>
      <c r="C93" s="433" t="s">
        <v>1273</v>
      </c>
    </row>
    <row r="94" spans="1:3" ht="30" x14ac:dyDescent="0.25">
      <c r="A94" s="428">
        <v>41512</v>
      </c>
      <c r="B94" s="429">
        <v>0.14925925925925926</v>
      </c>
      <c r="C94" s="433" t="s">
        <v>1274</v>
      </c>
    </row>
    <row r="95" spans="1:3" ht="30" x14ac:dyDescent="0.25">
      <c r="A95" s="428">
        <v>41512</v>
      </c>
      <c r="B95" s="429">
        <v>0.15378472222222223</v>
      </c>
      <c r="C95" s="433" t="s">
        <v>1275</v>
      </c>
    </row>
    <row r="96" spans="1:3" ht="30" x14ac:dyDescent="0.25">
      <c r="A96" s="428">
        <v>41512</v>
      </c>
      <c r="B96" s="429">
        <v>0.15554398148148149</v>
      </c>
      <c r="C96" s="433" t="s">
        <v>1276</v>
      </c>
    </row>
    <row r="97" spans="1:3" ht="30" x14ac:dyDescent="0.25">
      <c r="A97" s="428">
        <v>41512</v>
      </c>
      <c r="B97" s="429">
        <v>0.16289351851851852</v>
      </c>
      <c r="C97" s="433" t="s">
        <v>1277</v>
      </c>
    </row>
    <row r="98" spans="1:3" ht="60" x14ac:dyDescent="0.25">
      <c r="A98" s="428">
        <v>41512</v>
      </c>
      <c r="B98" s="429">
        <v>0.16552083333333334</v>
      </c>
      <c r="C98" s="433" t="s">
        <v>1278</v>
      </c>
    </row>
    <row r="99" spans="1:3" ht="45" x14ac:dyDescent="0.25">
      <c r="A99" s="428">
        <v>41512</v>
      </c>
      <c r="B99" s="429">
        <v>0.16630787037037037</v>
      </c>
      <c r="C99" s="433" t="s">
        <v>1267</v>
      </c>
    </row>
    <row r="100" spans="1:3" ht="30" x14ac:dyDescent="0.25">
      <c r="A100" s="428">
        <v>41512</v>
      </c>
      <c r="B100" s="429">
        <v>0.16922453703703702</v>
      </c>
      <c r="C100" s="433" t="s">
        <v>1279</v>
      </c>
    </row>
    <row r="101" spans="1:3" ht="30" x14ac:dyDescent="0.25">
      <c r="A101" s="428">
        <v>41513</v>
      </c>
      <c r="B101" s="429">
        <v>0.96422453703703714</v>
      </c>
      <c r="C101" s="433" t="s">
        <v>1280</v>
      </c>
    </row>
    <row r="102" spans="1:3" ht="60" x14ac:dyDescent="0.25">
      <c r="A102" s="428">
        <v>41514</v>
      </c>
      <c r="B102" s="429">
        <v>4.8969907407407413E-2</v>
      </c>
      <c r="C102" s="433" t="s">
        <v>1281</v>
      </c>
    </row>
    <row r="103" spans="1:3" ht="60" x14ac:dyDescent="0.25">
      <c r="A103" s="428">
        <v>41514</v>
      </c>
      <c r="B103" s="429">
        <v>9.3715277777777772E-2</v>
      </c>
      <c r="C103" s="433" t="s">
        <v>1281</v>
      </c>
    </row>
    <row r="104" spans="1:3" ht="30" x14ac:dyDescent="0.25">
      <c r="A104" s="428">
        <v>41514</v>
      </c>
      <c r="B104" s="429">
        <v>0.11017361111111111</v>
      </c>
      <c r="C104" s="433" t="s">
        <v>1283</v>
      </c>
    </row>
    <row r="105" spans="1:3" ht="30" x14ac:dyDescent="0.25">
      <c r="A105" s="428">
        <v>41514</v>
      </c>
      <c r="B105" s="429">
        <v>0.11068287037037038</v>
      </c>
      <c r="C105" s="433" t="s">
        <v>1283</v>
      </c>
    </row>
    <row r="106" spans="1:3" ht="30" x14ac:dyDescent="0.25">
      <c r="A106" s="428">
        <v>41514</v>
      </c>
      <c r="B106" s="429">
        <v>0.12043981481481481</v>
      </c>
      <c r="C106" s="433" t="s">
        <v>1284</v>
      </c>
    </row>
    <row r="107" spans="1:3" ht="60" x14ac:dyDescent="0.25">
      <c r="A107" s="428">
        <v>41514</v>
      </c>
      <c r="B107" s="429">
        <v>0.12083333333333333</v>
      </c>
      <c r="C107" s="433" t="s">
        <v>1285</v>
      </c>
    </row>
    <row r="108" spans="1:3" ht="30" x14ac:dyDescent="0.25">
      <c r="A108" s="428">
        <v>41514</v>
      </c>
      <c r="B108" s="429">
        <v>0.92887731481481473</v>
      </c>
      <c r="C108" s="433" t="s">
        <v>1286</v>
      </c>
    </row>
    <row r="109" spans="1:3" ht="30" x14ac:dyDescent="0.25">
      <c r="A109" s="428">
        <v>41514</v>
      </c>
      <c r="B109" s="429">
        <v>0.93365740740740744</v>
      </c>
      <c r="C109" s="433" t="s">
        <v>1286</v>
      </c>
    </row>
    <row r="110" spans="1:3" ht="45" x14ac:dyDescent="0.25">
      <c r="A110" s="428">
        <v>41514</v>
      </c>
      <c r="B110" s="429">
        <v>0.93489583333333337</v>
      </c>
      <c r="C110" s="433" t="s">
        <v>1287</v>
      </c>
    </row>
    <row r="111" spans="1:3" ht="30" x14ac:dyDescent="0.25">
      <c r="A111" s="428">
        <v>41514</v>
      </c>
      <c r="B111" s="429">
        <v>0.94937499999999997</v>
      </c>
      <c r="C111" s="433" t="s">
        <v>1286</v>
      </c>
    </row>
    <row r="112" spans="1:3" ht="60" x14ac:dyDescent="0.25">
      <c r="A112" s="428">
        <v>41514</v>
      </c>
      <c r="B112" s="429">
        <v>0.94951388888888888</v>
      </c>
      <c r="C112" s="433" t="s">
        <v>1285</v>
      </c>
    </row>
    <row r="113" spans="1:3" ht="30" x14ac:dyDescent="0.25">
      <c r="A113" s="428">
        <v>41514</v>
      </c>
      <c r="B113" s="429">
        <v>0.96997685185185178</v>
      </c>
      <c r="C113" s="433" t="s">
        <v>1286</v>
      </c>
    </row>
    <row r="114" spans="1:3" ht="30" x14ac:dyDescent="0.25">
      <c r="A114" s="428">
        <v>41514</v>
      </c>
      <c r="B114" s="429">
        <v>0.97499999999999998</v>
      </c>
      <c r="C114" s="433" t="s">
        <v>1286</v>
      </c>
    </row>
    <row r="115" spans="1:3" ht="45" x14ac:dyDescent="0.25">
      <c r="A115" s="428">
        <v>41514</v>
      </c>
      <c r="B115" s="429">
        <v>0.97624999999999995</v>
      </c>
      <c r="C115" s="433" t="s">
        <v>1288</v>
      </c>
    </row>
    <row r="116" spans="1:3" ht="60" x14ac:dyDescent="0.25">
      <c r="A116" s="428">
        <v>41514</v>
      </c>
      <c r="B116" s="429">
        <v>0.97969907407407408</v>
      </c>
      <c r="C116" s="433" t="s">
        <v>1285</v>
      </c>
    </row>
    <row r="117" spans="1:3" ht="30" x14ac:dyDescent="0.25">
      <c r="A117" s="428">
        <v>41514</v>
      </c>
      <c r="B117" s="429">
        <v>0.98422453703703694</v>
      </c>
      <c r="C117" s="433" t="s">
        <v>1286</v>
      </c>
    </row>
    <row r="118" spans="1:3" ht="45" x14ac:dyDescent="0.25">
      <c r="A118" s="428">
        <v>41514</v>
      </c>
      <c r="B118" s="429">
        <v>0.98521990740740739</v>
      </c>
      <c r="C118" s="433" t="s">
        <v>1289</v>
      </c>
    </row>
    <row r="119" spans="1:3" ht="30" x14ac:dyDescent="0.25">
      <c r="A119" s="428">
        <v>41514</v>
      </c>
      <c r="B119" s="429">
        <v>0.99263888888888896</v>
      </c>
      <c r="C119" s="433" t="s">
        <v>1290</v>
      </c>
    </row>
    <row r="120" spans="1:3" ht="30" x14ac:dyDescent="0.25">
      <c r="A120" s="428">
        <v>41514</v>
      </c>
      <c r="B120" s="429">
        <v>0.99318287037037034</v>
      </c>
      <c r="C120" s="433" t="s">
        <v>1291</v>
      </c>
    </row>
    <row r="121" spans="1:3" ht="30" x14ac:dyDescent="0.25">
      <c r="A121" s="428">
        <v>41514</v>
      </c>
      <c r="B121" s="429">
        <v>0.99348379629629635</v>
      </c>
      <c r="C121" s="433" t="s">
        <v>1292</v>
      </c>
    </row>
    <row r="122" spans="1:3" ht="30" x14ac:dyDescent="0.25">
      <c r="A122" s="428">
        <v>41514</v>
      </c>
      <c r="B122" s="429">
        <v>0.9937962962962964</v>
      </c>
      <c r="C122" s="433" t="s">
        <v>1293</v>
      </c>
    </row>
    <row r="123" spans="1:3" ht="30" x14ac:dyDescent="0.25">
      <c r="A123" s="428">
        <v>41514</v>
      </c>
      <c r="B123" s="429">
        <v>0.99515046296296295</v>
      </c>
      <c r="C123" s="433" t="s">
        <v>1286</v>
      </c>
    </row>
    <row r="124" spans="1:3" ht="45" x14ac:dyDescent="0.25">
      <c r="A124" s="428">
        <v>41514</v>
      </c>
      <c r="B124" s="429">
        <v>0.99606481481481479</v>
      </c>
      <c r="C124" s="433" t="s">
        <v>1294</v>
      </c>
    </row>
    <row r="125" spans="1:3" ht="30" x14ac:dyDescent="0.25">
      <c r="A125" s="428">
        <v>41514</v>
      </c>
      <c r="B125" s="429">
        <v>0.99629629629629635</v>
      </c>
      <c r="C125" s="433" t="s">
        <v>1295</v>
      </c>
    </row>
    <row r="126" spans="1:3" ht="45" x14ac:dyDescent="0.25">
      <c r="A126" s="428">
        <v>41514</v>
      </c>
      <c r="B126" s="429">
        <v>0.99791666666666667</v>
      </c>
      <c r="C126" s="433" t="s">
        <v>1296</v>
      </c>
    </row>
    <row r="127" spans="1:3" ht="30" x14ac:dyDescent="0.25">
      <c r="A127" s="428">
        <v>41514</v>
      </c>
      <c r="B127" s="429">
        <v>0.99799768518518517</v>
      </c>
      <c r="C127" s="433" t="s">
        <v>1297</v>
      </c>
    </row>
    <row r="128" spans="1:3" ht="45" x14ac:dyDescent="0.25">
      <c r="A128" s="428">
        <v>41514</v>
      </c>
      <c r="B128" s="429">
        <v>0.99807870370370377</v>
      </c>
      <c r="C128" s="433" t="s">
        <v>1298</v>
      </c>
    </row>
    <row r="129" spans="1:3" ht="45" x14ac:dyDescent="0.25">
      <c r="A129" s="428">
        <v>41514</v>
      </c>
      <c r="B129" s="429">
        <v>0.99930555555555556</v>
      </c>
      <c r="C129" s="433" t="s">
        <v>1299</v>
      </c>
    </row>
    <row r="130" spans="1:3" ht="60" x14ac:dyDescent="0.25">
      <c r="A130" s="428">
        <v>41514</v>
      </c>
      <c r="B130" s="429">
        <v>0.9997800925925926</v>
      </c>
      <c r="C130" s="433" t="s">
        <v>1257</v>
      </c>
    </row>
    <row r="131" spans="1:3" ht="45" x14ac:dyDescent="0.25">
      <c r="A131" s="428">
        <v>41515</v>
      </c>
      <c r="B131" s="429">
        <v>3.1944444444444442E-3</v>
      </c>
      <c r="C131" s="433" t="s">
        <v>1300</v>
      </c>
    </row>
    <row r="132" spans="1:3" ht="45" x14ac:dyDescent="0.25">
      <c r="A132" s="428">
        <v>41515</v>
      </c>
      <c r="B132" s="429">
        <v>1.6273148148148148E-2</v>
      </c>
      <c r="C132" s="433" t="s">
        <v>1300</v>
      </c>
    </row>
    <row r="133" spans="1:3" ht="45" x14ac:dyDescent="0.25">
      <c r="A133" s="428">
        <v>41515</v>
      </c>
      <c r="B133" s="429">
        <v>2.1134259259259259E-2</v>
      </c>
      <c r="C133" s="433" t="s">
        <v>1301</v>
      </c>
    </row>
    <row r="134" spans="1:3" x14ac:dyDescent="0.25">
      <c r="A134" s="428">
        <v>41515</v>
      </c>
      <c r="B134" s="429">
        <v>2.1435185185185186E-2</v>
      </c>
      <c r="C134" s="432" t="s">
        <v>1302</v>
      </c>
    </row>
    <row r="135" spans="1:3" ht="45" x14ac:dyDescent="0.25">
      <c r="A135" s="428">
        <v>41515</v>
      </c>
      <c r="B135" s="429">
        <v>2.3831018518518519E-2</v>
      </c>
      <c r="C135" s="433" t="s">
        <v>1303</v>
      </c>
    </row>
    <row r="136" spans="1:3" ht="45" x14ac:dyDescent="0.25">
      <c r="A136" s="428">
        <v>41515</v>
      </c>
      <c r="B136" s="429">
        <v>2.4525462962962968E-2</v>
      </c>
      <c r="C136" s="433" t="s">
        <v>1304</v>
      </c>
    </row>
    <row r="137" spans="1:3" ht="30" x14ac:dyDescent="0.25">
      <c r="A137" s="428">
        <v>41515</v>
      </c>
      <c r="B137" s="429">
        <v>2.4814814814814817E-2</v>
      </c>
      <c r="C137" s="433" t="s">
        <v>1305</v>
      </c>
    </row>
    <row r="138" spans="1:3" ht="30" x14ac:dyDescent="0.25">
      <c r="A138" s="428">
        <v>41515</v>
      </c>
      <c r="B138" s="429">
        <v>2.5034722222222222E-2</v>
      </c>
      <c r="C138" s="433" t="s">
        <v>1306</v>
      </c>
    </row>
    <row r="139" spans="1:3" ht="45" x14ac:dyDescent="0.25">
      <c r="A139" s="428">
        <v>41515</v>
      </c>
      <c r="B139" s="429">
        <v>3.4606481481481481E-2</v>
      </c>
      <c r="C139" s="433" t="s">
        <v>1307</v>
      </c>
    </row>
    <row r="140" spans="1:3" ht="45" x14ac:dyDescent="0.25">
      <c r="A140" s="428">
        <v>41515</v>
      </c>
      <c r="B140" s="429">
        <v>4.0798611111111112E-2</v>
      </c>
      <c r="C140" s="433" t="s">
        <v>1308</v>
      </c>
    </row>
    <row r="141" spans="1:3" ht="45" x14ac:dyDescent="0.25">
      <c r="A141" s="428">
        <v>41515</v>
      </c>
      <c r="B141" s="429">
        <v>4.099537037037037E-2</v>
      </c>
      <c r="C141" s="433" t="s">
        <v>1309</v>
      </c>
    </row>
    <row r="142" spans="1:3" ht="30" x14ac:dyDescent="0.25">
      <c r="A142" s="428">
        <v>41515</v>
      </c>
      <c r="B142" s="429">
        <v>4.1087962962962958E-2</v>
      </c>
      <c r="C142" s="433" t="s">
        <v>1310</v>
      </c>
    </row>
    <row r="143" spans="1:3" ht="30" x14ac:dyDescent="0.25">
      <c r="A143" s="428">
        <v>41515</v>
      </c>
      <c r="B143" s="429">
        <v>5.0729166666666665E-2</v>
      </c>
      <c r="C143" s="433" t="s">
        <v>1311</v>
      </c>
    </row>
    <row r="144" spans="1:3" ht="30" x14ac:dyDescent="0.25">
      <c r="A144" s="428">
        <v>41515</v>
      </c>
      <c r="B144" s="429">
        <v>5.7210648148148142E-2</v>
      </c>
      <c r="C144" s="433" t="s">
        <v>1312</v>
      </c>
    </row>
    <row r="145" spans="1:3" ht="45" x14ac:dyDescent="0.25">
      <c r="A145" s="428">
        <v>41515</v>
      </c>
      <c r="B145" s="429">
        <v>5.8229166666666665E-2</v>
      </c>
      <c r="C145" s="433" t="s">
        <v>1313</v>
      </c>
    </row>
    <row r="146" spans="1:3" ht="45" x14ac:dyDescent="0.25">
      <c r="A146" s="428">
        <v>41515</v>
      </c>
      <c r="B146" s="429">
        <v>7.4097222222222217E-2</v>
      </c>
      <c r="C146" s="433" t="s">
        <v>1307</v>
      </c>
    </row>
    <row r="147" spans="1:3" ht="30" x14ac:dyDescent="0.25">
      <c r="A147" s="428">
        <v>41515</v>
      </c>
      <c r="B147" s="429">
        <v>7.631944444444444E-2</v>
      </c>
      <c r="C147" s="433" t="s">
        <v>1314</v>
      </c>
    </row>
    <row r="148" spans="1:3" ht="30" x14ac:dyDescent="0.25">
      <c r="A148" s="428">
        <v>41515</v>
      </c>
      <c r="B148" s="429">
        <v>8.0358796296296289E-2</v>
      </c>
      <c r="C148" s="433" t="s">
        <v>1314</v>
      </c>
    </row>
    <row r="149" spans="1:3" ht="30" x14ac:dyDescent="0.25">
      <c r="A149" s="428">
        <v>41515</v>
      </c>
      <c r="B149" s="429">
        <v>9.1608796296296299E-2</v>
      </c>
      <c r="C149" s="433" t="s">
        <v>1314</v>
      </c>
    </row>
    <row r="150" spans="1:3" ht="30" x14ac:dyDescent="0.25">
      <c r="A150" s="428">
        <v>41515</v>
      </c>
      <c r="B150" s="429">
        <v>9.4733796296296302E-2</v>
      </c>
      <c r="C150" s="433" t="s">
        <v>1314</v>
      </c>
    </row>
    <row r="151" spans="1:3" ht="30" x14ac:dyDescent="0.25">
      <c r="A151" s="428">
        <v>41515</v>
      </c>
      <c r="B151" s="429">
        <v>0.10167824074074074</v>
      </c>
      <c r="C151" s="433" t="s">
        <v>1314</v>
      </c>
    </row>
    <row r="152" spans="1:3" ht="30" x14ac:dyDescent="0.25">
      <c r="A152" s="428">
        <v>41515</v>
      </c>
      <c r="B152" s="429">
        <v>0.10305555555555555</v>
      </c>
      <c r="C152" s="433" t="s">
        <v>1314</v>
      </c>
    </row>
    <row r="153" spans="1:3" ht="30" x14ac:dyDescent="0.25">
      <c r="A153" s="428">
        <v>41515</v>
      </c>
      <c r="B153" s="429">
        <v>0.10496527777777777</v>
      </c>
      <c r="C153" s="433" t="s">
        <v>1314</v>
      </c>
    </row>
    <row r="154" spans="1:3" ht="45" x14ac:dyDescent="0.25">
      <c r="A154" s="428">
        <v>41515</v>
      </c>
      <c r="B154" s="429">
        <v>0.10864583333333333</v>
      </c>
      <c r="C154" s="433" t="s">
        <v>1315</v>
      </c>
    </row>
    <row r="155" spans="1:3" ht="30" x14ac:dyDescent="0.25">
      <c r="A155" s="428">
        <v>41515</v>
      </c>
      <c r="B155" s="429">
        <v>0.1090162037037037</v>
      </c>
      <c r="C155" s="433" t="s">
        <v>1316</v>
      </c>
    </row>
    <row r="156" spans="1:3" ht="30" x14ac:dyDescent="0.25">
      <c r="A156" s="428">
        <v>41515</v>
      </c>
      <c r="B156" s="429">
        <v>0.76871527777777782</v>
      </c>
      <c r="C156" s="433" t="s">
        <v>1317</v>
      </c>
    </row>
    <row r="157" spans="1:3" ht="45" x14ac:dyDescent="0.25">
      <c r="A157" s="428">
        <v>41515</v>
      </c>
      <c r="B157" s="429">
        <v>0.76883101851851843</v>
      </c>
      <c r="C157" s="433" t="s">
        <v>1318</v>
      </c>
    </row>
    <row r="158" spans="1:3" ht="45" x14ac:dyDescent="0.25">
      <c r="A158" s="428">
        <v>41515</v>
      </c>
      <c r="B158" s="429">
        <v>0.77344907407407415</v>
      </c>
      <c r="C158" s="433" t="s">
        <v>1319</v>
      </c>
    </row>
    <row r="159" spans="1:3" ht="30" x14ac:dyDescent="0.25">
      <c r="A159" s="428">
        <v>41515</v>
      </c>
      <c r="B159" s="429">
        <v>0.78533564814814805</v>
      </c>
      <c r="C159" s="433" t="s">
        <v>1320</v>
      </c>
    </row>
    <row r="160" spans="1:3" ht="45" x14ac:dyDescent="0.25">
      <c r="A160" s="428">
        <v>41515</v>
      </c>
      <c r="B160" s="429">
        <v>0.78590277777777784</v>
      </c>
      <c r="C160" s="433" t="s">
        <v>1321</v>
      </c>
    </row>
    <row r="161" spans="1:3" ht="45" x14ac:dyDescent="0.25">
      <c r="A161" s="428">
        <v>41515</v>
      </c>
      <c r="B161" s="429">
        <v>0.78668981481481481</v>
      </c>
      <c r="C161" s="433" t="s">
        <v>1322</v>
      </c>
    </row>
    <row r="162" spans="1:3" ht="45" x14ac:dyDescent="0.25">
      <c r="A162" s="428">
        <v>41515</v>
      </c>
      <c r="B162" s="429">
        <v>0.78839120370370364</v>
      </c>
      <c r="C162" s="433" t="s">
        <v>1323</v>
      </c>
    </row>
    <row r="163" spans="1:3" ht="30" x14ac:dyDescent="0.25">
      <c r="A163" s="428">
        <v>41515</v>
      </c>
      <c r="B163" s="429">
        <v>0.7911921296296297</v>
      </c>
      <c r="C163" s="433" t="s">
        <v>1324</v>
      </c>
    </row>
    <row r="164" spans="1:3" ht="30" x14ac:dyDescent="0.25">
      <c r="A164" s="428">
        <v>41515</v>
      </c>
      <c r="B164" s="429">
        <v>0.79306712962962955</v>
      </c>
      <c r="C164" s="433" t="s">
        <v>1325</v>
      </c>
    </row>
    <row r="165" spans="1:3" ht="45" x14ac:dyDescent="0.25">
      <c r="A165" s="428">
        <v>41515</v>
      </c>
      <c r="B165" s="429">
        <v>0.79527777777777775</v>
      </c>
      <c r="C165" s="433" t="s">
        <v>1326</v>
      </c>
    </row>
    <row r="166" spans="1:3" ht="30" x14ac:dyDescent="0.25">
      <c r="A166" s="428">
        <v>41515</v>
      </c>
      <c r="B166" s="429">
        <v>0.796412037037037</v>
      </c>
      <c r="C166" s="433" t="s">
        <v>1327</v>
      </c>
    </row>
    <row r="167" spans="1:3" x14ac:dyDescent="0.25">
      <c r="A167" s="428">
        <v>41515</v>
      </c>
      <c r="B167" s="429">
        <v>0.95795138888888898</v>
      </c>
      <c r="C167" s="432" t="s">
        <v>1328</v>
      </c>
    </row>
    <row r="168" spans="1:3" x14ac:dyDescent="0.25">
      <c r="A168" s="428">
        <v>41515</v>
      </c>
      <c r="B168" s="429">
        <v>0.95795138888888898</v>
      </c>
      <c r="C168" s="432" t="s">
        <v>1329</v>
      </c>
    </row>
    <row r="169" spans="1:3" x14ac:dyDescent="0.25">
      <c r="A169" s="428">
        <v>41515</v>
      </c>
      <c r="B169" s="429">
        <v>0.95795138888888898</v>
      </c>
      <c r="C169" s="432" t="s">
        <v>1330</v>
      </c>
    </row>
    <row r="170" spans="1:3" x14ac:dyDescent="0.25">
      <c r="A170" s="428">
        <v>41515</v>
      </c>
      <c r="B170" s="429">
        <v>0.95795138888888898</v>
      </c>
      <c r="C170" s="432" t="s">
        <v>1331</v>
      </c>
    </row>
    <row r="171" spans="1:3" x14ac:dyDescent="0.25">
      <c r="A171" s="428">
        <v>41515</v>
      </c>
      <c r="B171" s="429">
        <v>0.95795138888888898</v>
      </c>
      <c r="C171" s="432" t="s">
        <v>1332</v>
      </c>
    </row>
    <row r="172" spans="1:3" x14ac:dyDescent="0.25">
      <c r="A172" s="428">
        <v>41515</v>
      </c>
      <c r="B172" s="429">
        <v>0.95795138888888898</v>
      </c>
      <c r="C172" s="432" t="s">
        <v>1333</v>
      </c>
    </row>
    <row r="173" spans="1:3" x14ac:dyDescent="0.25">
      <c r="A173" s="428">
        <v>41515</v>
      </c>
      <c r="B173" s="429">
        <v>0.95795138888888898</v>
      </c>
      <c r="C173" s="432" t="s">
        <v>1334</v>
      </c>
    </row>
    <row r="174" spans="1:3" x14ac:dyDescent="0.25">
      <c r="A174" s="428">
        <v>41515</v>
      </c>
      <c r="B174" s="429">
        <v>0.95795138888888898</v>
      </c>
      <c r="C174" s="432" t="s">
        <v>1335</v>
      </c>
    </row>
    <row r="175" spans="1:3" x14ac:dyDescent="0.25">
      <c r="A175" s="428">
        <v>41515</v>
      </c>
      <c r="B175" s="429">
        <v>0.95795138888888898</v>
      </c>
      <c r="C175" s="432" t="s">
        <v>1336</v>
      </c>
    </row>
    <row r="176" spans="1:3" x14ac:dyDescent="0.25">
      <c r="A176" s="428">
        <v>41515</v>
      </c>
      <c r="B176" s="429">
        <v>0.95795138888888898</v>
      </c>
      <c r="C176" s="432" t="s">
        <v>1337</v>
      </c>
    </row>
    <row r="177" spans="1:3" x14ac:dyDescent="0.25">
      <c r="A177" s="428">
        <v>41515</v>
      </c>
      <c r="B177" s="429">
        <v>0.95795138888888898</v>
      </c>
      <c r="C177" s="432" t="s">
        <v>1338</v>
      </c>
    </row>
    <row r="178" spans="1:3" x14ac:dyDescent="0.25">
      <c r="A178" s="428">
        <v>41515</v>
      </c>
      <c r="B178" s="429">
        <v>0.95795138888888898</v>
      </c>
      <c r="C178" s="432" t="s">
        <v>1339</v>
      </c>
    </row>
    <row r="179" spans="1:3" x14ac:dyDescent="0.25">
      <c r="A179" s="428">
        <v>41515</v>
      </c>
      <c r="B179" s="429">
        <v>0.95795138888888898</v>
      </c>
      <c r="C179" s="432" t="s">
        <v>1340</v>
      </c>
    </row>
    <row r="180" spans="1:3" x14ac:dyDescent="0.25">
      <c r="A180" s="428">
        <v>41515</v>
      </c>
      <c r="B180" s="429">
        <v>0.95795138888888898</v>
      </c>
      <c r="C180" s="432" t="s">
        <v>1341</v>
      </c>
    </row>
    <row r="181" spans="1:3" x14ac:dyDescent="0.25">
      <c r="A181" s="428">
        <v>41515</v>
      </c>
      <c r="B181" s="429">
        <v>0.95795138888888898</v>
      </c>
      <c r="C181" s="432" t="s">
        <v>1342</v>
      </c>
    </row>
    <row r="182" spans="1:3" x14ac:dyDescent="0.25">
      <c r="A182" s="428">
        <v>41515</v>
      </c>
      <c r="B182" s="429">
        <v>0.95795138888888898</v>
      </c>
      <c r="C182" s="432" t="s">
        <v>1343</v>
      </c>
    </row>
    <row r="183" spans="1:3" x14ac:dyDescent="0.25">
      <c r="A183" s="428">
        <v>41515</v>
      </c>
      <c r="B183" s="429">
        <v>0.95795138888888898</v>
      </c>
      <c r="C183" s="432" t="s">
        <v>1344</v>
      </c>
    </row>
    <row r="184" spans="1:3" x14ac:dyDescent="0.25">
      <c r="A184" s="428">
        <v>41515</v>
      </c>
      <c r="B184" s="429">
        <v>0.95795138888888898</v>
      </c>
      <c r="C184" s="432" t="s">
        <v>1332</v>
      </c>
    </row>
    <row r="185" spans="1:3" x14ac:dyDescent="0.25">
      <c r="A185" s="428">
        <v>41515</v>
      </c>
      <c r="B185" s="429">
        <v>0.95795138888888898</v>
      </c>
      <c r="C185" s="432" t="s">
        <v>1345</v>
      </c>
    </row>
    <row r="186" spans="1:3" x14ac:dyDescent="0.25">
      <c r="A186" s="428">
        <v>41515</v>
      </c>
      <c r="B186" s="429">
        <v>0.95795138888888898</v>
      </c>
      <c r="C186" s="432" t="s">
        <v>1346</v>
      </c>
    </row>
    <row r="187" spans="1:3" x14ac:dyDescent="0.25">
      <c r="A187" s="428">
        <v>41515</v>
      </c>
      <c r="B187" s="429">
        <v>0.95795138888888898</v>
      </c>
      <c r="C187" s="432" t="s">
        <v>1347</v>
      </c>
    </row>
    <row r="188" spans="1:3" x14ac:dyDescent="0.25">
      <c r="A188" s="428">
        <v>41515</v>
      </c>
      <c r="B188" s="429">
        <v>0.95795138888888898</v>
      </c>
      <c r="C188" s="432" t="s">
        <v>1348</v>
      </c>
    </row>
    <row r="189" spans="1:3" x14ac:dyDescent="0.25">
      <c r="A189" s="428">
        <v>41515</v>
      </c>
      <c r="B189" s="429">
        <v>0.95795138888888898</v>
      </c>
      <c r="C189" s="432" t="s">
        <v>1349</v>
      </c>
    </row>
    <row r="190" spans="1:3" x14ac:dyDescent="0.25">
      <c r="A190" s="428">
        <v>41515</v>
      </c>
      <c r="B190" s="429">
        <v>0.95795138888888898</v>
      </c>
      <c r="C190" s="432" t="s">
        <v>1350</v>
      </c>
    </row>
    <row r="191" spans="1:3" x14ac:dyDescent="0.25">
      <c r="A191" s="428">
        <v>41515</v>
      </c>
      <c r="B191" s="429">
        <v>0.95795138888888898</v>
      </c>
      <c r="C191" s="432" t="s">
        <v>1351</v>
      </c>
    </row>
    <row r="192" spans="1:3" x14ac:dyDescent="0.25">
      <c r="A192" s="428">
        <v>41515</v>
      </c>
      <c r="B192" s="429">
        <v>0.95795138888888898</v>
      </c>
      <c r="C192" s="432" t="s">
        <v>1352</v>
      </c>
    </row>
    <row r="193" spans="1:3" x14ac:dyDescent="0.25">
      <c r="A193" s="428">
        <v>41515</v>
      </c>
      <c r="B193" s="429">
        <v>0.95795138888888898</v>
      </c>
      <c r="C193" s="432" t="s">
        <v>1335</v>
      </c>
    </row>
    <row r="194" spans="1:3" x14ac:dyDescent="0.25">
      <c r="A194" s="428">
        <v>41515</v>
      </c>
      <c r="B194" s="429">
        <v>0.95795138888888898</v>
      </c>
      <c r="C194" s="432" t="s">
        <v>1353</v>
      </c>
    </row>
    <row r="195" spans="1:3" x14ac:dyDescent="0.25">
      <c r="A195" s="428">
        <v>41515</v>
      </c>
      <c r="B195" s="429">
        <v>0.95795138888888898</v>
      </c>
      <c r="C195" s="432" t="s">
        <v>1354</v>
      </c>
    </row>
    <row r="196" spans="1:3" x14ac:dyDescent="0.25">
      <c r="A196" s="428">
        <v>41515</v>
      </c>
      <c r="B196" s="429">
        <v>0.95795138888888898</v>
      </c>
      <c r="C196" s="432" t="s">
        <v>1355</v>
      </c>
    </row>
    <row r="197" spans="1:3" x14ac:dyDescent="0.25">
      <c r="A197" s="428">
        <v>41515</v>
      </c>
      <c r="B197" s="429">
        <v>0.95795138888888898</v>
      </c>
      <c r="C197" s="432" t="s">
        <v>1356</v>
      </c>
    </row>
    <row r="198" spans="1:3" x14ac:dyDescent="0.25">
      <c r="A198" s="428">
        <v>41515</v>
      </c>
      <c r="B198" s="429">
        <v>0.95796296296296291</v>
      </c>
      <c r="C198" s="432" t="s">
        <v>1356</v>
      </c>
    </row>
    <row r="199" spans="1:3" x14ac:dyDescent="0.25">
      <c r="A199" s="428">
        <v>41515</v>
      </c>
      <c r="B199" s="429">
        <v>0.95796296296296291</v>
      </c>
      <c r="C199" s="432" t="s">
        <v>1357</v>
      </c>
    </row>
    <row r="200" spans="1:3" x14ac:dyDescent="0.25">
      <c r="A200" s="428">
        <v>41515</v>
      </c>
      <c r="B200" s="429">
        <v>0.95796296296296291</v>
      </c>
      <c r="C200" s="432" t="s">
        <v>1356</v>
      </c>
    </row>
    <row r="201" spans="1:3" x14ac:dyDescent="0.25">
      <c r="A201" s="428">
        <v>41515</v>
      </c>
      <c r="B201" s="429">
        <v>0.95796296296296291</v>
      </c>
      <c r="C201" s="432" t="s">
        <v>1356</v>
      </c>
    </row>
    <row r="202" spans="1:3" x14ac:dyDescent="0.25">
      <c r="A202" s="428">
        <v>41515</v>
      </c>
      <c r="B202" s="429">
        <v>0.95796296296296291</v>
      </c>
      <c r="C202" s="432" t="s">
        <v>1335</v>
      </c>
    </row>
    <row r="203" spans="1:3" x14ac:dyDescent="0.25">
      <c r="A203" s="428">
        <v>41515</v>
      </c>
      <c r="B203" s="429">
        <v>0.95796296296296291</v>
      </c>
      <c r="C203" s="432" t="s">
        <v>1358</v>
      </c>
    </row>
    <row r="204" spans="1:3" x14ac:dyDescent="0.25">
      <c r="A204" s="428">
        <v>41515</v>
      </c>
      <c r="B204" s="429">
        <v>0.95796296296296291</v>
      </c>
      <c r="C204" s="432" t="s">
        <v>1351</v>
      </c>
    </row>
    <row r="205" spans="1:3" x14ac:dyDescent="0.25">
      <c r="A205" s="428">
        <v>41515</v>
      </c>
      <c r="B205" s="429">
        <v>0.95796296296296291</v>
      </c>
      <c r="C205" s="432" t="s">
        <v>1351</v>
      </c>
    </row>
    <row r="206" spans="1:3" x14ac:dyDescent="0.25">
      <c r="A206" s="428">
        <v>41515</v>
      </c>
      <c r="B206" s="429">
        <v>0.95796296296296291</v>
      </c>
      <c r="C206" s="432" t="s">
        <v>1359</v>
      </c>
    </row>
    <row r="207" spans="1:3" x14ac:dyDescent="0.25">
      <c r="A207" s="428">
        <v>41515</v>
      </c>
      <c r="B207" s="429">
        <v>0.95796296296296291</v>
      </c>
      <c r="C207" s="432" t="s">
        <v>1351</v>
      </c>
    </row>
    <row r="208" spans="1:3" x14ac:dyDescent="0.25">
      <c r="A208" s="428">
        <v>41515</v>
      </c>
      <c r="B208" s="429">
        <v>0.95796296296296291</v>
      </c>
      <c r="C208" s="432" t="s">
        <v>1349</v>
      </c>
    </row>
    <row r="209" spans="1:3" x14ac:dyDescent="0.25">
      <c r="A209" s="428">
        <v>41515</v>
      </c>
      <c r="B209" s="429">
        <v>0.95796296296296291</v>
      </c>
      <c r="C209" s="432" t="s">
        <v>1360</v>
      </c>
    </row>
    <row r="210" spans="1:3" x14ac:dyDescent="0.25">
      <c r="A210" s="428">
        <v>41515</v>
      </c>
      <c r="B210" s="429">
        <v>0.95796296296296291</v>
      </c>
      <c r="C210" s="432" t="s">
        <v>1356</v>
      </c>
    </row>
    <row r="211" spans="1:3" x14ac:dyDescent="0.25">
      <c r="A211" s="428">
        <v>41515</v>
      </c>
      <c r="B211" s="429">
        <v>0.95796296296296291</v>
      </c>
      <c r="C211" s="432" t="s">
        <v>1361</v>
      </c>
    </row>
    <row r="212" spans="1:3" x14ac:dyDescent="0.25">
      <c r="A212" s="428">
        <v>41515</v>
      </c>
      <c r="B212" s="429">
        <v>0.95796296296296291</v>
      </c>
      <c r="C212" s="432" t="s">
        <v>1356</v>
      </c>
    </row>
    <row r="213" spans="1:3" x14ac:dyDescent="0.25">
      <c r="A213" s="428">
        <v>41515</v>
      </c>
      <c r="B213" s="429">
        <v>0.95797453703703705</v>
      </c>
      <c r="C213" s="432" t="s">
        <v>1362</v>
      </c>
    </row>
    <row r="214" spans="1:3" x14ac:dyDescent="0.25">
      <c r="A214" s="428">
        <v>41515</v>
      </c>
      <c r="B214" s="429">
        <v>0.95797453703703705</v>
      </c>
      <c r="C214" s="432" t="s">
        <v>1363</v>
      </c>
    </row>
    <row r="215" spans="1:3" x14ac:dyDescent="0.25">
      <c r="A215" s="428">
        <v>41515</v>
      </c>
      <c r="B215" s="429">
        <v>0.95797453703703705</v>
      </c>
      <c r="C215" s="432" t="s">
        <v>1364</v>
      </c>
    </row>
    <row r="216" spans="1:3" x14ac:dyDescent="0.25">
      <c r="A216" s="428">
        <v>41515</v>
      </c>
      <c r="B216" s="429">
        <v>0.95797453703703705</v>
      </c>
      <c r="C216" s="432" t="s">
        <v>1365</v>
      </c>
    </row>
    <row r="217" spans="1:3" x14ac:dyDescent="0.25">
      <c r="A217" s="428">
        <v>41515</v>
      </c>
      <c r="B217" s="429">
        <v>0.95797453703703705</v>
      </c>
      <c r="C217" s="432" t="s">
        <v>1366</v>
      </c>
    </row>
    <row r="218" spans="1:3" x14ac:dyDescent="0.25">
      <c r="A218" s="428">
        <v>41515</v>
      </c>
      <c r="B218" s="429">
        <v>0.95797453703703705</v>
      </c>
      <c r="C218" s="432" t="s">
        <v>1367</v>
      </c>
    </row>
    <row r="219" spans="1:3" x14ac:dyDescent="0.25">
      <c r="A219" s="428">
        <v>41515</v>
      </c>
      <c r="B219" s="429">
        <v>0.95797453703703705</v>
      </c>
      <c r="C219" s="432" t="s">
        <v>1368</v>
      </c>
    </row>
    <row r="220" spans="1:3" x14ac:dyDescent="0.25">
      <c r="A220" s="428">
        <v>41515</v>
      </c>
      <c r="B220" s="429">
        <v>0.95797453703703705</v>
      </c>
      <c r="C220" s="432" t="s">
        <v>1369</v>
      </c>
    </row>
    <row r="221" spans="1:3" x14ac:dyDescent="0.25">
      <c r="A221" s="428">
        <v>41515</v>
      </c>
      <c r="B221" s="429">
        <v>0.95797453703703705</v>
      </c>
      <c r="C221" s="432" t="s">
        <v>1370</v>
      </c>
    </row>
    <row r="222" spans="1:3" x14ac:dyDescent="0.25">
      <c r="A222" s="428">
        <v>41515</v>
      </c>
      <c r="B222" s="429">
        <v>0.95797453703703705</v>
      </c>
      <c r="C222" s="432" t="s">
        <v>1371</v>
      </c>
    </row>
    <row r="223" spans="1:3" x14ac:dyDescent="0.25">
      <c r="A223" s="428">
        <v>41515</v>
      </c>
      <c r="B223" s="429">
        <v>0.95797453703703705</v>
      </c>
      <c r="C223" s="432" t="s">
        <v>1372</v>
      </c>
    </row>
    <row r="224" spans="1:3" x14ac:dyDescent="0.25">
      <c r="A224" s="428">
        <v>41515</v>
      </c>
      <c r="B224" s="429">
        <v>0.95797453703703705</v>
      </c>
      <c r="C224" s="432" t="s">
        <v>1356</v>
      </c>
    </row>
    <row r="225" spans="1:3" x14ac:dyDescent="0.25">
      <c r="A225" s="428">
        <v>41515</v>
      </c>
      <c r="B225" s="429">
        <v>0.95797453703703705</v>
      </c>
      <c r="C225" s="432" t="s">
        <v>1373</v>
      </c>
    </row>
    <row r="226" spans="1:3" x14ac:dyDescent="0.25">
      <c r="A226" s="428">
        <v>41515</v>
      </c>
      <c r="B226" s="429">
        <v>0.95797453703703705</v>
      </c>
      <c r="C226" s="432" t="s">
        <v>1372</v>
      </c>
    </row>
    <row r="227" spans="1:3" x14ac:dyDescent="0.25">
      <c r="A227" s="428">
        <v>41515</v>
      </c>
      <c r="B227" s="429">
        <v>0.95797453703703705</v>
      </c>
      <c r="C227" s="432" t="s">
        <v>1372</v>
      </c>
    </row>
    <row r="228" spans="1:3" x14ac:dyDescent="0.25">
      <c r="A228" s="428">
        <v>41515</v>
      </c>
      <c r="B228" s="429">
        <v>0.95797453703703705</v>
      </c>
      <c r="C228" s="432" t="s">
        <v>1372</v>
      </c>
    </row>
    <row r="229" spans="1:3" x14ac:dyDescent="0.25">
      <c r="A229" s="428">
        <v>41515</v>
      </c>
      <c r="B229" s="429">
        <v>0.95797453703703705</v>
      </c>
      <c r="C229" s="432" t="s">
        <v>1374</v>
      </c>
    </row>
    <row r="230" spans="1:3" x14ac:dyDescent="0.25">
      <c r="A230" s="428">
        <v>41515</v>
      </c>
      <c r="B230" s="429">
        <v>0.95797453703703705</v>
      </c>
      <c r="C230" s="432" t="s">
        <v>1375</v>
      </c>
    </row>
    <row r="231" spans="1:3" x14ac:dyDescent="0.25">
      <c r="A231" s="428">
        <v>41515</v>
      </c>
      <c r="B231" s="429">
        <v>0.95797453703703705</v>
      </c>
      <c r="C231" s="432" t="s">
        <v>1374</v>
      </c>
    </row>
    <row r="232" spans="1:3" x14ac:dyDescent="0.25">
      <c r="A232" s="428">
        <v>41515</v>
      </c>
      <c r="B232" s="429">
        <v>0.95797453703703705</v>
      </c>
      <c r="C232" s="432" t="s">
        <v>1376</v>
      </c>
    </row>
    <row r="233" spans="1:3" x14ac:dyDescent="0.25">
      <c r="A233" s="428">
        <v>41515</v>
      </c>
      <c r="B233" s="429">
        <v>0.95797453703703705</v>
      </c>
      <c r="C233" s="432" t="s">
        <v>1377</v>
      </c>
    </row>
    <row r="234" spans="1:3" x14ac:dyDescent="0.25">
      <c r="A234" s="428">
        <v>41515</v>
      </c>
      <c r="B234" s="429">
        <v>0.95797453703703705</v>
      </c>
      <c r="C234" s="432" t="s">
        <v>1378</v>
      </c>
    </row>
    <row r="235" spans="1:3" x14ac:dyDescent="0.25">
      <c r="A235" s="428">
        <v>41515</v>
      </c>
      <c r="B235" s="429">
        <v>0.95797453703703705</v>
      </c>
      <c r="C235" s="432" t="s">
        <v>1379</v>
      </c>
    </row>
    <row r="236" spans="1:3" x14ac:dyDescent="0.25">
      <c r="A236" s="428">
        <v>41515</v>
      </c>
      <c r="B236" s="429">
        <v>0.95797453703703705</v>
      </c>
      <c r="C236" s="432" t="s">
        <v>1380</v>
      </c>
    </row>
    <row r="237" spans="1:3" x14ac:dyDescent="0.25">
      <c r="A237" s="428">
        <v>41515</v>
      </c>
      <c r="B237" s="429">
        <v>0.95797453703703705</v>
      </c>
      <c r="C237" s="432" t="s">
        <v>1381</v>
      </c>
    </row>
    <row r="238" spans="1:3" x14ac:dyDescent="0.25">
      <c r="A238" s="428">
        <v>41515</v>
      </c>
      <c r="B238" s="429">
        <v>0.95797453703703705</v>
      </c>
      <c r="C238" s="432" t="s">
        <v>1382</v>
      </c>
    </row>
    <row r="239" spans="1:3" x14ac:dyDescent="0.25">
      <c r="A239" s="428">
        <v>41515</v>
      </c>
      <c r="B239" s="429">
        <v>0.95797453703703705</v>
      </c>
      <c r="C239" s="432" t="s">
        <v>1359</v>
      </c>
    </row>
    <row r="240" spans="1:3" x14ac:dyDescent="0.25">
      <c r="A240" s="428">
        <v>41515</v>
      </c>
      <c r="B240" s="429">
        <v>0.95797453703703705</v>
      </c>
      <c r="C240" s="432" t="s">
        <v>1383</v>
      </c>
    </row>
    <row r="241" spans="1:3" x14ac:dyDescent="0.25">
      <c r="A241" s="428">
        <v>41515</v>
      </c>
      <c r="B241" s="429">
        <v>0.95797453703703705</v>
      </c>
      <c r="C241" s="432" t="s">
        <v>1384</v>
      </c>
    </row>
    <row r="242" spans="1:3" x14ac:dyDescent="0.25">
      <c r="A242" s="428">
        <v>41515</v>
      </c>
      <c r="B242" s="429">
        <v>0.95797453703703705</v>
      </c>
      <c r="C242" s="432" t="s">
        <v>1385</v>
      </c>
    </row>
    <row r="243" spans="1:3" x14ac:dyDescent="0.25">
      <c r="A243" s="428">
        <v>41515</v>
      </c>
      <c r="B243" s="429">
        <v>0.95797453703703705</v>
      </c>
      <c r="C243" s="432" t="s">
        <v>1386</v>
      </c>
    </row>
    <row r="244" spans="1:3" x14ac:dyDescent="0.25">
      <c r="A244" s="428">
        <v>41515</v>
      </c>
      <c r="B244" s="429">
        <v>0.95797453703703705</v>
      </c>
      <c r="C244" s="432" t="s">
        <v>1387</v>
      </c>
    </row>
    <row r="245" spans="1:3" x14ac:dyDescent="0.25">
      <c r="A245" s="428">
        <v>41515</v>
      </c>
      <c r="B245" s="429">
        <v>0.95797453703703705</v>
      </c>
      <c r="C245" s="432" t="s">
        <v>1388</v>
      </c>
    </row>
    <row r="246" spans="1:3" x14ac:dyDescent="0.25">
      <c r="A246" s="428">
        <v>41515</v>
      </c>
      <c r="B246" s="429">
        <v>0.95797453703703705</v>
      </c>
      <c r="C246" s="432" t="s">
        <v>1362</v>
      </c>
    </row>
    <row r="247" spans="1:3" x14ac:dyDescent="0.25">
      <c r="A247" s="428">
        <v>41515</v>
      </c>
      <c r="B247" s="429">
        <v>0.95797453703703705</v>
      </c>
      <c r="C247" s="432" t="s">
        <v>1389</v>
      </c>
    </row>
    <row r="248" spans="1:3" x14ac:dyDescent="0.25">
      <c r="A248" s="428">
        <v>41515</v>
      </c>
      <c r="B248" s="429">
        <v>0.95797453703703705</v>
      </c>
      <c r="C248" s="432" t="s">
        <v>1390</v>
      </c>
    </row>
    <row r="249" spans="1:3" x14ac:dyDescent="0.25">
      <c r="A249" s="428">
        <v>41515</v>
      </c>
      <c r="B249" s="429">
        <v>0.95797453703703705</v>
      </c>
      <c r="C249" s="432" t="s">
        <v>1391</v>
      </c>
    </row>
    <row r="250" spans="1:3" x14ac:dyDescent="0.25">
      <c r="A250" s="428">
        <v>41515</v>
      </c>
      <c r="B250" s="429">
        <v>0.95797453703703705</v>
      </c>
      <c r="C250" s="432" t="s">
        <v>1392</v>
      </c>
    </row>
    <row r="251" spans="1:3" x14ac:dyDescent="0.25">
      <c r="A251" s="428">
        <v>41515</v>
      </c>
      <c r="B251" s="429">
        <v>0.95797453703703705</v>
      </c>
      <c r="C251" s="432" t="s">
        <v>1349</v>
      </c>
    </row>
    <row r="252" spans="1:3" x14ac:dyDescent="0.25">
      <c r="A252" s="428">
        <v>41515</v>
      </c>
      <c r="B252" s="429">
        <v>0.95797453703703705</v>
      </c>
      <c r="C252" s="432" t="s">
        <v>1393</v>
      </c>
    </row>
    <row r="253" spans="1:3" x14ac:dyDescent="0.25">
      <c r="A253" s="428">
        <v>41515</v>
      </c>
      <c r="B253" s="429">
        <v>0.95797453703703705</v>
      </c>
      <c r="C253" s="432" t="s">
        <v>1394</v>
      </c>
    </row>
    <row r="254" spans="1:3" x14ac:dyDescent="0.25">
      <c r="A254" s="428">
        <v>41515</v>
      </c>
      <c r="B254" s="429">
        <v>0.95797453703703705</v>
      </c>
      <c r="C254" s="432" t="s">
        <v>1384</v>
      </c>
    </row>
    <row r="255" spans="1:3" x14ac:dyDescent="0.25">
      <c r="A255" s="428">
        <v>41515</v>
      </c>
      <c r="B255" s="429">
        <v>0.95797453703703705</v>
      </c>
      <c r="C255" s="432" t="s">
        <v>1395</v>
      </c>
    </row>
    <row r="256" spans="1:3" x14ac:dyDescent="0.25">
      <c r="A256" s="428">
        <v>41515</v>
      </c>
      <c r="B256" s="429">
        <v>0.95797453703703705</v>
      </c>
      <c r="C256" s="432" t="s">
        <v>1395</v>
      </c>
    </row>
    <row r="257" spans="1:3" x14ac:dyDescent="0.25">
      <c r="A257" s="428">
        <v>41515</v>
      </c>
      <c r="B257" s="429">
        <v>0.95797453703703705</v>
      </c>
      <c r="C257" s="432" t="s">
        <v>1396</v>
      </c>
    </row>
    <row r="258" spans="1:3" x14ac:dyDescent="0.25">
      <c r="A258" s="428">
        <v>41515</v>
      </c>
      <c r="B258" s="429">
        <v>0.95797453703703705</v>
      </c>
      <c r="C258" s="432" t="s">
        <v>1391</v>
      </c>
    </row>
    <row r="259" spans="1:3" x14ac:dyDescent="0.25">
      <c r="A259" s="428">
        <v>41515</v>
      </c>
      <c r="B259" s="429">
        <v>0.95797453703703705</v>
      </c>
      <c r="C259" s="432" t="s">
        <v>1397</v>
      </c>
    </row>
    <row r="260" spans="1:3" x14ac:dyDescent="0.25">
      <c r="A260" s="428">
        <v>41515</v>
      </c>
      <c r="B260" s="429">
        <v>0.95797453703703705</v>
      </c>
      <c r="C260" s="432" t="s">
        <v>1398</v>
      </c>
    </row>
    <row r="261" spans="1:3" x14ac:dyDescent="0.25">
      <c r="A261" s="428">
        <v>41515</v>
      </c>
      <c r="B261" s="429">
        <v>0.95797453703703705</v>
      </c>
      <c r="C261" s="432" t="s">
        <v>1368</v>
      </c>
    </row>
    <row r="262" spans="1:3" x14ac:dyDescent="0.25">
      <c r="A262" s="428">
        <v>41515</v>
      </c>
      <c r="B262" s="429">
        <v>0.95797453703703705</v>
      </c>
      <c r="C262" s="432" t="s">
        <v>1399</v>
      </c>
    </row>
    <row r="263" spans="1:3" x14ac:dyDescent="0.25">
      <c r="A263" s="428">
        <v>41515</v>
      </c>
      <c r="B263" s="429">
        <v>0.95797453703703705</v>
      </c>
      <c r="C263" s="432" t="s">
        <v>1400</v>
      </c>
    </row>
    <row r="264" spans="1:3" x14ac:dyDescent="0.25">
      <c r="A264" s="428">
        <v>41515</v>
      </c>
      <c r="B264" s="429">
        <v>0.95797453703703705</v>
      </c>
      <c r="C264" s="432" t="s">
        <v>1401</v>
      </c>
    </row>
    <row r="265" spans="1:3" x14ac:dyDescent="0.25">
      <c r="A265" s="428">
        <v>41515</v>
      </c>
      <c r="B265" s="429">
        <v>0.95797453703703705</v>
      </c>
      <c r="C265" s="432" t="s">
        <v>1402</v>
      </c>
    </row>
    <row r="266" spans="1:3" x14ac:dyDescent="0.25">
      <c r="A266" s="428">
        <v>41515</v>
      </c>
      <c r="B266" s="429">
        <v>0.95797453703703705</v>
      </c>
      <c r="C266" s="432" t="s">
        <v>1351</v>
      </c>
    </row>
    <row r="267" spans="1:3" x14ac:dyDescent="0.25">
      <c r="A267" s="428">
        <v>41515</v>
      </c>
      <c r="B267" s="429">
        <v>0.95797453703703705</v>
      </c>
      <c r="C267" s="432" t="s">
        <v>1351</v>
      </c>
    </row>
    <row r="268" spans="1:3" x14ac:dyDescent="0.25">
      <c r="A268" s="428">
        <v>41515</v>
      </c>
      <c r="B268" s="429">
        <v>0.95797453703703705</v>
      </c>
      <c r="C268" s="432" t="s">
        <v>1403</v>
      </c>
    </row>
    <row r="269" spans="1:3" x14ac:dyDescent="0.25">
      <c r="A269" s="428">
        <v>41515</v>
      </c>
      <c r="B269" s="429">
        <v>0.95797453703703705</v>
      </c>
      <c r="C269" s="432" t="s">
        <v>1351</v>
      </c>
    </row>
    <row r="270" spans="1:3" x14ac:dyDescent="0.25">
      <c r="A270" s="428">
        <v>41515</v>
      </c>
      <c r="B270" s="429">
        <v>0.95797453703703705</v>
      </c>
      <c r="C270" s="432" t="s">
        <v>1404</v>
      </c>
    </row>
    <row r="271" spans="1:3" x14ac:dyDescent="0.25">
      <c r="A271" s="428">
        <v>41515</v>
      </c>
      <c r="B271" s="429">
        <v>0.95797453703703705</v>
      </c>
      <c r="C271" s="432" t="s">
        <v>1405</v>
      </c>
    </row>
    <row r="272" spans="1:3" x14ac:dyDescent="0.25">
      <c r="A272" s="428">
        <v>41515</v>
      </c>
      <c r="B272" s="429">
        <v>0.95797453703703705</v>
      </c>
      <c r="C272" s="432" t="s">
        <v>1361</v>
      </c>
    </row>
    <row r="273" spans="1:3" x14ac:dyDescent="0.25">
      <c r="A273" s="428">
        <v>41515</v>
      </c>
      <c r="B273" s="429">
        <v>0.95797453703703705</v>
      </c>
      <c r="C273" s="432" t="s">
        <v>1406</v>
      </c>
    </row>
    <row r="274" spans="1:3" x14ac:dyDescent="0.25">
      <c r="A274" s="428">
        <v>41515</v>
      </c>
      <c r="B274" s="429">
        <v>0.95797453703703705</v>
      </c>
      <c r="C274" s="432" t="s">
        <v>1407</v>
      </c>
    </row>
    <row r="275" spans="1:3" x14ac:dyDescent="0.25">
      <c r="A275" s="428">
        <v>41515</v>
      </c>
      <c r="B275" s="429">
        <v>0.95797453703703705</v>
      </c>
      <c r="C275" s="432" t="s">
        <v>1362</v>
      </c>
    </row>
    <row r="276" spans="1:3" x14ac:dyDescent="0.25">
      <c r="A276" s="428">
        <v>41515</v>
      </c>
      <c r="B276" s="429">
        <v>0.95797453703703705</v>
      </c>
      <c r="C276" s="432" t="s">
        <v>1408</v>
      </c>
    </row>
    <row r="277" spans="1:3" x14ac:dyDescent="0.25">
      <c r="A277" s="428">
        <v>41515</v>
      </c>
      <c r="B277" s="429">
        <v>0.95797453703703705</v>
      </c>
      <c r="C277" s="432" t="s">
        <v>1409</v>
      </c>
    </row>
    <row r="278" spans="1:3" x14ac:dyDescent="0.25">
      <c r="A278" s="428">
        <v>41515</v>
      </c>
      <c r="B278" s="429">
        <v>0.95797453703703705</v>
      </c>
      <c r="C278" s="432" t="s">
        <v>1410</v>
      </c>
    </row>
    <row r="279" spans="1:3" x14ac:dyDescent="0.25">
      <c r="A279" s="428">
        <v>41515</v>
      </c>
      <c r="B279" s="429">
        <v>0.95797453703703705</v>
      </c>
      <c r="C279" s="432" t="s">
        <v>1411</v>
      </c>
    </row>
    <row r="280" spans="1:3" x14ac:dyDescent="0.25">
      <c r="A280" s="428">
        <v>41515</v>
      </c>
      <c r="B280" s="429">
        <v>0.95797453703703705</v>
      </c>
      <c r="C280" s="432" t="s">
        <v>1411</v>
      </c>
    </row>
    <row r="281" spans="1:3" x14ac:dyDescent="0.25">
      <c r="A281" s="428">
        <v>41515</v>
      </c>
      <c r="B281" s="429">
        <v>0.95797453703703705</v>
      </c>
      <c r="C281" s="432" t="s">
        <v>1412</v>
      </c>
    </row>
    <row r="282" spans="1:3" x14ac:dyDescent="0.25">
      <c r="A282" s="428">
        <v>41515</v>
      </c>
      <c r="B282" s="429">
        <v>0.95797453703703705</v>
      </c>
      <c r="C282" s="432" t="s">
        <v>1358</v>
      </c>
    </row>
    <row r="283" spans="1:3" x14ac:dyDescent="0.25">
      <c r="A283" s="428">
        <v>41515</v>
      </c>
      <c r="B283" s="429">
        <v>0.95797453703703705</v>
      </c>
      <c r="C283" s="432" t="s">
        <v>1413</v>
      </c>
    </row>
    <row r="284" spans="1:3" x14ac:dyDescent="0.25">
      <c r="A284" s="428">
        <v>41515</v>
      </c>
      <c r="B284" s="429">
        <v>0.95797453703703705</v>
      </c>
      <c r="C284" s="432" t="s">
        <v>1414</v>
      </c>
    </row>
    <row r="285" spans="1:3" x14ac:dyDescent="0.25">
      <c r="A285" s="428">
        <v>41515</v>
      </c>
      <c r="B285" s="429">
        <v>0.95797453703703705</v>
      </c>
      <c r="C285" s="432" t="s">
        <v>1414</v>
      </c>
    </row>
    <row r="286" spans="1:3" x14ac:dyDescent="0.25">
      <c r="A286" s="428">
        <v>41515</v>
      </c>
      <c r="B286" s="429">
        <v>0.95797453703703705</v>
      </c>
      <c r="C286" s="432" t="s">
        <v>1415</v>
      </c>
    </row>
    <row r="287" spans="1:3" x14ac:dyDescent="0.25">
      <c r="A287" s="428">
        <v>41515</v>
      </c>
      <c r="B287" s="429">
        <v>0.95797453703703705</v>
      </c>
      <c r="C287" s="432" t="s">
        <v>1416</v>
      </c>
    </row>
    <row r="288" spans="1:3" x14ac:dyDescent="0.25">
      <c r="A288" s="428">
        <v>41515</v>
      </c>
      <c r="B288" s="429">
        <v>0.95797453703703705</v>
      </c>
      <c r="C288" s="432" t="s">
        <v>1417</v>
      </c>
    </row>
    <row r="289" spans="1:3" x14ac:dyDescent="0.25">
      <c r="A289" s="428">
        <v>41515</v>
      </c>
      <c r="B289" s="429">
        <v>0.95797453703703705</v>
      </c>
      <c r="C289" s="432" t="s">
        <v>1418</v>
      </c>
    </row>
    <row r="290" spans="1:3" x14ac:dyDescent="0.25">
      <c r="A290" s="428">
        <v>41515</v>
      </c>
      <c r="B290" s="429">
        <v>0.95797453703703705</v>
      </c>
      <c r="C290" s="432" t="s">
        <v>1419</v>
      </c>
    </row>
    <row r="291" spans="1:3" x14ac:dyDescent="0.25">
      <c r="A291" s="428">
        <v>41515</v>
      </c>
      <c r="B291" s="429">
        <v>0.95797453703703705</v>
      </c>
      <c r="C291" s="432" t="s">
        <v>1420</v>
      </c>
    </row>
    <row r="292" spans="1:3" x14ac:dyDescent="0.25">
      <c r="A292" s="428">
        <v>41515</v>
      </c>
      <c r="B292" s="429">
        <v>0.95797453703703705</v>
      </c>
      <c r="C292" s="432" t="s">
        <v>1420</v>
      </c>
    </row>
    <row r="293" spans="1:3" x14ac:dyDescent="0.25">
      <c r="A293" s="428">
        <v>41515</v>
      </c>
      <c r="B293" s="429">
        <v>0.95797453703703705</v>
      </c>
      <c r="C293" s="432" t="s">
        <v>1361</v>
      </c>
    </row>
    <row r="294" spans="1:3" x14ac:dyDescent="0.25">
      <c r="A294" s="428">
        <v>41515</v>
      </c>
      <c r="B294" s="429">
        <v>0.95797453703703705</v>
      </c>
      <c r="C294" s="432" t="s">
        <v>1418</v>
      </c>
    </row>
    <row r="295" spans="1:3" x14ac:dyDescent="0.25">
      <c r="A295" s="428">
        <v>41515</v>
      </c>
      <c r="B295" s="429">
        <v>0.95797453703703705</v>
      </c>
      <c r="C295" s="432" t="s">
        <v>1349</v>
      </c>
    </row>
    <row r="296" spans="1:3" x14ac:dyDescent="0.25">
      <c r="A296" s="428">
        <v>41515</v>
      </c>
      <c r="B296" s="429">
        <v>0.95797453703703705</v>
      </c>
      <c r="C296" s="432" t="s">
        <v>1421</v>
      </c>
    </row>
    <row r="297" spans="1:3" x14ac:dyDescent="0.25">
      <c r="A297" s="428">
        <v>41515</v>
      </c>
      <c r="B297" s="429">
        <v>0.95797453703703705</v>
      </c>
      <c r="C297" s="432" t="s">
        <v>1422</v>
      </c>
    </row>
    <row r="298" spans="1:3" x14ac:dyDescent="0.25">
      <c r="A298" s="428">
        <v>41515</v>
      </c>
      <c r="B298" s="429">
        <v>0.95797453703703705</v>
      </c>
      <c r="C298" s="432" t="s">
        <v>1423</v>
      </c>
    </row>
    <row r="299" spans="1:3" x14ac:dyDescent="0.25">
      <c r="A299" s="428">
        <v>41515</v>
      </c>
      <c r="B299" s="429">
        <v>0.95797453703703705</v>
      </c>
      <c r="C299" s="432" t="s">
        <v>1424</v>
      </c>
    </row>
    <row r="300" spans="1:3" x14ac:dyDescent="0.25">
      <c r="A300" s="428">
        <v>41515</v>
      </c>
      <c r="B300" s="429">
        <v>0.95797453703703705</v>
      </c>
      <c r="C300" s="432" t="s">
        <v>1414</v>
      </c>
    </row>
    <row r="301" spans="1:3" x14ac:dyDescent="0.25">
      <c r="A301" s="428">
        <v>41515</v>
      </c>
      <c r="B301" s="429">
        <v>0.95797453703703705</v>
      </c>
      <c r="C301" s="432" t="s">
        <v>1425</v>
      </c>
    </row>
    <row r="302" spans="1:3" x14ac:dyDescent="0.25">
      <c r="A302" s="428">
        <v>41515</v>
      </c>
      <c r="B302" s="429">
        <v>0.95797453703703705</v>
      </c>
      <c r="C302" s="432" t="s">
        <v>1401</v>
      </c>
    </row>
    <row r="303" spans="1:3" x14ac:dyDescent="0.25">
      <c r="A303" s="428">
        <v>41515</v>
      </c>
      <c r="B303" s="429">
        <v>0.95797453703703705</v>
      </c>
      <c r="C303" s="432" t="s">
        <v>1426</v>
      </c>
    </row>
    <row r="304" spans="1:3" x14ac:dyDescent="0.25">
      <c r="A304" s="428">
        <v>41515</v>
      </c>
      <c r="B304" s="429">
        <v>0.95797453703703705</v>
      </c>
      <c r="C304" s="432" t="s">
        <v>1427</v>
      </c>
    </row>
    <row r="305" spans="1:3" x14ac:dyDescent="0.25">
      <c r="A305" s="428">
        <v>41515</v>
      </c>
      <c r="B305" s="429">
        <v>0.95797453703703705</v>
      </c>
      <c r="C305" s="432" t="s">
        <v>1428</v>
      </c>
    </row>
    <row r="306" spans="1:3" x14ac:dyDescent="0.25">
      <c r="A306" s="428">
        <v>41515</v>
      </c>
      <c r="B306" s="429">
        <v>0.95797453703703705</v>
      </c>
      <c r="C306" s="432" t="s">
        <v>1429</v>
      </c>
    </row>
    <row r="307" spans="1:3" x14ac:dyDescent="0.25">
      <c r="A307" s="428">
        <v>41515</v>
      </c>
      <c r="B307" s="429">
        <v>0.95797453703703705</v>
      </c>
      <c r="C307" s="432" t="s">
        <v>1430</v>
      </c>
    </row>
    <row r="308" spans="1:3" x14ac:dyDescent="0.25">
      <c r="A308" s="428">
        <v>41515</v>
      </c>
      <c r="B308" s="429">
        <v>0.95797453703703705</v>
      </c>
      <c r="C308" s="432" t="s">
        <v>1431</v>
      </c>
    </row>
    <row r="309" spans="1:3" x14ac:dyDescent="0.25">
      <c r="A309" s="428">
        <v>41515</v>
      </c>
      <c r="B309" s="429">
        <v>0.95797453703703705</v>
      </c>
      <c r="C309" s="432" t="s">
        <v>1421</v>
      </c>
    </row>
    <row r="310" spans="1:3" x14ac:dyDescent="0.25">
      <c r="A310" s="428">
        <v>41515</v>
      </c>
      <c r="B310" s="429">
        <v>0.95797453703703705</v>
      </c>
      <c r="C310" s="432" t="s">
        <v>1432</v>
      </c>
    </row>
    <row r="311" spans="1:3" x14ac:dyDescent="0.25">
      <c r="A311" s="428">
        <v>41515</v>
      </c>
      <c r="B311" s="429">
        <v>0.95797453703703705</v>
      </c>
      <c r="C311" s="432" t="s">
        <v>1433</v>
      </c>
    </row>
    <row r="312" spans="1:3" x14ac:dyDescent="0.25">
      <c r="A312" s="428">
        <v>41515</v>
      </c>
      <c r="B312" s="429">
        <v>0.95797453703703705</v>
      </c>
      <c r="C312" s="432" t="s">
        <v>1355</v>
      </c>
    </row>
    <row r="313" spans="1:3" x14ac:dyDescent="0.25">
      <c r="A313" s="428">
        <v>41515</v>
      </c>
      <c r="B313" s="429">
        <v>0.95797453703703705</v>
      </c>
      <c r="C313" s="432" t="s">
        <v>1434</v>
      </c>
    </row>
    <row r="314" spans="1:3" x14ac:dyDescent="0.25">
      <c r="A314" s="428">
        <v>41515</v>
      </c>
      <c r="B314" s="429">
        <v>0.95797453703703705</v>
      </c>
      <c r="C314" s="432" t="s">
        <v>1435</v>
      </c>
    </row>
    <row r="315" spans="1:3" x14ac:dyDescent="0.25">
      <c r="A315" s="428">
        <v>41515</v>
      </c>
      <c r="B315" s="429">
        <v>0.95797453703703705</v>
      </c>
      <c r="C315" s="432" t="s">
        <v>1436</v>
      </c>
    </row>
    <row r="316" spans="1:3" x14ac:dyDescent="0.25">
      <c r="A316" s="428">
        <v>41515</v>
      </c>
      <c r="B316" s="429">
        <v>0.95797453703703705</v>
      </c>
      <c r="C316" s="432" t="s">
        <v>1437</v>
      </c>
    </row>
    <row r="317" spans="1:3" x14ac:dyDescent="0.25">
      <c r="A317" s="428">
        <v>41515</v>
      </c>
      <c r="B317" s="429">
        <v>0.95797453703703705</v>
      </c>
      <c r="C317" s="432" t="s">
        <v>1438</v>
      </c>
    </row>
    <row r="318" spans="1:3" x14ac:dyDescent="0.25">
      <c r="A318" s="428">
        <v>41515</v>
      </c>
      <c r="B318" s="429">
        <v>0.95797453703703705</v>
      </c>
      <c r="C318" s="432" t="s">
        <v>1439</v>
      </c>
    </row>
    <row r="319" spans="1:3" x14ac:dyDescent="0.25">
      <c r="A319" s="428">
        <v>41515</v>
      </c>
      <c r="B319" s="429">
        <v>0.95797453703703705</v>
      </c>
      <c r="C319" s="432" t="s">
        <v>1440</v>
      </c>
    </row>
    <row r="320" spans="1:3" x14ac:dyDescent="0.25">
      <c r="A320" s="428">
        <v>41515</v>
      </c>
      <c r="B320" s="429">
        <v>0.95797453703703705</v>
      </c>
      <c r="C320" s="432" t="s">
        <v>1422</v>
      </c>
    </row>
    <row r="321" spans="1:3" x14ac:dyDescent="0.25">
      <c r="A321" s="428">
        <v>41515</v>
      </c>
      <c r="B321" s="429">
        <v>0.95797453703703705</v>
      </c>
      <c r="C321" s="432" t="s">
        <v>1441</v>
      </c>
    </row>
    <row r="322" spans="1:3" x14ac:dyDescent="0.25">
      <c r="A322" s="428">
        <v>41515</v>
      </c>
      <c r="B322" s="429">
        <v>0.95797453703703705</v>
      </c>
      <c r="C322" s="432" t="s">
        <v>1442</v>
      </c>
    </row>
    <row r="323" spans="1:3" x14ac:dyDescent="0.25">
      <c r="A323" s="428">
        <v>41515</v>
      </c>
      <c r="B323" s="429">
        <v>0.95797453703703705</v>
      </c>
      <c r="C323" s="432" t="s">
        <v>1434</v>
      </c>
    </row>
    <row r="324" spans="1:3" x14ac:dyDescent="0.25">
      <c r="A324" s="428">
        <v>41515</v>
      </c>
      <c r="B324" s="429">
        <v>0.95797453703703705</v>
      </c>
      <c r="C324" s="432" t="s">
        <v>1443</v>
      </c>
    </row>
    <row r="325" spans="1:3" x14ac:dyDescent="0.25">
      <c r="A325" s="428">
        <v>41515</v>
      </c>
      <c r="B325" s="429">
        <v>0.95797453703703705</v>
      </c>
      <c r="C325" s="432" t="s">
        <v>1444</v>
      </c>
    </row>
    <row r="326" spans="1:3" x14ac:dyDescent="0.25">
      <c r="A326" s="428">
        <v>41515</v>
      </c>
      <c r="B326" s="429">
        <v>0.95797453703703705</v>
      </c>
      <c r="C326" s="432" t="s">
        <v>1445</v>
      </c>
    </row>
    <row r="327" spans="1:3" x14ac:dyDescent="0.25">
      <c r="A327" s="428">
        <v>41515</v>
      </c>
      <c r="B327" s="429">
        <v>0.95797453703703705</v>
      </c>
      <c r="C327" s="432" t="s">
        <v>1445</v>
      </c>
    </row>
    <row r="328" spans="1:3" x14ac:dyDescent="0.25">
      <c r="A328" s="428">
        <v>41515</v>
      </c>
      <c r="B328" s="429">
        <v>0.95797453703703705</v>
      </c>
      <c r="C328" s="432" t="s">
        <v>1371</v>
      </c>
    </row>
    <row r="329" spans="1:3" x14ac:dyDescent="0.25">
      <c r="A329" s="428">
        <v>41515</v>
      </c>
      <c r="B329" s="429">
        <v>0.95797453703703705</v>
      </c>
      <c r="C329" s="432" t="s">
        <v>1446</v>
      </c>
    </row>
    <row r="330" spans="1:3" x14ac:dyDescent="0.25">
      <c r="A330" s="428">
        <v>41515</v>
      </c>
      <c r="B330" s="429">
        <v>0.95797453703703705</v>
      </c>
      <c r="C330" s="432" t="s">
        <v>1447</v>
      </c>
    </row>
    <row r="331" spans="1:3" x14ac:dyDescent="0.25">
      <c r="A331" s="428">
        <v>41515</v>
      </c>
      <c r="B331" s="429">
        <v>0.95797453703703705</v>
      </c>
      <c r="C331" s="432" t="s">
        <v>1448</v>
      </c>
    </row>
    <row r="332" spans="1:3" x14ac:dyDescent="0.25">
      <c r="A332" s="428">
        <v>41515</v>
      </c>
      <c r="B332" s="429">
        <v>0.95797453703703705</v>
      </c>
      <c r="C332" s="432" t="s">
        <v>1416</v>
      </c>
    </row>
    <row r="333" spans="1:3" x14ac:dyDescent="0.25">
      <c r="A333" s="428">
        <v>41515</v>
      </c>
      <c r="B333" s="429">
        <v>0.95797453703703705</v>
      </c>
      <c r="C333" s="432" t="s">
        <v>1431</v>
      </c>
    </row>
    <row r="334" spans="1:3" x14ac:dyDescent="0.25">
      <c r="A334" s="428">
        <v>41515</v>
      </c>
      <c r="B334" s="429">
        <v>0.95797453703703705</v>
      </c>
      <c r="C334" s="432" t="s">
        <v>1449</v>
      </c>
    </row>
    <row r="335" spans="1:3" x14ac:dyDescent="0.25">
      <c r="A335" s="428">
        <v>41515</v>
      </c>
      <c r="B335" s="429">
        <v>0.95797453703703705</v>
      </c>
      <c r="C335" s="432" t="s">
        <v>1450</v>
      </c>
    </row>
    <row r="336" spans="1:3" x14ac:dyDescent="0.25">
      <c r="A336" s="428">
        <v>41515</v>
      </c>
      <c r="B336" s="429">
        <v>0.95797453703703705</v>
      </c>
      <c r="C336" s="432" t="s">
        <v>1415</v>
      </c>
    </row>
    <row r="337" spans="1:3" x14ac:dyDescent="0.25">
      <c r="A337" s="428">
        <v>41515</v>
      </c>
      <c r="B337" s="429">
        <v>0.95797453703703705</v>
      </c>
      <c r="C337" s="432" t="s">
        <v>1451</v>
      </c>
    </row>
    <row r="338" spans="1:3" x14ac:dyDescent="0.25">
      <c r="A338" s="428">
        <v>41515</v>
      </c>
      <c r="B338" s="429">
        <v>0.95797453703703705</v>
      </c>
      <c r="C338" s="432" t="s">
        <v>1452</v>
      </c>
    </row>
    <row r="339" spans="1:3" x14ac:dyDescent="0.25">
      <c r="A339" s="428">
        <v>41515</v>
      </c>
      <c r="B339" s="429">
        <v>0.95797453703703705</v>
      </c>
      <c r="C339" s="432" t="s">
        <v>1444</v>
      </c>
    </row>
    <row r="340" spans="1:3" x14ac:dyDescent="0.25">
      <c r="A340" s="428">
        <v>41515</v>
      </c>
      <c r="B340" s="429">
        <v>0.95797453703703705</v>
      </c>
      <c r="C340" s="432" t="s">
        <v>1453</v>
      </c>
    </row>
    <row r="341" spans="1:3" x14ac:dyDescent="0.25">
      <c r="A341" s="428">
        <v>41515</v>
      </c>
      <c r="B341" s="429">
        <v>0.95797453703703705</v>
      </c>
      <c r="C341" s="432" t="s">
        <v>1454</v>
      </c>
    </row>
    <row r="342" spans="1:3" x14ac:dyDescent="0.25">
      <c r="A342" s="428">
        <v>41515</v>
      </c>
      <c r="B342" s="429">
        <v>0.95797453703703705</v>
      </c>
      <c r="C342" s="432" t="s">
        <v>1423</v>
      </c>
    </row>
    <row r="343" spans="1:3" x14ac:dyDescent="0.25">
      <c r="A343" s="428">
        <v>41515</v>
      </c>
      <c r="B343" s="429">
        <v>0.95797453703703705</v>
      </c>
      <c r="C343" s="432" t="s">
        <v>1434</v>
      </c>
    </row>
    <row r="344" spans="1:3" x14ac:dyDescent="0.25">
      <c r="A344" s="428">
        <v>41515</v>
      </c>
      <c r="B344" s="429">
        <v>0.95797453703703705</v>
      </c>
      <c r="C344" s="432" t="s">
        <v>1455</v>
      </c>
    </row>
    <row r="345" spans="1:3" x14ac:dyDescent="0.25">
      <c r="A345" s="428">
        <v>41515</v>
      </c>
      <c r="B345" s="429">
        <v>0.95797453703703705</v>
      </c>
      <c r="C345" s="432" t="s">
        <v>1349</v>
      </c>
    </row>
    <row r="346" spans="1:3" x14ac:dyDescent="0.25">
      <c r="A346" s="428">
        <v>41515</v>
      </c>
      <c r="B346" s="429">
        <v>0.95797453703703705</v>
      </c>
      <c r="C346" s="432" t="s">
        <v>1361</v>
      </c>
    </row>
    <row r="347" spans="1:3" x14ac:dyDescent="0.25">
      <c r="A347" s="428">
        <v>41515</v>
      </c>
      <c r="B347" s="429">
        <v>0.95797453703703705</v>
      </c>
      <c r="C347" s="432" t="s">
        <v>1456</v>
      </c>
    </row>
    <row r="348" spans="1:3" x14ac:dyDescent="0.25">
      <c r="A348" s="428">
        <v>41515</v>
      </c>
      <c r="B348" s="429">
        <v>0.95797453703703705</v>
      </c>
      <c r="C348" s="432" t="s">
        <v>1457</v>
      </c>
    </row>
    <row r="349" spans="1:3" x14ac:dyDescent="0.25">
      <c r="A349" s="428">
        <v>41515</v>
      </c>
      <c r="B349" s="429">
        <v>0.95797453703703705</v>
      </c>
      <c r="C349" s="432" t="s">
        <v>1458</v>
      </c>
    </row>
    <row r="350" spans="1:3" x14ac:dyDescent="0.25">
      <c r="A350" s="428">
        <v>41515</v>
      </c>
      <c r="B350" s="429">
        <v>0.95797453703703705</v>
      </c>
      <c r="C350" s="432" t="s">
        <v>1459</v>
      </c>
    </row>
    <row r="351" spans="1:3" x14ac:dyDescent="0.25">
      <c r="A351" s="428">
        <v>41515</v>
      </c>
      <c r="B351" s="429">
        <v>0.95797453703703705</v>
      </c>
      <c r="C351" s="432" t="s">
        <v>1459</v>
      </c>
    </row>
    <row r="352" spans="1:3" x14ac:dyDescent="0.25">
      <c r="A352" s="428">
        <v>41515</v>
      </c>
      <c r="B352" s="429">
        <v>0.95797453703703705</v>
      </c>
      <c r="C352" s="432" t="s">
        <v>1451</v>
      </c>
    </row>
    <row r="353" spans="1:3" x14ac:dyDescent="0.25">
      <c r="A353" s="428">
        <v>41515</v>
      </c>
      <c r="B353" s="429">
        <v>0.95797453703703705</v>
      </c>
      <c r="C353" s="432" t="s">
        <v>1460</v>
      </c>
    </row>
    <row r="354" spans="1:3" x14ac:dyDescent="0.25">
      <c r="A354" s="428">
        <v>41515</v>
      </c>
      <c r="B354" s="429">
        <v>0.95797453703703705</v>
      </c>
      <c r="C354" s="432" t="s">
        <v>1461</v>
      </c>
    </row>
    <row r="355" spans="1:3" x14ac:dyDescent="0.25">
      <c r="A355" s="428">
        <v>41515</v>
      </c>
      <c r="B355" s="429">
        <v>0.95797453703703705</v>
      </c>
      <c r="C355" s="432" t="s">
        <v>1401</v>
      </c>
    </row>
    <row r="356" spans="1:3" x14ac:dyDescent="0.25">
      <c r="A356" s="428">
        <v>41515</v>
      </c>
      <c r="B356" s="429">
        <v>0.95797453703703705</v>
      </c>
      <c r="C356" s="432" t="s">
        <v>1462</v>
      </c>
    </row>
    <row r="357" spans="1:3" x14ac:dyDescent="0.25">
      <c r="A357" s="428">
        <v>41515</v>
      </c>
      <c r="B357" s="429">
        <v>0.95798611111111109</v>
      </c>
      <c r="C357" s="432" t="s">
        <v>1376</v>
      </c>
    </row>
    <row r="358" spans="1:3" x14ac:dyDescent="0.25">
      <c r="A358" s="428">
        <v>41515</v>
      </c>
      <c r="B358" s="429">
        <v>0.95798611111111109</v>
      </c>
      <c r="C358" s="432" t="s">
        <v>1393</v>
      </c>
    </row>
    <row r="359" spans="1:3" x14ac:dyDescent="0.25">
      <c r="A359" s="428">
        <v>41515</v>
      </c>
      <c r="B359" s="429">
        <v>0.95798611111111109</v>
      </c>
      <c r="C359" s="432" t="s">
        <v>1463</v>
      </c>
    </row>
    <row r="360" spans="1:3" x14ac:dyDescent="0.25">
      <c r="A360" s="428">
        <v>41515</v>
      </c>
      <c r="B360" s="429">
        <v>0.95798611111111109</v>
      </c>
      <c r="C360" s="432" t="s">
        <v>1464</v>
      </c>
    </row>
    <row r="361" spans="1:3" x14ac:dyDescent="0.25">
      <c r="A361" s="428">
        <v>41515</v>
      </c>
      <c r="B361" s="429">
        <v>0.95798611111111109</v>
      </c>
      <c r="C361" s="432" t="s">
        <v>1465</v>
      </c>
    </row>
    <row r="362" spans="1:3" x14ac:dyDescent="0.25">
      <c r="A362" s="428">
        <v>41515</v>
      </c>
      <c r="B362" s="429">
        <v>0.95798611111111109</v>
      </c>
      <c r="C362" s="432" t="s">
        <v>1466</v>
      </c>
    </row>
    <row r="363" spans="1:3" x14ac:dyDescent="0.25">
      <c r="A363" s="428">
        <v>41515</v>
      </c>
      <c r="B363" s="429">
        <v>0.95798611111111109</v>
      </c>
      <c r="C363" s="432" t="s">
        <v>1467</v>
      </c>
    </row>
    <row r="364" spans="1:3" x14ac:dyDescent="0.25">
      <c r="A364" s="428">
        <v>41515</v>
      </c>
      <c r="B364" s="429">
        <v>0.95798611111111109</v>
      </c>
      <c r="C364" s="432" t="s">
        <v>1468</v>
      </c>
    </row>
    <row r="365" spans="1:3" x14ac:dyDescent="0.25">
      <c r="A365" s="428">
        <v>41515</v>
      </c>
      <c r="B365" s="429">
        <v>0.95798611111111109</v>
      </c>
      <c r="C365" s="432" t="s">
        <v>1469</v>
      </c>
    </row>
    <row r="366" spans="1:3" x14ac:dyDescent="0.25">
      <c r="A366" s="428">
        <v>41515</v>
      </c>
      <c r="B366" s="429">
        <v>0.95798611111111109</v>
      </c>
      <c r="C366" s="432" t="s">
        <v>1470</v>
      </c>
    </row>
    <row r="367" spans="1:3" x14ac:dyDescent="0.25">
      <c r="A367" s="428">
        <v>41515</v>
      </c>
      <c r="B367" s="429">
        <v>0.95798611111111109</v>
      </c>
      <c r="C367" s="432" t="s">
        <v>1414</v>
      </c>
    </row>
    <row r="368" spans="1:3" x14ac:dyDescent="0.25">
      <c r="A368" s="428">
        <v>41515</v>
      </c>
      <c r="B368" s="429">
        <v>0.95798611111111109</v>
      </c>
      <c r="C368" s="432" t="s">
        <v>1351</v>
      </c>
    </row>
    <row r="369" spans="1:3" x14ac:dyDescent="0.25">
      <c r="A369" s="428">
        <v>41515</v>
      </c>
      <c r="B369" s="429">
        <v>0.95798611111111109</v>
      </c>
      <c r="C369" s="432" t="s">
        <v>1351</v>
      </c>
    </row>
    <row r="370" spans="1:3" x14ac:dyDescent="0.25">
      <c r="A370" s="428">
        <v>41515</v>
      </c>
      <c r="B370" s="429">
        <v>0.95798611111111109</v>
      </c>
      <c r="C370" s="432" t="s">
        <v>1351</v>
      </c>
    </row>
    <row r="371" spans="1:3" x14ac:dyDescent="0.25">
      <c r="A371" s="428">
        <v>41515</v>
      </c>
      <c r="B371" s="429">
        <v>0.95798611111111109</v>
      </c>
      <c r="C371" s="432" t="s">
        <v>1351</v>
      </c>
    </row>
    <row r="372" spans="1:3" x14ac:dyDescent="0.25">
      <c r="A372" s="428">
        <v>41515</v>
      </c>
      <c r="B372" s="429">
        <v>0.95798611111111109</v>
      </c>
      <c r="C372" s="432" t="s">
        <v>1351</v>
      </c>
    </row>
    <row r="373" spans="1:3" x14ac:dyDescent="0.25">
      <c r="A373" s="428">
        <v>41515</v>
      </c>
      <c r="B373" s="429">
        <v>0.95798611111111109</v>
      </c>
      <c r="C373" s="432" t="s">
        <v>1351</v>
      </c>
    </row>
    <row r="374" spans="1:3" x14ac:dyDescent="0.25">
      <c r="A374" s="428">
        <v>41515</v>
      </c>
      <c r="B374" s="429">
        <v>0.95798611111111109</v>
      </c>
      <c r="C374" s="432" t="s">
        <v>1471</v>
      </c>
    </row>
    <row r="375" spans="1:3" x14ac:dyDescent="0.25">
      <c r="A375" s="428">
        <v>41515</v>
      </c>
      <c r="B375" s="429">
        <v>0.95798611111111109</v>
      </c>
      <c r="C375" s="432" t="s">
        <v>1472</v>
      </c>
    </row>
    <row r="376" spans="1:3" x14ac:dyDescent="0.25">
      <c r="A376" s="428">
        <v>41515</v>
      </c>
      <c r="B376" s="429">
        <v>0.95798611111111109</v>
      </c>
      <c r="C376" s="432" t="s">
        <v>1473</v>
      </c>
    </row>
    <row r="377" spans="1:3" x14ac:dyDescent="0.25">
      <c r="A377" s="428">
        <v>41515</v>
      </c>
      <c r="B377" s="429">
        <v>0.95798611111111109</v>
      </c>
      <c r="C377" s="432" t="s">
        <v>1474</v>
      </c>
    </row>
    <row r="378" spans="1:3" x14ac:dyDescent="0.25">
      <c r="A378" s="428">
        <v>41515</v>
      </c>
      <c r="B378" s="429">
        <v>0.95798611111111109</v>
      </c>
      <c r="C378" s="432" t="s">
        <v>1475</v>
      </c>
    </row>
    <row r="379" spans="1:3" x14ac:dyDescent="0.25">
      <c r="A379" s="428">
        <v>41515</v>
      </c>
      <c r="B379" s="429">
        <v>0.95798611111111109</v>
      </c>
      <c r="C379" s="432" t="s">
        <v>1351</v>
      </c>
    </row>
    <row r="380" spans="1:3" x14ac:dyDescent="0.25">
      <c r="A380" s="428">
        <v>41515</v>
      </c>
      <c r="B380" s="429">
        <v>0.95798611111111109</v>
      </c>
      <c r="C380" s="432" t="s">
        <v>1476</v>
      </c>
    </row>
    <row r="381" spans="1:3" x14ac:dyDescent="0.25">
      <c r="A381" s="428">
        <v>41515</v>
      </c>
      <c r="B381" s="429">
        <v>0.95798611111111109</v>
      </c>
      <c r="C381" s="432" t="s">
        <v>1477</v>
      </c>
    </row>
    <row r="382" spans="1:3" x14ac:dyDescent="0.25">
      <c r="A382" s="428">
        <v>41515</v>
      </c>
      <c r="B382" s="429">
        <v>0.95798611111111109</v>
      </c>
      <c r="C382" s="432" t="s">
        <v>1478</v>
      </c>
    </row>
    <row r="383" spans="1:3" x14ac:dyDescent="0.25">
      <c r="A383" s="428">
        <v>41515</v>
      </c>
      <c r="B383" s="429">
        <v>0.95799768518518524</v>
      </c>
      <c r="C383" s="432" t="s">
        <v>1442</v>
      </c>
    </row>
    <row r="384" spans="1:3" x14ac:dyDescent="0.25">
      <c r="A384" s="428">
        <v>41515</v>
      </c>
      <c r="B384" s="429">
        <v>0.95799768518518524</v>
      </c>
      <c r="C384" s="432" t="s">
        <v>1479</v>
      </c>
    </row>
    <row r="385" spans="1:3" x14ac:dyDescent="0.25">
      <c r="A385" s="428">
        <v>41515</v>
      </c>
      <c r="B385" s="429">
        <v>0.95799768518518524</v>
      </c>
      <c r="C385" s="432" t="s">
        <v>1480</v>
      </c>
    </row>
    <row r="386" spans="1:3" x14ac:dyDescent="0.25">
      <c r="A386" s="428">
        <v>41515</v>
      </c>
      <c r="B386" s="429">
        <v>0.95799768518518524</v>
      </c>
      <c r="C386" s="432" t="s">
        <v>1481</v>
      </c>
    </row>
    <row r="387" spans="1:3" x14ac:dyDescent="0.25">
      <c r="A387" s="428">
        <v>41515</v>
      </c>
      <c r="B387" s="429">
        <v>0.95799768518518524</v>
      </c>
      <c r="C387" s="432" t="s">
        <v>1482</v>
      </c>
    </row>
    <row r="388" spans="1:3" x14ac:dyDescent="0.25">
      <c r="A388" s="428">
        <v>41515</v>
      </c>
      <c r="B388" s="429">
        <v>0.95799768518518524</v>
      </c>
      <c r="C388" s="432" t="s">
        <v>1483</v>
      </c>
    </row>
    <row r="389" spans="1:3" x14ac:dyDescent="0.25">
      <c r="A389" s="428">
        <v>41515</v>
      </c>
      <c r="B389" s="429">
        <v>0.95799768518518524</v>
      </c>
      <c r="C389" s="432" t="s">
        <v>1393</v>
      </c>
    </row>
    <row r="390" spans="1:3" x14ac:dyDescent="0.25">
      <c r="A390" s="428">
        <v>41515</v>
      </c>
      <c r="B390" s="429">
        <v>0.95799768518518524</v>
      </c>
      <c r="C390" s="432" t="s">
        <v>1460</v>
      </c>
    </row>
    <row r="391" spans="1:3" x14ac:dyDescent="0.25">
      <c r="A391" s="428">
        <v>41515</v>
      </c>
      <c r="B391" s="429">
        <v>0.95799768518518524</v>
      </c>
      <c r="C391" s="432" t="s">
        <v>1484</v>
      </c>
    </row>
    <row r="392" spans="1:3" x14ac:dyDescent="0.25">
      <c r="A392" s="428">
        <v>41515</v>
      </c>
      <c r="B392" s="429">
        <v>0.95799768518518524</v>
      </c>
      <c r="C392" s="432" t="s">
        <v>1485</v>
      </c>
    </row>
    <row r="393" spans="1:3" x14ac:dyDescent="0.25">
      <c r="A393" s="428">
        <v>41515</v>
      </c>
      <c r="B393" s="429">
        <v>0.95799768518518524</v>
      </c>
      <c r="C393" s="432" t="s">
        <v>1485</v>
      </c>
    </row>
    <row r="394" spans="1:3" x14ac:dyDescent="0.25">
      <c r="A394" s="428">
        <v>41515</v>
      </c>
      <c r="B394" s="429">
        <v>0.95799768518518524</v>
      </c>
      <c r="C394" s="432" t="s">
        <v>1477</v>
      </c>
    </row>
    <row r="395" spans="1:3" x14ac:dyDescent="0.25">
      <c r="A395" s="428">
        <v>41515</v>
      </c>
      <c r="B395" s="429">
        <v>0.95951388888888889</v>
      </c>
      <c r="C395" s="432" t="s">
        <v>1328</v>
      </c>
    </row>
    <row r="396" spans="1:3" x14ac:dyDescent="0.25">
      <c r="A396" s="428">
        <v>41515</v>
      </c>
      <c r="B396" s="429">
        <v>0.95951388888888889</v>
      </c>
      <c r="C396" s="432" t="s">
        <v>1329</v>
      </c>
    </row>
    <row r="397" spans="1:3" x14ac:dyDescent="0.25">
      <c r="A397" s="428">
        <v>41515</v>
      </c>
      <c r="B397" s="429">
        <v>0.95951388888888889</v>
      </c>
      <c r="C397" s="432" t="s">
        <v>1330</v>
      </c>
    </row>
    <row r="398" spans="1:3" x14ac:dyDescent="0.25">
      <c r="A398" s="428">
        <v>41515</v>
      </c>
      <c r="B398" s="429">
        <v>0.95951388888888889</v>
      </c>
      <c r="C398" s="432" t="s">
        <v>1331</v>
      </c>
    </row>
    <row r="399" spans="1:3" x14ac:dyDescent="0.25">
      <c r="A399" s="428">
        <v>41515</v>
      </c>
      <c r="B399" s="429">
        <v>0.95951388888888889</v>
      </c>
      <c r="C399" s="432" t="s">
        <v>1332</v>
      </c>
    </row>
    <row r="400" spans="1:3" x14ac:dyDescent="0.25">
      <c r="A400" s="428">
        <v>41515</v>
      </c>
      <c r="B400" s="429">
        <v>0.95951388888888889</v>
      </c>
      <c r="C400" s="432" t="s">
        <v>1333</v>
      </c>
    </row>
    <row r="401" spans="1:3" x14ac:dyDescent="0.25">
      <c r="A401" s="428">
        <v>41515</v>
      </c>
      <c r="B401" s="429">
        <v>0.95951388888888889</v>
      </c>
      <c r="C401" s="432" t="s">
        <v>1334</v>
      </c>
    </row>
    <row r="402" spans="1:3" x14ac:dyDescent="0.25">
      <c r="A402" s="428">
        <v>41515</v>
      </c>
      <c r="B402" s="429">
        <v>0.95951388888888889</v>
      </c>
      <c r="C402" s="432" t="s">
        <v>1335</v>
      </c>
    </row>
    <row r="403" spans="1:3" x14ac:dyDescent="0.25">
      <c r="A403" s="428">
        <v>41515</v>
      </c>
      <c r="B403" s="429">
        <v>0.95951388888888889</v>
      </c>
      <c r="C403" s="432" t="s">
        <v>1336</v>
      </c>
    </row>
    <row r="404" spans="1:3" x14ac:dyDescent="0.25">
      <c r="A404" s="428">
        <v>41515</v>
      </c>
      <c r="B404" s="429">
        <v>0.95951388888888889</v>
      </c>
      <c r="C404" s="432" t="s">
        <v>1337</v>
      </c>
    </row>
    <row r="405" spans="1:3" x14ac:dyDescent="0.25">
      <c r="A405" s="428">
        <v>41515</v>
      </c>
      <c r="B405" s="429">
        <v>0.95951388888888889</v>
      </c>
      <c r="C405" s="432" t="s">
        <v>1338</v>
      </c>
    </row>
    <row r="406" spans="1:3" x14ac:dyDescent="0.25">
      <c r="A406" s="428">
        <v>41515</v>
      </c>
      <c r="B406" s="429">
        <v>0.95951388888888889</v>
      </c>
      <c r="C406" s="432" t="s">
        <v>1339</v>
      </c>
    </row>
    <row r="407" spans="1:3" x14ac:dyDescent="0.25">
      <c r="A407" s="428">
        <v>41515</v>
      </c>
      <c r="B407" s="429">
        <v>0.95951388888888889</v>
      </c>
      <c r="C407" s="432" t="s">
        <v>1340</v>
      </c>
    </row>
    <row r="408" spans="1:3" x14ac:dyDescent="0.25">
      <c r="A408" s="428">
        <v>41515</v>
      </c>
      <c r="B408" s="429">
        <v>0.95951388888888889</v>
      </c>
      <c r="C408" s="432" t="s">
        <v>1341</v>
      </c>
    </row>
    <row r="409" spans="1:3" x14ac:dyDescent="0.25">
      <c r="A409" s="428">
        <v>41515</v>
      </c>
      <c r="B409" s="429">
        <v>0.95951388888888889</v>
      </c>
      <c r="C409" s="432" t="s">
        <v>1342</v>
      </c>
    </row>
    <row r="410" spans="1:3" x14ac:dyDescent="0.25">
      <c r="A410" s="428">
        <v>41515</v>
      </c>
      <c r="B410" s="429">
        <v>0.95951388888888889</v>
      </c>
      <c r="C410" s="432" t="s">
        <v>1343</v>
      </c>
    </row>
    <row r="411" spans="1:3" x14ac:dyDescent="0.25">
      <c r="A411" s="428">
        <v>41515</v>
      </c>
      <c r="B411" s="429">
        <v>0.95951388888888889</v>
      </c>
      <c r="C411" s="432" t="s">
        <v>1344</v>
      </c>
    </row>
    <row r="412" spans="1:3" x14ac:dyDescent="0.25">
      <c r="A412" s="428">
        <v>41515</v>
      </c>
      <c r="B412" s="429">
        <v>0.95951388888888889</v>
      </c>
      <c r="C412" s="432" t="s">
        <v>1332</v>
      </c>
    </row>
    <row r="413" spans="1:3" x14ac:dyDescent="0.25">
      <c r="A413" s="428">
        <v>41515</v>
      </c>
      <c r="B413" s="429">
        <v>0.95951388888888889</v>
      </c>
      <c r="C413" s="432" t="s">
        <v>1345</v>
      </c>
    </row>
    <row r="414" spans="1:3" x14ac:dyDescent="0.25">
      <c r="A414" s="428">
        <v>41515</v>
      </c>
      <c r="B414" s="429">
        <v>0.95951388888888889</v>
      </c>
      <c r="C414" s="432" t="s">
        <v>1346</v>
      </c>
    </row>
    <row r="415" spans="1:3" x14ac:dyDescent="0.25">
      <c r="A415" s="428">
        <v>41515</v>
      </c>
      <c r="B415" s="429">
        <v>0.95951388888888889</v>
      </c>
      <c r="C415" s="432" t="s">
        <v>1347</v>
      </c>
    </row>
    <row r="416" spans="1:3" x14ac:dyDescent="0.25">
      <c r="A416" s="428">
        <v>41515</v>
      </c>
      <c r="B416" s="429">
        <v>0.95951388888888889</v>
      </c>
      <c r="C416" s="432" t="s">
        <v>1348</v>
      </c>
    </row>
    <row r="417" spans="1:3" x14ac:dyDescent="0.25">
      <c r="A417" s="428">
        <v>41515</v>
      </c>
      <c r="B417" s="429">
        <v>0.95951388888888889</v>
      </c>
      <c r="C417" s="432" t="s">
        <v>1349</v>
      </c>
    </row>
    <row r="418" spans="1:3" x14ac:dyDescent="0.25">
      <c r="A418" s="428">
        <v>41515</v>
      </c>
      <c r="B418" s="429">
        <v>0.95951388888888889</v>
      </c>
      <c r="C418" s="432" t="s">
        <v>1350</v>
      </c>
    </row>
    <row r="419" spans="1:3" x14ac:dyDescent="0.25">
      <c r="A419" s="428">
        <v>41515</v>
      </c>
      <c r="B419" s="429">
        <v>0.95951388888888889</v>
      </c>
      <c r="C419" s="432" t="s">
        <v>1351</v>
      </c>
    </row>
    <row r="420" spans="1:3" x14ac:dyDescent="0.25">
      <c r="A420" s="428">
        <v>41515</v>
      </c>
      <c r="B420" s="429">
        <v>0.95951388888888889</v>
      </c>
      <c r="C420" s="432" t="s">
        <v>1352</v>
      </c>
    </row>
    <row r="421" spans="1:3" x14ac:dyDescent="0.25">
      <c r="A421" s="428">
        <v>41515</v>
      </c>
      <c r="B421" s="429">
        <v>0.95951388888888889</v>
      </c>
      <c r="C421" s="432" t="s">
        <v>1335</v>
      </c>
    </row>
    <row r="422" spans="1:3" x14ac:dyDescent="0.25">
      <c r="A422" s="428">
        <v>41515</v>
      </c>
      <c r="B422" s="429">
        <v>0.95951388888888889</v>
      </c>
      <c r="C422" s="432" t="s">
        <v>1353</v>
      </c>
    </row>
    <row r="423" spans="1:3" x14ac:dyDescent="0.25">
      <c r="A423" s="428">
        <v>41515</v>
      </c>
      <c r="B423" s="429">
        <v>0.95951388888888889</v>
      </c>
      <c r="C423" s="432" t="s">
        <v>1354</v>
      </c>
    </row>
    <row r="424" spans="1:3" x14ac:dyDescent="0.25">
      <c r="A424" s="428">
        <v>41515</v>
      </c>
      <c r="B424" s="429">
        <v>0.95951388888888889</v>
      </c>
      <c r="C424" s="432" t="s">
        <v>1355</v>
      </c>
    </row>
    <row r="425" spans="1:3" x14ac:dyDescent="0.25">
      <c r="A425" s="428">
        <v>41515</v>
      </c>
      <c r="B425" s="429">
        <v>0.95951388888888889</v>
      </c>
      <c r="C425" s="432" t="s">
        <v>1356</v>
      </c>
    </row>
    <row r="426" spans="1:3" x14ac:dyDescent="0.25">
      <c r="A426" s="428">
        <v>41515</v>
      </c>
      <c r="B426" s="429">
        <v>0.95951388888888889</v>
      </c>
      <c r="C426" s="432" t="s">
        <v>1356</v>
      </c>
    </row>
    <row r="427" spans="1:3" x14ac:dyDescent="0.25">
      <c r="A427" s="428">
        <v>41515</v>
      </c>
      <c r="B427" s="429">
        <v>0.95951388888888889</v>
      </c>
      <c r="C427" s="432" t="s">
        <v>1357</v>
      </c>
    </row>
    <row r="428" spans="1:3" x14ac:dyDescent="0.25">
      <c r="A428" s="428">
        <v>41515</v>
      </c>
      <c r="B428" s="429">
        <v>0.95952546296296293</v>
      </c>
      <c r="C428" s="432" t="s">
        <v>1356</v>
      </c>
    </row>
    <row r="429" spans="1:3" x14ac:dyDescent="0.25">
      <c r="A429" s="428">
        <v>41515</v>
      </c>
      <c r="B429" s="429">
        <v>0.95952546296296293</v>
      </c>
      <c r="C429" s="432" t="s">
        <v>1356</v>
      </c>
    </row>
    <row r="430" spans="1:3" x14ac:dyDescent="0.25">
      <c r="A430" s="428">
        <v>41515</v>
      </c>
      <c r="B430" s="429">
        <v>0.95952546296296293</v>
      </c>
      <c r="C430" s="432" t="s">
        <v>1335</v>
      </c>
    </row>
    <row r="431" spans="1:3" x14ac:dyDescent="0.25">
      <c r="A431" s="428">
        <v>41515</v>
      </c>
      <c r="B431" s="429">
        <v>0.95952546296296293</v>
      </c>
      <c r="C431" s="432" t="s">
        <v>1358</v>
      </c>
    </row>
    <row r="432" spans="1:3" x14ac:dyDescent="0.25">
      <c r="A432" s="428">
        <v>41515</v>
      </c>
      <c r="B432" s="429">
        <v>0.95952546296296293</v>
      </c>
      <c r="C432" s="432" t="s">
        <v>1351</v>
      </c>
    </row>
    <row r="433" spans="1:3" x14ac:dyDescent="0.25">
      <c r="A433" s="428">
        <v>41515</v>
      </c>
      <c r="B433" s="429">
        <v>0.95952546296296293</v>
      </c>
      <c r="C433" s="432" t="s">
        <v>1351</v>
      </c>
    </row>
    <row r="434" spans="1:3" x14ac:dyDescent="0.25">
      <c r="A434" s="428">
        <v>41515</v>
      </c>
      <c r="B434" s="429">
        <v>0.95952546296296293</v>
      </c>
      <c r="C434" s="432" t="s">
        <v>1359</v>
      </c>
    </row>
    <row r="435" spans="1:3" x14ac:dyDescent="0.25">
      <c r="A435" s="428">
        <v>41515</v>
      </c>
      <c r="B435" s="429">
        <v>0.95952546296296293</v>
      </c>
      <c r="C435" s="432" t="s">
        <v>1351</v>
      </c>
    </row>
    <row r="436" spans="1:3" x14ac:dyDescent="0.25">
      <c r="A436" s="428">
        <v>41515</v>
      </c>
      <c r="B436" s="429">
        <v>0.95952546296296293</v>
      </c>
      <c r="C436" s="432" t="s">
        <v>1349</v>
      </c>
    </row>
    <row r="437" spans="1:3" x14ac:dyDescent="0.25">
      <c r="A437" s="428">
        <v>41515</v>
      </c>
      <c r="B437" s="429">
        <v>0.95952546296296293</v>
      </c>
      <c r="C437" s="432" t="s">
        <v>1360</v>
      </c>
    </row>
    <row r="438" spans="1:3" x14ac:dyDescent="0.25">
      <c r="A438" s="428">
        <v>41515</v>
      </c>
      <c r="B438" s="429">
        <v>0.95952546296296293</v>
      </c>
      <c r="C438" s="432" t="s">
        <v>1356</v>
      </c>
    </row>
    <row r="439" spans="1:3" x14ac:dyDescent="0.25">
      <c r="A439" s="428">
        <v>41515</v>
      </c>
      <c r="B439" s="429">
        <v>0.95953703703703708</v>
      </c>
      <c r="C439" s="432" t="s">
        <v>1361</v>
      </c>
    </row>
    <row r="440" spans="1:3" x14ac:dyDescent="0.25">
      <c r="A440" s="428">
        <v>41515</v>
      </c>
      <c r="B440" s="429">
        <v>0.95953703703703708</v>
      </c>
      <c r="C440" s="432" t="s">
        <v>1356</v>
      </c>
    </row>
    <row r="441" spans="1:3" x14ac:dyDescent="0.25">
      <c r="A441" s="428">
        <v>41515</v>
      </c>
      <c r="B441" s="429">
        <v>0.95953703703703708</v>
      </c>
      <c r="C441" s="432" t="s">
        <v>1362</v>
      </c>
    </row>
    <row r="442" spans="1:3" x14ac:dyDescent="0.25">
      <c r="A442" s="428">
        <v>41515</v>
      </c>
      <c r="B442" s="429">
        <v>0.95953703703703708</v>
      </c>
      <c r="C442" s="432" t="s">
        <v>1363</v>
      </c>
    </row>
    <row r="443" spans="1:3" x14ac:dyDescent="0.25">
      <c r="A443" s="428">
        <v>41515</v>
      </c>
      <c r="B443" s="429">
        <v>0.95953703703703708</v>
      </c>
      <c r="C443" s="432" t="s">
        <v>1364</v>
      </c>
    </row>
    <row r="444" spans="1:3" x14ac:dyDescent="0.25">
      <c r="A444" s="428">
        <v>41515</v>
      </c>
      <c r="B444" s="429">
        <v>0.95953703703703708</v>
      </c>
      <c r="C444" s="432" t="s">
        <v>1365</v>
      </c>
    </row>
    <row r="445" spans="1:3" x14ac:dyDescent="0.25">
      <c r="A445" s="428">
        <v>41515</v>
      </c>
      <c r="B445" s="429">
        <v>0.95953703703703708</v>
      </c>
      <c r="C445" s="432" t="s">
        <v>1366</v>
      </c>
    </row>
    <row r="446" spans="1:3" x14ac:dyDescent="0.25">
      <c r="A446" s="428">
        <v>41515</v>
      </c>
      <c r="B446" s="429">
        <v>0.95953703703703708</v>
      </c>
      <c r="C446" s="432" t="s">
        <v>1367</v>
      </c>
    </row>
    <row r="447" spans="1:3" x14ac:dyDescent="0.25">
      <c r="A447" s="428">
        <v>41515</v>
      </c>
      <c r="B447" s="429">
        <v>0.95953703703703708</v>
      </c>
      <c r="C447" s="432" t="s">
        <v>1368</v>
      </c>
    </row>
    <row r="448" spans="1:3" x14ac:dyDescent="0.25">
      <c r="A448" s="428">
        <v>41515</v>
      </c>
      <c r="B448" s="429">
        <v>0.95953703703703708</v>
      </c>
      <c r="C448" s="432" t="s">
        <v>1369</v>
      </c>
    </row>
    <row r="449" spans="1:3" x14ac:dyDescent="0.25">
      <c r="A449" s="428">
        <v>41515</v>
      </c>
      <c r="B449" s="429">
        <v>0.95953703703703708</v>
      </c>
      <c r="C449" s="432" t="s">
        <v>1370</v>
      </c>
    </row>
    <row r="450" spans="1:3" x14ac:dyDescent="0.25">
      <c r="A450" s="428">
        <v>41515</v>
      </c>
      <c r="B450" s="429">
        <v>0.95953703703703708</v>
      </c>
      <c r="C450" s="432" t="s">
        <v>1371</v>
      </c>
    </row>
    <row r="451" spans="1:3" x14ac:dyDescent="0.25">
      <c r="A451" s="428">
        <v>41515</v>
      </c>
      <c r="B451" s="429">
        <v>0.95953703703703708</v>
      </c>
      <c r="C451" s="432" t="s">
        <v>1372</v>
      </c>
    </row>
    <row r="452" spans="1:3" x14ac:dyDescent="0.25">
      <c r="A452" s="428">
        <v>41515</v>
      </c>
      <c r="B452" s="429">
        <v>0.95953703703703708</v>
      </c>
      <c r="C452" s="432" t="s">
        <v>1356</v>
      </c>
    </row>
    <row r="453" spans="1:3" x14ac:dyDescent="0.25">
      <c r="A453" s="428">
        <v>41515</v>
      </c>
      <c r="B453" s="429">
        <v>0.95953703703703708</v>
      </c>
      <c r="C453" s="432" t="s">
        <v>1373</v>
      </c>
    </row>
    <row r="454" spans="1:3" x14ac:dyDescent="0.25">
      <c r="A454" s="428">
        <v>41515</v>
      </c>
      <c r="B454" s="429">
        <v>0.95953703703703708</v>
      </c>
      <c r="C454" s="432" t="s">
        <v>1372</v>
      </c>
    </row>
    <row r="455" spans="1:3" x14ac:dyDescent="0.25">
      <c r="A455" s="428">
        <v>41515</v>
      </c>
      <c r="B455" s="429">
        <v>0.95953703703703708</v>
      </c>
      <c r="C455" s="432" t="s">
        <v>1372</v>
      </c>
    </row>
    <row r="456" spans="1:3" x14ac:dyDescent="0.25">
      <c r="A456" s="428">
        <v>41515</v>
      </c>
      <c r="B456" s="429">
        <v>0.95953703703703708</v>
      </c>
      <c r="C456" s="432" t="s">
        <v>1372</v>
      </c>
    </row>
    <row r="457" spans="1:3" x14ac:dyDescent="0.25">
      <c r="A457" s="428">
        <v>41515</v>
      </c>
      <c r="B457" s="429">
        <v>0.95953703703703708</v>
      </c>
      <c r="C457" s="432" t="s">
        <v>1374</v>
      </c>
    </row>
    <row r="458" spans="1:3" x14ac:dyDescent="0.25">
      <c r="A458" s="428">
        <v>41515</v>
      </c>
      <c r="B458" s="429">
        <v>0.95953703703703708</v>
      </c>
      <c r="C458" s="432" t="s">
        <v>1375</v>
      </c>
    </row>
    <row r="459" spans="1:3" x14ac:dyDescent="0.25">
      <c r="A459" s="428">
        <v>41515</v>
      </c>
      <c r="B459" s="429">
        <v>0.95953703703703708</v>
      </c>
      <c r="C459" s="432" t="s">
        <v>1374</v>
      </c>
    </row>
    <row r="460" spans="1:3" x14ac:dyDescent="0.25">
      <c r="A460" s="428">
        <v>41515</v>
      </c>
      <c r="B460" s="429">
        <v>0.95953703703703708</v>
      </c>
      <c r="C460" s="432" t="s">
        <v>1376</v>
      </c>
    </row>
    <row r="461" spans="1:3" x14ac:dyDescent="0.25">
      <c r="A461" s="428">
        <v>41515</v>
      </c>
      <c r="B461" s="429">
        <v>0.95953703703703708</v>
      </c>
      <c r="C461" s="432" t="s">
        <v>1377</v>
      </c>
    </row>
    <row r="462" spans="1:3" x14ac:dyDescent="0.25">
      <c r="A462" s="428">
        <v>41515</v>
      </c>
      <c r="B462" s="429">
        <v>0.95953703703703708</v>
      </c>
      <c r="C462" s="432" t="s">
        <v>1378</v>
      </c>
    </row>
    <row r="463" spans="1:3" x14ac:dyDescent="0.25">
      <c r="A463" s="428">
        <v>41515</v>
      </c>
      <c r="B463" s="429">
        <v>0.95953703703703708</v>
      </c>
      <c r="C463" s="432" t="s">
        <v>1379</v>
      </c>
    </row>
    <row r="464" spans="1:3" x14ac:dyDescent="0.25">
      <c r="A464" s="428">
        <v>41515</v>
      </c>
      <c r="B464" s="429">
        <v>0.95953703703703708</v>
      </c>
      <c r="C464" s="432" t="s">
        <v>1380</v>
      </c>
    </row>
    <row r="465" spans="1:3" x14ac:dyDescent="0.25">
      <c r="A465" s="428">
        <v>41515</v>
      </c>
      <c r="B465" s="429">
        <v>0.95953703703703708</v>
      </c>
      <c r="C465" s="432" t="s">
        <v>1381</v>
      </c>
    </row>
    <row r="466" spans="1:3" x14ac:dyDescent="0.25">
      <c r="A466" s="428">
        <v>41515</v>
      </c>
      <c r="B466" s="429">
        <v>0.95953703703703708</v>
      </c>
      <c r="C466" s="432" t="s">
        <v>1382</v>
      </c>
    </row>
    <row r="467" spans="1:3" x14ac:dyDescent="0.25">
      <c r="A467" s="428">
        <v>41515</v>
      </c>
      <c r="B467" s="429">
        <v>0.95953703703703708</v>
      </c>
      <c r="C467" s="432" t="s">
        <v>1359</v>
      </c>
    </row>
    <row r="468" spans="1:3" x14ac:dyDescent="0.25">
      <c r="A468" s="428">
        <v>41515</v>
      </c>
      <c r="B468" s="429">
        <v>0.95953703703703708</v>
      </c>
      <c r="C468" s="432" t="s">
        <v>1383</v>
      </c>
    </row>
    <row r="469" spans="1:3" x14ac:dyDescent="0.25">
      <c r="A469" s="428">
        <v>41515</v>
      </c>
      <c r="B469" s="429">
        <v>0.95953703703703708</v>
      </c>
      <c r="C469" s="432" t="s">
        <v>1384</v>
      </c>
    </row>
    <row r="470" spans="1:3" x14ac:dyDescent="0.25">
      <c r="A470" s="428">
        <v>41515</v>
      </c>
      <c r="B470" s="429">
        <v>0.95953703703703708</v>
      </c>
      <c r="C470" s="432" t="s">
        <v>1385</v>
      </c>
    </row>
    <row r="471" spans="1:3" x14ac:dyDescent="0.25">
      <c r="A471" s="428">
        <v>41515</v>
      </c>
      <c r="B471" s="429">
        <v>0.95953703703703708</v>
      </c>
      <c r="C471" s="432" t="s">
        <v>1386</v>
      </c>
    </row>
    <row r="472" spans="1:3" x14ac:dyDescent="0.25">
      <c r="A472" s="428">
        <v>41515</v>
      </c>
      <c r="B472" s="429">
        <v>0.95953703703703708</v>
      </c>
      <c r="C472" s="432" t="s">
        <v>1387</v>
      </c>
    </row>
    <row r="473" spans="1:3" x14ac:dyDescent="0.25">
      <c r="A473" s="428">
        <v>41515</v>
      </c>
      <c r="B473" s="429">
        <v>0.95953703703703708</v>
      </c>
      <c r="C473" s="432" t="s">
        <v>1388</v>
      </c>
    </row>
    <row r="474" spans="1:3" x14ac:dyDescent="0.25">
      <c r="A474" s="428">
        <v>41515</v>
      </c>
      <c r="B474" s="429">
        <v>0.95953703703703708</v>
      </c>
      <c r="C474" s="432" t="s">
        <v>1362</v>
      </c>
    </row>
    <row r="475" spans="1:3" x14ac:dyDescent="0.25">
      <c r="A475" s="428">
        <v>41515</v>
      </c>
      <c r="B475" s="429">
        <v>0.95953703703703708</v>
      </c>
      <c r="C475" s="432" t="s">
        <v>1389</v>
      </c>
    </row>
    <row r="476" spans="1:3" x14ac:dyDescent="0.25">
      <c r="A476" s="428">
        <v>41515</v>
      </c>
      <c r="B476" s="429">
        <v>0.95953703703703708</v>
      </c>
      <c r="C476" s="432" t="s">
        <v>1390</v>
      </c>
    </row>
    <row r="477" spans="1:3" x14ac:dyDescent="0.25">
      <c r="A477" s="428">
        <v>41515</v>
      </c>
      <c r="B477" s="429">
        <v>0.95953703703703708</v>
      </c>
      <c r="C477" s="432" t="s">
        <v>1391</v>
      </c>
    </row>
    <row r="478" spans="1:3" x14ac:dyDescent="0.25">
      <c r="A478" s="428">
        <v>41515</v>
      </c>
      <c r="B478" s="429">
        <v>0.95953703703703708</v>
      </c>
      <c r="C478" s="432" t="s">
        <v>1392</v>
      </c>
    </row>
    <row r="479" spans="1:3" x14ac:dyDescent="0.25">
      <c r="A479" s="428">
        <v>41515</v>
      </c>
      <c r="B479" s="429">
        <v>0.95953703703703708</v>
      </c>
      <c r="C479" s="432" t="s">
        <v>1349</v>
      </c>
    </row>
    <row r="480" spans="1:3" x14ac:dyDescent="0.25">
      <c r="A480" s="428">
        <v>41515</v>
      </c>
      <c r="B480" s="429">
        <v>0.95953703703703708</v>
      </c>
      <c r="C480" s="432" t="s">
        <v>1393</v>
      </c>
    </row>
    <row r="481" spans="1:3" x14ac:dyDescent="0.25">
      <c r="A481" s="428">
        <v>41515</v>
      </c>
      <c r="B481" s="429">
        <v>0.95953703703703708</v>
      </c>
      <c r="C481" s="432" t="s">
        <v>1394</v>
      </c>
    </row>
    <row r="482" spans="1:3" x14ac:dyDescent="0.25">
      <c r="A482" s="428">
        <v>41515</v>
      </c>
      <c r="B482" s="429">
        <v>0.95953703703703708</v>
      </c>
      <c r="C482" s="432" t="s">
        <v>1384</v>
      </c>
    </row>
    <row r="483" spans="1:3" x14ac:dyDescent="0.25">
      <c r="A483" s="428">
        <v>41515</v>
      </c>
      <c r="B483" s="429">
        <v>0.95953703703703708</v>
      </c>
      <c r="C483" s="432" t="s">
        <v>1395</v>
      </c>
    </row>
    <row r="484" spans="1:3" x14ac:dyDescent="0.25">
      <c r="A484" s="428">
        <v>41515</v>
      </c>
      <c r="B484" s="429">
        <v>0.95953703703703708</v>
      </c>
      <c r="C484" s="432" t="s">
        <v>1395</v>
      </c>
    </row>
    <row r="485" spans="1:3" x14ac:dyDescent="0.25">
      <c r="A485" s="428">
        <v>41515</v>
      </c>
      <c r="B485" s="429">
        <v>0.95953703703703708</v>
      </c>
      <c r="C485" s="432" t="s">
        <v>1396</v>
      </c>
    </row>
    <row r="486" spans="1:3" x14ac:dyDescent="0.25">
      <c r="A486" s="428">
        <v>41515</v>
      </c>
      <c r="B486" s="429">
        <v>0.95953703703703708</v>
      </c>
      <c r="C486" s="432" t="s">
        <v>1391</v>
      </c>
    </row>
    <row r="487" spans="1:3" x14ac:dyDescent="0.25">
      <c r="A487" s="428">
        <v>41515</v>
      </c>
      <c r="B487" s="429">
        <v>0.95953703703703708</v>
      </c>
      <c r="C487" s="432" t="s">
        <v>1397</v>
      </c>
    </row>
    <row r="488" spans="1:3" x14ac:dyDescent="0.25">
      <c r="A488" s="428">
        <v>41515</v>
      </c>
      <c r="B488" s="429">
        <v>0.95953703703703708</v>
      </c>
      <c r="C488" s="432" t="s">
        <v>1398</v>
      </c>
    </row>
    <row r="489" spans="1:3" x14ac:dyDescent="0.25">
      <c r="A489" s="428">
        <v>41515</v>
      </c>
      <c r="B489" s="429">
        <v>0.95953703703703708</v>
      </c>
      <c r="C489" s="432" t="s">
        <v>1368</v>
      </c>
    </row>
    <row r="490" spans="1:3" x14ac:dyDescent="0.25">
      <c r="A490" s="428">
        <v>41515</v>
      </c>
      <c r="B490" s="429">
        <v>0.95953703703703708</v>
      </c>
      <c r="C490" s="432" t="s">
        <v>1399</v>
      </c>
    </row>
    <row r="491" spans="1:3" x14ac:dyDescent="0.25">
      <c r="A491" s="428">
        <v>41515</v>
      </c>
      <c r="B491" s="429">
        <v>0.95953703703703708</v>
      </c>
      <c r="C491" s="432" t="s">
        <v>1400</v>
      </c>
    </row>
    <row r="492" spans="1:3" x14ac:dyDescent="0.25">
      <c r="A492" s="428">
        <v>41515</v>
      </c>
      <c r="B492" s="429">
        <v>0.95953703703703708</v>
      </c>
      <c r="C492" s="432" t="s">
        <v>1401</v>
      </c>
    </row>
    <row r="493" spans="1:3" x14ac:dyDescent="0.25">
      <c r="A493" s="428">
        <v>41515</v>
      </c>
      <c r="B493" s="429">
        <v>0.95953703703703708</v>
      </c>
      <c r="C493" s="432" t="s">
        <v>1402</v>
      </c>
    </row>
    <row r="494" spans="1:3" x14ac:dyDescent="0.25">
      <c r="A494" s="428">
        <v>41515</v>
      </c>
      <c r="B494" s="429">
        <v>0.95953703703703708</v>
      </c>
      <c r="C494" s="432" t="s">
        <v>1351</v>
      </c>
    </row>
    <row r="495" spans="1:3" x14ac:dyDescent="0.25">
      <c r="A495" s="428">
        <v>41515</v>
      </c>
      <c r="B495" s="429">
        <v>0.95953703703703708</v>
      </c>
      <c r="C495" s="432" t="s">
        <v>1351</v>
      </c>
    </row>
    <row r="496" spans="1:3" x14ac:dyDescent="0.25">
      <c r="A496" s="428">
        <v>41515</v>
      </c>
      <c r="B496" s="429">
        <v>0.95953703703703708</v>
      </c>
      <c r="C496" s="432" t="s">
        <v>1403</v>
      </c>
    </row>
    <row r="497" spans="1:3" x14ac:dyDescent="0.25">
      <c r="A497" s="428">
        <v>41515</v>
      </c>
      <c r="B497" s="429">
        <v>0.95953703703703708</v>
      </c>
      <c r="C497" s="432" t="s">
        <v>1351</v>
      </c>
    </row>
    <row r="498" spans="1:3" x14ac:dyDescent="0.25">
      <c r="A498" s="428">
        <v>41515</v>
      </c>
      <c r="B498" s="429">
        <v>0.95953703703703708</v>
      </c>
      <c r="C498" s="432" t="s">
        <v>1404</v>
      </c>
    </row>
    <row r="499" spans="1:3" x14ac:dyDescent="0.25">
      <c r="A499" s="428">
        <v>41515</v>
      </c>
      <c r="B499" s="429">
        <v>0.95953703703703708</v>
      </c>
      <c r="C499" s="432" t="s">
        <v>1405</v>
      </c>
    </row>
    <row r="500" spans="1:3" x14ac:dyDescent="0.25">
      <c r="A500" s="428">
        <v>41515</v>
      </c>
      <c r="B500" s="429">
        <v>0.95953703703703708</v>
      </c>
      <c r="C500" s="432" t="s">
        <v>1361</v>
      </c>
    </row>
    <row r="501" spans="1:3" x14ac:dyDescent="0.25">
      <c r="A501" s="428">
        <v>41515</v>
      </c>
      <c r="B501" s="429">
        <v>0.95953703703703708</v>
      </c>
      <c r="C501" s="432" t="s">
        <v>1406</v>
      </c>
    </row>
    <row r="502" spans="1:3" x14ac:dyDescent="0.25">
      <c r="A502" s="428">
        <v>41515</v>
      </c>
      <c r="B502" s="429">
        <v>0.95953703703703708</v>
      </c>
      <c r="C502" s="432" t="s">
        <v>1407</v>
      </c>
    </row>
    <row r="503" spans="1:3" x14ac:dyDescent="0.25">
      <c r="A503" s="428">
        <v>41515</v>
      </c>
      <c r="B503" s="429">
        <v>0.95953703703703708</v>
      </c>
      <c r="C503" s="432" t="s">
        <v>1362</v>
      </c>
    </row>
    <row r="504" spans="1:3" x14ac:dyDescent="0.25">
      <c r="A504" s="428">
        <v>41515</v>
      </c>
      <c r="B504" s="429">
        <v>0.95953703703703708</v>
      </c>
      <c r="C504" s="432" t="s">
        <v>1408</v>
      </c>
    </row>
    <row r="505" spans="1:3" x14ac:dyDescent="0.25">
      <c r="A505" s="428">
        <v>41515</v>
      </c>
      <c r="B505" s="429">
        <v>0.95953703703703708</v>
      </c>
      <c r="C505" s="432" t="s">
        <v>1409</v>
      </c>
    </row>
    <row r="506" spans="1:3" x14ac:dyDescent="0.25">
      <c r="A506" s="428">
        <v>41515</v>
      </c>
      <c r="B506" s="429">
        <v>0.95953703703703708</v>
      </c>
      <c r="C506" s="432" t="s">
        <v>1410</v>
      </c>
    </row>
    <row r="507" spans="1:3" x14ac:dyDescent="0.25">
      <c r="A507" s="428">
        <v>41515</v>
      </c>
      <c r="B507" s="429">
        <v>0.95953703703703708</v>
      </c>
      <c r="C507" s="432" t="s">
        <v>1411</v>
      </c>
    </row>
    <row r="508" spans="1:3" x14ac:dyDescent="0.25">
      <c r="A508" s="428">
        <v>41515</v>
      </c>
      <c r="B508" s="429">
        <v>0.95953703703703708</v>
      </c>
      <c r="C508" s="432" t="s">
        <v>1411</v>
      </c>
    </row>
    <row r="509" spans="1:3" x14ac:dyDescent="0.25">
      <c r="A509" s="428">
        <v>41515</v>
      </c>
      <c r="B509" s="429">
        <v>0.95953703703703708</v>
      </c>
      <c r="C509" s="432" t="s">
        <v>1412</v>
      </c>
    </row>
    <row r="510" spans="1:3" x14ac:dyDescent="0.25">
      <c r="A510" s="428">
        <v>41515</v>
      </c>
      <c r="B510" s="429">
        <v>0.95953703703703708</v>
      </c>
      <c r="C510" s="432" t="s">
        <v>1358</v>
      </c>
    </row>
    <row r="511" spans="1:3" x14ac:dyDescent="0.25">
      <c r="A511" s="428">
        <v>41515</v>
      </c>
      <c r="B511" s="429">
        <v>0.95953703703703708</v>
      </c>
      <c r="C511" s="432" t="s">
        <v>1413</v>
      </c>
    </row>
    <row r="512" spans="1:3" x14ac:dyDescent="0.25">
      <c r="A512" s="428">
        <v>41515</v>
      </c>
      <c r="B512" s="429">
        <v>0.95953703703703708</v>
      </c>
      <c r="C512" s="432" t="s">
        <v>1414</v>
      </c>
    </row>
    <row r="513" spans="1:3" x14ac:dyDescent="0.25">
      <c r="A513" s="428">
        <v>41515</v>
      </c>
      <c r="B513" s="429">
        <v>0.95953703703703708</v>
      </c>
      <c r="C513" s="432" t="s">
        <v>1414</v>
      </c>
    </row>
    <row r="514" spans="1:3" x14ac:dyDescent="0.25">
      <c r="A514" s="428">
        <v>41515</v>
      </c>
      <c r="B514" s="429">
        <v>0.95953703703703708</v>
      </c>
      <c r="C514" s="432" t="s">
        <v>1415</v>
      </c>
    </row>
    <row r="515" spans="1:3" x14ac:dyDescent="0.25">
      <c r="A515" s="428">
        <v>41515</v>
      </c>
      <c r="B515" s="429">
        <v>0.95953703703703708</v>
      </c>
      <c r="C515" s="432" t="s">
        <v>1416</v>
      </c>
    </row>
    <row r="516" spans="1:3" x14ac:dyDescent="0.25">
      <c r="A516" s="428">
        <v>41515</v>
      </c>
      <c r="B516" s="429">
        <v>0.95953703703703708</v>
      </c>
      <c r="C516" s="432" t="s">
        <v>1417</v>
      </c>
    </row>
    <row r="517" spans="1:3" x14ac:dyDescent="0.25">
      <c r="A517" s="428">
        <v>41515</v>
      </c>
      <c r="B517" s="429">
        <v>0.95953703703703708</v>
      </c>
      <c r="C517" s="432" t="s">
        <v>1418</v>
      </c>
    </row>
    <row r="518" spans="1:3" x14ac:dyDescent="0.25">
      <c r="A518" s="428">
        <v>41515</v>
      </c>
      <c r="B518" s="429">
        <v>0.95953703703703708</v>
      </c>
      <c r="C518" s="432" t="s">
        <v>1419</v>
      </c>
    </row>
    <row r="519" spans="1:3" x14ac:dyDescent="0.25">
      <c r="A519" s="428">
        <v>41515</v>
      </c>
      <c r="B519" s="429">
        <v>0.95953703703703708</v>
      </c>
      <c r="C519" s="432" t="s">
        <v>1420</v>
      </c>
    </row>
    <row r="520" spans="1:3" x14ac:dyDescent="0.25">
      <c r="A520" s="428">
        <v>41515</v>
      </c>
      <c r="B520" s="429">
        <v>0.95953703703703708</v>
      </c>
      <c r="C520" s="432" t="s">
        <v>1420</v>
      </c>
    </row>
    <row r="521" spans="1:3" x14ac:dyDescent="0.25">
      <c r="A521" s="428">
        <v>41515</v>
      </c>
      <c r="B521" s="429">
        <v>0.95953703703703708</v>
      </c>
      <c r="C521" s="432" t="s">
        <v>1361</v>
      </c>
    </row>
    <row r="522" spans="1:3" x14ac:dyDescent="0.25">
      <c r="A522" s="428">
        <v>41515</v>
      </c>
      <c r="B522" s="429">
        <v>0.95953703703703708</v>
      </c>
      <c r="C522" s="432" t="s">
        <v>1418</v>
      </c>
    </row>
    <row r="523" spans="1:3" x14ac:dyDescent="0.25">
      <c r="A523" s="428">
        <v>41515</v>
      </c>
      <c r="B523" s="429">
        <v>0.95953703703703708</v>
      </c>
      <c r="C523" s="432" t="s">
        <v>1349</v>
      </c>
    </row>
    <row r="524" spans="1:3" x14ac:dyDescent="0.25">
      <c r="A524" s="428">
        <v>41515</v>
      </c>
      <c r="B524" s="429">
        <v>0.95953703703703708</v>
      </c>
      <c r="C524" s="432" t="s">
        <v>1421</v>
      </c>
    </row>
    <row r="525" spans="1:3" x14ac:dyDescent="0.25">
      <c r="A525" s="428">
        <v>41515</v>
      </c>
      <c r="B525" s="429">
        <v>0.95953703703703708</v>
      </c>
      <c r="C525" s="432" t="s">
        <v>1422</v>
      </c>
    </row>
    <row r="526" spans="1:3" x14ac:dyDescent="0.25">
      <c r="A526" s="428">
        <v>41515</v>
      </c>
      <c r="B526" s="429">
        <v>0.95953703703703708</v>
      </c>
      <c r="C526" s="432" t="s">
        <v>1423</v>
      </c>
    </row>
    <row r="527" spans="1:3" x14ac:dyDescent="0.25">
      <c r="A527" s="428">
        <v>41515</v>
      </c>
      <c r="B527" s="429">
        <v>0.95953703703703708</v>
      </c>
      <c r="C527" s="432" t="s">
        <v>1424</v>
      </c>
    </row>
    <row r="528" spans="1:3" x14ac:dyDescent="0.25">
      <c r="A528" s="428">
        <v>41515</v>
      </c>
      <c r="B528" s="429">
        <v>0.95953703703703708</v>
      </c>
      <c r="C528" s="432" t="s">
        <v>1414</v>
      </c>
    </row>
    <row r="529" spans="1:3" x14ac:dyDescent="0.25">
      <c r="A529" s="428">
        <v>41515</v>
      </c>
      <c r="B529" s="429">
        <v>0.95953703703703708</v>
      </c>
      <c r="C529" s="432" t="s">
        <v>1425</v>
      </c>
    </row>
    <row r="530" spans="1:3" x14ac:dyDescent="0.25">
      <c r="A530" s="428">
        <v>41515</v>
      </c>
      <c r="B530" s="429">
        <v>0.95953703703703708</v>
      </c>
      <c r="C530" s="432" t="s">
        <v>1401</v>
      </c>
    </row>
    <row r="531" spans="1:3" x14ac:dyDescent="0.25">
      <c r="A531" s="428">
        <v>41515</v>
      </c>
      <c r="B531" s="429">
        <v>0.95953703703703708</v>
      </c>
      <c r="C531" s="432" t="s">
        <v>1426</v>
      </c>
    </row>
    <row r="532" spans="1:3" x14ac:dyDescent="0.25">
      <c r="A532" s="428">
        <v>41515</v>
      </c>
      <c r="B532" s="429">
        <v>0.95953703703703708</v>
      </c>
      <c r="C532" s="432" t="s">
        <v>1427</v>
      </c>
    </row>
    <row r="533" spans="1:3" x14ac:dyDescent="0.25">
      <c r="A533" s="428">
        <v>41515</v>
      </c>
      <c r="B533" s="429">
        <v>0.95953703703703708</v>
      </c>
      <c r="C533" s="432" t="s">
        <v>1428</v>
      </c>
    </row>
    <row r="534" spans="1:3" x14ac:dyDescent="0.25">
      <c r="A534" s="428">
        <v>41515</v>
      </c>
      <c r="B534" s="429">
        <v>0.95953703703703708</v>
      </c>
      <c r="C534" s="432" t="s">
        <v>1429</v>
      </c>
    </row>
    <row r="535" spans="1:3" x14ac:dyDescent="0.25">
      <c r="A535" s="428">
        <v>41515</v>
      </c>
      <c r="B535" s="429">
        <v>0.95953703703703708</v>
      </c>
      <c r="C535" s="432" t="s">
        <v>1430</v>
      </c>
    </row>
    <row r="536" spans="1:3" x14ac:dyDescent="0.25">
      <c r="A536" s="428">
        <v>41515</v>
      </c>
      <c r="B536" s="429">
        <v>0.95953703703703708</v>
      </c>
      <c r="C536" s="432" t="s">
        <v>1431</v>
      </c>
    </row>
    <row r="537" spans="1:3" x14ac:dyDescent="0.25">
      <c r="A537" s="428">
        <v>41515</v>
      </c>
      <c r="B537" s="429">
        <v>0.95953703703703708</v>
      </c>
      <c r="C537" s="432" t="s">
        <v>1421</v>
      </c>
    </row>
    <row r="538" spans="1:3" x14ac:dyDescent="0.25">
      <c r="A538" s="428">
        <v>41515</v>
      </c>
      <c r="B538" s="429">
        <v>0.95954861111111101</v>
      </c>
      <c r="C538" s="432" t="s">
        <v>1432</v>
      </c>
    </row>
    <row r="539" spans="1:3" x14ac:dyDescent="0.25">
      <c r="A539" s="428">
        <v>41515</v>
      </c>
      <c r="B539" s="429">
        <v>0.95954861111111101</v>
      </c>
      <c r="C539" s="432" t="s">
        <v>1433</v>
      </c>
    </row>
    <row r="540" spans="1:3" x14ac:dyDescent="0.25">
      <c r="A540" s="428">
        <v>41515</v>
      </c>
      <c r="B540" s="429">
        <v>0.95954861111111101</v>
      </c>
      <c r="C540" s="432" t="s">
        <v>1355</v>
      </c>
    </row>
    <row r="541" spans="1:3" x14ac:dyDescent="0.25">
      <c r="A541" s="428">
        <v>41515</v>
      </c>
      <c r="B541" s="429">
        <v>0.95954861111111101</v>
      </c>
      <c r="C541" s="432" t="s">
        <v>1434</v>
      </c>
    </row>
    <row r="542" spans="1:3" x14ac:dyDescent="0.25">
      <c r="A542" s="428">
        <v>41515</v>
      </c>
      <c r="B542" s="429">
        <v>0.95954861111111101</v>
      </c>
      <c r="C542" s="432" t="s">
        <v>1435</v>
      </c>
    </row>
    <row r="543" spans="1:3" x14ac:dyDescent="0.25">
      <c r="A543" s="428">
        <v>41515</v>
      </c>
      <c r="B543" s="429">
        <v>0.95954861111111101</v>
      </c>
      <c r="C543" s="432" t="s">
        <v>1436</v>
      </c>
    </row>
    <row r="544" spans="1:3" x14ac:dyDescent="0.25">
      <c r="A544" s="428">
        <v>41515</v>
      </c>
      <c r="B544" s="429">
        <v>0.95954861111111101</v>
      </c>
      <c r="C544" s="432" t="s">
        <v>1437</v>
      </c>
    </row>
    <row r="545" spans="1:3" x14ac:dyDescent="0.25">
      <c r="A545" s="428">
        <v>41515</v>
      </c>
      <c r="B545" s="429">
        <v>0.95954861111111101</v>
      </c>
      <c r="C545" s="432" t="s">
        <v>1438</v>
      </c>
    </row>
    <row r="546" spans="1:3" x14ac:dyDescent="0.25">
      <c r="A546" s="428">
        <v>41515</v>
      </c>
      <c r="B546" s="429">
        <v>0.95954861111111101</v>
      </c>
      <c r="C546" s="432" t="s">
        <v>1439</v>
      </c>
    </row>
    <row r="547" spans="1:3" x14ac:dyDescent="0.25">
      <c r="A547" s="428">
        <v>41515</v>
      </c>
      <c r="B547" s="429">
        <v>0.95954861111111101</v>
      </c>
      <c r="C547" s="432" t="s">
        <v>1440</v>
      </c>
    </row>
    <row r="548" spans="1:3" x14ac:dyDescent="0.25">
      <c r="A548" s="428">
        <v>41515</v>
      </c>
      <c r="B548" s="429">
        <v>0.95954861111111101</v>
      </c>
      <c r="C548" s="432" t="s">
        <v>1422</v>
      </c>
    </row>
    <row r="549" spans="1:3" x14ac:dyDescent="0.25">
      <c r="A549" s="428">
        <v>41515</v>
      </c>
      <c r="B549" s="429">
        <v>0.95954861111111101</v>
      </c>
      <c r="C549" s="432" t="s">
        <v>1441</v>
      </c>
    </row>
    <row r="550" spans="1:3" x14ac:dyDescent="0.25">
      <c r="A550" s="428">
        <v>41515</v>
      </c>
      <c r="B550" s="429">
        <v>0.95954861111111101</v>
      </c>
      <c r="C550" s="432" t="s">
        <v>1442</v>
      </c>
    </row>
    <row r="551" spans="1:3" x14ac:dyDescent="0.25">
      <c r="A551" s="428">
        <v>41515</v>
      </c>
      <c r="B551" s="429">
        <v>0.95954861111111101</v>
      </c>
      <c r="C551" s="432" t="s">
        <v>1434</v>
      </c>
    </row>
    <row r="552" spans="1:3" x14ac:dyDescent="0.25">
      <c r="A552" s="428">
        <v>41515</v>
      </c>
      <c r="B552" s="429">
        <v>0.95954861111111101</v>
      </c>
      <c r="C552" s="432" t="s">
        <v>1443</v>
      </c>
    </row>
    <row r="553" spans="1:3" x14ac:dyDescent="0.25">
      <c r="A553" s="428">
        <v>41515</v>
      </c>
      <c r="B553" s="429">
        <v>0.95954861111111101</v>
      </c>
      <c r="C553" s="432" t="s">
        <v>1444</v>
      </c>
    </row>
    <row r="554" spans="1:3" x14ac:dyDescent="0.25">
      <c r="A554" s="428">
        <v>41515</v>
      </c>
      <c r="B554" s="429">
        <v>0.95954861111111101</v>
      </c>
      <c r="C554" s="432" t="s">
        <v>1445</v>
      </c>
    </row>
    <row r="555" spans="1:3" x14ac:dyDescent="0.25">
      <c r="A555" s="428">
        <v>41515</v>
      </c>
      <c r="B555" s="429">
        <v>0.95954861111111101</v>
      </c>
      <c r="C555" s="432" t="s">
        <v>1445</v>
      </c>
    </row>
    <row r="556" spans="1:3" x14ac:dyDescent="0.25">
      <c r="A556" s="428">
        <v>41515</v>
      </c>
      <c r="B556" s="429">
        <v>0.95954861111111101</v>
      </c>
      <c r="C556" s="432" t="s">
        <v>1371</v>
      </c>
    </row>
    <row r="557" spans="1:3" x14ac:dyDescent="0.25">
      <c r="A557" s="428">
        <v>41515</v>
      </c>
      <c r="B557" s="429">
        <v>0.95954861111111101</v>
      </c>
      <c r="C557" s="432" t="s">
        <v>1446</v>
      </c>
    </row>
    <row r="558" spans="1:3" x14ac:dyDescent="0.25">
      <c r="A558" s="428">
        <v>41515</v>
      </c>
      <c r="B558" s="429">
        <v>0.95954861111111101</v>
      </c>
      <c r="C558" s="432" t="s">
        <v>1447</v>
      </c>
    </row>
    <row r="559" spans="1:3" x14ac:dyDescent="0.25">
      <c r="A559" s="428">
        <v>41515</v>
      </c>
      <c r="B559" s="429">
        <v>0.95954861111111101</v>
      </c>
      <c r="C559" s="432" t="s">
        <v>1448</v>
      </c>
    </row>
    <row r="560" spans="1:3" x14ac:dyDescent="0.25">
      <c r="A560" s="428">
        <v>41515</v>
      </c>
      <c r="B560" s="429">
        <v>0.95954861111111101</v>
      </c>
      <c r="C560" s="432" t="s">
        <v>1416</v>
      </c>
    </row>
    <row r="561" spans="1:3" x14ac:dyDescent="0.25">
      <c r="A561" s="428">
        <v>41515</v>
      </c>
      <c r="B561" s="429">
        <v>0.95954861111111101</v>
      </c>
      <c r="C561" s="432" t="s">
        <v>1431</v>
      </c>
    </row>
    <row r="562" spans="1:3" x14ac:dyDescent="0.25">
      <c r="A562" s="428">
        <v>41515</v>
      </c>
      <c r="B562" s="429">
        <v>0.95954861111111101</v>
      </c>
      <c r="C562" s="432" t="s">
        <v>1449</v>
      </c>
    </row>
    <row r="563" spans="1:3" x14ac:dyDescent="0.25">
      <c r="A563" s="428">
        <v>41515</v>
      </c>
      <c r="B563" s="429">
        <v>0.95954861111111101</v>
      </c>
      <c r="C563" s="432" t="s">
        <v>1450</v>
      </c>
    </row>
    <row r="564" spans="1:3" x14ac:dyDescent="0.25">
      <c r="A564" s="428">
        <v>41515</v>
      </c>
      <c r="B564" s="429">
        <v>0.95954861111111101</v>
      </c>
      <c r="C564" s="432" t="s">
        <v>1415</v>
      </c>
    </row>
    <row r="565" spans="1:3" x14ac:dyDescent="0.25">
      <c r="A565" s="428">
        <v>41515</v>
      </c>
      <c r="B565" s="429">
        <v>0.95954861111111101</v>
      </c>
      <c r="C565" s="432" t="s">
        <v>1451</v>
      </c>
    </row>
    <row r="566" spans="1:3" x14ac:dyDescent="0.25">
      <c r="A566" s="428">
        <v>41515</v>
      </c>
      <c r="B566" s="429">
        <v>0.95954861111111101</v>
      </c>
      <c r="C566" s="432" t="s">
        <v>1452</v>
      </c>
    </row>
    <row r="567" spans="1:3" x14ac:dyDescent="0.25">
      <c r="A567" s="428">
        <v>41515</v>
      </c>
      <c r="B567" s="429">
        <v>0.95954861111111101</v>
      </c>
      <c r="C567" s="432" t="s">
        <v>1444</v>
      </c>
    </row>
    <row r="568" spans="1:3" x14ac:dyDescent="0.25">
      <c r="A568" s="428">
        <v>41515</v>
      </c>
      <c r="B568" s="429">
        <v>0.95954861111111101</v>
      </c>
      <c r="C568" s="432" t="s">
        <v>1453</v>
      </c>
    </row>
    <row r="569" spans="1:3" x14ac:dyDescent="0.25">
      <c r="A569" s="428">
        <v>41515</v>
      </c>
      <c r="B569" s="429">
        <v>0.95954861111111101</v>
      </c>
      <c r="C569" s="432" t="s">
        <v>1454</v>
      </c>
    </row>
    <row r="570" spans="1:3" x14ac:dyDescent="0.25">
      <c r="A570" s="428">
        <v>41515</v>
      </c>
      <c r="B570" s="429">
        <v>0.95954861111111101</v>
      </c>
      <c r="C570" s="432" t="s">
        <v>1423</v>
      </c>
    </row>
    <row r="571" spans="1:3" x14ac:dyDescent="0.25">
      <c r="A571" s="428">
        <v>41515</v>
      </c>
      <c r="B571" s="429">
        <v>0.95956018518518515</v>
      </c>
      <c r="C571" s="432" t="s">
        <v>1434</v>
      </c>
    </row>
    <row r="572" spans="1:3" x14ac:dyDescent="0.25">
      <c r="A572" s="428">
        <v>41515</v>
      </c>
      <c r="B572" s="429">
        <v>0.95956018518518515</v>
      </c>
      <c r="C572" s="432" t="s">
        <v>1455</v>
      </c>
    </row>
    <row r="573" spans="1:3" x14ac:dyDescent="0.25">
      <c r="A573" s="428">
        <v>41515</v>
      </c>
      <c r="B573" s="429">
        <v>0.95956018518518515</v>
      </c>
      <c r="C573" s="432" t="s">
        <v>1349</v>
      </c>
    </row>
    <row r="574" spans="1:3" x14ac:dyDescent="0.25">
      <c r="A574" s="428">
        <v>41515</v>
      </c>
      <c r="B574" s="429">
        <v>0.95956018518518515</v>
      </c>
      <c r="C574" s="432" t="s">
        <v>1361</v>
      </c>
    </row>
    <row r="575" spans="1:3" x14ac:dyDescent="0.25">
      <c r="A575" s="428">
        <v>41515</v>
      </c>
      <c r="B575" s="429">
        <v>0.95956018518518515</v>
      </c>
      <c r="C575" s="432" t="s">
        <v>1456</v>
      </c>
    </row>
    <row r="576" spans="1:3" x14ac:dyDescent="0.25">
      <c r="A576" s="428">
        <v>41515</v>
      </c>
      <c r="B576" s="429">
        <v>0.95956018518518515</v>
      </c>
      <c r="C576" s="432" t="s">
        <v>1457</v>
      </c>
    </row>
    <row r="577" spans="1:3" x14ac:dyDescent="0.25">
      <c r="A577" s="428">
        <v>41515</v>
      </c>
      <c r="B577" s="429">
        <v>0.95956018518518515</v>
      </c>
      <c r="C577" s="432" t="s">
        <v>1458</v>
      </c>
    </row>
    <row r="578" spans="1:3" x14ac:dyDescent="0.25">
      <c r="A578" s="428">
        <v>41515</v>
      </c>
      <c r="B578" s="429">
        <v>0.95956018518518515</v>
      </c>
      <c r="C578" s="432" t="s">
        <v>1459</v>
      </c>
    </row>
    <row r="579" spans="1:3" x14ac:dyDescent="0.25">
      <c r="A579" s="428">
        <v>41515</v>
      </c>
      <c r="B579" s="429">
        <v>0.95956018518518515</v>
      </c>
      <c r="C579" s="432" t="s">
        <v>1459</v>
      </c>
    </row>
    <row r="580" spans="1:3" x14ac:dyDescent="0.25">
      <c r="A580" s="428">
        <v>41515</v>
      </c>
      <c r="B580" s="429">
        <v>0.95956018518518515</v>
      </c>
      <c r="C580" s="432" t="s">
        <v>1451</v>
      </c>
    </row>
    <row r="581" spans="1:3" x14ac:dyDescent="0.25">
      <c r="A581" s="428">
        <v>41515</v>
      </c>
      <c r="B581" s="429">
        <v>0.95956018518518515</v>
      </c>
      <c r="C581" s="432" t="s">
        <v>1460</v>
      </c>
    </row>
    <row r="582" spans="1:3" x14ac:dyDescent="0.25">
      <c r="A582" s="428">
        <v>41515</v>
      </c>
      <c r="B582" s="429">
        <v>0.95956018518518515</v>
      </c>
      <c r="C582" s="432" t="s">
        <v>1461</v>
      </c>
    </row>
    <row r="583" spans="1:3" x14ac:dyDescent="0.25">
      <c r="A583" s="428">
        <v>41515</v>
      </c>
      <c r="B583" s="429">
        <v>0.95956018518518515</v>
      </c>
      <c r="C583" s="432" t="s">
        <v>1401</v>
      </c>
    </row>
    <row r="584" spans="1:3" x14ac:dyDescent="0.25">
      <c r="A584" s="428">
        <v>41515</v>
      </c>
      <c r="B584" s="429">
        <v>0.95956018518518515</v>
      </c>
      <c r="C584" s="432" t="s">
        <v>1462</v>
      </c>
    </row>
    <row r="585" spans="1:3" x14ac:dyDescent="0.25">
      <c r="A585" s="428">
        <v>41515</v>
      </c>
      <c r="B585" s="429">
        <v>0.95956018518518515</v>
      </c>
      <c r="C585" s="432" t="s">
        <v>1376</v>
      </c>
    </row>
    <row r="586" spans="1:3" x14ac:dyDescent="0.25">
      <c r="A586" s="428">
        <v>41515</v>
      </c>
      <c r="B586" s="429">
        <v>0.95956018518518515</v>
      </c>
      <c r="C586" s="432" t="s">
        <v>1393</v>
      </c>
    </row>
    <row r="587" spans="1:3" x14ac:dyDescent="0.25">
      <c r="A587" s="428">
        <v>41515</v>
      </c>
      <c r="B587" s="429">
        <v>0.95956018518518515</v>
      </c>
      <c r="C587" s="432" t="s">
        <v>1463</v>
      </c>
    </row>
    <row r="588" spans="1:3" x14ac:dyDescent="0.25">
      <c r="A588" s="428">
        <v>41515</v>
      </c>
      <c r="B588" s="429">
        <v>0.95956018518518515</v>
      </c>
      <c r="C588" s="432" t="s">
        <v>1464</v>
      </c>
    </row>
    <row r="589" spans="1:3" x14ac:dyDescent="0.25">
      <c r="A589" s="428">
        <v>41515</v>
      </c>
      <c r="B589" s="429">
        <v>0.9595717592592593</v>
      </c>
      <c r="C589" s="432" t="s">
        <v>1465</v>
      </c>
    </row>
    <row r="590" spans="1:3" x14ac:dyDescent="0.25">
      <c r="A590" s="428">
        <v>41515</v>
      </c>
      <c r="B590" s="429">
        <v>0.9595717592592593</v>
      </c>
      <c r="C590" s="432" t="s">
        <v>1466</v>
      </c>
    </row>
    <row r="591" spans="1:3" x14ac:dyDescent="0.25">
      <c r="A591" s="428">
        <v>41515</v>
      </c>
      <c r="B591" s="429">
        <v>0.9595717592592593</v>
      </c>
      <c r="C591" s="432" t="s">
        <v>1467</v>
      </c>
    </row>
    <row r="592" spans="1:3" x14ac:dyDescent="0.25">
      <c r="A592" s="428">
        <v>41515</v>
      </c>
      <c r="B592" s="429">
        <v>0.9595717592592593</v>
      </c>
      <c r="C592" s="432" t="s">
        <v>1468</v>
      </c>
    </row>
    <row r="593" spans="1:3" x14ac:dyDescent="0.25">
      <c r="A593" s="428">
        <v>41515</v>
      </c>
      <c r="B593" s="429">
        <v>0.9595717592592593</v>
      </c>
      <c r="C593" s="432" t="s">
        <v>1469</v>
      </c>
    </row>
    <row r="594" spans="1:3" x14ac:dyDescent="0.25">
      <c r="A594" s="428">
        <v>41515</v>
      </c>
      <c r="B594" s="429">
        <v>0.9595717592592593</v>
      </c>
      <c r="C594" s="432" t="s">
        <v>1470</v>
      </c>
    </row>
    <row r="595" spans="1:3" x14ac:dyDescent="0.25">
      <c r="A595" s="428">
        <v>41515</v>
      </c>
      <c r="B595" s="429">
        <v>0.9595717592592593</v>
      </c>
      <c r="C595" s="432" t="s">
        <v>1414</v>
      </c>
    </row>
    <row r="596" spans="1:3" x14ac:dyDescent="0.25">
      <c r="A596" s="428">
        <v>41515</v>
      </c>
      <c r="B596" s="429">
        <v>0.9595717592592593</v>
      </c>
      <c r="C596" s="432" t="s">
        <v>1351</v>
      </c>
    </row>
    <row r="597" spans="1:3" x14ac:dyDescent="0.25">
      <c r="A597" s="428">
        <v>41515</v>
      </c>
      <c r="B597" s="429">
        <v>0.9595717592592593</v>
      </c>
      <c r="C597" s="432" t="s">
        <v>1351</v>
      </c>
    </row>
    <row r="598" spans="1:3" x14ac:dyDescent="0.25">
      <c r="A598" s="428">
        <v>41515</v>
      </c>
      <c r="B598" s="429">
        <v>0.9595717592592593</v>
      </c>
      <c r="C598" s="432" t="s">
        <v>1351</v>
      </c>
    </row>
    <row r="599" spans="1:3" x14ac:dyDescent="0.25">
      <c r="A599" s="428">
        <v>41515</v>
      </c>
      <c r="B599" s="429">
        <v>0.9595717592592593</v>
      </c>
      <c r="C599" s="432" t="s">
        <v>1351</v>
      </c>
    </row>
    <row r="600" spans="1:3" x14ac:dyDescent="0.25">
      <c r="A600" s="428">
        <v>41515</v>
      </c>
      <c r="B600" s="429">
        <v>0.9595717592592593</v>
      </c>
      <c r="C600" s="432" t="s">
        <v>1351</v>
      </c>
    </row>
    <row r="601" spans="1:3" x14ac:dyDescent="0.25">
      <c r="A601" s="428">
        <v>41515</v>
      </c>
      <c r="B601" s="429">
        <v>0.9595717592592593</v>
      </c>
      <c r="C601" s="432" t="s">
        <v>1351</v>
      </c>
    </row>
    <row r="602" spans="1:3" x14ac:dyDescent="0.25">
      <c r="A602" s="428">
        <v>41515</v>
      </c>
      <c r="B602" s="429">
        <v>0.9595717592592593</v>
      </c>
      <c r="C602" s="432" t="s">
        <v>1471</v>
      </c>
    </row>
    <row r="603" spans="1:3" x14ac:dyDescent="0.25">
      <c r="A603" s="428">
        <v>41515</v>
      </c>
      <c r="B603" s="429">
        <v>0.9595717592592593</v>
      </c>
      <c r="C603" s="432" t="s">
        <v>1472</v>
      </c>
    </row>
    <row r="604" spans="1:3" x14ac:dyDescent="0.25">
      <c r="A604" s="428">
        <v>41515</v>
      </c>
      <c r="B604" s="429">
        <v>0.9595717592592593</v>
      </c>
      <c r="C604" s="432" t="s">
        <v>1473</v>
      </c>
    </row>
    <row r="605" spans="1:3" x14ac:dyDescent="0.25">
      <c r="A605" s="428">
        <v>41515</v>
      </c>
      <c r="B605" s="429">
        <v>0.9595717592592593</v>
      </c>
      <c r="C605" s="432" t="s">
        <v>1474</v>
      </c>
    </row>
    <row r="606" spans="1:3" x14ac:dyDescent="0.25">
      <c r="A606" s="428">
        <v>41515</v>
      </c>
      <c r="B606" s="429">
        <v>0.9595717592592593</v>
      </c>
      <c r="C606" s="432" t="s">
        <v>1475</v>
      </c>
    </row>
    <row r="607" spans="1:3" x14ac:dyDescent="0.25">
      <c r="A607" s="428">
        <v>41515</v>
      </c>
      <c r="B607" s="429">
        <v>0.9595717592592593</v>
      </c>
      <c r="C607" s="432" t="s">
        <v>1351</v>
      </c>
    </row>
    <row r="608" spans="1:3" x14ac:dyDescent="0.25">
      <c r="A608" s="428">
        <v>41515</v>
      </c>
      <c r="B608" s="429">
        <v>0.9595717592592593</v>
      </c>
      <c r="C608" s="432" t="s">
        <v>1476</v>
      </c>
    </row>
    <row r="609" spans="1:3" x14ac:dyDescent="0.25">
      <c r="A609" s="428">
        <v>41515</v>
      </c>
      <c r="B609" s="429">
        <v>0.9595717592592593</v>
      </c>
      <c r="C609" s="432" t="s">
        <v>1477</v>
      </c>
    </row>
    <row r="610" spans="1:3" x14ac:dyDescent="0.25">
      <c r="A610" s="428">
        <v>41515</v>
      </c>
      <c r="B610" s="429">
        <v>0.9595717592592593</v>
      </c>
      <c r="C610" s="432" t="s">
        <v>1478</v>
      </c>
    </row>
    <row r="611" spans="1:3" x14ac:dyDescent="0.25">
      <c r="A611" s="428">
        <v>41515</v>
      </c>
      <c r="B611" s="429">
        <v>0.95958333333333334</v>
      </c>
      <c r="C611" s="432" t="s">
        <v>1442</v>
      </c>
    </row>
    <row r="612" spans="1:3" x14ac:dyDescent="0.25">
      <c r="A612" s="428">
        <v>41515</v>
      </c>
      <c r="B612" s="429">
        <v>0.95958333333333334</v>
      </c>
      <c r="C612" s="432" t="s">
        <v>1479</v>
      </c>
    </row>
    <row r="613" spans="1:3" x14ac:dyDescent="0.25">
      <c r="A613" s="428">
        <v>41515</v>
      </c>
      <c r="B613" s="429">
        <v>0.95958333333333334</v>
      </c>
      <c r="C613" s="432" t="s">
        <v>1480</v>
      </c>
    </row>
    <row r="614" spans="1:3" x14ac:dyDescent="0.25">
      <c r="A614" s="428">
        <v>41515</v>
      </c>
      <c r="B614" s="429">
        <v>0.95958333333333334</v>
      </c>
      <c r="C614" s="432" t="s">
        <v>1481</v>
      </c>
    </row>
    <row r="615" spans="1:3" x14ac:dyDescent="0.25">
      <c r="A615" s="428">
        <v>41515</v>
      </c>
      <c r="B615" s="429">
        <v>0.95958333333333334</v>
      </c>
      <c r="C615" s="432" t="s">
        <v>1482</v>
      </c>
    </row>
    <row r="616" spans="1:3" x14ac:dyDescent="0.25">
      <c r="A616" s="428">
        <v>41515</v>
      </c>
      <c r="B616" s="429">
        <v>0.95958333333333334</v>
      </c>
      <c r="C616" s="432" t="s">
        <v>1483</v>
      </c>
    </row>
    <row r="617" spans="1:3" x14ac:dyDescent="0.25">
      <c r="A617" s="428">
        <v>41515</v>
      </c>
      <c r="B617" s="429">
        <v>0.95958333333333334</v>
      </c>
      <c r="C617" s="432" t="s">
        <v>1393</v>
      </c>
    </row>
    <row r="618" spans="1:3" x14ac:dyDescent="0.25">
      <c r="A618" s="428">
        <v>41515</v>
      </c>
      <c r="B618" s="429">
        <v>0.95958333333333334</v>
      </c>
      <c r="C618" s="432" t="s">
        <v>1460</v>
      </c>
    </row>
    <row r="619" spans="1:3" x14ac:dyDescent="0.25">
      <c r="A619" s="428">
        <v>41515</v>
      </c>
      <c r="B619" s="429">
        <v>0.95958333333333334</v>
      </c>
      <c r="C619" s="432" t="s">
        <v>1484</v>
      </c>
    </row>
    <row r="620" spans="1:3" x14ac:dyDescent="0.25">
      <c r="A620" s="428">
        <v>41515</v>
      </c>
      <c r="B620" s="429">
        <v>0.95958333333333334</v>
      </c>
      <c r="C620" s="432" t="s">
        <v>1485</v>
      </c>
    </row>
    <row r="621" spans="1:3" x14ac:dyDescent="0.25">
      <c r="A621" s="428">
        <v>41515</v>
      </c>
      <c r="B621" s="429">
        <v>0.95958333333333334</v>
      </c>
      <c r="C621" s="432" t="s">
        <v>1485</v>
      </c>
    </row>
    <row r="622" spans="1:3" x14ac:dyDescent="0.25">
      <c r="A622" s="428">
        <v>41515</v>
      </c>
      <c r="B622" s="429">
        <v>0.95958333333333334</v>
      </c>
      <c r="C622" s="432" t="s">
        <v>1477</v>
      </c>
    </row>
    <row r="623" spans="1:3" x14ac:dyDescent="0.25">
      <c r="A623" s="428">
        <v>41515</v>
      </c>
      <c r="B623" s="429">
        <v>0.95959490740740738</v>
      </c>
      <c r="C623" s="432" t="s">
        <v>1486</v>
      </c>
    </row>
    <row r="624" spans="1:3" ht="45" x14ac:dyDescent="0.25">
      <c r="A624" s="428">
        <v>41515</v>
      </c>
      <c r="B624" s="429">
        <v>0.98537037037037034</v>
      </c>
      <c r="C624" s="433" t="s">
        <v>1487</v>
      </c>
    </row>
    <row r="625" spans="1:3" ht="30" x14ac:dyDescent="0.25">
      <c r="A625" s="428">
        <v>41515</v>
      </c>
      <c r="B625" s="429">
        <v>0.98556712962962967</v>
      </c>
      <c r="C625" s="433" t="s">
        <v>1490</v>
      </c>
    </row>
    <row r="626" spans="1:3" ht="45" x14ac:dyDescent="0.25">
      <c r="A626" s="428">
        <v>41515</v>
      </c>
      <c r="B626" s="429">
        <v>0.99943287037037043</v>
      </c>
      <c r="C626" s="433" t="s">
        <v>1492</v>
      </c>
    </row>
    <row r="627" spans="1:3" ht="60" x14ac:dyDescent="0.25">
      <c r="A627" s="428">
        <v>41516</v>
      </c>
      <c r="B627" s="429">
        <v>3.7037037037037035E-4</v>
      </c>
      <c r="C627" s="433" t="s">
        <v>1285</v>
      </c>
    </row>
    <row r="628" spans="1:3" ht="45" x14ac:dyDescent="0.25">
      <c r="A628" s="428">
        <v>41516</v>
      </c>
      <c r="B628" s="429">
        <v>8.4490740740740741E-2</v>
      </c>
      <c r="C628" s="433" t="s">
        <v>1494</v>
      </c>
    </row>
    <row r="629" spans="1:3" ht="45" x14ac:dyDescent="0.25">
      <c r="A629" s="428">
        <v>41516</v>
      </c>
      <c r="B629" s="429">
        <v>8.8437500000000002E-2</v>
      </c>
      <c r="C629" s="433" t="s">
        <v>1494</v>
      </c>
    </row>
    <row r="630" spans="1:3" ht="30" x14ac:dyDescent="0.25">
      <c r="A630" s="428">
        <v>41516</v>
      </c>
      <c r="B630" s="429">
        <v>9.3402777777777779E-2</v>
      </c>
      <c r="C630" s="433" t="s">
        <v>1495</v>
      </c>
    </row>
    <row r="631" spans="1:3" ht="30" x14ac:dyDescent="0.25">
      <c r="A631" s="428">
        <v>41516</v>
      </c>
      <c r="B631" s="429">
        <v>0.1012037037037037</v>
      </c>
      <c r="C631" s="433" t="s">
        <v>1325</v>
      </c>
    </row>
    <row r="632" spans="1:3" ht="45" x14ac:dyDescent="0.25">
      <c r="A632" s="428">
        <v>41516</v>
      </c>
      <c r="B632" s="429">
        <v>0.10326388888888889</v>
      </c>
      <c r="C632" s="433" t="s">
        <v>1496</v>
      </c>
    </row>
    <row r="633" spans="1:3" ht="30" x14ac:dyDescent="0.25">
      <c r="A633" s="428">
        <v>41516</v>
      </c>
      <c r="B633" s="429">
        <v>0.10359953703703705</v>
      </c>
      <c r="C633" s="433" t="s">
        <v>1497</v>
      </c>
    </row>
    <row r="634" spans="1:3" ht="45" x14ac:dyDescent="0.25">
      <c r="A634" s="428">
        <v>41516</v>
      </c>
      <c r="B634" s="429">
        <v>0.10905092592592593</v>
      </c>
      <c r="C634" s="433" t="s">
        <v>1498</v>
      </c>
    </row>
    <row r="635" spans="1:3" ht="45" x14ac:dyDescent="0.25">
      <c r="A635" s="428">
        <v>41516</v>
      </c>
      <c r="B635" s="429">
        <v>0.10931712962962963</v>
      </c>
      <c r="C635" s="433" t="s">
        <v>1499</v>
      </c>
    </row>
    <row r="636" spans="1:3" ht="45" x14ac:dyDescent="0.25">
      <c r="A636" s="428">
        <v>41516</v>
      </c>
      <c r="B636" s="429">
        <v>0.10993055555555555</v>
      </c>
      <c r="C636" s="433" t="s">
        <v>1500</v>
      </c>
    </row>
    <row r="637" spans="1:3" ht="45" x14ac:dyDescent="0.25">
      <c r="A637" s="428">
        <v>41516</v>
      </c>
      <c r="B637" s="429">
        <v>0.11015046296296298</v>
      </c>
      <c r="C637" s="433" t="s">
        <v>1501</v>
      </c>
    </row>
    <row r="638" spans="1:3" ht="30" x14ac:dyDescent="0.25">
      <c r="A638" s="428">
        <v>41516</v>
      </c>
      <c r="B638" s="429">
        <v>0.11221064814814814</v>
      </c>
      <c r="C638" s="433" t="s">
        <v>1502</v>
      </c>
    </row>
    <row r="639" spans="1:3" ht="30" x14ac:dyDescent="0.25">
      <c r="A639" s="428">
        <v>41516</v>
      </c>
      <c r="B639" s="429">
        <v>0.11635416666666666</v>
      </c>
      <c r="C639" s="433" t="s">
        <v>1503</v>
      </c>
    </row>
    <row r="640" spans="1:3" ht="30" x14ac:dyDescent="0.25">
      <c r="A640" s="428">
        <v>41516</v>
      </c>
      <c r="B640" s="429">
        <v>0.11825231481481481</v>
      </c>
      <c r="C640" s="433" t="s">
        <v>1325</v>
      </c>
    </row>
    <row r="641" spans="1:3" ht="30" x14ac:dyDescent="0.25">
      <c r="A641" s="428">
        <v>41516</v>
      </c>
      <c r="B641" s="429">
        <v>0.11861111111111111</v>
      </c>
      <c r="C641" s="433" t="s">
        <v>1504</v>
      </c>
    </row>
    <row r="642" spans="1:3" ht="45" x14ac:dyDescent="0.25">
      <c r="A642" s="428">
        <v>41516</v>
      </c>
      <c r="B642" s="429">
        <v>0.12317129629629631</v>
      </c>
      <c r="C642" s="433" t="s">
        <v>1505</v>
      </c>
    </row>
    <row r="643" spans="1:3" ht="45" x14ac:dyDescent="0.25">
      <c r="A643" s="428">
        <v>41516</v>
      </c>
      <c r="B643" s="429">
        <v>0.12568287037037038</v>
      </c>
      <c r="C643" s="433" t="s">
        <v>1296</v>
      </c>
    </row>
    <row r="644" spans="1:3" ht="45" x14ac:dyDescent="0.25">
      <c r="A644" s="428">
        <v>41516</v>
      </c>
      <c r="B644" s="429">
        <v>0.12814814814814815</v>
      </c>
      <c r="C644" s="433" t="s">
        <v>1296</v>
      </c>
    </row>
    <row r="645" spans="1:3" ht="30" x14ac:dyDescent="0.25">
      <c r="A645" s="428">
        <v>41516</v>
      </c>
      <c r="B645" s="429">
        <v>0.12814814814814815</v>
      </c>
      <c r="C645" s="433" t="s">
        <v>1506</v>
      </c>
    </row>
    <row r="646" spans="1:3" ht="45" x14ac:dyDescent="0.25">
      <c r="A646" s="428">
        <v>41516</v>
      </c>
      <c r="B646" s="429">
        <v>0.12937499999999999</v>
      </c>
      <c r="C646" s="433" t="s">
        <v>1507</v>
      </c>
    </row>
    <row r="647" spans="1:3" ht="45" x14ac:dyDescent="0.25">
      <c r="A647" s="428">
        <v>41516</v>
      </c>
      <c r="B647" s="429">
        <v>0.13145833333333332</v>
      </c>
      <c r="C647" s="433" t="s">
        <v>1508</v>
      </c>
    </row>
    <row r="648" spans="1:3" ht="45" x14ac:dyDescent="0.25">
      <c r="A648" s="428">
        <v>41516</v>
      </c>
      <c r="B648" s="429">
        <v>0.13163194444444445</v>
      </c>
      <c r="C648" s="433" t="s">
        <v>1509</v>
      </c>
    </row>
    <row r="649" spans="1:3" ht="30" x14ac:dyDescent="0.25">
      <c r="A649" s="428">
        <v>41516</v>
      </c>
      <c r="B649" s="429">
        <v>0.13289351851851852</v>
      </c>
      <c r="C649" s="433" t="s">
        <v>1510</v>
      </c>
    </row>
    <row r="650" spans="1:3" ht="45" x14ac:dyDescent="0.25">
      <c r="A650" s="428">
        <v>41516</v>
      </c>
      <c r="B650" s="429">
        <v>0.13292824074074075</v>
      </c>
      <c r="C650" s="433" t="s">
        <v>1511</v>
      </c>
    </row>
    <row r="651" spans="1:3" ht="45" x14ac:dyDescent="0.25">
      <c r="A651" s="428">
        <v>41516</v>
      </c>
      <c r="B651" s="429">
        <v>0.13385416666666666</v>
      </c>
      <c r="C651" s="433" t="s">
        <v>1296</v>
      </c>
    </row>
    <row r="652" spans="1:3" ht="45" x14ac:dyDescent="0.25">
      <c r="A652" s="428">
        <v>41516</v>
      </c>
      <c r="B652" s="429">
        <v>0.13386574074074073</v>
      </c>
      <c r="C652" s="433" t="s">
        <v>1511</v>
      </c>
    </row>
    <row r="653" spans="1:3" ht="45" x14ac:dyDescent="0.25">
      <c r="A653" s="428">
        <v>41516</v>
      </c>
      <c r="B653" s="429">
        <v>0.13440972222222222</v>
      </c>
      <c r="C653" s="433" t="s">
        <v>1296</v>
      </c>
    </row>
    <row r="654" spans="1:3" ht="45" x14ac:dyDescent="0.25">
      <c r="A654" s="428">
        <v>41516</v>
      </c>
      <c r="B654" s="429">
        <v>0.13440972222222222</v>
      </c>
      <c r="C654" s="433" t="s">
        <v>1511</v>
      </c>
    </row>
    <row r="655" spans="1:3" ht="30" x14ac:dyDescent="0.25">
      <c r="A655" s="428">
        <v>41516</v>
      </c>
      <c r="B655" s="429">
        <v>0.13688657407407409</v>
      </c>
      <c r="C655" s="433" t="s">
        <v>1512</v>
      </c>
    </row>
    <row r="656" spans="1:3" ht="45" x14ac:dyDescent="0.25">
      <c r="A656" s="428">
        <v>41516</v>
      </c>
      <c r="B656" s="429">
        <v>0.13697916666666668</v>
      </c>
      <c r="C656" s="433" t="s">
        <v>1513</v>
      </c>
    </row>
    <row r="657" spans="1:3" ht="45" x14ac:dyDescent="0.25">
      <c r="A657" s="428">
        <v>41516</v>
      </c>
      <c r="B657" s="429">
        <v>0.14193287037037036</v>
      </c>
      <c r="C657" s="433" t="s">
        <v>1307</v>
      </c>
    </row>
    <row r="658" spans="1:3" ht="45" x14ac:dyDescent="0.25">
      <c r="A658" s="428">
        <v>41516</v>
      </c>
      <c r="B658" s="429">
        <v>0.14344907407407406</v>
      </c>
      <c r="C658" s="433" t="s">
        <v>1514</v>
      </c>
    </row>
    <row r="659" spans="1:3" ht="45" x14ac:dyDescent="0.25">
      <c r="A659" s="428">
        <v>41516</v>
      </c>
      <c r="B659" s="429">
        <v>0.1436226851851852</v>
      </c>
      <c r="C659" s="433" t="s">
        <v>1515</v>
      </c>
    </row>
    <row r="660" spans="1:3" ht="30" x14ac:dyDescent="0.25">
      <c r="A660" s="428">
        <v>41516</v>
      </c>
      <c r="B660" s="429">
        <v>0.14370370370370369</v>
      </c>
      <c r="C660" s="433" t="s">
        <v>1516</v>
      </c>
    </row>
    <row r="661" spans="1:3" x14ac:dyDescent="0.25">
      <c r="A661" s="428">
        <v>41516</v>
      </c>
      <c r="B661" s="429">
        <v>0.14481481481481481</v>
      </c>
      <c r="C661" s="432" t="s">
        <v>1517</v>
      </c>
    </row>
    <row r="662" spans="1:3" x14ac:dyDescent="0.25">
      <c r="A662" s="428">
        <v>41516</v>
      </c>
      <c r="B662" s="429">
        <v>0.14481481481481481</v>
      </c>
      <c r="C662" s="432" t="s">
        <v>1518</v>
      </c>
    </row>
    <row r="663" spans="1:3" x14ac:dyDescent="0.25">
      <c r="A663" s="428">
        <v>41516</v>
      </c>
      <c r="B663" s="429">
        <v>0.14481481481481481</v>
      </c>
      <c r="C663" s="432" t="s">
        <v>1517</v>
      </c>
    </row>
    <row r="664" spans="1:3" x14ac:dyDescent="0.25">
      <c r="A664" s="428">
        <v>41516</v>
      </c>
      <c r="B664" s="429">
        <v>0.14481481481481481</v>
      </c>
      <c r="C664" s="432" t="s">
        <v>1519</v>
      </c>
    </row>
    <row r="665" spans="1:3" x14ac:dyDescent="0.25">
      <c r="A665" s="428">
        <v>41516</v>
      </c>
      <c r="B665" s="429">
        <v>0.14482638888888888</v>
      </c>
      <c r="C665" s="432" t="s">
        <v>1376</v>
      </c>
    </row>
    <row r="666" spans="1:3" x14ac:dyDescent="0.25">
      <c r="A666" s="428">
        <v>41516</v>
      </c>
      <c r="B666" s="429">
        <v>0.14488425925925927</v>
      </c>
      <c r="C666" s="432" t="s">
        <v>1376</v>
      </c>
    </row>
    <row r="667" spans="1:3" x14ac:dyDescent="0.25">
      <c r="A667" s="428">
        <v>41516</v>
      </c>
      <c r="B667" s="429">
        <v>0.14489583333333333</v>
      </c>
      <c r="C667" s="432" t="s">
        <v>1520</v>
      </c>
    </row>
    <row r="668" spans="1:3" x14ac:dyDescent="0.25">
      <c r="A668" s="428">
        <v>41516</v>
      </c>
      <c r="B668" s="429">
        <v>0.14503472222222222</v>
      </c>
      <c r="C668" s="432" t="s">
        <v>1521</v>
      </c>
    </row>
    <row r="669" spans="1:3" x14ac:dyDescent="0.25">
      <c r="A669" s="428">
        <v>41516</v>
      </c>
      <c r="B669" s="429">
        <v>0.14504629629629631</v>
      </c>
      <c r="C669" s="432" t="s">
        <v>1328</v>
      </c>
    </row>
    <row r="670" spans="1:3" x14ac:dyDescent="0.25">
      <c r="A670" s="428">
        <v>41516</v>
      </c>
      <c r="B670" s="429">
        <v>0.14504629629629631</v>
      </c>
      <c r="C670" s="432" t="s">
        <v>1355</v>
      </c>
    </row>
    <row r="671" spans="1:3" x14ac:dyDescent="0.25">
      <c r="A671" s="428">
        <v>41516</v>
      </c>
      <c r="B671" s="429">
        <v>0.14509259259259258</v>
      </c>
      <c r="C671" s="432" t="s">
        <v>1329</v>
      </c>
    </row>
    <row r="672" spans="1:3" x14ac:dyDescent="0.25">
      <c r="A672" s="428">
        <v>41516</v>
      </c>
      <c r="B672" s="429">
        <v>0.14509259259259258</v>
      </c>
      <c r="C672" s="432" t="s">
        <v>1522</v>
      </c>
    </row>
    <row r="673" spans="1:3" x14ac:dyDescent="0.25">
      <c r="A673" s="428">
        <v>41516</v>
      </c>
      <c r="B673" s="429">
        <v>0.14509259259259258</v>
      </c>
      <c r="C673" s="432" t="s">
        <v>1376</v>
      </c>
    </row>
    <row r="674" spans="1:3" x14ac:dyDescent="0.25">
      <c r="A674" s="428">
        <v>41516</v>
      </c>
      <c r="B674" s="429">
        <v>0.1451388888888889</v>
      </c>
      <c r="C674" s="432" t="s">
        <v>1330</v>
      </c>
    </row>
    <row r="675" spans="1:3" x14ac:dyDescent="0.25">
      <c r="A675" s="428">
        <v>41516</v>
      </c>
      <c r="B675" s="429">
        <v>0.14516203703703703</v>
      </c>
      <c r="C675" s="432" t="s">
        <v>1523</v>
      </c>
    </row>
    <row r="676" spans="1:3" x14ac:dyDescent="0.25">
      <c r="A676" s="428">
        <v>41516</v>
      </c>
      <c r="B676" s="429">
        <v>0.14518518518518519</v>
      </c>
      <c r="C676" s="432" t="s">
        <v>1331</v>
      </c>
    </row>
    <row r="677" spans="1:3" x14ac:dyDescent="0.25">
      <c r="A677" s="428">
        <v>41516</v>
      </c>
      <c r="B677" s="429">
        <v>0.14520833333333333</v>
      </c>
      <c r="C677" s="432" t="s">
        <v>1332</v>
      </c>
    </row>
    <row r="678" spans="1:3" x14ac:dyDescent="0.25">
      <c r="A678" s="428">
        <v>41516</v>
      </c>
      <c r="B678" s="429">
        <v>0.14523148148148149</v>
      </c>
      <c r="C678" s="432" t="s">
        <v>1333</v>
      </c>
    </row>
    <row r="679" spans="1:3" x14ac:dyDescent="0.25">
      <c r="A679" s="428">
        <v>41516</v>
      </c>
      <c r="B679" s="429">
        <v>0.14526620370370372</v>
      </c>
      <c r="C679" s="432" t="s">
        <v>1334</v>
      </c>
    </row>
    <row r="680" spans="1:3" x14ac:dyDescent="0.25">
      <c r="A680" s="428">
        <v>41516</v>
      </c>
      <c r="B680" s="429">
        <v>0.14527777777777778</v>
      </c>
      <c r="C680" s="432" t="s">
        <v>1335</v>
      </c>
    </row>
    <row r="681" spans="1:3" x14ac:dyDescent="0.25">
      <c r="A681" s="428">
        <v>41516</v>
      </c>
      <c r="B681" s="429">
        <v>0.14533564814814814</v>
      </c>
      <c r="C681" s="432" t="s">
        <v>1351</v>
      </c>
    </row>
    <row r="682" spans="1:3" x14ac:dyDescent="0.25">
      <c r="A682" s="428">
        <v>41516</v>
      </c>
      <c r="B682" s="429">
        <v>0.14534722222222221</v>
      </c>
      <c r="C682" s="432" t="s">
        <v>1358</v>
      </c>
    </row>
    <row r="683" spans="1:3" x14ac:dyDescent="0.25">
      <c r="A683" s="428">
        <v>41516</v>
      </c>
      <c r="B683" s="429">
        <v>0.14542824074074076</v>
      </c>
      <c r="C683" s="432" t="s">
        <v>1377</v>
      </c>
    </row>
    <row r="684" spans="1:3" x14ac:dyDescent="0.25">
      <c r="A684" s="428">
        <v>41516</v>
      </c>
      <c r="B684" s="429">
        <v>0.14542824074074076</v>
      </c>
      <c r="C684" s="432" t="s">
        <v>1524</v>
      </c>
    </row>
    <row r="685" spans="1:3" x14ac:dyDescent="0.25">
      <c r="A685" s="428">
        <v>41516</v>
      </c>
      <c r="B685" s="429">
        <v>0.14542824074074076</v>
      </c>
      <c r="C685" s="432" t="s">
        <v>1414</v>
      </c>
    </row>
    <row r="686" spans="1:3" x14ac:dyDescent="0.25">
      <c r="A686" s="428">
        <v>41516</v>
      </c>
      <c r="B686" s="429">
        <v>0.14545138888888889</v>
      </c>
      <c r="C686" s="432" t="s">
        <v>1525</v>
      </c>
    </row>
    <row r="687" spans="1:3" x14ac:dyDescent="0.25">
      <c r="A687" s="428">
        <v>41516</v>
      </c>
      <c r="B687" s="429">
        <v>0.14545138888888889</v>
      </c>
      <c r="C687" s="432" t="s">
        <v>1336</v>
      </c>
    </row>
    <row r="688" spans="1:3" x14ac:dyDescent="0.25">
      <c r="A688" s="428">
        <v>41516</v>
      </c>
      <c r="B688" s="429">
        <v>0.14545138888888889</v>
      </c>
      <c r="C688" s="432" t="s">
        <v>1337</v>
      </c>
    </row>
    <row r="689" spans="1:3" x14ac:dyDescent="0.25">
      <c r="A689" s="428">
        <v>41516</v>
      </c>
      <c r="B689" s="429">
        <v>0.14547453703703703</v>
      </c>
      <c r="C689" s="432" t="s">
        <v>1338</v>
      </c>
    </row>
    <row r="690" spans="1:3" x14ac:dyDescent="0.25">
      <c r="A690" s="428">
        <v>41516</v>
      </c>
      <c r="B690" s="429">
        <v>0.14547453703703703</v>
      </c>
      <c r="C690" s="432" t="s">
        <v>1339</v>
      </c>
    </row>
    <row r="691" spans="1:3" x14ac:dyDescent="0.25">
      <c r="A691" s="428">
        <v>41516</v>
      </c>
      <c r="B691" s="429">
        <v>0.14547453703703703</v>
      </c>
      <c r="C691" s="432" t="s">
        <v>1340</v>
      </c>
    </row>
    <row r="692" spans="1:3" x14ac:dyDescent="0.25">
      <c r="A692" s="428">
        <v>41516</v>
      </c>
      <c r="B692" s="429">
        <v>0.14547453703703703</v>
      </c>
      <c r="C692" s="432" t="s">
        <v>1526</v>
      </c>
    </row>
    <row r="693" spans="1:3" x14ac:dyDescent="0.25">
      <c r="A693" s="428">
        <v>41516</v>
      </c>
      <c r="B693" s="429">
        <v>0.14548611111111112</v>
      </c>
      <c r="C693" s="432" t="s">
        <v>1363</v>
      </c>
    </row>
    <row r="694" spans="1:3" x14ac:dyDescent="0.25">
      <c r="A694" s="428">
        <v>41516</v>
      </c>
      <c r="B694" s="429">
        <v>0.14552083333333335</v>
      </c>
      <c r="C694" s="432" t="s">
        <v>1341</v>
      </c>
    </row>
    <row r="695" spans="1:3" x14ac:dyDescent="0.25">
      <c r="A695" s="428">
        <v>41516</v>
      </c>
      <c r="B695" s="429">
        <v>0.14553240740740739</v>
      </c>
      <c r="C695" s="432" t="s">
        <v>1342</v>
      </c>
    </row>
    <row r="696" spans="1:3" x14ac:dyDescent="0.25">
      <c r="A696" s="428">
        <v>41516</v>
      </c>
      <c r="B696" s="429">
        <v>0.14553240740740739</v>
      </c>
      <c r="C696" s="432" t="s">
        <v>1343</v>
      </c>
    </row>
    <row r="697" spans="1:3" x14ac:dyDescent="0.25">
      <c r="A697" s="428">
        <v>41516</v>
      </c>
      <c r="B697" s="429">
        <v>0.14553240740740739</v>
      </c>
      <c r="C697" s="432" t="s">
        <v>1344</v>
      </c>
    </row>
    <row r="698" spans="1:3" x14ac:dyDescent="0.25">
      <c r="A698" s="428">
        <v>41516</v>
      </c>
      <c r="B698" s="429">
        <v>0.14557870370370371</v>
      </c>
      <c r="C698" s="432" t="s">
        <v>1527</v>
      </c>
    </row>
    <row r="699" spans="1:3" x14ac:dyDescent="0.25">
      <c r="A699" s="428">
        <v>41516</v>
      </c>
      <c r="B699" s="429">
        <v>0.14557870370370371</v>
      </c>
      <c r="C699" s="432" t="s">
        <v>1332</v>
      </c>
    </row>
    <row r="700" spans="1:3" x14ac:dyDescent="0.25">
      <c r="A700" s="428">
        <v>41516</v>
      </c>
      <c r="B700" s="429">
        <v>0.14559027777777778</v>
      </c>
      <c r="C700" s="432" t="s">
        <v>1351</v>
      </c>
    </row>
    <row r="701" spans="1:3" x14ac:dyDescent="0.25">
      <c r="A701" s="428">
        <v>41516</v>
      </c>
      <c r="B701" s="429">
        <v>0.14560185185185184</v>
      </c>
      <c r="C701" s="432" t="s">
        <v>1376</v>
      </c>
    </row>
    <row r="702" spans="1:3" x14ac:dyDescent="0.25">
      <c r="A702" s="428">
        <v>41516</v>
      </c>
      <c r="B702" s="429">
        <v>0.14561342592592594</v>
      </c>
      <c r="C702" s="432" t="s">
        <v>1345</v>
      </c>
    </row>
    <row r="703" spans="1:3" x14ac:dyDescent="0.25">
      <c r="A703" s="428">
        <v>41516</v>
      </c>
      <c r="B703" s="429">
        <v>0.14561342592592594</v>
      </c>
      <c r="C703" s="432" t="s">
        <v>1346</v>
      </c>
    </row>
    <row r="704" spans="1:3" x14ac:dyDescent="0.25">
      <c r="A704" s="428">
        <v>41516</v>
      </c>
      <c r="B704" s="429">
        <v>0.14561342592592594</v>
      </c>
      <c r="C704" s="432" t="s">
        <v>1528</v>
      </c>
    </row>
    <row r="705" spans="1:3" x14ac:dyDescent="0.25">
      <c r="A705" s="428">
        <v>41516</v>
      </c>
      <c r="B705" s="429">
        <v>0.14561342592592594</v>
      </c>
      <c r="C705" s="432" t="s">
        <v>1347</v>
      </c>
    </row>
    <row r="706" spans="1:3" x14ac:dyDescent="0.25">
      <c r="A706" s="428">
        <v>41516</v>
      </c>
      <c r="B706" s="429">
        <v>0.14564814814814817</v>
      </c>
      <c r="C706" s="432" t="s">
        <v>1348</v>
      </c>
    </row>
    <row r="707" spans="1:3" x14ac:dyDescent="0.25">
      <c r="A707" s="428">
        <v>41516</v>
      </c>
      <c r="B707" s="429">
        <v>0.1456712962962963</v>
      </c>
      <c r="C707" s="432" t="s">
        <v>1401</v>
      </c>
    </row>
    <row r="708" spans="1:3" x14ac:dyDescent="0.25">
      <c r="A708" s="428">
        <v>41516</v>
      </c>
      <c r="B708" s="429">
        <v>0.1456712962962963</v>
      </c>
      <c r="C708" s="432" t="s">
        <v>1414</v>
      </c>
    </row>
    <row r="709" spans="1:3" x14ac:dyDescent="0.25">
      <c r="A709" s="428">
        <v>41516</v>
      </c>
      <c r="B709" s="429">
        <v>0.1456712962962963</v>
      </c>
      <c r="C709" s="432" t="s">
        <v>1524</v>
      </c>
    </row>
    <row r="710" spans="1:3" x14ac:dyDescent="0.25">
      <c r="A710" s="428">
        <v>41516</v>
      </c>
      <c r="B710" s="429">
        <v>0.1456712962962963</v>
      </c>
      <c r="C710" s="432" t="s">
        <v>1349</v>
      </c>
    </row>
    <row r="711" spans="1:3" x14ac:dyDescent="0.25">
      <c r="A711" s="428">
        <v>41516</v>
      </c>
      <c r="B711" s="429">
        <v>0.14569444444444443</v>
      </c>
      <c r="C711" s="432" t="s">
        <v>1529</v>
      </c>
    </row>
    <row r="712" spans="1:3" x14ac:dyDescent="0.25">
      <c r="A712" s="428">
        <v>41516</v>
      </c>
      <c r="B712" s="429">
        <v>0.14569444444444443</v>
      </c>
      <c r="C712" s="432" t="s">
        <v>1459</v>
      </c>
    </row>
    <row r="713" spans="1:3" x14ac:dyDescent="0.25">
      <c r="A713" s="428">
        <v>41516</v>
      </c>
      <c r="B713" s="429">
        <v>0.14569444444444443</v>
      </c>
      <c r="C713" s="432" t="s">
        <v>1350</v>
      </c>
    </row>
    <row r="714" spans="1:3" x14ac:dyDescent="0.25">
      <c r="A714" s="428">
        <v>41516</v>
      </c>
      <c r="B714" s="429">
        <v>0.14575231481481482</v>
      </c>
      <c r="C714" s="432" t="s">
        <v>1351</v>
      </c>
    </row>
    <row r="715" spans="1:3" x14ac:dyDescent="0.25">
      <c r="A715" s="428">
        <v>41516</v>
      </c>
      <c r="B715" s="429">
        <v>0.14575231481481482</v>
      </c>
      <c r="C715" s="432" t="s">
        <v>1361</v>
      </c>
    </row>
    <row r="716" spans="1:3" x14ac:dyDescent="0.25">
      <c r="A716" s="428">
        <v>41516</v>
      </c>
      <c r="B716" s="429">
        <v>0.14576388888888889</v>
      </c>
      <c r="C716" s="432" t="s">
        <v>1368</v>
      </c>
    </row>
    <row r="717" spans="1:3" x14ac:dyDescent="0.25">
      <c r="A717" s="428">
        <v>41516</v>
      </c>
      <c r="B717" s="429">
        <v>0.14577546296296295</v>
      </c>
      <c r="C717" s="432" t="s">
        <v>1352</v>
      </c>
    </row>
    <row r="718" spans="1:3" x14ac:dyDescent="0.25">
      <c r="A718" s="428">
        <v>41516</v>
      </c>
      <c r="B718" s="429">
        <v>0.14578703703703702</v>
      </c>
      <c r="C718" s="432" t="s">
        <v>1335</v>
      </c>
    </row>
    <row r="719" spans="1:3" x14ac:dyDescent="0.25">
      <c r="A719" s="428">
        <v>41516</v>
      </c>
      <c r="B719" s="429">
        <v>0.14578703703703702</v>
      </c>
      <c r="C719" s="432" t="s">
        <v>1351</v>
      </c>
    </row>
    <row r="720" spans="1:3" x14ac:dyDescent="0.25">
      <c r="A720" s="428">
        <v>41516</v>
      </c>
      <c r="B720" s="429">
        <v>0.14578703703703702</v>
      </c>
      <c r="C720" s="432" t="s">
        <v>1353</v>
      </c>
    </row>
    <row r="721" spans="1:3" x14ac:dyDescent="0.25">
      <c r="A721" s="428">
        <v>41516</v>
      </c>
      <c r="B721" s="429">
        <v>0.14579861111111111</v>
      </c>
      <c r="C721" s="432" t="s">
        <v>1354</v>
      </c>
    </row>
    <row r="722" spans="1:3" x14ac:dyDescent="0.25">
      <c r="A722" s="428">
        <v>41516</v>
      </c>
      <c r="B722" s="429">
        <v>0.14586805555555557</v>
      </c>
      <c r="C722" s="432" t="s">
        <v>1358</v>
      </c>
    </row>
    <row r="723" spans="1:3" x14ac:dyDescent="0.25">
      <c r="A723" s="428">
        <v>41516</v>
      </c>
      <c r="B723" s="429">
        <v>0.14586805555555557</v>
      </c>
      <c r="C723" s="432" t="s">
        <v>1530</v>
      </c>
    </row>
    <row r="724" spans="1:3" x14ac:dyDescent="0.25">
      <c r="A724" s="428">
        <v>41516</v>
      </c>
      <c r="B724" s="429">
        <v>0.14594907407407406</v>
      </c>
      <c r="C724" s="432" t="s">
        <v>1401</v>
      </c>
    </row>
    <row r="725" spans="1:3" x14ac:dyDescent="0.25">
      <c r="A725" s="428">
        <v>41516</v>
      </c>
      <c r="B725" s="429">
        <v>0.14596064814814816</v>
      </c>
      <c r="C725" s="432" t="s">
        <v>1349</v>
      </c>
    </row>
    <row r="726" spans="1:3" x14ac:dyDescent="0.25">
      <c r="A726" s="428">
        <v>41516</v>
      </c>
      <c r="B726" s="429">
        <v>0.14596064814814816</v>
      </c>
      <c r="C726" s="432" t="s">
        <v>1414</v>
      </c>
    </row>
    <row r="727" spans="1:3" x14ac:dyDescent="0.25">
      <c r="A727" s="428">
        <v>41516</v>
      </c>
      <c r="B727" s="429">
        <v>0.14596064814814816</v>
      </c>
      <c r="C727" s="432" t="s">
        <v>1531</v>
      </c>
    </row>
    <row r="728" spans="1:3" x14ac:dyDescent="0.25">
      <c r="A728" s="428">
        <v>41516</v>
      </c>
      <c r="B728" s="429">
        <v>0.14598379629629629</v>
      </c>
      <c r="C728" s="432" t="s">
        <v>1361</v>
      </c>
    </row>
    <row r="729" spans="1:3" x14ac:dyDescent="0.25">
      <c r="A729" s="428">
        <v>41516</v>
      </c>
      <c r="B729" s="429">
        <v>0.14598379629629629</v>
      </c>
      <c r="C729" s="432" t="s">
        <v>1351</v>
      </c>
    </row>
    <row r="730" spans="1:3" x14ac:dyDescent="0.25">
      <c r="A730" s="428">
        <v>41516</v>
      </c>
      <c r="B730" s="429">
        <v>0.14599537037037039</v>
      </c>
      <c r="C730" s="432" t="s">
        <v>1368</v>
      </c>
    </row>
    <row r="731" spans="1:3" x14ac:dyDescent="0.25">
      <c r="A731" s="428">
        <v>41516</v>
      </c>
      <c r="B731" s="429">
        <v>0.14601851851851852</v>
      </c>
      <c r="C731" s="432" t="s">
        <v>1377</v>
      </c>
    </row>
    <row r="732" spans="1:3" x14ac:dyDescent="0.25">
      <c r="A732" s="428">
        <v>41516</v>
      </c>
      <c r="B732" s="429">
        <v>0.14605324074074075</v>
      </c>
      <c r="C732" s="432" t="s">
        <v>1355</v>
      </c>
    </row>
    <row r="733" spans="1:3" x14ac:dyDescent="0.25">
      <c r="A733" s="428">
        <v>41516</v>
      </c>
      <c r="B733" s="429">
        <v>0.14605324074074075</v>
      </c>
      <c r="C733" s="432" t="s">
        <v>1532</v>
      </c>
    </row>
    <row r="734" spans="1:3" x14ac:dyDescent="0.25">
      <c r="A734" s="428">
        <v>41516</v>
      </c>
      <c r="B734" s="429">
        <v>0.14605324074074075</v>
      </c>
      <c r="C734" s="432" t="s">
        <v>1351</v>
      </c>
    </row>
    <row r="735" spans="1:3" x14ac:dyDescent="0.25">
      <c r="A735" s="428">
        <v>41516</v>
      </c>
      <c r="B735" s="429">
        <v>0.14607638888888888</v>
      </c>
      <c r="C735" s="432" t="s">
        <v>1376</v>
      </c>
    </row>
    <row r="736" spans="1:3" x14ac:dyDescent="0.25">
      <c r="A736" s="428">
        <v>41516</v>
      </c>
      <c r="B736" s="429">
        <v>0.14608796296296298</v>
      </c>
      <c r="C736" s="432" t="s">
        <v>1459</v>
      </c>
    </row>
    <row r="737" spans="1:3" x14ac:dyDescent="0.25">
      <c r="A737" s="428">
        <v>41516</v>
      </c>
      <c r="B737" s="429">
        <v>0.14608796296296298</v>
      </c>
      <c r="C737" s="432" t="s">
        <v>1356</v>
      </c>
    </row>
    <row r="738" spans="1:3" x14ac:dyDescent="0.25">
      <c r="A738" s="428">
        <v>41516</v>
      </c>
      <c r="B738" s="429">
        <v>0.14611111111111111</v>
      </c>
      <c r="C738" s="432" t="s">
        <v>1533</v>
      </c>
    </row>
    <row r="739" spans="1:3" x14ac:dyDescent="0.25">
      <c r="A739" s="428">
        <v>41516</v>
      </c>
      <c r="B739" s="429">
        <v>0.14613425925925927</v>
      </c>
      <c r="C739" s="432" t="s">
        <v>1423</v>
      </c>
    </row>
    <row r="740" spans="1:3" x14ac:dyDescent="0.25">
      <c r="A740" s="428">
        <v>41516</v>
      </c>
      <c r="B740" s="429">
        <v>0.14613425925925927</v>
      </c>
      <c r="C740" s="432" t="s">
        <v>1423</v>
      </c>
    </row>
    <row r="741" spans="1:3" x14ac:dyDescent="0.25">
      <c r="A741" s="428">
        <v>41516</v>
      </c>
      <c r="B741" s="429">
        <v>0.14616898148148147</v>
      </c>
      <c r="C741" s="432" t="s">
        <v>1356</v>
      </c>
    </row>
    <row r="742" spans="1:3" x14ac:dyDescent="0.25">
      <c r="A742" s="428">
        <v>41516</v>
      </c>
      <c r="B742" s="429">
        <v>0.1462037037037037</v>
      </c>
      <c r="C742" s="432" t="s">
        <v>1351</v>
      </c>
    </row>
    <row r="743" spans="1:3" x14ac:dyDescent="0.25">
      <c r="A743" s="428">
        <v>41516</v>
      </c>
      <c r="B743" s="429">
        <v>0.14621527777777779</v>
      </c>
      <c r="C743" s="432" t="s">
        <v>1357</v>
      </c>
    </row>
    <row r="744" spans="1:3" x14ac:dyDescent="0.25">
      <c r="A744" s="428">
        <v>41516</v>
      </c>
      <c r="B744" s="429">
        <v>0.14622685185185186</v>
      </c>
      <c r="C744" s="432" t="s">
        <v>1349</v>
      </c>
    </row>
    <row r="745" spans="1:3" x14ac:dyDescent="0.25">
      <c r="A745" s="428">
        <v>41516</v>
      </c>
      <c r="B745" s="429">
        <v>0.14623842592592592</v>
      </c>
      <c r="C745" s="432" t="s">
        <v>1459</v>
      </c>
    </row>
    <row r="746" spans="1:3" x14ac:dyDescent="0.25">
      <c r="A746" s="428">
        <v>41516</v>
      </c>
      <c r="B746" s="429">
        <v>0.14623842592592592</v>
      </c>
      <c r="C746" s="432" t="s">
        <v>1401</v>
      </c>
    </row>
    <row r="747" spans="1:3" x14ac:dyDescent="0.25">
      <c r="A747" s="428">
        <v>41516</v>
      </c>
      <c r="B747" s="429">
        <v>0.14624999999999999</v>
      </c>
      <c r="C747" s="432" t="s">
        <v>1361</v>
      </c>
    </row>
    <row r="748" spans="1:3" x14ac:dyDescent="0.25">
      <c r="A748" s="428">
        <v>41516</v>
      </c>
      <c r="B748" s="429">
        <v>0.14624999999999999</v>
      </c>
      <c r="C748" s="432" t="s">
        <v>1414</v>
      </c>
    </row>
    <row r="749" spans="1:3" x14ac:dyDescent="0.25">
      <c r="A749" s="428">
        <v>41516</v>
      </c>
      <c r="B749" s="429">
        <v>0.14624999999999999</v>
      </c>
      <c r="C749" s="432" t="s">
        <v>1356</v>
      </c>
    </row>
    <row r="750" spans="1:3" x14ac:dyDescent="0.25">
      <c r="A750" s="428">
        <v>41516</v>
      </c>
      <c r="B750" s="429">
        <v>0.14624999999999999</v>
      </c>
      <c r="C750" s="432" t="s">
        <v>1368</v>
      </c>
    </row>
    <row r="751" spans="1:3" x14ac:dyDescent="0.25">
      <c r="A751" s="428">
        <v>41516</v>
      </c>
      <c r="B751" s="429">
        <v>0.14626157407407406</v>
      </c>
      <c r="C751" s="432" t="s">
        <v>1534</v>
      </c>
    </row>
    <row r="752" spans="1:3" x14ac:dyDescent="0.25">
      <c r="A752" s="428">
        <v>41516</v>
      </c>
      <c r="B752" s="429">
        <v>0.14626157407407406</v>
      </c>
      <c r="C752" s="432" t="s">
        <v>1351</v>
      </c>
    </row>
    <row r="753" spans="1:3" x14ac:dyDescent="0.25">
      <c r="A753" s="428">
        <v>41516</v>
      </c>
      <c r="B753" s="429">
        <v>0.14627314814814815</v>
      </c>
      <c r="C753" s="432" t="s">
        <v>1535</v>
      </c>
    </row>
    <row r="754" spans="1:3" x14ac:dyDescent="0.25">
      <c r="A754" s="428">
        <v>41516</v>
      </c>
      <c r="B754" s="429">
        <v>0.14629629629629629</v>
      </c>
      <c r="C754" s="432" t="s">
        <v>1356</v>
      </c>
    </row>
    <row r="755" spans="1:3" x14ac:dyDescent="0.25">
      <c r="A755" s="428">
        <v>41516</v>
      </c>
      <c r="B755" s="429">
        <v>0.14630787037037038</v>
      </c>
      <c r="C755" s="432" t="s">
        <v>1335</v>
      </c>
    </row>
    <row r="756" spans="1:3" x14ac:dyDescent="0.25">
      <c r="A756" s="428">
        <v>41516</v>
      </c>
      <c r="B756" s="429">
        <v>0.14633101851851851</v>
      </c>
      <c r="C756" s="432" t="s">
        <v>1358</v>
      </c>
    </row>
    <row r="757" spans="1:3" x14ac:dyDescent="0.25">
      <c r="A757" s="428">
        <v>41516</v>
      </c>
      <c r="B757" s="429">
        <v>0.14641203703703703</v>
      </c>
      <c r="C757" s="432" t="s">
        <v>1351</v>
      </c>
    </row>
    <row r="758" spans="1:3" x14ac:dyDescent="0.25">
      <c r="A758" s="428">
        <v>41516</v>
      </c>
      <c r="B758" s="429">
        <v>0.14641203703703703</v>
      </c>
      <c r="C758" s="432" t="s">
        <v>1351</v>
      </c>
    </row>
    <row r="759" spans="1:3" x14ac:dyDescent="0.25">
      <c r="A759" s="428">
        <v>41516</v>
      </c>
      <c r="B759" s="429">
        <v>0.1464236111111111</v>
      </c>
      <c r="C759" s="432" t="s">
        <v>1359</v>
      </c>
    </row>
    <row r="760" spans="1:3" x14ac:dyDescent="0.25">
      <c r="A760" s="428">
        <v>41516</v>
      </c>
      <c r="B760" s="429">
        <v>0.1464236111111111</v>
      </c>
      <c r="C760" s="432" t="s">
        <v>1525</v>
      </c>
    </row>
    <row r="761" spans="1:3" x14ac:dyDescent="0.25">
      <c r="A761" s="428">
        <v>41516</v>
      </c>
      <c r="B761" s="429">
        <v>0.1464351851851852</v>
      </c>
      <c r="C761" s="432" t="s">
        <v>1351</v>
      </c>
    </row>
    <row r="762" spans="1:3" x14ac:dyDescent="0.25">
      <c r="A762" s="428">
        <v>41516</v>
      </c>
      <c r="B762" s="429">
        <v>0.1464351851851852</v>
      </c>
      <c r="C762" s="432" t="s">
        <v>1536</v>
      </c>
    </row>
    <row r="763" spans="1:3" x14ac:dyDescent="0.25">
      <c r="A763" s="428">
        <v>41516</v>
      </c>
      <c r="B763" s="429">
        <v>0.1464351851851852</v>
      </c>
      <c r="C763" s="432" t="s">
        <v>1349</v>
      </c>
    </row>
    <row r="764" spans="1:3" x14ac:dyDescent="0.25">
      <c r="A764" s="428">
        <v>41516</v>
      </c>
      <c r="B764" s="429">
        <v>0.14644675925925926</v>
      </c>
      <c r="C764" s="432" t="s">
        <v>1401</v>
      </c>
    </row>
    <row r="765" spans="1:3" x14ac:dyDescent="0.25">
      <c r="A765" s="428">
        <v>41516</v>
      </c>
      <c r="B765" s="429">
        <v>0.14644675925925926</v>
      </c>
      <c r="C765" s="432" t="s">
        <v>1537</v>
      </c>
    </row>
    <row r="766" spans="1:3" x14ac:dyDescent="0.25">
      <c r="A766" s="428">
        <v>41516</v>
      </c>
      <c r="B766" s="429">
        <v>0.14644675925925926</v>
      </c>
      <c r="C766" s="432" t="s">
        <v>1360</v>
      </c>
    </row>
    <row r="767" spans="1:3" x14ac:dyDescent="0.25">
      <c r="A767" s="428">
        <v>41516</v>
      </c>
      <c r="B767" s="429">
        <v>0.14644675925925926</v>
      </c>
      <c r="C767" s="432" t="s">
        <v>1356</v>
      </c>
    </row>
    <row r="768" spans="1:3" x14ac:dyDescent="0.25">
      <c r="A768" s="428">
        <v>41516</v>
      </c>
      <c r="B768" s="429">
        <v>0.14646990740740742</v>
      </c>
      <c r="C768" s="432" t="s">
        <v>1361</v>
      </c>
    </row>
    <row r="769" spans="1:3" x14ac:dyDescent="0.25">
      <c r="A769" s="428">
        <v>41516</v>
      </c>
      <c r="B769" s="429">
        <v>0.14649305555555556</v>
      </c>
      <c r="C769" s="432" t="s">
        <v>1356</v>
      </c>
    </row>
    <row r="770" spans="1:3" x14ac:dyDescent="0.25">
      <c r="A770" s="428">
        <v>41516</v>
      </c>
      <c r="B770" s="429">
        <v>0.14650462962962962</v>
      </c>
      <c r="C770" s="432" t="s">
        <v>1362</v>
      </c>
    </row>
    <row r="771" spans="1:3" x14ac:dyDescent="0.25">
      <c r="A771" s="428">
        <v>41516</v>
      </c>
      <c r="B771" s="429">
        <v>0.14650462962962962</v>
      </c>
      <c r="C771" s="432" t="s">
        <v>1363</v>
      </c>
    </row>
    <row r="772" spans="1:3" x14ac:dyDescent="0.25">
      <c r="A772" s="428">
        <v>41516</v>
      </c>
      <c r="B772" s="429">
        <v>0.14651620370370369</v>
      </c>
      <c r="C772" s="432" t="s">
        <v>1364</v>
      </c>
    </row>
    <row r="773" spans="1:3" x14ac:dyDescent="0.25">
      <c r="A773" s="428">
        <v>41516</v>
      </c>
      <c r="B773" s="429">
        <v>0.14652777777777778</v>
      </c>
      <c r="C773" s="432" t="s">
        <v>1401</v>
      </c>
    </row>
    <row r="774" spans="1:3" x14ac:dyDescent="0.25">
      <c r="A774" s="428">
        <v>41516</v>
      </c>
      <c r="B774" s="429">
        <v>0.14652777777777778</v>
      </c>
      <c r="C774" s="432" t="s">
        <v>1365</v>
      </c>
    </row>
    <row r="775" spans="1:3" x14ac:dyDescent="0.25">
      <c r="A775" s="428">
        <v>41516</v>
      </c>
      <c r="B775" s="429">
        <v>0.14653935185185185</v>
      </c>
      <c r="C775" s="432" t="s">
        <v>1366</v>
      </c>
    </row>
    <row r="776" spans="1:3" x14ac:dyDescent="0.25">
      <c r="A776" s="428">
        <v>41516</v>
      </c>
      <c r="B776" s="429">
        <v>0.14653935185185185</v>
      </c>
      <c r="C776" s="432" t="s">
        <v>1367</v>
      </c>
    </row>
    <row r="777" spans="1:3" x14ac:dyDescent="0.25">
      <c r="A777" s="428">
        <v>41516</v>
      </c>
      <c r="B777" s="429">
        <v>0.14656250000000001</v>
      </c>
      <c r="C777" s="432" t="s">
        <v>1368</v>
      </c>
    </row>
    <row r="778" spans="1:3" x14ac:dyDescent="0.25">
      <c r="A778" s="428">
        <v>41516</v>
      </c>
      <c r="B778" s="429">
        <v>0.14656250000000001</v>
      </c>
      <c r="C778" s="432" t="s">
        <v>1369</v>
      </c>
    </row>
    <row r="779" spans="1:3" x14ac:dyDescent="0.25">
      <c r="A779" s="428">
        <v>41516</v>
      </c>
      <c r="B779" s="429">
        <v>0.14656250000000001</v>
      </c>
      <c r="C779" s="432" t="s">
        <v>1370</v>
      </c>
    </row>
    <row r="780" spans="1:3" x14ac:dyDescent="0.25">
      <c r="A780" s="428">
        <v>41516</v>
      </c>
      <c r="B780" s="429">
        <v>0.14656250000000001</v>
      </c>
      <c r="C780" s="432" t="s">
        <v>1371</v>
      </c>
    </row>
    <row r="781" spans="1:3" x14ac:dyDescent="0.25">
      <c r="A781" s="428">
        <v>41516</v>
      </c>
      <c r="B781" s="429">
        <v>0.14656250000000001</v>
      </c>
      <c r="C781" s="432" t="s">
        <v>1372</v>
      </c>
    </row>
    <row r="782" spans="1:3" x14ac:dyDescent="0.25">
      <c r="A782" s="428">
        <v>41516</v>
      </c>
      <c r="B782" s="429">
        <v>0.14657407407407408</v>
      </c>
      <c r="C782" s="432" t="s">
        <v>1356</v>
      </c>
    </row>
    <row r="783" spans="1:3" x14ac:dyDescent="0.25">
      <c r="A783" s="428">
        <v>41516</v>
      </c>
      <c r="B783" s="429">
        <v>0.14658564814814815</v>
      </c>
      <c r="C783" s="432" t="s">
        <v>1373</v>
      </c>
    </row>
    <row r="784" spans="1:3" x14ac:dyDescent="0.25">
      <c r="A784" s="428">
        <v>41516</v>
      </c>
      <c r="B784" s="429">
        <v>0.14658564814814815</v>
      </c>
      <c r="C784" s="432" t="s">
        <v>1372</v>
      </c>
    </row>
    <row r="785" spans="1:3" x14ac:dyDescent="0.25">
      <c r="A785" s="428">
        <v>41516</v>
      </c>
      <c r="B785" s="429">
        <v>0.14658564814814815</v>
      </c>
      <c r="C785" s="432" t="s">
        <v>1372</v>
      </c>
    </row>
    <row r="786" spans="1:3" x14ac:dyDescent="0.25">
      <c r="A786" s="428">
        <v>41516</v>
      </c>
      <c r="B786" s="429">
        <v>0.14659722222222224</v>
      </c>
      <c r="C786" s="432" t="s">
        <v>1372</v>
      </c>
    </row>
    <row r="787" spans="1:3" x14ac:dyDescent="0.25">
      <c r="A787" s="428">
        <v>41516</v>
      </c>
      <c r="B787" s="429">
        <v>0.14659722222222224</v>
      </c>
      <c r="C787" s="432" t="s">
        <v>1374</v>
      </c>
    </row>
    <row r="788" spans="1:3" x14ac:dyDescent="0.25">
      <c r="A788" s="428">
        <v>41516</v>
      </c>
      <c r="B788" s="429">
        <v>0.14659722222222224</v>
      </c>
      <c r="C788" s="432" t="s">
        <v>1375</v>
      </c>
    </row>
    <row r="789" spans="1:3" x14ac:dyDescent="0.25">
      <c r="A789" s="428">
        <v>41516</v>
      </c>
      <c r="B789" s="429">
        <v>0.14659722222222224</v>
      </c>
      <c r="C789" s="432" t="s">
        <v>1374</v>
      </c>
    </row>
    <row r="790" spans="1:3" x14ac:dyDescent="0.25">
      <c r="A790" s="428">
        <v>41516</v>
      </c>
      <c r="B790" s="429">
        <v>0.14659722222222224</v>
      </c>
      <c r="C790" s="432" t="s">
        <v>1376</v>
      </c>
    </row>
    <row r="791" spans="1:3" x14ac:dyDescent="0.25">
      <c r="A791" s="428">
        <v>41516</v>
      </c>
      <c r="B791" s="429">
        <v>0.14659722222222224</v>
      </c>
      <c r="C791" s="432" t="s">
        <v>1377</v>
      </c>
    </row>
    <row r="792" spans="1:3" x14ac:dyDescent="0.25">
      <c r="A792" s="428">
        <v>41516</v>
      </c>
      <c r="B792" s="429">
        <v>0.14659722222222224</v>
      </c>
      <c r="C792" s="432" t="s">
        <v>1378</v>
      </c>
    </row>
    <row r="793" spans="1:3" x14ac:dyDescent="0.25">
      <c r="A793" s="428">
        <v>41516</v>
      </c>
      <c r="B793" s="429">
        <v>0.14659722222222224</v>
      </c>
      <c r="C793" s="432" t="s">
        <v>1379</v>
      </c>
    </row>
    <row r="794" spans="1:3" x14ac:dyDescent="0.25">
      <c r="A794" s="428">
        <v>41516</v>
      </c>
      <c r="B794" s="429">
        <v>0.14659722222222224</v>
      </c>
      <c r="C794" s="432" t="s">
        <v>1380</v>
      </c>
    </row>
    <row r="795" spans="1:3" x14ac:dyDescent="0.25">
      <c r="A795" s="428">
        <v>41516</v>
      </c>
      <c r="B795" s="429">
        <v>0.14659722222222224</v>
      </c>
      <c r="C795" s="432" t="s">
        <v>1381</v>
      </c>
    </row>
    <row r="796" spans="1:3" x14ac:dyDescent="0.25">
      <c r="A796" s="428">
        <v>41516</v>
      </c>
      <c r="B796" s="429">
        <v>0.14660879629629631</v>
      </c>
      <c r="C796" s="432" t="s">
        <v>1382</v>
      </c>
    </row>
    <row r="797" spans="1:3" x14ac:dyDescent="0.25">
      <c r="A797" s="428">
        <v>41516</v>
      </c>
      <c r="B797" s="429">
        <v>0.14660879629629631</v>
      </c>
      <c r="C797" s="432" t="s">
        <v>1359</v>
      </c>
    </row>
    <row r="798" spans="1:3" x14ac:dyDescent="0.25">
      <c r="A798" s="428">
        <v>41516</v>
      </c>
      <c r="B798" s="429">
        <v>0.14660879629629631</v>
      </c>
      <c r="C798" s="432" t="s">
        <v>1383</v>
      </c>
    </row>
    <row r="799" spans="1:3" x14ac:dyDescent="0.25">
      <c r="A799" s="428">
        <v>41516</v>
      </c>
      <c r="B799" s="429">
        <v>0.14660879629629631</v>
      </c>
      <c r="C799" s="432" t="s">
        <v>1384</v>
      </c>
    </row>
    <row r="800" spans="1:3" x14ac:dyDescent="0.25">
      <c r="A800" s="428">
        <v>41516</v>
      </c>
      <c r="B800" s="429">
        <v>0.14660879629629631</v>
      </c>
      <c r="C800" s="432" t="s">
        <v>1385</v>
      </c>
    </row>
    <row r="801" spans="1:3" x14ac:dyDescent="0.25">
      <c r="A801" s="428">
        <v>41516</v>
      </c>
      <c r="B801" s="429">
        <v>0.14662037037037037</v>
      </c>
      <c r="C801" s="432" t="s">
        <v>1386</v>
      </c>
    </row>
    <row r="802" spans="1:3" x14ac:dyDescent="0.25">
      <c r="A802" s="428">
        <v>41516</v>
      </c>
      <c r="B802" s="429">
        <v>0.14662037037037037</v>
      </c>
      <c r="C802" s="432" t="s">
        <v>1387</v>
      </c>
    </row>
    <row r="803" spans="1:3" x14ac:dyDescent="0.25">
      <c r="A803" s="428">
        <v>41516</v>
      </c>
      <c r="B803" s="429">
        <v>0.14663194444444444</v>
      </c>
      <c r="C803" s="432" t="s">
        <v>1388</v>
      </c>
    </row>
    <row r="804" spans="1:3" x14ac:dyDescent="0.25">
      <c r="A804" s="428">
        <v>41516</v>
      </c>
      <c r="B804" s="429">
        <v>0.14664351851851851</v>
      </c>
      <c r="C804" s="432" t="s">
        <v>1362</v>
      </c>
    </row>
    <row r="805" spans="1:3" x14ac:dyDescent="0.25">
      <c r="A805" s="428">
        <v>41516</v>
      </c>
      <c r="B805" s="429">
        <v>0.14664351851851851</v>
      </c>
      <c r="C805" s="432" t="s">
        <v>1389</v>
      </c>
    </row>
    <row r="806" spans="1:3" x14ac:dyDescent="0.25">
      <c r="A806" s="428">
        <v>41516</v>
      </c>
      <c r="B806" s="429">
        <v>0.1466550925925926</v>
      </c>
      <c r="C806" s="432" t="s">
        <v>1390</v>
      </c>
    </row>
    <row r="807" spans="1:3" x14ac:dyDescent="0.25">
      <c r="A807" s="428">
        <v>41516</v>
      </c>
      <c r="B807" s="429">
        <v>0.1466550925925926</v>
      </c>
      <c r="C807" s="432" t="s">
        <v>1391</v>
      </c>
    </row>
    <row r="808" spans="1:3" x14ac:dyDescent="0.25">
      <c r="A808" s="428">
        <v>41516</v>
      </c>
      <c r="B808" s="429">
        <v>0.14667824074074073</v>
      </c>
      <c r="C808" s="432" t="s">
        <v>1392</v>
      </c>
    </row>
    <row r="809" spans="1:3" x14ac:dyDescent="0.25">
      <c r="A809" s="428">
        <v>41516</v>
      </c>
      <c r="B809" s="429">
        <v>0.14668981481481483</v>
      </c>
      <c r="C809" s="432" t="s">
        <v>1349</v>
      </c>
    </row>
    <row r="810" spans="1:3" x14ac:dyDescent="0.25">
      <c r="A810" s="428">
        <v>41516</v>
      </c>
      <c r="B810" s="429">
        <v>0.1467013888888889</v>
      </c>
      <c r="C810" s="432" t="s">
        <v>1393</v>
      </c>
    </row>
    <row r="811" spans="1:3" x14ac:dyDescent="0.25">
      <c r="A811" s="428">
        <v>41516</v>
      </c>
      <c r="B811" s="429">
        <v>0.14671296296296296</v>
      </c>
      <c r="C811" s="432" t="s">
        <v>1394</v>
      </c>
    </row>
    <row r="812" spans="1:3" x14ac:dyDescent="0.25">
      <c r="A812" s="428">
        <v>41516</v>
      </c>
      <c r="B812" s="429">
        <v>0.14672453703703703</v>
      </c>
      <c r="C812" s="432" t="s">
        <v>1384</v>
      </c>
    </row>
    <row r="813" spans="1:3" x14ac:dyDescent="0.25">
      <c r="A813" s="428">
        <v>41516</v>
      </c>
      <c r="B813" s="429">
        <v>0.14672453703703703</v>
      </c>
      <c r="C813" s="432" t="s">
        <v>1395</v>
      </c>
    </row>
    <row r="814" spans="1:3" x14ac:dyDescent="0.25">
      <c r="A814" s="428">
        <v>41516</v>
      </c>
      <c r="B814" s="429">
        <v>0.14672453703703703</v>
      </c>
      <c r="C814" s="432" t="s">
        <v>1395</v>
      </c>
    </row>
    <row r="815" spans="1:3" x14ac:dyDescent="0.25">
      <c r="A815" s="428">
        <v>41516</v>
      </c>
      <c r="B815" s="429">
        <v>0.14674768518518519</v>
      </c>
      <c r="C815" s="432" t="s">
        <v>1396</v>
      </c>
    </row>
    <row r="816" spans="1:3" x14ac:dyDescent="0.25">
      <c r="A816" s="428">
        <v>41516</v>
      </c>
      <c r="B816" s="429">
        <v>0.14674768518518519</v>
      </c>
      <c r="C816" s="432" t="s">
        <v>1391</v>
      </c>
    </row>
    <row r="817" spans="1:3" x14ac:dyDescent="0.25">
      <c r="A817" s="428">
        <v>41516</v>
      </c>
      <c r="B817" s="429">
        <v>0.14674768518518519</v>
      </c>
      <c r="C817" s="432" t="s">
        <v>1538</v>
      </c>
    </row>
    <row r="818" spans="1:3" x14ac:dyDescent="0.25">
      <c r="A818" s="428">
        <v>41516</v>
      </c>
      <c r="B818" s="429">
        <v>0.14675925925925926</v>
      </c>
      <c r="C818" s="432" t="s">
        <v>1397</v>
      </c>
    </row>
    <row r="819" spans="1:3" x14ac:dyDescent="0.25">
      <c r="A819" s="428">
        <v>41516</v>
      </c>
      <c r="B819" s="429">
        <v>0.14677083333333332</v>
      </c>
      <c r="C819" s="432" t="s">
        <v>1398</v>
      </c>
    </row>
    <row r="820" spans="1:3" x14ac:dyDescent="0.25">
      <c r="A820" s="428">
        <v>41516</v>
      </c>
      <c r="B820" s="429">
        <v>0.14678240740740742</v>
      </c>
      <c r="C820" s="432" t="s">
        <v>1368</v>
      </c>
    </row>
    <row r="821" spans="1:3" x14ac:dyDescent="0.25">
      <c r="A821" s="428">
        <v>41516</v>
      </c>
      <c r="B821" s="429">
        <v>0.14679398148148148</v>
      </c>
      <c r="C821" s="432" t="s">
        <v>1399</v>
      </c>
    </row>
    <row r="822" spans="1:3" x14ac:dyDescent="0.25">
      <c r="A822" s="428">
        <v>41516</v>
      </c>
      <c r="B822" s="429">
        <v>0.14679398148148148</v>
      </c>
      <c r="C822" s="432" t="s">
        <v>1400</v>
      </c>
    </row>
    <row r="823" spans="1:3" x14ac:dyDescent="0.25">
      <c r="A823" s="428">
        <v>41516</v>
      </c>
      <c r="B823" s="429">
        <v>0.14680555555555555</v>
      </c>
      <c r="C823" s="432" t="s">
        <v>1401</v>
      </c>
    </row>
    <row r="824" spans="1:3" x14ac:dyDescent="0.25">
      <c r="A824" s="428">
        <v>41516</v>
      </c>
      <c r="B824" s="429">
        <v>0.14680555555555555</v>
      </c>
      <c r="C824" s="432" t="s">
        <v>1402</v>
      </c>
    </row>
    <row r="825" spans="1:3" x14ac:dyDescent="0.25">
      <c r="A825" s="428">
        <v>41516</v>
      </c>
      <c r="B825" s="429">
        <v>0.14680555555555555</v>
      </c>
      <c r="C825" s="432" t="s">
        <v>1351</v>
      </c>
    </row>
    <row r="826" spans="1:3" x14ac:dyDescent="0.25">
      <c r="A826" s="428">
        <v>41516</v>
      </c>
      <c r="B826" s="429">
        <v>0.14680555555555555</v>
      </c>
      <c r="C826" s="432" t="s">
        <v>1351</v>
      </c>
    </row>
    <row r="827" spans="1:3" x14ac:dyDescent="0.25">
      <c r="A827" s="428">
        <v>41516</v>
      </c>
      <c r="B827" s="429">
        <v>0.14680555555555555</v>
      </c>
      <c r="C827" s="432" t="s">
        <v>1403</v>
      </c>
    </row>
    <row r="828" spans="1:3" x14ac:dyDescent="0.25">
      <c r="A828" s="428">
        <v>41516</v>
      </c>
      <c r="B828" s="429">
        <v>0.14680555555555555</v>
      </c>
      <c r="C828" s="432" t="s">
        <v>1351</v>
      </c>
    </row>
    <row r="829" spans="1:3" x14ac:dyDescent="0.25">
      <c r="A829" s="428">
        <v>41516</v>
      </c>
      <c r="B829" s="429">
        <v>0.14681712962962964</v>
      </c>
      <c r="C829" s="432" t="s">
        <v>1404</v>
      </c>
    </row>
    <row r="830" spans="1:3" x14ac:dyDescent="0.25">
      <c r="A830" s="428">
        <v>41516</v>
      </c>
      <c r="B830" s="429">
        <v>0.14681712962962964</v>
      </c>
      <c r="C830" s="432" t="s">
        <v>1405</v>
      </c>
    </row>
    <row r="831" spans="1:3" x14ac:dyDescent="0.25">
      <c r="A831" s="428">
        <v>41516</v>
      </c>
      <c r="B831" s="429">
        <v>0.14681712962962964</v>
      </c>
      <c r="C831" s="432" t="s">
        <v>1361</v>
      </c>
    </row>
    <row r="832" spans="1:3" x14ac:dyDescent="0.25">
      <c r="A832" s="428">
        <v>41516</v>
      </c>
      <c r="B832" s="429">
        <v>0.14682870370370371</v>
      </c>
      <c r="C832" s="432" t="s">
        <v>1406</v>
      </c>
    </row>
    <row r="833" spans="1:3" x14ac:dyDescent="0.25">
      <c r="A833" s="428">
        <v>41516</v>
      </c>
      <c r="B833" s="429">
        <v>0.14682870370370371</v>
      </c>
      <c r="C833" s="432" t="s">
        <v>1407</v>
      </c>
    </row>
    <row r="834" spans="1:3" x14ac:dyDescent="0.25">
      <c r="A834" s="428">
        <v>41516</v>
      </c>
      <c r="B834" s="429">
        <v>0.14682870370370371</v>
      </c>
      <c r="C834" s="432" t="s">
        <v>1362</v>
      </c>
    </row>
    <row r="835" spans="1:3" x14ac:dyDescent="0.25">
      <c r="A835" s="428">
        <v>41516</v>
      </c>
      <c r="B835" s="429">
        <v>0.14684027777777778</v>
      </c>
      <c r="C835" s="432" t="s">
        <v>1408</v>
      </c>
    </row>
    <row r="836" spans="1:3" x14ac:dyDescent="0.25">
      <c r="A836" s="428">
        <v>41516</v>
      </c>
      <c r="B836" s="429">
        <v>0.14685185185185184</v>
      </c>
      <c r="C836" s="432" t="s">
        <v>1409</v>
      </c>
    </row>
    <row r="837" spans="1:3" x14ac:dyDescent="0.25">
      <c r="A837" s="428">
        <v>41516</v>
      </c>
      <c r="B837" s="429">
        <v>0.14685185185185184</v>
      </c>
      <c r="C837" s="432" t="s">
        <v>1410</v>
      </c>
    </row>
    <row r="838" spans="1:3" x14ac:dyDescent="0.25">
      <c r="A838" s="428">
        <v>41516</v>
      </c>
      <c r="B838" s="429">
        <v>0.14687500000000001</v>
      </c>
      <c r="C838" s="432" t="s">
        <v>1411</v>
      </c>
    </row>
    <row r="839" spans="1:3" x14ac:dyDescent="0.25">
      <c r="A839" s="428">
        <v>41516</v>
      </c>
      <c r="B839" s="429">
        <v>0.14687500000000001</v>
      </c>
      <c r="C839" s="432" t="s">
        <v>1411</v>
      </c>
    </row>
    <row r="840" spans="1:3" x14ac:dyDescent="0.25">
      <c r="A840" s="428">
        <v>41516</v>
      </c>
      <c r="B840" s="429">
        <v>0.14688657407407407</v>
      </c>
      <c r="C840" s="432" t="s">
        <v>1412</v>
      </c>
    </row>
    <row r="841" spans="1:3" x14ac:dyDescent="0.25">
      <c r="A841" s="428">
        <v>41516</v>
      </c>
      <c r="B841" s="429">
        <v>0.14688657407407407</v>
      </c>
      <c r="C841" s="432" t="s">
        <v>1358</v>
      </c>
    </row>
    <row r="842" spans="1:3" x14ac:dyDescent="0.25">
      <c r="A842" s="428">
        <v>41516</v>
      </c>
      <c r="B842" s="429">
        <v>0.14688657407407407</v>
      </c>
      <c r="C842" s="432" t="s">
        <v>1413</v>
      </c>
    </row>
    <row r="843" spans="1:3" x14ac:dyDescent="0.25">
      <c r="A843" s="428">
        <v>41516</v>
      </c>
      <c r="B843" s="429">
        <v>0.14688657407407407</v>
      </c>
      <c r="C843" s="432" t="s">
        <v>1414</v>
      </c>
    </row>
    <row r="844" spans="1:3" x14ac:dyDescent="0.25">
      <c r="A844" s="428">
        <v>41516</v>
      </c>
      <c r="B844" s="429">
        <v>0.14688657407407407</v>
      </c>
      <c r="C844" s="432" t="s">
        <v>1414</v>
      </c>
    </row>
    <row r="845" spans="1:3" x14ac:dyDescent="0.25">
      <c r="A845" s="428">
        <v>41516</v>
      </c>
      <c r="B845" s="429">
        <v>0.14689814814814814</v>
      </c>
      <c r="C845" s="432" t="s">
        <v>1415</v>
      </c>
    </row>
    <row r="846" spans="1:3" x14ac:dyDescent="0.25">
      <c r="A846" s="428">
        <v>41516</v>
      </c>
      <c r="B846" s="429">
        <v>0.14689814814814814</v>
      </c>
      <c r="C846" s="432" t="s">
        <v>1416</v>
      </c>
    </row>
    <row r="847" spans="1:3" x14ac:dyDescent="0.25">
      <c r="A847" s="428">
        <v>41516</v>
      </c>
      <c r="B847" s="429">
        <v>0.14689814814814814</v>
      </c>
      <c r="C847" s="432" t="s">
        <v>1417</v>
      </c>
    </row>
    <row r="848" spans="1:3" x14ac:dyDescent="0.25">
      <c r="A848" s="428">
        <v>41516</v>
      </c>
      <c r="B848" s="429">
        <v>0.14689814814814814</v>
      </c>
      <c r="C848" s="432" t="s">
        <v>1418</v>
      </c>
    </row>
    <row r="849" spans="1:3" x14ac:dyDescent="0.25">
      <c r="A849" s="428">
        <v>41516</v>
      </c>
      <c r="B849" s="429">
        <v>0.14693287037037037</v>
      </c>
      <c r="C849" s="432" t="s">
        <v>1419</v>
      </c>
    </row>
    <row r="850" spans="1:3" x14ac:dyDescent="0.25">
      <c r="A850" s="428">
        <v>41516</v>
      </c>
      <c r="B850" s="429">
        <v>0.14693287037037037</v>
      </c>
      <c r="C850" s="432" t="s">
        <v>1420</v>
      </c>
    </row>
    <row r="851" spans="1:3" x14ac:dyDescent="0.25">
      <c r="A851" s="428">
        <v>41516</v>
      </c>
      <c r="B851" s="429">
        <v>0.14693287037037037</v>
      </c>
      <c r="C851" s="432" t="s">
        <v>1420</v>
      </c>
    </row>
    <row r="852" spans="1:3" x14ac:dyDescent="0.25">
      <c r="A852" s="428">
        <v>41516</v>
      </c>
      <c r="B852" s="429">
        <v>0.14694444444444446</v>
      </c>
      <c r="C852" s="432" t="s">
        <v>1361</v>
      </c>
    </row>
    <row r="853" spans="1:3" x14ac:dyDescent="0.25">
      <c r="A853" s="428">
        <v>41516</v>
      </c>
      <c r="B853" s="429">
        <v>0.14694444444444446</v>
      </c>
      <c r="C853" s="432" t="s">
        <v>1418</v>
      </c>
    </row>
    <row r="854" spans="1:3" x14ac:dyDescent="0.25">
      <c r="A854" s="428">
        <v>41516</v>
      </c>
      <c r="B854" s="429">
        <v>0.14694444444444446</v>
      </c>
      <c r="C854" s="432" t="s">
        <v>1349</v>
      </c>
    </row>
    <row r="855" spans="1:3" x14ac:dyDescent="0.25">
      <c r="A855" s="428">
        <v>41516</v>
      </c>
      <c r="B855" s="429">
        <v>0.14694444444444446</v>
      </c>
      <c r="C855" s="432" t="s">
        <v>1421</v>
      </c>
    </row>
    <row r="856" spans="1:3" x14ac:dyDescent="0.25">
      <c r="A856" s="428">
        <v>41516</v>
      </c>
      <c r="B856" s="429">
        <v>0.14694444444444446</v>
      </c>
      <c r="C856" s="432" t="s">
        <v>1422</v>
      </c>
    </row>
    <row r="857" spans="1:3" x14ac:dyDescent="0.25">
      <c r="A857" s="428">
        <v>41516</v>
      </c>
      <c r="B857" s="429">
        <v>0.1469560185185185</v>
      </c>
      <c r="C857" s="432" t="s">
        <v>1423</v>
      </c>
    </row>
    <row r="858" spans="1:3" x14ac:dyDescent="0.25">
      <c r="A858" s="428">
        <v>41516</v>
      </c>
      <c r="B858" s="429">
        <v>0.1469560185185185</v>
      </c>
      <c r="C858" s="432" t="s">
        <v>1424</v>
      </c>
    </row>
    <row r="859" spans="1:3" x14ac:dyDescent="0.25">
      <c r="A859" s="428">
        <v>41516</v>
      </c>
      <c r="B859" s="429">
        <v>0.1469560185185185</v>
      </c>
      <c r="C859" s="432" t="s">
        <v>1414</v>
      </c>
    </row>
    <row r="860" spans="1:3" x14ac:dyDescent="0.25">
      <c r="A860" s="428">
        <v>41516</v>
      </c>
      <c r="B860" s="429">
        <v>0.1469560185185185</v>
      </c>
      <c r="C860" s="432" t="s">
        <v>1425</v>
      </c>
    </row>
    <row r="861" spans="1:3" x14ac:dyDescent="0.25">
      <c r="A861" s="428">
        <v>41516</v>
      </c>
      <c r="B861" s="429">
        <v>0.1469560185185185</v>
      </c>
      <c r="C861" s="432" t="s">
        <v>1401</v>
      </c>
    </row>
    <row r="862" spans="1:3" x14ac:dyDescent="0.25">
      <c r="A862" s="428">
        <v>41516</v>
      </c>
      <c r="B862" s="429">
        <v>0.1469560185185185</v>
      </c>
      <c r="C862" s="432" t="s">
        <v>1426</v>
      </c>
    </row>
    <row r="863" spans="1:3" x14ac:dyDescent="0.25">
      <c r="A863" s="428">
        <v>41516</v>
      </c>
      <c r="B863" s="429">
        <v>0.14696759259259259</v>
      </c>
      <c r="C863" s="432" t="s">
        <v>1427</v>
      </c>
    </row>
    <row r="864" spans="1:3" x14ac:dyDescent="0.25">
      <c r="A864" s="428">
        <v>41516</v>
      </c>
      <c r="B864" s="429">
        <v>0.14699074074074073</v>
      </c>
      <c r="C864" s="432" t="s">
        <v>1428</v>
      </c>
    </row>
    <row r="865" spans="1:3" x14ac:dyDescent="0.25">
      <c r="A865" s="428">
        <v>41516</v>
      </c>
      <c r="B865" s="429">
        <v>0.14699074074074073</v>
      </c>
      <c r="C865" s="432" t="s">
        <v>1429</v>
      </c>
    </row>
    <row r="866" spans="1:3" x14ac:dyDescent="0.25">
      <c r="A866" s="428">
        <v>41516</v>
      </c>
      <c r="B866" s="429">
        <v>0.14700231481481482</v>
      </c>
      <c r="C866" s="432" t="s">
        <v>1430</v>
      </c>
    </row>
    <row r="867" spans="1:3" x14ac:dyDescent="0.25">
      <c r="A867" s="428">
        <v>41516</v>
      </c>
      <c r="B867" s="429">
        <v>0.14700231481481482</v>
      </c>
      <c r="C867" s="432" t="s">
        <v>1431</v>
      </c>
    </row>
    <row r="868" spans="1:3" x14ac:dyDescent="0.25">
      <c r="A868" s="428">
        <v>41516</v>
      </c>
      <c r="B868" s="429">
        <v>0.14701388888888889</v>
      </c>
      <c r="C868" s="432" t="s">
        <v>1421</v>
      </c>
    </row>
    <row r="869" spans="1:3" x14ac:dyDescent="0.25">
      <c r="A869" s="428">
        <v>41516</v>
      </c>
      <c r="B869" s="429">
        <v>0.14702546296296296</v>
      </c>
      <c r="C869" s="432" t="s">
        <v>1432</v>
      </c>
    </row>
    <row r="870" spans="1:3" x14ac:dyDescent="0.25">
      <c r="A870" s="428">
        <v>41516</v>
      </c>
      <c r="B870" s="429">
        <v>0.14702546296296296</v>
      </c>
      <c r="C870" s="432" t="s">
        <v>1433</v>
      </c>
    </row>
    <row r="871" spans="1:3" x14ac:dyDescent="0.25">
      <c r="A871" s="428">
        <v>41516</v>
      </c>
      <c r="B871" s="429">
        <v>0.14702546296296296</v>
      </c>
      <c r="C871" s="432" t="s">
        <v>1355</v>
      </c>
    </row>
    <row r="872" spans="1:3" x14ac:dyDescent="0.25">
      <c r="A872" s="428">
        <v>41516</v>
      </c>
      <c r="B872" s="429">
        <v>0.14702546296296296</v>
      </c>
      <c r="C872" s="432" t="s">
        <v>1434</v>
      </c>
    </row>
    <row r="873" spans="1:3" x14ac:dyDescent="0.25">
      <c r="A873" s="428">
        <v>41516</v>
      </c>
      <c r="B873" s="429">
        <v>0.14702546296296296</v>
      </c>
      <c r="C873" s="432" t="s">
        <v>1539</v>
      </c>
    </row>
    <row r="874" spans="1:3" x14ac:dyDescent="0.25">
      <c r="A874" s="428">
        <v>41516</v>
      </c>
      <c r="B874" s="429">
        <v>0.14702546296296296</v>
      </c>
      <c r="C874" s="432" t="s">
        <v>1435</v>
      </c>
    </row>
    <row r="875" spans="1:3" x14ac:dyDescent="0.25">
      <c r="A875" s="428">
        <v>41516</v>
      </c>
      <c r="B875" s="429">
        <v>0.14702546296296296</v>
      </c>
      <c r="C875" s="432" t="s">
        <v>1436</v>
      </c>
    </row>
    <row r="876" spans="1:3" x14ac:dyDescent="0.25">
      <c r="A876" s="428">
        <v>41516</v>
      </c>
      <c r="B876" s="429">
        <v>0.14703703703703705</v>
      </c>
      <c r="C876" s="432" t="s">
        <v>1437</v>
      </c>
    </row>
    <row r="877" spans="1:3" x14ac:dyDescent="0.25">
      <c r="A877" s="428">
        <v>41516</v>
      </c>
      <c r="B877" s="429">
        <v>0.14703703703703705</v>
      </c>
      <c r="C877" s="432" t="s">
        <v>1438</v>
      </c>
    </row>
    <row r="878" spans="1:3" x14ac:dyDescent="0.25">
      <c r="A878" s="428">
        <v>41516</v>
      </c>
      <c r="B878" s="429">
        <v>0.14703703703703705</v>
      </c>
      <c r="C878" s="432" t="s">
        <v>1439</v>
      </c>
    </row>
    <row r="879" spans="1:3" x14ac:dyDescent="0.25">
      <c r="A879" s="428">
        <v>41516</v>
      </c>
      <c r="B879" s="429">
        <v>0.14703703703703705</v>
      </c>
      <c r="C879" s="432" t="s">
        <v>1440</v>
      </c>
    </row>
    <row r="880" spans="1:3" x14ac:dyDescent="0.25">
      <c r="A880" s="428">
        <v>41516</v>
      </c>
      <c r="B880" s="429">
        <v>0.14703703703703705</v>
      </c>
      <c r="C880" s="432" t="s">
        <v>1422</v>
      </c>
    </row>
    <row r="881" spans="1:3" x14ac:dyDescent="0.25">
      <c r="A881" s="428">
        <v>41516</v>
      </c>
      <c r="B881" s="429">
        <v>0.14704861111111112</v>
      </c>
      <c r="C881" s="432" t="s">
        <v>1441</v>
      </c>
    </row>
    <row r="882" spans="1:3" x14ac:dyDescent="0.25">
      <c r="A882" s="428">
        <v>41516</v>
      </c>
      <c r="B882" s="429">
        <v>0.14706018518518518</v>
      </c>
      <c r="C882" s="432" t="s">
        <v>1442</v>
      </c>
    </row>
    <row r="883" spans="1:3" x14ac:dyDescent="0.25">
      <c r="A883" s="428">
        <v>41516</v>
      </c>
      <c r="B883" s="429">
        <v>0.14706018518518518</v>
      </c>
      <c r="C883" s="432" t="s">
        <v>1434</v>
      </c>
    </row>
    <row r="884" spans="1:3" x14ac:dyDescent="0.25">
      <c r="A884" s="428">
        <v>41516</v>
      </c>
      <c r="B884" s="429">
        <v>0.14706018518518518</v>
      </c>
      <c r="C884" s="432" t="s">
        <v>1443</v>
      </c>
    </row>
    <row r="885" spans="1:3" x14ac:dyDescent="0.25">
      <c r="A885" s="428">
        <v>41516</v>
      </c>
      <c r="B885" s="429">
        <v>0.14706018518518518</v>
      </c>
      <c r="C885" s="432" t="s">
        <v>1444</v>
      </c>
    </row>
    <row r="886" spans="1:3" x14ac:dyDescent="0.25">
      <c r="A886" s="428">
        <v>41516</v>
      </c>
      <c r="B886" s="429">
        <v>0.14706018518518518</v>
      </c>
      <c r="C886" s="432" t="s">
        <v>1445</v>
      </c>
    </row>
    <row r="887" spans="1:3" x14ac:dyDescent="0.25">
      <c r="A887" s="428">
        <v>41516</v>
      </c>
      <c r="B887" s="429">
        <v>0.14706018518518518</v>
      </c>
      <c r="C887" s="432" t="s">
        <v>1445</v>
      </c>
    </row>
    <row r="888" spans="1:3" x14ac:dyDescent="0.25">
      <c r="A888" s="428">
        <v>41516</v>
      </c>
      <c r="B888" s="429">
        <v>0.14706018518518518</v>
      </c>
      <c r="C888" s="432" t="s">
        <v>1371</v>
      </c>
    </row>
    <row r="889" spans="1:3" x14ac:dyDescent="0.25">
      <c r="A889" s="428">
        <v>41516</v>
      </c>
      <c r="B889" s="429">
        <v>0.14706018518518518</v>
      </c>
      <c r="C889" s="432" t="s">
        <v>1446</v>
      </c>
    </row>
    <row r="890" spans="1:3" x14ac:dyDescent="0.25">
      <c r="A890" s="428">
        <v>41516</v>
      </c>
      <c r="B890" s="429">
        <v>0.14706018518518518</v>
      </c>
      <c r="C890" s="432" t="s">
        <v>1447</v>
      </c>
    </row>
    <row r="891" spans="1:3" x14ac:dyDescent="0.25">
      <c r="A891" s="428">
        <v>41516</v>
      </c>
      <c r="B891" s="429">
        <v>0.14706018518518518</v>
      </c>
      <c r="C891" s="432" t="s">
        <v>1448</v>
      </c>
    </row>
    <row r="892" spans="1:3" x14ac:dyDescent="0.25">
      <c r="A892" s="428">
        <v>41516</v>
      </c>
      <c r="B892" s="429">
        <v>0.14706018518518518</v>
      </c>
      <c r="C892" s="432" t="s">
        <v>1416</v>
      </c>
    </row>
    <row r="893" spans="1:3" x14ac:dyDescent="0.25">
      <c r="A893" s="428">
        <v>41516</v>
      </c>
      <c r="B893" s="429">
        <v>0.14706018518518518</v>
      </c>
      <c r="C893" s="432" t="s">
        <v>1431</v>
      </c>
    </row>
    <row r="894" spans="1:3" x14ac:dyDescent="0.25">
      <c r="A894" s="428">
        <v>41516</v>
      </c>
      <c r="B894" s="429">
        <v>0.14706018518518518</v>
      </c>
      <c r="C894" s="432" t="s">
        <v>1449</v>
      </c>
    </row>
    <row r="895" spans="1:3" x14ac:dyDescent="0.25">
      <c r="A895" s="428">
        <v>41516</v>
      </c>
      <c r="B895" s="429">
        <v>0.14706018518518518</v>
      </c>
      <c r="C895" s="432" t="s">
        <v>1450</v>
      </c>
    </row>
    <row r="896" spans="1:3" x14ac:dyDescent="0.25">
      <c r="A896" s="428">
        <v>41516</v>
      </c>
      <c r="B896" s="429">
        <v>0.14706018518518518</v>
      </c>
      <c r="C896" s="432" t="s">
        <v>1415</v>
      </c>
    </row>
    <row r="897" spans="1:3" x14ac:dyDescent="0.25">
      <c r="A897" s="428">
        <v>41516</v>
      </c>
      <c r="B897" s="429">
        <v>0.14706018518518518</v>
      </c>
      <c r="C897" s="432" t="s">
        <v>1451</v>
      </c>
    </row>
    <row r="898" spans="1:3" x14ac:dyDescent="0.25">
      <c r="A898" s="428">
        <v>41516</v>
      </c>
      <c r="B898" s="429">
        <v>0.14706018518518518</v>
      </c>
      <c r="C898" s="432" t="s">
        <v>1452</v>
      </c>
    </row>
    <row r="899" spans="1:3" x14ac:dyDescent="0.25">
      <c r="A899" s="428">
        <v>41516</v>
      </c>
      <c r="B899" s="429">
        <v>0.14706018518518518</v>
      </c>
      <c r="C899" s="432" t="s">
        <v>1444</v>
      </c>
    </row>
    <row r="900" spans="1:3" x14ac:dyDescent="0.25">
      <c r="A900" s="428">
        <v>41516</v>
      </c>
      <c r="B900" s="429">
        <v>0.14706018518518518</v>
      </c>
      <c r="C900" s="432" t="s">
        <v>1453</v>
      </c>
    </row>
    <row r="901" spans="1:3" x14ac:dyDescent="0.25">
      <c r="A901" s="428">
        <v>41516</v>
      </c>
      <c r="B901" s="429">
        <v>0.14706018518518518</v>
      </c>
      <c r="C901" s="432" t="s">
        <v>1454</v>
      </c>
    </row>
    <row r="902" spans="1:3" x14ac:dyDescent="0.25">
      <c r="A902" s="428">
        <v>41516</v>
      </c>
      <c r="B902" s="429">
        <v>0.14706018518518518</v>
      </c>
      <c r="C902" s="432" t="s">
        <v>1423</v>
      </c>
    </row>
    <row r="903" spans="1:3" x14ac:dyDescent="0.25">
      <c r="A903" s="428">
        <v>41516</v>
      </c>
      <c r="B903" s="429">
        <v>0.14707175925925928</v>
      </c>
      <c r="C903" s="432" t="s">
        <v>1434</v>
      </c>
    </row>
    <row r="904" spans="1:3" x14ac:dyDescent="0.25">
      <c r="A904" s="428">
        <v>41516</v>
      </c>
      <c r="B904" s="429">
        <v>0.14707175925925928</v>
      </c>
      <c r="C904" s="432" t="s">
        <v>1455</v>
      </c>
    </row>
    <row r="905" spans="1:3" x14ac:dyDescent="0.25">
      <c r="A905" s="428">
        <v>41516</v>
      </c>
      <c r="B905" s="429">
        <v>0.14707175925925928</v>
      </c>
      <c r="C905" s="432" t="s">
        <v>1349</v>
      </c>
    </row>
    <row r="906" spans="1:3" x14ac:dyDescent="0.25">
      <c r="A906" s="428">
        <v>41516</v>
      </c>
      <c r="B906" s="429">
        <v>0.14707175925925928</v>
      </c>
      <c r="C906" s="432" t="s">
        <v>1361</v>
      </c>
    </row>
    <row r="907" spans="1:3" x14ac:dyDescent="0.25">
      <c r="A907" s="428">
        <v>41516</v>
      </c>
      <c r="B907" s="429">
        <v>0.14707175925925928</v>
      </c>
      <c r="C907" s="432" t="s">
        <v>1456</v>
      </c>
    </row>
    <row r="908" spans="1:3" x14ac:dyDescent="0.25">
      <c r="A908" s="428">
        <v>41516</v>
      </c>
      <c r="B908" s="429">
        <v>0.14707175925925928</v>
      </c>
      <c r="C908" s="432" t="s">
        <v>1457</v>
      </c>
    </row>
    <row r="909" spans="1:3" x14ac:dyDescent="0.25">
      <c r="A909" s="428">
        <v>41516</v>
      </c>
      <c r="B909" s="429">
        <v>0.14708333333333334</v>
      </c>
      <c r="C909" s="432" t="s">
        <v>1458</v>
      </c>
    </row>
    <row r="910" spans="1:3" x14ac:dyDescent="0.25">
      <c r="A910" s="428">
        <v>41516</v>
      </c>
      <c r="B910" s="429">
        <v>0.14708333333333334</v>
      </c>
      <c r="C910" s="432" t="s">
        <v>1459</v>
      </c>
    </row>
    <row r="911" spans="1:3" x14ac:dyDescent="0.25">
      <c r="A911" s="428">
        <v>41516</v>
      </c>
      <c r="B911" s="429">
        <v>0.14708333333333334</v>
      </c>
      <c r="C911" s="432" t="s">
        <v>1459</v>
      </c>
    </row>
    <row r="912" spans="1:3" x14ac:dyDescent="0.25">
      <c r="A912" s="428">
        <v>41516</v>
      </c>
      <c r="B912" s="429">
        <v>0.14708333333333334</v>
      </c>
      <c r="C912" s="432" t="s">
        <v>1451</v>
      </c>
    </row>
    <row r="913" spans="1:3" x14ac:dyDescent="0.25">
      <c r="A913" s="428">
        <v>41516</v>
      </c>
      <c r="B913" s="429">
        <v>0.14708333333333334</v>
      </c>
      <c r="C913" s="432" t="s">
        <v>1460</v>
      </c>
    </row>
    <row r="914" spans="1:3" x14ac:dyDescent="0.25">
      <c r="A914" s="428">
        <v>41516</v>
      </c>
      <c r="B914" s="429">
        <v>0.14708333333333334</v>
      </c>
      <c r="C914" s="432" t="s">
        <v>1461</v>
      </c>
    </row>
    <row r="915" spans="1:3" x14ac:dyDescent="0.25">
      <c r="A915" s="428">
        <v>41516</v>
      </c>
      <c r="B915" s="429">
        <v>0.14709490740740741</v>
      </c>
      <c r="C915" s="432" t="s">
        <v>1524</v>
      </c>
    </row>
    <row r="916" spans="1:3" x14ac:dyDescent="0.25">
      <c r="A916" s="428">
        <v>41516</v>
      </c>
      <c r="B916" s="429">
        <v>0.14709490740740741</v>
      </c>
      <c r="C916" s="432" t="s">
        <v>1401</v>
      </c>
    </row>
    <row r="917" spans="1:3" x14ac:dyDescent="0.25">
      <c r="A917" s="428">
        <v>41516</v>
      </c>
      <c r="B917" s="429">
        <v>0.14709490740740741</v>
      </c>
      <c r="C917" s="432" t="s">
        <v>1462</v>
      </c>
    </row>
    <row r="918" spans="1:3" x14ac:dyDescent="0.25">
      <c r="A918" s="428">
        <v>41516</v>
      </c>
      <c r="B918" s="429">
        <v>0.14709490740740741</v>
      </c>
      <c r="C918" s="432" t="s">
        <v>1376</v>
      </c>
    </row>
    <row r="919" spans="1:3" x14ac:dyDescent="0.25">
      <c r="A919" s="428">
        <v>41516</v>
      </c>
      <c r="B919" s="429">
        <v>0.14709490740740741</v>
      </c>
      <c r="C919" s="432" t="s">
        <v>1393</v>
      </c>
    </row>
    <row r="920" spans="1:3" x14ac:dyDescent="0.25">
      <c r="A920" s="428">
        <v>41516</v>
      </c>
      <c r="B920" s="429">
        <v>0.14710648148148148</v>
      </c>
      <c r="C920" s="432" t="s">
        <v>1463</v>
      </c>
    </row>
    <row r="921" spans="1:3" x14ac:dyDescent="0.25">
      <c r="A921" s="428">
        <v>41516</v>
      </c>
      <c r="B921" s="429">
        <v>0.14710648148148148</v>
      </c>
      <c r="C921" s="432" t="s">
        <v>1464</v>
      </c>
    </row>
    <row r="922" spans="1:3" x14ac:dyDescent="0.25">
      <c r="A922" s="428">
        <v>41516</v>
      </c>
      <c r="B922" s="429">
        <v>0.14711805555555554</v>
      </c>
      <c r="C922" s="432" t="s">
        <v>1465</v>
      </c>
    </row>
    <row r="923" spans="1:3" x14ac:dyDescent="0.25">
      <c r="A923" s="428">
        <v>41516</v>
      </c>
      <c r="B923" s="429">
        <v>0.14711805555555554</v>
      </c>
      <c r="C923" s="432" t="s">
        <v>1466</v>
      </c>
    </row>
    <row r="924" spans="1:3" x14ac:dyDescent="0.25">
      <c r="A924" s="428">
        <v>41516</v>
      </c>
      <c r="B924" s="429">
        <v>0.14711805555555554</v>
      </c>
      <c r="C924" s="432" t="s">
        <v>1467</v>
      </c>
    </row>
    <row r="925" spans="1:3" x14ac:dyDescent="0.25">
      <c r="A925" s="428">
        <v>41516</v>
      </c>
      <c r="B925" s="429">
        <v>0.14711805555555554</v>
      </c>
      <c r="C925" s="432" t="s">
        <v>1468</v>
      </c>
    </row>
    <row r="926" spans="1:3" x14ac:dyDescent="0.25">
      <c r="A926" s="428">
        <v>41516</v>
      </c>
      <c r="B926" s="429">
        <v>0.14711805555555554</v>
      </c>
      <c r="C926" s="432" t="s">
        <v>1469</v>
      </c>
    </row>
    <row r="927" spans="1:3" x14ac:dyDescent="0.25">
      <c r="A927" s="428">
        <v>41516</v>
      </c>
      <c r="B927" s="429">
        <v>0.14712962962962964</v>
      </c>
      <c r="C927" s="432" t="s">
        <v>1470</v>
      </c>
    </row>
    <row r="928" spans="1:3" x14ac:dyDescent="0.25">
      <c r="A928" s="428">
        <v>41516</v>
      </c>
      <c r="B928" s="429">
        <v>0.14712962962962964</v>
      </c>
      <c r="C928" s="432" t="s">
        <v>1414</v>
      </c>
    </row>
    <row r="929" spans="1:3" x14ac:dyDescent="0.25">
      <c r="A929" s="428">
        <v>41516</v>
      </c>
      <c r="B929" s="429">
        <v>0.14712962962962964</v>
      </c>
      <c r="C929" s="432" t="s">
        <v>1351</v>
      </c>
    </row>
    <row r="930" spans="1:3" x14ac:dyDescent="0.25">
      <c r="A930" s="428">
        <v>41516</v>
      </c>
      <c r="B930" s="429">
        <v>0.14712962962962964</v>
      </c>
      <c r="C930" s="432" t="s">
        <v>1351</v>
      </c>
    </row>
    <row r="931" spans="1:3" x14ac:dyDescent="0.25">
      <c r="A931" s="428">
        <v>41516</v>
      </c>
      <c r="B931" s="429">
        <v>0.14712962962962964</v>
      </c>
      <c r="C931" s="432" t="s">
        <v>1351</v>
      </c>
    </row>
    <row r="932" spans="1:3" x14ac:dyDescent="0.25">
      <c r="A932" s="428">
        <v>41516</v>
      </c>
      <c r="B932" s="429">
        <v>0.14712962962962964</v>
      </c>
      <c r="C932" s="432" t="s">
        <v>1351</v>
      </c>
    </row>
    <row r="933" spans="1:3" x14ac:dyDescent="0.25">
      <c r="A933" s="428">
        <v>41516</v>
      </c>
      <c r="B933" s="429">
        <v>0.14712962962962964</v>
      </c>
      <c r="C933" s="432" t="s">
        <v>1351</v>
      </c>
    </row>
    <row r="934" spans="1:3" x14ac:dyDescent="0.25">
      <c r="A934" s="428">
        <v>41516</v>
      </c>
      <c r="B934" s="429">
        <v>0.14712962962962964</v>
      </c>
      <c r="C934" s="432" t="s">
        <v>1351</v>
      </c>
    </row>
    <row r="935" spans="1:3" x14ac:dyDescent="0.25">
      <c r="A935" s="428">
        <v>41516</v>
      </c>
      <c r="B935" s="429">
        <v>0.14712962962962964</v>
      </c>
      <c r="C935" s="432" t="s">
        <v>1471</v>
      </c>
    </row>
    <row r="936" spans="1:3" x14ac:dyDescent="0.25">
      <c r="A936" s="428">
        <v>41516</v>
      </c>
      <c r="B936" s="429">
        <v>0.14712962962962964</v>
      </c>
      <c r="C936" s="432" t="s">
        <v>1472</v>
      </c>
    </row>
    <row r="937" spans="1:3" x14ac:dyDescent="0.25">
      <c r="A937" s="428">
        <v>41516</v>
      </c>
      <c r="B937" s="429">
        <v>0.14712962962962964</v>
      </c>
      <c r="C937" s="432" t="s">
        <v>1473</v>
      </c>
    </row>
    <row r="938" spans="1:3" x14ac:dyDescent="0.25">
      <c r="A938" s="428">
        <v>41516</v>
      </c>
      <c r="B938" s="429">
        <v>0.1471412037037037</v>
      </c>
      <c r="C938" s="432" t="s">
        <v>1474</v>
      </c>
    </row>
    <row r="939" spans="1:3" x14ac:dyDescent="0.25">
      <c r="A939" s="428">
        <v>41516</v>
      </c>
      <c r="B939" s="429">
        <v>0.1471412037037037</v>
      </c>
      <c r="C939" s="432" t="s">
        <v>1475</v>
      </c>
    </row>
    <row r="940" spans="1:3" x14ac:dyDescent="0.25">
      <c r="A940" s="428">
        <v>41516</v>
      </c>
      <c r="B940" s="429">
        <v>0.1471412037037037</v>
      </c>
      <c r="C940" s="432" t="s">
        <v>1351</v>
      </c>
    </row>
    <row r="941" spans="1:3" x14ac:dyDescent="0.25">
      <c r="A941" s="428">
        <v>41516</v>
      </c>
      <c r="B941" s="429">
        <v>0.1471412037037037</v>
      </c>
      <c r="C941" s="432" t="s">
        <v>1476</v>
      </c>
    </row>
    <row r="942" spans="1:3" x14ac:dyDescent="0.25">
      <c r="A942" s="428">
        <v>41516</v>
      </c>
      <c r="B942" s="429">
        <v>0.14715277777777777</v>
      </c>
      <c r="C942" s="432" t="s">
        <v>1477</v>
      </c>
    </row>
    <row r="943" spans="1:3" x14ac:dyDescent="0.25">
      <c r="A943" s="428">
        <v>41516</v>
      </c>
      <c r="B943" s="429">
        <v>0.14715277777777777</v>
      </c>
      <c r="C943" s="432" t="s">
        <v>1478</v>
      </c>
    </row>
    <row r="944" spans="1:3" x14ac:dyDescent="0.25">
      <c r="A944" s="428">
        <v>41516</v>
      </c>
      <c r="B944" s="429">
        <v>0.14715277777777777</v>
      </c>
      <c r="C944" s="432" t="s">
        <v>1442</v>
      </c>
    </row>
    <row r="945" spans="1:3" x14ac:dyDescent="0.25">
      <c r="A945" s="428">
        <v>41516</v>
      </c>
      <c r="B945" s="429">
        <v>0.14715277777777777</v>
      </c>
      <c r="C945" s="432" t="s">
        <v>1479</v>
      </c>
    </row>
    <row r="946" spans="1:3" x14ac:dyDescent="0.25">
      <c r="A946" s="428">
        <v>41516</v>
      </c>
      <c r="B946" s="429">
        <v>0.14715277777777777</v>
      </c>
      <c r="C946" s="432" t="s">
        <v>1480</v>
      </c>
    </row>
    <row r="947" spans="1:3" x14ac:dyDescent="0.25">
      <c r="A947" s="428">
        <v>41516</v>
      </c>
      <c r="B947" s="429">
        <v>0.14715277777777777</v>
      </c>
      <c r="C947" s="432" t="s">
        <v>1481</v>
      </c>
    </row>
    <row r="948" spans="1:3" x14ac:dyDescent="0.25">
      <c r="A948" s="428">
        <v>41516</v>
      </c>
      <c r="B948" s="429">
        <v>0.14715277777777777</v>
      </c>
      <c r="C948" s="432" t="s">
        <v>1482</v>
      </c>
    </row>
    <row r="949" spans="1:3" x14ac:dyDescent="0.25">
      <c r="A949" s="428">
        <v>41516</v>
      </c>
      <c r="B949" s="429">
        <v>0.14715277777777777</v>
      </c>
      <c r="C949" s="432" t="s">
        <v>1483</v>
      </c>
    </row>
    <row r="950" spans="1:3" x14ac:dyDescent="0.25">
      <c r="A950" s="428">
        <v>41516</v>
      </c>
      <c r="B950" s="429">
        <v>0.14715277777777777</v>
      </c>
      <c r="C950" s="432" t="s">
        <v>1393</v>
      </c>
    </row>
    <row r="951" spans="1:3" x14ac:dyDescent="0.25">
      <c r="A951" s="428">
        <v>41516</v>
      </c>
      <c r="B951" s="429">
        <v>0.14715277777777777</v>
      </c>
      <c r="C951" s="432" t="s">
        <v>1460</v>
      </c>
    </row>
    <row r="952" spans="1:3" x14ac:dyDescent="0.25">
      <c r="A952" s="428">
        <v>41516</v>
      </c>
      <c r="B952" s="429">
        <v>0.14715277777777777</v>
      </c>
      <c r="C952" s="432" t="s">
        <v>1484</v>
      </c>
    </row>
    <row r="953" spans="1:3" x14ac:dyDescent="0.25">
      <c r="A953" s="428">
        <v>41516</v>
      </c>
      <c r="B953" s="429">
        <v>0.14715277777777777</v>
      </c>
      <c r="C953" s="432" t="s">
        <v>1485</v>
      </c>
    </row>
    <row r="954" spans="1:3" x14ac:dyDescent="0.25">
      <c r="A954" s="428">
        <v>41516</v>
      </c>
      <c r="B954" s="429">
        <v>0.14715277777777777</v>
      </c>
      <c r="C954" s="432" t="s">
        <v>1485</v>
      </c>
    </row>
    <row r="955" spans="1:3" x14ac:dyDescent="0.25">
      <c r="A955" s="428">
        <v>41516</v>
      </c>
      <c r="B955" s="429">
        <v>0.14715277777777777</v>
      </c>
      <c r="C955" s="432" t="s">
        <v>1477</v>
      </c>
    </row>
    <row r="956" spans="1:3" x14ac:dyDescent="0.25">
      <c r="A956" s="428">
        <v>41516</v>
      </c>
      <c r="B956" s="429">
        <v>0.14715277777777777</v>
      </c>
      <c r="C956" s="432" t="s">
        <v>1540</v>
      </c>
    </row>
    <row r="957" spans="1:3" x14ac:dyDescent="0.25">
      <c r="A957" s="428">
        <v>41516</v>
      </c>
      <c r="B957" s="429">
        <v>0.14715277777777777</v>
      </c>
      <c r="C957" s="432" t="s">
        <v>1541</v>
      </c>
    </row>
    <row r="958" spans="1:3" x14ac:dyDescent="0.25">
      <c r="A958" s="428">
        <v>41516</v>
      </c>
      <c r="B958" s="429">
        <v>0.14715277777777777</v>
      </c>
      <c r="C958" s="432" t="s">
        <v>1460</v>
      </c>
    </row>
    <row r="959" spans="1:3" x14ac:dyDescent="0.25">
      <c r="A959" s="428">
        <v>41516</v>
      </c>
      <c r="B959" s="429">
        <v>0.14716435185185187</v>
      </c>
      <c r="C959" s="432" t="s">
        <v>1542</v>
      </c>
    </row>
    <row r="960" spans="1:3" ht="45" x14ac:dyDescent="0.25">
      <c r="A960" s="428">
        <v>41516</v>
      </c>
      <c r="B960" s="429">
        <v>0.15140046296296297</v>
      </c>
      <c r="C960" s="433" t="s">
        <v>1543</v>
      </c>
    </row>
    <row r="961" spans="1:3" ht="30" x14ac:dyDescent="0.25">
      <c r="A961" s="428">
        <v>41516</v>
      </c>
      <c r="B961" s="429">
        <v>0.15399305555555556</v>
      </c>
      <c r="C961" s="433" t="s">
        <v>1544</v>
      </c>
    </row>
    <row r="962" spans="1:3" ht="45" x14ac:dyDescent="0.25">
      <c r="A962" s="428">
        <v>41516</v>
      </c>
      <c r="B962" s="429">
        <v>0.15581018518518519</v>
      </c>
      <c r="C962" s="433" t="s">
        <v>1545</v>
      </c>
    </row>
    <row r="963" spans="1:3" x14ac:dyDescent="0.25">
      <c r="A963" s="428">
        <v>41516</v>
      </c>
      <c r="B963" s="429">
        <v>0.15645833333333334</v>
      </c>
      <c r="C963" s="432" t="s">
        <v>1328</v>
      </c>
    </row>
    <row r="964" spans="1:3" x14ac:dyDescent="0.25">
      <c r="A964" s="428">
        <v>41516</v>
      </c>
      <c r="B964" s="429">
        <v>0.15645833333333334</v>
      </c>
      <c r="C964" s="432" t="s">
        <v>1329</v>
      </c>
    </row>
    <row r="965" spans="1:3" x14ac:dyDescent="0.25">
      <c r="A965" s="428">
        <v>41516</v>
      </c>
      <c r="B965" s="429">
        <v>0.15645833333333334</v>
      </c>
      <c r="C965" s="432" t="s">
        <v>1330</v>
      </c>
    </row>
    <row r="966" spans="1:3" x14ac:dyDescent="0.25">
      <c r="A966" s="428">
        <v>41516</v>
      </c>
      <c r="B966" s="429">
        <v>0.15645833333333334</v>
      </c>
      <c r="C966" s="432" t="s">
        <v>1331</v>
      </c>
    </row>
    <row r="967" spans="1:3" x14ac:dyDescent="0.25">
      <c r="A967" s="428">
        <v>41516</v>
      </c>
      <c r="B967" s="429">
        <v>0.15645833333333334</v>
      </c>
      <c r="C967" s="432" t="s">
        <v>1332</v>
      </c>
    </row>
    <row r="968" spans="1:3" x14ac:dyDescent="0.25">
      <c r="A968" s="428">
        <v>41516</v>
      </c>
      <c r="B968" s="429">
        <v>0.15645833333333334</v>
      </c>
      <c r="C968" s="432" t="s">
        <v>1333</v>
      </c>
    </row>
    <row r="969" spans="1:3" x14ac:dyDescent="0.25">
      <c r="A969" s="428">
        <v>41516</v>
      </c>
      <c r="B969" s="429">
        <v>0.15645833333333334</v>
      </c>
      <c r="C969" s="432" t="s">
        <v>1334</v>
      </c>
    </row>
    <row r="970" spans="1:3" x14ac:dyDescent="0.25">
      <c r="A970" s="428">
        <v>41516</v>
      </c>
      <c r="B970" s="429">
        <v>0.15645833333333334</v>
      </c>
      <c r="C970" s="432" t="s">
        <v>1335</v>
      </c>
    </row>
    <row r="971" spans="1:3" x14ac:dyDescent="0.25">
      <c r="A971" s="428">
        <v>41516</v>
      </c>
      <c r="B971" s="429">
        <v>0.15645833333333334</v>
      </c>
      <c r="C971" s="432" t="s">
        <v>1336</v>
      </c>
    </row>
    <row r="972" spans="1:3" x14ac:dyDescent="0.25">
      <c r="A972" s="428">
        <v>41516</v>
      </c>
      <c r="B972" s="429">
        <v>0.15645833333333334</v>
      </c>
      <c r="C972" s="432" t="s">
        <v>1337</v>
      </c>
    </row>
    <row r="973" spans="1:3" x14ac:dyDescent="0.25">
      <c r="A973" s="428">
        <v>41516</v>
      </c>
      <c r="B973" s="429">
        <v>0.15645833333333334</v>
      </c>
      <c r="C973" s="432" t="s">
        <v>1338</v>
      </c>
    </row>
    <row r="974" spans="1:3" x14ac:dyDescent="0.25">
      <c r="A974" s="428">
        <v>41516</v>
      </c>
      <c r="B974" s="429">
        <v>0.15645833333333334</v>
      </c>
      <c r="C974" s="432" t="s">
        <v>1339</v>
      </c>
    </row>
    <row r="975" spans="1:3" x14ac:dyDescent="0.25">
      <c r="A975" s="428">
        <v>41516</v>
      </c>
      <c r="B975" s="429">
        <v>0.15645833333333334</v>
      </c>
      <c r="C975" s="432" t="s">
        <v>1340</v>
      </c>
    </row>
    <row r="976" spans="1:3" x14ac:dyDescent="0.25">
      <c r="A976" s="428">
        <v>41516</v>
      </c>
      <c r="B976" s="429">
        <v>0.15645833333333334</v>
      </c>
      <c r="C976" s="432" t="s">
        <v>1341</v>
      </c>
    </row>
    <row r="977" spans="1:3" x14ac:dyDescent="0.25">
      <c r="A977" s="428">
        <v>41516</v>
      </c>
      <c r="B977" s="429">
        <v>0.15645833333333334</v>
      </c>
      <c r="C977" s="432" t="s">
        <v>1342</v>
      </c>
    </row>
    <row r="978" spans="1:3" x14ac:dyDescent="0.25">
      <c r="A978" s="428">
        <v>41516</v>
      </c>
      <c r="B978" s="429">
        <v>0.15645833333333334</v>
      </c>
      <c r="C978" s="432" t="s">
        <v>1343</v>
      </c>
    </row>
    <row r="979" spans="1:3" x14ac:dyDescent="0.25">
      <c r="A979" s="428">
        <v>41516</v>
      </c>
      <c r="B979" s="429">
        <v>0.15645833333333334</v>
      </c>
      <c r="C979" s="432" t="s">
        <v>1344</v>
      </c>
    </row>
    <row r="980" spans="1:3" x14ac:dyDescent="0.25">
      <c r="A980" s="428">
        <v>41516</v>
      </c>
      <c r="B980" s="429">
        <v>0.15645833333333334</v>
      </c>
      <c r="C980" s="432" t="s">
        <v>1332</v>
      </c>
    </row>
    <row r="981" spans="1:3" x14ac:dyDescent="0.25">
      <c r="A981" s="428">
        <v>41516</v>
      </c>
      <c r="B981" s="429">
        <v>0.15645833333333334</v>
      </c>
      <c r="C981" s="432" t="s">
        <v>1345</v>
      </c>
    </row>
    <row r="982" spans="1:3" x14ac:dyDescent="0.25">
      <c r="A982" s="428">
        <v>41516</v>
      </c>
      <c r="B982" s="429">
        <v>0.15645833333333334</v>
      </c>
      <c r="C982" s="432" t="s">
        <v>1346</v>
      </c>
    </row>
    <row r="983" spans="1:3" x14ac:dyDescent="0.25">
      <c r="A983" s="428">
        <v>41516</v>
      </c>
      <c r="B983" s="429">
        <v>0.15645833333333334</v>
      </c>
      <c r="C983" s="432" t="s">
        <v>1347</v>
      </c>
    </row>
    <row r="984" spans="1:3" x14ac:dyDescent="0.25">
      <c r="A984" s="428">
        <v>41516</v>
      </c>
      <c r="B984" s="429">
        <v>0.15645833333333334</v>
      </c>
      <c r="C984" s="432" t="s">
        <v>1348</v>
      </c>
    </row>
    <row r="985" spans="1:3" x14ac:dyDescent="0.25">
      <c r="A985" s="428">
        <v>41516</v>
      </c>
      <c r="B985" s="429">
        <v>0.15645833333333334</v>
      </c>
      <c r="C985" s="432" t="s">
        <v>1349</v>
      </c>
    </row>
    <row r="986" spans="1:3" x14ac:dyDescent="0.25">
      <c r="A986" s="428">
        <v>41516</v>
      </c>
      <c r="B986" s="429">
        <v>0.15645833333333334</v>
      </c>
      <c r="C986" s="432" t="s">
        <v>1350</v>
      </c>
    </row>
    <row r="987" spans="1:3" x14ac:dyDescent="0.25">
      <c r="A987" s="428">
        <v>41516</v>
      </c>
      <c r="B987" s="429">
        <v>0.15645833333333334</v>
      </c>
      <c r="C987" s="432" t="s">
        <v>1351</v>
      </c>
    </row>
    <row r="988" spans="1:3" x14ac:dyDescent="0.25">
      <c r="A988" s="428">
        <v>41516</v>
      </c>
      <c r="B988" s="429">
        <v>0.15645833333333334</v>
      </c>
      <c r="C988" s="432" t="s">
        <v>1352</v>
      </c>
    </row>
    <row r="989" spans="1:3" x14ac:dyDescent="0.25">
      <c r="A989" s="428">
        <v>41516</v>
      </c>
      <c r="B989" s="429">
        <v>0.15645833333333334</v>
      </c>
      <c r="C989" s="432" t="s">
        <v>1335</v>
      </c>
    </row>
    <row r="990" spans="1:3" x14ac:dyDescent="0.25">
      <c r="A990" s="428">
        <v>41516</v>
      </c>
      <c r="B990" s="429">
        <v>0.15645833333333334</v>
      </c>
      <c r="C990" s="432" t="s">
        <v>1353</v>
      </c>
    </row>
    <row r="991" spans="1:3" x14ac:dyDescent="0.25">
      <c r="A991" s="428">
        <v>41516</v>
      </c>
      <c r="B991" s="429">
        <v>0.15645833333333334</v>
      </c>
      <c r="C991" s="432" t="s">
        <v>1354</v>
      </c>
    </row>
    <row r="992" spans="1:3" x14ac:dyDescent="0.25">
      <c r="A992" s="428">
        <v>41516</v>
      </c>
      <c r="B992" s="429">
        <v>0.15645833333333334</v>
      </c>
      <c r="C992" s="432" t="s">
        <v>1355</v>
      </c>
    </row>
    <row r="993" spans="1:3" x14ac:dyDescent="0.25">
      <c r="A993" s="428">
        <v>41516</v>
      </c>
      <c r="B993" s="429">
        <v>0.15645833333333334</v>
      </c>
      <c r="C993" s="432" t="s">
        <v>1356</v>
      </c>
    </row>
    <row r="994" spans="1:3" x14ac:dyDescent="0.25">
      <c r="A994" s="428">
        <v>41516</v>
      </c>
      <c r="B994" s="429">
        <v>0.15645833333333334</v>
      </c>
      <c r="C994" s="432" t="s">
        <v>1356</v>
      </c>
    </row>
    <row r="995" spans="1:3" x14ac:dyDescent="0.25">
      <c r="A995" s="428">
        <v>41516</v>
      </c>
      <c r="B995" s="429">
        <v>0.15645833333333334</v>
      </c>
      <c r="C995" s="432" t="s">
        <v>1357</v>
      </c>
    </row>
    <row r="996" spans="1:3" x14ac:dyDescent="0.25">
      <c r="A996" s="428">
        <v>41516</v>
      </c>
      <c r="B996" s="429">
        <v>0.1564699074074074</v>
      </c>
      <c r="C996" s="432" t="s">
        <v>1356</v>
      </c>
    </row>
    <row r="997" spans="1:3" x14ac:dyDescent="0.25">
      <c r="A997" s="428">
        <v>41516</v>
      </c>
      <c r="B997" s="429">
        <v>0.1564699074074074</v>
      </c>
      <c r="C997" s="432" t="s">
        <v>1356</v>
      </c>
    </row>
    <row r="998" spans="1:3" x14ac:dyDescent="0.25">
      <c r="A998" s="428">
        <v>41516</v>
      </c>
      <c r="B998" s="429">
        <v>0.1564699074074074</v>
      </c>
      <c r="C998" s="432" t="s">
        <v>1335</v>
      </c>
    </row>
    <row r="999" spans="1:3" x14ac:dyDescent="0.25">
      <c r="A999" s="428">
        <v>41516</v>
      </c>
      <c r="B999" s="429">
        <v>0.1564699074074074</v>
      </c>
      <c r="C999" s="432" t="s">
        <v>1358</v>
      </c>
    </row>
    <row r="1000" spans="1:3" x14ac:dyDescent="0.25">
      <c r="A1000" s="428">
        <v>41516</v>
      </c>
      <c r="B1000" s="429">
        <v>0.1564699074074074</v>
      </c>
      <c r="C1000" s="432" t="s">
        <v>1351</v>
      </c>
    </row>
    <row r="1001" spans="1:3" x14ac:dyDescent="0.25">
      <c r="A1001" s="428">
        <v>41516</v>
      </c>
      <c r="B1001" s="429">
        <v>0.1564699074074074</v>
      </c>
      <c r="C1001" s="432" t="s">
        <v>1351</v>
      </c>
    </row>
    <row r="1002" spans="1:3" x14ac:dyDescent="0.25">
      <c r="A1002" s="428">
        <v>41516</v>
      </c>
      <c r="B1002" s="429">
        <v>0.1564699074074074</v>
      </c>
      <c r="C1002" s="432" t="s">
        <v>1359</v>
      </c>
    </row>
    <row r="1003" spans="1:3" x14ac:dyDescent="0.25">
      <c r="A1003" s="428">
        <v>41516</v>
      </c>
      <c r="B1003" s="429">
        <v>0.1564699074074074</v>
      </c>
      <c r="C1003" s="432" t="s">
        <v>1351</v>
      </c>
    </row>
    <row r="1004" spans="1:3" x14ac:dyDescent="0.25">
      <c r="A1004" s="428">
        <v>41516</v>
      </c>
      <c r="B1004" s="429">
        <v>0.1564699074074074</v>
      </c>
      <c r="C1004" s="432" t="s">
        <v>1349</v>
      </c>
    </row>
    <row r="1005" spans="1:3" x14ac:dyDescent="0.25">
      <c r="A1005" s="428">
        <v>41516</v>
      </c>
      <c r="B1005" s="429">
        <v>0.1564699074074074</v>
      </c>
      <c r="C1005" s="432" t="s">
        <v>1360</v>
      </c>
    </row>
    <row r="1006" spans="1:3" x14ac:dyDescent="0.25">
      <c r="A1006" s="428">
        <v>41516</v>
      </c>
      <c r="B1006" s="429">
        <v>0.1564699074074074</v>
      </c>
      <c r="C1006" s="432" t="s">
        <v>1356</v>
      </c>
    </row>
    <row r="1007" spans="1:3" x14ac:dyDescent="0.25">
      <c r="A1007" s="428">
        <v>41516</v>
      </c>
      <c r="B1007" s="429">
        <v>0.1564699074074074</v>
      </c>
      <c r="C1007" s="432" t="s">
        <v>1361</v>
      </c>
    </row>
    <row r="1008" spans="1:3" x14ac:dyDescent="0.25">
      <c r="A1008" s="428">
        <v>41516</v>
      </c>
      <c r="B1008" s="429">
        <v>0.1564699074074074</v>
      </c>
      <c r="C1008" s="432" t="s">
        <v>1356</v>
      </c>
    </row>
    <row r="1009" spans="1:3" x14ac:dyDescent="0.25">
      <c r="A1009" s="428">
        <v>41516</v>
      </c>
      <c r="B1009" s="429">
        <v>0.1564699074074074</v>
      </c>
      <c r="C1009" s="432" t="s">
        <v>1362</v>
      </c>
    </row>
    <row r="1010" spans="1:3" x14ac:dyDescent="0.25">
      <c r="A1010" s="428">
        <v>41516</v>
      </c>
      <c r="B1010" s="429">
        <v>0.1564699074074074</v>
      </c>
      <c r="C1010" s="432" t="s">
        <v>1363</v>
      </c>
    </row>
    <row r="1011" spans="1:3" x14ac:dyDescent="0.25">
      <c r="A1011" s="428">
        <v>41516</v>
      </c>
      <c r="B1011" s="429">
        <v>0.1564699074074074</v>
      </c>
      <c r="C1011" s="432" t="s">
        <v>1364</v>
      </c>
    </row>
    <row r="1012" spans="1:3" x14ac:dyDescent="0.25">
      <c r="A1012" s="428">
        <v>41516</v>
      </c>
      <c r="B1012" s="429">
        <v>0.1564699074074074</v>
      </c>
      <c r="C1012" s="432" t="s">
        <v>1365</v>
      </c>
    </row>
    <row r="1013" spans="1:3" x14ac:dyDescent="0.25">
      <c r="A1013" s="428">
        <v>41516</v>
      </c>
      <c r="B1013" s="429">
        <v>0.1564699074074074</v>
      </c>
      <c r="C1013" s="432" t="s">
        <v>1366</v>
      </c>
    </row>
    <row r="1014" spans="1:3" x14ac:dyDescent="0.25">
      <c r="A1014" s="428">
        <v>41516</v>
      </c>
      <c r="B1014" s="429">
        <v>0.1564699074074074</v>
      </c>
      <c r="C1014" s="432" t="s">
        <v>1367</v>
      </c>
    </row>
    <row r="1015" spans="1:3" x14ac:dyDescent="0.25">
      <c r="A1015" s="428">
        <v>41516</v>
      </c>
      <c r="B1015" s="429">
        <v>0.1564699074074074</v>
      </c>
      <c r="C1015" s="432" t="s">
        <v>1368</v>
      </c>
    </row>
    <row r="1016" spans="1:3" x14ac:dyDescent="0.25">
      <c r="A1016" s="428">
        <v>41516</v>
      </c>
      <c r="B1016" s="429">
        <v>0.1564699074074074</v>
      </c>
      <c r="C1016" s="432" t="s">
        <v>1369</v>
      </c>
    </row>
    <row r="1017" spans="1:3" x14ac:dyDescent="0.25">
      <c r="A1017" s="428">
        <v>41516</v>
      </c>
      <c r="B1017" s="429">
        <v>0.1564699074074074</v>
      </c>
      <c r="C1017" s="432" t="s">
        <v>1370</v>
      </c>
    </row>
    <row r="1018" spans="1:3" x14ac:dyDescent="0.25">
      <c r="A1018" s="428">
        <v>41516</v>
      </c>
      <c r="B1018" s="429">
        <v>0.1564699074074074</v>
      </c>
      <c r="C1018" s="432" t="s">
        <v>1371</v>
      </c>
    </row>
    <row r="1019" spans="1:3" x14ac:dyDescent="0.25">
      <c r="A1019" s="428">
        <v>41516</v>
      </c>
      <c r="B1019" s="429">
        <v>0.1564699074074074</v>
      </c>
      <c r="C1019" s="432" t="s">
        <v>1372</v>
      </c>
    </row>
    <row r="1020" spans="1:3" x14ac:dyDescent="0.25">
      <c r="A1020" s="428">
        <v>41516</v>
      </c>
      <c r="B1020" s="429">
        <v>0.1564699074074074</v>
      </c>
      <c r="C1020" s="432" t="s">
        <v>1356</v>
      </c>
    </row>
    <row r="1021" spans="1:3" x14ac:dyDescent="0.25">
      <c r="A1021" s="428">
        <v>41516</v>
      </c>
      <c r="B1021" s="429">
        <v>0.1564699074074074</v>
      </c>
      <c r="C1021" s="432" t="s">
        <v>1373</v>
      </c>
    </row>
    <row r="1022" spans="1:3" x14ac:dyDescent="0.25">
      <c r="A1022" s="428">
        <v>41516</v>
      </c>
      <c r="B1022" s="429">
        <v>0.1564699074074074</v>
      </c>
      <c r="C1022" s="432" t="s">
        <v>1372</v>
      </c>
    </row>
    <row r="1023" spans="1:3" x14ac:dyDescent="0.25">
      <c r="A1023" s="428">
        <v>41516</v>
      </c>
      <c r="B1023" s="429">
        <v>0.1564699074074074</v>
      </c>
      <c r="C1023" s="432" t="s">
        <v>1372</v>
      </c>
    </row>
    <row r="1024" spans="1:3" x14ac:dyDescent="0.25">
      <c r="A1024" s="428">
        <v>41516</v>
      </c>
      <c r="B1024" s="429">
        <v>0.1564699074074074</v>
      </c>
      <c r="C1024" s="432" t="s">
        <v>1372</v>
      </c>
    </row>
    <row r="1025" spans="1:3" x14ac:dyDescent="0.25">
      <c r="A1025" s="428">
        <v>41516</v>
      </c>
      <c r="B1025" s="429">
        <v>0.1564699074074074</v>
      </c>
      <c r="C1025" s="432" t="s">
        <v>1374</v>
      </c>
    </row>
    <row r="1026" spans="1:3" x14ac:dyDescent="0.25">
      <c r="A1026" s="428">
        <v>41516</v>
      </c>
      <c r="B1026" s="429">
        <v>0.1564699074074074</v>
      </c>
      <c r="C1026" s="432" t="s">
        <v>1375</v>
      </c>
    </row>
    <row r="1027" spans="1:3" x14ac:dyDescent="0.25">
      <c r="A1027" s="428">
        <v>41516</v>
      </c>
      <c r="B1027" s="429">
        <v>0.1564699074074074</v>
      </c>
      <c r="C1027" s="432" t="s">
        <v>1374</v>
      </c>
    </row>
    <row r="1028" spans="1:3" x14ac:dyDescent="0.25">
      <c r="A1028" s="428">
        <v>41516</v>
      </c>
      <c r="B1028" s="429">
        <v>0.1564699074074074</v>
      </c>
      <c r="C1028" s="432" t="s">
        <v>1376</v>
      </c>
    </row>
    <row r="1029" spans="1:3" x14ac:dyDescent="0.25">
      <c r="A1029" s="428">
        <v>41516</v>
      </c>
      <c r="B1029" s="429">
        <v>0.1564699074074074</v>
      </c>
      <c r="C1029" s="432" t="s">
        <v>1377</v>
      </c>
    </row>
    <row r="1030" spans="1:3" x14ac:dyDescent="0.25">
      <c r="A1030" s="428">
        <v>41516</v>
      </c>
      <c r="B1030" s="429">
        <v>0.1564699074074074</v>
      </c>
      <c r="C1030" s="432" t="s">
        <v>1378</v>
      </c>
    </row>
    <row r="1031" spans="1:3" x14ac:dyDescent="0.25">
      <c r="A1031" s="428">
        <v>41516</v>
      </c>
      <c r="B1031" s="429">
        <v>0.1564699074074074</v>
      </c>
      <c r="C1031" s="432" t="s">
        <v>1379</v>
      </c>
    </row>
    <row r="1032" spans="1:3" x14ac:dyDescent="0.25">
      <c r="A1032" s="428">
        <v>41516</v>
      </c>
      <c r="B1032" s="429">
        <v>0.1564699074074074</v>
      </c>
      <c r="C1032" s="432" t="s">
        <v>1380</v>
      </c>
    </row>
    <row r="1033" spans="1:3" x14ac:dyDescent="0.25">
      <c r="A1033" s="428">
        <v>41516</v>
      </c>
      <c r="B1033" s="429">
        <v>0.1564699074074074</v>
      </c>
      <c r="C1033" s="432" t="s">
        <v>1381</v>
      </c>
    </row>
    <row r="1034" spans="1:3" x14ac:dyDescent="0.25">
      <c r="A1034" s="428">
        <v>41516</v>
      </c>
      <c r="B1034" s="429">
        <v>0.1564699074074074</v>
      </c>
      <c r="C1034" s="432" t="s">
        <v>1382</v>
      </c>
    </row>
    <row r="1035" spans="1:3" x14ac:dyDescent="0.25">
      <c r="A1035" s="428">
        <v>41516</v>
      </c>
      <c r="B1035" s="429">
        <v>0.1564699074074074</v>
      </c>
      <c r="C1035" s="432" t="s">
        <v>1359</v>
      </c>
    </row>
    <row r="1036" spans="1:3" x14ac:dyDescent="0.25">
      <c r="A1036" s="428">
        <v>41516</v>
      </c>
      <c r="B1036" s="429">
        <v>0.1564699074074074</v>
      </c>
      <c r="C1036" s="432" t="s">
        <v>1383</v>
      </c>
    </row>
    <row r="1037" spans="1:3" x14ac:dyDescent="0.25">
      <c r="A1037" s="428">
        <v>41516</v>
      </c>
      <c r="B1037" s="429">
        <v>0.1564699074074074</v>
      </c>
      <c r="C1037" s="432" t="s">
        <v>1384</v>
      </c>
    </row>
    <row r="1038" spans="1:3" x14ac:dyDescent="0.25">
      <c r="A1038" s="428">
        <v>41516</v>
      </c>
      <c r="B1038" s="429">
        <v>0.1564699074074074</v>
      </c>
      <c r="C1038" s="432" t="s">
        <v>1385</v>
      </c>
    </row>
    <row r="1039" spans="1:3" x14ac:dyDescent="0.25">
      <c r="A1039" s="428">
        <v>41516</v>
      </c>
      <c r="B1039" s="429">
        <v>0.1564699074074074</v>
      </c>
      <c r="C1039" s="432" t="s">
        <v>1386</v>
      </c>
    </row>
    <row r="1040" spans="1:3" x14ac:dyDescent="0.25">
      <c r="A1040" s="428">
        <v>41516</v>
      </c>
      <c r="B1040" s="429">
        <v>0.1564699074074074</v>
      </c>
      <c r="C1040" s="432" t="s">
        <v>1387</v>
      </c>
    </row>
    <row r="1041" spans="1:3" x14ac:dyDescent="0.25">
      <c r="A1041" s="428">
        <v>41516</v>
      </c>
      <c r="B1041" s="429">
        <v>0.1564699074074074</v>
      </c>
      <c r="C1041" s="432" t="s">
        <v>1388</v>
      </c>
    </row>
    <row r="1042" spans="1:3" x14ac:dyDescent="0.25">
      <c r="A1042" s="428">
        <v>41516</v>
      </c>
      <c r="B1042" s="429">
        <v>0.1564699074074074</v>
      </c>
      <c r="C1042" s="432" t="s">
        <v>1362</v>
      </c>
    </row>
    <row r="1043" spans="1:3" x14ac:dyDescent="0.25">
      <c r="A1043" s="428">
        <v>41516</v>
      </c>
      <c r="B1043" s="429">
        <v>0.1564699074074074</v>
      </c>
      <c r="C1043" s="432" t="s">
        <v>1389</v>
      </c>
    </row>
    <row r="1044" spans="1:3" x14ac:dyDescent="0.25">
      <c r="A1044" s="428">
        <v>41516</v>
      </c>
      <c r="B1044" s="429">
        <v>0.1564699074074074</v>
      </c>
      <c r="C1044" s="432" t="s">
        <v>1390</v>
      </c>
    </row>
    <row r="1045" spans="1:3" x14ac:dyDescent="0.25">
      <c r="A1045" s="428">
        <v>41516</v>
      </c>
      <c r="B1045" s="429">
        <v>0.1564699074074074</v>
      </c>
      <c r="C1045" s="432" t="s">
        <v>1391</v>
      </c>
    </row>
    <row r="1046" spans="1:3" x14ac:dyDescent="0.25">
      <c r="A1046" s="428">
        <v>41516</v>
      </c>
      <c r="B1046" s="429">
        <v>0.1564699074074074</v>
      </c>
      <c r="C1046" s="432" t="s">
        <v>1392</v>
      </c>
    </row>
    <row r="1047" spans="1:3" x14ac:dyDescent="0.25">
      <c r="A1047" s="428">
        <v>41516</v>
      </c>
      <c r="B1047" s="429">
        <v>0.1564699074074074</v>
      </c>
      <c r="C1047" s="432" t="s">
        <v>1349</v>
      </c>
    </row>
    <row r="1048" spans="1:3" x14ac:dyDescent="0.25">
      <c r="A1048" s="428">
        <v>41516</v>
      </c>
      <c r="B1048" s="429">
        <v>0.1564699074074074</v>
      </c>
      <c r="C1048" s="432" t="s">
        <v>1393</v>
      </c>
    </row>
    <row r="1049" spans="1:3" x14ac:dyDescent="0.25">
      <c r="A1049" s="428">
        <v>41516</v>
      </c>
      <c r="B1049" s="429">
        <v>0.1564699074074074</v>
      </c>
      <c r="C1049" s="432" t="s">
        <v>1394</v>
      </c>
    </row>
    <row r="1050" spans="1:3" x14ac:dyDescent="0.25">
      <c r="A1050" s="428">
        <v>41516</v>
      </c>
      <c r="B1050" s="429">
        <v>0.1564699074074074</v>
      </c>
      <c r="C1050" s="432" t="s">
        <v>1384</v>
      </c>
    </row>
    <row r="1051" spans="1:3" x14ac:dyDescent="0.25">
      <c r="A1051" s="428">
        <v>41516</v>
      </c>
      <c r="B1051" s="429">
        <v>0.1564699074074074</v>
      </c>
      <c r="C1051" s="432" t="s">
        <v>1395</v>
      </c>
    </row>
    <row r="1052" spans="1:3" x14ac:dyDescent="0.25">
      <c r="A1052" s="428">
        <v>41516</v>
      </c>
      <c r="B1052" s="429">
        <v>0.1564699074074074</v>
      </c>
      <c r="C1052" s="432" t="s">
        <v>1395</v>
      </c>
    </row>
    <row r="1053" spans="1:3" x14ac:dyDescent="0.25">
      <c r="A1053" s="428">
        <v>41516</v>
      </c>
      <c r="B1053" s="429">
        <v>0.1564699074074074</v>
      </c>
      <c r="C1053" s="432" t="s">
        <v>1396</v>
      </c>
    </row>
    <row r="1054" spans="1:3" x14ac:dyDescent="0.25">
      <c r="A1054" s="428">
        <v>41516</v>
      </c>
      <c r="B1054" s="429">
        <v>0.1564699074074074</v>
      </c>
      <c r="C1054" s="432" t="s">
        <v>1391</v>
      </c>
    </row>
    <row r="1055" spans="1:3" x14ac:dyDescent="0.25">
      <c r="A1055" s="428">
        <v>41516</v>
      </c>
      <c r="B1055" s="429">
        <v>0.1564699074074074</v>
      </c>
      <c r="C1055" s="432" t="s">
        <v>1397</v>
      </c>
    </row>
    <row r="1056" spans="1:3" x14ac:dyDescent="0.25">
      <c r="A1056" s="428">
        <v>41516</v>
      </c>
      <c r="B1056" s="429">
        <v>0.1564699074074074</v>
      </c>
      <c r="C1056" s="432" t="s">
        <v>1398</v>
      </c>
    </row>
    <row r="1057" spans="1:3" x14ac:dyDescent="0.25">
      <c r="A1057" s="428">
        <v>41516</v>
      </c>
      <c r="B1057" s="429">
        <v>0.1564699074074074</v>
      </c>
      <c r="C1057" s="432" t="s">
        <v>1368</v>
      </c>
    </row>
    <row r="1058" spans="1:3" x14ac:dyDescent="0.25">
      <c r="A1058" s="428">
        <v>41516</v>
      </c>
      <c r="B1058" s="429">
        <v>0.1564699074074074</v>
      </c>
      <c r="C1058" s="432" t="s">
        <v>1399</v>
      </c>
    </row>
    <row r="1059" spans="1:3" x14ac:dyDescent="0.25">
      <c r="A1059" s="428">
        <v>41516</v>
      </c>
      <c r="B1059" s="429">
        <v>0.1564699074074074</v>
      </c>
      <c r="C1059" s="432" t="s">
        <v>1400</v>
      </c>
    </row>
    <row r="1060" spans="1:3" x14ac:dyDescent="0.25">
      <c r="A1060" s="428">
        <v>41516</v>
      </c>
      <c r="B1060" s="429">
        <v>0.1564699074074074</v>
      </c>
      <c r="C1060" s="432" t="s">
        <v>1401</v>
      </c>
    </row>
    <row r="1061" spans="1:3" x14ac:dyDescent="0.25">
      <c r="A1061" s="428">
        <v>41516</v>
      </c>
      <c r="B1061" s="429">
        <v>0.1564699074074074</v>
      </c>
      <c r="C1061" s="432" t="s">
        <v>1402</v>
      </c>
    </row>
    <row r="1062" spans="1:3" x14ac:dyDescent="0.25">
      <c r="A1062" s="428">
        <v>41516</v>
      </c>
      <c r="B1062" s="429">
        <v>0.1564699074074074</v>
      </c>
      <c r="C1062" s="432" t="s">
        <v>1351</v>
      </c>
    </row>
    <row r="1063" spans="1:3" x14ac:dyDescent="0.25">
      <c r="A1063" s="428">
        <v>41516</v>
      </c>
      <c r="B1063" s="429">
        <v>0.1564699074074074</v>
      </c>
      <c r="C1063" s="432" t="s">
        <v>1351</v>
      </c>
    </row>
    <row r="1064" spans="1:3" x14ac:dyDescent="0.25">
      <c r="A1064" s="428">
        <v>41516</v>
      </c>
      <c r="B1064" s="429">
        <v>0.1564699074074074</v>
      </c>
      <c r="C1064" s="432" t="s">
        <v>1403</v>
      </c>
    </row>
    <row r="1065" spans="1:3" x14ac:dyDescent="0.25">
      <c r="A1065" s="428">
        <v>41516</v>
      </c>
      <c r="B1065" s="429">
        <v>0.1564699074074074</v>
      </c>
      <c r="C1065" s="432" t="s">
        <v>1351</v>
      </c>
    </row>
    <row r="1066" spans="1:3" x14ac:dyDescent="0.25">
      <c r="A1066" s="428">
        <v>41516</v>
      </c>
      <c r="B1066" s="429">
        <v>0.1564699074074074</v>
      </c>
      <c r="C1066" s="432" t="s">
        <v>1404</v>
      </c>
    </row>
    <row r="1067" spans="1:3" x14ac:dyDescent="0.25">
      <c r="A1067" s="428">
        <v>41516</v>
      </c>
      <c r="B1067" s="429">
        <v>0.1564699074074074</v>
      </c>
      <c r="C1067" s="432" t="s">
        <v>1405</v>
      </c>
    </row>
    <row r="1068" spans="1:3" x14ac:dyDescent="0.25">
      <c r="A1068" s="428">
        <v>41516</v>
      </c>
      <c r="B1068" s="429">
        <v>0.1564699074074074</v>
      </c>
      <c r="C1068" s="432" t="s">
        <v>1361</v>
      </c>
    </row>
    <row r="1069" spans="1:3" x14ac:dyDescent="0.25">
      <c r="A1069" s="428">
        <v>41516</v>
      </c>
      <c r="B1069" s="429">
        <v>0.1564699074074074</v>
      </c>
      <c r="C1069" s="432" t="s">
        <v>1406</v>
      </c>
    </row>
    <row r="1070" spans="1:3" x14ac:dyDescent="0.25">
      <c r="A1070" s="428">
        <v>41516</v>
      </c>
      <c r="B1070" s="429">
        <v>0.1564699074074074</v>
      </c>
      <c r="C1070" s="432" t="s">
        <v>1407</v>
      </c>
    </row>
    <row r="1071" spans="1:3" x14ac:dyDescent="0.25">
      <c r="A1071" s="428">
        <v>41516</v>
      </c>
      <c r="B1071" s="429">
        <v>0.1564699074074074</v>
      </c>
      <c r="C1071" s="432" t="s">
        <v>1362</v>
      </c>
    </row>
    <row r="1072" spans="1:3" x14ac:dyDescent="0.25">
      <c r="A1072" s="428">
        <v>41516</v>
      </c>
      <c r="B1072" s="429">
        <v>0.1564699074074074</v>
      </c>
      <c r="C1072" s="432" t="s">
        <v>1408</v>
      </c>
    </row>
    <row r="1073" spans="1:3" x14ac:dyDescent="0.25">
      <c r="A1073" s="428">
        <v>41516</v>
      </c>
      <c r="B1073" s="429">
        <v>0.1564699074074074</v>
      </c>
      <c r="C1073" s="432" t="s">
        <v>1409</v>
      </c>
    </row>
    <row r="1074" spans="1:3" x14ac:dyDescent="0.25">
      <c r="A1074" s="428">
        <v>41516</v>
      </c>
      <c r="B1074" s="429">
        <v>0.1564699074074074</v>
      </c>
      <c r="C1074" s="432" t="s">
        <v>1410</v>
      </c>
    </row>
    <row r="1075" spans="1:3" x14ac:dyDescent="0.25">
      <c r="A1075" s="428">
        <v>41516</v>
      </c>
      <c r="B1075" s="429">
        <v>0.1564699074074074</v>
      </c>
      <c r="C1075" s="432" t="s">
        <v>1411</v>
      </c>
    </row>
    <row r="1076" spans="1:3" x14ac:dyDescent="0.25">
      <c r="A1076" s="428">
        <v>41516</v>
      </c>
      <c r="B1076" s="429">
        <v>0.1564699074074074</v>
      </c>
      <c r="C1076" s="432" t="s">
        <v>1411</v>
      </c>
    </row>
    <row r="1077" spans="1:3" x14ac:dyDescent="0.25">
      <c r="A1077" s="428">
        <v>41516</v>
      </c>
      <c r="B1077" s="429">
        <v>0.1564699074074074</v>
      </c>
      <c r="C1077" s="432" t="s">
        <v>1412</v>
      </c>
    </row>
    <row r="1078" spans="1:3" x14ac:dyDescent="0.25">
      <c r="A1078" s="428">
        <v>41516</v>
      </c>
      <c r="B1078" s="429">
        <v>0.1564699074074074</v>
      </c>
      <c r="C1078" s="432" t="s">
        <v>1358</v>
      </c>
    </row>
    <row r="1079" spans="1:3" x14ac:dyDescent="0.25">
      <c r="A1079" s="428">
        <v>41516</v>
      </c>
      <c r="B1079" s="429">
        <v>0.1564699074074074</v>
      </c>
      <c r="C1079" s="432" t="s">
        <v>1413</v>
      </c>
    </row>
    <row r="1080" spans="1:3" x14ac:dyDescent="0.25">
      <c r="A1080" s="428">
        <v>41516</v>
      </c>
      <c r="B1080" s="429">
        <v>0.1564699074074074</v>
      </c>
      <c r="C1080" s="432" t="s">
        <v>1414</v>
      </c>
    </row>
    <row r="1081" spans="1:3" x14ac:dyDescent="0.25">
      <c r="A1081" s="428">
        <v>41516</v>
      </c>
      <c r="B1081" s="429">
        <v>0.1564699074074074</v>
      </c>
      <c r="C1081" s="432" t="s">
        <v>1414</v>
      </c>
    </row>
    <row r="1082" spans="1:3" x14ac:dyDescent="0.25">
      <c r="A1082" s="428">
        <v>41516</v>
      </c>
      <c r="B1082" s="429">
        <v>0.1564699074074074</v>
      </c>
      <c r="C1082" s="432" t="s">
        <v>1415</v>
      </c>
    </row>
    <row r="1083" spans="1:3" x14ac:dyDescent="0.25">
      <c r="A1083" s="428">
        <v>41516</v>
      </c>
      <c r="B1083" s="429">
        <v>0.1564699074074074</v>
      </c>
      <c r="C1083" s="432" t="s">
        <v>1416</v>
      </c>
    </row>
    <row r="1084" spans="1:3" x14ac:dyDescent="0.25">
      <c r="A1084" s="428">
        <v>41516</v>
      </c>
      <c r="B1084" s="429">
        <v>0.1564699074074074</v>
      </c>
      <c r="C1084" s="432" t="s">
        <v>1417</v>
      </c>
    </row>
    <row r="1085" spans="1:3" x14ac:dyDescent="0.25">
      <c r="A1085" s="428">
        <v>41516</v>
      </c>
      <c r="B1085" s="429">
        <v>0.1564699074074074</v>
      </c>
      <c r="C1085" s="432" t="s">
        <v>1418</v>
      </c>
    </row>
    <row r="1086" spans="1:3" x14ac:dyDescent="0.25">
      <c r="A1086" s="428">
        <v>41516</v>
      </c>
      <c r="B1086" s="429">
        <v>0.1564699074074074</v>
      </c>
      <c r="C1086" s="432" t="s">
        <v>1419</v>
      </c>
    </row>
    <row r="1087" spans="1:3" x14ac:dyDescent="0.25">
      <c r="A1087" s="428">
        <v>41516</v>
      </c>
      <c r="B1087" s="429">
        <v>0.1564699074074074</v>
      </c>
      <c r="C1087" s="432" t="s">
        <v>1420</v>
      </c>
    </row>
    <row r="1088" spans="1:3" x14ac:dyDescent="0.25">
      <c r="A1088" s="428">
        <v>41516</v>
      </c>
      <c r="B1088" s="429">
        <v>0.1564699074074074</v>
      </c>
      <c r="C1088" s="432" t="s">
        <v>1420</v>
      </c>
    </row>
    <row r="1089" spans="1:3" x14ac:dyDescent="0.25">
      <c r="A1089" s="428">
        <v>41516</v>
      </c>
      <c r="B1089" s="429">
        <v>0.1564699074074074</v>
      </c>
      <c r="C1089" s="432" t="s">
        <v>1361</v>
      </c>
    </row>
    <row r="1090" spans="1:3" x14ac:dyDescent="0.25">
      <c r="A1090" s="428">
        <v>41516</v>
      </c>
      <c r="B1090" s="429">
        <v>0.1564699074074074</v>
      </c>
      <c r="C1090" s="432" t="s">
        <v>1418</v>
      </c>
    </row>
    <row r="1091" spans="1:3" x14ac:dyDescent="0.25">
      <c r="A1091" s="428">
        <v>41516</v>
      </c>
      <c r="B1091" s="429">
        <v>0.1564699074074074</v>
      </c>
      <c r="C1091" s="432" t="s">
        <v>1349</v>
      </c>
    </row>
    <row r="1092" spans="1:3" x14ac:dyDescent="0.25">
      <c r="A1092" s="428">
        <v>41516</v>
      </c>
      <c r="B1092" s="429">
        <v>0.1564699074074074</v>
      </c>
      <c r="C1092" s="432" t="s">
        <v>1421</v>
      </c>
    </row>
    <row r="1093" spans="1:3" x14ac:dyDescent="0.25">
      <c r="A1093" s="428">
        <v>41516</v>
      </c>
      <c r="B1093" s="429">
        <v>0.1564699074074074</v>
      </c>
      <c r="C1093" s="432" t="s">
        <v>1422</v>
      </c>
    </row>
    <row r="1094" spans="1:3" x14ac:dyDescent="0.25">
      <c r="A1094" s="428">
        <v>41516</v>
      </c>
      <c r="B1094" s="429">
        <v>0.1564699074074074</v>
      </c>
      <c r="C1094" s="432" t="s">
        <v>1423</v>
      </c>
    </row>
    <row r="1095" spans="1:3" x14ac:dyDescent="0.25">
      <c r="A1095" s="428">
        <v>41516</v>
      </c>
      <c r="B1095" s="429">
        <v>0.1564699074074074</v>
      </c>
      <c r="C1095" s="432" t="s">
        <v>1424</v>
      </c>
    </row>
    <row r="1096" spans="1:3" x14ac:dyDescent="0.25">
      <c r="A1096" s="428">
        <v>41516</v>
      </c>
      <c r="B1096" s="429">
        <v>0.1564699074074074</v>
      </c>
      <c r="C1096" s="432" t="s">
        <v>1414</v>
      </c>
    </row>
    <row r="1097" spans="1:3" x14ac:dyDescent="0.25">
      <c r="A1097" s="428">
        <v>41516</v>
      </c>
      <c r="B1097" s="429">
        <v>0.1564699074074074</v>
      </c>
      <c r="C1097" s="432" t="s">
        <v>1425</v>
      </c>
    </row>
    <row r="1098" spans="1:3" x14ac:dyDescent="0.25">
      <c r="A1098" s="428">
        <v>41516</v>
      </c>
      <c r="B1098" s="429">
        <v>0.1564699074074074</v>
      </c>
      <c r="C1098" s="432" t="s">
        <v>1401</v>
      </c>
    </row>
    <row r="1099" spans="1:3" x14ac:dyDescent="0.25">
      <c r="A1099" s="428">
        <v>41516</v>
      </c>
      <c r="B1099" s="429">
        <v>0.1564699074074074</v>
      </c>
      <c r="C1099" s="432" t="s">
        <v>1426</v>
      </c>
    </row>
    <row r="1100" spans="1:3" x14ac:dyDescent="0.25">
      <c r="A1100" s="428">
        <v>41516</v>
      </c>
      <c r="B1100" s="429">
        <v>0.1564699074074074</v>
      </c>
      <c r="C1100" s="432" t="s">
        <v>1427</v>
      </c>
    </row>
    <row r="1101" spans="1:3" x14ac:dyDescent="0.25">
      <c r="A1101" s="428">
        <v>41516</v>
      </c>
      <c r="B1101" s="429">
        <v>0.1564699074074074</v>
      </c>
      <c r="C1101" s="432" t="s">
        <v>1428</v>
      </c>
    </row>
    <row r="1102" spans="1:3" x14ac:dyDescent="0.25">
      <c r="A1102" s="428">
        <v>41516</v>
      </c>
      <c r="B1102" s="429">
        <v>0.1564699074074074</v>
      </c>
      <c r="C1102" s="432" t="s">
        <v>1429</v>
      </c>
    </row>
    <row r="1103" spans="1:3" x14ac:dyDescent="0.25">
      <c r="A1103" s="428">
        <v>41516</v>
      </c>
      <c r="B1103" s="429">
        <v>0.1564699074074074</v>
      </c>
      <c r="C1103" s="432" t="s">
        <v>1430</v>
      </c>
    </row>
    <row r="1104" spans="1:3" x14ac:dyDescent="0.25">
      <c r="A1104" s="428">
        <v>41516</v>
      </c>
      <c r="B1104" s="429">
        <v>0.1564699074074074</v>
      </c>
      <c r="C1104" s="432" t="s">
        <v>1431</v>
      </c>
    </row>
    <row r="1105" spans="1:3" x14ac:dyDescent="0.25">
      <c r="A1105" s="428">
        <v>41516</v>
      </c>
      <c r="B1105" s="429">
        <v>0.1564699074074074</v>
      </c>
      <c r="C1105" s="432" t="s">
        <v>1421</v>
      </c>
    </row>
    <row r="1106" spans="1:3" x14ac:dyDescent="0.25">
      <c r="A1106" s="428">
        <v>41516</v>
      </c>
      <c r="B1106" s="429">
        <v>0.1564699074074074</v>
      </c>
      <c r="C1106" s="432" t="s">
        <v>1432</v>
      </c>
    </row>
    <row r="1107" spans="1:3" x14ac:dyDescent="0.25">
      <c r="A1107" s="428">
        <v>41516</v>
      </c>
      <c r="B1107" s="429">
        <v>0.1564699074074074</v>
      </c>
      <c r="C1107" s="432" t="s">
        <v>1433</v>
      </c>
    </row>
    <row r="1108" spans="1:3" x14ac:dyDescent="0.25">
      <c r="A1108" s="428">
        <v>41516</v>
      </c>
      <c r="B1108" s="429">
        <v>0.1564699074074074</v>
      </c>
      <c r="C1108" s="432" t="s">
        <v>1355</v>
      </c>
    </row>
    <row r="1109" spans="1:3" x14ac:dyDescent="0.25">
      <c r="A1109" s="428">
        <v>41516</v>
      </c>
      <c r="B1109" s="429">
        <v>0.15648148148148147</v>
      </c>
      <c r="C1109" s="432" t="s">
        <v>1434</v>
      </c>
    </row>
    <row r="1110" spans="1:3" x14ac:dyDescent="0.25">
      <c r="A1110" s="428">
        <v>41516</v>
      </c>
      <c r="B1110" s="429">
        <v>0.15648148148148147</v>
      </c>
      <c r="C1110" s="432" t="s">
        <v>1435</v>
      </c>
    </row>
    <row r="1111" spans="1:3" x14ac:dyDescent="0.25">
      <c r="A1111" s="428">
        <v>41516</v>
      </c>
      <c r="B1111" s="429">
        <v>0.15648148148148147</v>
      </c>
      <c r="C1111" s="432" t="s">
        <v>1436</v>
      </c>
    </row>
    <row r="1112" spans="1:3" x14ac:dyDescent="0.25">
      <c r="A1112" s="428">
        <v>41516</v>
      </c>
      <c r="B1112" s="429">
        <v>0.15648148148148147</v>
      </c>
      <c r="C1112" s="432" t="s">
        <v>1437</v>
      </c>
    </row>
    <row r="1113" spans="1:3" x14ac:dyDescent="0.25">
      <c r="A1113" s="428">
        <v>41516</v>
      </c>
      <c r="B1113" s="429">
        <v>0.15648148148148147</v>
      </c>
      <c r="C1113" s="432" t="s">
        <v>1438</v>
      </c>
    </row>
    <row r="1114" spans="1:3" x14ac:dyDescent="0.25">
      <c r="A1114" s="428">
        <v>41516</v>
      </c>
      <c r="B1114" s="429">
        <v>0.15648148148148147</v>
      </c>
      <c r="C1114" s="432" t="s">
        <v>1439</v>
      </c>
    </row>
    <row r="1115" spans="1:3" x14ac:dyDescent="0.25">
      <c r="A1115" s="428">
        <v>41516</v>
      </c>
      <c r="B1115" s="429">
        <v>0.15648148148148147</v>
      </c>
      <c r="C1115" s="432" t="s">
        <v>1440</v>
      </c>
    </row>
    <row r="1116" spans="1:3" x14ac:dyDescent="0.25">
      <c r="A1116" s="428">
        <v>41516</v>
      </c>
      <c r="B1116" s="429">
        <v>0.15648148148148147</v>
      </c>
      <c r="C1116" s="432" t="s">
        <v>1422</v>
      </c>
    </row>
    <row r="1117" spans="1:3" x14ac:dyDescent="0.25">
      <c r="A1117" s="428">
        <v>41516</v>
      </c>
      <c r="B1117" s="429">
        <v>0.15648148148148147</v>
      </c>
      <c r="C1117" s="432" t="s">
        <v>1441</v>
      </c>
    </row>
    <row r="1118" spans="1:3" x14ac:dyDescent="0.25">
      <c r="A1118" s="428">
        <v>41516</v>
      </c>
      <c r="B1118" s="429">
        <v>0.15648148148148147</v>
      </c>
      <c r="C1118" s="432" t="s">
        <v>1442</v>
      </c>
    </row>
    <row r="1119" spans="1:3" x14ac:dyDescent="0.25">
      <c r="A1119" s="428">
        <v>41516</v>
      </c>
      <c r="B1119" s="429">
        <v>0.15648148148148147</v>
      </c>
      <c r="C1119" s="432" t="s">
        <v>1434</v>
      </c>
    </row>
    <row r="1120" spans="1:3" x14ac:dyDescent="0.25">
      <c r="A1120" s="428">
        <v>41516</v>
      </c>
      <c r="B1120" s="429">
        <v>0.15648148148148147</v>
      </c>
      <c r="C1120" s="432" t="s">
        <v>1443</v>
      </c>
    </row>
    <row r="1121" spans="1:3" x14ac:dyDescent="0.25">
      <c r="A1121" s="428">
        <v>41516</v>
      </c>
      <c r="B1121" s="429">
        <v>0.15648148148148147</v>
      </c>
      <c r="C1121" s="432" t="s">
        <v>1444</v>
      </c>
    </row>
    <row r="1122" spans="1:3" x14ac:dyDescent="0.25">
      <c r="A1122" s="428">
        <v>41516</v>
      </c>
      <c r="B1122" s="429">
        <v>0.15648148148148147</v>
      </c>
      <c r="C1122" s="432" t="s">
        <v>1445</v>
      </c>
    </row>
    <row r="1123" spans="1:3" x14ac:dyDescent="0.25">
      <c r="A1123" s="428">
        <v>41516</v>
      </c>
      <c r="B1123" s="429">
        <v>0.15648148148148147</v>
      </c>
      <c r="C1123" s="432" t="s">
        <v>1445</v>
      </c>
    </row>
    <row r="1124" spans="1:3" x14ac:dyDescent="0.25">
      <c r="A1124" s="428">
        <v>41516</v>
      </c>
      <c r="B1124" s="429">
        <v>0.15648148148148147</v>
      </c>
      <c r="C1124" s="432" t="s">
        <v>1371</v>
      </c>
    </row>
    <row r="1125" spans="1:3" x14ac:dyDescent="0.25">
      <c r="A1125" s="428">
        <v>41516</v>
      </c>
      <c r="B1125" s="429">
        <v>0.15648148148148147</v>
      </c>
      <c r="C1125" s="432" t="s">
        <v>1446</v>
      </c>
    </row>
    <row r="1126" spans="1:3" x14ac:dyDescent="0.25">
      <c r="A1126" s="428">
        <v>41516</v>
      </c>
      <c r="B1126" s="429">
        <v>0.15648148148148147</v>
      </c>
      <c r="C1126" s="432" t="s">
        <v>1447</v>
      </c>
    </row>
    <row r="1127" spans="1:3" x14ac:dyDescent="0.25">
      <c r="A1127" s="428">
        <v>41516</v>
      </c>
      <c r="B1127" s="429">
        <v>0.15648148148148147</v>
      </c>
      <c r="C1127" s="432" t="s">
        <v>1448</v>
      </c>
    </row>
    <row r="1128" spans="1:3" x14ac:dyDescent="0.25">
      <c r="A1128" s="428">
        <v>41516</v>
      </c>
      <c r="B1128" s="429">
        <v>0.15648148148148147</v>
      </c>
      <c r="C1128" s="432" t="s">
        <v>1416</v>
      </c>
    </row>
    <row r="1129" spans="1:3" x14ac:dyDescent="0.25">
      <c r="A1129" s="428">
        <v>41516</v>
      </c>
      <c r="B1129" s="429">
        <v>0.15648148148148147</v>
      </c>
      <c r="C1129" s="432" t="s">
        <v>1431</v>
      </c>
    </row>
    <row r="1130" spans="1:3" x14ac:dyDescent="0.25">
      <c r="A1130" s="428">
        <v>41516</v>
      </c>
      <c r="B1130" s="429">
        <v>0.15648148148148147</v>
      </c>
      <c r="C1130" s="432" t="s">
        <v>1449</v>
      </c>
    </row>
    <row r="1131" spans="1:3" x14ac:dyDescent="0.25">
      <c r="A1131" s="428">
        <v>41516</v>
      </c>
      <c r="B1131" s="429">
        <v>0.15648148148148147</v>
      </c>
      <c r="C1131" s="432" t="s">
        <v>1450</v>
      </c>
    </row>
    <row r="1132" spans="1:3" x14ac:dyDescent="0.25">
      <c r="A1132" s="428">
        <v>41516</v>
      </c>
      <c r="B1132" s="429">
        <v>0.15648148148148147</v>
      </c>
      <c r="C1132" s="432" t="s">
        <v>1415</v>
      </c>
    </row>
    <row r="1133" spans="1:3" x14ac:dyDescent="0.25">
      <c r="A1133" s="428">
        <v>41516</v>
      </c>
      <c r="B1133" s="429">
        <v>0.15648148148148147</v>
      </c>
      <c r="C1133" s="432" t="s">
        <v>1451</v>
      </c>
    </row>
    <row r="1134" spans="1:3" x14ac:dyDescent="0.25">
      <c r="A1134" s="428">
        <v>41516</v>
      </c>
      <c r="B1134" s="429">
        <v>0.15648148148148147</v>
      </c>
      <c r="C1134" s="432" t="s">
        <v>1452</v>
      </c>
    </row>
    <row r="1135" spans="1:3" x14ac:dyDescent="0.25">
      <c r="A1135" s="428">
        <v>41516</v>
      </c>
      <c r="B1135" s="429">
        <v>0.15648148148148147</v>
      </c>
      <c r="C1135" s="432" t="s">
        <v>1444</v>
      </c>
    </row>
    <row r="1136" spans="1:3" x14ac:dyDescent="0.25">
      <c r="A1136" s="428">
        <v>41516</v>
      </c>
      <c r="B1136" s="429">
        <v>0.15648148148148147</v>
      </c>
      <c r="C1136" s="432" t="s">
        <v>1453</v>
      </c>
    </row>
    <row r="1137" spans="1:3" x14ac:dyDescent="0.25">
      <c r="A1137" s="428">
        <v>41516</v>
      </c>
      <c r="B1137" s="429">
        <v>0.15648148148148147</v>
      </c>
      <c r="C1137" s="432" t="s">
        <v>1454</v>
      </c>
    </row>
    <row r="1138" spans="1:3" x14ac:dyDescent="0.25">
      <c r="A1138" s="428">
        <v>41516</v>
      </c>
      <c r="B1138" s="429">
        <v>0.15648148148148147</v>
      </c>
      <c r="C1138" s="432" t="s">
        <v>1423</v>
      </c>
    </row>
    <row r="1139" spans="1:3" x14ac:dyDescent="0.25">
      <c r="A1139" s="428">
        <v>41516</v>
      </c>
      <c r="B1139" s="429">
        <v>0.15648148148148147</v>
      </c>
      <c r="C1139" s="432" t="s">
        <v>1434</v>
      </c>
    </row>
    <row r="1140" spans="1:3" x14ac:dyDescent="0.25">
      <c r="A1140" s="428">
        <v>41516</v>
      </c>
      <c r="B1140" s="429">
        <v>0.15648148148148147</v>
      </c>
      <c r="C1140" s="432" t="s">
        <v>1455</v>
      </c>
    </row>
    <row r="1141" spans="1:3" x14ac:dyDescent="0.25">
      <c r="A1141" s="428">
        <v>41516</v>
      </c>
      <c r="B1141" s="429">
        <v>0.15648148148148147</v>
      </c>
      <c r="C1141" s="432" t="s">
        <v>1349</v>
      </c>
    </row>
    <row r="1142" spans="1:3" x14ac:dyDescent="0.25">
      <c r="A1142" s="428">
        <v>41516</v>
      </c>
      <c r="B1142" s="429">
        <v>0.15648148148148147</v>
      </c>
      <c r="C1142" s="432" t="s">
        <v>1361</v>
      </c>
    </row>
    <row r="1143" spans="1:3" x14ac:dyDescent="0.25">
      <c r="A1143" s="428">
        <v>41516</v>
      </c>
      <c r="B1143" s="429">
        <v>0.15648148148148147</v>
      </c>
      <c r="C1143" s="432" t="s">
        <v>1456</v>
      </c>
    </row>
    <row r="1144" spans="1:3" x14ac:dyDescent="0.25">
      <c r="A1144" s="428">
        <v>41516</v>
      </c>
      <c r="B1144" s="429">
        <v>0.15648148148148147</v>
      </c>
      <c r="C1144" s="432" t="s">
        <v>1457</v>
      </c>
    </row>
    <row r="1145" spans="1:3" x14ac:dyDescent="0.25">
      <c r="A1145" s="428">
        <v>41516</v>
      </c>
      <c r="B1145" s="429">
        <v>0.15648148148148147</v>
      </c>
      <c r="C1145" s="432" t="s">
        <v>1458</v>
      </c>
    </row>
    <row r="1146" spans="1:3" x14ac:dyDescent="0.25">
      <c r="A1146" s="428">
        <v>41516</v>
      </c>
      <c r="B1146" s="429">
        <v>0.15648148148148147</v>
      </c>
      <c r="C1146" s="432" t="s">
        <v>1459</v>
      </c>
    </row>
    <row r="1147" spans="1:3" x14ac:dyDescent="0.25">
      <c r="A1147" s="428">
        <v>41516</v>
      </c>
      <c r="B1147" s="429">
        <v>0.15648148148148147</v>
      </c>
      <c r="C1147" s="432" t="s">
        <v>1459</v>
      </c>
    </row>
    <row r="1148" spans="1:3" x14ac:dyDescent="0.25">
      <c r="A1148" s="428">
        <v>41516</v>
      </c>
      <c r="B1148" s="429">
        <v>0.15648148148148147</v>
      </c>
      <c r="C1148" s="432" t="s">
        <v>1451</v>
      </c>
    </row>
    <row r="1149" spans="1:3" x14ac:dyDescent="0.25">
      <c r="A1149" s="428">
        <v>41516</v>
      </c>
      <c r="B1149" s="429">
        <v>0.15648148148148147</v>
      </c>
      <c r="C1149" s="432" t="s">
        <v>1460</v>
      </c>
    </row>
    <row r="1150" spans="1:3" x14ac:dyDescent="0.25">
      <c r="A1150" s="428">
        <v>41516</v>
      </c>
      <c r="B1150" s="429">
        <v>0.15648148148148147</v>
      </c>
      <c r="C1150" s="432" t="s">
        <v>1461</v>
      </c>
    </row>
    <row r="1151" spans="1:3" x14ac:dyDescent="0.25">
      <c r="A1151" s="428">
        <v>41516</v>
      </c>
      <c r="B1151" s="429">
        <v>0.15648148148148147</v>
      </c>
      <c r="C1151" s="432" t="s">
        <v>1401</v>
      </c>
    </row>
    <row r="1152" spans="1:3" x14ac:dyDescent="0.25">
      <c r="A1152" s="428">
        <v>41516</v>
      </c>
      <c r="B1152" s="429">
        <v>0.15648148148148147</v>
      </c>
      <c r="C1152" s="432" t="s">
        <v>1462</v>
      </c>
    </row>
    <row r="1153" spans="1:3" x14ac:dyDescent="0.25">
      <c r="A1153" s="428">
        <v>41516</v>
      </c>
      <c r="B1153" s="429">
        <v>0.15648148148148147</v>
      </c>
      <c r="C1153" s="432" t="s">
        <v>1376</v>
      </c>
    </row>
    <row r="1154" spans="1:3" x14ac:dyDescent="0.25">
      <c r="A1154" s="428">
        <v>41516</v>
      </c>
      <c r="B1154" s="429">
        <v>0.15648148148148147</v>
      </c>
      <c r="C1154" s="432" t="s">
        <v>1393</v>
      </c>
    </row>
    <row r="1155" spans="1:3" x14ac:dyDescent="0.25">
      <c r="A1155" s="428">
        <v>41516</v>
      </c>
      <c r="B1155" s="429">
        <v>0.15648148148148147</v>
      </c>
      <c r="C1155" s="432" t="s">
        <v>1463</v>
      </c>
    </row>
    <row r="1156" spans="1:3" x14ac:dyDescent="0.25">
      <c r="A1156" s="428">
        <v>41516</v>
      </c>
      <c r="B1156" s="429">
        <v>0.15648148148148147</v>
      </c>
      <c r="C1156" s="432" t="s">
        <v>1464</v>
      </c>
    </row>
    <row r="1157" spans="1:3" x14ac:dyDescent="0.25">
      <c r="A1157" s="428">
        <v>41516</v>
      </c>
      <c r="B1157" s="429">
        <v>0.15648148148148147</v>
      </c>
      <c r="C1157" s="432" t="s">
        <v>1465</v>
      </c>
    </row>
    <row r="1158" spans="1:3" x14ac:dyDescent="0.25">
      <c r="A1158" s="428">
        <v>41516</v>
      </c>
      <c r="B1158" s="429">
        <v>0.15648148148148147</v>
      </c>
      <c r="C1158" s="432" t="s">
        <v>1466</v>
      </c>
    </row>
    <row r="1159" spans="1:3" x14ac:dyDescent="0.25">
      <c r="A1159" s="428">
        <v>41516</v>
      </c>
      <c r="B1159" s="429">
        <v>0.15648148148148147</v>
      </c>
      <c r="C1159" s="432" t="s">
        <v>1467</v>
      </c>
    </row>
    <row r="1160" spans="1:3" x14ac:dyDescent="0.25">
      <c r="A1160" s="428">
        <v>41516</v>
      </c>
      <c r="B1160" s="429">
        <v>0.15648148148148147</v>
      </c>
      <c r="C1160" s="432" t="s">
        <v>1468</v>
      </c>
    </row>
    <row r="1161" spans="1:3" x14ac:dyDescent="0.25">
      <c r="A1161" s="428">
        <v>41516</v>
      </c>
      <c r="B1161" s="429">
        <v>0.15648148148148147</v>
      </c>
      <c r="C1161" s="432" t="s">
        <v>1469</v>
      </c>
    </row>
    <row r="1162" spans="1:3" x14ac:dyDescent="0.25">
      <c r="A1162" s="428">
        <v>41516</v>
      </c>
      <c r="B1162" s="429">
        <v>0.15648148148148147</v>
      </c>
      <c r="C1162" s="432" t="s">
        <v>1470</v>
      </c>
    </row>
    <row r="1163" spans="1:3" x14ac:dyDescent="0.25">
      <c r="A1163" s="428">
        <v>41516</v>
      </c>
      <c r="B1163" s="429">
        <v>0.15648148148148147</v>
      </c>
      <c r="C1163" s="432" t="s">
        <v>1414</v>
      </c>
    </row>
    <row r="1164" spans="1:3" x14ac:dyDescent="0.25">
      <c r="A1164" s="428">
        <v>41516</v>
      </c>
      <c r="B1164" s="429">
        <v>0.15648148148148147</v>
      </c>
      <c r="C1164" s="432" t="s">
        <v>1351</v>
      </c>
    </row>
    <row r="1165" spans="1:3" x14ac:dyDescent="0.25">
      <c r="A1165" s="428">
        <v>41516</v>
      </c>
      <c r="B1165" s="429">
        <v>0.15648148148148147</v>
      </c>
      <c r="C1165" s="432" t="s">
        <v>1351</v>
      </c>
    </row>
    <row r="1166" spans="1:3" x14ac:dyDescent="0.25">
      <c r="A1166" s="428">
        <v>41516</v>
      </c>
      <c r="B1166" s="429">
        <v>0.15648148148148147</v>
      </c>
      <c r="C1166" s="432" t="s">
        <v>1351</v>
      </c>
    </row>
    <row r="1167" spans="1:3" x14ac:dyDescent="0.25">
      <c r="A1167" s="428">
        <v>41516</v>
      </c>
      <c r="B1167" s="429">
        <v>0.15648148148148147</v>
      </c>
      <c r="C1167" s="432" t="s">
        <v>1351</v>
      </c>
    </row>
    <row r="1168" spans="1:3" x14ac:dyDescent="0.25">
      <c r="A1168" s="428">
        <v>41516</v>
      </c>
      <c r="B1168" s="429">
        <v>0.15648148148148147</v>
      </c>
      <c r="C1168" s="432" t="s">
        <v>1351</v>
      </c>
    </row>
    <row r="1169" spans="1:3" x14ac:dyDescent="0.25">
      <c r="A1169" s="428">
        <v>41516</v>
      </c>
      <c r="B1169" s="429">
        <v>0.15648148148148147</v>
      </c>
      <c r="C1169" s="432" t="s">
        <v>1351</v>
      </c>
    </row>
    <row r="1170" spans="1:3" x14ac:dyDescent="0.25">
      <c r="A1170" s="428">
        <v>41516</v>
      </c>
      <c r="B1170" s="429">
        <v>0.15648148148148147</v>
      </c>
      <c r="C1170" s="432" t="s">
        <v>1471</v>
      </c>
    </row>
    <row r="1171" spans="1:3" x14ac:dyDescent="0.25">
      <c r="A1171" s="428">
        <v>41516</v>
      </c>
      <c r="B1171" s="429">
        <v>0.15648148148148147</v>
      </c>
      <c r="C1171" s="432" t="s">
        <v>1472</v>
      </c>
    </row>
    <row r="1172" spans="1:3" x14ac:dyDescent="0.25">
      <c r="A1172" s="428">
        <v>41516</v>
      </c>
      <c r="B1172" s="429">
        <v>0.15648148148148147</v>
      </c>
      <c r="C1172" s="432" t="s">
        <v>1473</v>
      </c>
    </row>
    <row r="1173" spans="1:3" x14ac:dyDescent="0.25">
      <c r="A1173" s="428">
        <v>41516</v>
      </c>
      <c r="B1173" s="429">
        <v>0.15648148148148147</v>
      </c>
      <c r="C1173" s="432" t="s">
        <v>1474</v>
      </c>
    </row>
    <row r="1174" spans="1:3" x14ac:dyDescent="0.25">
      <c r="A1174" s="428">
        <v>41516</v>
      </c>
      <c r="B1174" s="429">
        <v>0.15648148148148147</v>
      </c>
      <c r="C1174" s="432" t="s">
        <v>1475</v>
      </c>
    </row>
    <row r="1175" spans="1:3" x14ac:dyDescent="0.25">
      <c r="A1175" s="428">
        <v>41516</v>
      </c>
      <c r="B1175" s="429">
        <v>0.15649305555555557</v>
      </c>
      <c r="C1175" s="432" t="s">
        <v>1351</v>
      </c>
    </row>
    <row r="1176" spans="1:3" x14ac:dyDescent="0.25">
      <c r="A1176" s="428">
        <v>41516</v>
      </c>
      <c r="B1176" s="429">
        <v>0.15649305555555557</v>
      </c>
      <c r="C1176" s="432" t="s">
        <v>1476</v>
      </c>
    </row>
    <row r="1177" spans="1:3" x14ac:dyDescent="0.25">
      <c r="A1177" s="428">
        <v>41516</v>
      </c>
      <c r="B1177" s="429">
        <v>0.15649305555555557</v>
      </c>
      <c r="C1177" s="432" t="s">
        <v>1477</v>
      </c>
    </row>
    <row r="1178" spans="1:3" x14ac:dyDescent="0.25">
      <c r="A1178" s="428">
        <v>41516</v>
      </c>
      <c r="B1178" s="429">
        <v>0.15649305555555557</v>
      </c>
      <c r="C1178" s="432" t="s">
        <v>1478</v>
      </c>
    </row>
    <row r="1179" spans="1:3" x14ac:dyDescent="0.25">
      <c r="A1179" s="428">
        <v>41516</v>
      </c>
      <c r="B1179" s="429">
        <v>0.15649305555555557</v>
      </c>
      <c r="C1179" s="432" t="s">
        <v>1442</v>
      </c>
    </row>
    <row r="1180" spans="1:3" x14ac:dyDescent="0.25">
      <c r="A1180" s="428">
        <v>41516</v>
      </c>
      <c r="B1180" s="429">
        <v>0.15649305555555557</v>
      </c>
      <c r="C1180" s="432" t="s">
        <v>1479</v>
      </c>
    </row>
    <row r="1181" spans="1:3" x14ac:dyDescent="0.25">
      <c r="A1181" s="428">
        <v>41516</v>
      </c>
      <c r="B1181" s="429">
        <v>0.15649305555555557</v>
      </c>
      <c r="C1181" s="432" t="s">
        <v>1480</v>
      </c>
    </row>
    <row r="1182" spans="1:3" x14ac:dyDescent="0.25">
      <c r="A1182" s="428">
        <v>41516</v>
      </c>
      <c r="B1182" s="429">
        <v>0.15649305555555557</v>
      </c>
      <c r="C1182" s="432" t="s">
        <v>1481</v>
      </c>
    </row>
    <row r="1183" spans="1:3" x14ac:dyDescent="0.25">
      <c r="A1183" s="428">
        <v>41516</v>
      </c>
      <c r="B1183" s="429">
        <v>0.15649305555555557</v>
      </c>
      <c r="C1183" s="432" t="s">
        <v>1482</v>
      </c>
    </row>
    <row r="1184" spans="1:3" x14ac:dyDescent="0.25">
      <c r="A1184" s="428">
        <v>41516</v>
      </c>
      <c r="B1184" s="429">
        <v>0.15649305555555557</v>
      </c>
      <c r="C1184" s="432" t="s">
        <v>1483</v>
      </c>
    </row>
    <row r="1185" spans="1:3" x14ac:dyDescent="0.25">
      <c r="A1185" s="428">
        <v>41516</v>
      </c>
      <c r="B1185" s="429">
        <v>0.15649305555555557</v>
      </c>
      <c r="C1185" s="432" t="s">
        <v>1393</v>
      </c>
    </row>
    <row r="1186" spans="1:3" x14ac:dyDescent="0.25">
      <c r="A1186" s="428">
        <v>41516</v>
      </c>
      <c r="B1186" s="429">
        <v>0.15649305555555557</v>
      </c>
      <c r="C1186" s="432" t="s">
        <v>1460</v>
      </c>
    </row>
    <row r="1187" spans="1:3" x14ac:dyDescent="0.25">
      <c r="A1187" s="428">
        <v>41516</v>
      </c>
      <c r="B1187" s="429">
        <v>0.15649305555555557</v>
      </c>
      <c r="C1187" s="432" t="s">
        <v>1484</v>
      </c>
    </row>
    <row r="1188" spans="1:3" x14ac:dyDescent="0.25">
      <c r="A1188" s="428">
        <v>41516</v>
      </c>
      <c r="B1188" s="429">
        <v>0.15649305555555557</v>
      </c>
      <c r="C1188" s="432" t="s">
        <v>1485</v>
      </c>
    </row>
    <row r="1189" spans="1:3" x14ac:dyDescent="0.25">
      <c r="A1189" s="428">
        <v>41516</v>
      </c>
      <c r="B1189" s="429">
        <v>0.15649305555555557</v>
      </c>
      <c r="C1189" s="432" t="s">
        <v>1485</v>
      </c>
    </row>
    <row r="1190" spans="1:3" x14ac:dyDescent="0.25">
      <c r="A1190" s="428">
        <v>41516</v>
      </c>
      <c r="B1190" s="429">
        <v>0.15649305555555557</v>
      </c>
      <c r="C1190" s="432" t="s">
        <v>1477</v>
      </c>
    </row>
    <row r="1191" spans="1:3" x14ac:dyDescent="0.25">
      <c r="A1191" s="428">
        <v>41516</v>
      </c>
      <c r="B1191" s="429">
        <v>0.15649305555555557</v>
      </c>
      <c r="C1191" s="432" t="s">
        <v>1540</v>
      </c>
    </row>
    <row r="1192" spans="1:3" x14ac:dyDescent="0.25">
      <c r="A1192" s="428">
        <v>41516</v>
      </c>
      <c r="B1192" s="429">
        <v>0.15649305555555557</v>
      </c>
      <c r="C1192" s="432" t="s">
        <v>1541</v>
      </c>
    </row>
    <row r="1193" spans="1:3" x14ac:dyDescent="0.25">
      <c r="A1193" s="428">
        <v>41516</v>
      </c>
      <c r="B1193" s="429">
        <v>0.15649305555555557</v>
      </c>
      <c r="C1193" s="432" t="s">
        <v>1460</v>
      </c>
    </row>
    <row r="1194" spans="1:3" x14ac:dyDescent="0.25">
      <c r="A1194" s="428">
        <v>41516</v>
      </c>
      <c r="B1194" s="429">
        <v>0.15650462962962963</v>
      </c>
      <c r="C1194" s="432" t="s">
        <v>1546</v>
      </c>
    </row>
    <row r="1195" spans="1:3" x14ac:dyDescent="0.25">
      <c r="A1195" s="428">
        <v>41516</v>
      </c>
      <c r="B1195" s="429">
        <v>0.15887731481481482</v>
      </c>
      <c r="C1195" s="432" t="s">
        <v>1547</v>
      </c>
    </row>
    <row r="1196" spans="1:3" x14ac:dyDescent="0.25">
      <c r="A1196" s="428">
        <v>41516</v>
      </c>
      <c r="B1196" s="429">
        <v>0.15887731481481482</v>
      </c>
      <c r="C1196" s="432" t="s">
        <v>1548</v>
      </c>
    </row>
    <row r="1197" spans="1:3" x14ac:dyDescent="0.25">
      <c r="A1197" s="428">
        <v>41516</v>
      </c>
      <c r="B1197" s="429">
        <v>0.15887731481481482</v>
      </c>
      <c r="C1197" s="432" t="s">
        <v>1548</v>
      </c>
    </row>
    <row r="1198" spans="1:3" x14ac:dyDescent="0.25">
      <c r="A1198" s="428">
        <v>41516</v>
      </c>
      <c r="B1198" s="429">
        <v>0.15887731481481482</v>
      </c>
      <c r="C1198" s="432" t="s">
        <v>1549</v>
      </c>
    </row>
    <row r="1199" spans="1:3" x14ac:dyDescent="0.25">
      <c r="A1199" s="428">
        <v>41516</v>
      </c>
      <c r="B1199" s="429">
        <v>0.15887731481481482</v>
      </c>
      <c r="C1199" s="432" t="s">
        <v>1550</v>
      </c>
    </row>
    <row r="1200" spans="1:3" x14ac:dyDescent="0.25">
      <c r="A1200" s="428">
        <v>41516</v>
      </c>
      <c r="B1200" s="429">
        <v>0.15887731481481482</v>
      </c>
      <c r="C1200" s="432" t="s">
        <v>1551</v>
      </c>
    </row>
    <row r="1201" spans="1:3" x14ac:dyDescent="0.25">
      <c r="A1201" s="428">
        <v>41516</v>
      </c>
      <c r="B1201" s="429">
        <v>0.15887731481481482</v>
      </c>
      <c r="C1201" s="432" t="s">
        <v>1548</v>
      </c>
    </row>
    <row r="1202" spans="1:3" x14ac:dyDescent="0.25">
      <c r="A1202" s="428">
        <v>41516</v>
      </c>
      <c r="B1202" s="429">
        <v>0.15887731481481482</v>
      </c>
      <c r="C1202" s="432" t="s">
        <v>1552</v>
      </c>
    </row>
    <row r="1203" spans="1:3" x14ac:dyDescent="0.25">
      <c r="A1203" s="428">
        <v>41516</v>
      </c>
      <c r="B1203" s="429">
        <v>0.15887731481481482</v>
      </c>
      <c r="C1203" s="432" t="s">
        <v>1552</v>
      </c>
    </row>
    <row r="1204" spans="1:3" x14ac:dyDescent="0.25">
      <c r="A1204" s="428">
        <v>41516</v>
      </c>
      <c r="B1204" s="429">
        <v>0.15887731481481482</v>
      </c>
      <c r="C1204" s="432" t="s">
        <v>1553</v>
      </c>
    </row>
    <row r="1205" spans="1:3" x14ac:dyDescent="0.25">
      <c r="A1205" s="428">
        <v>41516</v>
      </c>
      <c r="B1205" s="429">
        <v>0.15887731481481482</v>
      </c>
      <c r="C1205" s="432" t="s">
        <v>1554</v>
      </c>
    </row>
    <row r="1206" spans="1:3" x14ac:dyDescent="0.25">
      <c r="A1206" s="428">
        <v>41516</v>
      </c>
      <c r="B1206" s="429">
        <v>0.15887731481481482</v>
      </c>
      <c r="C1206" s="432" t="s">
        <v>1550</v>
      </c>
    </row>
    <row r="1207" spans="1:3" x14ac:dyDescent="0.25">
      <c r="A1207" s="428">
        <v>41516</v>
      </c>
      <c r="B1207" s="429">
        <v>0.15887731481481482</v>
      </c>
      <c r="C1207" s="432" t="s">
        <v>1550</v>
      </c>
    </row>
    <row r="1208" spans="1:3" x14ac:dyDescent="0.25">
      <c r="A1208" s="428">
        <v>41516</v>
      </c>
      <c r="B1208" s="429">
        <v>0.15887731481481482</v>
      </c>
      <c r="C1208" s="432" t="s">
        <v>1555</v>
      </c>
    </row>
    <row r="1209" spans="1:3" x14ac:dyDescent="0.25">
      <c r="A1209" s="428">
        <v>41516</v>
      </c>
      <c r="B1209" s="429">
        <v>0.15887731481481482</v>
      </c>
      <c r="C1209" s="432" t="s">
        <v>1556</v>
      </c>
    </row>
    <row r="1210" spans="1:3" x14ac:dyDescent="0.25">
      <c r="A1210" s="428">
        <v>41516</v>
      </c>
      <c r="B1210" s="429">
        <v>0.15887731481481482</v>
      </c>
      <c r="C1210" s="432" t="s">
        <v>1557</v>
      </c>
    </row>
    <row r="1211" spans="1:3" x14ac:dyDescent="0.25">
      <c r="A1211" s="428">
        <v>41516</v>
      </c>
      <c r="B1211" s="429">
        <v>0.15887731481481482</v>
      </c>
      <c r="C1211" s="432" t="s">
        <v>1558</v>
      </c>
    </row>
    <row r="1212" spans="1:3" x14ac:dyDescent="0.25">
      <c r="A1212" s="428">
        <v>41516</v>
      </c>
      <c r="B1212" s="429">
        <v>0.15887731481481482</v>
      </c>
      <c r="C1212" s="432" t="s">
        <v>1558</v>
      </c>
    </row>
    <row r="1213" spans="1:3" x14ac:dyDescent="0.25">
      <c r="A1213" s="428">
        <v>41516</v>
      </c>
      <c r="B1213" s="429">
        <v>0.15887731481481482</v>
      </c>
      <c r="C1213" s="432" t="s">
        <v>1548</v>
      </c>
    </row>
    <row r="1214" spans="1:3" x14ac:dyDescent="0.25">
      <c r="A1214" s="428">
        <v>41516</v>
      </c>
      <c r="B1214" s="429">
        <v>0.15887731481481482</v>
      </c>
      <c r="C1214" s="432" t="s">
        <v>1552</v>
      </c>
    </row>
    <row r="1215" spans="1:3" x14ac:dyDescent="0.25">
      <c r="A1215" s="428">
        <v>41516</v>
      </c>
      <c r="B1215" s="429">
        <v>0.15887731481481482</v>
      </c>
      <c r="C1215" s="432" t="s">
        <v>1556</v>
      </c>
    </row>
    <row r="1216" spans="1:3" x14ac:dyDescent="0.25">
      <c r="A1216" s="428">
        <v>41516</v>
      </c>
      <c r="B1216" s="429">
        <v>0.15887731481481482</v>
      </c>
      <c r="C1216" s="432" t="s">
        <v>1552</v>
      </c>
    </row>
    <row r="1217" spans="1:3" x14ac:dyDescent="0.25">
      <c r="A1217" s="428">
        <v>41516</v>
      </c>
      <c r="B1217" s="429">
        <v>0.15887731481481482</v>
      </c>
      <c r="C1217" s="432" t="s">
        <v>1559</v>
      </c>
    </row>
    <row r="1218" spans="1:3" x14ac:dyDescent="0.25">
      <c r="A1218" s="428">
        <v>41516</v>
      </c>
      <c r="B1218" s="429">
        <v>0.15887731481481482</v>
      </c>
      <c r="C1218" s="432" t="s">
        <v>1560</v>
      </c>
    </row>
    <row r="1219" spans="1:3" x14ac:dyDescent="0.25">
      <c r="A1219" s="428">
        <v>41516</v>
      </c>
      <c r="B1219" s="429">
        <v>0.15887731481481482</v>
      </c>
      <c r="C1219" s="432" t="s">
        <v>1552</v>
      </c>
    </row>
    <row r="1220" spans="1:3" x14ac:dyDescent="0.25">
      <c r="A1220" s="428">
        <v>41516</v>
      </c>
      <c r="B1220" s="429">
        <v>0.15888888888888889</v>
      </c>
      <c r="C1220" s="432" t="s">
        <v>1561</v>
      </c>
    </row>
    <row r="1221" spans="1:3" x14ac:dyDescent="0.25">
      <c r="A1221" s="428">
        <v>41516</v>
      </c>
      <c r="B1221" s="429">
        <v>0.15888888888888889</v>
      </c>
      <c r="C1221" s="432" t="s">
        <v>1561</v>
      </c>
    </row>
    <row r="1222" spans="1:3" x14ac:dyDescent="0.25">
      <c r="A1222" s="428">
        <v>41516</v>
      </c>
      <c r="B1222" s="429">
        <v>0.15888888888888889</v>
      </c>
      <c r="C1222" s="432" t="s">
        <v>1561</v>
      </c>
    </row>
    <row r="1223" spans="1:3" x14ac:dyDescent="0.25">
      <c r="A1223" s="428">
        <v>41516</v>
      </c>
      <c r="B1223" s="429">
        <v>0.15888888888888889</v>
      </c>
      <c r="C1223" s="432" t="s">
        <v>1561</v>
      </c>
    </row>
    <row r="1224" spans="1:3" x14ac:dyDescent="0.25">
      <c r="A1224" s="428">
        <v>41516</v>
      </c>
      <c r="B1224" s="429">
        <v>0.15888888888888889</v>
      </c>
      <c r="C1224" s="432" t="s">
        <v>1561</v>
      </c>
    </row>
    <row r="1225" spans="1:3" x14ac:dyDescent="0.25">
      <c r="A1225" s="428">
        <v>41516</v>
      </c>
      <c r="B1225" s="429">
        <v>0.15890046296296298</v>
      </c>
      <c r="C1225" s="432" t="s">
        <v>1562</v>
      </c>
    </row>
    <row r="1226" spans="1:3" ht="30" x14ac:dyDescent="0.25">
      <c r="A1226" s="428">
        <v>41516</v>
      </c>
      <c r="B1226" s="429">
        <v>0.16314814814814815</v>
      </c>
      <c r="C1226" s="433" t="s">
        <v>1563</v>
      </c>
    </row>
    <row r="1227" spans="1:3" ht="45" x14ac:dyDescent="0.25">
      <c r="A1227" s="428">
        <v>41516</v>
      </c>
      <c r="B1227" s="429">
        <v>0.16545138888888888</v>
      </c>
      <c r="C1227" s="433" t="s">
        <v>1564</v>
      </c>
    </row>
    <row r="1228" spans="1:3" ht="30" x14ac:dyDescent="0.25">
      <c r="A1228" s="428">
        <v>41516</v>
      </c>
      <c r="B1228" s="429">
        <v>0.1658449074074074</v>
      </c>
      <c r="C1228" s="433" t="s">
        <v>1565</v>
      </c>
    </row>
    <row r="1229" spans="1:3" ht="45" x14ac:dyDescent="0.25">
      <c r="A1229" s="428">
        <v>41516</v>
      </c>
      <c r="B1229" s="429">
        <v>0.64175925925925925</v>
      </c>
      <c r="C1229" s="433" t="s">
        <v>1566</v>
      </c>
    </row>
    <row r="1230" spans="1:3" ht="45" x14ac:dyDescent="0.25">
      <c r="A1230" s="428">
        <v>41516</v>
      </c>
      <c r="B1230" s="429">
        <v>0.64284722222222224</v>
      </c>
      <c r="C1230" s="433" t="s">
        <v>1567</v>
      </c>
    </row>
    <row r="1231" spans="1:3" ht="45" x14ac:dyDescent="0.25">
      <c r="A1231" s="428">
        <v>41516</v>
      </c>
      <c r="B1231" s="429">
        <v>0.64300925925925922</v>
      </c>
      <c r="C1231" s="433" t="s">
        <v>1568</v>
      </c>
    </row>
    <row r="1232" spans="1:3" ht="30" x14ac:dyDescent="0.25">
      <c r="A1232" s="428">
        <v>41516</v>
      </c>
      <c r="B1232" s="429">
        <v>0.64309027777777772</v>
      </c>
      <c r="C1232" s="433" t="s">
        <v>1569</v>
      </c>
    </row>
    <row r="1233" spans="1:3" ht="30" x14ac:dyDescent="0.25">
      <c r="A1233" s="428">
        <v>41516</v>
      </c>
      <c r="B1233" s="429">
        <v>0.78450231481481481</v>
      </c>
      <c r="C1233" s="433" t="s">
        <v>1570</v>
      </c>
    </row>
    <row r="1234" spans="1:3" ht="45" x14ac:dyDescent="0.25">
      <c r="A1234" s="428">
        <v>41517</v>
      </c>
      <c r="B1234" s="429">
        <v>0.51413194444444443</v>
      </c>
      <c r="C1234" s="433" t="s">
        <v>1573</v>
      </c>
    </row>
    <row r="1235" spans="1:3" ht="30" x14ac:dyDescent="0.25">
      <c r="A1235" s="428">
        <v>41517</v>
      </c>
      <c r="B1235" s="429">
        <v>0.58251157407407406</v>
      </c>
      <c r="C1235" s="433" t="s">
        <v>1576</v>
      </c>
    </row>
    <row r="1236" spans="1:3" ht="30" x14ac:dyDescent="0.25">
      <c r="A1236" s="428">
        <v>41517</v>
      </c>
      <c r="B1236" s="429">
        <v>0.58604166666666668</v>
      </c>
      <c r="C1236" s="433" t="s">
        <v>1576</v>
      </c>
    </row>
    <row r="1237" spans="1:3" ht="30" x14ac:dyDescent="0.25">
      <c r="A1237" s="428">
        <v>41517</v>
      </c>
      <c r="B1237" s="429">
        <v>0.58859953703703705</v>
      </c>
      <c r="C1237" s="433" t="s">
        <v>1576</v>
      </c>
    </row>
    <row r="1238" spans="1:3" ht="45" x14ac:dyDescent="0.25">
      <c r="A1238" s="428">
        <v>41517</v>
      </c>
      <c r="B1238" s="429">
        <v>0.60743055555555558</v>
      </c>
      <c r="C1238" s="433" t="s">
        <v>1577</v>
      </c>
    </row>
    <row r="1239" spans="1:3" x14ac:dyDescent="0.25">
      <c r="A1239" s="428">
        <v>41518</v>
      </c>
      <c r="B1239" s="429">
        <v>0.74582175925925931</v>
      </c>
      <c r="C1239" s="432" t="s">
        <v>1579</v>
      </c>
    </row>
    <row r="1240" spans="1:3" x14ac:dyDescent="0.25">
      <c r="A1240" s="428">
        <v>41518</v>
      </c>
      <c r="B1240" s="429">
        <v>0.78408564814814818</v>
      </c>
      <c r="C1240" s="432" t="s">
        <v>1580</v>
      </c>
    </row>
    <row r="1241" spans="1:3" x14ac:dyDescent="0.25">
      <c r="A1241" s="428">
        <v>41518</v>
      </c>
      <c r="B1241" s="429">
        <v>0.79060185185185183</v>
      </c>
      <c r="C1241" s="432" t="s">
        <v>1580</v>
      </c>
    </row>
    <row r="1242" spans="1:3" x14ac:dyDescent="0.25">
      <c r="A1242" s="428">
        <v>41518</v>
      </c>
      <c r="B1242" s="429">
        <v>0.81246527777777777</v>
      </c>
      <c r="C1242" s="432" t="s">
        <v>1580</v>
      </c>
    </row>
    <row r="1243" spans="1:3" x14ac:dyDescent="0.25">
      <c r="A1243" s="428">
        <v>41518</v>
      </c>
      <c r="B1243" s="429">
        <v>0.81503472222222229</v>
      </c>
      <c r="C1243" s="432" t="s">
        <v>1581</v>
      </c>
    </row>
    <row r="1244" spans="1:3" x14ac:dyDescent="0.25">
      <c r="A1244" s="428">
        <v>41518</v>
      </c>
      <c r="B1244" s="429">
        <v>0.8152314814814815</v>
      </c>
      <c r="C1244" s="432" t="s">
        <v>1580</v>
      </c>
    </row>
    <row r="1245" spans="1:3" x14ac:dyDescent="0.25">
      <c r="A1245" s="428">
        <v>41518</v>
      </c>
      <c r="B1245" s="429">
        <v>0.81535879629629626</v>
      </c>
      <c r="C1245" s="432" t="s">
        <v>1581</v>
      </c>
    </row>
    <row r="1246" spans="1:3" x14ac:dyDescent="0.25">
      <c r="A1246" s="428">
        <v>41518</v>
      </c>
      <c r="B1246" s="429">
        <v>0.81618055555555558</v>
      </c>
      <c r="C1246" s="432" t="s">
        <v>1580</v>
      </c>
    </row>
    <row r="1247" spans="1:3" x14ac:dyDescent="0.25">
      <c r="A1247" s="428">
        <v>41518</v>
      </c>
      <c r="B1247" s="429">
        <v>0.9059490740740741</v>
      </c>
      <c r="C1247" s="432" t="s">
        <v>1580</v>
      </c>
    </row>
    <row r="1248" spans="1:3" x14ac:dyDescent="0.25">
      <c r="A1248" s="428">
        <v>41518</v>
      </c>
      <c r="B1248" s="429">
        <v>0.90937499999999993</v>
      </c>
      <c r="C1248" s="432" t="s">
        <v>1580</v>
      </c>
    </row>
    <row r="1249" spans="1:3" x14ac:dyDescent="0.25">
      <c r="A1249" s="428">
        <v>41518</v>
      </c>
      <c r="B1249" s="429">
        <v>0.91770833333333324</v>
      </c>
      <c r="C1249" s="432" t="s">
        <v>1580</v>
      </c>
    </row>
    <row r="1250" spans="1:3" ht="60" x14ac:dyDescent="0.25">
      <c r="A1250" s="428">
        <v>41518</v>
      </c>
      <c r="B1250" s="429">
        <v>0.91939814814814813</v>
      </c>
      <c r="C1250" s="433" t="s">
        <v>1582</v>
      </c>
    </row>
    <row r="1251" spans="1:3" x14ac:dyDescent="0.25">
      <c r="A1251" s="428">
        <v>41518</v>
      </c>
      <c r="B1251" s="429">
        <v>0.91940972222222228</v>
      </c>
      <c r="C1251" s="432" t="s">
        <v>1583</v>
      </c>
    </row>
    <row r="1252" spans="1:3" x14ac:dyDescent="0.25">
      <c r="A1252" s="428">
        <v>41518</v>
      </c>
      <c r="B1252" s="429">
        <v>0.92056712962962972</v>
      </c>
      <c r="C1252" s="432" t="s">
        <v>1583</v>
      </c>
    </row>
    <row r="1253" spans="1:3" x14ac:dyDescent="0.25">
      <c r="A1253" s="428">
        <v>41518</v>
      </c>
      <c r="B1253" s="429">
        <v>0.92112268518518514</v>
      </c>
      <c r="C1253" s="432" t="s">
        <v>1580</v>
      </c>
    </row>
    <row r="1254" spans="1:3" ht="30" x14ac:dyDescent="0.25">
      <c r="A1254" s="428">
        <v>41518</v>
      </c>
      <c r="B1254" s="429">
        <v>0.95497685185185188</v>
      </c>
      <c r="C1254" s="433" t="s">
        <v>1584</v>
      </c>
    </row>
    <row r="1255" spans="1:3" ht="45" x14ac:dyDescent="0.25">
      <c r="A1255" s="428">
        <v>41518</v>
      </c>
      <c r="B1255" s="429">
        <v>0.95678240740740739</v>
      </c>
      <c r="C1255" s="433" t="s">
        <v>1585</v>
      </c>
    </row>
    <row r="1256" spans="1:3" ht="30" x14ac:dyDescent="0.25">
      <c r="A1256" s="428">
        <v>41518</v>
      </c>
      <c r="B1256" s="429">
        <v>0.95712962962962955</v>
      </c>
      <c r="C1256" s="433" t="s">
        <v>1586</v>
      </c>
    </row>
    <row r="1257" spans="1:3" ht="60" x14ac:dyDescent="0.25">
      <c r="A1257" s="428">
        <v>41518</v>
      </c>
      <c r="B1257" s="429">
        <v>0.9609375</v>
      </c>
      <c r="C1257" s="433" t="s">
        <v>1587</v>
      </c>
    </row>
    <row r="1258" spans="1:3" x14ac:dyDescent="0.25">
      <c r="A1258" s="428">
        <v>41518</v>
      </c>
      <c r="B1258" s="429">
        <v>0.96094907407407415</v>
      </c>
      <c r="C1258" s="432" t="s">
        <v>1588</v>
      </c>
    </row>
    <row r="1259" spans="1:3" x14ac:dyDescent="0.25">
      <c r="A1259" s="428">
        <v>41518</v>
      </c>
      <c r="B1259" s="429">
        <v>0.97462962962962962</v>
      </c>
      <c r="C1259" s="432" t="s">
        <v>1590</v>
      </c>
    </row>
    <row r="1260" spans="1:3" x14ac:dyDescent="0.25">
      <c r="A1260" s="428">
        <v>41518</v>
      </c>
      <c r="B1260" s="429">
        <v>0.98290509259259251</v>
      </c>
      <c r="C1260" s="432" t="s">
        <v>1590</v>
      </c>
    </row>
    <row r="1261" spans="1:3" x14ac:dyDescent="0.25">
      <c r="A1261" s="428">
        <v>41518</v>
      </c>
      <c r="B1261" s="429">
        <v>0.98520833333333335</v>
      </c>
      <c r="C1261" s="432" t="s">
        <v>1590</v>
      </c>
    </row>
    <row r="1262" spans="1:3" x14ac:dyDescent="0.25">
      <c r="A1262" s="428">
        <v>41518</v>
      </c>
      <c r="B1262" s="429">
        <v>0.99428240740740748</v>
      </c>
      <c r="C1262" s="432" t="s">
        <v>1590</v>
      </c>
    </row>
    <row r="1263" spans="1:3" x14ac:dyDescent="0.25">
      <c r="A1263" s="428">
        <v>41518</v>
      </c>
      <c r="B1263" s="429">
        <v>0.99543981481481481</v>
      </c>
      <c r="C1263" s="432" t="s">
        <v>1590</v>
      </c>
    </row>
    <row r="1264" spans="1:3" x14ac:dyDescent="0.25">
      <c r="A1264" s="428">
        <v>41518</v>
      </c>
      <c r="B1264" s="429">
        <v>0.99593750000000003</v>
      </c>
      <c r="C1264" s="432" t="s">
        <v>1590</v>
      </c>
    </row>
    <row r="1265" spans="1:3" x14ac:dyDescent="0.25">
      <c r="A1265" s="428">
        <v>41518</v>
      </c>
      <c r="B1265" s="429">
        <v>0.99706018518518524</v>
      </c>
      <c r="C1265" s="432" t="s">
        <v>1590</v>
      </c>
    </row>
    <row r="1266" spans="1:3" x14ac:dyDescent="0.25">
      <c r="A1266" s="428">
        <v>41518</v>
      </c>
      <c r="B1266" s="429">
        <v>0.9971875</v>
      </c>
      <c r="C1266" s="432" t="s">
        <v>1590</v>
      </c>
    </row>
    <row r="1267" spans="1:3" x14ac:dyDescent="0.25">
      <c r="A1267" s="428">
        <v>41518</v>
      </c>
      <c r="B1267" s="429">
        <v>0.99859953703703708</v>
      </c>
      <c r="C1267" s="432" t="s">
        <v>1583</v>
      </c>
    </row>
    <row r="1268" spans="1:3" x14ac:dyDescent="0.25">
      <c r="A1268" s="428">
        <v>41518</v>
      </c>
      <c r="B1268" s="429">
        <v>0.99942129629629628</v>
      </c>
      <c r="C1268" s="432" t="s">
        <v>1583</v>
      </c>
    </row>
    <row r="1269" spans="1:3" x14ac:dyDescent="0.25">
      <c r="A1269" s="428">
        <v>41519</v>
      </c>
      <c r="B1269" s="429">
        <v>4.7800925925925919E-3</v>
      </c>
      <c r="C1269" s="432" t="s">
        <v>1590</v>
      </c>
    </row>
    <row r="1270" spans="1:3" x14ac:dyDescent="0.25">
      <c r="A1270" s="428">
        <v>41519</v>
      </c>
      <c r="B1270" s="429">
        <v>4.8379629629629632E-3</v>
      </c>
      <c r="C1270" s="432" t="s">
        <v>1590</v>
      </c>
    </row>
    <row r="1271" spans="1:3" x14ac:dyDescent="0.25">
      <c r="A1271" s="428">
        <v>41519</v>
      </c>
      <c r="B1271" s="429">
        <v>6.2847222222222228E-3</v>
      </c>
      <c r="C1271" s="432" t="s">
        <v>1590</v>
      </c>
    </row>
    <row r="1272" spans="1:3" x14ac:dyDescent="0.25">
      <c r="A1272" s="428">
        <v>41519</v>
      </c>
      <c r="B1272" s="429">
        <v>6.3425925925925915E-3</v>
      </c>
      <c r="C1272" s="432" t="s">
        <v>1590</v>
      </c>
    </row>
    <row r="1273" spans="1:3" x14ac:dyDescent="0.25">
      <c r="A1273" s="428">
        <v>41519</v>
      </c>
      <c r="B1273" s="429">
        <v>6.4004629629629628E-3</v>
      </c>
      <c r="C1273" s="432" t="s">
        <v>1590</v>
      </c>
    </row>
    <row r="1274" spans="1:3" x14ac:dyDescent="0.25">
      <c r="A1274" s="428">
        <v>41519</v>
      </c>
      <c r="B1274" s="429">
        <v>6.4699074074074069E-3</v>
      </c>
      <c r="C1274" s="432" t="s">
        <v>1583</v>
      </c>
    </row>
    <row r="1275" spans="1:3" x14ac:dyDescent="0.25">
      <c r="A1275" s="428">
        <v>41519</v>
      </c>
      <c r="B1275" s="429">
        <v>7.4652777777777781E-3</v>
      </c>
      <c r="C1275" s="432" t="s">
        <v>1583</v>
      </c>
    </row>
    <row r="1276" spans="1:3" x14ac:dyDescent="0.25">
      <c r="A1276" s="428">
        <v>41519</v>
      </c>
      <c r="B1276" s="429">
        <v>2.3009259259259257E-2</v>
      </c>
      <c r="C1276" s="432" t="s">
        <v>1583</v>
      </c>
    </row>
    <row r="1277" spans="1:3" x14ac:dyDescent="0.25">
      <c r="A1277" s="428">
        <v>41519</v>
      </c>
      <c r="B1277" s="429">
        <v>3.4398148148148143E-2</v>
      </c>
      <c r="C1277" s="432" t="s">
        <v>1583</v>
      </c>
    </row>
    <row r="1278" spans="1:3" x14ac:dyDescent="0.25">
      <c r="A1278" s="428">
        <v>41519</v>
      </c>
      <c r="B1278" s="429">
        <v>3.8032407407407411E-2</v>
      </c>
      <c r="C1278" s="432" t="s">
        <v>1592</v>
      </c>
    </row>
    <row r="1279" spans="1:3" x14ac:dyDescent="0.25">
      <c r="A1279" s="428">
        <v>41519</v>
      </c>
      <c r="B1279" s="429">
        <v>4.3263888888888886E-2</v>
      </c>
      <c r="C1279" s="432" t="s">
        <v>1583</v>
      </c>
    </row>
    <row r="1280" spans="1:3" x14ac:dyDescent="0.25">
      <c r="A1280" s="428">
        <v>41519</v>
      </c>
      <c r="B1280" s="429">
        <v>6.3194444444444442E-2</v>
      </c>
      <c r="C1280" s="432" t="s">
        <v>1592</v>
      </c>
    </row>
    <row r="1281" spans="1:3" x14ac:dyDescent="0.25">
      <c r="A1281" s="428">
        <v>41519</v>
      </c>
      <c r="B1281" s="429">
        <v>7.2233796296296296E-2</v>
      </c>
      <c r="C1281" s="432" t="s">
        <v>1583</v>
      </c>
    </row>
    <row r="1282" spans="1:3" x14ac:dyDescent="0.25">
      <c r="A1282" s="428">
        <v>41519</v>
      </c>
      <c r="B1282" s="429">
        <v>7.3483796296296297E-2</v>
      </c>
      <c r="C1282" s="432" t="s">
        <v>1592</v>
      </c>
    </row>
    <row r="1283" spans="1:3" x14ac:dyDescent="0.25">
      <c r="A1283" s="428">
        <v>41519</v>
      </c>
      <c r="B1283" s="429">
        <v>7.7592592592592588E-2</v>
      </c>
      <c r="C1283" s="432" t="s">
        <v>1583</v>
      </c>
    </row>
    <row r="1284" spans="1:3" x14ac:dyDescent="0.25">
      <c r="A1284" s="428">
        <v>41519</v>
      </c>
      <c r="B1284" s="429">
        <v>8.5694444444444448E-2</v>
      </c>
      <c r="C1284" s="432" t="s">
        <v>1583</v>
      </c>
    </row>
    <row r="1285" spans="1:3" x14ac:dyDescent="0.25">
      <c r="A1285" s="428">
        <v>41519</v>
      </c>
      <c r="B1285" s="429">
        <v>8.6284722222222221E-2</v>
      </c>
      <c r="C1285" s="432" t="s">
        <v>1592</v>
      </c>
    </row>
    <row r="1286" spans="1:3" x14ac:dyDescent="0.25">
      <c r="A1286" s="428">
        <v>41519</v>
      </c>
      <c r="B1286" s="429">
        <v>0.95075231481481481</v>
      </c>
      <c r="C1286" s="432" t="s">
        <v>1593</v>
      </c>
    </row>
    <row r="1287" spans="1:3" x14ac:dyDescent="0.25">
      <c r="A1287" s="428">
        <v>41520</v>
      </c>
      <c r="B1287" s="429">
        <v>7.6967592592592601E-2</v>
      </c>
      <c r="C1287" s="432" t="s">
        <v>1583</v>
      </c>
    </row>
    <row r="1288" spans="1:3" x14ac:dyDescent="0.25">
      <c r="A1288" s="428">
        <v>41520</v>
      </c>
      <c r="B1288" s="429">
        <v>8.4004629629629624E-2</v>
      </c>
      <c r="C1288" s="432" t="s">
        <v>1594</v>
      </c>
    </row>
    <row r="1289" spans="1:3" x14ac:dyDescent="0.25">
      <c r="A1289" s="428">
        <v>41520</v>
      </c>
      <c r="B1289" s="429">
        <v>8.6076388888888897E-2</v>
      </c>
      <c r="C1289" s="432" t="s">
        <v>1583</v>
      </c>
    </row>
    <row r="1290" spans="1:3" x14ac:dyDescent="0.25">
      <c r="A1290" s="428">
        <v>41520</v>
      </c>
      <c r="B1290" s="429">
        <v>8.6608796296296295E-2</v>
      </c>
      <c r="C1290" s="432" t="s">
        <v>1595</v>
      </c>
    </row>
    <row r="1291" spans="1:3" x14ac:dyDescent="0.25">
      <c r="A1291" s="428">
        <v>41520</v>
      </c>
      <c r="B1291" s="429">
        <v>0.51986111111111111</v>
      </c>
      <c r="C1291" s="432" t="s">
        <v>1595</v>
      </c>
    </row>
    <row r="1292" spans="1:3" x14ac:dyDescent="0.25">
      <c r="A1292" s="428">
        <v>41520</v>
      </c>
      <c r="B1292" s="429">
        <v>0.52037037037037037</v>
      </c>
      <c r="C1292" s="432" t="s">
        <v>1583</v>
      </c>
    </row>
    <row r="1293" spans="1:3" x14ac:dyDescent="0.25">
      <c r="A1293" s="428">
        <v>41520</v>
      </c>
      <c r="B1293" s="429">
        <v>0.52222222222222225</v>
      </c>
      <c r="C1293" s="432" t="s">
        <v>1596</v>
      </c>
    </row>
    <row r="1294" spans="1:3" x14ac:dyDescent="0.25">
      <c r="A1294" s="428">
        <v>41520</v>
      </c>
      <c r="B1294" s="429">
        <v>0.52690972222222221</v>
      </c>
      <c r="C1294" s="432" t="s">
        <v>1583</v>
      </c>
    </row>
    <row r="1295" spans="1:3" x14ac:dyDescent="0.25">
      <c r="A1295" s="428">
        <v>41520</v>
      </c>
      <c r="B1295" s="429">
        <v>0.52712962962962961</v>
      </c>
      <c r="C1295" s="432" t="s">
        <v>1596</v>
      </c>
    </row>
    <row r="1296" spans="1:3" x14ac:dyDescent="0.25">
      <c r="A1296" s="428">
        <v>41520</v>
      </c>
      <c r="B1296" s="429">
        <v>0.52837962962962959</v>
      </c>
      <c r="C1296" s="432" t="s">
        <v>1583</v>
      </c>
    </row>
    <row r="1297" spans="1:3" x14ac:dyDescent="0.25">
      <c r="A1297" s="428">
        <v>41520</v>
      </c>
      <c r="B1297" s="429">
        <v>0.52908564814814818</v>
      </c>
      <c r="C1297" s="432" t="s">
        <v>1599</v>
      </c>
    </row>
    <row r="1298" spans="1:3" x14ac:dyDescent="0.25">
      <c r="A1298" s="428">
        <v>41520</v>
      </c>
      <c r="B1298" s="429">
        <v>0.9813425925925926</v>
      </c>
      <c r="C1298" s="432" t="s">
        <v>1583</v>
      </c>
    </row>
    <row r="1299" spans="1:3" x14ac:dyDescent="0.25">
      <c r="A1299" s="428">
        <v>41520</v>
      </c>
      <c r="B1299" s="429">
        <v>0.98461805555555559</v>
      </c>
      <c r="C1299" s="432" t="s">
        <v>1599</v>
      </c>
    </row>
    <row r="1300" spans="1:3" x14ac:dyDescent="0.25">
      <c r="A1300" s="428">
        <v>41520</v>
      </c>
      <c r="B1300" s="429">
        <v>0.99719907407407404</v>
      </c>
      <c r="C1300" s="432" t="s">
        <v>1583</v>
      </c>
    </row>
    <row r="1301" spans="1:3" x14ac:dyDescent="0.25">
      <c r="A1301" s="428">
        <v>41520</v>
      </c>
      <c r="B1301" s="429">
        <v>0.99936342592592586</v>
      </c>
      <c r="C1301" s="432" t="s">
        <v>1599</v>
      </c>
    </row>
    <row r="1302" spans="1:3" x14ac:dyDescent="0.25">
      <c r="A1302" s="428">
        <v>41521</v>
      </c>
      <c r="B1302" s="429">
        <v>4.7222222222222223E-3</v>
      </c>
      <c r="C1302" s="432" t="s">
        <v>1592</v>
      </c>
    </row>
    <row r="1303" spans="1:3" x14ac:dyDescent="0.25">
      <c r="A1303" s="428">
        <v>41521</v>
      </c>
      <c r="B1303" s="429">
        <v>8.4016203703703704E-2</v>
      </c>
      <c r="C1303" s="432" t="s">
        <v>1583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199"/>
  <sheetViews>
    <sheetView zoomScale="80" zoomScaleNormal="80" workbookViewId="0">
      <pane xSplit="1" ySplit="2" topLeftCell="B154" activePane="bottomRight" state="frozen"/>
      <selection pane="topRight" activeCell="B1" sqref="B1"/>
      <selection pane="bottomLeft" activeCell="A3" sqref="A3"/>
      <selection pane="bottomRight" activeCell="E154" sqref="E154"/>
    </sheetView>
  </sheetViews>
  <sheetFormatPr defaultRowHeight="15" x14ac:dyDescent="0.25"/>
  <cols>
    <col min="1" max="1" width="11" style="409" customWidth="1"/>
    <col min="2" max="2" width="15" style="409" customWidth="1"/>
    <col min="3" max="3" width="16.140625" style="409" customWidth="1"/>
    <col min="4" max="4" width="12.42578125" style="409" customWidth="1"/>
    <col min="5" max="5" width="13.85546875" style="409" customWidth="1"/>
    <col min="6" max="6" width="18" style="409" customWidth="1"/>
    <col min="7" max="7" width="15.85546875" style="409" customWidth="1"/>
    <col min="8" max="8" width="12.42578125" style="409" customWidth="1"/>
    <col min="9" max="9" width="12.5703125" style="409" customWidth="1"/>
    <col min="10" max="10" width="13.42578125" style="409" customWidth="1"/>
    <col min="11" max="12" width="10" style="409" customWidth="1"/>
    <col min="13" max="13" width="11.28515625" style="409" customWidth="1"/>
    <col min="14" max="14" width="12.42578125" style="409" customWidth="1"/>
    <col min="15" max="15" width="12.85546875" style="409" customWidth="1"/>
    <col min="16" max="17" width="10.28515625" style="409" customWidth="1"/>
    <col min="18" max="18" width="9.140625" style="409"/>
    <col min="19" max="19" width="10.85546875" style="409" customWidth="1"/>
    <col min="20" max="20" width="11.140625" style="409" customWidth="1"/>
    <col min="21" max="30" width="9.140625" style="409"/>
    <col min="31" max="31" width="15.5703125" style="409" customWidth="1"/>
    <col min="32" max="32" width="9.140625" style="409"/>
    <col min="33" max="33" width="11.28515625" style="409" bestFit="1" customWidth="1"/>
    <col min="34" max="34" width="11.42578125" style="409" bestFit="1" customWidth="1"/>
    <col min="35" max="37" width="12.42578125" style="409" bestFit="1" customWidth="1"/>
    <col min="38" max="38" width="9.140625" style="409"/>
    <col min="39" max="39" width="10.140625" style="409" customWidth="1"/>
    <col min="40" max="16384" width="9.140625" style="409"/>
  </cols>
  <sheetData>
    <row r="1" spans="1:39" s="435" customFormat="1" ht="15.75" thickBot="1" x14ac:dyDescent="0.3">
      <c r="A1" s="434">
        <v>41517</v>
      </c>
    </row>
    <row r="2" spans="1:39" s="435" customFormat="1" ht="19.5" x14ac:dyDescent="0.3">
      <c r="C2" s="436" t="s">
        <v>741</v>
      </c>
    </row>
    <row r="3" spans="1:39" s="435" customFormat="1" x14ac:dyDescent="0.25"/>
    <row r="4" spans="1:39" s="435" customFormat="1" x14ac:dyDescent="0.25">
      <c r="A4" s="435" t="s">
        <v>1229</v>
      </c>
    </row>
    <row r="5" spans="1:39" s="435" customFormat="1" ht="15.75" thickBot="1" x14ac:dyDescent="0.3">
      <c r="A5" s="891">
        <v>41517</v>
      </c>
      <c r="B5" s="435" t="s">
        <v>1572</v>
      </c>
    </row>
    <row r="6" spans="1:39" s="435" customFormat="1" ht="23.25" thickBot="1" x14ac:dyDescent="0.3">
      <c r="A6" s="437" t="s">
        <v>742</v>
      </c>
      <c r="B6" s="438" t="s">
        <v>743</v>
      </c>
      <c r="C6" s="439" t="s">
        <v>58</v>
      </c>
      <c r="D6" s="439" t="s">
        <v>744</v>
      </c>
      <c r="E6" s="439" t="s">
        <v>77</v>
      </c>
      <c r="F6" s="440"/>
      <c r="G6" s="441" t="s">
        <v>36</v>
      </c>
      <c r="H6" s="442" t="s">
        <v>39</v>
      </c>
      <c r="I6" s="441" t="s">
        <v>745</v>
      </c>
      <c r="J6" s="443" t="s">
        <v>52</v>
      </c>
      <c r="K6" s="444" t="s">
        <v>746</v>
      </c>
      <c r="L6" s="444" t="s">
        <v>747</v>
      </c>
      <c r="M6" s="444" t="s">
        <v>748</v>
      </c>
      <c r="N6" s="445" t="s">
        <v>749</v>
      </c>
      <c r="O6" s="445" t="s">
        <v>750</v>
      </c>
      <c r="P6" s="445" t="s">
        <v>751</v>
      </c>
      <c r="Q6" s="445" t="s">
        <v>752</v>
      </c>
      <c r="R6" s="445" t="s">
        <v>753</v>
      </c>
      <c r="S6" s="444" t="s">
        <v>754</v>
      </c>
      <c r="T6" s="443" t="s">
        <v>755</v>
      </c>
      <c r="U6" s="443" t="s">
        <v>756</v>
      </c>
      <c r="V6" s="443" t="s">
        <v>757</v>
      </c>
      <c r="W6" s="443" t="s">
        <v>109</v>
      </c>
      <c r="X6" s="443" t="s">
        <v>758</v>
      </c>
      <c r="Y6" s="443" t="s">
        <v>759</v>
      </c>
      <c r="Z6" s="441" t="s">
        <v>760</v>
      </c>
      <c r="AA6" s="443" t="s">
        <v>761</v>
      </c>
      <c r="AB6" s="444" t="s">
        <v>762</v>
      </c>
      <c r="AC6" s="443" t="s">
        <v>763</v>
      </c>
      <c r="AD6" s="446" t="s">
        <v>764</v>
      </c>
      <c r="AE6" s="889" t="s">
        <v>1571</v>
      </c>
      <c r="AF6" s="447" t="s">
        <v>765</v>
      </c>
      <c r="AG6" s="448" t="s">
        <v>403</v>
      </c>
      <c r="AH6" s="449" t="s">
        <v>766</v>
      </c>
      <c r="AI6" s="449" t="s">
        <v>767</v>
      </c>
      <c r="AJ6" s="449" t="s">
        <v>417</v>
      </c>
      <c r="AK6" s="449" t="s">
        <v>414</v>
      </c>
      <c r="AL6" s="448" t="s">
        <v>768</v>
      </c>
      <c r="AM6" s="448" t="s">
        <v>769</v>
      </c>
    </row>
    <row r="7" spans="1:39" s="435" customFormat="1" x14ac:dyDescent="0.25">
      <c r="A7" s="450" t="s">
        <v>1575</v>
      </c>
      <c r="B7" s="451" t="s">
        <v>174</v>
      </c>
      <c r="C7" s="452" t="str">
        <f>IF(D7="","",1)</f>
        <v/>
      </c>
      <c r="D7" s="453"/>
      <c r="E7" s="453"/>
      <c r="F7" s="454" t="str">
        <f>TRIM(G7)&amp;TRIM(J7)&amp;ROUND(S7/1000,0)</f>
        <v>0</v>
      </c>
      <c r="AE7" s="629" t="s">
        <v>1574</v>
      </c>
      <c r="AF7" s="455" t="s">
        <v>771</v>
      </c>
      <c r="AG7" s="455" t="s">
        <v>771</v>
      </c>
      <c r="AH7" s="455" t="s">
        <v>771</v>
      </c>
      <c r="AI7" s="455" t="s">
        <v>771</v>
      </c>
      <c r="AJ7" s="455" t="s">
        <v>771</v>
      </c>
      <c r="AK7" s="455" t="s">
        <v>771</v>
      </c>
      <c r="AL7" s="455" t="s">
        <v>771</v>
      </c>
      <c r="AM7" s="455" t="s">
        <v>771</v>
      </c>
    </row>
    <row r="8" spans="1:39" s="435" customFormat="1" x14ac:dyDescent="0.25">
      <c r="A8" s="437" t="s">
        <v>772</v>
      </c>
      <c r="B8" s="456">
        <v>0.5</v>
      </c>
      <c r="C8" s="456">
        <v>1.2</v>
      </c>
      <c r="D8" s="456">
        <v>0.5</v>
      </c>
      <c r="E8" s="456">
        <v>0.5</v>
      </c>
      <c r="F8" s="457">
        <v>0.3</v>
      </c>
      <c r="G8" s="458">
        <v>14</v>
      </c>
      <c r="H8" s="458">
        <v>8</v>
      </c>
      <c r="I8" s="458">
        <v>12.8</v>
      </c>
      <c r="J8" s="458">
        <v>22</v>
      </c>
      <c r="K8" s="458">
        <v>0</v>
      </c>
      <c r="L8" s="458">
        <v>0</v>
      </c>
      <c r="M8" s="458">
        <v>0</v>
      </c>
      <c r="N8" s="458">
        <v>0</v>
      </c>
      <c r="O8" s="458">
        <v>0</v>
      </c>
      <c r="P8" s="458">
        <v>0</v>
      </c>
      <c r="Q8" s="458">
        <v>0</v>
      </c>
      <c r="R8" s="458">
        <v>0</v>
      </c>
      <c r="S8" s="458">
        <v>10</v>
      </c>
      <c r="T8" s="458">
        <v>40</v>
      </c>
      <c r="U8" s="458">
        <v>0</v>
      </c>
      <c r="V8" s="458">
        <v>0</v>
      </c>
      <c r="W8" s="458">
        <v>10</v>
      </c>
      <c r="X8" s="458">
        <v>0</v>
      </c>
      <c r="Y8" s="458">
        <v>0</v>
      </c>
      <c r="Z8" s="458">
        <v>8</v>
      </c>
      <c r="AA8" s="458">
        <v>8</v>
      </c>
      <c r="AB8" s="458">
        <v>10</v>
      </c>
      <c r="AC8" s="458">
        <v>5</v>
      </c>
      <c r="AD8" s="458">
        <v>15</v>
      </c>
      <c r="AE8" s="890" t="s">
        <v>927</v>
      </c>
      <c r="AF8" s="435">
        <v>8</v>
      </c>
      <c r="AG8" s="456">
        <v>10</v>
      </c>
      <c r="AH8" s="456">
        <v>1</v>
      </c>
      <c r="AI8" s="456">
        <v>1</v>
      </c>
      <c r="AJ8" s="456">
        <v>1</v>
      </c>
      <c r="AK8" s="456">
        <v>1</v>
      </c>
      <c r="AL8" s="456" t="s">
        <v>773</v>
      </c>
      <c r="AM8" s="456" t="s">
        <v>773</v>
      </c>
    </row>
    <row r="9" spans="1:39" s="435" customFormat="1" x14ac:dyDescent="0.25">
      <c r="A9" s="437" t="s">
        <v>774</v>
      </c>
      <c r="B9" s="456">
        <v>9</v>
      </c>
      <c r="C9" s="456"/>
      <c r="D9" s="456">
        <v>5</v>
      </c>
      <c r="E9" s="456">
        <v>3</v>
      </c>
      <c r="F9" s="457"/>
      <c r="G9" s="456"/>
      <c r="H9" s="456"/>
      <c r="K9" s="456"/>
      <c r="L9" s="458"/>
      <c r="M9" s="458"/>
      <c r="N9" s="458"/>
      <c r="O9" s="458"/>
      <c r="P9" s="458"/>
      <c r="Q9" s="458"/>
      <c r="R9" s="458"/>
      <c r="S9" s="458"/>
      <c r="T9" s="458"/>
      <c r="U9" s="459"/>
      <c r="V9" s="458"/>
      <c r="W9" s="458"/>
      <c r="X9" s="458"/>
      <c r="Y9" s="458"/>
      <c r="Z9" s="458"/>
      <c r="AA9" s="458"/>
      <c r="AE9" s="629" t="str">
        <f>Process!F73</f>
        <v>HANDL_Payment</v>
      </c>
      <c r="AF9" s="456">
        <v>8</v>
      </c>
      <c r="AG9" s="456">
        <v>19</v>
      </c>
      <c r="AH9" s="456">
        <f>COLUMN(AG9)-1</f>
        <v>32</v>
      </c>
      <c r="AI9" s="456">
        <f>AH9</f>
        <v>32</v>
      </c>
      <c r="AJ9" s="456">
        <f>AH9</f>
        <v>32</v>
      </c>
      <c r="AK9" s="456">
        <f>AH9</f>
        <v>32</v>
      </c>
      <c r="AL9" s="456">
        <v>5</v>
      </c>
      <c r="AM9" s="456">
        <v>5</v>
      </c>
    </row>
    <row r="10" spans="1:39" s="461" customFormat="1" ht="38.25" x14ac:dyDescent="0.25">
      <c r="A10" s="437" t="s">
        <v>775</v>
      </c>
      <c r="B10" s="460"/>
      <c r="C10" s="460"/>
      <c r="D10" s="460"/>
      <c r="E10" s="460"/>
      <c r="G10" s="460"/>
      <c r="H10" s="460"/>
      <c r="K10" s="460"/>
      <c r="L10" s="462"/>
      <c r="M10" s="462"/>
      <c r="N10" s="462"/>
      <c r="O10" s="462"/>
      <c r="P10" s="462"/>
      <c r="Q10" s="462"/>
      <c r="R10" s="462"/>
      <c r="S10" s="462"/>
      <c r="T10" s="462"/>
      <c r="U10" s="463"/>
      <c r="V10" s="462"/>
      <c r="W10" s="462"/>
      <c r="X10" s="462"/>
      <c r="Y10" s="462"/>
      <c r="Z10" s="462"/>
      <c r="AA10" s="462"/>
      <c r="AE10" s="888"/>
      <c r="AF10" s="460" t="s">
        <v>776</v>
      </c>
      <c r="AG10" s="464" t="s">
        <v>777</v>
      </c>
      <c r="AH10" s="465" t="s">
        <v>778</v>
      </c>
      <c r="AI10" s="465" t="s">
        <v>779</v>
      </c>
      <c r="AJ10" s="465" t="s">
        <v>780</v>
      </c>
      <c r="AK10" s="465" t="s">
        <v>781</v>
      </c>
      <c r="AL10" s="466"/>
      <c r="AM10" s="466" t="s">
        <v>782</v>
      </c>
    </row>
    <row r="11" spans="1:39" s="435" customFormat="1" x14ac:dyDescent="0.25">
      <c r="A11" s="437" t="s">
        <v>783</v>
      </c>
      <c r="B11" s="467" t="s">
        <v>784</v>
      </c>
      <c r="C11" s="467"/>
      <c r="D11" s="467" t="s">
        <v>785</v>
      </c>
      <c r="E11" s="467" t="s">
        <v>786</v>
      </c>
      <c r="F11" s="457"/>
      <c r="G11" s="456"/>
      <c r="H11" s="456"/>
      <c r="K11" s="456"/>
      <c r="L11" s="458"/>
      <c r="M11" s="458"/>
      <c r="N11" s="458"/>
      <c r="O11" s="458"/>
      <c r="P11" s="458"/>
      <c r="Q11" s="458"/>
      <c r="R11" s="458"/>
      <c r="S11" s="458"/>
      <c r="T11" s="458"/>
      <c r="U11" s="459"/>
      <c r="V11" s="458"/>
      <c r="W11" s="458"/>
      <c r="X11" s="458"/>
      <c r="Y11" s="458"/>
      <c r="Z11" s="458"/>
      <c r="AA11" s="458"/>
      <c r="AE11" s="628"/>
      <c r="AL11" s="467" t="s">
        <v>787</v>
      </c>
      <c r="AM11" s="467" t="s">
        <v>787</v>
      </c>
    </row>
    <row r="12" spans="1:39" s="435" customFormat="1" x14ac:dyDescent="0.25">
      <c r="Z12" s="458"/>
    </row>
    <row r="13" spans="1:39" s="435" customFormat="1" ht="15.75" thickBot="1" x14ac:dyDescent="0.3">
      <c r="A13" s="435" t="s">
        <v>788</v>
      </c>
      <c r="Z13" s="458"/>
    </row>
    <row r="14" spans="1:39" s="468" customFormat="1" ht="15.75" thickBot="1" x14ac:dyDescent="0.3">
      <c r="F14" s="469"/>
      <c r="G14" s="470"/>
      <c r="H14" s="469"/>
      <c r="I14" s="471" t="s">
        <v>789</v>
      </c>
      <c r="J14" s="472"/>
      <c r="K14" s="473"/>
      <c r="L14" s="474"/>
      <c r="M14" s="474"/>
      <c r="N14" s="474"/>
      <c r="O14" s="474"/>
      <c r="P14" s="474"/>
      <c r="Q14" s="474"/>
      <c r="R14" s="475">
        <f>SUM(R$2:R12)</f>
        <v>0</v>
      </c>
      <c r="S14" s="476"/>
      <c r="V14" s="477" t="s">
        <v>790</v>
      </c>
      <c r="W14" s="478"/>
      <c r="X14" s="478"/>
      <c r="Y14" s="479">
        <f>1 - COUNTIF(A$2:A12,"")/COUNTA(A$2:A12)</f>
        <v>0.625</v>
      </c>
      <c r="Z14" s="477" t="s">
        <v>791</v>
      </c>
      <c r="AA14" s="475">
        <f>R14-SUMIF(B$2:B12,"1",R$2:R12)</f>
        <v>0</v>
      </c>
      <c r="AB14" s="480" t="e">
        <f>AA14/R14</f>
        <v>#DIV/0!</v>
      </c>
      <c r="AC14" s="481" t="e">
        <f>1-AB14</f>
        <v>#DIV/0!</v>
      </c>
    </row>
    <row r="15" spans="1:39" s="435" customFormat="1" x14ac:dyDescent="0.25"/>
    <row r="16" spans="1:39" s="435" customFormat="1" x14ac:dyDescent="0.25">
      <c r="A16" s="435" t="s">
        <v>792</v>
      </c>
    </row>
    <row r="17" spans="1:27" s="435" customFormat="1" ht="15.75" thickBot="1" x14ac:dyDescent="0.3">
      <c r="B17" s="435" t="s">
        <v>793</v>
      </c>
    </row>
    <row r="18" spans="1:27" s="460" customFormat="1" ht="60.75" thickBot="1" x14ac:dyDescent="0.3">
      <c r="A18" s="437" t="s">
        <v>742</v>
      </c>
      <c r="B18" s="482" t="s">
        <v>794</v>
      </c>
      <c r="C18" s="483" t="s">
        <v>795</v>
      </c>
      <c r="D18" s="483" t="s">
        <v>796</v>
      </c>
      <c r="E18" s="484" t="s">
        <v>797</v>
      </c>
      <c r="F18" s="485" t="s">
        <v>798</v>
      </c>
      <c r="G18" s="486" t="s">
        <v>799</v>
      </c>
      <c r="H18" s="487" t="s">
        <v>800</v>
      </c>
      <c r="I18" s="488"/>
      <c r="J18" s="489"/>
      <c r="K18" s="490" t="s">
        <v>44</v>
      </c>
      <c r="L18" s="490"/>
      <c r="M18" s="491" t="s">
        <v>47</v>
      </c>
      <c r="N18" s="489" t="s">
        <v>756</v>
      </c>
      <c r="O18" s="489" t="s">
        <v>109</v>
      </c>
      <c r="P18" s="489" t="s">
        <v>801</v>
      </c>
      <c r="Q18" s="489" t="s">
        <v>802</v>
      </c>
      <c r="R18" s="489" t="s">
        <v>803</v>
      </c>
      <c r="S18" s="489" t="s">
        <v>804</v>
      </c>
      <c r="T18" s="490" t="s">
        <v>805</v>
      </c>
      <c r="U18" s="492" t="s">
        <v>806</v>
      </c>
      <c r="V18" s="492" t="s">
        <v>807</v>
      </c>
      <c r="W18" s="492" t="s">
        <v>808</v>
      </c>
      <c r="X18" s="489" t="s">
        <v>809</v>
      </c>
      <c r="Y18" s="489" t="s">
        <v>810</v>
      </c>
      <c r="Z18" s="489" t="s">
        <v>764</v>
      </c>
      <c r="AA18" s="489" t="s">
        <v>811</v>
      </c>
    </row>
    <row r="19" spans="1:27" s="435" customFormat="1" ht="18" customHeight="1" x14ac:dyDescent="0.25">
      <c r="A19" s="450" t="s">
        <v>1575</v>
      </c>
      <c r="B19" s="493" t="s">
        <v>170</v>
      </c>
      <c r="C19" s="494" t="s">
        <v>812</v>
      </c>
      <c r="D19" s="495"/>
      <c r="E19" s="496">
        <v>1</v>
      </c>
      <c r="F19" s="497" t="str">
        <f>IF(AND(U19=W19,W19&gt;0),"1","")</f>
        <v/>
      </c>
      <c r="G19" s="498" t="str">
        <f>IF(U19=V19,"1","")</f>
        <v/>
      </c>
      <c r="H19" s="499"/>
      <c r="I19" s="500" t="str">
        <f>IF(S19="",TRIM(K19),TRIM(MID(S19,9,55))&amp;"/"&amp;TRIM(K19))</f>
        <v>2009-1-065</v>
      </c>
      <c r="J19" s="501"/>
      <c r="K19" s="502" t="s">
        <v>813</v>
      </c>
      <c r="L19" s="502"/>
      <c r="M19" s="503">
        <v>40058</v>
      </c>
      <c r="N19" s="501" t="s">
        <v>254</v>
      </c>
      <c r="O19" s="501" t="s">
        <v>376</v>
      </c>
      <c r="P19" s="501" t="s">
        <v>814</v>
      </c>
      <c r="Q19" s="501"/>
      <c r="R19" s="501" t="s">
        <v>815</v>
      </c>
      <c r="S19" s="501"/>
      <c r="T19" s="502" t="s">
        <v>816</v>
      </c>
      <c r="U19" s="504">
        <v>324000</v>
      </c>
      <c r="V19" s="504">
        <v>0</v>
      </c>
      <c r="W19" s="504">
        <v>0</v>
      </c>
      <c r="X19" s="501" t="s">
        <v>395</v>
      </c>
      <c r="Y19" s="505"/>
      <c r="Z19" s="505" t="s">
        <v>817</v>
      </c>
      <c r="AA19" s="501" t="s">
        <v>818</v>
      </c>
    </row>
    <row r="20" spans="1:27" s="435" customFormat="1" x14ac:dyDescent="0.25">
      <c r="A20" s="437" t="s">
        <v>772</v>
      </c>
      <c r="B20" s="456">
        <v>0.5</v>
      </c>
      <c r="C20" s="456">
        <v>8</v>
      </c>
      <c r="D20" s="435">
        <v>6</v>
      </c>
      <c r="E20" s="456">
        <v>5</v>
      </c>
      <c r="F20" s="457">
        <v>2</v>
      </c>
      <c r="G20" s="456">
        <v>2</v>
      </c>
      <c r="H20" s="456">
        <v>2</v>
      </c>
      <c r="I20" s="435">
        <v>0.5</v>
      </c>
      <c r="J20" s="435">
        <v>0.5</v>
      </c>
      <c r="K20" s="456">
        <v>10</v>
      </c>
      <c r="L20" s="458">
        <v>0.7</v>
      </c>
      <c r="M20" s="458">
        <v>10</v>
      </c>
      <c r="N20" s="458">
        <v>7</v>
      </c>
      <c r="O20" s="458">
        <v>10</v>
      </c>
      <c r="P20" s="458">
        <v>20</v>
      </c>
      <c r="Q20" s="458">
        <v>12</v>
      </c>
      <c r="R20" s="458">
        <v>12</v>
      </c>
      <c r="S20" s="458">
        <v>10</v>
      </c>
      <c r="T20" s="458">
        <v>8</v>
      </c>
      <c r="U20" s="459">
        <v>12</v>
      </c>
      <c r="V20" s="458">
        <v>11</v>
      </c>
      <c r="W20" s="458">
        <v>11</v>
      </c>
      <c r="X20" s="458">
        <v>10</v>
      </c>
      <c r="Y20" s="458">
        <v>12</v>
      </c>
      <c r="Z20" s="458">
        <v>20</v>
      </c>
      <c r="AA20" s="458">
        <v>10</v>
      </c>
    </row>
    <row r="21" spans="1:27" s="435" customFormat="1" x14ac:dyDescent="0.25">
      <c r="A21" s="437" t="s">
        <v>774</v>
      </c>
      <c r="B21" s="456">
        <v>15</v>
      </c>
      <c r="C21" s="456">
        <v>8</v>
      </c>
      <c r="D21" s="435">
        <v>8</v>
      </c>
      <c r="E21" s="456"/>
      <c r="F21" s="457"/>
      <c r="G21" s="456"/>
      <c r="H21" s="456">
        <v>8</v>
      </c>
      <c r="K21" s="456"/>
      <c r="L21" s="458"/>
      <c r="M21" s="458"/>
      <c r="N21" s="458"/>
      <c r="O21" s="458"/>
      <c r="P21" s="458"/>
      <c r="Q21" s="458"/>
      <c r="R21" s="458"/>
      <c r="S21" s="458"/>
      <c r="T21" s="458"/>
      <c r="U21" s="459"/>
      <c r="V21" s="458"/>
      <c r="W21" s="458"/>
      <c r="X21" s="458"/>
      <c r="Y21" s="458"/>
      <c r="Z21" s="458"/>
      <c r="AA21" s="458"/>
    </row>
    <row r="22" spans="1:27" s="435" customFormat="1" x14ac:dyDescent="0.25">
      <c r="A22" s="437" t="s">
        <v>775</v>
      </c>
      <c r="B22" s="456"/>
      <c r="C22" s="456"/>
      <c r="E22" s="456"/>
      <c r="F22" s="457"/>
      <c r="G22" s="456"/>
      <c r="H22" s="456"/>
      <c r="K22" s="456"/>
      <c r="L22" s="458"/>
      <c r="M22" s="458"/>
      <c r="N22" s="458"/>
      <c r="O22" s="458"/>
      <c r="P22" s="458"/>
      <c r="Q22" s="458"/>
      <c r="R22" s="458"/>
      <c r="S22" s="458"/>
      <c r="T22" s="458"/>
      <c r="U22" s="459"/>
      <c r="V22" s="458"/>
      <c r="W22" s="458"/>
      <c r="X22" s="458"/>
      <c r="Y22" s="458"/>
      <c r="Z22" s="458"/>
      <c r="AA22" s="458"/>
    </row>
    <row r="23" spans="1:27" s="435" customFormat="1" x14ac:dyDescent="0.25">
      <c r="A23" s="437" t="s">
        <v>783</v>
      </c>
      <c r="B23" s="456" t="s">
        <v>784</v>
      </c>
      <c r="C23" s="456" t="s">
        <v>819</v>
      </c>
      <c r="D23" s="435" t="s">
        <v>820</v>
      </c>
      <c r="E23" s="456"/>
      <c r="F23" s="457"/>
      <c r="G23" s="456"/>
      <c r="H23" s="456" t="s">
        <v>821</v>
      </c>
      <c r="K23" s="456"/>
      <c r="L23" s="458"/>
      <c r="M23" s="458"/>
      <c r="N23" s="458"/>
      <c r="O23" s="458"/>
      <c r="P23" s="458"/>
      <c r="Q23" s="458"/>
      <c r="R23" s="458"/>
      <c r="S23" s="458"/>
      <c r="T23" s="458"/>
      <c r="U23" s="459"/>
      <c r="V23" s="458"/>
      <c r="W23" s="458"/>
      <c r="X23" s="458"/>
      <c r="Y23" s="458"/>
      <c r="Z23" s="458"/>
      <c r="AA23" s="458"/>
    </row>
    <row r="24" spans="1:27" s="435" customFormat="1" x14ac:dyDescent="0.25">
      <c r="A24" s="456"/>
      <c r="B24" s="456"/>
      <c r="D24" s="456"/>
      <c r="E24" s="457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</row>
    <row r="25" spans="1:27" s="435" customFormat="1" x14ac:dyDescent="0.25">
      <c r="A25" s="435" t="s">
        <v>822</v>
      </c>
    </row>
    <row r="26" spans="1:27" s="435" customFormat="1" ht="15.75" thickBot="1" x14ac:dyDescent="0.3">
      <c r="A26" s="506">
        <v>41504</v>
      </c>
      <c r="B26" s="435" t="s">
        <v>823</v>
      </c>
    </row>
    <row r="27" spans="1:27" s="523" customFormat="1" ht="15" customHeight="1" x14ac:dyDescent="0.25">
      <c r="A27" s="507"/>
      <c r="B27" s="508" t="s">
        <v>824</v>
      </c>
      <c r="C27" s="509">
        <f>COUNTIF(B$1:B24,B27)</f>
        <v>0</v>
      </c>
      <c r="D27" s="510" t="e">
        <f>C27/C32</f>
        <v>#DIV/0!</v>
      </c>
      <c r="E27" s="511"/>
      <c r="F27" s="512"/>
      <c r="G27" s="513"/>
      <c r="H27" s="513"/>
      <c r="I27" s="514"/>
      <c r="J27" s="515">
        <f>SUMIF(B$3:B24,B27,T$3:T31)</f>
        <v>0</v>
      </c>
      <c r="K27" s="516"/>
      <c r="L27" s="517" t="e">
        <f>J27/J32</f>
        <v>#DIV/0!</v>
      </c>
      <c r="M27" s="518"/>
      <c r="N27" s="518"/>
      <c r="O27" s="518"/>
      <c r="P27" s="519"/>
      <c r="Q27" s="519"/>
      <c r="R27" s="519"/>
      <c r="S27" s="520" t="s">
        <v>789</v>
      </c>
      <c r="T27" s="521">
        <f>SUM(T$1:T26)</f>
        <v>48</v>
      </c>
      <c r="U27" s="521">
        <f>SUM(U$1:U26)</f>
        <v>324012</v>
      </c>
      <c r="V27" s="521">
        <f>SUM(V$1:V26)</f>
        <v>11</v>
      </c>
      <c r="W27" s="519" t="s">
        <v>825</v>
      </c>
      <c r="X27" s="522"/>
      <c r="Y27" s="522"/>
      <c r="Z27" s="519"/>
    </row>
    <row r="28" spans="1:27" s="523" customFormat="1" ht="15" customHeight="1" x14ac:dyDescent="0.25">
      <c r="A28" s="507"/>
      <c r="B28" s="524" t="s">
        <v>826</v>
      </c>
      <c r="C28" s="525">
        <f>COUNTIF(B$1:B24,B28)</f>
        <v>0</v>
      </c>
      <c r="D28" s="526" t="e">
        <f>C28/C32</f>
        <v>#DIV/0!</v>
      </c>
      <c r="E28" s="511"/>
      <c r="F28" s="512"/>
      <c r="G28" s="513"/>
      <c r="H28" s="513"/>
      <c r="I28" s="514"/>
      <c r="J28" s="527">
        <f>SUMIF(B$3:B27,B28,T$3:T32)</f>
        <v>0</v>
      </c>
      <c r="K28" s="528"/>
      <c r="L28" s="529" t="e">
        <f>J28/J32</f>
        <v>#DIV/0!</v>
      </c>
      <c r="M28" s="518"/>
      <c r="N28" s="518"/>
      <c r="O28" s="518"/>
      <c r="S28" s="530"/>
      <c r="T28" s="531"/>
      <c r="U28" s="531"/>
      <c r="V28" s="531"/>
      <c r="X28" s="532"/>
      <c r="Y28" s="532"/>
    </row>
    <row r="29" spans="1:27" s="523" customFormat="1" ht="15" customHeight="1" x14ac:dyDescent="0.25">
      <c r="A29" s="507"/>
      <c r="B29" s="533" t="s">
        <v>827</v>
      </c>
      <c r="C29" s="534">
        <f>COUNTIF(B$1:B24,B29)</f>
        <v>0</v>
      </c>
      <c r="D29" s="535" t="e">
        <f>C29/C32</f>
        <v>#DIV/0!</v>
      </c>
      <c r="E29" s="511"/>
      <c r="F29" s="512"/>
      <c r="G29" s="513"/>
      <c r="H29" s="513"/>
      <c r="I29" s="514"/>
      <c r="J29" s="536">
        <f>SUMIF(B$3:B28,B29,T$3:T32)</f>
        <v>0</v>
      </c>
      <c r="K29" s="537"/>
      <c r="L29" s="538" t="e">
        <f>J29/J32</f>
        <v>#DIV/0!</v>
      </c>
      <c r="M29" s="539"/>
      <c r="N29" s="518"/>
      <c r="O29" s="518"/>
      <c r="S29" s="530"/>
      <c r="T29" s="531"/>
      <c r="U29" s="531"/>
      <c r="V29" s="531"/>
      <c r="X29" s="532"/>
      <c r="Y29" s="532"/>
    </row>
    <row r="30" spans="1:27" s="523" customFormat="1" ht="15" customHeight="1" thickBot="1" x14ac:dyDescent="0.3">
      <c r="A30" s="507"/>
      <c r="B30" s="540" t="s">
        <v>828</v>
      </c>
      <c r="C30" s="541">
        <f>COUNTIF(B$1:B27,B30)</f>
        <v>0</v>
      </c>
      <c r="D30" s="542" t="e">
        <f>C30/C32</f>
        <v>#DIV/0!</v>
      </c>
      <c r="E30" s="511"/>
      <c r="F30" s="512"/>
      <c r="G30" s="513"/>
      <c r="H30" s="513"/>
      <c r="I30" s="514"/>
      <c r="J30" s="543">
        <f>SUMIF(B$3:B29,B30,T$3:T32)</f>
        <v>0</v>
      </c>
      <c r="K30" s="544"/>
      <c r="L30" s="545" t="e">
        <f>J30/J32</f>
        <v>#DIV/0!</v>
      </c>
      <c r="M30" s="539"/>
      <c r="N30" s="518"/>
      <c r="O30" s="518"/>
      <c r="S30" s="530"/>
      <c r="T30" s="531"/>
      <c r="U30" s="531"/>
      <c r="V30" s="531"/>
      <c r="X30" s="532"/>
      <c r="Y30" s="532"/>
    </row>
    <row r="31" spans="1:27" s="523" customFormat="1" ht="15" customHeight="1" thickTop="1" thickBot="1" x14ac:dyDescent="0.3">
      <c r="A31" s="546"/>
      <c r="B31" s="547" t="s">
        <v>812</v>
      </c>
      <c r="C31" s="548">
        <f>COUNTIF(B$1:B24,B31)</f>
        <v>0</v>
      </c>
      <c r="D31" s="549" t="e">
        <f>C31/C32</f>
        <v>#DIV/0!</v>
      </c>
      <c r="E31" s="550"/>
      <c r="F31" s="551"/>
      <c r="G31" s="552"/>
      <c r="H31" s="552"/>
      <c r="I31" s="553"/>
      <c r="J31" s="554">
        <f>SUMIF(B$3:B30,B31,T$3:T32)</f>
        <v>0</v>
      </c>
      <c r="K31" s="555"/>
      <c r="L31" s="556" t="e">
        <f>J31/J32</f>
        <v>#DIV/0!</v>
      </c>
      <c r="M31" s="557"/>
      <c r="N31" s="557"/>
      <c r="O31" s="557"/>
      <c r="S31" s="530"/>
      <c r="T31" s="531"/>
      <c r="U31" s="531"/>
      <c r="V31" s="531"/>
      <c r="X31" s="532"/>
      <c r="Y31" s="532"/>
    </row>
    <row r="32" spans="1:27" s="523" customFormat="1" ht="15" customHeight="1" x14ac:dyDescent="0.25">
      <c r="A32" s="507"/>
      <c r="B32" s="558"/>
      <c r="C32" s="559">
        <f>SUM(C27:C31)</f>
        <v>0</v>
      </c>
      <c r="D32" s="560"/>
      <c r="E32" s="511"/>
      <c r="F32" s="512"/>
      <c r="G32" s="513"/>
      <c r="H32" s="513"/>
      <c r="I32" s="514"/>
      <c r="J32" s="561">
        <f>SUM(J27:J31)</f>
        <v>0</v>
      </c>
      <c r="K32" s="562"/>
      <c r="L32" s="563"/>
      <c r="M32" s="539"/>
      <c r="N32" s="518"/>
      <c r="O32" s="518"/>
      <c r="S32" s="530"/>
      <c r="T32" s="531"/>
      <c r="U32" s="531"/>
      <c r="V32" s="531"/>
      <c r="X32" s="532"/>
      <c r="Y32" s="532"/>
    </row>
    <row r="33" spans="1:26" s="435" customFormat="1" x14ac:dyDescent="0.25">
      <c r="A33" s="456"/>
      <c r="B33" s="456"/>
      <c r="D33" s="456"/>
      <c r="E33" s="457"/>
      <c r="F33" s="458"/>
      <c r="G33" s="458"/>
      <c r="H33" s="458"/>
      <c r="I33" s="458"/>
      <c r="J33" s="458"/>
      <c r="K33" s="458"/>
      <c r="L33" s="458"/>
      <c r="M33" s="458"/>
      <c r="N33" s="458"/>
      <c r="O33" s="458"/>
      <c r="P33" s="458"/>
      <c r="Q33" s="458"/>
      <c r="R33" s="458"/>
      <c r="S33" s="458"/>
      <c r="T33" s="458"/>
      <c r="U33" s="458"/>
      <c r="V33" s="458"/>
      <c r="W33" s="458"/>
      <c r="X33" s="458"/>
      <c r="Y33" s="458"/>
      <c r="Z33" s="458"/>
    </row>
    <row r="34" spans="1:26" s="435" customFormat="1" x14ac:dyDescent="0.25">
      <c r="A34" s="564" t="s">
        <v>1247</v>
      </c>
    </row>
    <row r="35" spans="1:26" s="435" customFormat="1" ht="17.25" x14ac:dyDescent="0.4">
      <c r="A35" s="437" t="s">
        <v>742</v>
      </c>
      <c r="B35" s="565" t="s">
        <v>743</v>
      </c>
      <c r="C35" s="566"/>
    </row>
    <row r="36" spans="1:26" s="435" customFormat="1" ht="17.25" x14ac:dyDescent="0.4">
      <c r="A36" s="450" t="s">
        <v>1575</v>
      </c>
      <c r="B36" s="567"/>
      <c r="C36" s="566"/>
    </row>
    <row r="37" spans="1:26" s="435" customFormat="1" x14ac:dyDescent="0.25">
      <c r="A37" s="437" t="s">
        <v>772</v>
      </c>
      <c r="B37" s="456">
        <v>0.5</v>
      </c>
      <c r="C37" s="456"/>
    </row>
    <row r="38" spans="1:26" s="435" customFormat="1" x14ac:dyDescent="0.25">
      <c r="A38" s="437" t="s">
        <v>774</v>
      </c>
      <c r="B38" s="456">
        <v>3</v>
      </c>
      <c r="C38" s="456"/>
    </row>
    <row r="39" spans="1:26" s="435" customFormat="1" x14ac:dyDescent="0.25">
      <c r="A39" s="437" t="s">
        <v>775</v>
      </c>
      <c r="B39" s="456"/>
      <c r="C39" s="456"/>
    </row>
    <row r="40" spans="1:26" s="435" customFormat="1" x14ac:dyDescent="0.25">
      <c r="A40" s="437" t="s">
        <v>783</v>
      </c>
      <c r="B40" s="456" t="s">
        <v>784</v>
      </c>
      <c r="C40" s="456"/>
    </row>
    <row r="41" spans="1:26" s="435" customFormat="1" x14ac:dyDescent="0.25">
      <c r="A41" s="456"/>
      <c r="B41" s="456"/>
      <c r="D41" s="456"/>
      <c r="E41" s="457"/>
      <c r="F41" s="458"/>
      <c r="G41" s="458"/>
      <c r="H41" s="458"/>
      <c r="I41" s="458"/>
      <c r="J41" s="458"/>
      <c r="K41" s="458"/>
      <c r="L41" s="458"/>
      <c r="M41" s="458"/>
      <c r="N41" s="458"/>
      <c r="O41" s="458"/>
      <c r="P41" s="458"/>
      <c r="Q41" s="458"/>
      <c r="R41" s="458"/>
      <c r="S41" s="458"/>
      <c r="T41" s="458"/>
      <c r="U41" s="458"/>
      <c r="V41" s="458"/>
      <c r="W41" s="458"/>
      <c r="X41" s="458"/>
      <c r="Y41" s="458"/>
      <c r="Z41" s="458"/>
    </row>
    <row r="42" spans="1:26" s="435" customFormat="1" x14ac:dyDescent="0.25">
      <c r="A42" s="564" t="s">
        <v>1248</v>
      </c>
    </row>
    <row r="43" spans="1:26" s="435" customFormat="1" ht="15.75" thickBot="1" x14ac:dyDescent="0.3">
      <c r="A43" s="870"/>
      <c r="B43" s="565"/>
      <c r="C43" s="882" t="s">
        <v>1488</v>
      </c>
      <c r="D43" s="858"/>
      <c r="E43" s="859" t="s">
        <v>1249</v>
      </c>
      <c r="F43" s="860">
        <f>COUNTA(D$2:D41)</f>
        <v>13</v>
      </c>
      <c r="G43" s="858"/>
      <c r="H43" s="858"/>
      <c r="I43" s="858"/>
    </row>
    <row r="44" spans="1:26" s="435" customFormat="1" ht="15.75" thickBot="1" x14ac:dyDescent="0.3">
      <c r="A44" s="871"/>
      <c r="B44" s="871"/>
      <c r="C44" s="883" t="s">
        <v>1489</v>
      </c>
      <c r="D44" s="861"/>
      <c r="E44" s="859" t="s">
        <v>1250</v>
      </c>
      <c r="F44" s="860">
        <f>F43-I44</f>
        <v>-2</v>
      </c>
      <c r="G44" s="862" t="s">
        <v>1251</v>
      </c>
      <c r="H44" s="863">
        <f>1-F44/F43</f>
        <v>1.1538461538461537</v>
      </c>
      <c r="I44" s="864">
        <f>COUNTIF(A$2:A41,"")</f>
        <v>15</v>
      </c>
      <c r="K44" s="860"/>
    </row>
    <row r="45" spans="1:26" s="435" customFormat="1" x14ac:dyDescent="0.25">
      <c r="A45" s="870"/>
    </row>
    <row r="46" spans="1:26" s="568" customFormat="1" ht="7.5" customHeight="1" x14ac:dyDescent="0.25">
      <c r="D46" s="569"/>
      <c r="E46" s="569"/>
    </row>
    <row r="47" spans="1:26" s="570" customFormat="1" ht="19.5" x14ac:dyDescent="0.3">
      <c r="A47" s="435"/>
      <c r="C47" s="571" t="s">
        <v>829</v>
      </c>
    </row>
    <row r="48" spans="1:26" s="570" customFormat="1" x14ac:dyDescent="0.25"/>
    <row r="49" spans="1:7" s="570" customFormat="1" ht="15.75" thickBot="1" x14ac:dyDescent="0.3">
      <c r="A49" s="570" t="s">
        <v>830</v>
      </c>
    </row>
    <row r="50" spans="1:7" s="570" customFormat="1" ht="17.25" x14ac:dyDescent="0.4">
      <c r="A50" s="916" t="s">
        <v>32</v>
      </c>
      <c r="B50" s="437" t="s">
        <v>742</v>
      </c>
      <c r="C50" s="566" t="s">
        <v>831</v>
      </c>
      <c r="D50" s="572" t="s">
        <v>832</v>
      </c>
      <c r="G50" s="570" t="s">
        <v>833</v>
      </c>
    </row>
    <row r="51" spans="1:7" s="570" customFormat="1" x14ac:dyDescent="0.25">
      <c r="A51" s="917"/>
      <c r="B51" s="450" t="s">
        <v>770</v>
      </c>
      <c r="C51" s="573">
        <v>4240</v>
      </c>
      <c r="D51" s="574" t="str">
        <f>IF(F51="&lt;&lt;ПУСТО&gt;&gt;",E51&amp;ROUND(H51/1000,0),F51&amp;E51&amp;ROUND(H51/1000,0))</f>
        <v>0</v>
      </c>
      <c r="G51" s="570" t="s">
        <v>834</v>
      </c>
    </row>
    <row r="52" spans="1:7" s="570" customFormat="1" x14ac:dyDescent="0.25">
      <c r="A52" s="917"/>
      <c r="B52" s="437" t="s">
        <v>772</v>
      </c>
      <c r="C52" s="575">
        <v>8</v>
      </c>
      <c r="D52" s="575">
        <v>1</v>
      </c>
      <c r="G52" s="570" t="s">
        <v>835</v>
      </c>
    </row>
    <row r="53" spans="1:7" s="570" customFormat="1" x14ac:dyDescent="0.25">
      <c r="A53" s="917"/>
      <c r="B53" s="437" t="s">
        <v>774</v>
      </c>
      <c r="C53" s="575">
        <v>2</v>
      </c>
      <c r="D53" s="575"/>
    </row>
    <row r="54" spans="1:7" s="570" customFormat="1" x14ac:dyDescent="0.25">
      <c r="A54" s="917"/>
      <c r="B54" s="437" t="s">
        <v>775</v>
      </c>
      <c r="C54" s="575"/>
      <c r="D54" s="575"/>
    </row>
    <row r="55" spans="1:7" s="570" customFormat="1" ht="15.75" thickBot="1" x14ac:dyDescent="0.3">
      <c r="A55" s="918"/>
      <c r="B55" s="437" t="s">
        <v>783</v>
      </c>
      <c r="C55" s="575" t="s">
        <v>836</v>
      </c>
      <c r="D55" s="575"/>
      <c r="G55" s="435" t="s">
        <v>837</v>
      </c>
    </row>
    <row r="56" spans="1:7" s="570" customFormat="1" x14ac:dyDescent="0.25"/>
    <row r="57" spans="1:7" s="570" customFormat="1" ht="15.75" thickBot="1" x14ac:dyDescent="0.3">
      <c r="A57" s="570" t="s">
        <v>838</v>
      </c>
    </row>
    <row r="58" spans="1:7" s="570" customFormat="1" x14ac:dyDescent="0.25">
      <c r="A58" s="576">
        <f>(SUMIF(A$2:A55,"",F$2:F55)-F58)/1000000</f>
        <v>1.1E-5</v>
      </c>
      <c r="B58" s="577"/>
      <c r="C58" s="578" t="s">
        <v>61</v>
      </c>
      <c r="E58" s="579" t="s">
        <v>839</v>
      </c>
      <c r="F58" s="580">
        <f>SUMIF(I$47:I52,"Наталья Константиновна Лидер",F$47:F52)</f>
        <v>0</v>
      </c>
    </row>
    <row r="59" spans="1:7" s="570" customFormat="1" ht="15.75" thickBot="1" x14ac:dyDescent="0.3">
      <c r="A59" s="581">
        <f>COUNTIF(A$2:A55,"")-F59</f>
        <v>26</v>
      </c>
      <c r="B59" s="577"/>
      <c r="C59" s="578" t="s">
        <v>840</v>
      </c>
      <c r="E59" s="582"/>
      <c r="F59" s="583">
        <f>COUNTIF(I$47:I60,"Наталья Константиновна Лидер")</f>
        <v>0</v>
      </c>
    </row>
    <row r="60" spans="1:7" s="570" customFormat="1" x14ac:dyDescent="0.25"/>
    <row r="61" spans="1:7" s="570" customFormat="1" x14ac:dyDescent="0.25">
      <c r="A61" s="570" t="s">
        <v>841</v>
      </c>
    </row>
    <row r="62" spans="1:7" s="570" customFormat="1" ht="15.75" thickBot="1" x14ac:dyDescent="0.3">
      <c r="B62" s="570" t="s">
        <v>842</v>
      </c>
    </row>
    <row r="63" spans="1:7" s="570" customFormat="1" ht="17.25" x14ac:dyDescent="0.4">
      <c r="A63" s="916" t="s">
        <v>41</v>
      </c>
      <c r="B63" s="437" t="s">
        <v>742</v>
      </c>
      <c r="C63" s="566" t="s">
        <v>831</v>
      </c>
      <c r="D63" s="566" t="s">
        <v>843</v>
      </c>
      <c r="G63" s="570" t="s">
        <v>833</v>
      </c>
    </row>
    <row r="64" spans="1:7" s="570" customFormat="1" x14ac:dyDescent="0.25">
      <c r="A64" s="917"/>
      <c r="B64" s="450" t="s">
        <v>1575</v>
      </c>
      <c r="C64" s="567">
        <f>O64</f>
        <v>0</v>
      </c>
      <c r="D64" s="584" t="str">
        <f>IF(G64="",F64,G64&amp;"/"&amp;F64)</f>
        <v>Match=&lt;номер строки Договора1С&gt;/</v>
      </c>
      <c r="G64" s="570" t="s">
        <v>844</v>
      </c>
    </row>
    <row r="65" spans="1:9" s="570" customFormat="1" x14ac:dyDescent="0.25">
      <c r="A65" s="917"/>
      <c r="B65" s="437" t="s">
        <v>772</v>
      </c>
      <c r="C65" s="570">
        <v>10</v>
      </c>
      <c r="D65" s="575">
        <v>1</v>
      </c>
      <c r="F65" s="585" t="str">
        <f>"/=""Не состоялся"":"&amp;F66</f>
        <v>/="Не состоялся":/="Договор расторгнут"</v>
      </c>
      <c r="G65" s="570" t="s">
        <v>845</v>
      </c>
    </row>
    <row r="66" spans="1:9" s="435" customFormat="1" x14ac:dyDescent="0.25">
      <c r="A66" s="917"/>
      <c r="B66" s="437" t="s">
        <v>774</v>
      </c>
      <c r="C66" s="456">
        <v>2</v>
      </c>
      <c r="D66" s="456"/>
      <c r="F66" s="586" t="s">
        <v>846</v>
      </c>
    </row>
    <row r="67" spans="1:9" s="435" customFormat="1" x14ac:dyDescent="0.25">
      <c r="A67" s="917"/>
      <c r="B67" s="437" t="s">
        <v>775</v>
      </c>
      <c r="C67" s="456"/>
      <c r="D67" s="456"/>
    </row>
    <row r="68" spans="1:9" s="435" customFormat="1" ht="15.75" thickBot="1" x14ac:dyDescent="0.3">
      <c r="A68" s="918"/>
      <c r="B68" s="437" t="s">
        <v>783</v>
      </c>
      <c r="C68" s="456" t="s">
        <v>847</v>
      </c>
      <c r="D68" s="456"/>
      <c r="F68" s="575" t="str">
        <f>"10/="""":"&amp;F65</f>
        <v>10/="":/="Не состоялся":/="Договор расторгнут"</v>
      </c>
      <c r="G68" s="435" t="s">
        <v>848</v>
      </c>
    </row>
    <row r="69" spans="1:9" s="570" customFormat="1" x14ac:dyDescent="0.25">
      <c r="E69" s="435"/>
      <c r="H69" s="435"/>
    </row>
    <row r="70" spans="1:9" s="570" customFormat="1" x14ac:dyDescent="0.25">
      <c r="A70" s="570" t="s">
        <v>849</v>
      </c>
      <c r="E70" s="435"/>
      <c r="H70" s="435"/>
    </row>
    <row r="71" spans="1:9" s="570" customFormat="1" ht="15.75" thickBot="1" x14ac:dyDescent="0.3">
      <c r="B71" s="570" t="s">
        <v>850</v>
      </c>
    </row>
    <row r="72" spans="1:9" s="570" customFormat="1" ht="15.75" thickBot="1" x14ac:dyDescent="0.3">
      <c r="A72" s="587">
        <f>COUNTIF(A$2:A66,"")-COUNTIF(M$2:M63,"Не состоялся")-COUNTIF(M$2:M63,"Договор расторгнут")</f>
        <v>32</v>
      </c>
      <c r="B72" s="577"/>
    </row>
    <row r="73" spans="1:9" s="570" customFormat="1" x14ac:dyDescent="0.25">
      <c r="B73" s="577"/>
    </row>
    <row r="74" spans="1:9" s="570" customFormat="1" x14ac:dyDescent="0.25">
      <c r="A74" s="570" t="s">
        <v>851</v>
      </c>
    </row>
    <row r="75" spans="1:9" s="570" customFormat="1" x14ac:dyDescent="0.25">
      <c r="A75" s="588" t="s">
        <v>852</v>
      </c>
      <c r="B75" s="588" t="s">
        <v>853</v>
      </c>
      <c r="C75" s="588" t="s">
        <v>854</v>
      </c>
      <c r="D75" s="588" t="s">
        <v>855</v>
      </c>
      <c r="E75" s="588" t="s">
        <v>856</v>
      </c>
      <c r="F75" s="588" t="s">
        <v>857</v>
      </c>
      <c r="G75" s="588" t="s">
        <v>858</v>
      </c>
      <c r="H75" s="588" t="s">
        <v>859</v>
      </c>
      <c r="I75" s="588" t="s">
        <v>860</v>
      </c>
    </row>
    <row r="76" spans="1:9" s="570" customFormat="1" x14ac:dyDescent="0.25">
      <c r="A76" s="570" t="s">
        <v>861</v>
      </c>
      <c r="B76" s="570" t="s">
        <v>862</v>
      </c>
      <c r="D76" s="575" t="s">
        <v>58</v>
      </c>
      <c r="E76" s="575">
        <v>1</v>
      </c>
      <c r="F76" s="570" t="s">
        <v>863</v>
      </c>
      <c r="G76" s="570" t="s">
        <v>864</v>
      </c>
      <c r="H76" s="570" t="s">
        <v>32</v>
      </c>
      <c r="I76" s="570" t="s">
        <v>865</v>
      </c>
    </row>
    <row r="77" spans="1:9" s="568" customFormat="1" ht="7.5" customHeight="1" x14ac:dyDescent="0.25">
      <c r="D77" s="569"/>
      <c r="E77" s="569"/>
    </row>
    <row r="78" spans="1:9" s="570" customFormat="1" ht="19.5" x14ac:dyDescent="0.3">
      <c r="A78" s="435"/>
      <c r="C78" s="571" t="s">
        <v>866</v>
      </c>
      <c r="I78" s="570">
        <f>C84</f>
        <v>5</v>
      </c>
    </row>
    <row r="79" spans="1:9" s="435" customFormat="1" x14ac:dyDescent="0.25"/>
    <row r="80" spans="1:9" s="435" customFormat="1" x14ac:dyDescent="0.25">
      <c r="A80" s="435" t="s">
        <v>867</v>
      </c>
    </row>
    <row r="81" spans="1:38" s="435" customFormat="1" ht="25.5" x14ac:dyDescent="0.25">
      <c r="A81" s="437" t="s">
        <v>742</v>
      </c>
      <c r="B81" s="589" t="s">
        <v>868</v>
      </c>
      <c r="C81" s="589" t="s">
        <v>869</v>
      </c>
      <c r="D81" s="590" t="s">
        <v>870</v>
      </c>
      <c r="E81" s="591" t="s">
        <v>871</v>
      </c>
      <c r="F81" s="592" t="s">
        <v>872</v>
      </c>
      <c r="G81" s="589" t="s">
        <v>109</v>
      </c>
      <c r="H81" s="589" t="s">
        <v>801</v>
      </c>
      <c r="I81" s="589" t="s">
        <v>873</v>
      </c>
      <c r="J81" s="589" t="s">
        <v>760</v>
      </c>
      <c r="L81" s="593" t="s">
        <v>874</v>
      </c>
      <c r="M81" s="594" t="s">
        <v>875</v>
      </c>
      <c r="N81" s="595"/>
      <c r="O81" s="596" t="s">
        <v>102</v>
      </c>
      <c r="P81" s="597" t="s">
        <v>876</v>
      </c>
      <c r="Q81" s="596" t="s">
        <v>106</v>
      </c>
      <c r="R81" s="596" t="s">
        <v>52</v>
      </c>
      <c r="S81" s="596" t="s">
        <v>109</v>
      </c>
      <c r="T81" s="598" t="s">
        <v>111</v>
      </c>
      <c r="U81" s="599" t="s">
        <v>877</v>
      </c>
      <c r="V81" s="600" t="s">
        <v>878</v>
      </c>
      <c r="W81" s="596" t="s">
        <v>879</v>
      </c>
      <c r="X81" s="601" t="s">
        <v>94</v>
      </c>
      <c r="Y81" s="602" t="s">
        <v>94</v>
      </c>
      <c r="Z81" s="602" t="s">
        <v>94</v>
      </c>
      <c r="AA81" s="602" t="s">
        <v>94</v>
      </c>
      <c r="AB81" s="596" t="s">
        <v>94</v>
      </c>
      <c r="AC81" s="596" t="s">
        <v>880</v>
      </c>
      <c r="AD81" s="596" t="s">
        <v>94</v>
      </c>
      <c r="AE81" s="596"/>
      <c r="AF81" s="596" t="s">
        <v>94</v>
      </c>
      <c r="AG81" s="603" t="s">
        <v>881</v>
      </c>
      <c r="AH81" s="604" t="s">
        <v>94</v>
      </c>
      <c r="AI81" s="596" t="s">
        <v>94</v>
      </c>
      <c r="AJ81" s="596" t="s">
        <v>94</v>
      </c>
      <c r="AK81" s="605" t="s">
        <v>882</v>
      </c>
      <c r="AL81" s="606"/>
    </row>
    <row r="82" spans="1:38" s="435" customFormat="1" x14ac:dyDescent="0.25">
      <c r="A82" s="450" t="s">
        <v>1575</v>
      </c>
      <c r="B82" s="607"/>
      <c r="C82" s="608"/>
      <c r="D82" s="609">
        <v>41367</v>
      </c>
      <c r="E82" s="610" t="s">
        <v>883</v>
      </c>
      <c r="F82" s="611">
        <f>T82</f>
        <v>0</v>
      </c>
      <c r="G82" s="456"/>
      <c r="H82" s="457"/>
    </row>
    <row r="83" spans="1:38" s="435" customFormat="1" x14ac:dyDescent="0.25">
      <c r="A83" s="437" t="s">
        <v>772</v>
      </c>
      <c r="B83" s="456">
        <v>1</v>
      </c>
      <c r="C83" s="456">
        <v>5</v>
      </c>
      <c r="D83" s="456">
        <v>8</v>
      </c>
      <c r="E83" s="456">
        <v>13</v>
      </c>
      <c r="F83" s="456">
        <v>14</v>
      </c>
      <c r="G83" s="456">
        <v>11</v>
      </c>
      <c r="H83" s="457">
        <v>20</v>
      </c>
      <c r="I83" s="458">
        <v>15</v>
      </c>
      <c r="J83" s="458">
        <v>10</v>
      </c>
      <c r="K83" s="458">
        <v>6</v>
      </c>
      <c r="L83" s="458">
        <v>6</v>
      </c>
      <c r="M83" s="458">
        <v>10</v>
      </c>
      <c r="N83" s="458">
        <v>1</v>
      </c>
      <c r="O83" s="458">
        <v>45</v>
      </c>
      <c r="P83" s="458"/>
      <c r="Q83" s="458">
        <v>13</v>
      </c>
      <c r="R83" s="458">
        <v>16</v>
      </c>
      <c r="S83" s="458">
        <v>10</v>
      </c>
      <c r="T83" s="458">
        <v>10</v>
      </c>
      <c r="U83" s="458">
        <v>10</v>
      </c>
      <c r="V83" s="458">
        <v>10</v>
      </c>
      <c r="W83" s="458">
        <v>10</v>
      </c>
      <c r="X83" s="458">
        <v>10</v>
      </c>
      <c r="Y83" s="458">
        <v>0</v>
      </c>
      <c r="Z83" s="458">
        <v>0</v>
      </c>
      <c r="AA83" s="458">
        <v>0</v>
      </c>
      <c r="AB83" s="458">
        <v>0</v>
      </c>
      <c r="AC83" s="458">
        <v>0</v>
      </c>
      <c r="AD83" s="458">
        <v>0</v>
      </c>
      <c r="AE83" s="458"/>
      <c r="AF83" s="458">
        <v>0</v>
      </c>
      <c r="AG83" s="458">
        <v>0</v>
      </c>
      <c r="AH83" s="458">
        <v>0</v>
      </c>
      <c r="AI83" s="458">
        <v>0</v>
      </c>
      <c r="AJ83" s="458">
        <v>0</v>
      </c>
      <c r="AK83" s="458">
        <v>0</v>
      </c>
      <c r="AL83" s="458">
        <v>0</v>
      </c>
    </row>
    <row r="84" spans="1:38" s="435" customFormat="1" x14ac:dyDescent="0.25">
      <c r="A84" s="437" t="s">
        <v>774</v>
      </c>
      <c r="B84" s="456">
        <v>5</v>
      </c>
      <c r="C84" s="456">
        <v>5</v>
      </c>
      <c r="D84" s="456" t="s">
        <v>884</v>
      </c>
      <c r="E84" s="456">
        <v>5</v>
      </c>
      <c r="F84" s="456"/>
      <c r="G84" s="456">
        <v>5</v>
      </c>
      <c r="H84" s="435">
        <v>5</v>
      </c>
      <c r="I84" s="435">
        <v>1</v>
      </c>
      <c r="J84" s="456">
        <v>1</v>
      </c>
      <c r="K84" s="457">
        <v>-1</v>
      </c>
      <c r="L84" s="456"/>
      <c r="O84" s="456"/>
      <c r="P84" s="456"/>
      <c r="Q84" s="458"/>
      <c r="R84" s="458"/>
      <c r="S84" s="458"/>
      <c r="T84" s="458"/>
      <c r="U84" s="458"/>
      <c r="V84" s="458"/>
      <c r="W84" s="458"/>
      <c r="X84" s="458"/>
      <c r="Y84" s="458"/>
      <c r="Z84" s="459"/>
      <c r="AA84" s="458"/>
      <c r="AB84" s="458"/>
      <c r="AC84" s="458"/>
      <c r="AD84" s="458"/>
      <c r="AE84" s="458"/>
      <c r="AF84" s="458"/>
      <c r="AG84" s="458"/>
    </row>
    <row r="85" spans="1:38" s="435" customFormat="1" x14ac:dyDescent="0.25">
      <c r="A85" s="437" t="s">
        <v>775</v>
      </c>
      <c r="B85" s="456"/>
      <c r="C85" s="456"/>
      <c r="D85" s="456"/>
      <c r="E85" s="456"/>
      <c r="F85" s="456"/>
      <c r="G85" s="456"/>
      <c r="J85" s="456"/>
      <c r="K85" s="457"/>
      <c r="L85" s="456"/>
      <c r="O85" s="456" t="s">
        <v>885</v>
      </c>
      <c r="P85" s="456"/>
      <c r="Q85" s="458"/>
      <c r="R85" s="458"/>
      <c r="S85" s="458"/>
      <c r="T85" s="458"/>
      <c r="U85" s="458"/>
      <c r="V85" s="458"/>
      <c r="W85" s="458"/>
      <c r="X85" s="458"/>
      <c r="Y85" s="458"/>
      <c r="Z85" s="459"/>
      <c r="AA85" s="458"/>
      <c r="AB85" s="458"/>
      <c r="AC85" s="458"/>
      <c r="AD85" s="458"/>
      <c r="AE85" s="458"/>
      <c r="AF85" s="458"/>
      <c r="AG85" s="458"/>
    </row>
    <row r="86" spans="1:38" s="435" customFormat="1" x14ac:dyDescent="0.25">
      <c r="A86" s="437" t="s">
        <v>783</v>
      </c>
      <c r="B86" s="456" t="s">
        <v>886</v>
      </c>
      <c r="C86" s="456" t="s">
        <v>887</v>
      </c>
      <c r="D86" s="467" t="s">
        <v>888</v>
      </c>
      <c r="E86" s="467" t="s">
        <v>889</v>
      </c>
      <c r="F86" s="467"/>
      <c r="G86" s="456" t="s">
        <v>890</v>
      </c>
      <c r="H86" s="612" t="s">
        <v>891</v>
      </c>
      <c r="I86" s="456" t="s">
        <v>892</v>
      </c>
      <c r="J86" s="456" t="s">
        <v>893</v>
      </c>
      <c r="K86" s="456"/>
      <c r="L86" s="456"/>
      <c r="O86" s="456"/>
      <c r="P86" s="456"/>
      <c r="Q86" s="458"/>
      <c r="R86" s="458"/>
      <c r="S86" s="458"/>
      <c r="T86" s="458"/>
      <c r="U86" s="458"/>
      <c r="V86" s="458"/>
      <c r="W86" s="458"/>
      <c r="X86" s="458"/>
      <c r="Y86" s="458"/>
      <c r="Z86" s="459"/>
      <c r="AA86" s="458"/>
      <c r="AB86" s="458"/>
      <c r="AC86" s="458"/>
      <c r="AD86" s="458"/>
      <c r="AE86" s="458"/>
      <c r="AF86" s="458"/>
      <c r="AG86" s="458"/>
    </row>
    <row r="87" spans="1:38" s="435" customFormat="1" x14ac:dyDescent="0.25">
      <c r="N87" s="435" t="s">
        <v>894</v>
      </c>
    </row>
    <row r="88" spans="1:38" s="435" customFormat="1" x14ac:dyDescent="0.25">
      <c r="A88" s="435" t="s">
        <v>895</v>
      </c>
    </row>
    <row r="89" spans="1:38" s="435" customFormat="1" ht="25.5" x14ac:dyDescent="0.25">
      <c r="A89" s="437" t="s">
        <v>742</v>
      </c>
      <c r="B89" s="589" t="s">
        <v>868</v>
      </c>
      <c r="C89" s="589" t="s">
        <v>869</v>
      </c>
      <c r="D89" s="590" t="s">
        <v>870</v>
      </c>
      <c r="E89" s="591" t="s">
        <v>871</v>
      </c>
      <c r="F89" s="592" t="s">
        <v>872</v>
      </c>
      <c r="G89" s="589" t="s">
        <v>109</v>
      </c>
      <c r="H89" s="589" t="s">
        <v>801</v>
      </c>
      <c r="I89" s="589" t="s">
        <v>873</v>
      </c>
      <c r="J89" s="589" t="s">
        <v>760</v>
      </c>
      <c r="L89" s="593" t="s">
        <v>874</v>
      </c>
      <c r="M89" s="594" t="s">
        <v>875</v>
      </c>
      <c r="N89" s="595"/>
      <c r="O89" s="596" t="s">
        <v>102</v>
      </c>
      <c r="P89" s="597" t="s">
        <v>876</v>
      </c>
      <c r="Q89" s="596" t="s">
        <v>106</v>
      </c>
      <c r="R89" s="596" t="s">
        <v>52</v>
      </c>
      <c r="S89" s="596" t="s">
        <v>109</v>
      </c>
      <c r="T89" s="598" t="s">
        <v>111</v>
      </c>
      <c r="U89" s="599" t="s">
        <v>877</v>
      </c>
      <c r="V89" s="600" t="s">
        <v>878</v>
      </c>
      <c r="W89" s="596" t="s">
        <v>879</v>
      </c>
      <c r="X89" s="601" t="s">
        <v>94</v>
      </c>
      <c r="Y89" s="602" t="s">
        <v>94</v>
      </c>
      <c r="Z89" s="602" t="s">
        <v>94</v>
      </c>
      <c r="AA89" s="602" t="s">
        <v>94</v>
      </c>
      <c r="AB89" s="596" t="s">
        <v>94</v>
      </c>
      <c r="AC89" s="596" t="s">
        <v>880</v>
      </c>
      <c r="AD89" s="596" t="s">
        <v>94</v>
      </c>
      <c r="AE89" s="596"/>
      <c r="AF89" s="596" t="s">
        <v>94</v>
      </c>
      <c r="AG89" s="603" t="s">
        <v>881</v>
      </c>
      <c r="AH89" s="604" t="s">
        <v>94</v>
      </c>
      <c r="AI89" s="596" t="s">
        <v>94</v>
      </c>
      <c r="AJ89" s="596" t="s">
        <v>94</v>
      </c>
      <c r="AK89" s="605" t="s">
        <v>882</v>
      </c>
      <c r="AL89" s="606"/>
    </row>
    <row r="90" spans="1:38" s="435" customFormat="1" x14ac:dyDescent="0.25">
      <c r="A90" s="450" t="s">
        <v>1575</v>
      </c>
      <c r="B90" s="607"/>
      <c r="C90" s="608"/>
      <c r="D90" s="609">
        <v>41367</v>
      </c>
      <c r="E90" s="610" t="s">
        <v>883</v>
      </c>
      <c r="F90" s="611">
        <f>T90</f>
        <v>0</v>
      </c>
      <c r="G90" s="456"/>
      <c r="H90" s="457"/>
    </row>
    <row r="91" spans="1:38" s="435" customFormat="1" x14ac:dyDescent="0.25">
      <c r="A91" s="437" t="s">
        <v>772</v>
      </c>
      <c r="B91" s="456">
        <v>1</v>
      </c>
      <c r="C91" s="456">
        <v>5</v>
      </c>
      <c r="D91" s="456">
        <v>8</v>
      </c>
      <c r="E91" s="456">
        <v>13</v>
      </c>
      <c r="F91" s="456">
        <v>14</v>
      </c>
      <c r="G91" s="456">
        <v>11</v>
      </c>
      <c r="H91" s="457">
        <v>20</v>
      </c>
      <c r="I91" s="458">
        <v>15</v>
      </c>
      <c r="J91" s="458">
        <v>10</v>
      </c>
      <c r="K91" s="458">
        <v>6</v>
      </c>
      <c r="L91" s="458">
        <v>6</v>
      </c>
      <c r="M91" s="458">
        <v>10</v>
      </c>
      <c r="N91" s="458">
        <v>1</v>
      </c>
      <c r="O91" s="458">
        <v>45</v>
      </c>
      <c r="P91" s="458"/>
      <c r="Q91" s="458">
        <v>13</v>
      </c>
      <c r="R91" s="458">
        <v>16</v>
      </c>
      <c r="S91" s="458">
        <v>10</v>
      </c>
      <c r="T91" s="458">
        <v>10</v>
      </c>
      <c r="U91" s="458">
        <v>10</v>
      </c>
      <c r="V91" s="458">
        <v>10</v>
      </c>
      <c r="W91" s="458">
        <v>10</v>
      </c>
      <c r="X91" s="458">
        <v>10</v>
      </c>
      <c r="Y91" s="458">
        <v>0</v>
      </c>
      <c r="Z91" s="458">
        <v>0</v>
      </c>
      <c r="AA91" s="458">
        <v>0</v>
      </c>
      <c r="AB91" s="458">
        <v>0</v>
      </c>
      <c r="AC91" s="458">
        <v>0</v>
      </c>
      <c r="AD91" s="458">
        <v>0</v>
      </c>
      <c r="AE91" s="458"/>
      <c r="AF91" s="458">
        <v>0</v>
      </c>
      <c r="AG91" s="458">
        <v>0</v>
      </c>
      <c r="AH91" s="458">
        <v>0</v>
      </c>
      <c r="AI91" s="458">
        <v>0</v>
      </c>
      <c r="AJ91" s="458">
        <v>0</v>
      </c>
      <c r="AK91" s="458">
        <v>0</v>
      </c>
      <c r="AL91" s="458">
        <v>0</v>
      </c>
    </row>
    <row r="92" spans="1:38" s="435" customFormat="1" x14ac:dyDescent="0.25">
      <c r="A92" s="437" t="s">
        <v>774</v>
      </c>
      <c r="B92" s="456">
        <v>5</v>
      </c>
      <c r="C92" s="456">
        <v>5</v>
      </c>
      <c r="D92" s="456" t="s">
        <v>884</v>
      </c>
      <c r="E92" s="456">
        <v>5</v>
      </c>
      <c r="F92" s="456"/>
      <c r="G92" s="456">
        <v>5</v>
      </c>
      <c r="H92" s="435">
        <v>5</v>
      </c>
      <c r="I92" s="435">
        <v>1</v>
      </c>
      <c r="J92" s="456">
        <v>1</v>
      </c>
      <c r="K92" s="457">
        <v>-1</v>
      </c>
      <c r="L92" s="456"/>
      <c r="O92" s="456"/>
      <c r="P92" s="456"/>
      <c r="Q92" s="458"/>
      <c r="R92" s="458"/>
      <c r="S92" s="458"/>
      <c r="T92" s="458"/>
      <c r="U92" s="458"/>
      <c r="V92" s="458"/>
      <c r="W92" s="458"/>
      <c r="X92" s="458"/>
      <c r="Y92" s="458"/>
      <c r="Z92" s="459"/>
      <c r="AA92" s="458"/>
      <c r="AB92" s="458"/>
      <c r="AC92" s="458"/>
      <c r="AD92" s="458"/>
      <c r="AE92" s="458"/>
      <c r="AF92" s="458"/>
      <c r="AG92" s="458"/>
    </row>
    <row r="93" spans="1:38" s="435" customFormat="1" x14ac:dyDescent="0.25">
      <c r="A93" s="437" t="s">
        <v>775</v>
      </c>
      <c r="B93" s="456"/>
      <c r="C93" s="456"/>
      <c r="D93" s="456"/>
      <c r="E93" s="456"/>
      <c r="F93" s="456"/>
      <c r="G93" s="456"/>
      <c r="J93" s="456"/>
      <c r="K93" s="457"/>
      <c r="L93" s="456"/>
      <c r="O93" s="456" t="s">
        <v>885</v>
      </c>
      <c r="P93" s="456"/>
      <c r="Q93" s="458"/>
      <c r="R93" s="458"/>
      <c r="S93" s="458"/>
      <c r="T93" s="458"/>
      <c r="U93" s="458"/>
      <c r="V93" s="458"/>
      <c r="W93" s="458"/>
      <c r="X93" s="458"/>
      <c r="Y93" s="458"/>
      <c r="Z93" s="459"/>
      <c r="AA93" s="458"/>
      <c r="AB93" s="458"/>
      <c r="AC93" s="458"/>
      <c r="AD93" s="458"/>
      <c r="AE93" s="458"/>
      <c r="AF93" s="458"/>
      <c r="AG93" s="458"/>
    </row>
    <row r="94" spans="1:38" s="435" customFormat="1" x14ac:dyDescent="0.25">
      <c r="A94" s="437" t="s">
        <v>783</v>
      </c>
      <c r="B94" s="456" t="s">
        <v>886</v>
      </c>
      <c r="C94" s="456" t="s">
        <v>887</v>
      </c>
      <c r="D94" s="467" t="s">
        <v>888</v>
      </c>
      <c r="E94" s="467" t="s">
        <v>889</v>
      </c>
      <c r="F94" s="467"/>
      <c r="G94" s="456" t="s">
        <v>890</v>
      </c>
      <c r="H94" s="612" t="s">
        <v>891</v>
      </c>
      <c r="I94" s="456" t="s">
        <v>892</v>
      </c>
      <c r="J94" s="456" t="s">
        <v>893</v>
      </c>
      <c r="K94" s="456"/>
      <c r="L94" s="456"/>
      <c r="O94" s="456"/>
      <c r="P94" s="456"/>
      <c r="Q94" s="458"/>
      <c r="R94" s="458"/>
      <c r="S94" s="458"/>
      <c r="T94" s="458"/>
      <c r="U94" s="458"/>
      <c r="V94" s="458"/>
      <c r="W94" s="458"/>
      <c r="X94" s="458"/>
      <c r="Y94" s="458"/>
      <c r="Z94" s="459"/>
      <c r="AA94" s="458"/>
      <c r="AB94" s="458"/>
      <c r="AC94" s="458"/>
      <c r="AD94" s="458"/>
      <c r="AE94" s="458"/>
      <c r="AF94" s="458"/>
      <c r="AG94" s="458"/>
    </row>
    <row r="95" spans="1:38" s="435" customFormat="1" x14ac:dyDescent="0.25">
      <c r="N95" s="435" t="s">
        <v>894</v>
      </c>
    </row>
    <row r="96" spans="1:38" s="435" customFormat="1" ht="15.75" thickBot="1" x14ac:dyDescent="0.3">
      <c r="A96" s="435" t="s">
        <v>896</v>
      </c>
      <c r="F96" s="435">
        <v>5</v>
      </c>
      <c r="I96" s="435">
        <v>8</v>
      </c>
      <c r="P96" s="435">
        <v>10</v>
      </c>
      <c r="T96" s="435">
        <v>14</v>
      </c>
    </row>
    <row r="97" spans="1:37" s="435" customFormat="1" ht="75" x14ac:dyDescent="0.25">
      <c r="A97" s="613" t="s">
        <v>83</v>
      </c>
      <c r="B97" s="614" t="s">
        <v>897</v>
      </c>
      <c r="C97" s="589" t="s">
        <v>745</v>
      </c>
      <c r="D97" s="589" t="s">
        <v>898</v>
      </c>
      <c r="E97" s="589" t="s">
        <v>899</v>
      </c>
      <c r="F97" s="589" t="s">
        <v>109</v>
      </c>
      <c r="G97" s="589" t="s">
        <v>868</v>
      </c>
      <c r="H97" s="589" t="s">
        <v>873</v>
      </c>
      <c r="I97" s="589" t="s">
        <v>408</v>
      </c>
      <c r="J97" s="589" t="s">
        <v>760</v>
      </c>
      <c r="K97" s="589"/>
      <c r="L97" s="589"/>
      <c r="M97" s="589" t="s">
        <v>900</v>
      </c>
      <c r="N97" s="615" t="s">
        <v>126</v>
      </c>
      <c r="O97" s="589" t="s">
        <v>901</v>
      </c>
      <c r="P97" s="589" t="s">
        <v>902</v>
      </c>
      <c r="Q97" s="616" t="s">
        <v>903</v>
      </c>
      <c r="R97" s="616" t="s">
        <v>90</v>
      </c>
      <c r="S97" s="617" t="s">
        <v>92</v>
      </c>
      <c r="T97" s="616" t="s">
        <v>98</v>
      </c>
      <c r="U97" s="618" t="s">
        <v>94</v>
      </c>
      <c r="V97" s="618" t="s">
        <v>96</v>
      </c>
      <c r="W97" s="618" t="s">
        <v>904</v>
      </c>
      <c r="X97" s="618" t="s">
        <v>905</v>
      </c>
      <c r="Y97" s="618" t="s">
        <v>906</v>
      </c>
    </row>
    <row r="98" spans="1:37" s="435" customFormat="1" x14ac:dyDescent="0.25">
      <c r="A98" s="619"/>
      <c r="B98" s="450" t="s">
        <v>1575</v>
      </c>
      <c r="D98" s="620"/>
      <c r="M98" s="457"/>
      <c r="N98" s="452"/>
      <c r="O98" s="453"/>
      <c r="P98" s="453"/>
      <c r="Q98" s="456" t="s">
        <v>771</v>
      </c>
      <c r="R98" s="456" t="s">
        <v>771</v>
      </c>
      <c r="S98" s="456" t="s">
        <v>771</v>
      </c>
      <c r="T98" s="456" t="s">
        <v>771</v>
      </c>
      <c r="U98" s="456" t="s">
        <v>771</v>
      </c>
      <c r="V98" s="456" t="s">
        <v>771</v>
      </c>
      <c r="W98" s="456" t="s">
        <v>771</v>
      </c>
      <c r="X98" s="456" t="s">
        <v>771</v>
      </c>
      <c r="Y98" s="456" t="s">
        <v>771</v>
      </c>
    </row>
    <row r="99" spans="1:37" s="435" customFormat="1" x14ac:dyDescent="0.25">
      <c r="A99" s="619"/>
      <c r="B99" s="437" t="s">
        <v>772</v>
      </c>
      <c r="C99" s="456">
        <v>9</v>
      </c>
      <c r="D99" s="456">
        <v>5</v>
      </c>
      <c r="E99" s="456">
        <v>22</v>
      </c>
      <c r="F99" s="456">
        <v>10</v>
      </c>
      <c r="G99" s="456">
        <v>1</v>
      </c>
      <c r="H99" s="456">
        <v>15</v>
      </c>
      <c r="I99" s="456">
        <v>10</v>
      </c>
      <c r="J99" s="456">
        <v>8</v>
      </c>
      <c r="K99" s="456">
        <v>1</v>
      </c>
      <c r="L99" s="456">
        <v>1</v>
      </c>
      <c r="M99" s="456">
        <v>12</v>
      </c>
      <c r="N99" s="456">
        <v>14</v>
      </c>
      <c r="O99" s="456">
        <v>12</v>
      </c>
      <c r="P99" s="456">
        <v>8</v>
      </c>
      <c r="Q99" s="456">
        <v>47</v>
      </c>
      <c r="R99" s="456">
        <v>44</v>
      </c>
      <c r="S99" s="456">
        <v>8</v>
      </c>
      <c r="T99" s="456">
        <v>44</v>
      </c>
      <c r="U99" s="456">
        <v>9</v>
      </c>
      <c r="V99" s="456">
        <v>25</v>
      </c>
      <c r="W99" s="456">
        <v>22</v>
      </c>
      <c r="X99" s="456">
        <v>0</v>
      </c>
      <c r="Y99" s="458">
        <v>0</v>
      </c>
    </row>
    <row r="100" spans="1:37" s="435" customFormat="1" x14ac:dyDescent="0.25">
      <c r="A100" s="619"/>
      <c r="B100" s="437" t="s">
        <v>774</v>
      </c>
      <c r="C100" s="456">
        <v>15</v>
      </c>
      <c r="D100" s="456">
        <v>19</v>
      </c>
      <c r="E100" s="456">
        <v>2</v>
      </c>
      <c r="G100" s="435">
        <v>-1</v>
      </c>
      <c r="M100" s="456"/>
      <c r="N100" s="456"/>
      <c r="O100" s="456"/>
      <c r="P100" s="456"/>
      <c r="T100" s="456"/>
      <c r="U100" s="458"/>
      <c r="V100" s="458"/>
      <c r="W100" s="458"/>
      <c r="X100" s="458"/>
      <c r="Y100" s="458"/>
    </row>
    <row r="101" spans="1:37" s="435" customFormat="1" ht="30" x14ac:dyDescent="0.25">
      <c r="A101" s="619"/>
      <c r="B101" s="437" t="s">
        <v>775</v>
      </c>
      <c r="C101" s="456" t="s">
        <v>907</v>
      </c>
      <c r="D101" s="621" t="s">
        <v>908</v>
      </c>
      <c r="E101" s="622" t="s">
        <v>909</v>
      </c>
      <c r="G101" s="456"/>
      <c r="M101" s="456"/>
      <c r="N101" s="456"/>
      <c r="O101" s="456"/>
      <c r="P101" s="456"/>
      <c r="Q101" s="456"/>
      <c r="T101" s="456"/>
      <c r="U101" s="458"/>
      <c r="V101" s="458"/>
      <c r="W101" s="458"/>
      <c r="X101" s="458"/>
      <c r="Y101" s="458"/>
      <c r="Z101" s="458"/>
      <c r="AA101" s="458"/>
      <c r="AB101" s="458"/>
      <c r="AC101" s="458"/>
      <c r="AD101" s="459"/>
      <c r="AE101" s="459"/>
      <c r="AF101" s="458"/>
      <c r="AG101" s="458"/>
      <c r="AH101" s="458"/>
      <c r="AI101" s="458"/>
      <c r="AJ101" s="458"/>
      <c r="AK101" s="458"/>
    </row>
    <row r="102" spans="1:37" s="435" customFormat="1" x14ac:dyDescent="0.25">
      <c r="A102" s="619"/>
      <c r="B102" s="437" t="s">
        <v>783</v>
      </c>
      <c r="D102" s="457"/>
      <c r="E102" s="456"/>
      <c r="F102" s="456"/>
      <c r="H102" s="456"/>
      <c r="K102" s="456"/>
      <c r="L102" s="458"/>
      <c r="M102" s="467"/>
      <c r="N102" s="467"/>
      <c r="O102" s="467"/>
      <c r="P102" s="467"/>
      <c r="Q102" s="458"/>
      <c r="R102" s="458"/>
      <c r="S102" s="458"/>
      <c r="T102" s="458"/>
      <c r="U102" s="458"/>
      <c r="V102" s="458"/>
      <c r="W102" s="458"/>
      <c r="X102" s="458"/>
      <c r="Y102" s="459"/>
      <c r="Z102" s="458"/>
      <c r="AA102" s="458"/>
      <c r="AB102" s="458"/>
      <c r="AC102" s="458"/>
      <c r="AD102" s="458"/>
      <c r="AE102" s="458"/>
      <c r="AF102" s="458"/>
    </row>
    <row r="104" spans="1:37" x14ac:dyDescent="0.25">
      <c r="D104" s="435">
        <v>5</v>
      </c>
      <c r="E104" s="435">
        <v>5</v>
      </c>
      <c r="J104" s="456"/>
      <c r="K104" s="456">
        <v>5</v>
      </c>
      <c r="L104" s="435">
        <v>5</v>
      </c>
      <c r="M104" s="457">
        <v>-1</v>
      </c>
      <c r="N104" s="456"/>
      <c r="O104" s="456"/>
      <c r="P104" s="456"/>
    </row>
    <row r="105" spans="1:37" ht="36.75" x14ac:dyDescent="0.25">
      <c r="D105" s="622" t="s">
        <v>909</v>
      </c>
      <c r="E105" s="622" t="s">
        <v>910</v>
      </c>
      <c r="F105" s="456" t="s">
        <v>907</v>
      </c>
      <c r="K105" s="623" t="s">
        <v>911</v>
      </c>
      <c r="L105" s="623" t="s">
        <v>912</v>
      </c>
      <c r="M105" s="623"/>
      <c r="N105" s="623"/>
      <c r="O105" s="623"/>
      <c r="P105" s="623"/>
    </row>
    <row r="107" spans="1:37" s="568" customFormat="1" ht="7.5" customHeight="1" x14ac:dyDescent="0.25">
      <c r="D107" s="569"/>
      <c r="E107" s="569"/>
    </row>
    <row r="108" spans="1:37" s="570" customFormat="1" ht="19.5" x14ac:dyDescent="0.3">
      <c r="A108" s="435"/>
      <c r="C108" s="571" t="s">
        <v>913</v>
      </c>
      <c r="I108" s="570">
        <f>G139</f>
        <v>0</v>
      </c>
    </row>
    <row r="110" spans="1:37" ht="15.75" thickBot="1" x14ac:dyDescent="0.3">
      <c r="A110" s="624" t="s">
        <v>914</v>
      </c>
    </row>
    <row r="111" spans="1:37" ht="16.5" thickBot="1" x14ac:dyDescent="0.3">
      <c r="A111" s="625">
        <v>40954</v>
      </c>
      <c r="B111" s="626" t="s">
        <v>739</v>
      </c>
      <c r="D111" s="627">
        <v>1</v>
      </c>
    </row>
    <row r="112" spans="1:37" s="435" customFormat="1" x14ac:dyDescent="0.25">
      <c r="A112" s="467"/>
      <c r="B112" s="467"/>
      <c r="C112" s="467"/>
      <c r="D112" s="467"/>
      <c r="E112" s="467"/>
      <c r="F112" s="457"/>
      <c r="G112" s="456"/>
      <c r="H112" s="456"/>
      <c r="K112" s="456"/>
      <c r="L112" s="458"/>
      <c r="M112" s="458"/>
      <c r="N112" s="458"/>
      <c r="O112" s="458"/>
      <c r="P112" s="458"/>
      <c r="Q112" s="458"/>
      <c r="R112" s="458"/>
      <c r="S112" s="458"/>
      <c r="T112" s="458"/>
      <c r="U112" s="459"/>
      <c r="V112" s="458"/>
      <c r="W112" s="458"/>
      <c r="X112" s="458"/>
      <c r="Y112" s="458"/>
      <c r="Z112" s="458"/>
      <c r="AA112" s="458"/>
    </row>
    <row r="113" spans="1:24" s="628" customFormat="1" ht="7.5" customHeight="1" x14ac:dyDescent="0.25">
      <c r="D113" s="629"/>
      <c r="E113" s="629"/>
    </row>
    <row r="114" spans="1:24" s="435" customFormat="1" ht="19.5" x14ac:dyDescent="0.3">
      <c r="C114" s="436" t="s">
        <v>915</v>
      </c>
    </row>
    <row r="116" spans="1:24" ht="15.75" thickBot="1" x14ac:dyDescent="0.3">
      <c r="A116" s="624" t="s">
        <v>916</v>
      </c>
    </row>
    <row r="117" spans="1:24" ht="15.75" thickBot="1" x14ac:dyDescent="0.3">
      <c r="A117" s="437" t="s">
        <v>917</v>
      </c>
      <c r="B117" s="630" t="s">
        <v>918</v>
      </c>
      <c r="C117" s="630" t="s">
        <v>5</v>
      </c>
      <c r="D117" s="630" t="s">
        <v>919</v>
      </c>
      <c r="E117" s="630" t="s">
        <v>920</v>
      </c>
      <c r="F117" s="630" t="s">
        <v>921</v>
      </c>
      <c r="G117" s="630" t="s">
        <v>922</v>
      </c>
      <c r="H117" s="631" t="s">
        <v>923</v>
      </c>
      <c r="I117" s="632" t="s">
        <v>924</v>
      </c>
      <c r="J117" s="632" t="s">
        <v>925</v>
      </c>
    </row>
    <row r="118" spans="1:24" s="633" customFormat="1" x14ac:dyDescent="0.25">
      <c r="A118" s="450" t="s">
        <v>920</v>
      </c>
      <c r="J118" s="634"/>
      <c r="K118" s="634"/>
      <c r="L118" s="635"/>
      <c r="M118" s="636"/>
      <c r="N118" s="637"/>
      <c r="O118" s="409"/>
      <c r="P118" s="409"/>
      <c r="Q118" s="409"/>
      <c r="R118" s="409"/>
      <c r="S118" s="409"/>
      <c r="T118" s="409"/>
      <c r="U118" s="409"/>
      <c r="V118" s="409"/>
      <c r="W118" s="409"/>
      <c r="X118" s="409"/>
    </row>
    <row r="119" spans="1:24" x14ac:dyDescent="0.25">
      <c r="A119" s="437" t="s">
        <v>926</v>
      </c>
      <c r="B119" s="634" t="s">
        <v>927</v>
      </c>
      <c r="C119" s="634" t="s">
        <v>928</v>
      </c>
      <c r="D119" s="634" t="s">
        <v>927</v>
      </c>
      <c r="E119" s="634" t="s">
        <v>81</v>
      </c>
      <c r="F119" s="634" t="s">
        <v>773</v>
      </c>
      <c r="G119" s="634" t="s">
        <v>927</v>
      </c>
      <c r="H119" s="634" t="s">
        <v>927</v>
      </c>
      <c r="I119" s="634" t="s">
        <v>929</v>
      </c>
      <c r="J119" s="634" t="s">
        <v>929</v>
      </c>
      <c r="K119" s="634"/>
      <c r="L119" s="634"/>
      <c r="M119" s="634"/>
      <c r="N119" s="634"/>
    </row>
    <row r="120" spans="1:24" x14ac:dyDescent="0.25">
      <c r="A120" s="437" t="s">
        <v>930</v>
      </c>
      <c r="B120" s="634" t="s">
        <v>120</v>
      </c>
      <c r="C120" s="634" t="s">
        <v>34</v>
      </c>
      <c r="D120" s="634" t="s">
        <v>187</v>
      </c>
      <c r="E120" s="634" t="s">
        <v>931</v>
      </c>
      <c r="F120" s="634" t="s">
        <v>247</v>
      </c>
      <c r="G120" s="634" t="s">
        <v>932</v>
      </c>
      <c r="H120" s="638" t="s">
        <v>158</v>
      </c>
      <c r="I120" s="639" t="s">
        <v>933</v>
      </c>
      <c r="J120" s="634" t="s">
        <v>60</v>
      </c>
      <c r="K120" s="634"/>
      <c r="L120" s="634"/>
      <c r="M120" s="634"/>
      <c r="N120" s="634"/>
    </row>
    <row r="121" spans="1:24" x14ac:dyDescent="0.25">
      <c r="A121" s="437" t="s">
        <v>934</v>
      </c>
      <c r="E121" s="409" t="s">
        <v>935</v>
      </c>
      <c r="H121" s="409" t="s">
        <v>936</v>
      </c>
      <c r="I121" s="640"/>
      <c r="J121" s="641"/>
      <c r="N121" s="641"/>
      <c r="O121" s="641"/>
      <c r="P121" s="642"/>
      <c r="Q121" s="641"/>
    </row>
    <row r="122" spans="1:24" x14ac:dyDescent="0.25">
      <c r="A122" s="437" t="s">
        <v>937</v>
      </c>
      <c r="E122" s="643"/>
      <c r="H122" s="643" t="s">
        <v>938</v>
      </c>
      <c r="I122" s="644" t="s">
        <v>939</v>
      </c>
      <c r="J122" s="456"/>
      <c r="O122" s="645"/>
      <c r="S122" s="646"/>
      <c r="T122" s="646"/>
      <c r="U122" s="646"/>
      <c r="V122" s="646"/>
      <c r="W122" s="646"/>
    </row>
    <row r="124" spans="1:24" ht="15.75" thickBot="1" x14ac:dyDescent="0.3">
      <c r="A124" s="624" t="s">
        <v>940</v>
      </c>
    </row>
    <row r="125" spans="1:24" ht="15.75" thickBot="1" x14ac:dyDescent="0.3">
      <c r="A125" s="437" t="s">
        <v>917</v>
      </c>
      <c r="B125" s="630" t="s">
        <v>918</v>
      </c>
      <c r="C125" s="630" t="s">
        <v>5</v>
      </c>
      <c r="D125" s="630" t="s">
        <v>919</v>
      </c>
      <c r="E125" s="630" t="s">
        <v>920</v>
      </c>
      <c r="F125" s="630" t="s">
        <v>921</v>
      </c>
      <c r="G125" s="630" t="s">
        <v>922</v>
      </c>
      <c r="H125" s="631" t="s">
        <v>923</v>
      </c>
      <c r="I125" s="632" t="s">
        <v>924</v>
      </c>
      <c r="J125" s="632" t="s">
        <v>925</v>
      </c>
    </row>
    <row r="126" spans="1:24" s="633" customFormat="1" x14ac:dyDescent="0.25">
      <c r="A126" s="450" t="s">
        <v>920</v>
      </c>
      <c r="J126" s="634"/>
      <c r="K126" s="634"/>
      <c r="L126" s="635"/>
      <c r="M126" s="636"/>
      <c r="N126" s="637"/>
      <c r="O126" s="409"/>
      <c r="P126" s="409"/>
      <c r="Q126" s="409"/>
      <c r="R126" s="409"/>
      <c r="S126" s="409"/>
      <c r="T126" s="409"/>
      <c r="U126" s="409"/>
      <c r="V126" s="409"/>
      <c r="W126" s="409"/>
      <c r="X126" s="409"/>
    </row>
    <row r="127" spans="1:24" x14ac:dyDescent="0.25">
      <c r="A127" s="437" t="s">
        <v>926</v>
      </c>
      <c r="B127" s="634" t="s">
        <v>927</v>
      </c>
      <c r="C127" s="634" t="s">
        <v>928</v>
      </c>
      <c r="D127" s="634" t="s">
        <v>927</v>
      </c>
      <c r="E127" s="634" t="s">
        <v>81</v>
      </c>
      <c r="F127" s="634" t="s">
        <v>773</v>
      </c>
      <c r="G127" s="634" t="s">
        <v>927</v>
      </c>
      <c r="H127" s="634" t="s">
        <v>927</v>
      </c>
      <c r="I127" s="634" t="s">
        <v>929</v>
      </c>
      <c r="J127" s="634" t="s">
        <v>929</v>
      </c>
      <c r="K127" s="634"/>
      <c r="L127" s="634"/>
      <c r="M127" s="634"/>
      <c r="N127" s="634"/>
    </row>
    <row r="128" spans="1:24" x14ac:dyDescent="0.25">
      <c r="A128" s="437" t="s">
        <v>930</v>
      </c>
      <c r="B128" s="634" t="s">
        <v>120</v>
      </c>
      <c r="C128" s="634" t="s">
        <v>34</v>
      </c>
      <c r="D128" s="634" t="s">
        <v>187</v>
      </c>
      <c r="E128" s="634" t="s">
        <v>931</v>
      </c>
      <c r="F128" s="634" t="s">
        <v>247</v>
      </c>
      <c r="G128" s="634" t="s">
        <v>932</v>
      </c>
      <c r="H128" s="638" t="s">
        <v>158</v>
      </c>
      <c r="I128" s="647" t="s">
        <v>941</v>
      </c>
      <c r="J128" s="634" t="s">
        <v>60</v>
      </c>
      <c r="K128" s="634"/>
      <c r="L128" s="634"/>
      <c r="M128" s="634"/>
      <c r="N128" s="634"/>
    </row>
    <row r="129" spans="1:31" x14ac:dyDescent="0.25">
      <c r="A129" s="437" t="s">
        <v>934</v>
      </c>
      <c r="B129" s="409" t="s">
        <v>942</v>
      </c>
      <c r="E129" s="409" t="s">
        <v>935</v>
      </c>
      <c r="H129" s="409" t="s">
        <v>936</v>
      </c>
      <c r="I129" s="648" t="s">
        <v>943</v>
      </c>
      <c r="J129" s="641"/>
      <c r="N129" s="641"/>
      <c r="O129" s="641"/>
      <c r="P129" s="642"/>
      <c r="Q129" s="641"/>
    </row>
    <row r="130" spans="1:31" x14ac:dyDescent="0.25">
      <c r="A130" s="437" t="s">
        <v>937</v>
      </c>
      <c r="E130" s="643"/>
      <c r="H130" s="643" t="s">
        <v>938</v>
      </c>
      <c r="I130" s="649"/>
      <c r="J130" s="456"/>
      <c r="O130" s="645"/>
      <c r="S130" s="646"/>
      <c r="T130" s="646"/>
      <c r="U130" s="646"/>
      <c r="V130" s="646"/>
      <c r="W130" s="646"/>
    </row>
    <row r="132" spans="1:31" ht="15.75" thickBot="1" x14ac:dyDescent="0.3">
      <c r="A132" s="624" t="s">
        <v>944</v>
      </c>
    </row>
    <row r="133" spans="1:31" s="386" customFormat="1" ht="15.75" thickBot="1" x14ac:dyDescent="0.3">
      <c r="A133" s="437" t="s">
        <v>917</v>
      </c>
      <c r="B133" s="650" t="s">
        <v>945</v>
      </c>
      <c r="C133" s="650" t="s">
        <v>5</v>
      </c>
      <c r="D133" s="651" t="s">
        <v>946</v>
      </c>
      <c r="E133" s="652" t="s">
        <v>249</v>
      </c>
      <c r="F133" s="651" t="s">
        <v>947</v>
      </c>
      <c r="G133" s="653" t="s">
        <v>276</v>
      </c>
      <c r="H133" s="651" t="s">
        <v>948</v>
      </c>
      <c r="I133" s="653" t="s">
        <v>949</v>
      </c>
      <c r="J133" s="652" t="s">
        <v>950</v>
      </c>
      <c r="K133" s="653" t="s">
        <v>951</v>
      </c>
      <c r="L133" s="651" t="s">
        <v>952</v>
      </c>
      <c r="M133" s="654" t="s">
        <v>920</v>
      </c>
      <c r="N133" s="655" t="s">
        <v>392</v>
      </c>
      <c r="O133" s="656" t="s">
        <v>393</v>
      </c>
      <c r="P133" s="656" t="s">
        <v>953</v>
      </c>
      <c r="Q133" s="656" t="s">
        <v>954</v>
      </c>
      <c r="R133" s="657" t="s">
        <v>955</v>
      </c>
      <c r="S133" s="657" t="s">
        <v>956</v>
      </c>
      <c r="T133" s="657" t="s">
        <v>957</v>
      </c>
      <c r="U133" s="657" t="s">
        <v>958</v>
      </c>
      <c r="V133" s="657" t="s">
        <v>959</v>
      </c>
      <c r="AE133" s="887"/>
    </row>
    <row r="134" spans="1:31" s="633" customFormat="1" x14ac:dyDescent="0.25">
      <c r="A134" s="450" t="s">
        <v>920</v>
      </c>
      <c r="B134" s="636" t="s">
        <v>960</v>
      </c>
      <c r="C134" s="658">
        <v>40918</v>
      </c>
      <c r="D134" s="635" t="s">
        <v>254</v>
      </c>
      <c r="E134" s="659"/>
      <c r="F134" s="635" t="s">
        <v>368</v>
      </c>
      <c r="G134" s="660"/>
      <c r="H134" s="635" t="s">
        <v>961</v>
      </c>
      <c r="I134" s="661"/>
      <c r="J134" s="635" t="s">
        <v>962</v>
      </c>
      <c r="K134" s="635"/>
      <c r="L134" s="636" t="s">
        <v>816</v>
      </c>
      <c r="M134" s="637">
        <v>130000</v>
      </c>
      <c r="N134" s="662" t="s">
        <v>395</v>
      </c>
      <c r="O134" s="663" t="s">
        <v>396</v>
      </c>
      <c r="P134" s="664"/>
      <c r="Q134" s="665"/>
      <c r="R134" s="666"/>
      <c r="S134" s="666"/>
      <c r="T134" s="666"/>
      <c r="U134" s="666"/>
      <c r="V134" s="666"/>
      <c r="W134" s="386"/>
    </row>
    <row r="135" spans="1:31" x14ac:dyDescent="0.25">
      <c r="A135" s="437" t="s">
        <v>926</v>
      </c>
      <c r="B135" s="634" t="s">
        <v>927</v>
      </c>
      <c r="C135" s="634" t="s">
        <v>927</v>
      </c>
      <c r="D135" s="634" t="s">
        <v>963</v>
      </c>
      <c r="E135" s="634" t="s">
        <v>964</v>
      </c>
      <c r="F135" s="634" t="s">
        <v>963</v>
      </c>
      <c r="G135" s="634" t="s">
        <v>964</v>
      </c>
      <c r="H135" s="634" t="s">
        <v>927</v>
      </c>
      <c r="I135" s="634" t="s">
        <v>964</v>
      </c>
      <c r="J135" s="634" t="s">
        <v>963</v>
      </c>
      <c r="K135" s="634" t="s">
        <v>927</v>
      </c>
      <c r="L135" s="634" t="s">
        <v>166</v>
      </c>
      <c r="M135" s="634" t="s">
        <v>177</v>
      </c>
      <c r="N135" s="634" t="s">
        <v>34</v>
      </c>
      <c r="O135" s="634" t="s">
        <v>60</v>
      </c>
      <c r="P135" s="634" t="s">
        <v>167</v>
      </c>
      <c r="Q135" s="634" t="s">
        <v>60</v>
      </c>
      <c r="R135" s="634" t="s">
        <v>81</v>
      </c>
      <c r="S135" s="634" t="s">
        <v>81</v>
      </c>
      <c r="T135" s="634" t="s">
        <v>963</v>
      </c>
      <c r="U135" s="634" t="s">
        <v>167</v>
      </c>
      <c r="V135" s="634" t="s">
        <v>167</v>
      </c>
    </row>
    <row r="136" spans="1:31" x14ac:dyDescent="0.25">
      <c r="A136" s="437" t="s">
        <v>930</v>
      </c>
      <c r="B136" s="634">
        <v>10</v>
      </c>
      <c r="C136" s="634">
        <v>12</v>
      </c>
      <c r="D136" s="634" t="s">
        <v>965</v>
      </c>
      <c r="E136" s="634" t="s">
        <v>965</v>
      </c>
      <c r="F136" s="634" t="s">
        <v>84</v>
      </c>
      <c r="G136" s="634" t="s">
        <v>84</v>
      </c>
      <c r="H136" s="634" t="s">
        <v>246</v>
      </c>
      <c r="I136" s="634" t="s">
        <v>170</v>
      </c>
      <c r="J136" s="634" t="s">
        <v>966</v>
      </c>
      <c r="K136" s="634">
        <v>18</v>
      </c>
      <c r="L136" s="634" t="s">
        <v>967</v>
      </c>
      <c r="M136" s="634" t="s">
        <v>78</v>
      </c>
      <c r="N136" s="634" t="s">
        <v>968</v>
      </c>
      <c r="O136" s="634" t="s">
        <v>968</v>
      </c>
      <c r="P136" s="634" t="s">
        <v>968</v>
      </c>
      <c r="Q136" s="634">
        <v>12</v>
      </c>
      <c r="R136" s="634" t="s">
        <v>170</v>
      </c>
      <c r="S136" s="634" t="s">
        <v>170</v>
      </c>
      <c r="T136" s="634" t="s">
        <v>170</v>
      </c>
      <c r="U136" s="634" t="s">
        <v>170</v>
      </c>
      <c r="V136" s="634" t="s">
        <v>170</v>
      </c>
    </row>
    <row r="137" spans="1:31" x14ac:dyDescent="0.25">
      <c r="A137" s="437" t="s">
        <v>934</v>
      </c>
      <c r="E137" s="643" t="s">
        <v>969</v>
      </c>
      <c r="G137" s="643" t="s">
        <v>970</v>
      </c>
      <c r="I137" s="641"/>
      <c r="K137" s="643" t="s">
        <v>951</v>
      </c>
      <c r="M137" s="641" t="s">
        <v>935</v>
      </c>
      <c r="N137" s="641"/>
      <c r="O137" s="642" t="s">
        <v>971</v>
      </c>
      <c r="P137" s="641" t="s">
        <v>972</v>
      </c>
    </row>
    <row r="138" spans="1:31" x14ac:dyDescent="0.25">
      <c r="A138" s="437" t="s">
        <v>937</v>
      </c>
      <c r="E138" s="643"/>
      <c r="G138" s="643"/>
      <c r="I138" s="456"/>
      <c r="K138" s="646" t="s">
        <v>938</v>
      </c>
      <c r="N138" s="645"/>
      <c r="R138" s="646" t="s">
        <v>973</v>
      </c>
      <c r="S138" s="646" t="s">
        <v>974</v>
      </c>
      <c r="T138" s="646" t="s">
        <v>975</v>
      </c>
      <c r="U138" s="646" t="s">
        <v>976</v>
      </c>
      <c r="V138" s="646" t="s">
        <v>977</v>
      </c>
    </row>
    <row r="140" spans="1:31" ht="15.75" thickBot="1" x14ac:dyDescent="0.3">
      <c r="A140" s="624" t="s">
        <v>978</v>
      </c>
      <c r="B140" s="624"/>
      <c r="C140" s="624"/>
      <c r="D140" s="624"/>
      <c r="E140" s="624"/>
      <c r="F140" s="624"/>
      <c r="G140" s="624"/>
      <c r="H140" s="624"/>
      <c r="I140" s="624"/>
      <c r="J140" s="624"/>
      <c r="P140" s="624"/>
      <c r="Q140" s="624"/>
    </row>
    <row r="141" spans="1:31" ht="15.75" thickBot="1" x14ac:dyDescent="0.3">
      <c r="A141" s="613" t="s">
        <v>157</v>
      </c>
      <c r="B141" s="437" t="s">
        <v>917</v>
      </c>
      <c r="C141" s="630" t="s">
        <v>979</v>
      </c>
      <c r="D141" s="630" t="s">
        <v>769</v>
      </c>
      <c r="E141" s="630" t="s">
        <v>980</v>
      </c>
      <c r="F141" s="630" t="s">
        <v>981</v>
      </c>
      <c r="G141" s="630" t="s">
        <v>920</v>
      </c>
      <c r="H141" s="630" t="s">
        <v>982</v>
      </c>
      <c r="I141" s="630" t="s">
        <v>983</v>
      </c>
      <c r="J141" s="630" t="s">
        <v>984</v>
      </c>
      <c r="K141" s="630" t="s">
        <v>985</v>
      </c>
      <c r="L141" s="630" t="s">
        <v>986</v>
      </c>
      <c r="M141" s="630" t="s">
        <v>987</v>
      </c>
      <c r="N141" s="630" t="s">
        <v>988</v>
      </c>
      <c r="P141" s="630" t="s">
        <v>983</v>
      </c>
      <c r="Q141" s="630" t="s">
        <v>984</v>
      </c>
      <c r="R141" s="630" t="s">
        <v>985</v>
      </c>
      <c r="S141" s="630" t="s">
        <v>986</v>
      </c>
      <c r="T141" s="630" t="s">
        <v>987</v>
      </c>
      <c r="U141" s="630" t="s">
        <v>988</v>
      </c>
    </row>
    <row r="142" spans="1:31" s="633" customFormat="1" x14ac:dyDescent="0.25">
      <c r="A142" s="619"/>
      <c r="B142" s="450" t="s">
        <v>920</v>
      </c>
      <c r="C142" s="667" t="s">
        <v>989</v>
      </c>
      <c r="D142" s="658" t="s">
        <v>990</v>
      </c>
      <c r="E142" s="668" t="s">
        <v>991</v>
      </c>
      <c r="F142" s="659"/>
      <c r="G142" s="669">
        <v>2298687.7200000002</v>
      </c>
      <c r="H142" s="660"/>
      <c r="I142" s="670" t="s">
        <v>457</v>
      </c>
      <c r="J142" s="671" t="s">
        <v>992</v>
      </c>
      <c r="K142" s="670"/>
      <c r="L142" s="670"/>
      <c r="M142" s="672"/>
      <c r="N142" s="673"/>
      <c r="O142" s="409"/>
      <c r="P142" s="635" t="s">
        <v>457</v>
      </c>
      <c r="Q142" s="674"/>
      <c r="R142" s="635" t="s">
        <v>993</v>
      </c>
      <c r="S142" s="635" t="s">
        <v>457</v>
      </c>
      <c r="T142" s="636" t="s">
        <v>336</v>
      </c>
      <c r="U142" s="637" t="s">
        <v>994</v>
      </c>
      <c r="V142" s="409"/>
      <c r="W142" s="409"/>
      <c r="X142" s="409"/>
      <c r="Y142" s="409"/>
    </row>
    <row r="143" spans="1:31" x14ac:dyDescent="0.25">
      <c r="A143" s="619"/>
      <c r="B143" s="437" t="s">
        <v>926</v>
      </c>
      <c r="C143" s="634" t="s">
        <v>246</v>
      </c>
      <c r="D143" s="634" t="s">
        <v>995</v>
      </c>
      <c r="E143" s="634" t="s">
        <v>177</v>
      </c>
      <c r="F143" s="634" t="s">
        <v>246</v>
      </c>
      <c r="G143" s="634" t="s">
        <v>246</v>
      </c>
      <c r="H143" s="634" t="s">
        <v>60</v>
      </c>
      <c r="I143" s="675"/>
      <c r="J143" s="676"/>
      <c r="K143" s="634"/>
      <c r="L143" s="634"/>
      <c r="M143" s="634"/>
      <c r="N143" s="634"/>
      <c r="P143" s="634">
        <v>10</v>
      </c>
      <c r="Q143" s="634" t="s">
        <v>81</v>
      </c>
      <c r="R143" s="634" t="s">
        <v>34</v>
      </c>
      <c r="S143" s="634" t="s">
        <v>177</v>
      </c>
      <c r="T143" s="634" t="s">
        <v>81</v>
      </c>
      <c r="U143" s="634" t="s">
        <v>81</v>
      </c>
    </row>
    <row r="144" spans="1:31" x14ac:dyDescent="0.25">
      <c r="A144" s="619"/>
      <c r="B144" s="437" t="s">
        <v>930</v>
      </c>
      <c r="C144" s="634" t="s">
        <v>60</v>
      </c>
      <c r="D144" s="634" t="s">
        <v>60</v>
      </c>
      <c r="E144" s="634" t="s">
        <v>84</v>
      </c>
      <c r="F144" s="634" t="s">
        <v>78</v>
      </c>
      <c r="G144" s="634" t="s">
        <v>932</v>
      </c>
      <c r="H144" s="634" t="s">
        <v>968</v>
      </c>
      <c r="I144" s="675" t="s">
        <v>967</v>
      </c>
      <c r="J144" s="676"/>
      <c r="K144" s="634"/>
      <c r="L144" s="634"/>
      <c r="M144" s="634"/>
      <c r="N144" s="634"/>
      <c r="P144" s="634" t="s">
        <v>81</v>
      </c>
      <c r="Q144" s="634" t="s">
        <v>81</v>
      </c>
      <c r="R144" s="634"/>
      <c r="S144" s="634" t="s">
        <v>81</v>
      </c>
      <c r="T144" s="634" t="s">
        <v>247</v>
      </c>
      <c r="U144" s="634" t="s">
        <v>168</v>
      </c>
    </row>
    <row r="145" spans="1:25" x14ac:dyDescent="0.25">
      <c r="A145" s="619"/>
      <c r="B145" s="437" t="s">
        <v>934</v>
      </c>
      <c r="D145" s="643" t="s">
        <v>996</v>
      </c>
      <c r="F145" s="643" t="s">
        <v>997</v>
      </c>
      <c r="G145" s="677" t="s">
        <v>998</v>
      </c>
      <c r="H145" s="643" t="s">
        <v>971</v>
      </c>
      <c r="I145" s="678" t="s">
        <v>999</v>
      </c>
      <c r="K145" s="679"/>
      <c r="L145" s="678"/>
      <c r="M145" s="678"/>
      <c r="N145" s="680"/>
      <c r="P145" s="643" t="s">
        <v>1000</v>
      </c>
      <c r="Q145" s="678" t="s">
        <v>1001</v>
      </c>
      <c r="R145" s="679"/>
      <c r="S145" s="678" t="s">
        <v>1002</v>
      </c>
      <c r="T145" s="678" t="s">
        <v>1003</v>
      </c>
      <c r="U145" s="680"/>
    </row>
    <row r="146" spans="1:25" x14ac:dyDescent="0.25">
      <c r="A146" s="619"/>
      <c r="B146" s="437" t="s">
        <v>937</v>
      </c>
      <c r="C146" s="409" t="s">
        <v>1004</v>
      </c>
      <c r="D146" s="409" t="s">
        <v>1005</v>
      </c>
      <c r="F146" s="643"/>
      <c r="H146" s="643"/>
      <c r="J146" s="681"/>
      <c r="L146" s="646"/>
      <c r="Q146" s="456"/>
      <c r="S146" s="646"/>
      <c r="U146" s="409" t="s">
        <v>1006</v>
      </c>
    </row>
    <row r="148" spans="1:25" ht="15.75" thickBot="1" x14ac:dyDescent="0.3">
      <c r="A148" s="624" t="s">
        <v>1007</v>
      </c>
      <c r="B148" s="624"/>
      <c r="C148" s="624"/>
      <c r="D148" s="624"/>
      <c r="E148" s="624"/>
      <c r="F148" s="624"/>
      <c r="G148" s="624"/>
      <c r="H148" s="624"/>
      <c r="I148" s="624"/>
      <c r="J148" s="624"/>
    </row>
    <row r="149" spans="1:25" ht="15.75" thickBot="1" x14ac:dyDescent="0.3">
      <c r="A149" s="613" t="s">
        <v>32</v>
      </c>
      <c r="B149" s="437" t="s">
        <v>917</v>
      </c>
      <c r="C149" s="630" t="s">
        <v>979</v>
      </c>
      <c r="D149" s="630" t="s">
        <v>769</v>
      </c>
      <c r="E149" s="630" t="s">
        <v>980</v>
      </c>
      <c r="F149" s="630" t="s">
        <v>981</v>
      </c>
      <c r="G149" s="630" t="s">
        <v>920</v>
      </c>
      <c r="H149" s="630" t="s">
        <v>982</v>
      </c>
      <c r="I149" s="630" t="s">
        <v>983</v>
      </c>
      <c r="J149" s="630" t="s">
        <v>984</v>
      </c>
      <c r="K149" s="630" t="s">
        <v>985</v>
      </c>
      <c r="L149" s="630" t="s">
        <v>986</v>
      </c>
      <c r="M149" s="630" t="s">
        <v>987</v>
      </c>
      <c r="N149" s="630" t="s">
        <v>988</v>
      </c>
      <c r="Q149" s="405" t="s">
        <v>423</v>
      </c>
    </row>
    <row r="150" spans="1:25" s="633" customFormat="1" x14ac:dyDescent="0.25">
      <c r="A150" s="619"/>
      <c r="B150" s="450" t="s">
        <v>920</v>
      </c>
      <c r="C150" s="667" t="s">
        <v>989</v>
      </c>
      <c r="D150" s="658" t="s">
        <v>990</v>
      </c>
      <c r="E150" s="668" t="s">
        <v>991</v>
      </c>
      <c r="F150" s="659"/>
      <c r="G150" s="669">
        <v>2298687.7200000002</v>
      </c>
      <c r="H150" s="660"/>
      <c r="I150" s="682" t="s">
        <v>360</v>
      </c>
      <c r="J150" s="671" t="s">
        <v>992</v>
      </c>
      <c r="K150" s="683" t="s">
        <v>1008</v>
      </c>
      <c r="L150" s="683" t="s">
        <v>418</v>
      </c>
      <c r="M150" s="684" t="s">
        <v>286</v>
      </c>
      <c r="N150" s="673"/>
      <c r="O150" s="409"/>
      <c r="P150" s="409"/>
      <c r="Q150" s="405" t="s">
        <v>411</v>
      </c>
      <c r="R150" s="409"/>
      <c r="S150" s="409"/>
      <c r="T150" s="409"/>
      <c r="U150" s="409"/>
      <c r="V150" s="409"/>
      <c r="W150" s="409"/>
      <c r="X150" s="409"/>
      <c r="Y150" s="409"/>
    </row>
    <row r="151" spans="1:25" x14ac:dyDescent="0.25">
      <c r="A151" s="619"/>
      <c r="B151" s="437" t="s">
        <v>926</v>
      </c>
      <c r="C151" s="634" t="s">
        <v>246</v>
      </c>
      <c r="D151" s="634" t="s">
        <v>995</v>
      </c>
      <c r="E151" s="634" t="s">
        <v>177</v>
      </c>
      <c r="F151" s="634" t="s">
        <v>246</v>
      </c>
      <c r="G151" s="634" t="s">
        <v>246</v>
      </c>
      <c r="H151" s="634" t="s">
        <v>60</v>
      </c>
      <c r="I151" s="634" t="s">
        <v>941</v>
      </c>
      <c r="J151" s="676"/>
      <c r="K151" s="634"/>
      <c r="L151" s="634"/>
      <c r="M151" s="634" t="s">
        <v>187</v>
      </c>
      <c r="N151" s="634"/>
      <c r="Q151" s="405" t="s">
        <v>414</v>
      </c>
    </row>
    <row r="152" spans="1:25" x14ac:dyDescent="0.25">
      <c r="A152" s="619"/>
      <c r="B152" s="437" t="s">
        <v>930</v>
      </c>
      <c r="C152" s="634" t="s">
        <v>170</v>
      </c>
      <c r="D152" s="634" t="s">
        <v>1009</v>
      </c>
      <c r="E152" s="676" t="s">
        <v>34</v>
      </c>
      <c r="F152" s="676" t="s">
        <v>932</v>
      </c>
      <c r="G152" s="634" t="s">
        <v>1010</v>
      </c>
      <c r="H152" s="634" t="s">
        <v>1011</v>
      </c>
      <c r="I152" s="634" t="s">
        <v>1012</v>
      </c>
      <c r="J152" s="676" t="s">
        <v>170</v>
      </c>
      <c r="K152" s="634" t="s">
        <v>1012</v>
      </c>
      <c r="L152" s="634" t="s">
        <v>1012</v>
      </c>
      <c r="M152" s="634" t="s">
        <v>932</v>
      </c>
      <c r="N152" s="634"/>
      <c r="Q152" s="405" t="s">
        <v>339</v>
      </c>
    </row>
    <row r="153" spans="1:25" ht="60" x14ac:dyDescent="0.25">
      <c r="A153" s="619"/>
      <c r="B153" s="437" t="s">
        <v>934</v>
      </c>
      <c r="C153" s="932" t="s">
        <v>1013</v>
      </c>
      <c r="D153" s="676" t="s">
        <v>1014</v>
      </c>
      <c r="E153" s="643"/>
      <c r="F153" s="685" t="s">
        <v>997</v>
      </c>
      <c r="G153" s="676" t="s">
        <v>1013</v>
      </c>
      <c r="H153" s="676" t="s">
        <v>971</v>
      </c>
      <c r="I153" s="686" t="s">
        <v>1015</v>
      </c>
      <c r="J153" s="687" t="s">
        <v>1016</v>
      </c>
      <c r="K153" s="688" t="s">
        <v>1017</v>
      </c>
      <c r="L153" s="686"/>
      <c r="M153" s="689" t="s">
        <v>1018</v>
      </c>
      <c r="N153" s="680"/>
      <c r="Q153" s="405" t="s">
        <v>458</v>
      </c>
    </row>
    <row r="154" spans="1:25" x14ac:dyDescent="0.25">
      <c r="A154" s="619"/>
      <c r="B154" s="437" t="s">
        <v>937</v>
      </c>
      <c r="E154" s="641"/>
      <c r="F154" s="643"/>
      <c r="H154" s="643"/>
      <c r="I154" s="643"/>
      <c r="J154" s="681"/>
      <c r="L154" s="646"/>
      <c r="M154" s="690"/>
    </row>
    <row r="155" spans="1:25" x14ac:dyDescent="0.25">
      <c r="I155" s="691"/>
    </row>
    <row r="156" spans="1:25" ht="15.75" thickBot="1" x14ac:dyDescent="0.3">
      <c r="A156" s="692" t="s">
        <v>1019</v>
      </c>
      <c r="B156" s="624"/>
      <c r="C156" s="624"/>
      <c r="D156" s="624"/>
      <c r="E156" s="624"/>
      <c r="F156" s="624"/>
      <c r="G156" s="624"/>
      <c r="H156" s="624"/>
      <c r="I156" s="624"/>
      <c r="J156" s="624"/>
    </row>
    <row r="157" spans="1:25" ht="15.75" thickBot="1" x14ac:dyDescent="0.3">
      <c r="A157" s="631" t="s">
        <v>923</v>
      </c>
      <c r="B157" s="631" t="s">
        <v>768</v>
      </c>
      <c r="J157" s="693"/>
    </row>
    <row r="159" spans="1:25" ht="15.75" thickBot="1" x14ac:dyDescent="0.3">
      <c r="A159" s="624" t="s">
        <v>1020</v>
      </c>
      <c r="B159" s="624"/>
      <c r="C159" s="624"/>
      <c r="D159" s="624"/>
      <c r="E159" s="624"/>
      <c r="F159" s="624"/>
      <c r="G159" s="624"/>
      <c r="H159" s="624"/>
      <c r="I159" s="624"/>
      <c r="J159" s="624"/>
    </row>
    <row r="160" spans="1:25" ht="15.75" thickBot="1" x14ac:dyDescent="0.3">
      <c r="A160" s="631" t="s">
        <v>1021</v>
      </c>
      <c r="B160" s="631" t="s">
        <v>1022</v>
      </c>
      <c r="J160" s="693"/>
    </row>
    <row r="162" spans="1:22" ht="15.75" thickBot="1" x14ac:dyDescent="0.3">
      <c r="A162" s="692" t="s">
        <v>1597</v>
      </c>
      <c r="B162" s="694"/>
      <c r="C162" s="694"/>
      <c r="D162" s="694"/>
      <c r="E162" s="694"/>
      <c r="F162" s="624"/>
      <c r="G162" s="624"/>
      <c r="H162" s="624"/>
      <c r="I162" s="624"/>
      <c r="J162" s="624"/>
    </row>
    <row r="163" spans="1:22" ht="15.75" thickBot="1" x14ac:dyDescent="0.3">
      <c r="A163" s="630" t="s">
        <v>1023</v>
      </c>
      <c r="B163" s="630" t="s">
        <v>1024</v>
      </c>
      <c r="C163" s="630" t="s">
        <v>981</v>
      </c>
      <c r="D163" s="630" t="s">
        <v>1025</v>
      </c>
      <c r="E163" s="630" t="s">
        <v>955</v>
      </c>
      <c r="F163" s="630" t="s">
        <v>956</v>
      </c>
      <c r="G163" s="630" t="s">
        <v>957</v>
      </c>
      <c r="H163" s="630" t="s">
        <v>958</v>
      </c>
      <c r="I163" s="630" t="s">
        <v>959</v>
      </c>
      <c r="J163" s="630" t="s">
        <v>1026</v>
      </c>
      <c r="K163" s="630" t="s">
        <v>1027</v>
      </c>
      <c r="L163" s="630" t="s">
        <v>1028</v>
      </c>
      <c r="M163" s="630" t="s">
        <v>1029</v>
      </c>
      <c r="N163" s="630" t="s">
        <v>1030</v>
      </c>
      <c r="O163" s="630" t="s">
        <v>1031</v>
      </c>
      <c r="P163" s="630" t="s">
        <v>1032</v>
      </c>
      <c r="Q163" s="630" t="s">
        <v>1033</v>
      </c>
      <c r="R163" s="630" t="s">
        <v>1034</v>
      </c>
      <c r="S163" s="630" t="s">
        <v>1035</v>
      </c>
      <c r="T163" s="630" t="s">
        <v>1036</v>
      </c>
      <c r="U163" s="630" t="s">
        <v>1037</v>
      </c>
      <c r="V163" s="695" t="s">
        <v>1038</v>
      </c>
    </row>
    <row r="165" spans="1:22" ht="15.75" thickBot="1" x14ac:dyDescent="0.3">
      <c r="A165" s="624" t="s">
        <v>1039</v>
      </c>
    </row>
    <row r="166" spans="1:22" ht="15.75" thickBot="1" x14ac:dyDescent="0.3">
      <c r="A166" s="630" t="s">
        <v>69</v>
      </c>
      <c r="B166" s="630" t="s">
        <v>899</v>
      </c>
      <c r="C166" s="630" t="s">
        <v>1025</v>
      </c>
      <c r="D166" s="630" t="s">
        <v>1030</v>
      </c>
      <c r="E166" s="630" t="s">
        <v>955</v>
      </c>
      <c r="F166" s="630" t="s">
        <v>956</v>
      </c>
      <c r="G166" s="630" t="s">
        <v>957</v>
      </c>
      <c r="H166" s="630" t="s">
        <v>958</v>
      </c>
      <c r="I166" s="630" t="s">
        <v>959</v>
      </c>
      <c r="J166" s="630" t="s">
        <v>1033</v>
      </c>
      <c r="K166" s="630" t="s">
        <v>1034</v>
      </c>
      <c r="L166" s="630" t="s">
        <v>1035</v>
      </c>
      <c r="M166" s="630" t="s">
        <v>1036</v>
      </c>
      <c r="N166" s="630" t="s">
        <v>1037</v>
      </c>
    </row>
    <row r="168" spans="1:22" ht="15.75" thickBot="1" x14ac:dyDescent="0.3">
      <c r="A168" s="624" t="s">
        <v>1040</v>
      </c>
    </row>
    <row r="169" spans="1:22" ht="15.75" thickBot="1" x14ac:dyDescent="0.3">
      <c r="A169" s="630" t="s">
        <v>1041</v>
      </c>
      <c r="B169" s="630" t="s">
        <v>899</v>
      </c>
      <c r="C169" s="630" t="s">
        <v>1042</v>
      </c>
    </row>
    <row r="170" spans="1:22" x14ac:dyDescent="0.25">
      <c r="A170" s="432" t="s">
        <v>246</v>
      </c>
      <c r="B170" s="432" t="s">
        <v>1043</v>
      </c>
      <c r="C170" s="432" t="s">
        <v>931</v>
      </c>
    </row>
    <row r="171" spans="1:22" ht="15.75" thickBot="1" x14ac:dyDescent="0.3">
      <c r="A171" s="432"/>
      <c r="B171" s="432"/>
    </row>
    <row r="172" spans="1:22" ht="15.75" thickBot="1" x14ac:dyDescent="0.3">
      <c r="A172" s="696" t="s">
        <v>1044</v>
      </c>
      <c r="B172" s="432"/>
      <c r="I172" s="697" t="s">
        <v>111</v>
      </c>
      <c r="N172" s="698" t="s">
        <v>879</v>
      </c>
    </row>
    <row r="173" spans="1:22" s="435" customFormat="1" ht="25.5" x14ac:dyDescent="0.25">
      <c r="A173" s="437" t="s">
        <v>742</v>
      </c>
      <c r="B173" s="699" t="s">
        <v>1045</v>
      </c>
      <c r="C173" s="589" t="s">
        <v>1046</v>
      </c>
      <c r="D173" s="700" t="s">
        <v>1047</v>
      </c>
      <c r="E173" s="700" t="s">
        <v>1048</v>
      </c>
      <c r="F173" s="701" t="s">
        <v>1049</v>
      </c>
      <c r="G173" s="701" t="s">
        <v>1050</v>
      </c>
      <c r="H173" s="701" t="s">
        <v>1051</v>
      </c>
      <c r="I173" s="702" t="s">
        <v>1052</v>
      </c>
      <c r="J173" s="703" t="s">
        <v>1053</v>
      </c>
      <c r="K173" s="704" t="s">
        <v>1054</v>
      </c>
      <c r="L173" s="705" t="s">
        <v>1055</v>
      </c>
      <c r="M173" s="705" t="s">
        <v>1056</v>
      </c>
      <c r="N173" s="705" t="s">
        <v>262</v>
      </c>
    </row>
    <row r="174" spans="1:22" s="435" customFormat="1" x14ac:dyDescent="0.25">
      <c r="A174" s="450" t="s">
        <v>1575</v>
      </c>
      <c r="B174" s="607"/>
      <c r="C174" s="608"/>
    </row>
    <row r="175" spans="1:22" s="435" customFormat="1" x14ac:dyDescent="0.25">
      <c r="A175" s="437" t="s">
        <v>772</v>
      </c>
      <c r="B175" s="456">
        <v>1</v>
      </c>
      <c r="C175" s="456">
        <v>5</v>
      </c>
      <c r="D175" s="706">
        <v>45</v>
      </c>
      <c r="E175" s="706">
        <v>5</v>
      </c>
      <c r="F175" s="706">
        <v>7</v>
      </c>
      <c r="G175" s="706">
        <v>16</v>
      </c>
      <c r="H175" s="706">
        <v>10</v>
      </c>
      <c r="I175" s="706" t="s">
        <v>1057</v>
      </c>
      <c r="J175" s="706" t="s">
        <v>1058</v>
      </c>
      <c r="K175" s="706">
        <v>10</v>
      </c>
      <c r="L175" s="706" t="s">
        <v>1059</v>
      </c>
      <c r="M175" s="706" t="s">
        <v>927</v>
      </c>
      <c r="N175" s="706" t="s">
        <v>927</v>
      </c>
    </row>
    <row r="176" spans="1:22" s="435" customFormat="1" x14ac:dyDescent="0.25">
      <c r="A176" s="437" t="s">
        <v>774</v>
      </c>
      <c r="B176" s="707" t="s">
        <v>1060</v>
      </c>
      <c r="C176" s="456" t="s">
        <v>1061</v>
      </c>
      <c r="D176" s="456">
        <v>13</v>
      </c>
      <c r="E176" s="456">
        <v>14</v>
      </c>
      <c r="F176" s="456">
        <v>15</v>
      </c>
      <c r="G176" s="456">
        <v>16</v>
      </c>
      <c r="H176" s="456">
        <v>17</v>
      </c>
      <c r="I176" s="456">
        <v>18</v>
      </c>
      <c r="J176" s="456">
        <v>19</v>
      </c>
      <c r="K176" s="456">
        <v>20</v>
      </c>
      <c r="L176" s="456">
        <v>21</v>
      </c>
      <c r="M176" s="456">
        <v>22</v>
      </c>
      <c r="N176" s="456">
        <v>23</v>
      </c>
    </row>
    <row r="177" spans="1:39" s="634" customFormat="1" x14ac:dyDescent="0.25">
      <c r="A177" s="708" t="s">
        <v>775</v>
      </c>
      <c r="L177" s="634" t="s">
        <v>935</v>
      </c>
      <c r="M177" s="634" t="s">
        <v>935</v>
      </c>
      <c r="N177" s="634" t="s">
        <v>1062</v>
      </c>
    </row>
    <row r="178" spans="1:39" s="432" customFormat="1" x14ac:dyDescent="0.25">
      <c r="A178" s="437" t="s">
        <v>783</v>
      </c>
      <c r="C178" s="432" t="s">
        <v>1063</v>
      </c>
    </row>
    <row r="180" spans="1:39" s="435" customFormat="1" ht="25.5" x14ac:dyDescent="0.25">
      <c r="A180" s="437" t="s">
        <v>742</v>
      </c>
      <c r="B180" s="589" t="s">
        <v>1064</v>
      </c>
      <c r="C180" s="589" t="s">
        <v>1065</v>
      </c>
      <c r="D180" s="589" t="s">
        <v>1046</v>
      </c>
      <c r="E180" s="590" t="s">
        <v>870</v>
      </c>
      <c r="F180" s="591" t="s">
        <v>871</v>
      </c>
      <c r="G180" s="592" t="s">
        <v>872</v>
      </c>
      <c r="H180" s="589" t="s">
        <v>1066</v>
      </c>
      <c r="I180" s="589" t="s">
        <v>801</v>
      </c>
      <c r="J180" s="589" t="s">
        <v>873</v>
      </c>
      <c r="K180" s="589" t="s">
        <v>1067</v>
      </c>
      <c r="M180" s="593" t="s">
        <v>874</v>
      </c>
      <c r="N180" s="594" t="s">
        <v>875</v>
      </c>
      <c r="O180" s="595"/>
      <c r="P180" s="596" t="s">
        <v>102</v>
      </c>
      <c r="Q180" s="597" t="s">
        <v>876</v>
      </c>
      <c r="R180" s="596" t="s">
        <v>106</v>
      </c>
      <c r="S180" s="596" t="s">
        <v>52</v>
      </c>
      <c r="T180" s="596" t="s">
        <v>109</v>
      </c>
      <c r="U180" s="598" t="s">
        <v>111</v>
      </c>
      <c r="V180" s="599" t="s">
        <v>877</v>
      </c>
      <c r="W180" s="600" t="s">
        <v>878</v>
      </c>
      <c r="X180" s="596" t="s">
        <v>879</v>
      </c>
      <c r="Y180" s="601" t="s">
        <v>94</v>
      </c>
      <c r="Z180" s="602" t="s">
        <v>94</v>
      </c>
      <c r="AA180" s="602" t="s">
        <v>94</v>
      </c>
      <c r="AB180" s="602" t="s">
        <v>94</v>
      </c>
      <c r="AC180" s="596" t="s">
        <v>94</v>
      </c>
      <c r="AD180" s="596" t="s">
        <v>880</v>
      </c>
      <c r="AE180" s="596"/>
      <c r="AF180" s="596" t="s">
        <v>94</v>
      </c>
      <c r="AG180" s="596" t="s">
        <v>94</v>
      </c>
      <c r="AH180" s="603" t="s">
        <v>881</v>
      </c>
      <c r="AI180" s="604" t="s">
        <v>94</v>
      </c>
      <c r="AJ180" s="596" t="s">
        <v>94</v>
      </c>
      <c r="AK180" s="596" t="s">
        <v>94</v>
      </c>
      <c r="AL180" s="605" t="s">
        <v>882</v>
      </c>
      <c r="AM180" s="606"/>
    </row>
    <row r="181" spans="1:39" s="435" customFormat="1" x14ac:dyDescent="0.25">
      <c r="A181" s="450" t="s">
        <v>770</v>
      </c>
      <c r="B181" s="607"/>
      <c r="C181" s="607" t="str">
        <f>IF(B181&lt;&gt;"",1,"")</f>
        <v/>
      </c>
      <c r="D181" s="608"/>
      <c r="E181" s="709"/>
      <c r="F181" s="452"/>
      <c r="G181" s="611">
        <f>U181</f>
        <v>0</v>
      </c>
      <c r="H181" s="453"/>
      <c r="I181" s="457"/>
    </row>
    <row r="182" spans="1:39" s="435" customFormat="1" x14ac:dyDescent="0.25">
      <c r="A182" s="437" t="s">
        <v>772</v>
      </c>
      <c r="B182" s="456">
        <v>1</v>
      </c>
      <c r="C182" s="456"/>
      <c r="D182" s="456">
        <v>5</v>
      </c>
      <c r="E182" s="456">
        <v>8</v>
      </c>
      <c r="F182" s="456">
        <v>13</v>
      </c>
      <c r="G182" s="456">
        <v>14</v>
      </c>
      <c r="H182" s="456">
        <v>11</v>
      </c>
      <c r="I182" s="457">
        <v>20</v>
      </c>
      <c r="J182" s="458">
        <v>15</v>
      </c>
      <c r="K182" s="458">
        <v>10</v>
      </c>
      <c r="L182" s="458">
        <v>6</v>
      </c>
      <c r="M182" s="458">
        <v>6</v>
      </c>
      <c r="N182" s="458">
        <v>10</v>
      </c>
      <c r="O182" s="458">
        <v>1</v>
      </c>
      <c r="P182" s="458">
        <v>45</v>
      </c>
      <c r="Q182" s="458"/>
      <c r="R182" s="458">
        <v>13</v>
      </c>
      <c r="S182" s="458">
        <v>16</v>
      </c>
      <c r="T182" s="458">
        <v>10</v>
      </c>
      <c r="U182" s="458">
        <v>10</v>
      </c>
      <c r="V182" s="458">
        <v>10</v>
      </c>
      <c r="W182" s="458">
        <v>10</v>
      </c>
      <c r="X182" s="458">
        <v>10</v>
      </c>
      <c r="Y182" s="458">
        <v>10</v>
      </c>
      <c r="Z182" s="458">
        <v>0</v>
      </c>
      <c r="AA182" s="458">
        <v>0</v>
      </c>
      <c r="AB182" s="458">
        <v>0</v>
      </c>
      <c r="AC182" s="458">
        <v>0</v>
      </c>
      <c r="AD182" s="458">
        <v>0</v>
      </c>
      <c r="AE182" s="458"/>
      <c r="AF182" s="458">
        <v>0</v>
      </c>
      <c r="AG182" s="458">
        <v>0</v>
      </c>
      <c r="AH182" s="458">
        <v>0</v>
      </c>
      <c r="AI182" s="458">
        <v>0</v>
      </c>
      <c r="AJ182" s="458">
        <v>0</v>
      </c>
      <c r="AK182" s="458">
        <v>0</v>
      </c>
      <c r="AL182" s="458">
        <v>0</v>
      </c>
      <c r="AM182" s="458">
        <v>0</v>
      </c>
    </row>
    <row r="183" spans="1:39" s="435" customFormat="1" x14ac:dyDescent="0.25">
      <c r="A183" s="437" t="s">
        <v>774</v>
      </c>
      <c r="B183" s="456">
        <v>5</v>
      </c>
      <c r="C183" s="456"/>
      <c r="D183" s="456">
        <v>1</v>
      </c>
      <c r="E183" s="456">
        <v>2</v>
      </c>
      <c r="F183" s="456">
        <v>2</v>
      </c>
      <c r="G183" s="456"/>
      <c r="H183" s="456">
        <v>2</v>
      </c>
      <c r="I183" s="435">
        <v>2</v>
      </c>
      <c r="J183" s="435">
        <v>2</v>
      </c>
      <c r="K183" s="456">
        <v>2</v>
      </c>
      <c r="L183" s="457">
        <v>-1</v>
      </c>
      <c r="M183" s="456"/>
      <c r="P183" s="456"/>
      <c r="Q183" s="456"/>
      <c r="R183" s="458"/>
      <c r="S183" s="458"/>
      <c r="T183" s="458"/>
      <c r="U183" s="458"/>
      <c r="V183" s="458"/>
      <c r="W183" s="458"/>
      <c r="X183" s="458"/>
      <c r="Y183" s="458"/>
      <c r="Z183" s="458"/>
      <c r="AA183" s="459"/>
      <c r="AB183" s="458"/>
      <c r="AC183" s="458"/>
      <c r="AD183" s="458"/>
      <c r="AE183" s="458"/>
      <c r="AF183" s="458"/>
      <c r="AG183" s="458"/>
      <c r="AH183" s="458"/>
    </row>
    <row r="184" spans="1:39" s="435" customFormat="1" ht="44.25" customHeight="1" x14ac:dyDescent="0.25">
      <c r="A184" s="437" t="s">
        <v>775</v>
      </c>
      <c r="B184" s="710"/>
      <c r="C184" s="711" t="s">
        <v>1068</v>
      </c>
      <c r="D184" s="712" t="s">
        <v>1069</v>
      </c>
      <c r="E184" s="713" t="s">
        <v>1070</v>
      </c>
      <c r="F184" s="713" t="s">
        <v>1071</v>
      </c>
      <c r="G184" s="456"/>
      <c r="H184" s="713" t="s">
        <v>910</v>
      </c>
      <c r="I184" s="713" t="s">
        <v>909</v>
      </c>
      <c r="J184" s="710" t="s">
        <v>912</v>
      </c>
      <c r="K184" s="710" t="s">
        <v>1072</v>
      </c>
      <c r="L184" s="456"/>
      <c r="M184" s="456"/>
      <c r="P184" s="714" t="s">
        <v>885</v>
      </c>
      <c r="Q184" s="714"/>
      <c r="R184" s="458"/>
      <c r="S184" s="458"/>
      <c r="T184" s="458"/>
      <c r="U184" s="458"/>
      <c r="V184" s="458"/>
      <c r="W184" s="458"/>
      <c r="X184" s="458"/>
      <c r="Y184" s="458"/>
      <c r="Z184" s="458"/>
      <c r="AA184" s="459"/>
      <c r="AB184" s="458"/>
      <c r="AC184" s="458"/>
      <c r="AD184" s="458"/>
      <c r="AE184" s="458"/>
      <c r="AF184" s="458"/>
      <c r="AG184" s="458"/>
      <c r="AH184" s="458"/>
    </row>
    <row r="185" spans="1:39" s="435" customFormat="1" x14ac:dyDescent="0.25">
      <c r="A185" s="437" t="s">
        <v>783</v>
      </c>
      <c r="B185" s="456" t="s">
        <v>886</v>
      </c>
      <c r="C185" s="456"/>
      <c r="D185" s="456"/>
      <c r="E185" s="467"/>
      <c r="F185" s="467"/>
      <c r="G185" s="467"/>
      <c r="H185" s="467"/>
      <c r="I185" s="457"/>
      <c r="J185" s="456"/>
      <c r="K185" s="456"/>
      <c r="L185" s="456"/>
      <c r="M185" s="456"/>
      <c r="P185" s="456"/>
      <c r="Q185" s="456"/>
      <c r="R185" s="458"/>
      <c r="S185" s="458"/>
      <c r="T185" s="458"/>
      <c r="U185" s="458"/>
      <c r="V185" s="458"/>
      <c r="W185" s="458"/>
      <c r="X185" s="458"/>
      <c r="Y185" s="458"/>
      <c r="Z185" s="458"/>
      <c r="AA185" s="459"/>
      <c r="AB185" s="458"/>
      <c r="AC185" s="458"/>
      <c r="AD185" s="458"/>
      <c r="AE185" s="458"/>
      <c r="AF185" s="458"/>
      <c r="AG185" s="458"/>
      <c r="AH185" s="458"/>
    </row>
    <row r="187" spans="1:39" ht="15.75" thickBot="1" x14ac:dyDescent="0.3">
      <c r="A187" s="696" t="s">
        <v>1073</v>
      </c>
      <c r="B187" s="432"/>
    </row>
    <row r="188" spans="1:39" ht="29.25" customHeight="1" thickBot="1" x14ac:dyDescent="0.3">
      <c r="A188" s="437" t="s">
        <v>742</v>
      </c>
      <c r="B188" s="715" t="s">
        <v>1074</v>
      </c>
      <c r="C188" s="715" t="s">
        <v>1075</v>
      </c>
      <c r="D188" s="715" t="s">
        <v>1076</v>
      </c>
      <c r="E188" s="715" t="s">
        <v>871</v>
      </c>
      <c r="F188" s="715" t="s">
        <v>109</v>
      </c>
      <c r="G188" s="715" t="s">
        <v>801</v>
      </c>
      <c r="H188" s="715" t="s">
        <v>127</v>
      </c>
      <c r="I188" s="715" t="s">
        <v>1077</v>
      </c>
      <c r="J188" s="715" t="s">
        <v>1078</v>
      </c>
      <c r="K188" s="715" t="s">
        <v>1079</v>
      </c>
      <c r="L188" s="716" t="s">
        <v>925</v>
      </c>
      <c r="M188" s="715" t="s">
        <v>1080</v>
      </c>
    </row>
    <row r="189" spans="1:39" s="432" customFormat="1" x14ac:dyDescent="0.25">
      <c r="A189" s="450" t="s">
        <v>1575</v>
      </c>
      <c r="B189" s="432" t="s">
        <v>1081</v>
      </c>
      <c r="C189" s="432" t="s">
        <v>1082</v>
      </c>
      <c r="D189" s="432" t="s">
        <v>1083</v>
      </c>
      <c r="E189" s="452" t="s">
        <v>1084</v>
      </c>
      <c r="F189" s="432" t="s">
        <v>387</v>
      </c>
      <c r="G189" s="432" t="s">
        <v>1085</v>
      </c>
      <c r="H189" s="432" t="s">
        <v>1086</v>
      </c>
      <c r="I189" s="432" t="s">
        <v>1087</v>
      </c>
      <c r="J189" s="432" t="s">
        <v>1088</v>
      </c>
      <c r="K189" s="634" t="s">
        <v>170</v>
      </c>
      <c r="L189" s="717" t="str">
        <f>H189&amp;" "&amp;C189&amp;" "&amp;B189</f>
        <v>394-1234567 7749/169409 04.04.2013 14:26:36</v>
      </c>
      <c r="M189" s="634" t="s">
        <v>170</v>
      </c>
      <c r="N189" s="409"/>
    </row>
    <row r="190" spans="1:39" s="432" customFormat="1" x14ac:dyDescent="0.25">
      <c r="A190" s="437" t="s">
        <v>772</v>
      </c>
      <c r="B190" s="634" t="s">
        <v>941</v>
      </c>
      <c r="C190" s="634" t="s">
        <v>1058</v>
      </c>
      <c r="D190" s="634" t="s">
        <v>166</v>
      </c>
      <c r="E190" s="634" t="s">
        <v>931</v>
      </c>
      <c r="F190" s="634" t="s">
        <v>81</v>
      </c>
      <c r="G190" s="634" t="s">
        <v>51</v>
      </c>
      <c r="H190" s="634" t="s">
        <v>177</v>
      </c>
      <c r="I190" s="634" t="s">
        <v>166</v>
      </c>
      <c r="J190" s="634" t="s">
        <v>51</v>
      </c>
      <c r="K190" s="634" t="s">
        <v>1089</v>
      </c>
      <c r="L190" s="718" t="s">
        <v>1090</v>
      </c>
      <c r="M190" s="634" t="s">
        <v>1091</v>
      </c>
      <c r="N190" s="409"/>
    </row>
    <row r="191" spans="1:39" s="432" customFormat="1" x14ac:dyDescent="0.25">
      <c r="A191" s="437" t="s">
        <v>774</v>
      </c>
      <c r="B191" s="432" t="s">
        <v>170</v>
      </c>
      <c r="C191" s="432" t="s">
        <v>170</v>
      </c>
      <c r="D191" s="634" t="s">
        <v>884</v>
      </c>
      <c r="E191" s="634" t="s">
        <v>884</v>
      </c>
      <c r="F191" s="634" t="s">
        <v>884</v>
      </c>
      <c r="G191" s="634" t="s">
        <v>884</v>
      </c>
      <c r="H191" s="719" t="s">
        <v>1060</v>
      </c>
      <c r="I191" s="634" t="s">
        <v>1092</v>
      </c>
      <c r="J191" s="719" t="s">
        <v>1093</v>
      </c>
      <c r="K191" s="719" t="s">
        <v>1094</v>
      </c>
      <c r="L191" s="719" t="s">
        <v>1095</v>
      </c>
      <c r="M191" s="432" t="s">
        <v>170</v>
      </c>
      <c r="N191" s="409"/>
    </row>
    <row r="192" spans="1:39" s="432" customFormat="1" x14ac:dyDescent="0.25">
      <c r="A192" s="708" t="s">
        <v>775</v>
      </c>
      <c r="B192" s="432" t="s">
        <v>1096</v>
      </c>
      <c r="C192" s="931" t="s">
        <v>1097</v>
      </c>
      <c r="L192" s="720"/>
      <c r="N192" s="409"/>
    </row>
    <row r="193" spans="1:18" s="432" customFormat="1" x14ac:dyDescent="0.25">
      <c r="A193" s="437" t="s">
        <v>783</v>
      </c>
      <c r="D193" s="721" t="s">
        <v>886</v>
      </c>
      <c r="E193" s="432" t="s">
        <v>1098</v>
      </c>
      <c r="F193" s="432" t="s">
        <v>1099</v>
      </c>
      <c r="G193" s="432" t="s">
        <v>1100</v>
      </c>
      <c r="I193" s="722" t="s">
        <v>1101</v>
      </c>
      <c r="L193" s="723"/>
    </row>
    <row r="195" spans="1:18" x14ac:dyDescent="0.25">
      <c r="A195" s="696" t="s">
        <v>1102</v>
      </c>
      <c r="B195" s="432"/>
    </row>
    <row r="196" spans="1:18" s="435" customFormat="1" x14ac:dyDescent="0.25">
      <c r="A196" s="437" t="s">
        <v>742</v>
      </c>
      <c r="B196" s="724" t="s">
        <v>127</v>
      </c>
      <c r="C196" s="725" t="s">
        <v>1103</v>
      </c>
      <c r="D196" s="634"/>
      <c r="E196" s="634"/>
      <c r="F196" s="634"/>
      <c r="G196" s="409"/>
      <c r="H196" s="409"/>
      <c r="I196" s="409"/>
      <c r="J196" s="409"/>
      <c r="K196" s="409"/>
      <c r="L196" s="409"/>
      <c r="M196" s="409"/>
      <c r="N196" s="409"/>
    </row>
    <row r="197" spans="1:18" s="435" customFormat="1" x14ac:dyDescent="0.25">
      <c r="A197" s="450" t="s">
        <v>1575</v>
      </c>
      <c r="B197" s="726"/>
      <c r="C197" s="726"/>
      <c r="D197" s="634"/>
      <c r="E197" s="634"/>
      <c r="F197" s="634"/>
      <c r="G197" s="409"/>
      <c r="H197" s="409"/>
      <c r="I197" s="409"/>
      <c r="J197" s="409"/>
      <c r="K197" s="409"/>
      <c r="L197" s="409"/>
      <c r="M197" s="409"/>
      <c r="N197" s="409"/>
    </row>
    <row r="198" spans="1:18" s="435" customFormat="1" x14ac:dyDescent="0.25">
      <c r="A198" s="437" t="s">
        <v>772</v>
      </c>
      <c r="B198" s="456" t="s">
        <v>1104</v>
      </c>
      <c r="C198" s="456" t="s">
        <v>927</v>
      </c>
      <c r="D198" s="634"/>
      <c r="E198" s="634"/>
      <c r="F198" s="634"/>
      <c r="G198" s="409"/>
      <c r="H198" s="409"/>
      <c r="I198" s="409"/>
      <c r="J198" s="409"/>
      <c r="K198" s="409"/>
      <c r="L198" s="409"/>
      <c r="M198" s="409"/>
      <c r="N198" s="409"/>
    </row>
    <row r="199" spans="1:18" s="435" customFormat="1" x14ac:dyDescent="0.25">
      <c r="A199" s="437" t="s">
        <v>774</v>
      </c>
      <c r="B199" s="681">
        <v>4</v>
      </c>
      <c r="C199" s="681">
        <v>7</v>
      </c>
      <c r="D199" s="634"/>
      <c r="E199" s="634"/>
      <c r="F199" s="634"/>
      <c r="G199" s="409"/>
      <c r="H199" s="409"/>
      <c r="I199" s="409"/>
      <c r="J199" s="409"/>
      <c r="K199" s="409"/>
      <c r="L199" s="409"/>
      <c r="M199" s="409"/>
      <c r="N199" s="409"/>
    </row>
    <row r="200" spans="1:18" s="634" customFormat="1" x14ac:dyDescent="0.25">
      <c r="A200" s="708" t="s">
        <v>775</v>
      </c>
      <c r="B200" s="634" t="s">
        <v>1105</v>
      </c>
      <c r="C200" s="714" t="s">
        <v>1106</v>
      </c>
      <c r="G200" s="409"/>
      <c r="H200" s="409"/>
      <c r="I200" s="409"/>
      <c r="J200" s="409"/>
      <c r="K200" s="409"/>
      <c r="L200" s="409"/>
      <c r="M200" s="409"/>
      <c r="N200" s="409"/>
    </row>
    <row r="201" spans="1:18" s="432" customFormat="1" x14ac:dyDescent="0.25">
      <c r="A201" s="437" t="s">
        <v>783</v>
      </c>
      <c r="C201" s="634"/>
      <c r="D201" s="634"/>
      <c r="E201" s="634"/>
      <c r="F201" s="634"/>
      <c r="G201" s="409"/>
      <c r="H201" s="409"/>
      <c r="I201" s="409"/>
      <c r="J201" s="409"/>
      <c r="K201" s="409"/>
      <c r="L201" s="409"/>
      <c r="M201" s="409"/>
      <c r="N201" s="409"/>
    </row>
    <row r="203" spans="1:18" x14ac:dyDescent="0.25">
      <c r="A203" s="696" t="s">
        <v>1107</v>
      </c>
      <c r="B203" s="432"/>
    </row>
    <row r="204" spans="1:18" s="435" customFormat="1" x14ac:dyDescent="0.25">
      <c r="A204" s="437" t="s">
        <v>742</v>
      </c>
      <c r="B204" s="727" t="s">
        <v>127</v>
      </c>
      <c r="C204" s="727" t="s">
        <v>1108</v>
      </c>
      <c r="D204" s="727" t="s">
        <v>1109</v>
      </c>
      <c r="E204" s="727" t="s">
        <v>1110</v>
      </c>
      <c r="F204" s="727" t="s">
        <v>1111</v>
      </c>
      <c r="G204" s="727" t="s">
        <v>1112</v>
      </c>
      <c r="H204" s="727" t="s">
        <v>1113</v>
      </c>
      <c r="I204" s="727" t="s">
        <v>1114</v>
      </c>
      <c r="J204" s="727" t="s">
        <v>1115</v>
      </c>
      <c r="K204" s="727" t="s">
        <v>422</v>
      </c>
      <c r="L204" s="727" t="s">
        <v>1116</v>
      </c>
      <c r="M204" s="727" t="s">
        <v>1117</v>
      </c>
      <c r="N204" s="727" t="s">
        <v>1118</v>
      </c>
      <c r="O204" s="727" t="s">
        <v>1119</v>
      </c>
      <c r="P204" s="727" t="s">
        <v>1120</v>
      </c>
      <c r="Q204" s="727" t="s">
        <v>1121</v>
      </c>
      <c r="R204" s="727" t="s">
        <v>1122</v>
      </c>
    </row>
    <row r="205" spans="1:18" s="435" customFormat="1" x14ac:dyDescent="0.25">
      <c r="A205" s="450" t="s">
        <v>1575</v>
      </c>
      <c r="B205" s="707" t="s">
        <v>1123</v>
      </c>
      <c r="C205" s="707" t="s">
        <v>1124</v>
      </c>
      <c r="D205" s="707"/>
      <c r="E205" s="707"/>
      <c r="F205" s="707"/>
      <c r="G205" s="707"/>
      <c r="H205" s="707"/>
      <c r="I205" s="707"/>
      <c r="J205" s="707"/>
      <c r="K205" s="707"/>
      <c r="L205" s="707" t="s">
        <v>1124</v>
      </c>
      <c r="M205" s="707"/>
      <c r="N205" s="707"/>
      <c r="O205" s="707" t="s">
        <v>1124</v>
      </c>
      <c r="P205" s="707"/>
      <c r="Q205" s="707"/>
      <c r="R205" s="707"/>
    </row>
    <row r="206" spans="1:18" s="435" customFormat="1" x14ac:dyDescent="0.25">
      <c r="A206" s="437" t="s">
        <v>772</v>
      </c>
      <c r="B206" s="456" t="s">
        <v>1104</v>
      </c>
      <c r="C206" s="456" t="s">
        <v>1104</v>
      </c>
      <c r="D206" s="456" t="s">
        <v>1104</v>
      </c>
      <c r="E206" s="456" t="s">
        <v>927</v>
      </c>
      <c r="F206" s="456" t="s">
        <v>773</v>
      </c>
      <c r="G206" s="456" t="s">
        <v>1125</v>
      </c>
      <c r="H206" s="456" t="s">
        <v>1126</v>
      </c>
      <c r="I206" s="456" t="s">
        <v>927</v>
      </c>
      <c r="J206" s="456" t="s">
        <v>927</v>
      </c>
      <c r="K206" s="456" t="s">
        <v>1126</v>
      </c>
      <c r="L206" s="456">
        <v>1</v>
      </c>
      <c r="M206" s="456" t="s">
        <v>927</v>
      </c>
      <c r="N206" s="456" t="s">
        <v>929</v>
      </c>
      <c r="O206" s="456" t="s">
        <v>929</v>
      </c>
      <c r="P206" s="456" t="s">
        <v>929</v>
      </c>
      <c r="Q206" s="456" t="s">
        <v>929</v>
      </c>
      <c r="R206" s="456" t="s">
        <v>929</v>
      </c>
    </row>
    <row r="207" spans="1:18" s="435" customFormat="1" x14ac:dyDescent="0.25">
      <c r="A207" s="437" t="s">
        <v>774</v>
      </c>
      <c r="B207" s="681"/>
      <c r="C207" s="681"/>
      <c r="D207" s="634"/>
      <c r="E207" s="634"/>
      <c r="F207" s="634"/>
      <c r="G207" s="634"/>
      <c r="H207" s="634"/>
      <c r="I207" s="634"/>
      <c r="J207" s="634"/>
      <c r="K207" s="409"/>
      <c r="L207" s="634"/>
      <c r="M207" s="634"/>
      <c r="N207" s="634"/>
      <c r="O207" s="634"/>
      <c r="P207" s="634"/>
      <c r="Q207" s="634"/>
      <c r="R207" s="409"/>
    </row>
    <row r="208" spans="1:18" s="634" customFormat="1" x14ac:dyDescent="0.25">
      <c r="A208" s="708" t="s">
        <v>775</v>
      </c>
      <c r="F208" s="409"/>
      <c r="G208" s="409"/>
      <c r="H208" s="409"/>
      <c r="I208" s="409"/>
      <c r="J208" s="409"/>
      <c r="K208" s="409"/>
      <c r="L208" s="409"/>
      <c r="M208" s="409"/>
    </row>
    <row r="209" spans="1:48" s="432" customFormat="1" x14ac:dyDescent="0.25">
      <c r="A209" s="437" t="s">
        <v>783</v>
      </c>
      <c r="C209" s="634"/>
      <c r="D209" s="634"/>
      <c r="E209" s="634"/>
      <c r="F209" s="409"/>
      <c r="G209" s="409"/>
      <c r="H209" s="409"/>
      <c r="I209" s="409"/>
      <c r="J209" s="409"/>
      <c r="K209" s="409"/>
      <c r="L209" s="409"/>
      <c r="M209" s="409"/>
    </row>
    <row r="210" spans="1:48" s="729" customFormat="1" x14ac:dyDescent="0.25">
      <c r="A210" s="728"/>
      <c r="C210" s="676"/>
      <c r="D210" s="676"/>
      <c r="E210" s="676"/>
      <c r="F210" s="691"/>
      <c r="G210" s="691"/>
      <c r="H210" s="691"/>
      <c r="I210" s="691"/>
      <c r="J210" s="691"/>
      <c r="K210" s="691"/>
      <c r="L210" s="691"/>
      <c r="M210" s="691"/>
    </row>
    <row r="211" spans="1:48" x14ac:dyDescent="0.25">
      <c r="A211" s="696" t="s">
        <v>1127</v>
      </c>
      <c r="B211" s="432"/>
    </row>
    <row r="212" spans="1:48" s="435" customFormat="1" x14ac:dyDescent="0.25">
      <c r="A212" s="437" t="s">
        <v>742</v>
      </c>
      <c r="B212" s="727" t="s">
        <v>127</v>
      </c>
      <c r="C212" s="727" t="s">
        <v>1108</v>
      </c>
      <c r="D212" s="727" t="s">
        <v>1109</v>
      </c>
      <c r="E212" s="727" t="s">
        <v>1110</v>
      </c>
      <c r="F212" s="727" t="s">
        <v>1111</v>
      </c>
      <c r="G212" s="727" t="s">
        <v>1112</v>
      </c>
      <c r="H212" s="727" t="s">
        <v>1113</v>
      </c>
      <c r="I212" s="727" t="s">
        <v>1114</v>
      </c>
      <c r="J212" s="727" t="s">
        <v>1115</v>
      </c>
      <c r="K212" s="727" t="s">
        <v>422</v>
      </c>
      <c r="L212" s="727" t="s">
        <v>1116</v>
      </c>
      <c r="M212" s="727" t="s">
        <v>1117</v>
      </c>
      <c r="N212" s="727" t="s">
        <v>1118</v>
      </c>
      <c r="O212" s="727" t="s">
        <v>1119</v>
      </c>
      <c r="P212" s="727" t="s">
        <v>1120</v>
      </c>
      <c r="Q212" s="727" t="s">
        <v>1121</v>
      </c>
      <c r="R212" s="727" t="s">
        <v>1122</v>
      </c>
    </row>
    <row r="213" spans="1:48" s="435" customFormat="1" x14ac:dyDescent="0.25">
      <c r="A213" s="450" t="s">
        <v>1575</v>
      </c>
      <c r="B213" s="707" t="s">
        <v>1123</v>
      </c>
      <c r="C213" s="707" t="s">
        <v>1124</v>
      </c>
      <c r="D213" s="707"/>
      <c r="E213" s="707"/>
      <c r="F213" s="707"/>
      <c r="G213" s="707"/>
      <c r="H213" s="707"/>
      <c r="I213" s="707"/>
      <c r="J213" s="707"/>
      <c r="K213" s="707"/>
      <c r="L213" s="707" t="s">
        <v>1124</v>
      </c>
      <c r="M213" s="707"/>
      <c r="N213" s="707"/>
      <c r="O213" s="707" t="s">
        <v>1124</v>
      </c>
      <c r="P213" s="707"/>
      <c r="Q213" s="707"/>
      <c r="R213" s="707"/>
    </row>
    <row r="214" spans="1:48" s="435" customFormat="1" x14ac:dyDescent="0.25">
      <c r="A214" s="437" t="s">
        <v>772</v>
      </c>
      <c r="B214" s="456" t="s">
        <v>1104</v>
      </c>
      <c r="C214" s="456" t="s">
        <v>1104</v>
      </c>
      <c r="D214" s="456" t="s">
        <v>1104</v>
      </c>
      <c r="E214" s="456" t="s">
        <v>927</v>
      </c>
      <c r="F214" s="456" t="s">
        <v>773</v>
      </c>
      <c r="G214" s="456" t="s">
        <v>1125</v>
      </c>
      <c r="H214" s="456" t="s">
        <v>1126</v>
      </c>
      <c r="I214" s="456" t="s">
        <v>927</v>
      </c>
      <c r="J214" s="456" t="s">
        <v>927</v>
      </c>
      <c r="K214" s="456" t="s">
        <v>1126</v>
      </c>
      <c r="L214" s="456">
        <v>1</v>
      </c>
      <c r="M214" s="456" t="s">
        <v>927</v>
      </c>
      <c r="N214" s="456" t="s">
        <v>929</v>
      </c>
      <c r="O214" s="456" t="s">
        <v>929</v>
      </c>
      <c r="P214" s="456" t="s">
        <v>929</v>
      </c>
      <c r="Q214" s="456" t="s">
        <v>929</v>
      </c>
      <c r="R214" s="456" t="s">
        <v>929</v>
      </c>
    </row>
    <row r="215" spans="1:48" s="435" customFormat="1" x14ac:dyDescent="0.25">
      <c r="A215" s="437" t="s">
        <v>774</v>
      </c>
      <c r="B215" s="681"/>
      <c r="C215" s="681"/>
      <c r="D215" s="634"/>
      <c r="E215" s="634"/>
      <c r="F215" s="634"/>
      <c r="G215" s="634"/>
      <c r="H215" s="634"/>
      <c r="I215" s="634"/>
      <c r="J215" s="634"/>
      <c r="K215" s="409"/>
      <c r="L215" s="634"/>
      <c r="M215" s="634"/>
      <c r="N215" s="634"/>
      <c r="O215" s="634"/>
      <c r="P215" s="634"/>
      <c r="Q215" s="634"/>
      <c r="R215" s="409"/>
    </row>
    <row r="216" spans="1:48" s="634" customFormat="1" x14ac:dyDescent="0.25">
      <c r="A216" s="708" t="s">
        <v>775</v>
      </c>
      <c r="F216" s="409"/>
      <c r="G216" s="409"/>
      <c r="H216" s="409"/>
      <c r="I216" s="409"/>
      <c r="J216" s="409"/>
      <c r="K216" s="409"/>
      <c r="L216" s="409"/>
      <c r="M216" s="409"/>
    </row>
    <row r="217" spans="1:48" s="432" customFormat="1" x14ac:dyDescent="0.25">
      <c r="A217" s="437" t="s">
        <v>783</v>
      </c>
      <c r="C217" s="634"/>
      <c r="D217" s="634"/>
      <c r="E217" s="634"/>
      <c r="F217" s="409"/>
      <c r="G217" s="409"/>
      <c r="H217" s="409"/>
      <c r="I217" s="409"/>
      <c r="J217" s="409"/>
      <c r="K217" s="409"/>
      <c r="L217" s="409"/>
      <c r="M217" s="409"/>
    </row>
    <row r="218" spans="1:48" s="729" customFormat="1" x14ac:dyDescent="0.25">
      <c r="A218" s="728"/>
      <c r="C218" s="676"/>
      <c r="D218" s="676"/>
      <c r="E218" s="676"/>
      <c r="F218" s="691"/>
      <c r="G218" s="691"/>
      <c r="H218" s="691"/>
      <c r="I218" s="691"/>
      <c r="J218" s="691"/>
      <c r="K218" s="691"/>
      <c r="L218" s="691"/>
      <c r="M218" s="691"/>
    </row>
    <row r="219" spans="1:48" ht="15.75" thickBot="1" x14ac:dyDescent="0.3">
      <c r="A219" s="696" t="s">
        <v>1128</v>
      </c>
      <c r="G219" s="641"/>
    </row>
    <row r="220" spans="1:48" ht="71.25" thickBot="1" x14ac:dyDescent="0.3">
      <c r="A220" s="730" t="s">
        <v>1129</v>
      </c>
      <c r="B220" s="731" t="s">
        <v>1130</v>
      </c>
      <c r="C220" s="732">
        <v>40057</v>
      </c>
      <c r="D220" s="732">
        <v>40087</v>
      </c>
      <c r="E220" s="732">
        <v>40118</v>
      </c>
      <c r="F220" s="732">
        <v>40148</v>
      </c>
      <c r="G220" s="733" t="s">
        <v>1131</v>
      </c>
      <c r="H220" s="732">
        <v>40179</v>
      </c>
      <c r="I220" s="732">
        <v>40210</v>
      </c>
      <c r="J220" s="732">
        <v>40238</v>
      </c>
      <c r="K220" s="732">
        <v>40269</v>
      </c>
      <c r="L220" s="732">
        <v>40299</v>
      </c>
      <c r="M220" s="732">
        <v>40330</v>
      </c>
      <c r="N220" s="732">
        <v>40360</v>
      </c>
      <c r="O220" s="732">
        <v>40391</v>
      </c>
      <c r="P220" s="732">
        <v>40422</v>
      </c>
      <c r="Q220" s="732">
        <v>40452</v>
      </c>
      <c r="R220" s="732">
        <v>40483</v>
      </c>
      <c r="S220" s="732">
        <v>40513</v>
      </c>
      <c r="T220" s="733" t="s">
        <v>1132</v>
      </c>
      <c r="U220" s="732">
        <v>40544</v>
      </c>
      <c r="V220" s="732">
        <v>40575</v>
      </c>
      <c r="W220" s="732">
        <v>40603</v>
      </c>
      <c r="X220" s="732">
        <v>40634</v>
      </c>
      <c r="Y220" s="732">
        <v>40664</v>
      </c>
      <c r="Z220" s="732">
        <v>40695</v>
      </c>
      <c r="AA220" s="732">
        <v>40725</v>
      </c>
      <c r="AB220" s="732">
        <v>40756</v>
      </c>
      <c r="AC220" s="732">
        <v>40787</v>
      </c>
      <c r="AD220" s="732">
        <v>40817</v>
      </c>
      <c r="AE220" s="732"/>
      <c r="AF220" s="732">
        <v>40848</v>
      </c>
      <c r="AG220" s="732">
        <v>40878</v>
      </c>
      <c r="AH220" s="733" t="s">
        <v>1133</v>
      </c>
      <c r="AI220" s="732">
        <v>40909</v>
      </c>
      <c r="AJ220" s="732">
        <v>40940</v>
      </c>
      <c r="AK220" s="732">
        <v>40969</v>
      </c>
      <c r="AL220" s="732">
        <v>41000</v>
      </c>
      <c r="AM220" s="732">
        <v>41030</v>
      </c>
      <c r="AN220" s="732">
        <v>41061</v>
      </c>
      <c r="AO220" s="732">
        <v>41091</v>
      </c>
      <c r="AP220" s="732">
        <v>41122</v>
      </c>
      <c r="AQ220" s="732">
        <v>41153</v>
      </c>
      <c r="AR220" s="732">
        <v>41183</v>
      </c>
      <c r="AS220" s="732">
        <v>41214</v>
      </c>
      <c r="AT220" s="732">
        <v>41244</v>
      </c>
      <c r="AU220" s="733" t="s">
        <v>1134</v>
      </c>
      <c r="AV220" s="734" t="s">
        <v>1135</v>
      </c>
    </row>
    <row r="221" spans="1:48" x14ac:dyDescent="0.25">
      <c r="A221" s="735" t="s">
        <v>627</v>
      </c>
      <c r="B221" s="736" t="s">
        <v>626</v>
      </c>
      <c r="C221" s="737"/>
      <c r="D221" s="737"/>
      <c r="E221" s="737"/>
      <c r="F221" s="738"/>
      <c r="G221" s="739">
        <f t="shared" ref="G221:G253" si="0">SUM(C221:F221)</f>
        <v>0</v>
      </c>
      <c r="H221" s="737"/>
      <c r="I221" s="737"/>
      <c r="J221" s="737"/>
      <c r="K221" s="737"/>
      <c r="L221" s="737"/>
      <c r="M221" s="737"/>
      <c r="N221" s="737"/>
      <c r="O221" s="737"/>
      <c r="P221" s="737"/>
      <c r="Q221" s="737"/>
      <c r="R221" s="737"/>
      <c r="S221" s="737"/>
      <c r="T221" s="739">
        <f t="shared" ref="T221:T253" si="1">SUM(H221:S221)</f>
        <v>0</v>
      </c>
      <c r="U221" s="737"/>
      <c r="V221" s="737"/>
      <c r="W221" s="737"/>
      <c r="X221" s="737"/>
      <c r="Y221" s="737"/>
      <c r="Z221" s="737"/>
      <c r="AA221" s="737"/>
      <c r="AB221" s="737"/>
      <c r="AC221" s="737"/>
      <c r="AD221" s="737"/>
      <c r="AE221" s="737"/>
      <c r="AF221" s="737"/>
      <c r="AG221" s="737"/>
      <c r="AH221" s="739">
        <f t="shared" ref="AH221:AH253" si="2">SUM(U221:AG221)</f>
        <v>0</v>
      </c>
      <c r="AI221" s="737"/>
      <c r="AJ221" s="737"/>
      <c r="AK221" s="737"/>
      <c r="AL221" s="737"/>
      <c r="AM221" s="737"/>
      <c r="AN221" s="737"/>
      <c r="AO221" s="737"/>
      <c r="AP221" s="737"/>
      <c r="AQ221" s="737"/>
      <c r="AR221" s="737"/>
      <c r="AS221" s="737"/>
      <c r="AT221" s="737"/>
      <c r="AU221" s="739">
        <f t="shared" ref="AU221:AU253" si="3">SUM(AI221:AT221)</f>
        <v>0</v>
      </c>
      <c r="AV221" s="740">
        <f t="shared" ref="AV221:AV253" si="4">G221+T221+AH221+AU221</f>
        <v>0</v>
      </c>
    </row>
    <row r="222" spans="1:48" x14ac:dyDescent="0.25">
      <c r="A222" s="735" t="s">
        <v>627</v>
      </c>
      <c r="B222" s="736" t="s">
        <v>630</v>
      </c>
      <c r="C222" s="741"/>
      <c r="D222" s="741"/>
      <c r="E222" s="741"/>
      <c r="F222" s="742"/>
      <c r="G222" s="743">
        <f t="shared" si="0"/>
        <v>0</v>
      </c>
      <c r="H222" s="741"/>
      <c r="I222" s="741"/>
      <c r="J222" s="741"/>
      <c r="K222" s="741"/>
      <c r="L222" s="741"/>
      <c r="M222" s="741"/>
      <c r="N222" s="741"/>
      <c r="O222" s="741"/>
      <c r="P222" s="741"/>
      <c r="Q222" s="741"/>
      <c r="R222" s="741"/>
      <c r="S222" s="741"/>
      <c r="T222" s="743">
        <f t="shared" si="1"/>
        <v>0</v>
      </c>
      <c r="U222" s="741"/>
      <c r="V222" s="741"/>
      <c r="W222" s="741"/>
      <c r="X222" s="741"/>
      <c r="Y222" s="741"/>
      <c r="Z222" s="741"/>
      <c r="AA222" s="741"/>
      <c r="AB222" s="741"/>
      <c r="AC222" s="741"/>
      <c r="AD222" s="741"/>
      <c r="AE222" s="741"/>
      <c r="AF222" s="741"/>
      <c r="AG222" s="741"/>
      <c r="AH222" s="743">
        <f t="shared" si="2"/>
        <v>0</v>
      </c>
      <c r="AI222" s="741"/>
      <c r="AJ222" s="741"/>
      <c r="AK222" s="741"/>
      <c r="AL222" s="741"/>
      <c r="AM222" s="741"/>
      <c r="AN222" s="741"/>
      <c r="AO222" s="741"/>
      <c r="AP222" s="741"/>
      <c r="AQ222" s="741"/>
      <c r="AR222" s="741"/>
      <c r="AS222" s="741"/>
      <c r="AT222" s="741"/>
      <c r="AU222" s="743">
        <f t="shared" si="3"/>
        <v>0</v>
      </c>
      <c r="AV222" s="740">
        <f t="shared" si="4"/>
        <v>0</v>
      </c>
    </row>
    <row r="223" spans="1:48" x14ac:dyDescent="0.25">
      <c r="A223" s="735" t="s">
        <v>627</v>
      </c>
      <c r="B223" s="736" t="s">
        <v>633</v>
      </c>
      <c r="C223" s="741"/>
      <c r="D223" s="741"/>
      <c r="E223" s="741"/>
      <c r="F223" s="742"/>
      <c r="G223" s="743">
        <f t="shared" si="0"/>
        <v>0</v>
      </c>
      <c r="H223" s="741"/>
      <c r="I223" s="741"/>
      <c r="J223" s="741"/>
      <c r="K223" s="741"/>
      <c r="L223" s="741"/>
      <c r="M223" s="741"/>
      <c r="N223" s="741"/>
      <c r="O223" s="741"/>
      <c r="P223" s="741"/>
      <c r="Q223" s="741"/>
      <c r="R223" s="741"/>
      <c r="S223" s="741"/>
      <c r="T223" s="743">
        <f t="shared" si="1"/>
        <v>0</v>
      </c>
      <c r="U223" s="741"/>
      <c r="V223" s="741"/>
      <c r="W223" s="741"/>
      <c r="X223" s="741"/>
      <c r="Y223" s="741"/>
      <c r="Z223" s="741"/>
      <c r="AA223" s="741"/>
      <c r="AB223" s="741"/>
      <c r="AC223" s="741"/>
      <c r="AD223" s="741"/>
      <c r="AE223" s="741"/>
      <c r="AF223" s="741"/>
      <c r="AG223" s="741"/>
      <c r="AH223" s="743">
        <f t="shared" si="2"/>
        <v>0</v>
      </c>
      <c r="AI223" s="741"/>
      <c r="AJ223" s="741"/>
      <c r="AK223" s="741"/>
      <c r="AL223" s="741"/>
      <c r="AM223" s="741"/>
      <c r="AN223" s="741"/>
      <c r="AO223" s="741"/>
      <c r="AP223" s="741"/>
      <c r="AQ223" s="741"/>
      <c r="AR223" s="741"/>
      <c r="AS223" s="741"/>
      <c r="AT223" s="741"/>
      <c r="AU223" s="743">
        <f t="shared" si="3"/>
        <v>0</v>
      </c>
      <c r="AV223" s="740">
        <f t="shared" si="4"/>
        <v>0</v>
      </c>
    </row>
    <row r="224" spans="1:48" x14ac:dyDescent="0.25">
      <c r="A224" s="744" t="s">
        <v>627</v>
      </c>
      <c r="B224" s="736" t="s">
        <v>635</v>
      </c>
      <c r="C224" s="741"/>
      <c r="D224" s="741"/>
      <c r="E224" s="741"/>
      <c r="F224" s="742"/>
      <c r="G224" s="743">
        <f t="shared" si="0"/>
        <v>0</v>
      </c>
      <c r="H224" s="741"/>
      <c r="I224" s="741"/>
      <c r="J224" s="741"/>
      <c r="K224" s="741"/>
      <c r="L224" s="741"/>
      <c r="M224" s="741"/>
      <c r="N224" s="741"/>
      <c r="O224" s="741"/>
      <c r="P224" s="741"/>
      <c r="Q224" s="741"/>
      <c r="R224" s="741"/>
      <c r="S224" s="741"/>
      <c r="T224" s="743">
        <f t="shared" si="1"/>
        <v>0</v>
      </c>
      <c r="U224" s="741"/>
      <c r="V224" s="741"/>
      <c r="W224" s="741"/>
      <c r="X224" s="741"/>
      <c r="Y224" s="741"/>
      <c r="Z224" s="741"/>
      <c r="AA224" s="741"/>
      <c r="AB224" s="741"/>
      <c r="AC224" s="741"/>
      <c r="AD224" s="741"/>
      <c r="AE224" s="741"/>
      <c r="AF224" s="741"/>
      <c r="AG224" s="741"/>
      <c r="AH224" s="743">
        <f t="shared" si="2"/>
        <v>0</v>
      </c>
      <c r="AI224" s="741"/>
      <c r="AJ224" s="741"/>
      <c r="AK224" s="741"/>
      <c r="AL224" s="741"/>
      <c r="AM224" s="741"/>
      <c r="AN224" s="741"/>
      <c r="AO224" s="741"/>
      <c r="AP224" s="741"/>
      <c r="AQ224" s="741"/>
      <c r="AR224" s="741"/>
      <c r="AS224" s="741"/>
      <c r="AT224" s="741"/>
      <c r="AU224" s="743">
        <f t="shared" si="3"/>
        <v>0</v>
      </c>
      <c r="AV224" s="740">
        <f t="shared" si="4"/>
        <v>0</v>
      </c>
    </row>
    <row r="225" spans="1:48" x14ac:dyDescent="0.25">
      <c r="A225" s="735" t="s">
        <v>627</v>
      </c>
      <c r="B225" s="736" t="s">
        <v>637</v>
      </c>
      <c r="C225" s="741"/>
      <c r="D225" s="741"/>
      <c r="E225" s="741"/>
      <c r="F225" s="742"/>
      <c r="G225" s="743">
        <f t="shared" si="0"/>
        <v>0</v>
      </c>
      <c r="H225" s="741"/>
      <c r="I225" s="741"/>
      <c r="J225" s="741"/>
      <c r="K225" s="741"/>
      <c r="L225" s="741"/>
      <c r="M225" s="741"/>
      <c r="N225" s="741"/>
      <c r="O225" s="741"/>
      <c r="P225" s="741"/>
      <c r="Q225" s="741"/>
      <c r="R225" s="741"/>
      <c r="S225" s="741"/>
      <c r="T225" s="743">
        <f t="shared" si="1"/>
        <v>0</v>
      </c>
      <c r="U225" s="741"/>
      <c r="V225" s="741"/>
      <c r="W225" s="741"/>
      <c r="X225" s="741"/>
      <c r="Y225" s="741"/>
      <c r="Z225" s="741"/>
      <c r="AA225" s="741"/>
      <c r="AB225" s="741"/>
      <c r="AC225" s="741"/>
      <c r="AD225" s="741"/>
      <c r="AE225" s="741"/>
      <c r="AF225" s="741"/>
      <c r="AG225" s="741"/>
      <c r="AH225" s="743">
        <f t="shared" si="2"/>
        <v>0</v>
      </c>
      <c r="AI225" s="741"/>
      <c r="AJ225" s="741"/>
      <c r="AK225" s="741"/>
      <c r="AL225" s="741"/>
      <c r="AM225" s="741"/>
      <c r="AN225" s="741"/>
      <c r="AO225" s="741"/>
      <c r="AP225" s="741"/>
      <c r="AQ225" s="741"/>
      <c r="AR225" s="741"/>
      <c r="AS225" s="741"/>
      <c r="AT225" s="741"/>
      <c r="AU225" s="743">
        <f t="shared" si="3"/>
        <v>0</v>
      </c>
      <c r="AV225" s="740">
        <f t="shared" si="4"/>
        <v>0</v>
      </c>
    </row>
    <row r="226" spans="1:48" x14ac:dyDescent="0.25">
      <c r="A226" s="735" t="s">
        <v>627</v>
      </c>
      <c r="B226" s="736" t="s">
        <v>640</v>
      </c>
      <c r="C226" s="741"/>
      <c r="D226" s="741"/>
      <c r="E226" s="741"/>
      <c r="F226" s="742"/>
      <c r="G226" s="743">
        <f t="shared" si="0"/>
        <v>0</v>
      </c>
      <c r="H226" s="741"/>
      <c r="I226" s="741"/>
      <c r="J226" s="741"/>
      <c r="K226" s="741"/>
      <c r="L226" s="741"/>
      <c r="M226" s="741"/>
      <c r="N226" s="741"/>
      <c r="O226" s="741"/>
      <c r="P226" s="741"/>
      <c r="Q226" s="741"/>
      <c r="R226" s="741"/>
      <c r="S226" s="741"/>
      <c r="T226" s="743">
        <f t="shared" si="1"/>
        <v>0</v>
      </c>
      <c r="U226" s="741"/>
      <c r="V226" s="741"/>
      <c r="W226" s="741"/>
      <c r="X226" s="741"/>
      <c r="Y226" s="741"/>
      <c r="Z226" s="741"/>
      <c r="AA226" s="741"/>
      <c r="AB226" s="741"/>
      <c r="AC226" s="741"/>
      <c r="AD226" s="741"/>
      <c r="AE226" s="741"/>
      <c r="AF226" s="741"/>
      <c r="AG226" s="741"/>
      <c r="AH226" s="743">
        <f t="shared" si="2"/>
        <v>0</v>
      </c>
      <c r="AI226" s="741"/>
      <c r="AJ226" s="741"/>
      <c r="AK226" s="741"/>
      <c r="AL226" s="741"/>
      <c r="AM226" s="741"/>
      <c r="AN226" s="741"/>
      <c r="AO226" s="741"/>
      <c r="AP226" s="741"/>
      <c r="AQ226" s="741"/>
      <c r="AR226" s="741"/>
      <c r="AS226" s="741"/>
      <c r="AT226" s="741"/>
      <c r="AU226" s="743">
        <f t="shared" si="3"/>
        <v>0</v>
      </c>
      <c r="AV226" s="740">
        <f t="shared" si="4"/>
        <v>0</v>
      </c>
    </row>
    <row r="227" spans="1:48" x14ac:dyDescent="0.25">
      <c r="A227" s="735" t="s">
        <v>627</v>
      </c>
      <c r="B227" s="736" t="s">
        <v>643</v>
      </c>
      <c r="C227" s="741"/>
      <c r="D227" s="741"/>
      <c r="E227" s="741"/>
      <c r="F227" s="742"/>
      <c r="G227" s="743">
        <f t="shared" si="0"/>
        <v>0</v>
      </c>
      <c r="H227" s="741"/>
      <c r="I227" s="741"/>
      <c r="J227" s="741"/>
      <c r="K227" s="741"/>
      <c r="L227" s="741"/>
      <c r="M227" s="741"/>
      <c r="N227" s="741"/>
      <c r="O227" s="741"/>
      <c r="P227" s="741"/>
      <c r="Q227" s="741"/>
      <c r="R227" s="741"/>
      <c r="S227" s="741"/>
      <c r="T227" s="743">
        <f t="shared" si="1"/>
        <v>0</v>
      </c>
      <c r="U227" s="741"/>
      <c r="V227" s="741"/>
      <c r="W227" s="741"/>
      <c r="X227" s="741"/>
      <c r="Y227" s="741"/>
      <c r="Z227" s="741"/>
      <c r="AA227" s="741"/>
      <c r="AB227" s="741"/>
      <c r="AC227" s="741"/>
      <c r="AD227" s="741"/>
      <c r="AE227" s="741"/>
      <c r="AF227" s="741"/>
      <c r="AG227" s="741"/>
      <c r="AH227" s="743">
        <f t="shared" si="2"/>
        <v>0</v>
      </c>
      <c r="AI227" s="741"/>
      <c r="AJ227" s="741"/>
      <c r="AK227" s="741"/>
      <c r="AL227" s="741"/>
      <c r="AM227" s="741"/>
      <c r="AN227" s="741"/>
      <c r="AO227" s="741"/>
      <c r="AP227" s="741"/>
      <c r="AQ227" s="741"/>
      <c r="AR227" s="741"/>
      <c r="AS227" s="741"/>
      <c r="AT227" s="741"/>
      <c r="AU227" s="743">
        <f t="shared" si="3"/>
        <v>0</v>
      </c>
      <c r="AV227" s="740">
        <f t="shared" si="4"/>
        <v>0</v>
      </c>
    </row>
    <row r="228" spans="1:48" x14ac:dyDescent="0.25">
      <c r="A228" s="735" t="s">
        <v>627</v>
      </c>
      <c r="B228" s="736" t="s">
        <v>638</v>
      </c>
      <c r="C228" s="741"/>
      <c r="D228" s="741"/>
      <c r="E228" s="741"/>
      <c r="F228" s="742"/>
      <c r="G228" s="743">
        <f t="shared" si="0"/>
        <v>0</v>
      </c>
      <c r="H228" s="741"/>
      <c r="I228" s="741"/>
      <c r="J228" s="741"/>
      <c r="K228" s="741"/>
      <c r="L228" s="741"/>
      <c r="M228" s="741"/>
      <c r="N228" s="741"/>
      <c r="O228" s="741"/>
      <c r="P228" s="741"/>
      <c r="Q228" s="741"/>
      <c r="R228" s="741"/>
      <c r="S228" s="741"/>
      <c r="T228" s="743">
        <f t="shared" si="1"/>
        <v>0</v>
      </c>
      <c r="U228" s="741"/>
      <c r="V228" s="741"/>
      <c r="W228" s="741"/>
      <c r="X228" s="741"/>
      <c r="Y228" s="741"/>
      <c r="Z228" s="741"/>
      <c r="AA228" s="741"/>
      <c r="AB228" s="741"/>
      <c r="AC228" s="741"/>
      <c r="AD228" s="741"/>
      <c r="AE228" s="741"/>
      <c r="AF228" s="741"/>
      <c r="AG228" s="741"/>
      <c r="AH228" s="743">
        <f t="shared" si="2"/>
        <v>0</v>
      </c>
      <c r="AI228" s="741"/>
      <c r="AJ228" s="741"/>
      <c r="AK228" s="741"/>
      <c r="AL228" s="741"/>
      <c r="AM228" s="741"/>
      <c r="AN228" s="741"/>
      <c r="AO228" s="741"/>
      <c r="AP228" s="741"/>
      <c r="AQ228" s="741"/>
      <c r="AR228" s="741"/>
      <c r="AS228" s="741"/>
      <c r="AT228" s="741"/>
      <c r="AU228" s="743">
        <f t="shared" si="3"/>
        <v>0</v>
      </c>
      <c r="AV228" s="740">
        <f t="shared" si="4"/>
        <v>0</v>
      </c>
    </row>
    <row r="229" spans="1:48" x14ac:dyDescent="0.25">
      <c r="A229" s="735" t="s">
        <v>627</v>
      </c>
      <c r="B229" s="736" t="s">
        <v>648</v>
      </c>
      <c r="C229" s="741"/>
      <c r="D229" s="741"/>
      <c r="E229" s="741"/>
      <c r="F229" s="742"/>
      <c r="G229" s="743">
        <f t="shared" si="0"/>
        <v>0</v>
      </c>
      <c r="H229" s="741"/>
      <c r="I229" s="741"/>
      <c r="J229" s="741"/>
      <c r="K229" s="741"/>
      <c r="L229" s="741"/>
      <c r="M229" s="741"/>
      <c r="N229" s="741"/>
      <c r="O229" s="741"/>
      <c r="P229" s="741"/>
      <c r="Q229" s="741"/>
      <c r="R229" s="741"/>
      <c r="S229" s="741"/>
      <c r="T229" s="743">
        <f t="shared" si="1"/>
        <v>0</v>
      </c>
      <c r="U229" s="741"/>
      <c r="V229" s="741"/>
      <c r="W229" s="741"/>
      <c r="X229" s="741"/>
      <c r="Y229" s="741"/>
      <c r="Z229" s="741"/>
      <c r="AA229" s="741"/>
      <c r="AB229" s="741"/>
      <c r="AC229" s="741"/>
      <c r="AD229" s="741"/>
      <c r="AE229" s="741"/>
      <c r="AF229" s="741"/>
      <c r="AG229" s="741"/>
      <c r="AH229" s="743">
        <f t="shared" si="2"/>
        <v>0</v>
      </c>
      <c r="AI229" s="741"/>
      <c r="AJ229" s="741"/>
      <c r="AK229" s="741"/>
      <c r="AL229" s="741"/>
      <c r="AM229" s="741"/>
      <c r="AN229" s="741"/>
      <c r="AO229" s="741"/>
      <c r="AP229" s="741"/>
      <c r="AQ229" s="741"/>
      <c r="AR229" s="741"/>
      <c r="AS229" s="741"/>
      <c r="AT229" s="741"/>
      <c r="AU229" s="743">
        <f t="shared" si="3"/>
        <v>0</v>
      </c>
      <c r="AV229" s="740">
        <f t="shared" si="4"/>
        <v>0</v>
      </c>
    </row>
    <row r="230" spans="1:48" x14ac:dyDescent="0.25">
      <c r="A230" s="735" t="s">
        <v>627</v>
      </c>
      <c r="B230" s="736" t="s">
        <v>650</v>
      </c>
      <c r="C230" s="741"/>
      <c r="D230" s="741"/>
      <c r="E230" s="741"/>
      <c r="F230" s="742"/>
      <c r="G230" s="743">
        <f t="shared" si="0"/>
        <v>0</v>
      </c>
      <c r="H230" s="741"/>
      <c r="I230" s="741"/>
      <c r="J230" s="741"/>
      <c r="K230" s="741"/>
      <c r="L230" s="741"/>
      <c r="M230" s="741"/>
      <c r="N230" s="741"/>
      <c r="O230" s="741"/>
      <c r="P230" s="741"/>
      <c r="Q230" s="741"/>
      <c r="R230" s="741"/>
      <c r="S230" s="741"/>
      <c r="T230" s="743">
        <f t="shared" si="1"/>
        <v>0</v>
      </c>
      <c r="U230" s="741"/>
      <c r="V230" s="741"/>
      <c r="W230" s="741"/>
      <c r="X230" s="741"/>
      <c r="Y230" s="741"/>
      <c r="Z230" s="741"/>
      <c r="AA230" s="741"/>
      <c r="AB230" s="741"/>
      <c r="AC230" s="741"/>
      <c r="AD230" s="741"/>
      <c r="AE230" s="741"/>
      <c r="AF230" s="741"/>
      <c r="AG230" s="741"/>
      <c r="AH230" s="743">
        <f t="shared" si="2"/>
        <v>0</v>
      </c>
      <c r="AI230" s="741"/>
      <c r="AJ230" s="741"/>
      <c r="AK230" s="741"/>
      <c r="AL230" s="741"/>
      <c r="AM230" s="741"/>
      <c r="AN230" s="741"/>
      <c r="AO230" s="741"/>
      <c r="AP230" s="741"/>
      <c r="AQ230" s="741"/>
      <c r="AR230" s="741"/>
      <c r="AS230" s="741"/>
      <c r="AT230" s="741"/>
      <c r="AU230" s="743">
        <f t="shared" si="3"/>
        <v>0</v>
      </c>
      <c r="AV230" s="740">
        <f t="shared" si="4"/>
        <v>0</v>
      </c>
    </row>
    <row r="231" spans="1:48" x14ac:dyDescent="0.25">
      <c r="A231" s="735" t="s">
        <v>627</v>
      </c>
      <c r="B231" s="736" t="s">
        <v>652</v>
      </c>
      <c r="C231" s="741"/>
      <c r="D231" s="741"/>
      <c r="E231" s="741"/>
      <c r="F231" s="742"/>
      <c r="G231" s="743">
        <f t="shared" si="0"/>
        <v>0</v>
      </c>
      <c r="H231" s="741"/>
      <c r="I231" s="741"/>
      <c r="J231" s="741"/>
      <c r="K231" s="741"/>
      <c r="L231" s="741"/>
      <c r="M231" s="741"/>
      <c r="N231" s="741"/>
      <c r="O231" s="741"/>
      <c r="P231" s="741"/>
      <c r="Q231" s="741"/>
      <c r="R231" s="741"/>
      <c r="S231" s="741"/>
      <c r="T231" s="743">
        <f t="shared" si="1"/>
        <v>0</v>
      </c>
      <c r="U231" s="741"/>
      <c r="V231" s="741"/>
      <c r="W231" s="741"/>
      <c r="X231" s="741"/>
      <c r="Y231" s="741"/>
      <c r="Z231" s="741"/>
      <c r="AA231" s="741"/>
      <c r="AB231" s="741"/>
      <c r="AC231" s="741"/>
      <c r="AD231" s="741"/>
      <c r="AE231" s="741"/>
      <c r="AF231" s="741"/>
      <c r="AG231" s="741"/>
      <c r="AH231" s="743">
        <f t="shared" si="2"/>
        <v>0</v>
      </c>
      <c r="AI231" s="741"/>
      <c r="AJ231" s="741"/>
      <c r="AK231" s="741"/>
      <c r="AL231" s="741"/>
      <c r="AM231" s="741"/>
      <c r="AN231" s="741"/>
      <c r="AO231" s="741"/>
      <c r="AP231" s="741"/>
      <c r="AQ231" s="741"/>
      <c r="AR231" s="741"/>
      <c r="AS231" s="741"/>
      <c r="AT231" s="741"/>
      <c r="AU231" s="743">
        <f t="shared" si="3"/>
        <v>0</v>
      </c>
      <c r="AV231" s="740">
        <f t="shared" si="4"/>
        <v>0</v>
      </c>
    </row>
    <row r="232" spans="1:48" x14ac:dyDescent="0.25">
      <c r="A232" s="735" t="s">
        <v>627</v>
      </c>
      <c r="B232" s="736" t="s">
        <v>654</v>
      </c>
      <c r="C232" s="741"/>
      <c r="D232" s="741"/>
      <c r="E232" s="741"/>
      <c r="F232" s="742"/>
      <c r="G232" s="743">
        <f t="shared" si="0"/>
        <v>0</v>
      </c>
      <c r="H232" s="741"/>
      <c r="I232" s="741"/>
      <c r="J232" s="741"/>
      <c r="K232" s="741"/>
      <c r="L232" s="741"/>
      <c r="M232" s="741"/>
      <c r="N232" s="741"/>
      <c r="O232" s="741"/>
      <c r="P232" s="741"/>
      <c r="Q232" s="741"/>
      <c r="R232" s="741"/>
      <c r="S232" s="741"/>
      <c r="T232" s="743">
        <f t="shared" si="1"/>
        <v>0</v>
      </c>
      <c r="U232" s="741"/>
      <c r="V232" s="741"/>
      <c r="W232" s="741"/>
      <c r="X232" s="741"/>
      <c r="Y232" s="741"/>
      <c r="Z232" s="741"/>
      <c r="AA232" s="741"/>
      <c r="AB232" s="741"/>
      <c r="AC232" s="741"/>
      <c r="AD232" s="741"/>
      <c r="AE232" s="741"/>
      <c r="AF232" s="741"/>
      <c r="AG232" s="741"/>
      <c r="AH232" s="743">
        <f t="shared" si="2"/>
        <v>0</v>
      </c>
      <c r="AI232" s="741"/>
      <c r="AJ232" s="741"/>
      <c r="AK232" s="741"/>
      <c r="AL232" s="741"/>
      <c r="AM232" s="741"/>
      <c r="AN232" s="741"/>
      <c r="AO232" s="741"/>
      <c r="AP232" s="741"/>
      <c r="AQ232" s="741"/>
      <c r="AR232" s="741"/>
      <c r="AS232" s="741"/>
      <c r="AT232" s="741"/>
      <c r="AU232" s="743">
        <f t="shared" si="3"/>
        <v>0</v>
      </c>
      <c r="AV232" s="740">
        <f t="shared" si="4"/>
        <v>0</v>
      </c>
    </row>
    <row r="233" spans="1:48" x14ac:dyDescent="0.25">
      <c r="A233" s="735" t="s">
        <v>657</v>
      </c>
      <c r="B233" s="736" t="s">
        <v>656</v>
      </c>
      <c r="C233" s="741"/>
      <c r="D233" s="741"/>
      <c r="E233" s="741"/>
      <c r="F233" s="742"/>
      <c r="G233" s="743">
        <f t="shared" si="0"/>
        <v>0</v>
      </c>
      <c r="H233" s="741"/>
      <c r="I233" s="741"/>
      <c r="J233" s="741"/>
      <c r="K233" s="741"/>
      <c r="L233" s="741"/>
      <c r="M233" s="741"/>
      <c r="N233" s="741"/>
      <c r="O233" s="741"/>
      <c r="P233" s="741"/>
      <c r="Q233" s="741"/>
      <c r="R233" s="741"/>
      <c r="S233" s="741"/>
      <c r="T233" s="743">
        <f t="shared" si="1"/>
        <v>0</v>
      </c>
      <c r="U233" s="741"/>
      <c r="V233" s="741"/>
      <c r="W233" s="741"/>
      <c r="X233" s="741"/>
      <c r="Y233" s="741"/>
      <c r="Z233" s="741"/>
      <c r="AA233" s="741"/>
      <c r="AB233" s="741"/>
      <c r="AC233" s="741"/>
      <c r="AD233" s="741"/>
      <c r="AE233" s="741"/>
      <c r="AF233" s="741"/>
      <c r="AG233" s="741"/>
      <c r="AH233" s="743">
        <f t="shared" si="2"/>
        <v>0</v>
      </c>
      <c r="AI233" s="741"/>
      <c r="AJ233" s="741"/>
      <c r="AK233" s="741"/>
      <c r="AL233" s="741"/>
      <c r="AM233" s="741"/>
      <c r="AN233" s="741"/>
      <c r="AO233" s="741"/>
      <c r="AP233" s="741"/>
      <c r="AQ233" s="741"/>
      <c r="AR233" s="741"/>
      <c r="AS233" s="741"/>
      <c r="AT233" s="741"/>
      <c r="AU233" s="743">
        <f t="shared" si="3"/>
        <v>0</v>
      </c>
      <c r="AV233" s="740">
        <f t="shared" si="4"/>
        <v>0</v>
      </c>
    </row>
    <row r="234" spans="1:48" x14ac:dyDescent="0.25">
      <c r="A234" s="735" t="s">
        <v>657</v>
      </c>
      <c r="B234" s="736" t="s">
        <v>660</v>
      </c>
      <c r="C234" s="741"/>
      <c r="D234" s="741"/>
      <c r="E234" s="741"/>
      <c r="F234" s="742"/>
      <c r="G234" s="743">
        <f t="shared" si="0"/>
        <v>0</v>
      </c>
      <c r="H234" s="741"/>
      <c r="I234" s="741"/>
      <c r="J234" s="741"/>
      <c r="K234" s="741"/>
      <c r="L234" s="741"/>
      <c r="M234" s="741"/>
      <c r="N234" s="741"/>
      <c r="O234" s="741"/>
      <c r="P234" s="741"/>
      <c r="Q234" s="741"/>
      <c r="R234" s="741"/>
      <c r="S234" s="741"/>
      <c r="T234" s="743">
        <f t="shared" si="1"/>
        <v>0</v>
      </c>
      <c r="U234" s="741"/>
      <c r="V234" s="741"/>
      <c r="W234" s="741"/>
      <c r="X234" s="741"/>
      <c r="Y234" s="741"/>
      <c r="Z234" s="741"/>
      <c r="AA234" s="741"/>
      <c r="AB234" s="741"/>
      <c r="AC234" s="741"/>
      <c r="AD234" s="741"/>
      <c r="AE234" s="741"/>
      <c r="AF234" s="741"/>
      <c r="AG234" s="741"/>
      <c r="AH234" s="743">
        <f t="shared" si="2"/>
        <v>0</v>
      </c>
      <c r="AI234" s="741"/>
      <c r="AJ234" s="741"/>
      <c r="AK234" s="741"/>
      <c r="AL234" s="741"/>
      <c r="AM234" s="741"/>
      <c r="AN234" s="741"/>
      <c r="AO234" s="741"/>
      <c r="AP234" s="741"/>
      <c r="AQ234" s="741"/>
      <c r="AR234" s="741"/>
      <c r="AS234" s="741"/>
      <c r="AT234" s="741"/>
      <c r="AU234" s="743">
        <f t="shared" si="3"/>
        <v>0</v>
      </c>
      <c r="AV234" s="740">
        <f t="shared" si="4"/>
        <v>0</v>
      </c>
    </row>
    <row r="235" spans="1:48" x14ac:dyDescent="0.25">
      <c r="A235" s="744" t="s">
        <v>663</v>
      </c>
      <c r="B235" s="736" t="s">
        <v>658</v>
      </c>
      <c r="C235" s="741"/>
      <c r="D235" s="741"/>
      <c r="E235" s="741"/>
      <c r="F235" s="742"/>
      <c r="G235" s="743">
        <f t="shared" si="0"/>
        <v>0</v>
      </c>
      <c r="H235" s="741"/>
      <c r="I235" s="741"/>
      <c r="J235" s="741"/>
      <c r="K235" s="741"/>
      <c r="L235" s="741"/>
      <c r="M235" s="741"/>
      <c r="N235" s="741"/>
      <c r="O235" s="741"/>
      <c r="P235" s="741"/>
      <c r="Q235" s="741"/>
      <c r="R235" s="741"/>
      <c r="S235" s="741"/>
      <c r="T235" s="743">
        <f t="shared" si="1"/>
        <v>0</v>
      </c>
      <c r="U235" s="741"/>
      <c r="V235" s="741"/>
      <c r="W235" s="741"/>
      <c r="X235" s="741"/>
      <c r="Y235" s="741"/>
      <c r="Z235" s="741"/>
      <c r="AA235" s="741"/>
      <c r="AB235" s="741"/>
      <c r="AC235" s="741"/>
      <c r="AD235" s="741"/>
      <c r="AE235" s="741"/>
      <c r="AF235" s="741"/>
      <c r="AG235" s="741"/>
      <c r="AH235" s="743">
        <f t="shared" si="2"/>
        <v>0</v>
      </c>
      <c r="AI235" s="741"/>
      <c r="AJ235" s="741"/>
      <c r="AK235" s="741"/>
      <c r="AL235" s="741"/>
      <c r="AM235" s="741"/>
      <c r="AN235" s="741"/>
      <c r="AO235" s="741"/>
      <c r="AP235" s="741"/>
      <c r="AQ235" s="741"/>
      <c r="AR235" s="741"/>
      <c r="AS235" s="741"/>
      <c r="AT235" s="741"/>
      <c r="AU235" s="743">
        <f t="shared" si="3"/>
        <v>0</v>
      </c>
      <c r="AV235" s="740">
        <f t="shared" si="4"/>
        <v>0</v>
      </c>
    </row>
    <row r="236" spans="1:48" x14ac:dyDescent="0.25">
      <c r="A236" s="744" t="s">
        <v>663</v>
      </c>
      <c r="B236" s="736" t="s">
        <v>644</v>
      </c>
      <c r="C236" s="741"/>
      <c r="D236" s="741"/>
      <c r="E236" s="741"/>
      <c r="F236" s="742"/>
      <c r="G236" s="743">
        <f t="shared" si="0"/>
        <v>0</v>
      </c>
      <c r="H236" s="741"/>
      <c r="I236" s="741"/>
      <c r="J236" s="741"/>
      <c r="K236" s="741"/>
      <c r="L236" s="741"/>
      <c r="M236" s="741"/>
      <c r="N236" s="741"/>
      <c r="O236" s="741"/>
      <c r="P236" s="741"/>
      <c r="Q236" s="741"/>
      <c r="R236" s="741"/>
      <c r="S236" s="741"/>
      <c r="T236" s="743">
        <f t="shared" si="1"/>
        <v>0</v>
      </c>
      <c r="U236" s="741"/>
      <c r="V236" s="741"/>
      <c r="W236" s="741"/>
      <c r="X236" s="741"/>
      <c r="Y236" s="741"/>
      <c r="Z236" s="741"/>
      <c r="AA236" s="741"/>
      <c r="AB236" s="741"/>
      <c r="AC236" s="741"/>
      <c r="AD236" s="741"/>
      <c r="AE236" s="741"/>
      <c r="AF236" s="741"/>
      <c r="AG236" s="741"/>
      <c r="AH236" s="743">
        <f t="shared" si="2"/>
        <v>0</v>
      </c>
      <c r="AI236" s="741"/>
      <c r="AJ236" s="741"/>
      <c r="AK236" s="741"/>
      <c r="AL236" s="741"/>
      <c r="AM236" s="741"/>
      <c r="AN236" s="741"/>
      <c r="AO236" s="741"/>
      <c r="AP236" s="741"/>
      <c r="AQ236" s="741"/>
      <c r="AR236" s="741"/>
      <c r="AS236" s="741"/>
      <c r="AT236" s="741"/>
      <c r="AU236" s="743">
        <f t="shared" si="3"/>
        <v>0</v>
      </c>
      <c r="AV236" s="740">
        <f t="shared" si="4"/>
        <v>0</v>
      </c>
    </row>
    <row r="237" spans="1:48" x14ac:dyDescent="0.25">
      <c r="A237" s="744" t="s">
        <v>663</v>
      </c>
      <c r="B237" s="736" t="s">
        <v>667</v>
      </c>
      <c r="C237" s="741"/>
      <c r="D237" s="741"/>
      <c r="E237" s="741"/>
      <c r="F237" s="742"/>
      <c r="G237" s="743">
        <f t="shared" si="0"/>
        <v>0</v>
      </c>
      <c r="H237" s="741"/>
      <c r="I237" s="741"/>
      <c r="J237" s="741"/>
      <c r="K237" s="741"/>
      <c r="L237" s="741"/>
      <c r="M237" s="741"/>
      <c r="N237" s="741"/>
      <c r="O237" s="741"/>
      <c r="P237" s="741"/>
      <c r="Q237" s="741"/>
      <c r="R237" s="741"/>
      <c r="S237" s="741"/>
      <c r="T237" s="743">
        <f t="shared" si="1"/>
        <v>0</v>
      </c>
      <c r="U237" s="741"/>
      <c r="V237" s="741"/>
      <c r="W237" s="741"/>
      <c r="X237" s="741"/>
      <c r="Y237" s="741"/>
      <c r="Z237" s="741"/>
      <c r="AA237" s="741"/>
      <c r="AB237" s="741"/>
      <c r="AC237" s="741"/>
      <c r="AD237" s="741"/>
      <c r="AE237" s="741"/>
      <c r="AF237" s="741"/>
      <c r="AG237" s="741"/>
      <c r="AH237" s="743">
        <f t="shared" si="2"/>
        <v>0</v>
      </c>
      <c r="AI237" s="741"/>
      <c r="AJ237" s="741"/>
      <c r="AK237" s="741"/>
      <c r="AL237" s="741"/>
      <c r="AM237" s="741"/>
      <c r="AN237" s="741"/>
      <c r="AO237" s="741"/>
      <c r="AP237" s="741"/>
      <c r="AQ237" s="741"/>
      <c r="AR237" s="741"/>
      <c r="AS237" s="741"/>
      <c r="AT237" s="741"/>
      <c r="AU237" s="743">
        <f t="shared" si="3"/>
        <v>0</v>
      </c>
      <c r="AV237" s="740">
        <f t="shared" si="4"/>
        <v>0</v>
      </c>
    </row>
    <row r="238" spans="1:48" x14ac:dyDescent="0.25">
      <c r="A238" s="735" t="s">
        <v>663</v>
      </c>
      <c r="B238" s="736" t="s">
        <v>669</v>
      </c>
      <c r="C238" s="741"/>
      <c r="D238" s="741"/>
      <c r="E238" s="741"/>
      <c r="F238" s="742"/>
      <c r="G238" s="743">
        <f t="shared" si="0"/>
        <v>0</v>
      </c>
      <c r="H238" s="741"/>
      <c r="I238" s="741"/>
      <c r="J238" s="741"/>
      <c r="K238" s="741"/>
      <c r="L238" s="741"/>
      <c r="M238" s="741"/>
      <c r="N238" s="741"/>
      <c r="O238" s="741"/>
      <c r="P238" s="741"/>
      <c r="Q238" s="741"/>
      <c r="R238" s="741"/>
      <c r="S238" s="741"/>
      <c r="T238" s="743">
        <f t="shared" si="1"/>
        <v>0</v>
      </c>
      <c r="U238" s="741"/>
      <c r="V238" s="741"/>
      <c r="W238" s="741"/>
      <c r="X238" s="741"/>
      <c r="Y238" s="741"/>
      <c r="Z238" s="741"/>
      <c r="AA238" s="741"/>
      <c r="AB238" s="741"/>
      <c r="AC238" s="741"/>
      <c r="AD238" s="741"/>
      <c r="AE238" s="741"/>
      <c r="AF238" s="741"/>
      <c r="AG238" s="741"/>
      <c r="AH238" s="743">
        <f t="shared" si="2"/>
        <v>0</v>
      </c>
      <c r="AI238" s="741"/>
      <c r="AJ238" s="741"/>
      <c r="AK238" s="741"/>
      <c r="AL238" s="741"/>
      <c r="AM238" s="741"/>
      <c r="AN238" s="741"/>
      <c r="AO238" s="741"/>
      <c r="AP238" s="741"/>
      <c r="AQ238" s="741"/>
      <c r="AR238" s="741"/>
      <c r="AS238" s="741"/>
      <c r="AT238" s="741"/>
      <c r="AU238" s="743">
        <f t="shared" si="3"/>
        <v>0</v>
      </c>
      <c r="AV238" s="740">
        <f t="shared" si="4"/>
        <v>0</v>
      </c>
    </row>
    <row r="239" spans="1:48" x14ac:dyDescent="0.25">
      <c r="A239" s="735" t="s">
        <v>663</v>
      </c>
      <c r="B239" s="736" t="s">
        <v>671</v>
      </c>
      <c r="C239" s="741"/>
      <c r="D239" s="741"/>
      <c r="E239" s="741"/>
      <c r="F239" s="742"/>
      <c r="G239" s="743">
        <f t="shared" si="0"/>
        <v>0</v>
      </c>
      <c r="H239" s="741"/>
      <c r="I239" s="741"/>
      <c r="J239" s="741"/>
      <c r="K239" s="741"/>
      <c r="L239" s="741"/>
      <c r="M239" s="741"/>
      <c r="N239" s="741"/>
      <c r="O239" s="741"/>
      <c r="P239" s="741"/>
      <c r="Q239" s="741"/>
      <c r="R239" s="741"/>
      <c r="S239" s="741"/>
      <c r="T239" s="743">
        <f t="shared" si="1"/>
        <v>0</v>
      </c>
      <c r="U239" s="741"/>
      <c r="V239" s="741"/>
      <c r="W239" s="741"/>
      <c r="X239" s="741"/>
      <c r="Y239" s="741"/>
      <c r="Z239" s="741"/>
      <c r="AA239" s="741"/>
      <c r="AB239" s="741"/>
      <c r="AC239" s="741"/>
      <c r="AD239" s="741"/>
      <c r="AE239" s="741"/>
      <c r="AF239" s="741"/>
      <c r="AG239" s="741"/>
      <c r="AH239" s="743">
        <f t="shared" si="2"/>
        <v>0</v>
      </c>
      <c r="AI239" s="741"/>
      <c r="AJ239" s="741"/>
      <c r="AK239" s="741"/>
      <c r="AL239" s="741"/>
      <c r="AM239" s="741"/>
      <c r="AN239" s="741"/>
      <c r="AO239" s="741"/>
      <c r="AP239" s="741"/>
      <c r="AQ239" s="741"/>
      <c r="AR239" s="741"/>
      <c r="AS239" s="741"/>
      <c r="AT239" s="741"/>
      <c r="AU239" s="743">
        <f t="shared" si="3"/>
        <v>0</v>
      </c>
      <c r="AV239" s="740">
        <f t="shared" si="4"/>
        <v>0</v>
      </c>
    </row>
    <row r="240" spans="1:48" x14ac:dyDescent="0.25">
      <c r="A240" s="735" t="s">
        <v>663</v>
      </c>
      <c r="B240" s="736" t="s">
        <v>673</v>
      </c>
      <c r="C240" s="741"/>
      <c r="D240" s="741"/>
      <c r="E240" s="741"/>
      <c r="F240" s="742"/>
      <c r="G240" s="743">
        <f t="shared" si="0"/>
        <v>0</v>
      </c>
      <c r="H240" s="741"/>
      <c r="I240" s="741"/>
      <c r="J240" s="741"/>
      <c r="K240" s="741"/>
      <c r="L240" s="741"/>
      <c r="M240" s="741"/>
      <c r="N240" s="741"/>
      <c r="O240" s="741"/>
      <c r="P240" s="741"/>
      <c r="Q240" s="741"/>
      <c r="R240" s="741"/>
      <c r="S240" s="741"/>
      <c r="T240" s="743">
        <f t="shared" si="1"/>
        <v>0</v>
      </c>
      <c r="U240" s="741"/>
      <c r="V240" s="741"/>
      <c r="W240" s="741"/>
      <c r="X240" s="741"/>
      <c r="Y240" s="741"/>
      <c r="Z240" s="741"/>
      <c r="AA240" s="741"/>
      <c r="AB240" s="741"/>
      <c r="AC240" s="741"/>
      <c r="AD240" s="741"/>
      <c r="AE240" s="741"/>
      <c r="AF240" s="741"/>
      <c r="AG240" s="741"/>
      <c r="AH240" s="743">
        <f t="shared" si="2"/>
        <v>0</v>
      </c>
      <c r="AI240" s="741"/>
      <c r="AJ240" s="741"/>
      <c r="AK240" s="741"/>
      <c r="AL240" s="741"/>
      <c r="AM240" s="741"/>
      <c r="AN240" s="741"/>
      <c r="AO240" s="741"/>
      <c r="AP240" s="741"/>
      <c r="AQ240" s="741"/>
      <c r="AR240" s="741"/>
      <c r="AS240" s="741"/>
      <c r="AT240" s="741"/>
      <c r="AU240" s="743">
        <f t="shared" si="3"/>
        <v>0</v>
      </c>
      <c r="AV240" s="740">
        <f t="shared" si="4"/>
        <v>0</v>
      </c>
    </row>
    <row r="241" spans="1:48" x14ac:dyDescent="0.25">
      <c r="A241" s="744" t="s">
        <v>663</v>
      </c>
      <c r="B241" s="736" t="s">
        <v>675</v>
      </c>
      <c r="C241" s="741"/>
      <c r="D241" s="741"/>
      <c r="E241" s="741"/>
      <c r="F241" s="742"/>
      <c r="G241" s="743">
        <f t="shared" si="0"/>
        <v>0</v>
      </c>
      <c r="H241" s="741"/>
      <c r="I241" s="741"/>
      <c r="J241" s="741"/>
      <c r="K241" s="741"/>
      <c r="L241" s="741"/>
      <c r="M241" s="741"/>
      <c r="N241" s="741"/>
      <c r="O241" s="741"/>
      <c r="P241" s="741"/>
      <c r="Q241" s="741"/>
      <c r="R241" s="741"/>
      <c r="S241" s="741"/>
      <c r="T241" s="743">
        <f t="shared" si="1"/>
        <v>0</v>
      </c>
      <c r="U241" s="741"/>
      <c r="V241" s="741"/>
      <c r="W241" s="741"/>
      <c r="X241" s="741"/>
      <c r="Y241" s="741"/>
      <c r="Z241" s="741"/>
      <c r="AA241" s="741"/>
      <c r="AB241" s="741"/>
      <c r="AC241" s="741"/>
      <c r="AD241" s="741"/>
      <c r="AE241" s="741"/>
      <c r="AF241" s="741"/>
      <c r="AG241" s="741"/>
      <c r="AH241" s="743">
        <f t="shared" si="2"/>
        <v>0</v>
      </c>
      <c r="AI241" s="741"/>
      <c r="AJ241" s="741"/>
      <c r="AK241" s="741"/>
      <c r="AL241" s="741"/>
      <c r="AM241" s="741"/>
      <c r="AN241" s="741"/>
      <c r="AO241" s="741"/>
      <c r="AP241" s="741"/>
      <c r="AQ241" s="741"/>
      <c r="AR241" s="741"/>
      <c r="AS241" s="741"/>
      <c r="AT241" s="741"/>
      <c r="AU241" s="743">
        <f t="shared" si="3"/>
        <v>0</v>
      </c>
      <c r="AV241" s="740">
        <f t="shared" si="4"/>
        <v>0</v>
      </c>
    </row>
    <row r="242" spans="1:48" x14ac:dyDescent="0.25">
      <c r="A242" s="735" t="s">
        <v>663</v>
      </c>
      <c r="B242" s="736" t="s">
        <v>662</v>
      </c>
      <c r="C242" s="741"/>
      <c r="D242" s="741"/>
      <c r="E242" s="741"/>
      <c r="F242" s="742"/>
      <c r="G242" s="743">
        <f t="shared" si="0"/>
        <v>0</v>
      </c>
      <c r="H242" s="741"/>
      <c r="I242" s="741"/>
      <c r="J242" s="741"/>
      <c r="K242" s="741"/>
      <c r="L242" s="741"/>
      <c r="M242" s="741"/>
      <c r="N242" s="741"/>
      <c r="O242" s="741"/>
      <c r="P242" s="741"/>
      <c r="Q242" s="741"/>
      <c r="R242" s="741"/>
      <c r="S242" s="741"/>
      <c r="T242" s="743">
        <f t="shared" si="1"/>
        <v>0</v>
      </c>
      <c r="U242" s="741"/>
      <c r="V242" s="741"/>
      <c r="W242" s="741"/>
      <c r="X242" s="741"/>
      <c r="Y242" s="741"/>
      <c r="Z242" s="741"/>
      <c r="AA242" s="741"/>
      <c r="AB242" s="741"/>
      <c r="AC242" s="741"/>
      <c r="AD242" s="741"/>
      <c r="AE242" s="741"/>
      <c r="AF242" s="741"/>
      <c r="AG242" s="741"/>
      <c r="AH242" s="743">
        <f t="shared" si="2"/>
        <v>0</v>
      </c>
      <c r="AI242" s="741"/>
      <c r="AJ242" s="741"/>
      <c r="AK242" s="741"/>
      <c r="AL242" s="741"/>
      <c r="AM242" s="741"/>
      <c r="AN242" s="741"/>
      <c r="AO242" s="741"/>
      <c r="AP242" s="741"/>
      <c r="AQ242" s="741"/>
      <c r="AR242" s="741"/>
      <c r="AS242" s="741"/>
      <c r="AT242" s="741"/>
      <c r="AU242" s="743">
        <f t="shared" si="3"/>
        <v>0</v>
      </c>
      <c r="AV242" s="740">
        <f t="shared" si="4"/>
        <v>0</v>
      </c>
    </row>
    <row r="243" spans="1:48" x14ac:dyDescent="0.25">
      <c r="A243" s="735" t="s">
        <v>663</v>
      </c>
      <c r="B243" s="736" t="s">
        <v>677</v>
      </c>
      <c r="C243" s="741"/>
      <c r="D243" s="741"/>
      <c r="E243" s="741"/>
      <c r="F243" s="742"/>
      <c r="G243" s="743">
        <f t="shared" si="0"/>
        <v>0</v>
      </c>
      <c r="H243" s="741"/>
      <c r="I243" s="741"/>
      <c r="J243" s="741"/>
      <c r="K243" s="741"/>
      <c r="L243" s="741"/>
      <c r="M243" s="741"/>
      <c r="N243" s="741"/>
      <c r="O243" s="741"/>
      <c r="P243" s="741"/>
      <c r="Q243" s="741"/>
      <c r="R243" s="741"/>
      <c r="S243" s="741"/>
      <c r="T243" s="743">
        <f t="shared" si="1"/>
        <v>0</v>
      </c>
      <c r="U243" s="741"/>
      <c r="V243" s="741"/>
      <c r="W243" s="741"/>
      <c r="X243" s="741"/>
      <c r="Y243" s="741"/>
      <c r="Z243" s="741"/>
      <c r="AA243" s="741"/>
      <c r="AB243" s="741"/>
      <c r="AC243" s="741"/>
      <c r="AD243" s="741"/>
      <c r="AE243" s="741"/>
      <c r="AF243" s="741"/>
      <c r="AG243" s="741"/>
      <c r="AH243" s="743">
        <f t="shared" si="2"/>
        <v>0</v>
      </c>
      <c r="AI243" s="741"/>
      <c r="AJ243" s="741"/>
      <c r="AK243" s="741"/>
      <c r="AL243" s="741"/>
      <c r="AM243" s="741"/>
      <c r="AN243" s="741"/>
      <c r="AO243" s="741"/>
      <c r="AP243" s="741"/>
      <c r="AQ243" s="741"/>
      <c r="AR243" s="741"/>
      <c r="AS243" s="741"/>
      <c r="AT243" s="741"/>
      <c r="AU243" s="743">
        <f t="shared" si="3"/>
        <v>0</v>
      </c>
      <c r="AV243" s="740">
        <f t="shared" si="4"/>
        <v>0</v>
      </c>
    </row>
    <row r="244" spans="1:48" x14ac:dyDescent="0.25">
      <c r="A244" s="735" t="s">
        <v>680</v>
      </c>
      <c r="B244" s="736" t="s">
        <v>679</v>
      </c>
      <c r="C244" s="741"/>
      <c r="D244" s="741"/>
      <c r="E244" s="741"/>
      <c r="F244" s="742"/>
      <c r="G244" s="743">
        <f t="shared" si="0"/>
        <v>0</v>
      </c>
      <c r="H244" s="741"/>
      <c r="I244" s="741"/>
      <c r="J244" s="741"/>
      <c r="K244" s="741"/>
      <c r="L244" s="741"/>
      <c r="M244" s="741"/>
      <c r="N244" s="741"/>
      <c r="O244" s="741"/>
      <c r="P244" s="741"/>
      <c r="Q244" s="741"/>
      <c r="R244" s="741"/>
      <c r="S244" s="741"/>
      <c r="T244" s="743">
        <f t="shared" si="1"/>
        <v>0</v>
      </c>
      <c r="U244" s="741"/>
      <c r="V244" s="741"/>
      <c r="W244" s="741"/>
      <c r="X244" s="741"/>
      <c r="Y244" s="741"/>
      <c r="Z244" s="741"/>
      <c r="AA244" s="741"/>
      <c r="AB244" s="741"/>
      <c r="AC244" s="741"/>
      <c r="AD244" s="741"/>
      <c r="AE244" s="741"/>
      <c r="AF244" s="741"/>
      <c r="AG244" s="741"/>
      <c r="AH244" s="743">
        <f t="shared" si="2"/>
        <v>0</v>
      </c>
      <c r="AI244" s="741"/>
      <c r="AJ244" s="741"/>
      <c r="AK244" s="741"/>
      <c r="AL244" s="741"/>
      <c r="AM244" s="741"/>
      <c r="AN244" s="741"/>
      <c r="AO244" s="741"/>
      <c r="AP244" s="741"/>
      <c r="AQ244" s="741"/>
      <c r="AR244" s="741"/>
      <c r="AS244" s="741"/>
      <c r="AT244" s="741"/>
      <c r="AU244" s="743">
        <f t="shared" si="3"/>
        <v>0</v>
      </c>
      <c r="AV244" s="740">
        <f t="shared" si="4"/>
        <v>0</v>
      </c>
    </row>
    <row r="245" spans="1:48" x14ac:dyDescent="0.25">
      <c r="A245" s="735" t="s">
        <v>680</v>
      </c>
      <c r="B245" s="736" t="s">
        <v>628</v>
      </c>
      <c r="C245" s="741"/>
      <c r="D245" s="741"/>
      <c r="E245" s="741"/>
      <c r="F245" s="742"/>
      <c r="G245" s="743">
        <f t="shared" si="0"/>
        <v>0</v>
      </c>
      <c r="H245" s="741"/>
      <c r="I245" s="741"/>
      <c r="J245" s="741"/>
      <c r="K245" s="741"/>
      <c r="L245" s="741"/>
      <c r="M245" s="741"/>
      <c r="N245" s="741"/>
      <c r="O245" s="741"/>
      <c r="P245" s="741"/>
      <c r="Q245" s="741"/>
      <c r="R245" s="741"/>
      <c r="S245" s="741"/>
      <c r="T245" s="743">
        <f t="shared" si="1"/>
        <v>0</v>
      </c>
      <c r="U245" s="741"/>
      <c r="V245" s="741"/>
      <c r="W245" s="741"/>
      <c r="X245" s="741"/>
      <c r="Y245" s="741"/>
      <c r="Z245" s="741"/>
      <c r="AA245" s="741"/>
      <c r="AB245" s="741"/>
      <c r="AC245" s="741"/>
      <c r="AD245" s="741"/>
      <c r="AE245" s="741"/>
      <c r="AF245" s="741"/>
      <c r="AG245" s="741"/>
      <c r="AH245" s="743">
        <f t="shared" si="2"/>
        <v>0</v>
      </c>
      <c r="AI245" s="741"/>
      <c r="AJ245" s="741"/>
      <c r="AK245" s="741"/>
      <c r="AL245" s="741"/>
      <c r="AM245" s="741"/>
      <c r="AN245" s="741"/>
      <c r="AO245" s="741"/>
      <c r="AP245" s="741"/>
      <c r="AQ245" s="741"/>
      <c r="AR245" s="741"/>
      <c r="AS245" s="741"/>
      <c r="AT245" s="741"/>
      <c r="AU245" s="743">
        <f t="shared" si="3"/>
        <v>0</v>
      </c>
      <c r="AV245" s="740">
        <f t="shared" si="4"/>
        <v>0</v>
      </c>
    </row>
    <row r="246" spans="1:48" x14ac:dyDescent="0.25">
      <c r="A246" s="735" t="s">
        <v>680</v>
      </c>
      <c r="B246" s="736" t="s">
        <v>683</v>
      </c>
      <c r="C246" s="741"/>
      <c r="D246" s="741"/>
      <c r="E246" s="741"/>
      <c r="F246" s="742"/>
      <c r="G246" s="743">
        <f t="shared" si="0"/>
        <v>0</v>
      </c>
      <c r="H246" s="741"/>
      <c r="I246" s="741"/>
      <c r="J246" s="741"/>
      <c r="K246" s="741"/>
      <c r="L246" s="741"/>
      <c r="M246" s="741"/>
      <c r="N246" s="741"/>
      <c r="O246" s="741"/>
      <c r="P246" s="741"/>
      <c r="Q246" s="741"/>
      <c r="R246" s="741"/>
      <c r="S246" s="741"/>
      <c r="T246" s="743">
        <f t="shared" si="1"/>
        <v>0</v>
      </c>
      <c r="U246" s="741"/>
      <c r="V246" s="741"/>
      <c r="W246" s="741"/>
      <c r="X246" s="741"/>
      <c r="Y246" s="741"/>
      <c r="Z246" s="741"/>
      <c r="AA246" s="741"/>
      <c r="AB246" s="741"/>
      <c r="AC246" s="741"/>
      <c r="AD246" s="741"/>
      <c r="AE246" s="741"/>
      <c r="AF246" s="741"/>
      <c r="AG246" s="741"/>
      <c r="AH246" s="743">
        <f t="shared" si="2"/>
        <v>0</v>
      </c>
      <c r="AI246" s="741"/>
      <c r="AJ246" s="741"/>
      <c r="AK246" s="741"/>
      <c r="AL246" s="741"/>
      <c r="AM246" s="741"/>
      <c r="AN246" s="741"/>
      <c r="AO246" s="741"/>
      <c r="AP246" s="741"/>
      <c r="AQ246" s="741"/>
      <c r="AR246" s="741"/>
      <c r="AS246" s="741"/>
      <c r="AT246" s="741"/>
      <c r="AU246" s="743">
        <f t="shared" si="3"/>
        <v>0</v>
      </c>
      <c r="AV246" s="740">
        <f t="shared" si="4"/>
        <v>0</v>
      </c>
    </row>
    <row r="247" spans="1:48" x14ac:dyDescent="0.25">
      <c r="A247" s="735" t="s">
        <v>680</v>
      </c>
      <c r="B247" s="736" t="s">
        <v>685</v>
      </c>
      <c r="C247" s="741"/>
      <c r="D247" s="741"/>
      <c r="E247" s="741"/>
      <c r="F247" s="742"/>
      <c r="G247" s="743">
        <f t="shared" si="0"/>
        <v>0</v>
      </c>
      <c r="H247" s="741"/>
      <c r="I247" s="741"/>
      <c r="J247" s="741"/>
      <c r="K247" s="741"/>
      <c r="L247" s="741"/>
      <c r="M247" s="741"/>
      <c r="N247" s="741"/>
      <c r="O247" s="741"/>
      <c r="P247" s="741"/>
      <c r="Q247" s="741"/>
      <c r="R247" s="741"/>
      <c r="S247" s="741"/>
      <c r="T247" s="743">
        <f t="shared" si="1"/>
        <v>0</v>
      </c>
      <c r="U247" s="741"/>
      <c r="V247" s="741"/>
      <c r="W247" s="741"/>
      <c r="X247" s="741"/>
      <c r="Y247" s="741"/>
      <c r="Z247" s="741"/>
      <c r="AA247" s="741"/>
      <c r="AB247" s="741"/>
      <c r="AC247" s="741"/>
      <c r="AD247" s="741"/>
      <c r="AE247" s="741"/>
      <c r="AF247" s="741"/>
      <c r="AG247" s="741"/>
      <c r="AH247" s="743">
        <f t="shared" si="2"/>
        <v>0</v>
      </c>
      <c r="AI247" s="741"/>
      <c r="AJ247" s="741"/>
      <c r="AK247" s="741"/>
      <c r="AL247" s="741"/>
      <c r="AM247" s="741"/>
      <c r="AN247" s="741"/>
      <c r="AO247" s="741"/>
      <c r="AP247" s="741"/>
      <c r="AQ247" s="741"/>
      <c r="AR247" s="741"/>
      <c r="AS247" s="741"/>
      <c r="AT247" s="741"/>
      <c r="AU247" s="743">
        <f t="shared" si="3"/>
        <v>0</v>
      </c>
      <c r="AV247" s="740">
        <f t="shared" si="4"/>
        <v>0</v>
      </c>
    </row>
    <row r="248" spans="1:48" x14ac:dyDescent="0.25">
      <c r="A248" s="735" t="s">
        <v>680</v>
      </c>
      <c r="B248" s="736" t="s">
        <v>641</v>
      </c>
      <c r="C248" s="741"/>
      <c r="D248" s="741"/>
      <c r="E248" s="741"/>
      <c r="F248" s="742"/>
      <c r="G248" s="743">
        <f t="shared" si="0"/>
        <v>0</v>
      </c>
      <c r="H248" s="741"/>
      <c r="I248" s="741"/>
      <c r="J248" s="741"/>
      <c r="K248" s="741"/>
      <c r="L248" s="741"/>
      <c r="M248" s="741"/>
      <c r="N248" s="741"/>
      <c r="O248" s="741"/>
      <c r="P248" s="741"/>
      <c r="Q248" s="741"/>
      <c r="R248" s="741"/>
      <c r="S248" s="741"/>
      <c r="T248" s="743">
        <f t="shared" si="1"/>
        <v>0</v>
      </c>
      <c r="U248" s="741"/>
      <c r="V248" s="741"/>
      <c r="W248" s="741"/>
      <c r="X248" s="741"/>
      <c r="Y248" s="741"/>
      <c r="Z248" s="741"/>
      <c r="AA248" s="741"/>
      <c r="AB248" s="741"/>
      <c r="AC248" s="741"/>
      <c r="AD248" s="741"/>
      <c r="AE248" s="741"/>
      <c r="AF248" s="741"/>
      <c r="AG248" s="741"/>
      <c r="AH248" s="743">
        <f t="shared" si="2"/>
        <v>0</v>
      </c>
      <c r="AI248" s="741"/>
      <c r="AJ248" s="741"/>
      <c r="AK248" s="741"/>
      <c r="AL248" s="741"/>
      <c r="AM248" s="741"/>
      <c r="AN248" s="741"/>
      <c r="AO248" s="741"/>
      <c r="AP248" s="741"/>
      <c r="AQ248" s="741"/>
      <c r="AR248" s="741"/>
      <c r="AS248" s="741"/>
      <c r="AT248" s="741"/>
      <c r="AU248" s="743">
        <f t="shared" si="3"/>
        <v>0</v>
      </c>
      <c r="AV248" s="740">
        <f t="shared" si="4"/>
        <v>0</v>
      </c>
    </row>
    <row r="249" spans="1:48" x14ac:dyDescent="0.25">
      <c r="A249" s="735" t="s">
        <v>680</v>
      </c>
      <c r="B249" s="736" t="s">
        <v>688</v>
      </c>
      <c r="C249" s="741"/>
      <c r="D249" s="741"/>
      <c r="E249" s="741"/>
      <c r="F249" s="742"/>
      <c r="G249" s="743">
        <f t="shared" si="0"/>
        <v>0</v>
      </c>
      <c r="H249" s="741"/>
      <c r="I249" s="741"/>
      <c r="J249" s="741"/>
      <c r="K249" s="741"/>
      <c r="L249" s="741"/>
      <c r="M249" s="741"/>
      <c r="N249" s="741"/>
      <c r="O249" s="741"/>
      <c r="P249" s="741"/>
      <c r="Q249" s="741"/>
      <c r="R249" s="741"/>
      <c r="S249" s="741"/>
      <c r="T249" s="743">
        <f t="shared" si="1"/>
        <v>0</v>
      </c>
      <c r="U249" s="741"/>
      <c r="V249" s="741"/>
      <c r="W249" s="741"/>
      <c r="X249" s="741"/>
      <c r="Y249" s="741"/>
      <c r="Z249" s="741"/>
      <c r="AA249" s="741"/>
      <c r="AB249" s="741"/>
      <c r="AC249" s="741"/>
      <c r="AD249" s="741"/>
      <c r="AE249" s="741"/>
      <c r="AF249" s="741"/>
      <c r="AG249" s="741"/>
      <c r="AH249" s="743">
        <f t="shared" si="2"/>
        <v>0</v>
      </c>
      <c r="AI249" s="741"/>
      <c r="AJ249" s="741"/>
      <c r="AK249" s="741"/>
      <c r="AL249" s="741"/>
      <c r="AM249" s="741"/>
      <c r="AN249" s="741"/>
      <c r="AO249" s="741"/>
      <c r="AP249" s="741"/>
      <c r="AQ249" s="741"/>
      <c r="AR249" s="741"/>
      <c r="AS249" s="741"/>
      <c r="AT249" s="741"/>
      <c r="AU249" s="743">
        <f t="shared" si="3"/>
        <v>0</v>
      </c>
      <c r="AV249" s="740">
        <f t="shared" si="4"/>
        <v>0</v>
      </c>
    </row>
    <row r="250" spans="1:48" x14ac:dyDescent="0.25">
      <c r="A250" s="735" t="s">
        <v>680</v>
      </c>
      <c r="B250" s="736" t="s">
        <v>690</v>
      </c>
      <c r="C250" s="741"/>
      <c r="D250" s="741"/>
      <c r="E250" s="741"/>
      <c r="F250" s="742"/>
      <c r="G250" s="743">
        <f t="shared" si="0"/>
        <v>0</v>
      </c>
      <c r="H250" s="741"/>
      <c r="I250" s="741"/>
      <c r="J250" s="741"/>
      <c r="K250" s="741"/>
      <c r="L250" s="741"/>
      <c r="M250" s="741"/>
      <c r="N250" s="741"/>
      <c r="O250" s="741"/>
      <c r="P250" s="741"/>
      <c r="Q250" s="741"/>
      <c r="R250" s="741"/>
      <c r="S250" s="741"/>
      <c r="T250" s="743">
        <f t="shared" si="1"/>
        <v>0</v>
      </c>
      <c r="U250" s="741"/>
      <c r="V250" s="741"/>
      <c r="W250" s="741"/>
      <c r="X250" s="741"/>
      <c r="Y250" s="741"/>
      <c r="Z250" s="741"/>
      <c r="AA250" s="741"/>
      <c r="AB250" s="741"/>
      <c r="AC250" s="741"/>
      <c r="AD250" s="741"/>
      <c r="AE250" s="741"/>
      <c r="AF250" s="741"/>
      <c r="AG250" s="741"/>
      <c r="AH250" s="743">
        <f t="shared" si="2"/>
        <v>0</v>
      </c>
      <c r="AI250" s="741"/>
      <c r="AJ250" s="741"/>
      <c r="AK250" s="741"/>
      <c r="AL250" s="741"/>
      <c r="AM250" s="741"/>
      <c r="AN250" s="741"/>
      <c r="AO250" s="741"/>
      <c r="AP250" s="741"/>
      <c r="AQ250" s="741"/>
      <c r="AR250" s="741"/>
      <c r="AS250" s="741"/>
      <c r="AT250" s="741"/>
      <c r="AU250" s="743">
        <f t="shared" si="3"/>
        <v>0</v>
      </c>
      <c r="AV250" s="740">
        <f t="shared" si="4"/>
        <v>0</v>
      </c>
    </row>
    <row r="251" spans="1:48" x14ac:dyDescent="0.25">
      <c r="A251" s="735" t="s">
        <v>692</v>
      </c>
      <c r="B251" s="736" t="s">
        <v>692</v>
      </c>
      <c r="C251" s="741"/>
      <c r="D251" s="741"/>
      <c r="E251" s="741"/>
      <c r="F251" s="742"/>
      <c r="G251" s="743">
        <f t="shared" si="0"/>
        <v>0</v>
      </c>
      <c r="H251" s="741"/>
      <c r="I251" s="741"/>
      <c r="J251" s="741"/>
      <c r="K251" s="741"/>
      <c r="L251" s="741"/>
      <c r="M251" s="741"/>
      <c r="N251" s="741"/>
      <c r="O251" s="741"/>
      <c r="P251" s="741"/>
      <c r="Q251" s="741"/>
      <c r="R251" s="741"/>
      <c r="S251" s="741"/>
      <c r="T251" s="743">
        <f t="shared" si="1"/>
        <v>0</v>
      </c>
      <c r="U251" s="741"/>
      <c r="V251" s="741"/>
      <c r="W251" s="741"/>
      <c r="X251" s="741"/>
      <c r="Y251" s="741"/>
      <c r="Z251" s="741"/>
      <c r="AA251" s="741"/>
      <c r="AB251" s="741"/>
      <c r="AC251" s="741"/>
      <c r="AD251" s="741"/>
      <c r="AE251" s="741"/>
      <c r="AF251" s="741"/>
      <c r="AG251" s="741"/>
      <c r="AH251" s="743">
        <f t="shared" si="2"/>
        <v>0</v>
      </c>
      <c r="AI251" s="741"/>
      <c r="AJ251" s="741"/>
      <c r="AK251" s="741"/>
      <c r="AL251" s="741"/>
      <c r="AM251" s="741"/>
      <c r="AN251" s="741"/>
      <c r="AO251" s="741"/>
      <c r="AP251" s="741"/>
      <c r="AQ251" s="741"/>
      <c r="AR251" s="741"/>
      <c r="AS251" s="741"/>
      <c r="AT251" s="741"/>
      <c r="AU251" s="743">
        <f t="shared" si="3"/>
        <v>0</v>
      </c>
      <c r="AV251" s="740">
        <f t="shared" si="4"/>
        <v>0</v>
      </c>
    </row>
    <row r="252" spans="1:48" x14ac:dyDescent="0.25">
      <c r="A252" s="735" t="s">
        <v>631</v>
      </c>
      <c r="B252" s="736" t="s">
        <v>631</v>
      </c>
      <c r="C252" s="741"/>
      <c r="D252" s="741"/>
      <c r="E252" s="741"/>
      <c r="F252" s="742"/>
      <c r="G252" s="743">
        <f t="shared" si="0"/>
        <v>0</v>
      </c>
      <c r="H252" s="741"/>
      <c r="I252" s="741"/>
      <c r="J252" s="741"/>
      <c r="K252" s="741"/>
      <c r="L252" s="741"/>
      <c r="M252" s="741"/>
      <c r="N252" s="741"/>
      <c r="O252" s="741"/>
      <c r="P252" s="741"/>
      <c r="Q252" s="741"/>
      <c r="R252" s="741"/>
      <c r="S252" s="741"/>
      <c r="T252" s="743">
        <f t="shared" si="1"/>
        <v>0</v>
      </c>
      <c r="U252" s="741"/>
      <c r="V252" s="741"/>
      <c r="W252" s="741"/>
      <c r="X252" s="741"/>
      <c r="Y252" s="741"/>
      <c r="Z252" s="741"/>
      <c r="AA252" s="741"/>
      <c r="AB252" s="741"/>
      <c r="AC252" s="741"/>
      <c r="AD252" s="741"/>
      <c r="AE252" s="741"/>
      <c r="AF252" s="741"/>
      <c r="AG252" s="741"/>
      <c r="AH252" s="743">
        <f t="shared" si="2"/>
        <v>0</v>
      </c>
      <c r="AI252" s="741"/>
      <c r="AJ252" s="741"/>
      <c r="AK252" s="741"/>
      <c r="AL252" s="741"/>
      <c r="AM252" s="741"/>
      <c r="AN252" s="741"/>
      <c r="AO252" s="741"/>
      <c r="AP252" s="741"/>
      <c r="AQ252" s="741"/>
      <c r="AR252" s="741"/>
      <c r="AS252" s="741"/>
      <c r="AT252" s="741"/>
      <c r="AU252" s="743">
        <f t="shared" si="3"/>
        <v>0</v>
      </c>
      <c r="AV252" s="740">
        <f t="shared" si="4"/>
        <v>0</v>
      </c>
    </row>
    <row r="253" spans="1:48" ht="15.75" thickBot="1" x14ac:dyDescent="0.3">
      <c r="A253" s="745" t="s">
        <v>646</v>
      </c>
      <c r="B253" s="746" t="s">
        <v>646</v>
      </c>
      <c r="C253" s="747"/>
      <c r="D253" s="747"/>
      <c r="E253" s="747"/>
      <c r="F253" s="748"/>
      <c r="G253" s="749">
        <f t="shared" si="0"/>
        <v>0</v>
      </c>
      <c r="H253" s="747"/>
      <c r="I253" s="747"/>
      <c r="J253" s="747"/>
      <c r="K253" s="747"/>
      <c r="L253" s="747"/>
      <c r="M253" s="747"/>
      <c r="N253" s="747"/>
      <c r="O253" s="747"/>
      <c r="P253" s="747"/>
      <c r="Q253" s="747"/>
      <c r="R253" s="747"/>
      <c r="S253" s="747"/>
      <c r="T253" s="749">
        <f t="shared" si="1"/>
        <v>0</v>
      </c>
      <c r="U253" s="747"/>
      <c r="V253" s="747"/>
      <c r="W253" s="747"/>
      <c r="X253" s="747"/>
      <c r="Y253" s="747"/>
      <c r="Z253" s="747"/>
      <c r="AA253" s="747"/>
      <c r="AB253" s="747"/>
      <c r="AC253" s="747"/>
      <c r="AD253" s="747"/>
      <c r="AE253" s="747"/>
      <c r="AF253" s="747"/>
      <c r="AG253" s="747"/>
      <c r="AH253" s="749">
        <f t="shared" si="2"/>
        <v>0</v>
      </c>
      <c r="AI253" s="747"/>
      <c r="AJ253" s="747"/>
      <c r="AK253" s="747"/>
      <c r="AL253" s="747"/>
      <c r="AM253" s="747"/>
      <c r="AN253" s="747"/>
      <c r="AO253" s="747"/>
      <c r="AP253" s="747"/>
      <c r="AQ253" s="747"/>
      <c r="AR253" s="747"/>
      <c r="AS253" s="747"/>
      <c r="AT253" s="747"/>
      <c r="AU253" s="749">
        <f t="shared" si="3"/>
        <v>0</v>
      </c>
      <c r="AV253" s="750">
        <f t="shared" si="4"/>
        <v>0</v>
      </c>
    </row>
    <row r="254" spans="1:48" ht="15.75" thickBot="1" x14ac:dyDescent="0.3">
      <c r="A254" s="641"/>
      <c r="B254" s="751" t="s">
        <v>1136</v>
      </c>
      <c r="C254" s="752">
        <f t="shared" ref="C254:AV254" si="5">SUM(C221:C253)</f>
        <v>0</v>
      </c>
      <c r="D254" s="752">
        <f t="shared" si="5"/>
        <v>0</v>
      </c>
      <c r="E254" s="752">
        <f t="shared" si="5"/>
        <v>0</v>
      </c>
      <c r="F254" s="752">
        <f t="shared" si="5"/>
        <v>0</v>
      </c>
      <c r="G254" s="753">
        <f t="shared" si="5"/>
        <v>0</v>
      </c>
      <c r="H254" s="752">
        <f t="shared" si="5"/>
        <v>0</v>
      </c>
      <c r="I254" s="752">
        <f t="shared" si="5"/>
        <v>0</v>
      </c>
      <c r="J254" s="752">
        <f t="shared" si="5"/>
        <v>0</v>
      </c>
      <c r="K254" s="752">
        <f t="shared" si="5"/>
        <v>0</v>
      </c>
      <c r="L254" s="752">
        <f t="shared" si="5"/>
        <v>0</v>
      </c>
      <c r="M254" s="752">
        <f t="shared" si="5"/>
        <v>0</v>
      </c>
      <c r="N254" s="752">
        <f t="shared" si="5"/>
        <v>0</v>
      </c>
      <c r="O254" s="752">
        <f t="shared" si="5"/>
        <v>0</v>
      </c>
      <c r="P254" s="752">
        <f t="shared" si="5"/>
        <v>0</v>
      </c>
      <c r="Q254" s="752">
        <f t="shared" si="5"/>
        <v>0</v>
      </c>
      <c r="R254" s="752">
        <f t="shared" si="5"/>
        <v>0</v>
      </c>
      <c r="S254" s="752">
        <f t="shared" si="5"/>
        <v>0</v>
      </c>
      <c r="T254" s="753">
        <f t="shared" si="5"/>
        <v>0</v>
      </c>
      <c r="U254" s="752">
        <f t="shared" si="5"/>
        <v>0</v>
      </c>
      <c r="V254" s="752">
        <f t="shared" si="5"/>
        <v>0</v>
      </c>
      <c r="W254" s="752">
        <f t="shared" si="5"/>
        <v>0</v>
      </c>
      <c r="X254" s="752">
        <f t="shared" si="5"/>
        <v>0</v>
      </c>
      <c r="Y254" s="752">
        <f t="shared" si="5"/>
        <v>0</v>
      </c>
      <c r="Z254" s="752">
        <f t="shared" si="5"/>
        <v>0</v>
      </c>
      <c r="AA254" s="752">
        <f t="shared" si="5"/>
        <v>0</v>
      </c>
      <c r="AB254" s="752">
        <f t="shared" si="5"/>
        <v>0</v>
      </c>
      <c r="AC254" s="752">
        <f t="shared" si="5"/>
        <v>0</v>
      </c>
      <c r="AD254" s="752">
        <f t="shared" si="5"/>
        <v>0</v>
      </c>
      <c r="AE254" s="752"/>
      <c r="AF254" s="752">
        <f t="shared" si="5"/>
        <v>0</v>
      </c>
      <c r="AG254" s="752">
        <f t="shared" si="5"/>
        <v>0</v>
      </c>
      <c r="AH254" s="753">
        <f t="shared" si="5"/>
        <v>0</v>
      </c>
      <c r="AI254" s="752">
        <f t="shared" si="5"/>
        <v>0</v>
      </c>
      <c r="AJ254" s="752">
        <f t="shared" si="5"/>
        <v>0</v>
      </c>
      <c r="AK254" s="752">
        <f t="shared" si="5"/>
        <v>0</v>
      </c>
      <c r="AL254" s="752">
        <f t="shared" si="5"/>
        <v>0</v>
      </c>
      <c r="AM254" s="752">
        <f t="shared" si="5"/>
        <v>0</v>
      </c>
      <c r="AN254" s="752">
        <f t="shared" si="5"/>
        <v>0</v>
      </c>
      <c r="AO254" s="752">
        <f t="shared" si="5"/>
        <v>0</v>
      </c>
      <c r="AP254" s="752">
        <f t="shared" si="5"/>
        <v>0</v>
      </c>
      <c r="AQ254" s="752">
        <f t="shared" si="5"/>
        <v>0</v>
      </c>
      <c r="AR254" s="752">
        <f t="shared" si="5"/>
        <v>0</v>
      </c>
      <c r="AS254" s="752">
        <f t="shared" si="5"/>
        <v>0</v>
      </c>
      <c r="AT254" s="752">
        <f t="shared" si="5"/>
        <v>0</v>
      </c>
      <c r="AU254" s="753">
        <f t="shared" si="5"/>
        <v>0</v>
      </c>
      <c r="AV254" s="754">
        <f t="shared" si="5"/>
        <v>0</v>
      </c>
    </row>
    <row r="1193" spans="1:23" ht="15.75" thickBot="1" x14ac:dyDescent="0.3">
      <c r="A1193" s="507"/>
      <c r="B1193" s="755"/>
      <c r="C1193" s="560"/>
      <c r="D1193" s="560"/>
      <c r="E1193" s="756"/>
      <c r="F1193" s="512"/>
      <c r="G1193" s="513"/>
      <c r="H1193" s="513"/>
      <c r="I1193" s="539"/>
      <c r="J1193" s="757"/>
      <c r="K1193" s="757"/>
      <c r="L1193" s="758"/>
      <c r="M1193" s="539"/>
      <c r="N1193" s="518"/>
      <c r="O1193" s="518"/>
      <c r="P1193" s="519"/>
      <c r="Q1193" s="519"/>
      <c r="R1193" s="519"/>
      <c r="S1193" s="520"/>
      <c r="T1193" s="759"/>
      <c r="U1193" s="759"/>
      <c r="V1193" s="759"/>
      <c r="W1193" s="519"/>
    </row>
    <row r="1194" spans="1:23" x14ac:dyDescent="0.25">
      <c r="A1194" s="507"/>
      <c r="B1194" s="508" t="s">
        <v>824</v>
      </c>
      <c r="C1194" s="509">
        <f>COUNTIF(B$1:B1191,B1194)</f>
        <v>1</v>
      </c>
      <c r="D1194" s="510">
        <f>C1194/C1199</f>
        <v>0.2</v>
      </c>
      <c r="E1194" s="511"/>
      <c r="F1194" s="512"/>
      <c r="G1194" s="513"/>
      <c r="H1194" s="513"/>
      <c r="I1194" s="514"/>
      <c r="J1194" s="515">
        <f>SUMIF(B$3:B1191,B1194,T$3:T1198)</f>
        <v>48</v>
      </c>
      <c r="K1194" s="516"/>
      <c r="L1194" s="517">
        <f>J1194/J1199</f>
        <v>1</v>
      </c>
      <c r="M1194" s="518"/>
      <c r="N1194" s="518"/>
      <c r="O1194" s="518"/>
      <c r="P1194" s="519"/>
      <c r="Q1194" s="519"/>
      <c r="R1194" s="519"/>
      <c r="S1194" s="520" t="s">
        <v>789</v>
      </c>
      <c r="T1194" s="521">
        <v>1261915799.52244</v>
      </c>
      <c r="U1194" s="521" t="e">
        <f>SUM(#REF!)</f>
        <v>#REF!</v>
      </c>
      <c r="V1194" s="521" t="e">
        <f>SUM(#REF!)</f>
        <v>#REF!</v>
      </c>
      <c r="W1194" s="519" t="s">
        <v>825</v>
      </c>
    </row>
    <row r="1195" spans="1:23" x14ac:dyDescent="0.25">
      <c r="A1195" s="507"/>
      <c r="B1195" s="524" t="s">
        <v>826</v>
      </c>
      <c r="C1195" s="525">
        <f>COUNTIF(B$1:B1191,B1195)</f>
        <v>1</v>
      </c>
      <c r="D1195" s="526">
        <f>C1195/C1199</f>
        <v>0.2</v>
      </c>
      <c r="E1195" s="511"/>
      <c r="F1195" s="512"/>
      <c r="G1195" s="513"/>
      <c r="H1195" s="513"/>
      <c r="I1195" s="514"/>
      <c r="J1195" s="527">
        <f>SUMIF(B$3:B1194,B1195,T$3:T1199)</f>
        <v>0</v>
      </c>
      <c r="K1195" s="528"/>
      <c r="L1195" s="529">
        <f>J1195/J1199</f>
        <v>0</v>
      </c>
      <c r="M1195" s="518"/>
      <c r="N1195" s="518"/>
      <c r="O1195" s="518"/>
      <c r="P1195" s="523"/>
      <c r="Q1195" s="523"/>
      <c r="R1195" s="523"/>
      <c r="S1195" s="530"/>
      <c r="T1195" s="531"/>
      <c r="U1195" s="531"/>
      <c r="V1195" s="531"/>
      <c r="W1195" s="523"/>
    </row>
    <row r="1196" spans="1:23" x14ac:dyDescent="0.25">
      <c r="A1196" s="507"/>
      <c r="B1196" s="533" t="s">
        <v>827</v>
      </c>
      <c r="C1196" s="534">
        <f>COUNTIF(B$1:B1191,B1196)</f>
        <v>1</v>
      </c>
      <c r="D1196" s="535">
        <f>C1196/C1199</f>
        <v>0.2</v>
      </c>
      <c r="E1196" s="511"/>
      <c r="F1196" s="512"/>
      <c r="G1196" s="513"/>
      <c r="H1196" s="513"/>
      <c r="I1196" s="514"/>
      <c r="J1196" s="536">
        <f>SUMIF(B$3:B1195,B1196,T$3:T1199)</f>
        <v>0</v>
      </c>
      <c r="K1196" s="537"/>
      <c r="L1196" s="538">
        <f>J1196/J1199</f>
        <v>0</v>
      </c>
      <c r="M1196" s="539"/>
      <c r="N1196" s="518"/>
      <c r="O1196" s="518"/>
      <c r="P1196" s="523"/>
      <c r="Q1196" s="523"/>
      <c r="R1196" s="523"/>
      <c r="S1196" s="530"/>
      <c r="T1196" s="531"/>
      <c r="U1196" s="531"/>
      <c r="V1196" s="531"/>
      <c r="W1196" s="523"/>
    </row>
    <row r="1197" spans="1:23" ht="15.75" thickBot="1" x14ac:dyDescent="0.3">
      <c r="A1197" s="507"/>
      <c r="B1197" s="540" t="s">
        <v>828</v>
      </c>
      <c r="C1197" s="541">
        <f>COUNTIF(B$1:B1194,B1197)</f>
        <v>1</v>
      </c>
      <c r="D1197" s="542">
        <f>C1197/C1199</f>
        <v>0.2</v>
      </c>
      <c r="E1197" s="511"/>
      <c r="F1197" s="512"/>
      <c r="G1197" s="513"/>
      <c r="H1197" s="513"/>
      <c r="I1197" s="514"/>
      <c r="J1197" s="543">
        <f>SUMIF(B$3:B1196,B1197,T$3:T1199)</f>
        <v>0</v>
      </c>
      <c r="K1197" s="544"/>
      <c r="L1197" s="545">
        <f>J1197/J1199</f>
        <v>0</v>
      </c>
      <c r="M1197" s="539"/>
      <c r="N1197" s="518"/>
      <c r="O1197" s="518"/>
      <c r="P1197" s="523"/>
      <c r="Q1197" s="523"/>
      <c r="R1197" s="523"/>
      <c r="S1197" s="530"/>
      <c r="T1197" s="531"/>
      <c r="U1197" s="531"/>
      <c r="V1197" s="531"/>
      <c r="W1197" s="523"/>
    </row>
    <row r="1198" spans="1:23" ht="16.5" thickTop="1" thickBot="1" x14ac:dyDescent="0.3">
      <c r="A1198" s="546"/>
      <c r="B1198" s="547" t="s">
        <v>812</v>
      </c>
      <c r="C1198" s="548">
        <f>COUNTIF(B$1:B1191,B1198)</f>
        <v>1</v>
      </c>
      <c r="D1198" s="549">
        <f>C1198/C1199</f>
        <v>0.2</v>
      </c>
      <c r="E1198" s="550"/>
      <c r="F1198" s="551"/>
      <c r="G1198" s="552"/>
      <c r="H1198" s="552"/>
      <c r="I1198" s="553"/>
      <c r="J1198" s="554">
        <f>SUMIF(B$3:B1197,B1198,T$3:T1199)</f>
        <v>0</v>
      </c>
      <c r="K1198" s="555"/>
      <c r="L1198" s="556">
        <f>J1198/J1199</f>
        <v>0</v>
      </c>
      <c r="M1198" s="557"/>
      <c r="N1198" s="557"/>
      <c r="O1198" s="557"/>
      <c r="P1198" s="523"/>
      <c r="Q1198" s="523"/>
      <c r="R1198" s="523"/>
      <c r="S1198" s="530"/>
      <c r="T1198" s="531"/>
      <c r="U1198" s="531"/>
      <c r="V1198" s="531"/>
      <c r="W1198" s="523"/>
    </row>
    <row r="1199" spans="1:23" x14ac:dyDescent="0.25">
      <c r="A1199" s="507"/>
      <c r="B1199" s="558"/>
      <c r="C1199" s="559">
        <f>SUM(C1194:C1198)</f>
        <v>5</v>
      </c>
      <c r="D1199" s="560"/>
      <c r="E1199" s="511"/>
      <c r="F1199" s="512"/>
      <c r="G1199" s="513"/>
      <c r="H1199" s="513"/>
      <c r="I1199" s="514"/>
      <c r="J1199" s="561">
        <f>SUM(J1194:J1198)</f>
        <v>48</v>
      </c>
      <c r="K1199" s="562"/>
      <c r="L1199" s="563"/>
      <c r="M1199" s="539"/>
      <c r="N1199" s="518"/>
      <c r="O1199" s="518"/>
      <c r="P1199" s="523"/>
      <c r="Q1199" s="523"/>
      <c r="R1199" s="523"/>
      <c r="S1199" s="530"/>
      <c r="T1199" s="531"/>
      <c r="U1199" s="531"/>
      <c r="V1199" s="531"/>
      <c r="W1199" s="523"/>
    </row>
  </sheetData>
  <mergeCells count="2">
    <mergeCell ref="A50:A55"/>
    <mergeCell ref="A63:A68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3" workbookViewId="0">
      <selection activeCell="A17" sqref="A17:A22"/>
    </sheetView>
  </sheetViews>
  <sheetFormatPr defaultRowHeight="15" x14ac:dyDescent="0.25"/>
  <cols>
    <col min="1" max="3" width="9.140625" style="409"/>
    <col min="4" max="4" width="10.7109375" style="409" customWidth="1"/>
    <col min="5" max="7" width="10.5703125" style="409" customWidth="1"/>
    <col min="8" max="10" width="9.140625" style="409"/>
    <col min="11" max="11" width="17.7109375" style="691" customWidth="1"/>
    <col min="12" max="12" width="22.7109375" style="409" customWidth="1"/>
    <col min="13" max="13" width="17.7109375" style="409" customWidth="1"/>
    <col min="14" max="14" width="10.7109375" style="409" customWidth="1"/>
    <col min="15" max="16" width="18.7109375" style="409" customWidth="1"/>
    <col min="17" max="17" width="13.7109375" style="409" customWidth="1"/>
    <col min="18" max="18" width="10.85546875" style="409" customWidth="1"/>
    <col min="19" max="19" width="30.85546875" style="409" customWidth="1"/>
    <col min="20" max="20" width="20.7109375" style="409" customWidth="1"/>
    <col min="21" max="22" width="10.7109375" style="409" customWidth="1"/>
    <col min="23" max="23" width="15.85546875" style="409" customWidth="1"/>
    <col min="24" max="24" width="8.5703125" style="409" customWidth="1"/>
    <col min="25" max="25" width="15.5703125" style="409" customWidth="1"/>
    <col min="26" max="16384" width="9.140625" style="409"/>
  </cols>
  <sheetData>
    <row r="1" spans="1:34" s="568" customFormat="1" ht="7.5" customHeight="1" x14ac:dyDescent="0.25">
      <c r="D1" s="569"/>
      <c r="E1" s="569"/>
      <c r="F1" s="569"/>
      <c r="G1" s="569"/>
      <c r="K1" s="760"/>
    </row>
    <row r="2" spans="1:34" s="435" customFormat="1" ht="19.5" x14ac:dyDescent="0.3">
      <c r="C2" s="436" t="s">
        <v>1137</v>
      </c>
      <c r="K2" s="760"/>
    </row>
    <row r="4" spans="1:34" ht="15.75" thickBot="1" x14ac:dyDescent="0.3">
      <c r="A4" s="624" t="s">
        <v>1138</v>
      </c>
    </row>
    <row r="5" spans="1:34" s="633" customFormat="1" ht="15.75" thickBot="1" x14ac:dyDescent="0.3">
      <c r="A5" s="409"/>
      <c r="B5" s="761" t="s">
        <v>1139</v>
      </c>
      <c r="C5" s="762">
        <f>MATCH("NewOpp",E5:N5,0)+4</f>
        <v>12</v>
      </c>
      <c r="D5" s="762">
        <f>MATCH("STOP",E5:N5,0)+4</f>
        <v>14</v>
      </c>
      <c r="K5" s="763"/>
      <c r="L5" s="764" t="s">
        <v>140</v>
      </c>
      <c r="M5" s="765" t="s">
        <v>1140</v>
      </c>
      <c r="N5" s="766" t="s">
        <v>1141</v>
      </c>
      <c r="P5" s="634"/>
      <c r="Q5" s="635"/>
      <c r="R5" s="636"/>
      <c r="S5" s="637"/>
      <c r="T5" s="409"/>
      <c r="U5" s="409"/>
      <c r="V5" s="409"/>
      <c r="W5" s="409"/>
      <c r="X5" s="409"/>
      <c r="Y5" s="409"/>
      <c r="Z5" s="409"/>
      <c r="AA5" s="409"/>
      <c r="AB5" s="409"/>
      <c r="AC5" s="409"/>
    </row>
    <row r="6" spans="1:34" s="763" customFormat="1" x14ac:dyDescent="0.25">
      <c r="A6" s="767"/>
      <c r="B6" s="768"/>
      <c r="C6" s="769"/>
      <c r="D6" s="770"/>
      <c r="L6" s="771"/>
      <c r="M6" s="771"/>
      <c r="N6" s="772"/>
      <c r="Q6" s="676"/>
      <c r="R6" s="635"/>
      <c r="S6" s="636"/>
      <c r="T6" s="637"/>
      <c r="U6" s="691"/>
      <c r="V6" s="691"/>
      <c r="W6" s="691"/>
      <c r="X6" s="691"/>
      <c r="Y6" s="691"/>
      <c r="Z6" s="691"/>
      <c r="AA6" s="691"/>
      <c r="AB6" s="691"/>
      <c r="AC6" s="691"/>
      <c r="AD6" s="691"/>
    </row>
    <row r="7" spans="1:34" x14ac:dyDescent="0.25">
      <c r="A7" s="773">
        <v>0</v>
      </c>
      <c r="B7" s="774" t="s">
        <v>66</v>
      </c>
      <c r="C7" s="775" t="s">
        <v>66</v>
      </c>
      <c r="D7" s="776" t="s">
        <v>66</v>
      </c>
      <c r="E7" s="777">
        <v>0</v>
      </c>
      <c r="F7" s="777">
        <v>0</v>
      </c>
      <c r="G7" s="777">
        <v>0</v>
      </c>
      <c r="H7" s="777">
        <v>0</v>
      </c>
      <c r="I7" s="777">
        <v>0</v>
      </c>
      <c r="J7" s="777">
        <v>0</v>
      </c>
      <c r="K7" s="777">
        <v>17</v>
      </c>
      <c r="L7" s="778" t="s">
        <v>932</v>
      </c>
      <c r="M7" s="778" t="s">
        <v>84</v>
      </c>
      <c r="N7" s="778" t="s">
        <v>84</v>
      </c>
      <c r="O7" s="778" t="s">
        <v>966</v>
      </c>
      <c r="P7" s="778" t="s">
        <v>932</v>
      </c>
      <c r="Q7" s="778" t="s">
        <v>965</v>
      </c>
      <c r="R7" s="778" t="s">
        <v>81</v>
      </c>
      <c r="S7" s="778" t="s">
        <v>51</v>
      </c>
      <c r="T7" s="778" t="s">
        <v>81</v>
      </c>
      <c r="U7" s="778" t="s">
        <v>81</v>
      </c>
      <c r="V7" s="778" t="s">
        <v>81</v>
      </c>
      <c r="W7" s="778" t="s">
        <v>246</v>
      </c>
      <c r="X7" s="778" t="s">
        <v>60</v>
      </c>
      <c r="Y7" s="778" t="s">
        <v>246</v>
      </c>
      <c r="Z7" s="777">
        <v>0</v>
      </c>
      <c r="AA7" s="642"/>
      <c r="AB7" s="641"/>
    </row>
    <row r="8" spans="1:34" x14ac:dyDescent="0.25">
      <c r="A8" s="767"/>
      <c r="B8" s="774" t="s">
        <v>930</v>
      </c>
      <c r="C8" s="775"/>
      <c r="D8" s="776"/>
      <c r="E8" s="681"/>
      <c r="F8" s="681"/>
      <c r="G8" s="681"/>
      <c r="H8" s="681"/>
      <c r="I8" s="681"/>
      <c r="J8" s="681"/>
      <c r="K8" s="681"/>
      <c r="L8" s="676"/>
      <c r="M8" s="676"/>
      <c r="N8" s="676"/>
      <c r="O8" s="691"/>
      <c r="P8" s="691"/>
      <c r="Q8" s="676"/>
      <c r="R8" s="676"/>
      <c r="S8" s="676"/>
      <c r="T8" s="676"/>
      <c r="U8" s="676"/>
      <c r="V8" s="676"/>
      <c r="W8" s="691"/>
      <c r="X8" s="691"/>
      <c r="Y8" s="691"/>
      <c r="Z8" s="642"/>
      <c r="AA8" s="641"/>
    </row>
    <row r="9" spans="1:34" x14ac:dyDescent="0.25">
      <c r="A9" s="767"/>
      <c r="B9" s="774" t="s">
        <v>934</v>
      </c>
      <c r="C9" s="775"/>
      <c r="D9" s="776"/>
      <c r="E9" s="681"/>
      <c r="F9" s="681"/>
      <c r="G9" s="681"/>
      <c r="H9" s="681"/>
      <c r="I9" s="681"/>
      <c r="J9" s="681"/>
      <c r="K9" s="681"/>
      <c r="L9" s="676"/>
      <c r="M9" s="676"/>
      <c r="N9" s="676"/>
      <c r="O9" s="691"/>
      <c r="P9" s="691"/>
      <c r="Q9" s="676"/>
      <c r="R9" s="676"/>
      <c r="S9" s="676"/>
      <c r="T9" s="676"/>
      <c r="U9" s="676"/>
      <c r="V9" s="676"/>
      <c r="W9" s="691"/>
      <c r="X9" s="691"/>
      <c r="Y9" s="691"/>
      <c r="Z9" s="642"/>
      <c r="AA9" s="641"/>
    </row>
    <row r="10" spans="1:34" ht="15.75" thickBot="1" x14ac:dyDescent="0.3">
      <c r="A10" s="767"/>
      <c r="B10" s="779" t="s">
        <v>937</v>
      </c>
      <c r="C10" s="775"/>
      <c r="D10" s="776"/>
      <c r="E10" s="681"/>
      <c r="F10" s="681"/>
      <c r="G10" s="681"/>
      <c r="H10" s="681"/>
      <c r="I10" s="681"/>
      <c r="J10" s="681"/>
      <c r="K10" s="681"/>
      <c r="L10" s="676"/>
      <c r="M10" s="676"/>
      <c r="N10" s="676"/>
      <c r="O10" s="691"/>
      <c r="P10" s="691"/>
      <c r="Q10" s="676"/>
      <c r="R10" s="676"/>
      <c r="S10" s="676"/>
      <c r="T10" s="676"/>
      <c r="U10" s="676"/>
      <c r="V10" s="676"/>
      <c r="W10" s="691"/>
      <c r="X10" s="691"/>
      <c r="Y10" s="691"/>
      <c r="Z10" s="642"/>
      <c r="AA10" s="641"/>
    </row>
    <row r="11" spans="1:34" s="793" customFormat="1" ht="23.25" thickBot="1" x14ac:dyDescent="0.3">
      <c r="A11" s="916" t="s">
        <v>32</v>
      </c>
      <c r="B11" s="780" t="s">
        <v>1142</v>
      </c>
      <c r="C11" s="781" t="s">
        <v>1143</v>
      </c>
      <c r="D11" s="782"/>
      <c r="E11" s="438" t="s">
        <v>743</v>
      </c>
      <c r="F11" s="783" t="s">
        <v>52</v>
      </c>
      <c r="G11" s="783" t="s">
        <v>1144</v>
      </c>
      <c r="H11" s="784" t="s">
        <v>760</v>
      </c>
      <c r="I11" s="784"/>
      <c r="J11" s="439" t="s">
        <v>1145</v>
      </c>
      <c r="K11" s="785" t="s">
        <v>403</v>
      </c>
      <c r="L11" s="786" t="s">
        <v>1146</v>
      </c>
      <c r="M11" s="787" t="s">
        <v>36</v>
      </c>
      <c r="N11" s="787" t="s">
        <v>39</v>
      </c>
      <c r="O11" s="788" t="s">
        <v>745</v>
      </c>
      <c r="P11" s="787" t="s">
        <v>1147</v>
      </c>
      <c r="Q11" s="789" t="s">
        <v>754</v>
      </c>
      <c r="R11" s="919" t="s">
        <v>755</v>
      </c>
      <c r="S11" s="920"/>
      <c r="T11" s="790" t="s">
        <v>109</v>
      </c>
      <c r="U11" s="788" t="s">
        <v>760</v>
      </c>
      <c r="V11" s="790" t="s">
        <v>761</v>
      </c>
      <c r="W11" s="791" t="s">
        <v>762</v>
      </c>
      <c r="X11" s="792" t="s">
        <v>763</v>
      </c>
      <c r="Y11" s="790" t="s">
        <v>764</v>
      </c>
      <c r="Z11" s="409"/>
    </row>
    <row r="12" spans="1:34" s="793" customFormat="1" ht="15.75" thickBot="1" x14ac:dyDescent="0.3">
      <c r="A12" s="917"/>
      <c r="B12" s="794" t="s">
        <v>920</v>
      </c>
      <c r="C12" s="775" t="s">
        <v>1143</v>
      </c>
      <c r="D12" s="795"/>
      <c r="E12" s="667"/>
      <c r="F12" s="796"/>
      <c r="G12" s="409"/>
      <c r="H12" s="409"/>
      <c r="I12" s="409"/>
      <c r="J12" s="797"/>
      <c r="K12" s="798"/>
      <c r="L12" s="799">
        <f>HYPERLINK("https://eu1.salesforce.com/"&amp;E12,F12)</f>
        <v>0</v>
      </c>
      <c r="M12" s="668"/>
      <c r="N12" s="668"/>
      <c r="O12" s="800"/>
      <c r="P12" s="801">
        <v>1234567.8899999999</v>
      </c>
      <c r="Q12" s="801">
        <v>1234567.8899999999</v>
      </c>
      <c r="R12" s="921"/>
      <c r="S12" s="922"/>
      <c r="T12" s="802"/>
      <c r="U12" s="799">
        <f>HYPERLINK("https://eu1.salesforce.com/"&amp;G12,H12)</f>
        <v>0</v>
      </c>
      <c r="V12" s="803"/>
      <c r="W12" s="803"/>
      <c r="X12" s="803"/>
      <c r="Y12" s="803"/>
    </row>
    <row r="13" spans="1:34" x14ac:dyDescent="0.25">
      <c r="A13" s="917"/>
      <c r="B13" s="774" t="s">
        <v>926</v>
      </c>
      <c r="C13" s="775"/>
      <c r="D13" s="776"/>
      <c r="E13" s="681">
        <v>0.5</v>
      </c>
      <c r="F13" s="681"/>
      <c r="J13" s="681">
        <v>0.5</v>
      </c>
      <c r="K13" s="681">
        <v>17</v>
      </c>
      <c r="L13" s="676" t="s">
        <v>932</v>
      </c>
      <c r="M13" s="676" t="s">
        <v>84</v>
      </c>
      <c r="N13" s="676" t="s">
        <v>81</v>
      </c>
      <c r="O13" s="676" t="s">
        <v>931</v>
      </c>
      <c r="P13" s="676" t="s">
        <v>1148</v>
      </c>
      <c r="Q13" s="676" t="s">
        <v>1148</v>
      </c>
      <c r="R13" s="676" t="s">
        <v>1149</v>
      </c>
      <c r="S13" s="676"/>
      <c r="T13" s="676" t="s">
        <v>81</v>
      </c>
      <c r="U13" s="676" t="s">
        <v>187</v>
      </c>
      <c r="V13" s="676" t="s">
        <v>187</v>
      </c>
      <c r="W13" s="676" t="s">
        <v>1148</v>
      </c>
      <c r="X13" s="676" t="s">
        <v>60</v>
      </c>
      <c r="Y13" s="676" t="s">
        <v>246</v>
      </c>
      <c r="AA13" s="642"/>
      <c r="AB13" s="641"/>
    </row>
    <row r="14" spans="1:34" x14ac:dyDescent="0.25">
      <c r="A14" s="917"/>
      <c r="B14" s="774" t="s">
        <v>930</v>
      </c>
      <c r="C14" s="775"/>
      <c r="D14" s="776"/>
      <c r="E14" s="681">
        <v>1</v>
      </c>
      <c r="F14" s="681">
        <v>9</v>
      </c>
      <c r="G14" s="681">
        <v>25</v>
      </c>
      <c r="H14" s="797">
        <v>25</v>
      </c>
      <c r="I14" s="797"/>
      <c r="J14" s="681" t="s">
        <v>1092</v>
      </c>
      <c r="K14" s="681">
        <v>19</v>
      </c>
      <c r="L14" s="676"/>
      <c r="M14" s="676" t="s">
        <v>120</v>
      </c>
      <c r="N14" s="676" t="s">
        <v>34</v>
      </c>
      <c r="O14" s="676" t="s">
        <v>187</v>
      </c>
      <c r="P14" s="676" t="s">
        <v>81</v>
      </c>
      <c r="Q14" s="676" t="s">
        <v>931</v>
      </c>
      <c r="R14" s="676" t="s">
        <v>247</v>
      </c>
      <c r="S14" s="676"/>
      <c r="T14" s="676" t="s">
        <v>932</v>
      </c>
      <c r="U14" s="676"/>
      <c r="V14" s="676" t="s">
        <v>1150</v>
      </c>
      <c r="W14" s="676" t="s">
        <v>1010</v>
      </c>
      <c r="X14" s="676" t="s">
        <v>1011</v>
      </c>
      <c r="Y14" s="676" t="s">
        <v>1151</v>
      </c>
      <c r="AD14" s="646"/>
      <c r="AE14" s="646"/>
      <c r="AF14" s="646"/>
      <c r="AG14" s="646"/>
      <c r="AH14" s="646"/>
    </row>
    <row r="15" spans="1:34" x14ac:dyDescent="0.25">
      <c r="A15" s="917"/>
      <c r="B15" s="774" t="s">
        <v>934</v>
      </c>
      <c r="C15" s="775"/>
      <c r="D15" s="776"/>
      <c r="E15" s="681"/>
      <c r="F15" s="681"/>
      <c r="G15" s="681" t="s">
        <v>936</v>
      </c>
      <c r="H15" s="409" t="s">
        <v>1152</v>
      </c>
      <c r="J15" s="681"/>
      <c r="K15" s="804" t="s">
        <v>777</v>
      </c>
      <c r="L15" s="691"/>
      <c r="M15" s="691"/>
      <c r="N15" s="691"/>
      <c r="O15" s="691"/>
      <c r="P15" s="691"/>
      <c r="Q15" s="691"/>
      <c r="R15" s="691"/>
      <c r="S15" s="691"/>
      <c r="T15" s="691"/>
      <c r="U15" s="691"/>
      <c r="V15" s="691"/>
      <c r="W15" s="691"/>
      <c r="X15" s="691"/>
      <c r="Y15" s="691"/>
      <c r="AD15" s="646"/>
      <c r="AE15" s="646"/>
      <c r="AF15" s="646"/>
      <c r="AG15" s="646"/>
      <c r="AH15" s="646"/>
    </row>
    <row r="16" spans="1:34" ht="15.75" thickBot="1" x14ac:dyDescent="0.3">
      <c r="A16" s="918"/>
      <c r="B16" s="779" t="s">
        <v>937</v>
      </c>
      <c r="C16" s="805"/>
      <c r="D16" s="806"/>
      <c r="E16" s="807"/>
      <c r="F16" s="807"/>
      <c r="G16" s="807" t="s">
        <v>1153</v>
      </c>
      <c r="J16" s="807" t="s">
        <v>1154</v>
      </c>
      <c r="K16" s="807"/>
      <c r="L16" s="691"/>
      <c r="M16" s="691"/>
      <c r="N16" s="691"/>
      <c r="O16" s="691"/>
      <c r="P16" s="691"/>
      <c r="Q16" s="691"/>
      <c r="R16" s="691"/>
      <c r="S16" s="691"/>
      <c r="T16" s="691"/>
      <c r="U16" s="691"/>
      <c r="V16" s="691"/>
      <c r="W16" s="691"/>
      <c r="AB16" s="646"/>
      <c r="AC16" s="646"/>
      <c r="AD16" s="646"/>
      <c r="AE16" s="646"/>
      <c r="AF16" s="646"/>
    </row>
    <row r="17" spans="1:37" s="793" customFormat="1" ht="30.75" thickBot="1" x14ac:dyDescent="0.3">
      <c r="A17" s="916" t="s">
        <v>69</v>
      </c>
      <c r="B17" s="614" t="s">
        <v>897</v>
      </c>
      <c r="C17" s="781" t="s">
        <v>1143</v>
      </c>
      <c r="D17" s="782"/>
      <c r="E17" s="808" t="s">
        <v>744</v>
      </c>
      <c r="F17" s="808"/>
      <c r="G17" s="808"/>
      <c r="H17" s="809" t="s">
        <v>1155</v>
      </c>
      <c r="I17" s="809"/>
      <c r="J17" s="810" t="s">
        <v>118</v>
      </c>
      <c r="K17" s="811"/>
      <c r="L17" s="812" t="s">
        <v>1156</v>
      </c>
      <c r="M17" s="813" t="s">
        <v>1157</v>
      </c>
      <c r="N17" s="814" t="s">
        <v>1158</v>
      </c>
      <c r="O17" s="814" t="s">
        <v>1159</v>
      </c>
      <c r="P17" s="815" t="s">
        <v>1160</v>
      </c>
      <c r="Q17" s="815" t="s">
        <v>1161</v>
      </c>
      <c r="R17" s="923" t="s">
        <v>1162</v>
      </c>
      <c r="S17" s="924"/>
      <c r="T17" s="812" t="s">
        <v>1163</v>
      </c>
      <c r="W17" s="812" t="s">
        <v>1164</v>
      </c>
      <c r="X17" s="816"/>
    </row>
    <row r="18" spans="1:37" s="793" customFormat="1" ht="15.75" thickBot="1" x14ac:dyDescent="0.3">
      <c r="A18" s="917"/>
      <c r="B18" s="794" t="s">
        <v>920</v>
      </c>
      <c r="C18" s="775" t="s">
        <v>1165</v>
      </c>
      <c r="D18" s="817">
        <f>E12</f>
        <v>0</v>
      </c>
      <c r="H18" s="818"/>
      <c r="I18" s="818"/>
      <c r="J18" s="819"/>
      <c r="K18" s="820"/>
      <c r="L18" s="821"/>
      <c r="M18" s="822"/>
      <c r="N18" s="823"/>
      <c r="O18" s="823"/>
      <c r="P18" s="823"/>
      <c r="Q18" s="822"/>
      <c r="R18" s="925"/>
      <c r="S18" s="926"/>
      <c r="T18" s="824"/>
      <c r="W18" s="825"/>
      <c r="X18" s="816"/>
    </row>
    <row r="19" spans="1:37" x14ac:dyDescent="0.25">
      <c r="A19" s="917"/>
      <c r="B19" s="774" t="s">
        <v>926</v>
      </c>
      <c r="C19" s="775"/>
      <c r="D19" s="776"/>
      <c r="E19" s="456">
        <v>0.5</v>
      </c>
      <c r="F19" s="456"/>
      <c r="G19" s="456"/>
      <c r="H19" s="456">
        <v>0.5</v>
      </c>
      <c r="I19" s="456"/>
      <c r="J19" s="456">
        <v>0.5</v>
      </c>
      <c r="K19" s="681"/>
      <c r="L19" s="826">
        <v>14</v>
      </c>
      <c r="M19" s="826">
        <v>10</v>
      </c>
      <c r="N19" s="826">
        <v>10</v>
      </c>
      <c r="O19" s="826">
        <v>10</v>
      </c>
      <c r="P19" s="826">
        <v>30</v>
      </c>
      <c r="Q19" s="826">
        <v>10</v>
      </c>
      <c r="R19" s="826">
        <v>40</v>
      </c>
      <c r="S19" s="826"/>
      <c r="T19" s="826">
        <v>26</v>
      </c>
      <c r="W19" s="676" t="s">
        <v>1148</v>
      </c>
      <c r="X19" s="797"/>
    </row>
    <row r="20" spans="1:37" x14ac:dyDescent="0.25">
      <c r="A20" s="917"/>
      <c r="B20" s="774" t="s">
        <v>930</v>
      </c>
      <c r="C20" s="775"/>
      <c r="D20" s="776"/>
      <c r="E20" s="797">
        <v>4</v>
      </c>
      <c r="J20" s="691"/>
      <c r="K20" s="409"/>
      <c r="L20" s="797">
        <v>4</v>
      </c>
      <c r="M20" s="797">
        <v>4</v>
      </c>
      <c r="N20" s="826">
        <v>4</v>
      </c>
      <c r="O20" s="826">
        <v>4</v>
      </c>
      <c r="P20" s="826">
        <v>4</v>
      </c>
      <c r="Q20" s="826">
        <v>4</v>
      </c>
      <c r="R20" s="826">
        <v>4</v>
      </c>
      <c r="S20" s="826"/>
      <c r="T20" s="826">
        <v>4</v>
      </c>
      <c r="W20" s="826">
        <v>4</v>
      </c>
      <c r="X20" s="797"/>
    </row>
    <row r="21" spans="1:37" x14ac:dyDescent="0.25">
      <c r="A21" s="917"/>
      <c r="B21" s="774" t="s">
        <v>934</v>
      </c>
      <c r="C21" s="775"/>
      <c r="D21" s="776"/>
      <c r="E21" s="797"/>
      <c r="K21" s="409"/>
      <c r="L21" s="797"/>
      <c r="M21" s="797"/>
      <c r="N21" s="797"/>
      <c r="O21" s="797"/>
      <c r="P21" s="797"/>
      <c r="Q21" s="797"/>
      <c r="R21" s="797"/>
      <c r="S21" s="797"/>
      <c r="T21" s="797"/>
      <c r="W21" s="797"/>
      <c r="X21" s="797"/>
    </row>
    <row r="22" spans="1:37" s="633" customFormat="1" ht="15.75" thickBot="1" x14ac:dyDescent="0.3">
      <c r="A22" s="918"/>
      <c r="B22" s="779" t="s">
        <v>937</v>
      </c>
      <c r="C22" s="827"/>
      <c r="D22" s="828"/>
      <c r="E22" s="829" t="s">
        <v>1166</v>
      </c>
      <c r="F22" s="829"/>
      <c r="G22" s="409"/>
      <c r="H22" s="409"/>
      <c r="I22" s="409"/>
      <c r="J22" s="691"/>
      <c r="K22" s="807"/>
      <c r="L22" s="829" t="s">
        <v>1167</v>
      </c>
      <c r="M22" s="829" t="s">
        <v>1168</v>
      </c>
      <c r="N22" s="829" t="s">
        <v>1169</v>
      </c>
      <c r="O22" s="829" t="s">
        <v>1170</v>
      </c>
      <c r="P22" s="829" t="s">
        <v>1171</v>
      </c>
      <c r="Q22" s="829" t="s">
        <v>1172</v>
      </c>
      <c r="R22" s="829" t="s">
        <v>1173</v>
      </c>
      <c r="S22" s="826"/>
      <c r="T22" s="829" t="s">
        <v>1174</v>
      </c>
      <c r="U22" s="829"/>
      <c r="X22" s="829" t="s">
        <v>1175</v>
      </c>
      <c r="Y22" s="830"/>
      <c r="Z22" s="409"/>
      <c r="AA22" s="409"/>
      <c r="AB22" s="409"/>
      <c r="AC22" s="409"/>
      <c r="AD22" s="409"/>
      <c r="AE22" s="409"/>
      <c r="AF22" s="409"/>
      <c r="AG22" s="409"/>
      <c r="AH22" s="409"/>
      <c r="AI22" s="409"/>
      <c r="AJ22" s="409"/>
    </row>
    <row r="23" spans="1:37" ht="30.75" thickBot="1" x14ac:dyDescent="0.3">
      <c r="A23" s="916" t="s">
        <v>65</v>
      </c>
      <c r="B23" s="831" t="s">
        <v>1176</v>
      </c>
      <c r="C23" s="781" t="s">
        <v>1143</v>
      </c>
      <c r="D23" s="782"/>
      <c r="E23" s="439" t="s">
        <v>949</v>
      </c>
      <c r="F23" s="439" t="s">
        <v>1177</v>
      </c>
      <c r="G23" s="439" t="s">
        <v>873</v>
      </c>
      <c r="H23" s="832" t="s">
        <v>1178</v>
      </c>
      <c r="I23" s="832" t="s">
        <v>1144</v>
      </c>
      <c r="J23" s="833" t="s">
        <v>118</v>
      </c>
      <c r="K23" s="834"/>
      <c r="L23" s="927" t="s">
        <v>873</v>
      </c>
      <c r="M23" s="928"/>
      <c r="N23" s="835" t="s">
        <v>1179</v>
      </c>
      <c r="O23" s="836" t="s">
        <v>1180</v>
      </c>
      <c r="P23" s="836" t="s">
        <v>1181</v>
      </c>
      <c r="Q23" s="836" t="s">
        <v>1182</v>
      </c>
      <c r="R23" s="836" t="s">
        <v>1183</v>
      </c>
      <c r="S23" s="836" t="s">
        <v>1184</v>
      </c>
      <c r="T23" s="836" t="s">
        <v>109</v>
      </c>
      <c r="U23" s="836" t="s">
        <v>760</v>
      </c>
      <c r="V23" s="836" t="s">
        <v>102</v>
      </c>
      <c r="W23" s="836" t="s">
        <v>83</v>
      </c>
      <c r="X23" s="836" t="s">
        <v>1185</v>
      </c>
      <c r="Y23" s="836" t="s">
        <v>127</v>
      </c>
      <c r="Z23" s="634"/>
      <c r="AA23" s="634"/>
      <c r="AB23" s="634"/>
    </row>
    <row r="24" spans="1:37" ht="15.75" thickBot="1" x14ac:dyDescent="0.3">
      <c r="A24" s="917"/>
      <c r="B24" s="794" t="s">
        <v>920</v>
      </c>
      <c r="C24" s="837" t="str">
        <f>IF(LEN(J12)=0,"",J12)</f>
        <v/>
      </c>
      <c r="D24" s="838">
        <v>1</v>
      </c>
      <c r="F24" s="839"/>
      <c r="G24" s="456"/>
      <c r="H24" s="840"/>
      <c r="I24" s="840"/>
      <c r="J24" s="841"/>
      <c r="K24" s="842" t="s">
        <v>1186</v>
      </c>
      <c r="L24" s="929">
        <f>HYPERLINK("https://eu1.salesforce.com/"&amp;F24,G24)</f>
        <v>0</v>
      </c>
      <c r="M24" s="930"/>
      <c r="N24" s="633"/>
      <c r="O24" s="633"/>
      <c r="P24" s="843"/>
      <c r="Q24" s="633"/>
      <c r="R24" s="633"/>
      <c r="S24" s="633"/>
      <c r="T24" s="844"/>
      <c r="U24" s="845">
        <f>HYPERLINK("https://eu1.salesforce.com/"&amp;I24,H24)</f>
        <v>0</v>
      </c>
      <c r="V24" s="633"/>
      <c r="W24" s="633"/>
      <c r="X24" s="634"/>
      <c r="Y24" s="634"/>
      <c r="Z24" s="634"/>
      <c r="AA24" s="634"/>
      <c r="AB24" s="634"/>
    </row>
    <row r="25" spans="1:37" ht="15.75" thickBot="1" x14ac:dyDescent="0.3">
      <c r="A25" s="917"/>
      <c r="B25" s="774" t="s">
        <v>926</v>
      </c>
      <c r="C25" s="775"/>
      <c r="D25" s="776"/>
      <c r="E25" s="456">
        <v>0.5</v>
      </c>
      <c r="F25" s="456"/>
      <c r="G25" s="456"/>
      <c r="H25" s="456">
        <v>10</v>
      </c>
      <c r="I25" s="456"/>
      <c r="J25" s="456">
        <v>0.5</v>
      </c>
      <c r="K25" s="681"/>
      <c r="L25" s="846" t="s">
        <v>932</v>
      </c>
      <c r="M25" s="846"/>
      <c r="N25" s="846" t="s">
        <v>81</v>
      </c>
      <c r="O25" s="846"/>
      <c r="P25" s="676" t="s">
        <v>1187</v>
      </c>
      <c r="Q25" s="676" t="s">
        <v>1188</v>
      </c>
      <c r="R25" s="846"/>
      <c r="S25" s="846"/>
      <c r="T25" s="846" t="s">
        <v>81</v>
      </c>
      <c r="U25" s="846" t="s">
        <v>81</v>
      </c>
      <c r="V25" s="846" t="s">
        <v>81</v>
      </c>
      <c r="W25" s="846" t="s">
        <v>187</v>
      </c>
      <c r="X25" s="846" t="s">
        <v>187</v>
      </c>
      <c r="Y25" s="846" t="s">
        <v>187</v>
      </c>
      <c r="AB25" s="641"/>
      <c r="AD25" s="642"/>
      <c r="AE25" s="641"/>
    </row>
    <row r="26" spans="1:37" ht="15.75" thickBot="1" x14ac:dyDescent="0.3">
      <c r="A26" s="917"/>
      <c r="B26" s="774" t="s">
        <v>930</v>
      </c>
      <c r="C26" s="775" t="s">
        <v>170</v>
      </c>
      <c r="D26" s="847" t="s">
        <v>187</v>
      </c>
      <c r="E26" s="848" t="s">
        <v>1189</v>
      </c>
      <c r="F26" s="797" t="s">
        <v>170</v>
      </c>
      <c r="G26" s="797">
        <v>3</v>
      </c>
      <c r="H26" s="826" t="s">
        <v>1190</v>
      </c>
      <c r="I26" s="826" t="s">
        <v>1190</v>
      </c>
      <c r="J26" s="826"/>
      <c r="K26" s="849"/>
      <c r="L26" s="797"/>
      <c r="M26" s="797"/>
      <c r="N26" s="826" t="s">
        <v>941</v>
      </c>
      <c r="O26" s="826">
        <v>26</v>
      </c>
      <c r="P26" s="826" t="s">
        <v>965</v>
      </c>
      <c r="Q26" s="797" t="s">
        <v>1191</v>
      </c>
      <c r="R26" s="797" t="s">
        <v>146</v>
      </c>
      <c r="S26" s="846" t="s">
        <v>931</v>
      </c>
      <c r="T26" s="826" t="s">
        <v>81</v>
      </c>
      <c r="U26" s="826"/>
      <c r="V26" s="675"/>
      <c r="W26" s="675"/>
      <c r="X26" s="675"/>
      <c r="Y26" s="675"/>
      <c r="AG26" s="646"/>
      <c r="AH26" s="646"/>
      <c r="AI26" s="646"/>
      <c r="AJ26" s="646"/>
      <c r="AK26" s="646"/>
    </row>
    <row r="27" spans="1:37" ht="45" x14ac:dyDescent="0.25">
      <c r="A27" s="917"/>
      <c r="B27" s="774" t="s">
        <v>934</v>
      </c>
      <c r="C27" s="775"/>
      <c r="D27" s="776"/>
      <c r="E27" s="850" t="s">
        <v>1192</v>
      </c>
      <c r="K27" s="851" t="s">
        <v>1193</v>
      </c>
      <c r="L27" s="851" t="s">
        <v>1194</v>
      </c>
      <c r="M27" s="690"/>
      <c r="N27" s="690"/>
      <c r="O27" s="690"/>
      <c r="T27" s="690"/>
      <c r="U27" s="851" t="s">
        <v>1194</v>
      </c>
      <c r="AG27" s="646"/>
      <c r="AH27" s="646"/>
      <c r="AI27" s="646"/>
      <c r="AJ27" s="646"/>
      <c r="AK27" s="646"/>
    </row>
    <row r="28" spans="1:37" ht="15.75" thickBot="1" x14ac:dyDescent="0.3">
      <c r="A28" s="918"/>
      <c r="B28" s="779" t="s">
        <v>937</v>
      </c>
      <c r="C28" s="805"/>
      <c r="D28" s="828"/>
      <c r="E28" s="432"/>
      <c r="H28" s="807" t="s">
        <v>1195</v>
      </c>
      <c r="I28" s="807" t="s">
        <v>1196</v>
      </c>
      <c r="K28" s="409"/>
      <c r="L28" s="691"/>
      <c r="AB28" s="645"/>
      <c r="AF28" s="646"/>
      <c r="AG28" s="646"/>
      <c r="AH28" s="646"/>
      <c r="AI28" s="646"/>
      <c r="AJ28" s="646"/>
    </row>
    <row r="29" spans="1:37" x14ac:dyDescent="0.25">
      <c r="K29" s="409"/>
    </row>
    <row r="30" spans="1:37" ht="15.75" thickBot="1" x14ac:dyDescent="0.3">
      <c r="A30" s="624" t="s">
        <v>1197</v>
      </c>
    </row>
    <row r="31" spans="1:37" s="633" customFormat="1" ht="15.75" thickBot="1" x14ac:dyDescent="0.3">
      <c r="A31" s="409"/>
      <c r="B31" s="761" t="s">
        <v>1139</v>
      </c>
      <c r="C31" s="769" t="s">
        <v>967</v>
      </c>
      <c r="D31" s="769" t="s">
        <v>965</v>
      </c>
      <c r="K31" s="763"/>
      <c r="L31" s="764" t="s">
        <v>142</v>
      </c>
      <c r="M31" s="765" t="s">
        <v>1140</v>
      </c>
      <c r="N31" s="766" t="s">
        <v>1141</v>
      </c>
      <c r="P31" s="634"/>
      <c r="Q31" s="635"/>
      <c r="R31" s="636"/>
      <c r="S31" s="637"/>
      <c r="T31" s="409"/>
      <c r="U31" s="409"/>
      <c r="V31" s="409"/>
      <c r="W31" s="409"/>
      <c r="X31" s="409"/>
      <c r="Y31" s="409"/>
      <c r="Z31" s="409"/>
      <c r="AA31" s="409"/>
      <c r="AB31" s="409"/>
      <c r="AC31" s="409"/>
    </row>
    <row r="32" spans="1:37" s="763" customFormat="1" x14ac:dyDescent="0.25">
      <c r="A32" s="767"/>
      <c r="B32" s="768"/>
      <c r="C32" s="769"/>
      <c r="D32" s="770"/>
      <c r="L32" s="771"/>
      <c r="M32" s="771"/>
      <c r="N32" s="772"/>
      <c r="Q32" s="676"/>
      <c r="R32" s="635"/>
      <c r="S32" s="636"/>
      <c r="T32" s="637"/>
      <c r="U32" s="691"/>
      <c r="V32" s="691"/>
      <c r="W32" s="691"/>
      <c r="X32" s="691"/>
      <c r="Y32" s="691"/>
      <c r="Z32" s="691"/>
      <c r="AA32" s="691"/>
      <c r="AB32" s="691"/>
      <c r="AC32" s="691"/>
      <c r="AD32" s="691"/>
    </row>
    <row r="33" spans="1:35" x14ac:dyDescent="0.25">
      <c r="A33" s="773">
        <v>0</v>
      </c>
      <c r="B33" s="774" t="s">
        <v>66</v>
      </c>
      <c r="C33" s="775" t="s">
        <v>66</v>
      </c>
      <c r="D33" s="776" t="s">
        <v>66</v>
      </c>
      <c r="E33" s="777">
        <v>0</v>
      </c>
      <c r="F33" s="777">
        <v>0</v>
      </c>
      <c r="G33" s="777">
        <v>0</v>
      </c>
      <c r="H33" s="777">
        <v>0</v>
      </c>
      <c r="I33" s="777"/>
      <c r="J33" s="777">
        <v>0</v>
      </c>
      <c r="K33" s="777">
        <v>17</v>
      </c>
      <c r="L33" s="778" t="s">
        <v>932</v>
      </c>
      <c r="M33" s="778" t="s">
        <v>84</v>
      </c>
      <c r="N33" s="778" t="s">
        <v>84</v>
      </c>
      <c r="O33" s="778" t="s">
        <v>966</v>
      </c>
      <c r="P33" s="778" t="s">
        <v>932</v>
      </c>
      <c r="Q33" s="778" t="s">
        <v>965</v>
      </c>
      <c r="R33" s="778" t="s">
        <v>81</v>
      </c>
      <c r="S33" s="778" t="s">
        <v>51</v>
      </c>
      <c r="T33" s="778" t="s">
        <v>81</v>
      </c>
      <c r="U33" s="778" t="s">
        <v>81</v>
      </c>
      <c r="V33" s="778" t="s">
        <v>81</v>
      </c>
      <c r="W33" s="778" t="s">
        <v>246</v>
      </c>
      <c r="X33" s="778" t="s">
        <v>60</v>
      </c>
      <c r="Y33" s="778" t="s">
        <v>246</v>
      </c>
      <c r="AA33" s="642"/>
      <c r="AB33" s="641"/>
    </row>
    <row r="34" spans="1:35" x14ac:dyDescent="0.25">
      <c r="A34" s="767"/>
      <c r="B34" s="774" t="s">
        <v>930</v>
      </c>
      <c r="C34" s="775"/>
      <c r="D34" s="776"/>
      <c r="E34" s="681"/>
      <c r="F34" s="681"/>
      <c r="G34" s="681"/>
      <c r="H34" s="681"/>
      <c r="I34" s="681"/>
      <c r="J34" s="681"/>
      <c r="K34" s="681"/>
      <c r="L34" s="676"/>
      <c r="M34" s="676"/>
      <c r="N34" s="676"/>
      <c r="O34" s="691"/>
      <c r="P34" s="691"/>
      <c r="Q34" s="676"/>
      <c r="R34" s="676"/>
      <c r="S34" s="676"/>
      <c r="T34" s="676"/>
      <c r="U34" s="676"/>
      <c r="V34" s="676"/>
      <c r="W34" s="691"/>
      <c r="X34" s="691"/>
      <c r="Y34" s="691"/>
      <c r="Z34" s="642"/>
      <c r="AA34" s="641"/>
    </row>
    <row r="35" spans="1:35" x14ac:dyDescent="0.25">
      <c r="A35" s="767"/>
      <c r="B35" s="774" t="s">
        <v>934</v>
      </c>
      <c r="C35" s="775"/>
      <c r="D35" s="776"/>
      <c r="E35" s="681"/>
      <c r="F35" s="681"/>
      <c r="G35" s="681"/>
      <c r="H35" s="681"/>
      <c r="I35" s="681"/>
      <c r="J35" s="681"/>
      <c r="K35" s="681"/>
      <c r="L35" s="676"/>
      <c r="M35" s="676"/>
      <c r="N35" s="676"/>
      <c r="O35" s="691"/>
      <c r="P35" s="691"/>
      <c r="Q35" s="676"/>
      <c r="R35" s="676"/>
      <c r="S35" s="676"/>
      <c r="T35" s="676"/>
      <c r="U35" s="676"/>
      <c r="V35" s="676"/>
      <c r="W35" s="691"/>
      <c r="X35" s="691"/>
      <c r="Y35" s="691"/>
      <c r="Z35" s="642"/>
      <c r="AA35" s="641"/>
    </row>
    <row r="36" spans="1:35" ht="15.75" thickBot="1" x14ac:dyDescent="0.3">
      <c r="A36" s="767"/>
      <c r="B36" s="779" t="s">
        <v>937</v>
      </c>
      <c r="C36" s="775"/>
      <c r="D36" s="776"/>
      <c r="E36" s="681"/>
      <c r="F36" s="681"/>
      <c r="G36" s="681"/>
      <c r="H36" s="681"/>
      <c r="I36" s="681"/>
      <c r="J36" s="681"/>
      <c r="K36" s="681"/>
      <c r="L36" s="676"/>
      <c r="M36" s="676"/>
      <c r="N36" s="676"/>
      <c r="O36" s="691"/>
      <c r="P36" s="691"/>
      <c r="Q36" s="676"/>
      <c r="R36" s="676"/>
      <c r="S36" s="676"/>
      <c r="T36" s="676"/>
      <c r="U36" s="676"/>
      <c r="V36" s="676"/>
      <c r="W36" s="691"/>
      <c r="X36" s="691"/>
      <c r="Y36" s="691"/>
      <c r="Z36" s="642"/>
      <c r="AA36" s="641"/>
    </row>
    <row r="37" spans="1:35" s="793" customFormat="1" ht="23.25" thickBot="1" x14ac:dyDescent="0.3">
      <c r="A37" s="916" t="s">
        <v>32</v>
      </c>
      <c r="B37" s="780" t="s">
        <v>1142</v>
      </c>
      <c r="C37" s="781" t="s">
        <v>1143</v>
      </c>
      <c r="D37" s="782"/>
      <c r="E37" s="438" t="s">
        <v>743</v>
      </c>
      <c r="F37" s="783" t="s">
        <v>52</v>
      </c>
      <c r="G37" s="783" t="s">
        <v>1144</v>
      </c>
      <c r="H37" s="784" t="s">
        <v>760</v>
      </c>
      <c r="I37" s="784"/>
      <c r="J37" s="439" t="s">
        <v>1145</v>
      </c>
      <c r="K37" s="785" t="s">
        <v>403</v>
      </c>
      <c r="L37" s="786" t="s">
        <v>1146</v>
      </c>
      <c r="M37" s="787" t="s">
        <v>36</v>
      </c>
      <c r="N37" s="787" t="s">
        <v>39</v>
      </c>
      <c r="O37" s="788" t="s">
        <v>745</v>
      </c>
      <c r="P37" s="787" t="s">
        <v>1147</v>
      </c>
      <c r="Q37" s="789" t="s">
        <v>754</v>
      </c>
      <c r="R37" s="919" t="s">
        <v>755</v>
      </c>
      <c r="S37" s="920"/>
      <c r="T37" s="790" t="s">
        <v>109</v>
      </c>
      <c r="U37" s="788" t="s">
        <v>760</v>
      </c>
      <c r="V37" s="790" t="s">
        <v>761</v>
      </c>
      <c r="W37" s="791" t="s">
        <v>762</v>
      </c>
      <c r="X37" s="792" t="s">
        <v>763</v>
      </c>
      <c r="Y37" s="790" t="s">
        <v>764</v>
      </c>
      <c r="Z37" s="409"/>
    </row>
    <row r="38" spans="1:35" s="793" customFormat="1" ht="15.75" thickBot="1" x14ac:dyDescent="0.3">
      <c r="A38" s="917"/>
      <c r="B38" s="794" t="s">
        <v>920</v>
      </c>
      <c r="C38" s="775" t="s">
        <v>1143</v>
      </c>
      <c r="D38" s="795"/>
      <c r="E38" s="667"/>
      <c r="F38" s="796"/>
      <c r="G38" s="409"/>
      <c r="H38" s="409"/>
      <c r="I38" s="409"/>
      <c r="J38" s="797"/>
      <c r="K38" s="798"/>
      <c r="L38" s="799">
        <f>HYPERLINK("https://eu1.salesforce.com/"&amp;E38,F38)</f>
        <v>0</v>
      </c>
      <c r="M38" s="668"/>
      <c r="N38" s="668"/>
      <c r="O38" s="800"/>
      <c r="P38" s="801">
        <v>1234567.8899999999</v>
      </c>
      <c r="Q38" s="801">
        <v>1234567.8899999999</v>
      </c>
      <c r="R38" s="921"/>
      <c r="S38" s="922"/>
      <c r="T38" s="802"/>
      <c r="U38" s="799">
        <f>HYPERLINK("https://eu1.salesforce.com/"&amp;G38,H38)</f>
        <v>0</v>
      </c>
      <c r="V38" s="803"/>
      <c r="W38" s="803"/>
      <c r="X38" s="803"/>
      <c r="Y38" s="803"/>
    </row>
    <row r="39" spans="1:35" x14ac:dyDescent="0.25">
      <c r="A39" s="917"/>
      <c r="B39" s="774" t="s">
        <v>926</v>
      </c>
      <c r="C39" s="775"/>
      <c r="D39" s="776"/>
      <c r="E39" s="681">
        <v>0.5</v>
      </c>
      <c r="F39" s="681"/>
      <c r="J39" s="681">
        <v>0.5</v>
      </c>
      <c r="K39" s="681">
        <v>17</v>
      </c>
      <c r="L39" s="676" t="s">
        <v>932</v>
      </c>
      <c r="M39" s="676" t="s">
        <v>84</v>
      </c>
      <c r="N39" s="676" t="s">
        <v>81</v>
      </c>
      <c r="O39" s="676" t="s">
        <v>931</v>
      </c>
      <c r="P39" s="676" t="s">
        <v>1148</v>
      </c>
      <c r="Q39" s="676" t="s">
        <v>1148</v>
      </c>
      <c r="R39" s="676" t="s">
        <v>1149</v>
      </c>
      <c r="S39" s="676"/>
      <c r="T39" s="676" t="s">
        <v>81</v>
      </c>
      <c r="U39" s="676" t="s">
        <v>187</v>
      </c>
      <c r="V39" s="676" t="s">
        <v>187</v>
      </c>
      <c r="W39" s="676" t="s">
        <v>1148</v>
      </c>
      <c r="X39" s="676" t="s">
        <v>60</v>
      </c>
      <c r="Y39" s="676" t="s">
        <v>246</v>
      </c>
      <c r="AA39" s="642"/>
      <c r="AB39" s="641"/>
    </row>
    <row r="40" spans="1:35" x14ac:dyDescent="0.25">
      <c r="A40" s="917"/>
      <c r="B40" s="774" t="s">
        <v>930</v>
      </c>
      <c r="C40" s="775"/>
      <c r="D40" s="776"/>
      <c r="E40" s="681">
        <v>1</v>
      </c>
      <c r="F40" s="681">
        <v>9</v>
      </c>
      <c r="G40" s="681">
        <v>25</v>
      </c>
      <c r="H40" s="797">
        <v>25</v>
      </c>
      <c r="I40" s="797"/>
      <c r="J40" s="681" t="s">
        <v>1092</v>
      </c>
      <c r="K40" s="681">
        <v>19</v>
      </c>
      <c r="L40" s="676"/>
      <c r="M40" s="676" t="s">
        <v>120</v>
      </c>
      <c r="N40" s="676" t="s">
        <v>34</v>
      </c>
      <c r="O40" s="676" t="s">
        <v>187</v>
      </c>
      <c r="P40" s="676" t="s">
        <v>81</v>
      </c>
      <c r="Q40" s="676" t="s">
        <v>931</v>
      </c>
      <c r="R40" s="676" t="s">
        <v>247</v>
      </c>
      <c r="S40" s="676"/>
      <c r="T40" s="676" t="s">
        <v>932</v>
      </c>
      <c r="U40" s="676"/>
      <c r="V40" s="676" t="s">
        <v>1150</v>
      </c>
      <c r="W40" s="676" t="s">
        <v>1010</v>
      </c>
      <c r="X40" s="676" t="s">
        <v>1011</v>
      </c>
      <c r="Y40" s="676" t="s">
        <v>1151</v>
      </c>
      <c r="AD40" s="646"/>
      <c r="AE40" s="646"/>
      <c r="AF40" s="646"/>
      <c r="AG40" s="646"/>
      <c r="AH40" s="646"/>
    </row>
    <row r="41" spans="1:35" x14ac:dyDescent="0.25">
      <c r="A41" s="917"/>
      <c r="B41" s="774" t="s">
        <v>934</v>
      </c>
      <c r="C41" s="775"/>
      <c r="D41" s="776"/>
      <c r="E41" s="681"/>
      <c r="F41" s="681"/>
      <c r="G41" s="681" t="s">
        <v>936</v>
      </c>
      <c r="H41" s="409" t="s">
        <v>1152</v>
      </c>
      <c r="J41" s="681"/>
      <c r="K41" s="804" t="s">
        <v>777</v>
      </c>
      <c r="L41" s="691"/>
      <c r="M41" s="691"/>
      <c r="N41" s="691"/>
      <c r="O41" s="691"/>
      <c r="P41" s="691"/>
      <c r="Q41" s="691"/>
      <c r="R41" s="691"/>
      <c r="S41" s="691"/>
      <c r="T41" s="691"/>
      <c r="U41" s="691"/>
      <c r="V41" s="691"/>
      <c r="W41" s="691"/>
      <c r="X41" s="691"/>
      <c r="Y41" s="691"/>
      <c r="AD41" s="646"/>
      <c r="AE41" s="646"/>
      <c r="AF41" s="646"/>
      <c r="AG41" s="646"/>
      <c r="AH41" s="646"/>
    </row>
    <row r="42" spans="1:35" ht="15.75" thickBot="1" x14ac:dyDescent="0.3">
      <c r="A42" s="918"/>
      <c r="B42" s="779" t="s">
        <v>937</v>
      </c>
      <c r="C42" s="805"/>
      <c r="D42" s="806"/>
      <c r="E42" s="807"/>
      <c r="F42" s="807"/>
      <c r="G42" s="807" t="s">
        <v>1153</v>
      </c>
      <c r="J42" s="807" t="s">
        <v>1154</v>
      </c>
      <c r="K42" s="807"/>
      <c r="L42" s="691"/>
      <c r="M42" s="691"/>
      <c r="N42" s="691"/>
      <c r="O42" s="691"/>
      <c r="P42" s="691"/>
      <c r="Q42" s="691"/>
      <c r="R42" s="691"/>
      <c r="S42" s="691"/>
      <c r="T42" s="691"/>
      <c r="U42" s="691"/>
      <c r="V42" s="691"/>
      <c r="W42" s="691"/>
      <c r="AB42" s="646"/>
      <c r="AC42" s="646"/>
      <c r="AD42" s="646"/>
      <c r="AE42" s="646"/>
      <c r="AF42" s="646"/>
    </row>
    <row r="43" spans="1:35" s="793" customFormat="1" ht="30.75" thickBot="1" x14ac:dyDescent="0.3">
      <c r="A43" s="916" t="s">
        <v>69</v>
      </c>
      <c r="B43" s="614" t="s">
        <v>897</v>
      </c>
      <c r="C43" s="781" t="s">
        <v>1143</v>
      </c>
      <c r="D43" s="782"/>
      <c r="E43" s="808" t="s">
        <v>744</v>
      </c>
      <c r="F43" s="808"/>
      <c r="G43" s="808"/>
      <c r="H43" s="809" t="s">
        <v>1155</v>
      </c>
      <c r="I43" s="809"/>
      <c r="J43" s="810" t="s">
        <v>118</v>
      </c>
      <c r="K43" s="811"/>
      <c r="L43" s="812" t="s">
        <v>1156</v>
      </c>
      <c r="M43" s="813" t="s">
        <v>1157</v>
      </c>
      <c r="N43" s="814" t="s">
        <v>1158</v>
      </c>
      <c r="O43" s="814" t="s">
        <v>1159</v>
      </c>
      <c r="P43" s="815" t="s">
        <v>1160</v>
      </c>
      <c r="Q43" s="815" t="s">
        <v>1161</v>
      </c>
      <c r="R43" s="923" t="s">
        <v>1162</v>
      </c>
      <c r="S43" s="924"/>
      <c r="T43" s="812" t="s">
        <v>1163</v>
      </c>
      <c r="W43" s="812" t="s">
        <v>1164</v>
      </c>
      <c r="X43" s="816"/>
    </row>
    <row r="44" spans="1:35" s="793" customFormat="1" ht="15.75" thickBot="1" x14ac:dyDescent="0.3">
      <c r="A44" s="917"/>
      <c r="B44" s="794" t="s">
        <v>920</v>
      </c>
      <c r="C44" s="775" t="s">
        <v>1165</v>
      </c>
      <c r="D44" s="817">
        <f>E38</f>
        <v>0</v>
      </c>
      <c r="H44" s="818"/>
      <c r="I44" s="818"/>
      <c r="J44" s="819"/>
      <c r="K44" s="820"/>
      <c r="L44" s="821"/>
      <c r="M44" s="822"/>
      <c r="N44" s="823"/>
      <c r="O44" s="823"/>
      <c r="P44" s="823"/>
      <c r="Q44" s="822"/>
      <c r="R44" s="925"/>
      <c r="S44" s="926"/>
      <c r="T44" s="824"/>
      <c r="W44" s="825"/>
      <c r="X44" s="816"/>
    </row>
    <row r="45" spans="1:35" x14ac:dyDescent="0.25">
      <c r="A45" s="917"/>
      <c r="B45" s="774" t="s">
        <v>926</v>
      </c>
      <c r="C45" s="775"/>
      <c r="D45" s="776"/>
      <c r="E45" s="456">
        <v>0.5</v>
      </c>
      <c r="F45" s="456"/>
      <c r="G45" s="456"/>
      <c r="H45" s="456">
        <v>0.5</v>
      </c>
      <c r="I45" s="456"/>
      <c r="J45" s="456">
        <v>0.5</v>
      </c>
      <c r="K45" s="681"/>
      <c r="L45" s="826">
        <v>14</v>
      </c>
      <c r="M45" s="826">
        <v>10</v>
      </c>
      <c r="N45" s="826">
        <v>10</v>
      </c>
      <c r="O45" s="826">
        <v>10</v>
      </c>
      <c r="P45" s="826">
        <v>30</v>
      </c>
      <c r="Q45" s="826">
        <v>10</v>
      </c>
      <c r="R45" s="826">
        <v>40</v>
      </c>
      <c r="S45" s="826"/>
      <c r="T45" s="826">
        <v>26</v>
      </c>
      <c r="W45" s="676" t="s">
        <v>1148</v>
      </c>
      <c r="X45" s="797"/>
    </row>
    <row r="46" spans="1:35" x14ac:dyDescent="0.25">
      <c r="A46" s="917"/>
      <c r="B46" s="774" t="s">
        <v>930</v>
      </c>
      <c r="C46" s="775"/>
      <c r="D46" s="776"/>
      <c r="E46" s="797">
        <v>4</v>
      </c>
      <c r="J46" s="691"/>
      <c r="K46" s="409"/>
      <c r="L46" s="797">
        <v>4</v>
      </c>
      <c r="M46" s="797">
        <v>4</v>
      </c>
      <c r="N46" s="826">
        <v>4</v>
      </c>
      <c r="O46" s="826">
        <v>4</v>
      </c>
      <c r="P46" s="826">
        <v>4</v>
      </c>
      <c r="Q46" s="826">
        <v>4</v>
      </c>
      <c r="R46" s="826">
        <v>4</v>
      </c>
      <c r="S46" s="826"/>
      <c r="T46" s="826">
        <v>4</v>
      </c>
      <c r="W46" s="826">
        <v>4</v>
      </c>
      <c r="X46" s="797"/>
    </row>
    <row r="47" spans="1:35" x14ac:dyDescent="0.25">
      <c r="A47" s="917"/>
      <c r="B47" s="774" t="s">
        <v>934</v>
      </c>
      <c r="C47" s="775"/>
      <c r="D47" s="776"/>
      <c r="E47" s="797"/>
      <c r="K47" s="409"/>
      <c r="L47" s="797"/>
      <c r="M47" s="797"/>
      <c r="N47" s="797"/>
      <c r="O47" s="797"/>
      <c r="P47" s="797"/>
      <c r="Q47" s="797"/>
      <c r="R47" s="797"/>
      <c r="S47" s="797"/>
      <c r="T47" s="797"/>
      <c r="W47" s="797"/>
      <c r="X47" s="797"/>
    </row>
    <row r="48" spans="1:35" s="633" customFormat="1" ht="15.75" thickBot="1" x14ac:dyDescent="0.3">
      <c r="A48" s="918"/>
      <c r="B48" s="779" t="s">
        <v>937</v>
      </c>
      <c r="C48" s="827"/>
      <c r="D48" s="828"/>
      <c r="E48" s="829" t="s">
        <v>1166</v>
      </c>
      <c r="F48" s="829"/>
      <c r="G48" s="409"/>
      <c r="H48" s="409"/>
      <c r="I48" s="409"/>
      <c r="J48" s="691"/>
      <c r="K48" s="807"/>
      <c r="L48" s="829" t="s">
        <v>1167</v>
      </c>
      <c r="M48" s="829" t="s">
        <v>1168</v>
      </c>
      <c r="N48" s="829" t="s">
        <v>1169</v>
      </c>
      <c r="O48" s="829" t="s">
        <v>1170</v>
      </c>
      <c r="P48" s="829" t="s">
        <v>1171</v>
      </c>
      <c r="Q48" s="829" t="s">
        <v>1172</v>
      </c>
      <c r="R48" s="829" t="s">
        <v>1173</v>
      </c>
      <c r="S48" s="826"/>
      <c r="T48" s="829" t="s">
        <v>1174</v>
      </c>
      <c r="W48" s="829" t="s">
        <v>1175</v>
      </c>
      <c r="X48" s="830"/>
      <c r="Y48" s="637"/>
      <c r="Z48" s="409"/>
      <c r="AA48" s="409"/>
      <c r="AB48" s="409"/>
      <c r="AC48" s="409"/>
      <c r="AD48" s="409"/>
      <c r="AE48" s="409"/>
      <c r="AF48" s="409"/>
      <c r="AG48" s="409"/>
      <c r="AH48" s="409"/>
      <c r="AI48" s="409"/>
    </row>
    <row r="49" spans="1:36" ht="30.75" thickBot="1" x14ac:dyDescent="0.3">
      <c r="A49" s="916" t="s">
        <v>65</v>
      </c>
      <c r="B49" s="831" t="s">
        <v>1176</v>
      </c>
      <c r="C49" s="781" t="s">
        <v>1143</v>
      </c>
      <c r="D49" s="782"/>
      <c r="E49" s="439" t="s">
        <v>949</v>
      </c>
      <c r="F49" s="439" t="s">
        <v>1177</v>
      </c>
      <c r="G49" s="439" t="s">
        <v>873</v>
      </c>
      <c r="H49" s="852" t="s">
        <v>760</v>
      </c>
      <c r="I49" s="852"/>
      <c r="J49" s="833" t="s">
        <v>118</v>
      </c>
      <c r="K49" s="834"/>
      <c r="L49" s="927" t="s">
        <v>873</v>
      </c>
      <c r="M49" s="928"/>
      <c r="N49" s="835" t="s">
        <v>1179</v>
      </c>
      <c r="O49" s="836" t="s">
        <v>1180</v>
      </c>
      <c r="P49" s="836" t="s">
        <v>1181</v>
      </c>
      <c r="Q49" s="836" t="s">
        <v>1182</v>
      </c>
      <c r="R49" s="836" t="s">
        <v>1183</v>
      </c>
      <c r="S49" s="836" t="s">
        <v>1184</v>
      </c>
      <c r="T49" s="836" t="s">
        <v>109</v>
      </c>
      <c r="U49" s="836" t="s">
        <v>102</v>
      </c>
      <c r="V49" s="836" t="s">
        <v>83</v>
      </c>
      <c r="W49" s="836" t="s">
        <v>1185</v>
      </c>
      <c r="X49" s="836" t="s">
        <v>127</v>
      </c>
      <c r="Y49" s="634"/>
      <c r="Z49" s="634"/>
      <c r="AA49" s="634"/>
    </row>
    <row r="50" spans="1:36" ht="15.75" thickBot="1" x14ac:dyDescent="0.3">
      <c r="A50" s="917"/>
      <c r="B50" s="794" t="s">
        <v>920</v>
      </c>
      <c r="C50" s="837" t="str">
        <f>IF(LEN(J38)=0,"",J38)</f>
        <v/>
      </c>
      <c r="D50" s="838">
        <v>1</v>
      </c>
      <c r="F50" s="839"/>
      <c r="G50" s="456"/>
      <c r="H50" s="840"/>
      <c r="I50" s="840"/>
      <c r="J50" s="841"/>
      <c r="K50" s="842" t="s">
        <v>1186</v>
      </c>
      <c r="L50" s="929">
        <f>HYPERLINK("https://eu1.salesforce.com/"&amp;F50,G50)</f>
        <v>0</v>
      </c>
      <c r="M50" s="930"/>
      <c r="N50" s="633"/>
      <c r="O50" s="633"/>
      <c r="P50" s="843"/>
      <c r="Q50" s="633"/>
      <c r="R50" s="633"/>
      <c r="S50" s="633"/>
      <c r="T50" s="633"/>
      <c r="U50" s="633"/>
      <c r="V50" s="633"/>
      <c r="W50" s="634"/>
      <c r="X50" s="634"/>
      <c r="Y50" s="634"/>
      <c r="Z50" s="634"/>
      <c r="AA50" s="634"/>
    </row>
    <row r="51" spans="1:36" x14ac:dyDescent="0.25">
      <c r="A51" s="917"/>
      <c r="B51" s="774" t="s">
        <v>926</v>
      </c>
      <c r="C51" s="775"/>
      <c r="D51" s="776"/>
      <c r="E51" s="456">
        <v>0.5</v>
      </c>
      <c r="F51" s="456"/>
      <c r="G51" s="456"/>
      <c r="H51" s="456">
        <v>0.5</v>
      </c>
      <c r="I51" s="456"/>
      <c r="J51" s="456">
        <v>0.5</v>
      </c>
      <c r="K51" s="681"/>
      <c r="L51" s="846" t="s">
        <v>932</v>
      </c>
      <c r="M51" s="846"/>
      <c r="N51" s="846" t="s">
        <v>81</v>
      </c>
      <c r="O51" s="846"/>
      <c r="P51" s="676" t="s">
        <v>1187</v>
      </c>
      <c r="Q51" s="676" t="s">
        <v>1188</v>
      </c>
      <c r="R51" s="846"/>
      <c r="S51" s="846"/>
      <c r="T51" s="846" t="s">
        <v>81</v>
      </c>
      <c r="U51" s="846" t="s">
        <v>81</v>
      </c>
      <c r="V51" s="846" t="s">
        <v>187</v>
      </c>
      <c r="W51" s="846" t="s">
        <v>187</v>
      </c>
      <c r="X51" s="846" t="s">
        <v>187</v>
      </c>
      <c r="AA51" s="641"/>
      <c r="AC51" s="642"/>
      <c r="AD51" s="641"/>
    </row>
    <row r="52" spans="1:36" x14ac:dyDescent="0.25">
      <c r="A52" s="917"/>
      <c r="B52" s="774" t="s">
        <v>930</v>
      </c>
      <c r="C52" s="775" t="s">
        <v>170</v>
      </c>
      <c r="D52" s="847" t="s">
        <v>187</v>
      </c>
      <c r="E52" s="848" t="s">
        <v>1189</v>
      </c>
      <c r="F52" s="797" t="s">
        <v>170</v>
      </c>
      <c r="G52" s="797">
        <v>3</v>
      </c>
      <c r="H52" s="826"/>
      <c r="I52" s="826"/>
      <c r="J52" s="826"/>
      <c r="K52" s="826"/>
      <c r="L52" s="797"/>
      <c r="M52" s="797"/>
      <c r="N52" s="826" t="s">
        <v>941</v>
      </c>
      <c r="O52" s="826">
        <v>26</v>
      </c>
      <c r="P52" s="826" t="s">
        <v>965</v>
      </c>
      <c r="Q52" s="797" t="s">
        <v>1191</v>
      </c>
      <c r="R52" s="797" t="s">
        <v>146</v>
      </c>
      <c r="S52" s="846" t="s">
        <v>931</v>
      </c>
      <c r="T52" s="826" t="s">
        <v>81</v>
      </c>
      <c r="U52" s="675"/>
      <c r="V52" s="675"/>
      <c r="W52" s="675"/>
      <c r="X52" s="675"/>
      <c r="Y52" s="679"/>
      <c r="AF52" s="646"/>
      <c r="AG52" s="646"/>
      <c r="AH52" s="646"/>
      <c r="AI52" s="646"/>
      <c r="AJ52" s="646"/>
    </row>
    <row r="53" spans="1:36" ht="45" x14ac:dyDescent="0.25">
      <c r="A53" s="917"/>
      <c r="B53" s="774" t="s">
        <v>934</v>
      </c>
      <c r="C53" s="775"/>
      <c r="D53" s="776"/>
      <c r="E53" s="850" t="s">
        <v>1198</v>
      </c>
      <c r="K53" s="851" t="s">
        <v>1194</v>
      </c>
      <c r="L53" s="851" t="s">
        <v>1194</v>
      </c>
      <c r="M53" s="690"/>
      <c r="N53" s="690"/>
      <c r="O53" s="690"/>
      <c r="T53" s="690"/>
      <c r="AF53" s="646"/>
      <c r="AG53" s="646"/>
      <c r="AH53" s="646"/>
      <c r="AI53" s="646"/>
      <c r="AJ53" s="646"/>
    </row>
    <row r="54" spans="1:36" ht="15.75" thickBot="1" x14ac:dyDescent="0.3">
      <c r="A54" s="918"/>
      <c r="B54" s="779" t="s">
        <v>937</v>
      </c>
      <c r="C54" s="805"/>
      <c r="D54" s="828"/>
      <c r="E54" s="432"/>
      <c r="H54" s="807"/>
      <c r="I54" s="807"/>
      <c r="K54" s="409"/>
      <c r="L54" s="691"/>
      <c r="AB54" s="645"/>
      <c r="AF54" s="646"/>
      <c r="AG54" s="646"/>
      <c r="AH54" s="646"/>
      <c r="AI54" s="646"/>
      <c r="AJ54" s="646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2013-09-03T22:03:05Z</dcterms:modified>
</cp:coreProperties>
</file>